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ratilebusang/exclusive-insurance/Backend/"/>
    </mc:Choice>
  </mc:AlternateContent>
  <xr:revisionPtr revIDLastSave="0" documentId="13_ncr:1_{BC9D4FDB-695A-2A4C-BDDE-BE828E66B194}" xr6:coauthVersionLast="47" xr6:coauthVersionMax="47" xr10:uidLastSave="{00000000-0000-0000-0000-000000000000}"/>
  <bookViews>
    <workbookView xWindow="0" yWindow="740" windowWidth="29400" windowHeight="17260" xr2:uid="{9814F2EB-CC8D-4BC8-987F-2877F040D9E2}"/>
  </bookViews>
  <sheets>
    <sheet name="LivingAnnuity" sheetId="1" r:id="rId1"/>
    <sheet name="LifeAnnuity" sheetId="3" r:id="rId2"/>
    <sheet name="SA85-90" sheetId="4" state="hidden" r:id="rId3"/>
    <sheet name="SA85-90 (light)" sheetId="5" state="hidden" r:id="rId4"/>
    <sheet name="Tax" sheetId="2" state="hidden" r:id="rId5"/>
  </sheets>
  <definedNames>
    <definedName name="AmountInvested" localSheetId="1">LifeAnnuity!$AH$5</definedName>
    <definedName name="AmountInvested">LivingAnnuity!$AH$5</definedName>
    <definedName name="CheckTotal" localSheetId="1">LifeAnnuity!$AH$20</definedName>
    <definedName name="CheckTotal">LivingAnnuity!$AH$20</definedName>
    <definedName name="DrawdownPercentage" localSheetId="1">LifeAnnuity!#REF!</definedName>
    <definedName name="DrawdownPercentage">LivingAnnuity!$C$5</definedName>
    <definedName name="ExpectedLifeYearsRemaining" localSheetId="1">LifeAnnuity!$AH$10</definedName>
    <definedName name="ExpectedLifeYearsRemaining">LivingAnnuity!$AH$10</definedName>
    <definedName name="ExpectedPaymentPeriod" localSheetId="1">LifeAnnuity!$AH$9</definedName>
    <definedName name="ExpectedPaymentPeriod">LivingAnnuity!$AH$9</definedName>
    <definedName name="FundsAtEndofDrawdown" localSheetId="1">LifeAnnuity!$C$8</definedName>
    <definedName name="FundsAtEndofDrawdown">LivingAnnuity!$C$11</definedName>
    <definedName name="MonthlyBenefit" localSheetId="1">LifeAnnuity!$AH$6</definedName>
    <definedName name="MonthlyBenefit">LivingAnnuity!$AH$6</definedName>
    <definedName name="NoOfFullPmtsToAnnuitant" localSheetId="1">LifeAnnuity!$AH$7</definedName>
    <definedName name="NoOfFullPmtsToAnnuitant">LivingAnnuity!$AH$7</definedName>
    <definedName name="Notice1" localSheetId="1">LifeAnnuity!$B$10:$C$10</definedName>
    <definedName name="Notice1">LivingAnnuity!$B$13:$C$13</definedName>
    <definedName name="PresentValueOfAllCharges" localSheetId="1">LifeAnnuity!$AH$18</definedName>
    <definedName name="PresentValueOfAllCharges">LivingAnnuity!$AH$18</definedName>
    <definedName name="PresentValueOfAssetManagementCharges" localSheetId="1">LifeAnnuity!$AH$15</definedName>
    <definedName name="PresentValueOfAssetManagementCharges">LivingAnnuity!$AH$15</definedName>
    <definedName name="PresentValueOfBenefitsToAnnuitant" localSheetId="1">LifeAnnuity!$AH$4</definedName>
    <definedName name="PresentValueOfBenefitsToAnnuitant">LivingAnnuity!$AH$4</definedName>
    <definedName name="PresentValueOfBenefitsToAnnuitantExclFuneral" localSheetId="1">LifeAnnuity!$AH$19</definedName>
    <definedName name="PresentValueOfBenefitsToAnnuitantExclFuneral">LivingAnnuity!$AH$19</definedName>
    <definedName name="PresentValueOfCommissionPayments" localSheetId="1">LifeAnnuity!$AH$17</definedName>
    <definedName name="PresentValueOfCommissionPayments">LivingAnnuity!$AH$17</definedName>
    <definedName name="PresentValueOfFeesToInsurer" localSheetId="1">LifeAnnuity!$AH$12</definedName>
    <definedName name="PresentValueOfFeesToInsurer">LivingAnnuity!$AH$12</definedName>
    <definedName name="PVOfFeesAsOfAssetsManaged" localSheetId="1">LifeAnnuity!$AH$13</definedName>
    <definedName name="PVOfFeesAsOfAssetsManaged">LivingAnnuity!$AH$13</definedName>
    <definedName name="RemainderPaidInFinalPayment" localSheetId="1">LifeAnnuity!$AH$8</definedName>
    <definedName name="RemainderPaidInFinalPayment">LivingAnnuity!$AH$8</definedName>
    <definedName name="SA8590Light">'SA85-90 (light)'!$B$10:$F$96</definedName>
    <definedName name="SolveLifeAnnuity" localSheetId="1">LifeAnnuity!$C$33</definedName>
    <definedName name="SolveLifeAnnuity">LivingAnnuity!$C$39</definedName>
    <definedName name="solver_adj" localSheetId="1" hidden="1">LifeAnnuity!#REF!</definedName>
    <definedName name="solver_adj" localSheetId="0" hidden="1">LivingAnnuity!$C$5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LifeAnnuity!$C$34</definedName>
    <definedName name="solver_lhs1" localSheetId="0" hidden="1">LivingAnnuity!$C$40</definedName>
    <definedName name="solver_lhs2" localSheetId="1" hidden="1">LifeAnnuity!$C$32</definedName>
    <definedName name="solver_lhs2" localSheetId="0" hidden="1">LivingAnnuity!$C$38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1</definedName>
    <definedName name="solver_num" localSheetId="0" hidden="1">1</definedName>
    <definedName name="solver_nwt" localSheetId="1" hidden="1">1</definedName>
    <definedName name="solver_nwt" localSheetId="0" hidden="1">1</definedName>
    <definedName name="solver_opt" localSheetId="1" hidden="1">LifeAnnuity!$C$32</definedName>
    <definedName name="solver_opt" localSheetId="0" hidden="1">LivingAnnuity!$C$38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el2" localSheetId="1" hidden="1">2</definedName>
    <definedName name="solver_rel2" localSheetId="0" hidden="1">2</definedName>
    <definedName name="solver_rhs1" localSheetId="1" hidden="1">0</definedName>
    <definedName name="solver_rhs1" localSheetId="0" hidden="1">0</definedName>
    <definedName name="solver_rhs2" localSheetId="1" hidden="1">0</definedName>
    <definedName name="solver_rhs2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3</definedName>
    <definedName name="solver_typ" localSheetId="0" hidden="1">3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  <definedName name="SolveZeroAt100" localSheetId="1">LifeAnnuity!$C$32</definedName>
    <definedName name="SolveZeroAt100">LivingAnnuity!$C$38</definedName>
    <definedName name="StartofLA" localSheetId="1">LifeAnnuity!$C$3</definedName>
    <definedName name="StartofLA">LivingAnnuity!$C$3</definedName>
    <definedName name="StartofRA" localSheetId="1">LifeAnnuity!$C$3</definedName>
    <definedName name="StartofRA">LivingAnnuity!$C$6</definedName>
    <definedName name="SumOfAssetManagementCharges" localSheetId="1">LifeAnnuity!$AH$14</definedName>
    <definedName name="SumOfAssetManagementCharges">LivingAnnuity!$AH$14</definedName>
    <definedName name="SumOfBenefitsToAnnuitant" localSheetId="1">LifeAnnuity!$AH$3</definedName>
    <definedName name="SumOfBenefitsToAnnuitant">LivingAnnuity!$AH$3</definedName>
    <definedName name="SumOfCommissionPayments" localSheetId="1">LifeAnnuity!$AH$16</definedName>
    <definedName name="SumOfCommissionPayments">LivingAnnuity!$AH$16</definedName>
    <definedName name="SumOfFeesToInsurer" localSheetId="1">LifeAnnuity!$AH$11</definedName>
    <definedName name="SumOfFeesToInsurer">LivingAnnuity!$AH$11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5" i="1"/>
  <c r="C9" i="1"/>
  <c r="B10" i="1"/>
  <c r="S4" i="3"/>
  <c r="AM90" i="3"/>
  <c r="AM89" i="3"/>
  <c r="AM88" i="3"/>
  <c r="AM87" i="3"/>
  <c r="AN87" i="3" s="1"/>
  <c r="AM86" i="3"/>
  <c r="AN86" i="3" s="1"/>
  <c r="AM85" i="3"/>
  <c r="AN85" i="3" s="1"/>
  <c r="AM84" i="3"/>
  <c r="AM83" i="3"/>
  <c r="AM82" i="3"/>
  <c r="AM81" i="3"/>
  <c r="AM80" i="3"/>
  <c r="AM79" i="3"/>
  <c r="AM78" i="3"/>
  <c r="AM77" i="3"/>
  <c r="AN77" i="3" s="1"/>
  <c r="AM76" i="3"/>
  <c r="AM75" i="3"/>
  <c r="AN75" i="3" s="1"/>
  <c r="AM74" i="3"/>
  <c r="AN74" i="3" s="1"/>
  <c r="AM73" i="3"/>
  <c r="AM72" i="3"/>
  <c r="AM71" i="3"/>
  <c r="AM70" i="3"/>
  <c r="AM69" i="3"/>
  <c r="AN69" i="3" s="1"/>
  <c r="AM68" i="3"/>
  <c r="AN68" i="3" s="1"/>
  <c r="AM67" i="3"/>
  <c r="AN67" i="3" s="1"/>
  <c r="AM66" i="3"/>
  <c r="AN66" i="3" s="1"/>
  <c r="AM65" i="3"/>
  <c r="AN65" i="3" s="1"/>
  <c r="AM64" i="3"/>
  <c r="AN64" i="3" s="1"/>
  <c r="AM63" i="3"/>
  <c r="AN63" i="3" s="1"/>
  <c r="AM62" i="3"/>
  <c r="AN62" i="3" s="1"/>
  <c r="AM61" i="3"/>
  <c r="AN61" i="3" s="1"/>
  <c r="AM60" i="3"/>
  <c r="AM59" i="3"/>
  <c r="AN59" i="3" s="1"/>
  <c r="AM58" i="3"/>
  <c r="AN58" i="3" s="1"/>
  <c r="AM57" i="3"/>
  <c r="AN57" i="3" s="1"/>
  <c r="AM56" i="3"/>
  <c r="AN56" i="3" s="1"/>
  <c r="AM55" i="3"/>
  <c r="AN55" i="3" s="1"/>
  <c r="AM54" i="3"/>
  <c r="AN54" i="3" s="1"/>
  <c r="AM53" i="3"/>
  <c r="AN53" i="3" s="1"/>
  <c r="AM52" i="3"/>
  <c r="AN52" i="3" s="1"/>
  <c r="AM51" i="3"/>
  <c r="AN51" i="3" s="1"/>
  <c r="AM50" i="3"/>
  <c r="AN50" i="3" s="1"/>
  <c r="AM49" i="3"/>
  <c r="AM48" i="3"/>
  <c r="AM47" i="3"/>
  <c r="AM46" i="3"/>
  <c r="AM45" i="3"/>
  <c r="AM44" i="3"/>
  <c r="AM43" i="3"/>
  <c r="AM42" i="3"/>
  <c r="AM41" i="3"/>
  <c r="AM40" i="3"/>
  <c r="AM39" i="3"/>
  <c r="AN39" i="3" s="1"/>
  <c r="AM38" i="3"/>
  <c r="AN38" i="3" s="1"/>
  <c r="AM37" i="3"/>
  <c r="AN37" i="3" s="1"/>
  <c r="AM36" i="3"/>
  <c r="AM35" i="3"/>
  <c r="AM34" i="3"/>
  <c r="AM33" i="3"/>
  <c r="AM32" i="3"/>
  <c r="AM31" i="3"/>
  <c r="AM30" i="3"/>
  <c r="AM29" i="3"/>
  <c r="AM28" i="3"/>
  <c r="AM27" i="3"/>
  <c r="AN27" i="3" s="1"/>
  <c r="AM26" i="3"/>
  <c r="AN26" i="3" s="1"/>
  <c r="AM25" i="3"/>
  <c r="AM24" i="3"/>
  <c r="AM23" i="3"/>
  <c r="AM22" i="3"/>
  <c r="AM21" i="3"/>
  <c r="AM20" i="3"/>
  <c r="AM19" i="3"/>
  <c r="AM18" i="3"/>
  <c r="AM17" i="3"/>
  <c r="AM16" i="3"/>
  <c r="AM15" i="3"/>
  <c r="AN15" i="3" s="1"/>
  <c r="AM14" i="3"/>
  <c r="AN14" i="3" s="1"/>
  <c r="AM13" i="3"/>
  <c r="AN13" i="3" s="1"/>
  <c r="AM12" i="3"/>
  <c r="AM11" i="3"/>
  <c r="AM10" i="3"/>
  <c r="AM9" i="3"/>
  <c r="AM8" i="3"/>
  <c r="AM7" i="3"/>
  <c r="AM6" i="3"/>
  <c r="AM5" i="3"/>
  <c r="AN90" i="3"/>
  <c r="AN89" i="3"/>
  <c r="AN88" i="3"/>
  <c r="AN84" i="3"/>
  <c r="AN83" i="3"/>
  <c r="AN82" i="3"/>
  <c r="AN81" i="3"/>
  <c r="AN80" i="3"/>
  <c r="AN79" i="3"/>
  <c r="AN78" i="3"/>
  <c r="AN76" i="3"/>
  <c r="AN73" i="3"/>
  <c r="AN72" i="3"/>
  <c r="AN71" i="3"/>
  <c r="AN70" i="3"/>
  <c r="AN60" i="3"/>
  <c r="AN49" i="3"/>
  <c r="AN48" i="3"/>
  <c r="AN47" i="3"/>
  <c r="AN23" i="3"/>
  <c r="AN20" i="3"/>
  <c r="AN9" i="3"/>
  <c r="AN8" i="3"/>
  <c r="AN7" i="3"/>
  <c r="B9" i="3"/>
  <c r="B33" i="3"/>
  <c r="AL90" i="3"/>
  <c r="AK90" i="3"/>
  <c r="AL89" i="3"/>
  <c r="AK89" i="3"/>
  <c r="AL88" i="3"/>
  <c r="AK88" i="3"/>
  <c r="AL87" i="3"/>
  <c r="AK87" i="3"/>
  <c r="AL86" i="3"/>
  <c r="AK86" i="3"/>
  <c r="AL85" i="3"/>
  <c r="AK85" i="3"/>
  <c r="AL84" i="3"/>
  <c r="AK84" i="3"/>
  <c r="AL83" i="3"/>
  <c r="AK83" i="3"/>
  <c r="AL82" i="3"/>
  <c r="AK82" i="3"/>
  <c r="AL81" i="3"/>
  <c r="AK81" i="3"/>
  <c r="AL80" i="3"/>
  <c r="AK80" i="3"/>
  <c r="AN36" i="3" s="1"/>
  <c r="AL79" i="3"/>
  <c r="AK79" i="3"/>
  <c r="AN35" i="3" s="1"/>
  <c r="AL78" i="3"/>
  <c r="AK78" i="3"/>
  <c r="AN34" i="3" s="1"/>
  <c r="AL77" i="3"/>
  <c r="AK77" i="3"/>
  <c r="AN33" i="3" s="1"/>
  <c r="AL76" i="3"/>
  <c r="AK76" i="3"/>
  <c r="AL75" i="3"/>
  <c r="AK75" i="3"/>
  <c r="AL74" i="3"/>
  <c r="AK74" i="3"/>
  <c r="AL73" i="3"/>
  <c r="AK73" i="3"/>
  <c r="AL72" i="3"/>
  <c r="AK72" i="3"/>
  <c r="AL71" i="3"/>
  <c r="AK71" i="3"/>
  <c r="AL70" i="3"/>
  <c r="AK70" i="3"/>
  <c r="AL69" i="3"/>
  <c r="AK69" i="3"/>
  <c r="AN25" i="3" s="1"/>
  <c r="AL68" i="3"/>
  <c r="AK68" i="3"/>
  <c r="AN24" i="3" s="1"/>
  <c r="AL67" i="3"/>
  <c r="AK67" i="3"/>
  <c r="AL66" i="3"/>
  <c r="AK66" i="3"/>
  <c r="AN22" i="3" s="1"/>
  <c r="AL65" i="3"/>
  <c r="AK65" i="3"/>
  <c r="AL64" i="3"/>
  <c r="AK64" i="3"/>
  <c r="AL63" i="3"/>
  <c r="AK63" i="3"/>
  <c r="AN19" i="3" s="1"/>
  <c r="AL62" i="3"/>
  <c r="AK62" i="3"/>
  <c r="AL61" i="3"/>
  <c r="AK61" i="3"/>
  <c r="AL60" i="3"/>
  <c r="AK60" i="3"/>
  <c r="AL59" i="3"/>
  <c r="AK59" i="3"/>
  <c r="AL58" i="3"/>
  <c r="AK58" i="3"/>
  <c r="AL57" i="3"/>
  <c r="AK57" i="3"/>
  <c r="AL56" i="3"/>
  <c r="AK56" i="3"/>
  <c r="AN12" i="3" s="1"/>
  <c r="AL55" i="3"/>
  <c r="AK55" i="3"/>
  <c r="AN11" i="3" s="1"/>
  <c r="AL54" i="3"/>
  <c r="AK54" i="3"/>
  <c r="AN10" i="3" s="1"/>
  <c r="AL53" i="3"/>
  <c r="AK53" i="3"/>
  <c r="AL52" i="3"/>
  <c r="AK52" i="3"/>
  <c r="AL51" i="3"/>
  <c r="AK51" i="3"/>
  <c r="AL50" i="3"/>
  <c r="AK50" i="3"/>
  <c r="AN6" i="3" s="1"/>
  <c r="AL49" i="3"/>
  <c r="AK49" i="3"/>
  <c r="AL48" i="3"/>
  <c r="AK48" i="3"/>
  <c r="AO4" i="3" s="1"/>
  <c r="AP4" i="3" s="1"/>
  <c r="AL47" i="3"/>
  <c r="AK47" i="3"/>
  <c r="AL46" i="3"/>
  <c r="AK46" i="3"/>
  <c r="AL45" i="3"/>
  <c r="AK45" i="3"/>
  <c r="AL44" i="3"/>
  <c r="AK44" i="3"/>
  <c r="AL43" i="3"/>
  <c r="AK43" i="3"/>
  <c r="AL42" i="3"/>
  <c r="AK42" i="3"/>
  <c r="AL41" i="3"/>
  <c r="AK41" i="3"/>
  <c r="AL40" i="3"/>
  <c r="AK40" i="3"/>
  <c r="AL39" i="3"/>
  <c r="AK39" i="3"/>
  <c r="AL38" i="3"/>
  <c r="AK38" i="3"/>
  <c r="AL37" i="3"/>
  <c r="AK37" i="3"/>
  <c r="AL36" i="3"/>
  <c r="AK36" i="3"/>
  <c r="AL35" i="3"/>
  <c r="AK35" i="3"/>
  <c r="AL34" i="3"/>
  <c r="AK34" i="3"/>
  <c r="AL33" i="3"/>
  <c r="AK33" i="3"/>
  <c r="AL32" i="3"/>
  <c r="AK32" i="3"/>
  <c r="AL31" i="3"/>
  <c r="AK31" i="3"/>
  <c r="AL30" i="3"/>
  <c r="AK30" i="3"/>
  <c r="AL29" i="3"/>
  <c r="AK29" i="3"/>
  <c r="AL28" i="3"/>
  <c r="AK28" i="3"/>
  <c r="AL27" i="3"/>
  <c r="AK27" i="3"/>
  <c r="AL26" i="3"/>
  <c r="AK26" i="3"/>
  <c r="AL25" i="3"/>
  <c r="AK25" i="3"/>
  <c r="AL24" i="3"/>
  <c r="AK24" i="3"/>
  <c r="AL23" i="3"/>
  <c r="AK23" i="3"/>
  <c r="AL22" i="3"/>
  <c r="AK22" i="3"/>
  <c r="AL21" i="3"/>
  <c r="AK21" i="3"/>
  <c r="AL20" i="3"/>
  <c r="AK20" i="3"/>
  <c r="AL19" i="3"/>
  <c r="AK19" i="3"/>
  <c r="AL18" i="3"/>
  <c r="AK18" i="3"/>
  <c r="AL17" i="3"/>
  <c r="AK17" i="3"/>
  <c r="AL16" i="3"/>
  <c r="AK16" i="3"/>
  <c r="AL15" i="3"/>
  <c r="AK15" i="3"/>
  <c r="AL14" i="3"/>
  <c r="AK14" i="3"/>
  <c r="AL13" i="3"/>
  <c r="AK13" i="3"/>
  <c r="AL12" i="3"/>
  <c r="AK12" i="3"/>
  <c r="AL11" i="3"/>
  <c r="AK11" i="3"/>
  <c r="AL10" i="3"/>
  <c r="AK10" i="3"/>
  <c r="AL9" i="3"/>
  <c r="AK9" i="3"/>
  <c r="AL8" i="3"/>
  <c r="AK8" i="3"/>
  <c r="AL7" i="3"/>
  <c r="AK7" i="3"/>
  <c r="AL6" i="3"/>
  <c r="AK6" i="3"/>
  <c r="AL5" i="3"/>
  <c r="AK5" i="3"/>
  <c r="AL4" i="3"/>
  <c r="AK4" i="3"/>
  <c r="AL90" i="1"/>
  <c r="AK90" i="1"/>
  <c r="AL89" i="1"/>
  <c r="AK89" i="1"/>
  <c r="AL88" i="1"/>
  <c r="AK88" i="1"/>
  <c r="AL87" i="1"/>
  <c r="AK87" i="1"/>
  <c r="AL86" i="1"/>
  <c r="AK86" i="1"/>
  <c r="AL85" i="1"/>
  <c r="AK85" i="1"/>
  <c r="AL84" i="1"/>
  <c r="AK84" i="1"/>
  <c r="AL83" i="1"/>
  <c r="AK83" i="1"/>
  <c r="AL82" i="1"/>
  <c r="AK82" i="1"/>
  <c r="AL81" i="1"/>
  <c r="AK81" i="1"/>
  <c r="AL80" i="1"/>
  <c r="AK80" i="1"/>
  <c r="AL79" i="1"/>
  <c r="AK79" i="1"/>
  <c r="AL78" i="1"/>
  <c r="AK78" i="1"/>
  <c r="AL77" i="1"/>
  <c r="AK77" i="1"/>
  <c r="AL76" i="1"/>
  <c r="AK76" i="1"/>
  <c r="AL75" i="1"/>
  <c r="AK75" i="1"/>
  <c r="AL74" i="1"/>
  <c r="AK74" i="1"/>
  <c r="AL73" i="1"/>
  <c r="AK73" i="1"/>
  <c r="AL72" i="1"/>
  <c r="AK72" i="1"/>
  <c r="AL71" i="1"/>
  <c r="AK71" i="1"/>
  <c r="AL70" i="1"/>
  <c r="AK70" i="1"/>
  <c r="AL69" i="1"/>
  <c r="AK69" i="1"/>
  <c r="AL68" i="1"/>
  <c r="AK68" i="1"/>
  <c r="AL67" i="1"/>
  <c r="AK67" i="1"/>
  <c r="AL66" i="1"/>
  <c r="AK66" i="1"/>
  <c r="AL65" i="1"/>
  <c r="AK65" i="1"/>
  <c r="AL64" i="1"/>
  <c r="AK64" i="1"/>
  <c r="AL63" i="1"/>
  <c r="AK63" i="1"/>
  <c r="AL62" i="1"/>
  <c r="AK62" i="1"/>
  <c r="AL61" i="1"/>
  <c r="AK61" i="1"/>
  <c r="AL60" i="1"/>
  <c r="AK60" i="1"/>
  <c r="AL59" i="1"/>
  <c r="AK59" i="1"/>
  <c r="AL58" i="1"/>
  <c r="AK58" i="1"/>
  <c r="AL57" i="1"/>
  <c r="AK57" i="1"/>
  <c r="AL56" i="1"/>
  <c r="AK56" i="1"/>
  <c r="AL55" i="1"/>
  <c r="AK55" i="1"/>
  <c r="AL54" i="1"/>
  <c r="AK54" i="1"/>
  <c r="AL53" i="1"/>
  <c r="AK53" i="1"/>
  <c r="AL52" i="1"/>
  <c r="AK52" i="1"/>
  <c r="AL51" i="1"/>
  <c r="AK51" i="1"/>
  <c r="AL50" i="1"/>
  <c r="AK50" i="1"/>
  <c r="AL49" i="1"/>
  <c r="AK49" i="1"/>
  <c r="AL48" i="1"/>
  <c r="AK48" i="1"/>
  <c r="AL47" i="1"/>
  <c r="AK47" i="1"/>
  <c r="AL46" i="1"/>
  <c r="AK46" i="1"/>
  <c r="AL45" i="1"/>
  <c r="AK45" i="1"/>
  <c r="AL44" i="1"/>
  <c r="AK44" i="1"/>
  <c r="AL43" i="1"/>
  <c r="AK43" i="1"/>
  <c r="AL42" i="1"/>
  <c r="AK42" i="1"/>
  <c r="AL41" i="1"/>
  <c r="AK41" i="1"/>
  <c r="AL40" i="1"/>
  <c r="AK40" i="1"/>
  <c r="AL39" i="1"/>
  <c r="AK39" i="1"/>
  <c r="AL38" i="1"/>
  <c r="AK38" i="1"/>
  <c r="AL37" i="1"/>
  <c r="AK37" i="1"/>
  <c r="AL36" i="1"/>
  <c r="AK36" i="1"/>
  <c r="AL35" i="1"/>
  <c r="AK35" i="1"/>
  <c r="AL34" i="1"/>
  <c r="AK34" i="1"/>
  <c r="AL33" i="1"/>
  <c r="AK33" i="1"/>
  <c r="AL32" i="1"/>
  <c r="AK32" i="1"/>
  <c r="AL31" i="1"/>
  <c r="AK31" i="1"/>
  <c r="AL30" i="1"/>
  <c r="AK30" i="1"/>
  <c r="AL29" i="1"/>
  <c r="AK29" i="1"/>
  <c r="AL28" i="1"/>
  <c r="AK28" i="1"/>
  <c r="AL27" i="1"/>
  <c r="AK27" i="1"/>
  <c r="AL26" i="1"/>
  <c r="AK26" i="1"/>
  <c r="AL25" i="1"/>
  <c r="AK25" i="1"/>
  <c r="AL24" i="1"/>
  <c r="AK24" i="1"/>
  <c r="AL23" i="1"/>
  <c r="AK23" i="1"/>
  <c r="AL22" i="1"/>
  <c r="AK22" i="1"/>
  <c r="AL21" i="1"/>
  <c r="AK21" i="1"/>
  <c r="AL20" i="1"/>
  <c r="AK20" i="1"/>
  <c r="AL19" i="1"/>
  <c r="AK19" i="1"/>
  <c r="AL18" i="1"/>
  <c r="AK18" i="1"/>
  <c r="AL17" i="1"/>
  <c r="AK17" i="1"/>
  <c r="AL16" i="1"/>
  <c r="AK16" i="1"/>
  <c r="AL15" i="1"/>
  <c r="AK15" i="1"/>
  <c r="AL14" i="1"/>
  <c r="AK14" i="1"/>
  <c r="AL13" i="1"/>
  <c r="AK13" i="1"/>
  <c r="AL12" i="1"/>
  <c r="AK12" i="1"/>
  <c r="AL11" i="1"/>
  <c r="AK11" i="1"/>
  <c r="AL10" i="1"/>
  <c r="AK10" i="1"/>
  <c r="AL9" i="1"/>
  <c r="AK9" i="1"/>
  <c r="AL8" i="1"/>
  <c r="AK8" i="1"/>
  <c r="AL7" i="1"/>
  <c r="AK7" i="1"/>
  <c r="AL6" i="1"/>
  <c r="AK6" i="1"/>
  <c r="AL5" i="1"/>
  <c r="AK5" i="1"/>
  <c r="AL4" i="1"/>
  <c r="AK4" i="1"/>
  <c r="B76" i="5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AU1803" i="3"/>
  <c r="AU1802" i="3"/>
  <c r="AV1802" i="3" s="1"/>
  <c r="AU1801" i="3"/>
  <c r="AV1801" i="3" s="1"/>
  <c r="AU1800" i="3"/>
  <c r="AU1799" i="3"/>
  <c r="AU1798" i="3"/>
  <c r="AV1798" i="3" s="1"/>
  <c r="AU1797" i="3"/>
  <c r="AV1797" i="3" s="1"/>
  <c r="AU1796" i="3"/>
  <c r="AU1795" i="3"/>
  <c r="AU1794" i="3"/>
  <c r="AV1794" i="3" s="1"/>
  <c r="AU1793" i="3"/>
  <c r="AV1793" i="3" s="1"/>
  <c r="AU1792" i="3"/>
  <c r="AU1791" i="3"/>
  <c r="AV1791" i="3" s="1"/>
  <c r="AU1790" i="3"/>
  <c r="AV1790" i="3" s="1"/>
  <c r="AU1789" i="3"/>
  <c r="AV1789" i="3" s="1"/>
  <c r="AU1788" i="3"/>
  <c r="AU1787" i="3"/>
  <c r="AU1786" i="3"/>
  <c r="AU1785" i="3"/>
  <c r="AV1785" i="3" s="1"/>
  <c r="AU1784" i="3"/>
  <c r="AU1783" i="3"/>
  <c r="AU1782" i="3"/>
  <c r="AV1782" i="3" s="1"/>
  <c r="AU1781" i="3"/>
  <c r="AV1781" i="3" s="1"/>
  <c r="AU1780" i="3"/>
  <c r="AU1779" i="3"/>
  <c r="AU1778" i="3"/>
  <c r="AV1778" i="3" s="1"/>
  <c r="AU1777" i="3"/>
  <c r="AU1776" i="3"/>
  <c r="AU1775" i="3"/>
  <c r="AV1775" i="3" s="1"/>
  <c r="AU1774" i="3"/>
  <c r="AV1774" i="3" s="1"/>
  <c r="AU1773" i="3"/>
  <c r="AV1773" i="3" s="1"/>
  <c r="AU1772" i="3"/>
  <c r="AU1771" i="3"/>
  <c r="AU1770" i="3"/>
  <c r="AV1770" i="3" s="1"/>
  <c r="AU1769" i="3"/>
  <c r="AV1769" i="3" s="1"/>
  <c r="AU1768" i="3"/>
  <c r="AU1767" i="3"/>
  <c r="AU1766" i="3"/>
  <c r="AV1766" i="3" s="1"/>
  <c r="AU1765" i="3"/>
  <c r="AV1765" i="3" s="1"/>
  <c r="AU1764" i="3"/>
  <c r="AU1763" i="3"/>
  <c r="AU1762" i="3"/>
  <c r="AV1762" i="3" s="1"/>
  <c r="AU1761" i="3"/>
  <c r="AV1761" i="3" s="1"/>
  <c r="AU1760" i="3"/>
  <c r="AU1759" i="3"/>
  <c r="AV1759" i="3" s="1"/>
  <c r="AU1758" i="3"/>
  <c r="AV1758" i="3" s="1"/>
  <c r="AU1757" i="3"/>
  <c r="AV1757" i="3" s="1"/>
  <c r="AU1756" i="3"/>
  <c r="AU1755" i="3"/>
  <c r="AU1754" i="3"/>
  <c r="AV1754" i="3" s="1"/>
  <c r="AU1753" i="3"/>
  <c r="AV1753" i="3" s="1"/>
  <c r="AU1752" i="3"/>
  <c r="AU1751" i="3"/>
  <c r="AU1750" i="3"/>
  <c r="AV1750" i="3" s="1"/>
  <c r="AU1749" i="3"/>
  <c r="AV1749" i="3" s="1"/>
  <c r="AU1748" i="3"/>
  <c r="AU1747" i="3"/>
  <c r="AU1746" i="3"/>
  <c r="AV1746" i="3" s="1"/>
  <c r="AU1745" i="3"/>
  <c r="AV1745" i="3" s="1"/>
  <c r="AU1744" i="3"/>
  <c r="AU1743" i="3"/>
  <c r="AV1743" i="3" s="1"/>
  <c r="AU1742" i="3"/>
  <c r="AV1742" i="3" s="1"/>
  <c r="AU1741" i="3"/>
  <c r="AV1741" i="3" s="1"/>
  <c r="AU1740" i="3"/>
  <c r="AU1739" i="3"/>
  <c r="AU1738" i="3"/>
  <c r="AV1738" i="3" s="1"/>
  <c r="AU1737" i="3"/>
  <c r="AV1737" i="3" s="1"/>
  <c r="AU1736" i="3"/>
  <c r="AU1735" i="3"/>
  <c r="AU1734" i="3"/>
  <c r="AV1734" i="3" s="1"/>
  <c r="AU1733" i="3"/>
  <c r="AV1733" i="3" s="1"/>
  <c r="AU1732" i="3"/>
  <c r="AU1731" i="3"/>
  <c r="AU1730" i="3"/>
  <c r="AV1730" i="3" s="1"/>
  <c r="AU1729" i="3"/>
  <c r="AV1729" i="3" s="1"/>
  <c r="AU1728" i="3"/>
  <c r="AU1727" i="3"/>
  <c r="AV1727" i="3" s="1"/>
  <c r="AU1726" i="3"/>
  <c r="AV1726" i="3" s="1"/>
  <c r="AU1725" i="3"/>
  <c r="AV1725" i="3" s="1"/>
  <c r="AU1724" i="3"/>
  <c r="AU1723" i="3"/>
  <c r="AU1722" i="3"/>
  <c r="AU1721" i="3"/>
  <c r="AV1721" i="3" s="1"/>
  <c r="AU1720" i="3"/>
  <c r="AU1719" i="3"/>
  <c r="AU1718" i="3"/>
  <c r="AV1718" i="3" s="1"/>
  <c r="AU1717" i="3"/>
  <c r="AU1716" i="3"/>
  <c r="AU1715" i="3"/>
  <c r="AU1714" i="3"/>
  <c r="AV1714" i="3" s="1"/>
  <c r="AU1713" i="3"/>
  <c r="AV1713" i="3" s="1"/>
  <c r="AU1712" i="3"/>
  <c r="AU1711" i="3"/>
  <c r="AV1711" i="3" s="1"/>
  <c r="AU1710" i="3"/>
  <c r="AU1709" i="3"/>
  <c r="AU1708" i="3"/>
  <c r="AU1707" i="3"/>
  <c r="AU1706" i="3"/>
  <c r="AV1706" i="3" s="1"/>
  <c r="AU1705" i="3"/>
  <c r="AU1704" i="3"/>
  <c r="AU1703" i="3"/>
  <c r="AU1702" i="3"/>
  <c r="AU1701" i="3"/>
  <c r="AU1700" i="3"/>
  <c r="AU1699" i="3"/>
  <c r="AU1698" i="3"/>
  <c r="AU1697" i="3"/>
  <c r="AV1697" i="3" s="1"/>
  <c r="AU1696" i="3"/>
  <c r="AU1695" i="3"/>
  <c r="AV1695" i="3" s="1"/>
  <c r="AU1694" i="3"/>
  <c r="AU1693" i="3"/>
  <c r="AU1692" i="3"/>
  <c r="AU1691" i="3"/>
  <c r="AU1690" i="3"/>
  <c r="AU1689" i="3"/>
  <c r="AU1688" i="3"/>
  <c r="AU1687" i="3"/>
  <c r="AV1687" i="3" s="1"/>
  <c r="AU1686" i="3"/>
  <c r="AV1686" i="3" s="1"/>
  <c r="AU1685" i="3"/>
  <c r="AU1684" i="3"/>
  <c r="AU1683" i="3"/>
  <c r="AV1683" i="3" s="1"/>
  <c r="AU1682" i="3"/>
  <c r="AV1682" i="3" s="1"/>
  <c r="AU1681" i="3"/>
  <c r="AU1680" i="3"/>
  <c r="AU1679" i="3"/>
  <c r="AV1679" i="3" s="1"/>
  <c r="AU1678" i="3"/>
  <c r="AV1678" i="3" s="1"/>
  <c r="AU1677" i="3"/>
  <c r="AU1676" i="3"/>
  <c r="AV1676" i="3" s="1"/>
  <c r="AU1675" i="3"/>
  <c r="AV1675" i="3" s="1"/>
  <c r="AU1674" i="3"/>
  <c r="AV1674" i="3" s="1"/>
  <c r="AU1673" i="3"/>
  <c r="AU1672" i="3"/>
  <c r="AU1671" i="3"/>
  <c r="AV1671" i="3" s="1"/>
  <c r="AU1670" i="3"/>
  <c r="AV1670" i="3" s="1"/>
  <c r="AU1669" i="3"/>
  <c r="AU1668" i="3"/>
  <c r="AU1667" i="3"/>
  <c r="AV1667" i="3" s="1"/>
  <c r="AU1666" i="3"/>
  <c r="AV1666" i="3" s="1"/>
  <c r="AU1665" i="3"/>
  <c r="AU1664" i="3"/>
  <c r="AU1663" i="3"/>
  <c r="AV1663" i="3" s="1"/>
  <c r="AU1662" i="3"/>
  <c r="AV1662" i="3" s="1"/>
  <c r="AU1661" i="3"/>
  <c r="AU1660" i="3"/>
  <c r="AV1660" i="3" s="1"/>
  <c r="AU1659" i="3"/>
  <c r="AV1659" i="3" s="1"/>
  <c r="AU1658" i="3"/>
  <c r="AV1658" i="3" s="1"/>
  <c r="AU1657" i="3"/>
  <c r="AU1656" i="3"/>
  <c r="AU1655" i="3"/>
  <c r="AV1655" i="3" s="1"/>
  <c r="AU1654" i="3"/>
  <c r="AU1653" i="3"/>
  <c r="AU1652" i="3"/>
  <c r="AU1651" i="3"/>
  <c r="AV1651" i="3" s="1"/>
  <c r="AU1650" i="3"/>
  <c r="AV1650" i="3" s="1"/>
  <c r="AU1649" i="3"/>
  <c r="AU1648" i="3"/>
  <c r="AU1647" i="3"/>
  <c r="AV1647" i="3" s="1"/>
  <c r="AU1646" i="3"/>
  <c r="AV1646" i="3" s="1"/>
  <c r="AU1645" i="3"/>
  <c r="AU1644" i="3"/>
  <c r="AV1644" i="3" s="1"/>
  <c r="AU1643" i="3"/>
  <c r="AV1643" i="3" s="1"/>
  <c r="AU1642" i="3"/>
  <c r="AV1642" i="3" s="1"/>
  <c r="AU1641" i="3"/>
  <c r="AU1640" i="3"/>
  <c r="AU1639" i="3"/>
  <c r="AU1638" i="3"/>
  <c r="AV1638" i="3" s="1"/>
  <c r="AU1637" i="3"/>
  <c r="AU1636" i="3"/>
  <c r="AV1636" i="3" s="1"/>
  <c r="AU1635" i="3"/>
  <c r="AV1635" i="3" s="1"/>
  <c r="AU1634" i="3"/>
  <c r="AU1633" i="3"/>
  <c r="AU1632" i="3"/>
  <c r="AV1632" i="3" s="1"/>
  <c r="AU1631" i="3"/>
  <c r="AV1631" i="3" s="1"/>
  <c r="AU1630" i="3"/>
  <c r="AU1629" i="3"/>
  <c r="AU1628" i="3"/>
  <c r="AV1628" i="3" s="1"/>
  <c r="AU1627" i="3"/>
  <c r="AV1627" i="3" s="1"/>
  <c r="AU1626" i="3"/>
  <c r="AV1626" i="3" s="1"/>
  <c r="AU1625" i="3"/>
  <c r="AU1624" i="3"/>
  <c r="AU1623" i="3"/>
  <c r="AV1623" i="3" s="1"/>
  <c r="AU1622" i="3"/>
  <c r="AV1622" i="3" s="1"/>
  <c r="AU1621" i="3"/>
  <c r="AU1620" i="3"/>
  <c r="AU1619" i="3"/>
  <c r="AV1619" i="3" s="1"/>
  <c r="AU1618" i="3"/>
  <c r="AV1618" i="3" s="1"/>
  <c r="AU1617" i="3"/>
  <c r="AU1616" i="3"/>
  <c r="AU1615" i="3"/>
  <c r="AV1615" i="3" s="1"/>
  <c r="AU1614" i="3"/>
  <c r="AV1614" i="3" s="1"/>
  <c r="AU1613" i="3"/>
  <c r="AU1612" i="3"/>
  <c r="AV1612" i="3" s="1"/>
  <c r="AU1611" i="3"/>
  <c r="AV1611" i="3" s="1"/>
  <c r="AU1610" i="3"/>
  <c r="AV1610" i="3" s="1"/>
  <c r="AU1609" i="3"/>
  <c r="AU1608" i="3"/>
  <c r="AU1607" i="3"/>
  <c r="AV1607" i="3" s="1"/>
  <c r="AU1606" i="3"/>
  <c r="AV1606" i="3" s="1"/>
  <c r="AU1605" i="3"/>
  <c r="AU1604" i="3"/>
  <c r="AU1603" i="3"/>
  <c r="AV1603" i="3" s="1"/>
  <c r="AU1602" i="3"/>
  <c r="AV1602" i="3" s="1"/>
  <c r="AU1601" i="3"/>
  <c r="AU1600" i="3"/>
  <c r="AU1599" i="3"/>
  <c r="AU1598" i="3"/>
  <c r="AV1598" i="3" s="1"/>
  <c r="AU1597" i="3"/>
  <c r="AU1596" i="3"/>
  <c r="AV1596" i="3" s="1"/>
  <c r="AU1595" i="3"/>
  <c r="AV1595" i="3" s="1"/>
  <c r="AU1594" i="3"/>
  <c r="AV1594" i="3" s="1"/>
  <c r="AU1593" i="3"/>
  <c r="AU1592" i="3"/>
  <c r="AU1591" i="3"/>
  <c r="AV1591" i="3" s="1"/>
  <c r="AU1590" i="3"/>
  <c r="AV1590" i="3" s="1"/>
  <c r="AU1589" i="3"/>
  <c r="AU1588" i="3"/>
  <c r="AU1587" i="3"/>
  <c r="AV1587" i="3" s="1"/>
  <c r="AU1586" i="3"/>
  <c r="AV1586" i="3" s="1"/>
  <c r="AU1585" i="3"/>
  <c r="AU1584" i="3"/>
  <c r="AU1583" i="3"/>
  <c r="AV1583" i="3" s="1"/>
  <c r="AU1582" i="3"/>
  <c r="AV1582" i="3" s="1"/>
  <c r="AU1581" i="3"/>
  <c r="AU1580" i="3"/>
  <c r="AV1580" i="3" s="1"/>
  <c r="AU1579" i="3"/>
  <c r="AU1578" i="3"/>
  <c r="AV1578" i="3" s="1"/>
  <c r="AU1577" i="3"/>
  <c r="AU1576" i="3"/>
  <c r="AU1575" i="3"/>
  <c r="AV1575" i="3" s="1"/>
  <c r="AU1574" i="3"/>
  <c r="AV1574" i="3" s="1"/>
  <c r="AU1573" i="3"/>
  <c r="AU1572" i="3"/>
  <c r="AV1572" i="3" s="1"/>
  <c r="AU1571" i="3"/>
  <c r="AV1571" i="3" s="1"/>
  <c r="AU1570" i="3"/>
  <c r="AU1569" i="3"/>
  <c r="AU1568" i="3"/>
  <c r="AV1568" i="3" s="1"/>
  <c r="AU1567" i="3"/>
  <c r="AV1567" i="3" s="1"/>
  <c r="AU1566" i="3"/>
  <c r="AV1566" i="3" s="1"/>
  <c r="AU1565" i="3"/>
  <c r="AU1564" i="3"/>
  <c r="AV1564" i="3" s="1"/>
  <c r="AU1563" i="3"/>
  <c r="AV1563" i="3" s="1"/>
  <c r="AU1562" i="3"/>
  <c r="AV1562" i="3" s="1"/>
  <c r="AU1561" i="3"/>
  <c r="AU1560" i="3"/>
  <c r="AU1559" i="3"/>
  <c r="AV1559" i="3" s="1"/>
  <c r="AU1558" i="3"/>
  <c r="AV1558" i="3" s="1"/>
  <c r="AU1557" i="3"/>
  <c r="AU1556" i="3"/>
  <c r="AU1555" i="3"/>
  <c r="AV1555" i="3" s="1"/>
  <c r="AU1554" i="3"/>
  <c r="AV1554" i="3" s="1"/>
  <c r="AU1553" i="3"/>
  <c r="AU1552" i="3"/>
  <c r="AU1551" i="3"/>
  <c r="AV1551" i="3" s="1"/>
  <c r="AU1550" i="3"/>
  <c r="AV1550" i="3" s="1"/>
  <c r="AU1549" i="3"/>
  <c r="AU1548" i="3"/>
  <c r="AV1548" i="3" s="1"/>
  <c r="AU1547" i="3"/>
  <c r="AV1547" i="3" s="1"/>
  <c r="AU1546" i="3"/>
  <c r="AV1546" i="3" s="1"/>
  <c r="AU1545" i="3"/>
  <c r="AU1544" i="3"/>
  <c r="AU1543" i="3"/>
  <c r="AV1543" i="3" s="1"/>
  <c r="AU1542" i="3"/>
  <c r="AV1542" i="3" s="1"/>
  <c r="AU1541" i="3"/>
  <c r="AV1541" i="3" s="1"/>
  <c r="AU1540" i="3"/>
  <c r="AV1540" i="3" s="1"/>
  <c r="AU1539" i="3"/>
  <c r="AV1539" i="3" s="1"/>
  <c r="AU1538" i="3"/>
  <c r="AU1537" i="3"/>
  <c r="AV1537" i="3" s="1"/>
  <c r="AU1536" i="3"/>
  <c r="AV1536" i="3" s="1"/>
  <c r="AU1535" i="3"/>
  <c r="AV1535" i="3" s="1"/>
  <c r="AU1534" i="3"/>
  <c r="AV1534" i="3" s="1"/>
  <c r="AU1533" i="3"/>
  <c r="AV1533" i="3" s="1"/>
  <c r="AU1532" i="3"/>
  <c r="AV1532" i="3" s="1"/>
  <c r="AU1531" i="3"/>
  <c r="AV1531" i="3" s="1"/>
  <c r="AU1530" i="3"/>
  <c r="AV1530" i="3" s="1"/>
  <c r="AU1529" i="3"/>
  <c r="AU1528" i="3"/>
  <c r="AV1528" i="3" s="1"/>
  <c r="AU1527" i="3"/>
  <c r="AV1527" i="3" s="1"/>
  <c r="AU1526" i="3"/>
  <c r="AV1526" i="3" s="1"/>
  <c r="AU1525" i="3"/>
  <c r="AV1525" i="3" s="1"/>
  <c r="AU1524" i="3"/>
  <c r="AV1524" i="3" s="1"/>
  <c r="AU1523" i="3"/>
  <c r="AV1523" i="3" s="1"/>
  <c r="AU1522" i="3"/>
  <c r="AV1522" i="3" s="1"/>
  <c r="AU1521" i="3"/>
  <c r="AV1521" i="3" s="1"/>
  <c r="AU1520" i="3"/>
  <c r="AV1520" i="3" s="1"/>
  <c r="AU1519" i="3"/>
  <c r="AV1519" i="3" s="1"/>
  <c r="AU1518" i="3"/>
  <c r="AU1517" i="3"/>
  <c r="AV1517" i="3" s="1"/>
  <c r="AU1516" i="3"/>
  <c r="AV1516" i="3" s="1"/>
  <c r="AU1515" i="3"/>
  <c r="AV1515" i="3" s="1"/>
  <c r="AU1514" i="3"/>
  <c r="AV1514" i="3" s="1"/>
  <c r="AU1513" i="3"/>
  <c r="AU1512" i="3"/>
  <c r="AU1511" i="3"/>
  <c r="AV1511" i="3" s="1"/>
  <c r="AU1510" i="3"/>
  <c r="AV1510" i="3" s="1"/>
  <c r="AU1509" i="3"/>
  <c r="AV1509" i="3" s="1"/>
  <c r="AU1508" i="3"/>
  <c r="AV1508" i="3" s="1"/>
  <c r="AU1507" i="3"/>
  <c r="AV1507" i="3" s="1"/>
  <c r="AU1506" i="3"/>
  <c r="AV1506" i="3" s="1"/>
  <c r="AU1505" i="3"/>
  <c r="AU1504" i="3"/>
  <c r="AV1504" i="3" s="1"/>
  <c r="AU1503" i="3"/>
  <c r="AV1503" i="3" s="1"/>
  <c r="AU1502" i="3"/>
  <c r="AV1502" i="3" s="1"/>
  <c r="AU1501" i="3"/>
  <c r="AV1501" i="3" s="1"/>
  <c r="AU1500" i="3"/>
  <c r="AV1500" i="3" s="1"/>
  <c r="AU1499" i="3"/>
  <c r="AV1499" i="3" s="1"/>
  <c r="AU1498" i="3"/>
  <c r="AV1498" i="3" s="1"/>
  <c r="AU1497" i="3"/>
  <c r="AU1496" i="3"/>
  <c r="AV1496" i="3" s="1"/>
  <c r="AU1495" i="3"/>
  <c r="AV1495" i="3" s="1"/>
  <c r="AU1494" i="3"/>
  <c r="AV1494" i="3" s="1"/>
  <c r="AU1493" i="3"/>
  <c r="AV1493" i="3" s="1"/>
  <c r="AU1492" i="3"/>
  <c r="AV1492" i="3" s="1"/>
  <c r="AU1491" i="3"/>
  <c r="AV1491" i="3" s="1"/>
  <c r="AU1490" i="3"/>
  <c r="AV1490" i="3" s="1"/>
  <c r="AU1489" i="3"/>
  <c r="AV1489" i="3" s="1"/>
  <c r="AU1488" i="3"/>
  <c r="AV1488" i="3" s="1"/>
  <c r="AU1487" i="3"/>
  <c r="AV1487" i="3" s="1"/>
  <c r="AU1486" i="3"/>
  <c r="AV1486" i="3" s="1"/>
  <c r="AU1485" i="3"/>
  <c r="AV1485" i="3" s="1"/>
  <c r="AU1484" i="3"/>
  <c r="AV1484" i="3" s="1"/>
  <c r="AU1483" i="3"/>
  <c r="AV1483" i="3" s="1"/>
  <c r="AU1482" i="3"/>
  <c r="AV1482" i="3" s="1"/>
  <c r="AU1481" i="3"/>
  <c r="AV1481" i="3" s="1"/>
  <c r="AU1480" i="3"/>
  <c r="AV1480" i="3" s="1"/>
  <c r="AU1479" i="3"/>
  <c r="AV1479" i="3" s="1"/>
  <c r="AU1478" i="3"/>
  <c r="AV1478" i="3" s="1"/>
  <c r="AU1477" i="3"/>
  <c r="AV1477" i="3" s="1"/>
  <c r="AU1476" i="3"/>
  <c r="AV1476" i="3" s="1"/>
  <c r="AU1475" i="3"/>
  <c r="AV1475" i="3" s="1"/>
  <c r="AU1474" i="3"/>
  <c r="AV1474" i="3" s="1"/>
  <c r="AU1473" i="3"/>
  <c r="AV1473" i="3" s="1"/>
  <c r="AU1472" i="3"/>
  <c r="AV1472" i="3" s="1"/>
  <c r="AU1471" i="3"/>
  <c r="AV1471" i="3" s="1"/>
  <c r="AU1470" i="3"/>
  <c r="AV1470" i="3" s="1"/>
  <c r="AU1469" i="3"/>
  <c r="AV1469" i="3" s="1"/>
  <c r="AU1468" i="3"/>
  <c r="AV1468" i="3" s="1"/>
  <c r="AU1467" i="3"/>
  <c r="AV1467" i="3" s="1"/>
  <c r="AU1466" i="3"/>
  <c r="AV1466" i="3" s="1"/>
  <c r="AU1465" i="3"/>
  <c r="AV1465" i="3" s="1"/>
  <c r="AU1464" i="3"/>
  <c r="AV1464" i="3" s="1"/>
  <c r="AU1463" i="3"/>
  <c r="AV1463" i="3" s="1"/>
  <c r="AU1462" i="3"/>
  <c r="AV1462" i="3" s="1"/>
  <c r="AU1461" i="3"/>
  <c r="AV1461" i="3" s="1"/>
  <c r="AU1460" i="3"/>
  <c r="AV1460" i="3" s="1"/>
  <c r="AU1459" i="3"/>
  <c r="AV1459" i="3" s="1"/>
  <c r="AU1458" i="3"/>
  <c r="AV1458" i="3" s="1"/>
  <c r="AU1457" i="3"/>
  <c r="AV1457" i="3" s="1"/>
  <c r="AU1456" i="3"/>
  <c r="AV1456" i="3" s="1"/>
  <c r="AU1455" i="3"/>
  <c r="AV1455" i="3" s="1"/>
  <c r="AU1454" i="3"/>
  <c r="AV1454" i="3" s="1"/>
  <c r="AU1453" i="3"/>
  <c r="AV1453" i="3" s="1"/>
  <c r="AU1452" i="3"/>
  <c r="AV1452" i="3" s="1"/>
  <c r="AU1451" i="3"/>
  <c r="AV1451" i="3" s="1"/>
  <c r="AU1450" i="3"/>
  <c r="AV1450" i="3" s="1"/>
  <c r="AU1449" i="3"/>
  <c r="AV1449" i="3" s="1"/>
  <c r="AU1448" i="3"/>
  <c r="AV1448" i="3" s="1"/>
  <c r="AU1447" i="3"/>
  <c r="AV1447" i="3" s="1"/>
  <c r="AU1446" i="3"/>
  <c r="AV1446" i="3" s="1"/>
  <c r="AU1445" i="3"/>
  <c r="AV1445" i="3" s="1"/>
  <c r="AU1444" i="3"/>
  <c r="AV1444" i="3" s="1"/>
  <c r="AU1443" i="3"/>
  <c r="AV1443" i="3" s="1"/>
  <c r="AU1442" i="3"/>
  <c r="AV1442" i="3" s="1"/>
  <c r="AU1441" i="3"/>
  <c r="AV1441" i="3" s="1"/>
  <c r="AU1440" i="3"/>
  <c r="AV1440" i="3" s="1"/>
  <c r="AU1439" i="3"/>
  <c r="AV1439" i="3" s="1"/>
  <c r="AU1438" i="3"/>
  <c r="AV1438" i="3" s="1"/>
  <c r="AU1437" i="3"/>
  <c r="AV1437" i="3" s="1"/>
  <c r="AU1436" i="3"/>
  <c r="AV1436" i="3" s="1"/>
  <c r="AU1435" i="3"/>
  <c r="AV1435" i="3" s="1"/>
  <c r="AU1434" i="3"/>
  <c r="AV1434" i="3" s="1"/>
  <c r="AU1433" i="3"/>
  <c r="AV1433" i="3" s="1"/>
  <c r="AU1432" i="3"/>
  <c r="AV1432" i="3" s="1"/>
  <c r="AU1431" i="3"/>
  <c r="AV1431" i="3" s="1"/>
  <c r="AU1430" i="3"/>
  <c r="AV1430" i="3" s="1"/>
  <c r="AU1429" i="3"/>
  <c r="AV1429" i="3" s="1"/>
  <c r="AU1428" i="3"/>
  <c r="AV1428" i="3" s="1"/>
  <c r="AU1427" i="3"/>
  <c r="AV1427" i="3" s="1"/>
  <c r="AU1426" i="3"/>
  <c r="AV1426" i="3" s="1"/>
  <c r="AU1425" i="3"/>
  <c r="AV1425" i="3" s="1"/>
  <c r="AU1424" i="3"/>
  <c r="AV1424" i="3" s="1"/>
  <c r="AU1423" i="3"/>
  <c r="AV1423" i="3" s="1"/>
  <c r="AU1422" i="3"/>
  <c r="AV1422" i="3" s="1"/>
  <c r="AU1421" i="3"/>
  <c r="AV1421" i="3" s="1"/>
  <c r="AU1420" i="3"/>
  <c r="AV1420" i="3" s="1"/>
  <c r="AU1419" i="3"/>
  <c r="AV1419" i="3" s="1"/>
  <c r="AU1418" i="3"/>
  <c r="AV1418" i="3" s="1"/>
  <c r="AU1417" i="3"/>
  <c r="AV1417" i="3" s="1"/>
  <c r="AU1416" i="3"/>
  <c r="AV1416" i="3" s="1"/>
  <c r="AU1415" i="3"/>
  <c r="AV1415" i="3" s="1"/>
  <c r="AU1414" i="3"/>
  <c r="AV1414" i="3" s="1"/>
  <c r="AU1413" i="3"/>
  <c r="AV1413" i="3" s="1"/>
  <c r="AU1412" i="3"/>
  <c r="AV1412" i="3" s="1"/>
  <c r="AU1411" i="3"/>
  <c r="AV1411" i="3" s="1"/>
  <c r="AU1410" i="3"/>
  <c r="AV1410" i="3" s="1"/>
  <c r="AU1409" i="3"/>
  <c r="AV1409" i="3" s="1"/>
  <c r="AU1408" i="3"/>
  <c r="AV1408" i="3" s="1"/>
  <c r="AU1407" i="3"/>
  <c r="AV1407" i="3" s="1"/>
  <c r="AU1406" i="3"/>
  <c r="AV1406" i="3" s="1"/>
  <c r="AU1405" i="3"/>
  <c r="AV1405" i="3" s="1"/>
  <c r="AU1404" i="3"/>
  <c r="AV1404" i="3" s="1"/>
  <c r="AU1403" i="3"/>
  <c r="AV1403" i="3" s="1"/>
  <c r="AU1402" i="3"/>
  <c r="AV1402" i="3" s="1"/>
  <c r="AU1401" i="3"/>
  <c r="AV1401" i="3" s="1"/>
  <c r="AU1400" i="3"/>
  <c r="AV1400" i="3" s="1"/>
  <c r="AU1399" i="3"/>
  <c r="AV1399" i="3" s="1"/>
  <c r="AU1398" i="3"/>
  <c r="AV1398" i="3" s="1"/>
  <c r="AU1397" i="3"/>
  <c r="AV1397" i="3" s="1"/>
  <c r="AU1396" i="3"/>
  <c r="AV1396" i="3" s="1"/>
  <c r="AU1395" i="3"/>
  <c r="AU1394" i="3"/>
  <c r="AV1394" i="3" s="1"/>
  <c r="AU1393" i="3"/>
  <c r="AV1393" i="3" s="1"/>
  <c r="AU1392" i="3"/>
  <c r="AV1392" i="3" s="1"/>
  <c r="AU1391" i="3"/>
  <c r="AV1391" i="3" s="1"/>
  <c r="AU1390" i="3"/>
  <c r="AV1390" i="3" s="1"/>
  <c r="AU1389" i="3"/>
  <c r="AV1389" i="3" s="1"/>
  <c r="AU1388" i="3"/>
  <c r="AV1388" i="3" s="1"/>
  <c r="AU1387" i="3"/>
  <c r="AU1386" i="3"/>
  <c r="AV1386" i="3" s="1"/>
  <c r="AU1385" i="3"/>
  <c r="AV1385" i="3" s="1"/>
  <c r="AU1384" i="3"/>
  <c r="AV1384" i="3" s="1"/>
  <c r="AU1383" i="3"/>
  <c r="AV1383" i="3" s="1"/>
  <c r="AU1382" i="3"/>
  <c r="AV1382" i="3" s="1"/>
  <c r="AU1381" i="3"/>
  <c r="AV1381" i="3" s="1"/>
  <c r="AU1380" i="3"/>
  <c r="AV1380" i="3" s="1"/>
  <c r="AU1379" i="3"/>
  <c r="AU1378" i="3"/>
  <c r="AV1378" i="3" s="1"/>
  <c r="AU1377" i="3"/>
  <c r="AV1377" i="3" s="1"/>
  <c r="AU1376" i="3"/>
  <c r="AV1376" i="3" s="1"/>
  <c r="AU1375" i="3"/>
  <c r="AV1375" i="3" s="1"/>
  <c r="AU1374" i="3"/>
  <c r="AV1374" i="3" s="1"/>
  <c r="AU1373" i="3"/>
  <c r="AV1373" i="3" s="1"/>
  <c r="AU1372" i="3"/>
  <c r="AV1372" i="3" s="1"/>
  <c r="AU1371" i="3"/>
  <c r="AU1370" i="3"/>
  <c r="AV1370" i="3" s="1"/>
  <c r="AU1369" i="3"/>
  <c r="AV1369" i="3" s="1"/>
  <c r="AU1368" i="3"/>
  <c r="AV1368" i="3" s="1"/>
  <c r="AU1367" i="3"/>
  <c r="AV1367" i="3" s="1"/>
  <c r="AU1366" i="3"/>
  <c r="AV1366" i="3" s="1"/>
  <c r="AU1365" i="3"/>
  <c r="AV1365" i="3" s="1"/>
  <c r="AU1364" i="3"/>
  <c r="AV1364" i="3" s="1"/>
  <c r="AU1363" i="3"/>
  <c r="AU1362" i="3"/>
  <c r="AV1362" i="3" s="1"/>
  <c r="AU1361" i="3"/>
  <c r="AV1361" i="3" s="1"/>
  <c r="AU1360" i="3"/>
  <c r="AV1360" i="3" s="1"/>
  <c r="AU1359" i="3"/>
  <c r="AV1359" i="3" s="1"/>
  <c r="AU1358" i="3"/>
  <c r="AV1358" i="3" s="1"/>
  <c r="AU1357" i="3"/>
  <c r="AV1357" i="3" s="1"/>
  <c r="AU1356" i="3"/>
  <c r="AV1356" i="3" s="1"/>
  <c r="AU1355" i="3"/>
  <c r="AV1355" i="3" s="1"/>
  <c r="AU1354" i="3"/>
  <c r="AV1354" i="3" s="1"/>
  <c r="AU1353" i="3"/>
  <c r="AV1353" i="3" s="1"/>
  <c r="AU1352" i="3"/>
  <c r="AV1352" i="3" s="1"/>
  <c r="AU1351" i="3"/>
  <c r="AV1351" i="3" s="1"/>
  <c r="AU1350" i="3"/>
  <c r="AV1350" i="3" s="1"/>
  <c r="AU1349" i="3"/>
  <c r="AV1349" i="3" s="1"/>
  <c r="AU1348" i="3"/>
  <c r="AV1348" i="3" s="1"/>
  <c r="AU1347" i="3"/>
  <c r="AU1346" i="3"/>
  <c r="AV1346" i="3" s="1"/>
  <c r="AU1345" i="3"/>
  <c r="AV1345" i="3" s="1"/>
  <c r="AU1344" i="3"/>
  <c r="AV1344" i="3" s="1"/>
  <c r="AU1343" i="3"/>
  <c r="AV1343" i="3" s="1"/>
  <c r="AU1342" i="3"/>
  <c r="AV1342" i="3" s="1"/>
  <c r="AU1341" i="3"/>
  <c r="AV1341" i="3" s="1"/>
  <c r="AU1340" i="3"/>
  <c r="AV1340" i="3" s="1"/>
  <c r="AU1339" i="3"/>
  <c r="AV1339" i="3" s="1"/>
  <c r="AU1338" i="3"/>
  <c r="AV1338" i="3" s="1"/>
  <c r="AU1337" i="3"/>
  <c r="AV1337" i="3" s="1"/>
  <c r="AU1336" i="3"/>
  <c r="AV1336" i="3" s="1"/>
  <c r="AU1335" i="3"/>
  <c r="AV1335" i="3" s="1"/>
  <c r="AU1334" i="3"/>
  <c r="AV1334" i="3" s="1"/>
  <c r="AU1333" i="3"/>
  <c r="AV1333" i="3" s="1"/>
  <c r="AU1332" i="3"/>
  <c r="AV1332" i="3" s="1"/>
  <c r="AU1331" i="3"/>
  <c r="AV1331" i="3" s="1"/>
  <c r="AU1330" i="3"/>
  <c r="AV1330" i="3" s="1"/>
  <c r="AU1329" i="3"/>
  <c r="AV1329" i="3" s="1"/>
  <c r="AU1328" i="3"/>
  <c r="AV1328" i="3" s="1"/>
  <c r="AU1327" i="3"/>
  <c r="AV1327" i="3" s="1"/>
  <c r="AU1326" i="3"/>
  <c r="AV1326" i="3" s="1"/>
  <c r="AU1325" i="3"/>
  <c r="AV1325" i="3" s="1"/>
  <c r="AU1324" i="3"/>
  <c r="AV1324" i="3" s="1"/>
  <c r="AU1323" i="3"/>
  <c r="AV1323" i="3" s="1"/>
  <c r="AU1322" i="3"/>
  <c r="AV1322" i="3" s="1"/>
  <c r="AU1321" i="3"/>
  <c r="AV1321" i="3" s="1"/>
  <c r="AU1320" i="3"/>
  <c r="AV1320" i="3" s="1"/>
  <c r="AU1319" i="3"/>
  <c r="AV1319" i="3" s="1"/>
  <c r="AU1318" i="3"/>
  <c r="AV1318" i="3" s="1"/>
  <c r="AU1317" i="3"/>
  <c r="AV1317" i="3" s="1"/>
  <c r="AU1316" i="3"/>
  <c r="AV1316" i="3" s="1"/>
  <c r="AU1315" i="3"/>
  <c r="AV1315" i="3" s="1"/>
  <c r="AU1314" i="3"/>
  <c r="AV1314" i="3" s="1"/>
  <c r="AU1313" i="3"/>
  <c r="AV1313" i="3" s="1"/>
  <c r="AU1312" i="3"/>
  <c r="AV1312" i="3" s="1"/>
  <c r="AU1311" i="3"/>
  <c r="AV1311" i="3" s="1"/>
  <c r="AU1310" i="3"/>
  <c r="AV1310" i="3" s="1"/>
  <c r="AU1309" i="3"/>
  <c r="AV1309" i="3" s="1"/>
  <c r="AU1308" i="3"/>
  <c r="AV1308" i="3" s="1"/>
  <c r="AU1307" i="3"/>
  <c r="AV1307" i="3" s="1"/>
  <c r="AU1306" i="3"/>
  <c r="AV1306" i="3" s="1"/>
  <c r="AU1305" i="3"/>
  <c r="AV1305" i="3" s="1"/>
  <c r="AU1304" i="3"/>
  <c r="AV1304" i="3" s="1"/>
  <c r="AU1303" i="3"/>
  <c r="AV1303" i="3" s="1"/>
  <c r="AU1302" i="3"/>
  <c r="AV1302" i="3" s="1"/>
  <c r="AU1301" i="3"/>
  <c r="AV1301" i="3" s="1"/>
  <c r="AU1300" i="3"/>
  <c r="AV1300" i="3" s="1"/>
  <c r="AU1299" i="3"/>
  <c r="AV1299" i="3" s="1"/>
  <c r="AU1298" i="3"/>
  <c r="AV1298" i="3" s="1"/>
  <c r="AU1297" i="3"/>
  <c r="AV1297" i="3" s="1"/>
  <c r="AU1296" i="3"/>
  <c r="AV1296" i="3" s="1"/>
  <c r="AU1295" i="3"/>
  <c r="AV1295" i="3" s="1"/>
  <c r="AU1294" i="3"/>
  <c r="AV1294" i="3" s="1"/>
  <c r="AU1293" i="3"/>
  <c r="AV1293" i="3" s="1"/>
  <c r="AU1292" i="3"/>
  <c r="AV1292" i="3" s="1"/>
  <c r="AU1291" i="3"/>
  <c r="AV1291" i="3" s="1"/>
  <c r="AU1290" i="3"/>
  <c r="AV1290" i="3" s="1"/>
  <c r="AU1289" i="3"/>
  <c r="AV1289" i="3" s="1"/>
  <c r="AU1288" i="3"/>
  <c r="AV1288" i="3" s="1"/>
  <c r="AU1287" i="3"/>
  <c r="AV1287" i="3" s="1"/>
  <c r="AU1286" i="3"/>
  <c r="AU1285" i="3"/>
  <c r="AV1285" i="3" s="1"/>
  <c r="AU1284" i="3"/>
  <c r="AV1284" i="3" s="1"/>
  <c r="AU1283" i="3"/>
  <c r="AV1283" i="3" s="1"/>
  <c r="AU1282" i="3"/>
  <c r="AV1282" i="3" s="1"/>
  <c r="AU1281" i="3"/>
  <c r="AV1281" i="3" s="1"/>
  <c r="AU1280" i="3"/>
  <c r="AV1280" i="3" s="1"/>
  <c r="AU1279" i="3"/>
  <c r="AV1279" i="3" s="1"/>
  <c r="AU1278" i="3"/>
  <c r="AU1277" i="3"/>
  <c r="AV1277" i="3" s="1"/>
  <c r="AU1276" i="3"/>
  <c r="AV1276" i="3" s="1"/>
  <c r="AU1275" i="3"/>
  <c r="AV1275" i="3" s="1"/>
  <c r="AU1274" i="3"/>
  <c r="AV1274" i="3" s="1"/>
  <c r="AU1273" i="3"/>
  <c r="AV1273" i="3" s="1"/>
  <c r="AU1272" i="3"/>
  <c r="AV1272" i="3" s="1"/>
  <c r="AU1271" i="3"/>
  <c r="AV1271" i="3" s="1"/>
  <c r="AU1270" i="3"/>
  <c r="AU1269" i="3"/>
  <c r="AV1269" i="3" s="1"/>
  <c r="AU1268" i="3"/>
  <c r="AV1268" i="3" s="1"/>
  <c r="AU1267" i="3"/>
  <c r="AV1267" i="3" s="1"/>
  <c r="AU1266" i="3"/>
  <c r="AV1266" i="3" s="1"/>
  <c r="AU1265" i="3"/>
  <c r="AV1265" i="3" s="1"/>
  <c r="AU1264" i="3"/>
  <c r="AV1264" i="3" s="1"/>
  <c r="AU1263" i="3"/>
  <c r="AV1263" i="3" s="1"/>
  <c r="AU1262" i="3"/>
  <c r="AU1261" i="3"/>
  <c r="AV1261" i="3" s="1"/>
  <c r="AU1260" i="3"/>
  <c r="AV1260" i="3" s="1"/>
  <c r="AU1259" i="3"/>
  <c r="AV1259" i="3" s="1"/>
  <c r="AU1258" i="3"/>
  <c r="AV1258" i="3" s="1"/>
  <c r="AU1257" i="3"/>
  <c r="AV1257" i="3" s="1"/>
  <c r="AU1256" i="3"/>
  <c r="AV1256" i="3" s="1"/>
  <c r="AU1255" i="3"/>
  <c r="AV1255" i="3" s="1"/>
  <c r="AU1254" i="3"/>
  <c r="AU1253" i="3"/>
  <c r="AV1253" i="3" s="1"/>
  <c r="AU1252" i="3"/>
  <c r="AV1252" i="3" s="1"/>
  <c r="AU1251" i="3"/>
  <c r="AV1251" i="3" s="1"/>
  <c r="AU1250" i="3"/>
  <c r="AV1250" i="3" s="1"/>
  <c r="AU1249" i="3"/>
  <c r="AV1249" i="3" s="1"/>
  <c r="AU1248" i="3"/>
  <c r="AV1248" i="3" s="1"/>
  <c r="AU1247" i="3"/>
  <c r="AV1247" i="3" s="1"/>
  <c r="AU1246" i="3"/>
  <c r="AU1245" i="3"/>
  <c r="AV1245" i="3" s="1"/>
  <c r="AU1244" i="3"/>
  <c r="AV1244" i="3" s="1"/>
  <c r="AU1243" i="3"/>
  <c r="AV1243" i="3" s="1"/>
  <c r="AU1242" i="3"/>
  <c r="AV1242" i="3" s="1"/>
  <c r="AU1241" i="3"/>
  <c r="AV1241" i="3" s="1"/>
  <c r="AU1240" i="3"/>
  <c r="AV1240" i="3" s="1"/>
  <c r="AU1239" i="3"/>
  <c r="AV1239" i="3" s="1"/>
  <c r="AU1238" i="3"/>
  <c r="AU1237" i="3"/>
  <c r="AV1237" i="3" s="1"/>
  <c r="AU1236" i="3"/>
  <c r="AV1236" i="3" s="1"/>
  <c r="AU1235" i="3"/>
  <c r="AV1235" i="3" s="1"/>
  <c r="AU1234" i="3"/>
  <c r="AV1234" i="3" s="1"/>
  <c r="AU1233" i="3"/>
  <c r="AV1233" i="3" s="1"/>
  <c r="AU1232" i="3"/>
  <c r="AV1232" i="3" s="1"/>
  <c r="AU1231" i="3"/>
  <c r="AV1231" i="3" s="1"/>
  <c r="AU1230" i="3"/>
  <c r="AV1230" i="3" s="1"/>
  <c r="AU1229" i="3"/>
  <c r="AV1229" i="3" s="1"/>
  <c r="AU1228" i="3"/>
  <c r="AV1228" i="3" s="1"/>
  <c r="AU1227" i="3"/>
  <c r="AV1227" i="3" s="1"/>
  <c r="AU1226" i="3"/>
  <c r="AU1225" i="3"/>
  <c r="AV1225" i="3" s="1"/>
  <c r="AU1224" i="3"/>
  <c r="AV1224" i="3" s="1"/>
  <c r="AU1223" i="3"/>
  <c r="AV1223" i="3" s="1"/>
  <c r="AU1222" i="3"/>
  <c r="AV1222" i="3" s="1"/>
  <c r="AU1221" i="3"/>
  <c r="AV1221" i="3" s="1"/>
  <c r="AU1220" i="3"/>
  <c r="AV1220" i="3" s="1"/>
  <c r="AU1219" i="3"/>
  <c r="AV1219" i="3" s="1"/>
  <c r="AU1218" i="3"/>
  <c r="AU1217" i="3"/>
  <c r="AV1217" i="3" s="1"/>
  <c r="AU1216" i="3"/>
  <c r="AV1216" i="3" s="1"/>
  <c r="AU1215" i="3"/>
  <c r="AV1215" i="3" s="1"/>
  <c r="AU1214" i="3"/>
  <c r="AU1213" i="3"/>
  <c r="AV1213" i="3" s="1"/>
  <c r="AU1212" i="3"/>
  <c r="AV1212" i="3" s="1"/>
  <c r="AU1211" i="3"/>
  <c r="AV1211" i="3" s="1"/>
  <c r="AU1210" i="3"/>
  <c r="AV1210" i="3" s="1"/>
  <c r="AU1209" i="3"/>
  <c r="AV1209" i="3" s="1"/>
  <c r="AU1208" i="3"/>
  <c r="AV1208" i="3" s="1"/>
  <c r="AU1207" i="3"/>
  <c r="AV1207" i="3" s="1"/>
  <c r="AU1206" i="3"/>
  <c r="AV1206" i="3" s="1"/>
  <c r="AU1205" i="3"/>
  <c r="AV1205" i="3" s="1"/>
  <c r="AU1204" i="3"/>
  <c r="AV1204" i="3" s="1"/>
  <c r="AU1203" i="3"/>
  <c r="AV1203" i="3" s="1"/>
  <c r="AU1202" i="3"/>
  <c r="AV1202" i="3" s="1"/>
  <c r="AU1201" i="3"/>
  <c r="AV1201" i="3" s="1"/>
  <c r="AU1200" i="3"/>
  <c r="AV1200" i="3" s="1"/>
  <c r="AU1199" i="3"/>
  <c r="AV1199" i="3" s="1"/>
  <c r="AU1198" i="3"/>
  <c r="AV1198" i="3" s="1"/>
  <c r="AU1197" i="3"/>
  <c r="AV1197" i="3" s="1"/>
  <c r="AU1196" i="3"/>
  <c r="AV1196" i="3" s="1"/>
  <c r="AU1195" i="3"/>
  <c r="AV1195" i="3" s="1"/>
  <c r="AU1194" i="3"/>
  <c r="AU1193" i="3"/>
  <c r="AV1193" i="3" s="1"/>
  <c r="AU1192" i="3"/>
  <c r="AV1192" i="3" s="1"/>
  <c r="AU1191" i="3"/>
  <c r="AV1191" i="3" s="1"/>
  <c r="AU1190" i="3"/>
  <c r="AV1190" i="3" s="1"/>
  <c r="AU1189" i="3"/>
  <c r="AV1189" i="3" s="1"/>
  <c r="AU1188" i="3"/>
  <c r="AV1188" i="3" s="1"/>
  <c r="AU1187" i="3"/>
  <c r="AV1187" i="3" s="1"/>
  <c r="AU1186" i="3"/>
  <c r="AU1185" i="3"/>
  <c r="AU1184" i="3"/>
  <c r="AU1183" i="3"/>
  <c r="AV1183" i="3" s="1"/>
  <c r="AU1182" i="3"/>
  <c r="AU1181" i="3"/>
  <c r="AV1181" i="3" s="1"/>
  <c r="AU1180" i="3"/>
  <c r="AV1180" i="3" s="1"/>
  <c r="AU1179" i="3"/>
  <c r="AV1179" i="3" s="1"/>
  <c r="AU1178" i="3"/>
  <c r="AU1177" i="3"/>
  <c r="AV1177" i="3" s="1"/>
  <c r="AU1176" i="3"/>
  <c r="AV1176" i="3" s="1"/>
  <c r="AU1175" i="3"/>
  <c r="AV1175" i="3" s="1"/>
  <c r="AU1174" i="3"/>
  <c r="AV1174" i="3" s="1"/>
  <c r="AU1173" i="3"/>
  <c r="AV1173" i="3" s="1"/>
  <c r="AU1172" i="3"/>
  <c r="AV1172" i="3" s="1"/>
  <c r="AU1171" i="3"/>
  <c r="AV1171" i="3" s="1"/>
  <c r="AU1170" i="3"/>
  <c r="AV1170" i="3" s="1"/>
  <c r="AU1169" i="3"/>
  <c r="AU1168" i="3"/>
  <c r="AU1167" i="3"/>
  <c r="AV1167" i="3" s="1"/>
  <c r="AU1166" i="3"/>
  <c r="AV1166" i="3" s="1"/>
  <c r="AU1165" i="3"/>
  <c r="AV1165" i="3" s="1"/>
  <c r="AU1164" i="3"/>
  <c r="AV1164" i="3" s="1"/>
  <c r="AU1163" i="3"/>
  <c r="AV1163" i="3" s="1"/>
  <c r="AU1162" i="3"/>
  <c r="AU1161" i="3"/>
  <c r="AV1161" i="3" s="1"/>
  <c r="AU1160" i="3"/>
  <c r="AV1160" i="3" s="1"/>
  <c r="AU1159" i="3"/>
  <c r="AV1159" i="3" s="1"/>
  <c r="AU1158" i="3"/>
  <c r="AV1158" i="3" s="1"/>
  <c r="AU1157" i="3"/>
  <c r="AV1157" i="3" s="1"/>
  <c r="AV1156" i="3"/>
  <c r="AU1156" i="3"/>
  <c r="AU1155" i="3"/>
  <c r="AV1155" i="3" s="1"/>
  <c r="AU1154" i="3"/>
  <c r="AU1153" i="3"/>
  <c r="AV1153" i="3" s="1"/>
  <c r="AU1152" i="3"/>
  <c r="AU1151" i="3"/>
  <c r="AV1151" i="3" s="1"/>
  <c r="AU1150" i="3"/>
  <c r="AU1149" i="3"/>
  <c r="AV1149" i="3" s="1"/>
  <c r="AU1148" i="3"/>
  <c r="AV1148" i="3" s="1"/>
  <c r="AU1147" i="3"/>
  <c r="AV1147" i="3" s="1"/>
  <c r="AU1146" i="3"/>
  <c r="AU1145" i="3"/>
  <c r="AV1145" i="3" s="1"/>
  <c r="AU1144" i="3"/>
  <c r="AV1144" i="3" s="1"/>
  <c r="AU1143" i="3"/>
  <c r="AU1142" i="3"/>
  <c r="AV1142" i="3" s="1"/>
  <c r="AU1141" i="3"/>
  <c r="AV1141" i="3" s="1"/>
  <c r="AU1140" i="3"/>
  <c r="AV1140" i="3" s="1"/>
  <c r="AU1139" i="3"/>
  <c r="AU1138" i="3"/>
  <c r="AU1137" i="3"/>
  <c r="AV1137" i="3" s="1"/>
  <c r="AU1136" i="3"/>
  <c r="AV1136" i="3" s="1"/>
  <c r="AU1135" i="3"/>
  <c r="AU1134" i="3"/>
  <c r="AV1134" i="3" s="1"/>
  <c r="AU1133" i="3"/>
  <c r="AV1133" i="3" s="1"/>
  <c r="AU1132" i="3"/>
  <c r="AV1132" i="3" s="1"/>
  <c r="AU1131" i="3"/>
  <c r="AU1130" i="3"/>
  <c r="AU1129" i="3"/>
  <c r="AV1129" i="3" s="1"/>
  <c r="AU1128" i="3"/>
  <c r="AV1128" i="3" s="1"/>
  <c r="AU1127" i="3"/>
  <c r="AU1126" i="3"/>
  <c r="AV1126" i="3" s="1"/>
  <c r="AU1125" i="3"/>
  <c r="AV1125" i="3" s="1"/>
  <c r="AU1124" i="3"/>
  <c r="AV1124" i="3" s="1"/>
  <c r="AU1123" i="3"/>
  <c r="AU1122" i="3"/>
  <c r="AU1121" i="3"/>
  <c r="AV1121" i="3" s="1"/>
  <c r="AU1120" i="3"/>
  <c r="AV1120" i="3" s="1"/>
  <c r="AU1119" i="3"/>
  <c r="AU1118" i="3"/>
  <c r="AV1118" i="3" s="1"/>
  <c r="AU1117" i="3"/>
  <c r="AV1117" i="3" s="1"/>
  <c r="AU1116" i="3"/>
  <c r="AV1116" i="3" s="1"/>
  <c r="AU1115" i="3"/>
  <c r="AU1114" i="3"/>
  <c r="AU1113" i="3"/>
  <c r="AV1113" i="3" s="1"/>
  <c r="AU1112" i="3"/>
  <c r="AU1111" i="3"/>
  <c r="AU1110" i="3"/>
  <c r="AV1110" i="3" s="1"/>
  <c r="AU1109" i="3"/>
  <c r="AV1109" i="3" s="1"/>
  <c r="AU1108" i="3"/>
  <c r="AU1107" i="3"/>
  <c r="AU1106" i="3"/>
  <c r="AU1105" i="3"/>
  <c r="AV1105" i="3" s="1"/>
  <c r="AU1104" i="3"/>
  <c r="AV1104" i="3" s="1"/>
  <c r="AU1103" i="3"/>
  <c r="AU1102" i="3"/>
  <c r="AV1102" i="3" s="1"/>
  <c r="AU1101" i="3"/>
  <c r="AV1101" i="3" s="1"/>
  <c r="AU1100" i="3"/>
  <c r="AV1100" i="3" s="1"/>
  <c r="AU1099" i="3"/>
  <c r="AU1098" i="3"/>
  <c r="AU1097" i="3"/>
  <c r="AV1097" i="3" s="1"/>
  <c r="AU1096" i="3"/>
  <c r="AV1096" i="3" s="1"/>
  <c r="AU1095" i="3"/>
  <c r="AU1094" i="3"/>
  <c r="AU1093" i="3"/>
  <c r="AV1093" i="3" s="1"/>
  <c r="AU1092" i="3"/>
  <c r="AU1091" i="3"/>
  <c r="AU1090" i="3"/>
  <c r="AU1089" i="3"/>
  <c r="AV1089" i="3" s="1"/>
  <c r="AU1088" i="3"/>
  <c r="AV1088" i="3" s="1"/>
  <c r="AU1087" i="3"/>
  <c r="AU1086" i="3"/>
  <c r="AV1086" i="3" s="1"/>
  <c r="AU1085" i="3"/>
  <c r="AV1085" i="3" s="1"/>
  <c r="AU1084" i="3"/>
  <c r="AV1084" i="3" s="1"/>
  <c r="AU1083" i="3"/>
  <c r="AU1082" i="3"/>
  <c r="AU1081" i="3"/>
  <c r="AV1081" i="3" s="1"/>
  <c r="AU1080" i="3"/>
  <c r="AV1080" i="3" s="1"/>
  <c r="AU1079" i="3"/>
  <c r="AU1078" i="3"/>
  <c r="AV1078" i="3" s="1"/>
  <c r="AU1077" i="3"/>
  <c r="AV1077" i="3" s="1"/>
  <c r="AU1076" i="3"/>
  <c r="AU1075" i="3"/>
  <c r="AU1074" i="3"/>
  <c r="AV1074" i="3" s="1"/>
  <c r="AU1073" i="3"/>
  <c r="AV1073" i="3" s="1"/>
  <c r="AU1072" i="3"/>
  <c r="AV1072" i="3" s="1"/>
  <c r="AU1071" i="3"/>
  <c r="AU1070" i="3"/>
  <c r="AV1070" i="3" s="1"/>
  <c r="AU1069" i="3"/>
  <c r="AV1069" i="3" s="1"/>
  <c r="AU1068" i="3"/>
  <c r="AV1068" i="3" s="1"/>
  <c r="AU1067" i="3"/>
  <c r="AU1066" i="3"/>
  <c r="AU1065" i="3"/>
  <c r="AV1065" i="3" s="1"/>
  <c r="AU1064" i="3"/>
  <c r="AV1064" i="3" s="1"/>
  <c r="AU1063" i="3"/>
  <c r="AU1062" i="3"/>
  <c r="AU1061" i="3"/>
  <c r="AV1061" i="3" s="1"/>
  <c r="AU1060" i="3"/>
  <c r="AV1060" i="3" s="1"/>
  <c r="AU1059" i="3"/>
  <c r="AU1058" i="3"/>
  <c r="AU1057" i="3"/>
  <c r="AV1057" i="3" s="1"/>
  <c r="AU1056" i="3"/>
  <c r="AV1056" i="3" s="1"/>
  <c r="AU1055" i="3"/>
  <c r="AU1054" i="3"/>
  <c r="AV1054" i="3" s="1"/>
  <c r="AU1053" i="3"/>
  <c r="AV1053" i="3" s="1"/>
  <c r="AU1052" i="3"/>
  <c r="AV1052" i="3" s="1"/>
  <c r="AU1051" i="3"/>
  <c r="AU1050" i="3"/>
  <c r="AU1049" i="3"/>
  <c r="AV1049" i="3" s="1"/>
  <c r="AU1048" i="3"/>
  <c r="AV1048" i="3" s="1"/>
  <c r="AU1047" i="3"/>
  <c r="AU1046" i="3"/>
  <c r="AU1045" i="3"/>
  <c r="AV1045" i="3" s="1"/>
  <c r="AU1044" i="3"/>
  <c r="AV1044" i="3" s="1"/>
  <c r="AU1043" i="3"/>
  <c r="AU1042" i="3"/>
  <c r="AU1041" i="3"/>
  <c r="AV1041" i="3" s="1"/>
  <c r="AU1040" i="3"/>
  <c r="AV1040" i="3" s="1"/>
  <c r="AU1039" i="3"/>
  <c r="AU1038" i="3"/>
  <c r="AV1038" i="3" s="1"/>
  <c r="AU1037" i="3"/>
  <c r="AV1037" i="3" s="1"/>
  <c r="AU1036" i="3"/>
  <c r="AV1036" i="3" s="1"/>
  <c r="AU1035" i="3"/>
  <c r="AU1034" i="3"/>
  <c r="AU1033" i="3"/>
  <c r="AV1033" i="3" s="1"/>
  <c r="AU1032" i="3"/>
  <c r="AV1032" i="3" s="1"/>
  <c r="AU1031" i="3"/>
  <c r="AU1030" i="3"/>
  <c r="AU1029" i="3"/>
  <c r="AV1029" i="3" s="1"/>
  <c r="AU1028" i="3"/>
  <c r="AV1028" i="3" s="1"/>
  <c r="AU1027" i="3"/>
  <c r="AU1026" i="3"/>
  <c r="AU1025" i="3"/>
  <c r="AV1025" i="3" s="1"/>
  <c r="AU1024" i="3"/>
  <c r="AV1024" i="3" s="1"/>
  <c r="AU1023" i="3"/>
  <c r="AU1022" i="3"/>
  <c r="AV1022" i="3" s="1"/>
  <c r="AU1021" i="3"/>
  <c r="AU1020" i="3"/>
  <c r="AV1020" i="3" s="1"/>
  <c r="AU1019" i="3"/>
  <c r="AU1018" i="3"/>
  <c r="AU1017" i="3"/>
  <c r="AV1017" i="3" s="1"/>
  <c r="AU1016" i="3"/>
  <c r="AV1016" i="3" s="1"/>
  <c r="AU1015" i="3"/>
  <c r="AU1014" i="3"/>
  <c r="AV1014" i="3" s="1"/>
  <c r="AU1013" i="3"/>
  <c r="AV1013" i="3" s="1"/>
  <c r="AU1012" i="3"/>
  <c r="AU1011" i="3"/>
  <c r="AU1010" i="3"/>
  <c r="AV1010" i="3" s="1"/>
  <c r="AU1009" i="3"/>
  <c r="AV1009" i="3" s="1"/>
  <c r="AU1008" i="3"/>
  <c r="AV1008" i="3" s="1"/>
  <c r="AU1007" i="3"/>
  <c r="AU1006" i="3"/>
  <c r="AV1006" i="3" s="1"/>
  <c r="AU1005" i="3"/>
  <c r="AV1005" i="3" s="1"/>
  <c r="AU1004" i="3"/>
  <c r="AV1004" i="3" s="1"/>
  <c r="AU1003" i="3"/>
  <c r="AU1002" i="3"/>
  <c r="AU1001" i="3"/>
  <c r="AV1001" i="3" s="1"/>
  <c r="AU1000" i="3"/>
  <c r="AV1000" i="3" s="1"/>
  <c r="AU999" i="3"/>
  <c r="AU998" i="3"/>
  <c r="AU997" i="3"/>
  <c r="AV997" i="3" s="1"/>
  <c r="AU996" i="3"/>
  <c r="AV996" i="3" s="1"/>
  <c r="AU995" i="3"/>
  <c r="AU994" i="3"/>
  <c r="AU993" i="3"/>
  <c r="AV993" i="3" s="1"/>
  <c r="AU992" i="3"/>
  <c r="AV992" i="3" s="1"/>
  <c r="AU991" i="3"/>
  <c r="AU990" i="3"/>
  <c r="AV990" i="3" s="1"/>
  <c r="AU989" i="3"/>
  <c r="AV989" i="3" s="1"/>
  <c r="AU988" i="3"/>
  <c r="AV988" i="3" s="1"/>
  <c r="AU987" i="3"/>
  <c r="AU986" i="3"/>
  <c r="AU985" i="3"/>
  <c r="AV985" i="3" s="1"/>
  <c r="AU984" i="3"/>
  <c r="AV984" i="3" s="1"/>
  <c r="AU983" i="3"/>
  <c r="AU982" i="3"/>
  <c r="AU981" i="3"/>
  <c r="AV981" i="3" s="1"/>
  <c r="AU980" i="3"/>
  <c r="AV980" i="3" s="1"/>
  <c r="AU979" i="3"/>
  <c r="AU978" i="3"/>
  <c r="AU977" i="3"/>
  <c r="AV977" i="3" s="1"/>
  <c r="AU976" i="3"/>
  <c r="AV976" i="3" s="1"/>
  <c r="AU975" i="3"/>
  <c r="AU974" i="3"/>
  <c r="AV974" i="3" s="1"/>
  <c r="AU973" i="3"/>
  <c r="AV973" i="3" s="1"/>
  <c r="AU972" i="3"/>
  <c r="AV972" i="3" s="1"/>
  <c r="AU971" i="3"/>
  <c r="AU970" i="3"/>
  <c r="AU969" i="3"/>
  <c r="AV969" i="3" s="1"/>
  <c r="AU968" i="3"/>
  <c r="AV968" i="3" s="1"/>
  <c r="AU967" i="3"/>
  <c r="AU966" i="3"/>
  <c r="AU965" i="3"/>
  <c r="AV965" i="3" s="1"/>
  <c r="AU964" i="3"/>
  <c r="AV964" i="3" s="1"/>
  <c r="AU963" i="3"/>
  <c r="AU962" i="3"/>
  <c r="AU961" i="3"/>
  <c r="AV961" i="3" s="1"/>
  <c r="AU960" i="3"/>
  <c r="AV960" i="3" s="1"/>
  <c r="AU959" i="3"/>
  <c r="AU958" i="3"/>
  <c r="AV958" i="3" s="1"/>
  <c r="AU957" i="3"/>
  <c r="AV957" i="3" s="1"/>
  <c r="AU956" i="3"/>
  <c r="AV956" i="3" s="1"/>
  <c r="AU955" i="3"/>
  <c r="AU954" i="3"/>
  <c r="AU953" i="3"/>
  <c r="AV953" i="3" s="1"/>
  <c r="AU952" i="3"/>
  <c r="AV952" i="3" s="1"/>
  <c r="AU951" i="3"/>
  <c r="AU950" i="3"/>
  <c r="AV950" i="3" s="1"/>
  <c r="AU949" i="3"/>
  <c r="AV949" i="3" s="1"/>
  <c r="AU948" i="3"/>
  <c r="AU947" i="3"/>
  <c r="AU946" i="3"/>
  <c r="AV946" i="3" s="1"/>
  <c r="AU945" i="3"/>
  <c r="AV945" i="3" s="1"/>
  <c r="AU944" i="3"/>
  <c r="AV944" i="3" s="1"/>
  <c r="AU943" i="3"/>
  <c r="AU942" i="3"/>
  <c r="AV942" i="3" s="1"/>
  <c r="AU941" i="3"/>
  <c r="AV941" i="3" s="1"/>
  <c r="AU940" i="3"/>
  <c r="AV940" i="3" s="1"/>
  <c r="AU939" i="3"/>
  <c r="AU938" i="3"/>
  <c r="AU937" i="3"/>
  <c r="AV937" i="3" s="1"/>
  <c r="AU936" i="3"/>
  <c r="AV936" i="3" s="1"/>
  <c r="AU935" i="3"/>
  <c r="AU934" i="3"/>
  <c r="AU933" i="3"/>
  <c r="AV933" i="3" s="1"/>
  <c r="AU932" i="3"/>
  <c r="AV932" i="3" s="1"/>
  <c r="AU931" i="3"/>
  <c r="AU930" i="3"/>
  <c r="AU929" i="3"/>
  <c r="AV929" i="3" s="1"/>
  <c r="AU928" i="3"/>
  <c r="AV928" i="3" s="1"/>
  <c r="AU927" i="3"/>
  <c r="AU926" i="3"/>
  <c r="AV926" i="3" s="1"/>
  <c r="AU925" i="3"/>
  <c r="AV925" i="3" s="1"/>
  <c r="AU924" i="3"/>
  <c r="AV924" i="3" s="1"/>
  <c r="AU923" i="3"/>
  <c r="AU922" i="3"/>
  <c r="AU921" i="3"/>
  <c r="AV921" i="3" s="1"/>
  <c r="AU920" i="3"/>
  <c r="AV920" i="3" s="1"/>
  <c r="AU919" i="3"/>
  <c r="AU918" i="3"/>
  <c r="AU917" i="3"/>
  <c r="AV917" i="3" s="1"/>
  <c r="AU916" i="3"/>
  <c r="AV916" i="3" s="1"/>
  <c r="AU915" i="3"/>
  <c r="AU914" i="3"/>
  <c r="AU913" i="3"/>
  <c r="AU912" i="3"/>
  <c r="AV912" i="3" s="1"/>
  <c r="AU911" i="3"/>
  <c r="AU910" i="3"/>
  <c r="AV910" i="3" s="1"/>
  <c r="AU909" i="3"/>
  <c r="AV909" i="3" s="1"/>
  <c r="AU908" i="3"/>
  <c r="AV908" i="3" s="1"/>
  <c r="AU907" i="3"/>
  <c r="AU906" i="3"/>
  <c r="AV906" i="3" s="1"/>
  <c r="AU905" i="3"/>
  <c r="AV905" i="3" s="1"/>
  <c r="AU904" i="3"/>
  <c r="AV904" i="3" s="1"/>
  <c r="AU903" i="3"/>
  <c r="AV903" i="3" s="1"/>
  <c r="AU902" i="3"/>
  <c r="AV902" i="3" s="1"/>
  <c r="AU901" i="3"/>
  <c r="AV901" i="3" s="1"/>
  <c r="AU900" i="3"/>
  <c r="AV900" i="3" s="1"/>
  <c r="AU899" i="3"/>
  <c r="AV899" i="3" s="1"/>
  <c r="AU898" i="3"/>
  <c r="AV898" i="3" s="1"/>
  <c r="AU897" i="3"/>
  <c r="AV897" i="3" s="1"/>
  <c r="AU896" i="3"/>
  <c r="AV896" i="3" s="1"/>
  <c r="AU895" i="3"/>
  <c r="AV895" i="3" s="1"/>
  <c r="AU894" i="3"/>
  <c r="AV894" i="3" s="1"/>
  <c r="AU893" i="3"/>
  <c r="AV893" i="3" s="1"/>
  <c r="AU892" i="3"/>
  <c r="AU891" i="3"/>
  <c r="AV891" i="3" s="1"/>
  <c r="AU890" i="3"/>
  <c r="AV890" i="3" s="1"/>
  <c r="AU889" i="3"/>
  <c r="AV889" i="3" s="1"/>
  <c r="AU888" i="3"/>
  <c r="AV888" i="3" s="1"/>
  <c r="AU887" i="3"/>
  <c r="AV887" i="3" s="1"/>
  <c r="AU886" i="3"/>
  <c r="AV886" i="3" s="1"/>
  <c r="AU885" i="3"/>
  <c r="AV885" i="3" s="1"/>
  <c r="AU884" i="3"/>
  <c r="AV884" i="3" s="1"/>
  <c r="AU883" i="3"/>
  <c r="AV883" i="3" s="1"/>
  <c r="AU882" i="3"/>
  <c r="AV882" i="3" s="1"/>
  <c r="AU881" i="3"/>
  <c r="AV881" i="3" s="1"/>
  <c r="AU880" i="3"/>
  <c r="AV880" i="3" s="1"/>
  <c r="AU879" i="3"/>
  <c r="AV879" i="3" s="1"/>
  <c r="AU878" i="3"/>
  <c r="AV878" i="3" s="1"/>
  <c r="AU877" i="3"/>
  <c r="AV877" i="3" s="1"/>
  <c r="AU876" i="3"/>
  <c r="AV876" i="3" s="1"/>
  <c r="AU875" i="3"/>
  <c r="AU874" i="3"/>
  <c r="AV874" i="3" s="1"/>
  <c r="AU873" i="3"/>
  <c r="AV873" i="3" s="1"/>
  <c r="AU872" i="3"/>
  <c r="AV872" i="3" s="1"/>
  <c r="AU871" i="3"/>
  <c r="AV871" i="3" s="1"/>
  <c r="AU870" i="3"/>
  <c r="AV870" i="3" s="1"/>
  <c r="AU869" i="3"/>
  <c r="AV869" i="3" s="1"/>
  <c r="AU868" i="3"/>
  <c r="AV868" i="3" s="1"/>
  <c r="AU867" i="3"/>
  <c r="AV867" i="3" s="1"/>
  <c r="AU866" i="3"/>
  <c r="AV866" i="3" s="1"/>
  <c r="AU865" i="3"/>
  <c r="AV865" i="3" s="1"/>
  <c r="AU864" i="3"/>
  <c r="AV864" i="3" s="1"/>
  <c r="AU863" i="3"/>
  <c r="AV863" i="3" s="1"/>
  <c r="AU862" i="3"/>
  <c r="AV862" i="3" s="1"/>
  <c r="AU861" i="3"/>
  <c r="AV861" i="3" s="1"/>
  <c r="AU860" i="3"/>
  <c r="AU859" i="3"/>
  <c r="AV859" i="3" s="1"/>
  <c r="AU858" i="3"/>
  <c r="AV858" i="3" s="1"/>
  <c r="AU857" i="3"/>
  <c r="AU856" i="3"/>
  <c r="AV856" i="3" s="1"/>
  <c r="AU855" i="3"/>
  <c r="AV855" i="3" s="1"/>
  <c r="AU854" i="3"/>
  <c r="AV854" i="3" s="1"/>
  <c r="AU853" i="3"/>
  <c r="AV853" i="3" s="1"/>
  <c r="AU852" i="3"/>
  <c r="AV852" i="3" s="1"/>
  <c r="AU851" i="3"/>
  <c r="AV851" i="3" s="1"/>
  <c r="AU850" i="3"/>
  <c r="AV850" i="3" s="1"/>
  <c r="AU849" i="3"/>
  <c r="AV849" i="3" s="1"/>
  <c r="AU848" i="3"/>
  <c r="AV848" i="3" s="1"/>
  <c r="AU847" i="3"/>
  <c r="AV847" i="3" s="1"/>
  <c r="AU846" i="3"/>
  <c r="AU845" i="3"/>
  <c r="AV845" i="3" s="1"/>
  <c r="AU844" i="3"/>
  <c r="AV844" i="3" s="1"/>
  <c r="AU843" i="3"/>
  <c r="AV843" i="3" s="1"/>
  <c r="AU842" i="3"/>
  <c r="AV842" i="3" s="1"/>
  <c r="AU841" i="3"/>
  <c r="AV841" i="3" s="1"/>
  <c r="AU840" i="3"/>
  <c r="AV840" i="3" s="1"/>
  <c r="AU839" i="3"/>
  <c r="AV839" i="3" s="1"/>
  <c r="AU838" i="3"/>
  <c r="AU837" i="3"/>
  <c r="AV837" i="3" s="1"/>
  <c r="AU836" i="3"/>
  <c r="AV836" i="3" s="1"/>
  <c r="AU835" i="3"/>
  <c r="AV835" i="3" s="1"/>
  <c r="AU834" i="3"/>
  <c r="AV834" i="3" s="1"/>
  <c r="AU833" i="3"/>
  <c r="AV833" i="3" s="1"/>
  <c r="AU832" i="3"/>
  <c r="AV832" i="3" s="1"/>
  <c r="AU831" i="3"/>
  <c r="AV831" i="3" s="1"/>
  <c r="AU830" i="3"/>
  <c r="AV830" i="3" s="1"/>
  <c r="AU829" i="3"/>
  <c r="AV829" i="3" s="1"/>
  <c r="AU828" i="3"/>
  <c r="AV828" i="3" s="1"/>
  <c r="AU827" i="3"/>
  <c r="AU826" i="3"/>
  <c r="AV826" i="3" s="1"/>
  <c r="AU825" i="3"/>
  <c r="AV825" i="3" s="1"/>
  <c r="AU824" i="3"/>
  <c r="AU823" i="3"/>
  <c r="AV823" i="3" s="1"/>
  <c r="AU822" i="3"/>
  <c r="AU821" i="3"/>
  <c r="AV821" i="3" s="1"/>
  <c r="AU820" i="3"/>
  <c r="AV820" i="3" s="1"/>
  <c r="AU819" i="3"/>
  <c r="AV819" i="3" s="1"/>
  <c r="AU818" i="3"/>
  <c r="AV818" i="3" s="1"/>
  <c r="AU817" i="3"/>
  <c r="AV817" i="3" s="1"/>
  <c r="AU816" i="3"/>
  <c r="AV816" i="3" s="1"/>
  <c r="AU815" i="3"/>
  <c r="AV815" i="3" s="1"/>
  <c r="AU814" i="3"/>
  <c r="AU813" i="3"/>
  <c r="AV813" i="3" s="1"/>
  <c r="AU812" i="3"/>
  <c r="AV812" i="3" s="1"/>
  <c r="AU811" i="3"/>
  <c r="AV811" i="3" s="1"/>
  <c r="AU810" i="3"/>
  <c r="AV810" i="3" s="1"/>
  <c r="AU809" i="3"/>
  <c r="AV809" i="3" s="1"/>
  <c r="AU808" i="3"/>
  <c r="AV808" i="3" s="1"/>
  <c r="AU807" i="3"/>
  <c r="AV807" i="3" s="1"/>
  <c r="AU806" i="3"/>
  <c r="AU805" i="3"/>
  <c r="AV805" i="3" s="1"/>
  <c r="AU804" i="3"/>
  <c r="AV804" i="3" s="1"/>
  <c r="AU803" i="3"/>
  <c r="AV803" i="3" s="1"/>
  <c r="AU802" i="3"/>
  <c r="AV802" i="3" s="1"/>
  <c r="AU801" i="3"/>
  <c r="AU800" i="3"/>
  <c r="AV800" i="3" s="1"/>
  <c r="AU799" i="3"/>
  <c r="AV799" i="3" s="1"/>
  <c r="AU798" i="3"/>
  <c r="AV798" i="3" s="1"/>
  <c r="AU797" i="3"/>
  <c r="AV797" i="3" s="1"/>
  <c r="AU796" i="3"/>
  <c r="AV796" i="3" s="1"/>
  <c r="AU795" i="3"/>
  <c r="AV795" i="3" s="1"/>
  <c r="AU794" i="3"/>
  <c r="AV794" i="3" s="1"/>
  <c r="AU793" i="3"/>
  <c r="AV793" i="3" s="1"/>
  <c r="AU792" i="3"/>
  <c r="AV792" i="3" s="1"/>
  <c r="AU791" i="3"/>
  <c r="AU790" i="3"/>
  <c r="AU789" i="3"/>
  <c r="AV789" i="3" s="1"/>
  <c r="AU788" i="3"/>
  <c r="AU787" i="3"/>
  <c r="AV787" i="3" s="1"/>
  <c r="AU786" i="3"/>
  <c r="AV786" i="3" s="1"/>
  <c r="AU785" i="3"/>
  <c r="AU784" i="3"/>
  <c r="AV784" i="3" s="1"/>
  <c r="AU783" i="3"/>
  <c r="AV783" i="3" s="1"/>
  <c r="AU782" i="3"/>
  <c r="AV782" i="3" s="1"/>
  <c r="AU781" i="3"/>
  <c r="AU780" i="3"/>
  <c r="AU779" i="3"/>
  <c r="AV779" i="3" s="1"/>
  <c r="AU778" i="3"/>
  <c r="AV778" i="3" s="1"/>
  <c r="AU777" i="3"/>
  <c r="AU776" i="3"/>
  <c r="AV776" i="3" s="1"/>
  <c r="AU775" i="3"/>
  <c r="AU774" i="3"/>
  <c r="AV774" i="3" s="1"/>
  <c r="AU773" i="3"/>
  <c r="AU772" i="3"/>
  <c r="AU771" i="3"/>
  <c r="AV771" i="3" s="1"/>
  <c r="AU770" i="3"/>
  <c r="AU769" i="3"/>
  <c r="AU768" i="3"/>
  <c r="AU767" i="3"/>
  <c r="AV767" i="3" s="1"/>
  <c r="AU766" i="3"/>
  <c r="AV766" i="3" s="1"/>
  <c r="AU765" i="3"/>
  <c r="AU764" i="3"/>
  <c r="AU763" i="3"/>
  <c r="AV763" i="3" s="1"/>
  <c r="AU762" i="3"/>
  <c r="AV762" i="3" s="1"/>
  <c r="AU761" i="3"/>
  <c r="AU760" i="3"/>
  <c r="AV760" i="3" s="1"/>
  <c r="AU759" i="3"/>
  <c r="AV759" i="3" s="1"/>
  <c r="AU758" i="3"/>
  <c r="AV758" i="3" s="1"/>
  <c r="AU757" i="3"/>
  <c r="AU756" i="3"/>
  <c r="AU755" i="3"/>
  <c r="AV755" i="3" s="1"/>
  <c r="AU754" i="3"/>
  <c r="AV754" i="3" s="1"/>
  <c r="AU753" i="3"/>
  <c r="AU752" i="3"/>
  <c r="AU751" i="3"/>
  <c r="AV751" i="3" s="1"/>
  <c r="AU750" i="3"/>
  <c r="AV750" i="3" s="1"/>
  <c r="AU749" i="3"/>
  <c r="AU748" i="3"/>
  <c r="AU747" i="3"/>
  <c r="AV747" i="3" s="1"/>
  <c r="AU746" i="3"/>
  <c r="AV746" i="3" s="1"/>
  <c r="AU745" i="3"/>
  <c r="AU744" i="3"/>
  <c r="AV744" i="3" s="1"/>
  <c r="AU743" i="3"/>
  <c r="AV743" i="3" s="1"/>
  <c r="AU742" i="3"/>
  <c r="AV742" i="3" s="1"/>
  <c r="AU741" i="3"/>
  <c r="AU740" i="3"/>
  <c r="AU739" i="3"/>
  <c r="AU738" i="3"/>
  <c r="AV738" i="3" s="1"/>
  <c r="AU737" i="3"/>
  <c r="AU736" i="3"/>
  <c r="AU735" i="3"/>
  <c r="AV735" i="3" s="1"/>
  <c r="AU734" i="3"/>
  <c r="AV734" i="3" s="1"/>
  <c r="AU733" i="3"/>
  <c r="AU732" i="3"/>
  <c r="AU731" i="3"/>
  <c r="AU730" i="3"/>
  <c r="AV730" i="3" s="1"/>
  <c r="AU729" i="3"/>
  <c r="AV729" i="3" s="1"/>
  <c r="AU728" i="3"/>
  <c r="AV728" i="3" s="1"/>
  <c r="AU727" i="3"/>
  <c r="AV727" i="3" s="1"/>
  <c r="AU726" i="3"/>
  <c r="AV726" i="3" s="1"/>
  <c r="AU725" i="3"/>
  <c r="AV725" i="3" s="1"/>
  <c r="AU724" i="3"/>
  <c r="AV724" i="3" s="1"/>
  <c r="AU723" i="3"/>
  <c r="AV723" i="3" s="1"/>
  <c r="AU722" i="3"/>
  <c r="AV722" i="3" s="1"/>
  <c r="AU721" i="3"/>
  <c r="AV721" i="3" s="1"/>
  <c r="AU720" i="3"/>
  <c r="AV720" i="3" s="1"/>
  <c r="AU719" i="3"/>
  <c r="AV719" i="3" s="1"/>
  <c r="AU718" i="3"/>
  <c r="AV718" i="3" s="1"/>
  <c r="AU717" i="3"/>
  <c r="AV717" i="3" s="1"/>
  <c r="AU716" i="3"/>
  <c r="AV716" i="3" s="1"/>
  <c r="AU715" i="3"/>
  <c r="AV715" i="3" s="1"/>
  <c r="AU714" i="3"/>
  <c r="AV714" i="3" s="1"/>
  <c r="AU713" i="3"/>
  <c r="AV713" i="3" s="1"/>
  <c r="AU712" i="3"/>
  <c r="AV712" i="3" s="1"/>
  <c r="AU711" i="3"/>
  <c r="AV711" i="3" s="1"/>
  <c r="AU710" i="3"/>
  <c r="AV710" i="3" s="1"/>
  <c r="AU709" i="3"/>
  <c r="AV709" i="3" s="1"/>
  <c r="AU708" i="3"/>
  <c r="AU707" i="3"/>
  <c r="AV707" i="3" s="1"/>
  <c r="AU706" i="3"/>
  <c r="AV706" i="3" s="1"/>
  <c r="AU705" i="3"/>
  <c r="AV705" i="3" s="1"/>
  <c r="AU704" i="3"/>
  <c r="AV704" i="3" s="1"/>
  <c r="AU703" i="3"/>
  <c r="AV703" i="3" s="1"/>
  <c r="AU702" i="3"/>
  <c r="AV702" i="3" s="1"/>
  <c r="AU701" i="3"/>
  <c r="AV701" i="3" s="1"/>
  <c r="AU700" i="3"/>
  <c r="AU699" i="3"/>
  <c r="AV699" i="3" s="1"/>
  <c r="AU698" i="3"/>
  <c r="AV698" i="3" s="1"/>
  <c r="AU697" i="3"/>
  <c r="AV697" i="3" s="1"/>
  <c r="AU696" i="3"/>
  <c r="AU695" i="3"/>
  <c r="AV695" i="3" s="1"/>
  <c r="AU694" i="3"/>
  <c r="AV694" i="3" s="1"/>
  <c r="AU693" i="3"/>
  <c r="AV693" i="3" s="1"/>
  <c r="AU692" i="3"/>
  <c r="AV692" i="3" s="1"/>
  <c r="AU691" i="3"/>
  <c r="AV691" i="3" s="1"/>
  <c r="AU690" i="3"/>
  <c r="AV690" i="3" s="1"/>
  <c r="AU689" i="3"/>
  <c r="AU688" i="3"/>
  <c r="AV688" i="3" s="1"/>
  <c r="AU687" i="3"/>
  <c r="AV687" i="3" s="1"/>
  <c r="AU686" i="3"/>
  <c r="AV686" i="3" s="1"/>
  <c r="AU685" i="3"/>
  <c r="AV685" i="3" s="1"/>
  <c r="AU684" i="3"/>
  <c r="AV684" i="3" s="1"/>
  <c r="AU683" i="3"/>
  <c r="AU682" i="3"/>
  <c r="AV682" i="3" s="1"/>
  <c r="AU681" i="3"/>
  <c r="AV681" i="3" s="1"/>
  <c r="AU680" i="3"/>
  <c r="AV680" i="3" s="1"/>
  <c r="AU679" i="3"/>
  <c r="AV679" i="3" s="1"/>
  <c r="AU678" i="3"/>
  <c r="AV678" i="3" s="1"/>
  <c r="AU677" i="3"/>
  <c r="AV677" i="3" s="1"/>
  <c r="AU676" i="3"/>
  <c r="AU675" i="3"/>
  <c r="AU674" i="3"/>
  <c r="AV674" i="3" s="1"/>
  <c r="AU673" i="3"/>
  <c r="AV673" i="3" s="1"/>
  <c r="AU672" i="3"/>
  <c r="AV672" i="3" s="1"/>
  <c r="AU671" i="3"/>
  <c r="AV671" i="3" s="1"/>
  <c r="AU670" i="3"/>
  <c r="AV670" i="3" s="1"/>
  <c r="AU669" i="3"/>
  <c r="AU668" i="3"/>
  <c r="AV668" i="3" s="1"/>
  <c r="AU667" i="3"/>
  <c r="AV667" i="3" s="1"/>
  <c r="AU666" i="3"/>
  <c r="AV666" i="3" s="1"/>
  <c r="AU665" i="3"/>
  <c r="AV665" i="3" s="1"/>
  <c r="AU664" i="3"/>
  <c r="AV664" i="3" s="1"/>
  <c r="AU663" i="3"/>
  <c r="AV663" i="3" s="1"/>
  <c r="AU662" i="3"/>
  <c r="AV662" i="3" s="1"/>
  <c r="AU661" i="3"/>
  <c r="AV661" i="3" s="1"/>
  <c r="AU660" i="3"/>
  <c r="AV660" i="3" s="1"/>
  <c r="AU659" i="3"/>
  <c r="AV659" i="3" s="1"/>
  <c r="AU658" i="3"/>
  <c r="AV658" i="3" s="1"/>
  <c r="AU657" i="3"/>
  <c r="AV657" i="3" s="1"/>
  <c r="AU656" i="3"/>
  <c r="AV656" i="3" s="1"/>
  <c r="AU655" i="3"/>
  <c r="AU654" i="3"/>
  <c r="AV654" i="3" s="1"/>
  <c r="AU653" i="3"/>
  <c r="AV653" i="3" s="1"/>
  <c r="AU652" i="3"/>
  <c r="AV652" i="3" s="1"/>
  <c r="AU651" i="3"/>
  <c r="AU650" i="3"/>
  <c r="AV650" i="3" s="1"/>
  <c r="AU649" i="3"/>
  <c r="AV649" i="3" s="1"/>
  <c r="AU648" i="3"/>
  <c r="AV648" i="3" s="1"/>
  <c r="AU647" i="3"/>
  <c r="AV647" i="3" s="1"/>
  <c r="AU646" i="3"/>
  <c r="AV646" i="3" s="1"/>
  <c r="AU645" i="3"/>
  <c r="AV645" i="3" s="1"/>
  <c r="AU644" i="3"/>
  <c r="AV644" i="3" s="1"/>
  <c r="AU643" i="3"/>
  <c r="AU642" i="3"/>
  <c r="AV642" i="3" s="1"/>
  <c r="AU641" i="3"/>
  <c r="AV641" i="3" s="1"/>
  <c r="AU640" i="3"/>
  <c r="AV640" i="3" s="1"/>
  <c r="AU639" i="3"/>
  <c r="AV639" i="3" s="1"/>
  <c r="AU638" i="3"/>
  <c r="AV638" i="3" s="1"/>
  <c r="AU637" i="3"/>
  <c r="AU636" i="3"/>
  <c r="AV636" i="3" s="1"/>
  <c r="AU635" i="3"/>
  <c r="AV635" i="3" s="1"/>
  <c r="AU634" i="3"/>
  <c r="AV634" i="3" s="1"/>
  <c r="AU633" i="3"/>
  <c r="AV633" i="3" s="1"/>
  <c r="AU632" i="3"/>
  <c r="AV632" i="3" s="1"/>
  <c r="AU631" i="3"/>
  <c r="AV631" i="3" s="1"/>
  <c r="AU630" i="3"/>
  <c r="AV630" i="3" s="1"/>
  <c r="AU629" i="3"/>
  <c r="AU628" i="3"/>
  <c r="AV628" i="3" s="1"/>
  <c r="AU627" i="3"/>
  <c r="AU626" i="3"/>
  <c r="AV626" i="3" s="1"/>
  <c r="AU625" i="3"/>
  <c r="AV625" i="3" s="1"/>
  <c r="AU624" i="3"/>
  <c r="AV624" i="3" s="1"/>
  <c r="AU623" i="3"/>
  <c r="AU622" i="3"/>
  <c r="AU621" i="3"/>
  <c r="AU620" i="3"/>
  <c r="AV620" i="3" s="1"/>
  <c r="AU619" i="3"/>
  <c r="AV619" i="3" s="1"/>
  <c r="AU618" i="3"/>
  <c r="AU617" i="3"/>
  <c r="AU616" i="3"/>
  <c r="AV616" i="3" s="1"/>
  <c r="AU615" i="3"/>
  <c r="AV615" i="3" s="1"/>
  <c r="AU614" i="3"/>
  <c r="AU613" i="3"/>
  <c r="AU612" i="3"/>
  <c r="AV612" i="3" s="1"/>
  <c r="AU611" i="3"/>
  <c r="AU610" i="3"/>
  <c r="AU609" i="3"/>
  <c r="AV609" i="3" s="1"/>
  <c r="AU608" i="3"/>
  <c r="AV608" i="3" s="1"/>
  <c r="AU607" i="3"/>
  <c r="AU606" i="3"/>
  <c r="AU605" i="3"/>
  <c r="AU604" i="3"/>
  <c r="AV604" i="3" s="1"/>
  <c r="AU603" i="3"/>
  <c r="AV603" i="3" s="1"/>
  <c r="AU602" i="3"/>
  <c r="AU601" i="3"/>
  <c r="AU600" i="3"/>
  <c r="AV600" i="3" s="1"/>
  <c r="AU599" i="3"/>
  <c r="AV599" i="3" s="1"/>
  <c r="AU598" i="3"/>
  <c r="AU597" i="3"/>
  <c r="AU596" i="3"/>
  <c r="AU595" i="3"/>
  <c r="AV595" i="3" s="1"/>
  <c r="AU594" i="3"/>
  <c r="AU593" i="3"/>
  <c r="AV593" i="3" s="1"/>
  <c r="AU592" i="3"/>
  <c r="AV592" i="3" s="1"/>
  <c r="AU591" i="3"/>
  <c r="AU590" i="3"/>
  <c r="AU589" i="3"/>
  <c r="AU588" i="3"/>
  <c r="AV588" i="3" s="1"/>
  <c r="AU587" i="3"/>
  <c r="AV587" i="3" s="1"/>
  <c r="AU586" i="3"/>
  <c r="AV586" i="3" s="1"/>
  <c r="AU585" i="3"/>
  <c r="AV585" i="3" s="1"/>
  <c r="AU584" i="3"/>
  <c r="AV584" i="3" s="1"/>
  <c r="AU583" i="3"/>
  <c r="AV583" i="3" s="1"/>
  <c r="AU582" i="3"/>
  <c r="AV582" i="3" s="1"/>
  <c r="AU581" i="3"/>
  <c r="AV581" i="3" s="1"/>
  <c r="AU580" i="3"/>
  <c r="AU579" i="3"/>
  <c r="AV579" i="3" s="1"/>
  <c r="AU578" i="3"/>
  <c r="AV578" i="3" s="1"/>
  <c r="AU577" i="3"/>
  <c r="AV577" i="3" s="1"/>
  <c r="AU576" i="3"/>
  <c r="AV576" i="3" s="1"/>
  <c r="AU575" i="3"/>
  <c r="AV575" i="3" s="1"/>
  <c r="AU574" i="3"/>
  <c r="AV574" i="3" s="1"/>
  <c r="AU573" i="3"/>
  <c r="AU572" i="3"/>
  <c r="AV572" i="3" s="1"/>
  <c r="AU571" i="3"/>
  <c r="AU570" i="3"/>
  <c r="AV570" i="3" s="1"/>
  <c r="AU569" i="3"/>
  <c r="AV569" i="3" s="1"/>
  <c r="AU568" i="3"/>
  <c r="AV568" i="3" s="1"/>
  <c r="AU567" i="3"/>
  <c r="AV567" i="3" s="1"/>
  <c r="AU566" i="3"/>
  <c r="AV566" i="3" s="1"/>
  <c r="AU565" i="3"/>
  <c r="AV565" i="3" s="1"/>
  <c r="AU564" i="3"/>
  <c r="AV564" i="3" s="1"/>
  <c r="AU563" i="3"/>
  <c r="AV563" i="3" s="1"/>
  <c r="AU562" i="3"/>
  <c r="AV562" i="3" s="1"/>
  <c r="AU561" i="3"/>
  <c r="AV561" i="3" s="1"/>
  <c r="AU560" i="3"/>
  <c r="AV560" i="3" s="1"/>
  <c r="AU559" i="3"/>
  <c r="AV559" i="3" s="1"/>
  <c r="AU558" i="3"/>
  <c r="AV558" i="3" s="1"/>
  <c r="AU557" i="3"/>
  <c r="AU556" i="3"/>
  <c r="AV556" i="3" s="1"/>
  <c r="AU555" i="3"/>
  <c r="AV555" i="3" s="1"/>
  <c r="AU554" i="3"/>
  <c r="AV554" i="3" s="1"/>
  <c r="AU553" i="3"/>
  <c r="AU552" i="3"/>
  <c r="AV552" i="3" s="1"/>
  <c r="AU551" i="3"/>
  <c r="AV551" i="3" s="1"/>
  <c r="AU550" i="3"/>
  <c r="AV550" i="3" s="1"/>
  <c r="AU549" i="3"/>
  <c r="AU548" i="3"/>
  <c r="AV548" i="3" s="1"/>
  <c r="AU547" i="3"/>
  <c r="AV547" i="3" s="1"/>
  <c r="AU546" i="3"/>
  <c r="AV546" i="3" s="1"/>
  <c r="AU545" i="3"/>
  <c r="AV545" i="3" s="1"/>
  <c r="AU544" i="3"/>
  <c r="AV544" i="3" s="1"/>
  <c r="AU543" i="3"/>
  <c r="AV543" i="3" s="1"/>
  <c r="AU542" i="3"/>
  <c r="AV542" i="3" s="1"/>
  <c r="AU541" i="3"/>
  <c r="AV541" i="3" s="1"/>
  <c r="AU540" i="3"/>
  <c r="AV540" i="3" s="1"/>
  <c r="AU539" i="3"/>
  <c r="AV539" i="3" s="1"/>
  <c r="AU538" i="3"/>
  <c r="AV538" i="3" s="1"/>
  <c r="AU537" i="3"/>
  <c r="AV537" i="3" s="1"/>
  <c r="AU536" i="3"/>
  <c r="AV536" i="3" s="1"/>
  <c r="AU535" i="3"/>
  <c r="AU534" i="3"/>
  <c r="AV534" i="3" s="1"/>
  <c r="AU533" i="3"/>
  <c r="AV533" i="3" s="1"/>
  <c r="AU532" i="3"/>
  <c r="AV532" i="3" s="1"/>
  <c r="AU531" i="3"/>
  <c r="AV531" i="3" s="1"/>
  <c r="AU530" i="3"/>
  <c r="AV530" i="3" s="1"/>
  <c r="AU529" i="3"/>
  <c r="AV529" i="3" s="1"/>
  <c r="AU528" i="3"/>
  <c r="AU527" i="3"/>
  <c r="AV527" i="3" s="1"/>
  <c r="AU526" i="3"/>
  <c r="AV526" i="3" s="1"/>
  <c r="AU525" i="3"/>
  <c r="AV525" i="3" s="1"/>
  <c r="AU524" i="3"/>
  <c r="AV524" i="3" s="1"/>
  <c r="AU523" i="3"/>
  <c r="AV523" i="3" s="1"/>
  <c r="AU522" i="3"/>
  <c r="AV522" i="3" s="1"/>
  <c r="AU521" i="3"/>
  <c r="AV521" i="3" s="1"/>
  <c r="AU520" i="3"/>
  <c r="AU519" i="3"/>
  <c r="AV519" i="3" s="1"/>
  <c r="AU518" i="3"/>
  <c r="AV518" i="3" s="1"/>
  <c r="AU517" i="3"/>
  <c r="AV517" i="3" s="1"/>
  <c r="AU516" i="3"/>
  <c r="AV516" i="3" s="1"/>
  <c r="AU515" i="3"/>
  <c r="AV515" i="3" s="1"/>
  <c r="AU514" i="3"/>
  <c r="AV514" i="3" s="1"/>
  <c r="AU513" i="3"/>
  <c r="AV513" i="3" s="1"/>
  <c r="AU512" i="3"/>
  <c r="AV512" i="3" s="1"/>
  <c r="AU511" i="3"/>
  <c r="AV511" i="3" s="1"/>
  <c r="AU510" i="3"/>
  <c r="AV510" i="3" s="1"/>
  <c r="AU509" i="3"/>
  <c r="AU508" i="3"/>
  <c r="AU507" i="3"/>
  <c r="AV507" i="3" s="1"/>
  <c r="AU506" i="3"/>
  <c r="AV506" i="3" s="1"/>
  <c r="AU505" i="3"/>
  <c r="AV505" i="3" s="1"/>
  <c r="AU504" i="3"/>
  <c r="AV504" i="3" s="1"/>
  <c r="AU503" i="3"/>
  <c r="AV503" i="3" s="1"/>
  <c r="AU502" i="3"/>
  <c r="AV502" i="3" s="1"/>
  <c r="AU501" i="3"/>
  <c r="AV501" i="3" s="1"/>
  <c r="AU500" i="3"/>
  <c r="AV500" i="3" s="1"/>
  <c r="AU499" i="3"/>
  <c r="AV499" i="3" s="1"/>
  <c r="AU498" i="3"/>
  <c r="AV498" i="3" s="1"/>
  <c r="AU497" i="3"/>
  <c r="AV497" i="3" s="1"/>
  <c r="AU496" i="3"/>
  <c r="AV496" i="3" s="1"/>
  <c r="AU495" i="3"/>
  <c r="AV495" i="3" s="1"/>
  <c r="AU494" i="3"/>
  <c r="AV494" i="3" s="1"/>
  <c r="AU493" i="3"/>
  <c r="AV493" i="3" s="1"/>
  <c r="AU492" i="3"/>
  <c r="AV492" i="3" s="1"/>
  <c r="AU491" i="3"/>
  <c r="AV491" i="3" s="1"/>
  <c r="AU490" i="3"/>
  <c r="AV490" i="3" s="1"/>
  <c r="AU489" i="3"/>
  <c r="AV489" i="3" s="1"/>
  <c r="AU488" i="3"/>
  <c r="AV488" i="3" s="1"/>
  <c r="AU487" i="3"/>
  <c r="AV487" i="3" s="1"/>
  <c r="AU486" i="3"/>
  <c r="AV486" i="3" s="1"/>
  <c r="AU485" i="3"/>
  <c r="AV485" i="3" s="1"/>
  <c r="AU484" i="3"/>
  <c r="AV484" i="3" s="1"/>
  <c r="AU483" i="3"/>
  <c r="AV483" i="3" s="1"/>
  <c r="AU482" i="3"/>
  <c r="AV482" i="3" s="1"/>
  <c r="AU481" i="3"/>
  <c r="AV481" i="3" s="1"/>
  <c r="AU480" i="3"/>
  <c r="AV480" i="3" s="1"/>
  <c r="AU479" i="3"/>
  <c r="AV479" i="3" s="1"/>
  <c r="AU478" i="3"/>
  <c r="AV478" i="3" s="1"/>
  <c r="AU477" i="3"/>
  <c r="AV477" i="3" s="1"/>
  <c r="AU476" i="3"/>
  <c r="AV476" i="3" s="1"/>
  <c r="AU475" i="3"/>
  <c r="AV475" i="3" s="1"/>
  <c r="AU474" i="3"/>
  <c r="AV474" i="3" s="1"/>
  <c r="AU473" i="3"/>
  <c r="AV473" i="3" s="1"/>
  <c r="AU472" i="3"/>
  <c r="AV472" i="3" s="1"/>
  <c r="AU471" i="3"/>
  <c r="AV471" i="3" s="1"/>
  <c r="AU470" i="3"/>
  <c r="AV470" i="3" s="1"/>
  <c r="AU469" i="3"/>
  <c r="AV469" i="3" s="1"/>
  <c r="AU468" i="3"/>
  <c r="AV468" i="3" s="1"/>
  <c r="AU467" i="3"/>
  <c r="AV467" i="3" s="1"/>
  <c r="AU466" i="3"/>
  <c r="AV466" i="3" s="1"/>
  <c r="AU465" i="3"/>
  <c r="AV465" i="3" s="1"/>
  <c r="AU464" i="3"/>
  <c r="AV464" i="3" s="1"/>
  <c r="AU463" i="3"/>
  <c r="AV463" i="3" s="1"/>
  <c r="AU462" i="3"/>
  <c r="AV462" i="3" s="1"/>
  <c r="AU461" i="3"/>
  <c r="AV461" i="3" s="1"/>
  <c r="AU460" i="3"/>
  <c r="AV460" i="3" s="1"/>
  <c r="AU459" i="3"/>
  <c r="AV459" i="3" s="1"/>
  <c r="AU458" i="3"/>
  <c r="AV458" i="3" s="1"/>
  <c r="AU457" i="3"/>
  <c r="AV457" i="3" s="1"/>
  <c r="AU456" i="3"/>
  <c r="AU455" i="3"/>
  <c r="AV455" i="3" s="1"/>
  <c r="AU454" i="3"/>
  <c r="AV454" i="3" s="1"/>
  <c r="AU453" i="3"/>
  <c r="AV453" i="3" s="1"/>
  <c r="AU452" i="3"/>
  <c r="AV452" i="3" s="1"/>
  <c r="AU451" i="3"/>
  <c r="AV451" i="3" s="1"/>
  <c r="AU450" i="3"/>
  <c r="AV450" i="3" s="1"/>
  <c r="AU449" i="3"/>
  <c r="AV449" i="3" s="1"/>
  <c r="AU448" i="3"/>
  <c r="AV448" i="3" s="1"/>
  <c r="AU447" i="3"/>
  <c r="AV447" i="3" s="1"/>
  <c r="AU446" i="3"/>
  <c r="AV446" i="3" s="1"/>
  <c r="AU445" i="3"/>
  <c r="AV445" i="3" s="1"/>
  <c r="AU444" i="3"/>
  <c r="AV444" i="3" s="1"/>
  <c r="AU443" i="3"/>
  <c r="AV443" i="3" s="1"/>
  <c r="AU442" i="3"/>
  <c r="AV442" i="3" s="1"/>
  <c r="AU441" i="3"/>
  <c r="AV441" i="3" s="1"/>
  <c r="AU440" i="3"/>
  <c r="AV440" i="3" s="1"/>
  <c r="AU439" i="3"/>
  <c r="AV439" i="3" s="1"/>
  <c r="AU438" i="3"/>
  <c r="AV438" i="3" s="1"/>
  <c r="AU437" i="3"/>
  <c r="AV437" i="3" s="1"/>
  <c r="AU436" i="3"/>
  <c r="AV436" i="3" s="1"/>
  <c r="AU435" i="3"/>
  <c r="AV435" i="3" s="1"/>
  <c r="AU434" i="3"/>
  <c r="AV434" i="3" s="1"/>
  <c r="AU433" i="3"/>
  <c r="AV433" i="3" s="1"/>
  <c r="AU432" i="3"/>
  <c r="AV432" i="3" s="1"/>
  <c r="AU431" i="3"/>
  <c r="AV431" i="3" s="1"/>
  <c r="AU430" i="3"/>
  <c r="AV430" i="3" s="1"/>
  <c r="AU429" i="3"/>
  <c r="AV429" i="3" s="1"/>
  <c r="AU428" i="3"/>
  <c r="AV428" i="3" s="1"/>
  <c r="AU427" i="3"/>
  <c r="AV427" i="3" s="1"/>
  <c r="AU426" i="3"/>
  <c r="AV426" i="3" s="1"/>
  <c r="AU425" i="3"/>
  <c r="AV425" i="3" s="1"/>
  <c r="AU424" i="3"/>
  <c r="AV424" i="3" s="1"/>
  <c r="AU423" i="3"/>
  <c r="AV423" i="3" s="1"/>
  <c r="AU422" i="3"/>
  <c r="AV422" i="3" s="1"/>
  <c r="AU421" i="3"/>
  <c r="AV421" i="3" s="1"/>
  <c r="AU420" i="3"/>
  <c r="AV420" i="3" s="1"/>
  <c r="AU419" i="3"/>
  <c r="AV419" i="3" s="1"/>
  <c r="AU418" i="3"/>
  <c r="AV418" i="3" s="1"/>
  <c r="AU417" i="3"/>
  <c r="AV417" i="3" s="1"/>
  <c r="AU416" i="3"/>
  <c r="AV416" i="3" s="1"/>
  <c r="AU415" i="3"/>
  <c r="AV415" i="3" s="1"/>
  <c r="AU414" i="3"/>
  <c r="AV414" i="3" s="1"/>
  <c r="AU413" i="3"/>
  <c r="AV413" i="3" s="1"/>
  <c r="AU412" i="3"/>
  <c r="AV412" i="3" s="1"/>
  <c r="AU411" i="3"/>
  <c r="AV411" i="3" s="1"/>
  <c r="AU410" i="3"/>
  <c r="AV410" i="3" s="1"/>
  <c r="AU409" i="3"/>
  <c r="AV409" i="3" s="1"/>
  <c r="AU408" i="3"/>
  <c r="AV408" i="3" s="1"/>
  <c r="AU407" i="3"/>
  <c r="AV407" i="3" s="1"/>
  <c r="AU406" i="3"/>
  <c r="AV406" i="3" s="1"/>
  <c r="AU405" i="3"/>
  <c r="AV405" i="3" s="1"/>
  <c r="AU404" i="3"/>
  <c r="AV404" i="3" s="1"/>
  <c r="AU403" i="3"/>
  <c r="AV403" i="3" s="1"/>
  <c r="AU402" i="3"/>
  <c r="AV402" i="3" s="1"/>
  <c r="AU401" i="3"/>
  <c r="AV401" i="3" s="1"/>
  <c r="AU400" i="3"/>
  <c r="AV400" i="3" s="1"/>
  <c r="AU399" i="3"/>
  <c r="AV399" i="3" s="1"/>
  <c r="AU398" i="3"/>
  <c r="AV398" i="3" s="1"/>
  <c r="AU397" i="3"/>
  <c r="AV397" i="3" s="1"/>
  <c r="AU396" i="3"/>
  <c r="AV396" i="3" s="1"/>
  <c r="AU395" i="3"/>
  <c r="AV395" i="3" s="1"/>
  <c r="AU394" i="3"/>
  <c r="AV394" i="3" s="1"/>
  <c r="AU393" i="3"/>
  <c r="AV393" i="3" s="1"/>
  <c r="AU392" i="3"/>
  <c r="AV392" i="3" s="1"/>
  <c r="AU391" i="3"/>
  <c r="AV391" i="3" s="1"/>
  <c r="AU390" i="3"/>
  <c r="AV390" i="3" s="1"/>
  <c r="AU389" i="3"/>
  <c r="AV389" i="3" s="1"/>
  <c r="AU388" i="3"/>
  <c r="AV388" i="3" s="1"/>
  <c r="AU387" i="3"/>
  <c r="AV387" i="3" s="1"/>
  <c r="AU386" i="3"/>
  <c r="AV386" i="3" s="1"/>
  <c r="AU385" i="3"/>
  <c r="AV385" i="3" s="1"/>
  <c r="AU384" i="3"/>
  <c r="AV384" i="3" s="1"/>
  <c r="AU383" i="3"/>
  <c r="AV383" i="3" s="1"/>
  <c r="AU382" i="3"/>
  <c r="AV382" i="3" s="1"/>
  <c r="AU381" i="3"/>
  <c r="AV381" i="3" s="1"/>
  <c r="AU380" i="3"/>
  <c r="AV380" i="3" s="1"/>
  <c r="AU379" i="3"/>
  <c r="AV379" i="3" s="1"/>
  <c r="AU378" i="3"/>
  <c r="AV378" i="3" s="1"/>
  <c r="AU377" i="3"/>
  <c r="AU376" i="3"/>
  <c r="AV376" i="3" s="1"/>
  <c r="AU375" i="3"/>
  <c r="AU374" i="3"/>
  <c r="AV374" i="3" s="1"/>
  <c r="AU373" i="3"/>
  <c r="AV373" i="3" s="1"/>
  <c r="AU372" i="3"/>
  <c r="AV372" i="3" s="1"/>
  <c r="AU371" i="3"/>
  <c r="AV371" i="3" s="1"/>
  <c r="AU370" i="3"/>
  <c r="AV370" i="3" s="1"/>
  <c r="AU369" i="3"/>
  <c r="AV369" i="3" s="1"/>
  <c r="AU368" i="3"/>
  <c r="AU367" i="3"/>
  <c r="AV367" i="3" s="1"/>
  <c r="AU366" i="3"/>
  <c r="AV366" i="3" s="1"/>
  <c r="AV365" i="3"/>
  <c r="AU365" i="3"/>
  <c r="AU364" i="3"/>
  <c r="AV364" i="3" s="1"/>
  <c r="AU363" i="3"/>
  <c r="AV363" i="3" s="1"/>
  <c r="AU362" i="3"/>
  <c r="AV362" i="3" s="1"/>
  <c r="AU361" i="3"/>
  <c r="AV361" i="3" s="1"/>
  <c r="AU360" i="3"/>
  <c r="AV360" i="3" s="1"/>
  <c r="AU359" i="3"/>
  <c r="AV359" i="3" s="1"/>
  <c r="AU358" i="3"/>
  <c r="AV358" i="3" s="1"/>
  <c r="AU357" i="3"/>
  <c r="AV357" i="3" s="1"/>
  <c r="AU356" i="3"/>
  <c r="AV356" i="3" s="1"/>
  <c r="AU355" i="3"/>
  <c r="AV355" i="3" s="1"/>
  <c r="AU354" i="3"/>
  <c r="AV354" i="3" s="1"/>
  <c r="AU353" i="3"/>
  <c r="AV353" i="3" s="1"/>
  <c r="AU352" i="3"/>
  <c r="AV352" i="3" s="1"/>
  <c r="AU351" i="3"/>
  <c r="AV351" i="3" s="1"/>
  <c r="AU350" i="3"/>
  <c r="AV350" i="3" s="1"/>
  <c r="AU349" i="3"/>
  <c r="AV349" i="3" s="1"/>
  <c r="AU348" i="3"/>
  <c r="AV348" i="3" s="1"/>
  <c r="AU347" i="3"/>
  <c r="AV347" i="3" s="1"/>
  <c r="AU346" i="3"/>
  <c r="AV346" i="3" s="1"/>
  <c r="AU345" i="3"/>
  <c r="AV345" i="3" s="1"/>
  <c r="AU344" i="3"/>
  <c r="AV344" i="3" s="1"/>
  <c r="AU343" i="3"/>
  <c r="AV343" i="3" s="1"/>
  <c r="AU342" i="3"/>
  <c r="AV342" i="3" s="1"/>
  <c r="AU341" i="3"/>
  <c r="AV341" i="3" s="1"/>
  <c r="AU340" i="3"/>
  <c r="AV340" i="3" s="1"/>
  <c r="AU339" i="3"/>
  <c r="AV339" i="3" s="1"/>
  <c r="AU338" i="3"/>
  <c r="AV338" i="3" s="1"/>
  <c r="AU337" i="3"/>
  <c r="AV337" i="3" s="1"/>
  <c r="AU336" i="3"/>
  <c r="AV336" i="3" s="1"/>
  <c r="AU335" i="3"/>
  <c r="AV335" i="3" s="1"/>
  <c r="AU334" i="3"/>
  <c r="AV334" i="3" s="1"/>
  <c r="AU333" i="3"/>
  <c r="AV333" i="3" s="1"/>
  <c r="AU332" i="3"/>
  <c r="AV332" i="3" s="1"/>
  <c r="AU331" i="3"/>
  <c r="AV331" i="3" s="1"/>
  <c r="AU330" i="3"/>
  <c r="AV330" i="3" s="1"/>
  <c r="AU329" i="3"/>
  <c r="AV329" i="3" s="1"/>
  <c r="AU328" i="3"/>
  <c r="AV328" i="3" s="1"/>
  <c r="AU327" i="3"/>
  <c r="AV327" i="3" s="1"/>
  <c r="AU326" i="3"/>
  <c r="AV326" i="3" s="1"/>
  <c r="AU325" i="3"/>
  <c r="AV325" i="3" s="1"/>
  <c r="AU324" i="3"/>
  <c r="AV324" i="3" s="1"/>
  <c r="AU323" i="3"/>
  <c r="AV323" i="3" s="1"/>
  <c r="AU322" i="3"/>
  <c r="AV322" i="3" s="1"/>
  <c r="AU321" i="3"/>
  <c r="AV321" i="3" s="1"/>
  <c r="AV320" i="3"/>
  <c r="AU320" i="3"/>
  <c r="AU319" i="3"/>
  <c r="AV319" i="3" s="1"/>
  <c r="AU318" i="3"/>
  <c r="AV318" i="3" s="1"/>
  <c r="AU317" i="3"/>
  <c r="AV317" i="3" s="1"/>
  <c r="AU316" i="3"/>
  <c r="AV316" i="3" s="1"/>
  <c r="AU315" i="3"/>
  <c r="AV315" i="3" s="1"/>
  <c r="AU314" i="3"/>
  <c r="AV314" i="3" s="1"/>
  <c r="AU313" i="3"/>
  <c r="AV313" i="3" s="1"/>
  <c r="AU312" i="3"/>
  <c r="AV312" i="3" s="1"/>
  <c r="AU311" i="3"/>
  <c r="AV311" i="3" s="1"/>
  <c r="AU310" i="3"/>
  <c r="AV310" i="3" s="1"/>
  <c r="AU309" i="3"/>
  <c r="AV309" i="3" s="1"/>
  <c r="AU308" i="3"/>
  <c r="AV308" i="3" s="1"/>
  <c r="AU307" i="3"/>
  <c r="AV307" i="3" s="1"/>
  <c r="AU306" i="3"/>
  <c r="AV306" i="3" s="1"/>
  <c r="AU305" i="3"/>
  <c r="AV305" i="3" s="1"/>
  <c r="AU304" i="3"/>
  <c r="AV304" i="3" s="1"/>
  <c r="AU303" i="3"/>
  <c r="AV303" i="3" s="1"/>
  <c r="AU302" i="3"/>
  <c r="AV302" i="3" s="1"/>
  <c r="AU301" i="3"/>
  <c r="AV301" i="3" s="1"/>
  <c r="AU300" i="3"/>
  <c r="AV300" i="3" s="1"/>
  <c r="AU299" i="3"/>
  <c r="AV299" i="3" s="1"/>
  <c r="AU298" i="3"/>
  <c r="AV298" i="3" s="1"/>
  <c r="AU297" i="3"/>
  <c r="AV297" i="3" s="1"/>
  <c r="AU296" i="3"/>
  <c r="AV296" i="3" s="1"/>
  <c r="AU295" i="3"/>
  <c r="AV295" i="3" s="1"/>
  <c r="AU294" i="3"/>
  <c r="AV294" i="3" s="1"/>
  <c r="AU293" i="3"/>
  <c r="AV293" i="3" s="1"/>
  <c r="AU292" i="3"/>
  <c r="AV292" i="3" s="1"/>
  <c r="AU291" i="3"/>
  <c r="AV291" i="3" s="1"/>
  <c r="AU290" i="3"/>
  <c r="AV290" i="3" s="1"/>
  <c r="AU289" i="3"/>
  <c r="AV289" i="3" s="1"/>
  <c r="AU288" i="3"/>
  <c r="AV288" i="3" s="1"/>
  <c r="AU287" i="3"/>
  <c r="AV287" i="3" s="1"/>
  <c r="AU286" i="3"/>
  <c r="AV286" i="3" s="1"/>
  <c r="AU285" i="3"/>
  <c r="AV285" i="3" s="1"/>
  <c r="AU284" i="3"/>
  <c r="AV284" i="3" s="1"/>
  <c r="AU283" i="3"/>
  <c r="AV283" i="3" s="1"/>
  <c r="AU282" i="3"/>
  <c r="AV282" i="3" s="1"/>
  <c r="AU281" i="3"/>
  <c r="AV281" i="3" s="1"/>
  <c r="AU280" i="3"/>
  <c r="AV280" i="3" s="1"/>
  <c r="AU279" i="3"/>
  <c r="AV279" i="3" s="1"/>
  <c r="AU278" i="3"/>
  <c r="AV278" i="3" s="1"/>
  <c r="AU277" i="3"/>
  <c r="AV277" i="3" s="1"/>
  <c r="AU276" i="3"/>
  <c r="AV276" i="3" s="1"/>
  <c r="AU275" i="3"/>
  <c r="AV275" i="3" s="1"/>
  <c r="AU274" i="3"/>
  <c r="AV274" i="3" s="1"/>
  <c r="AU273" i="3"/>
  <c r="AV273" i="3" s="1"/>
  <c r="AU272" i="3"/>
  <c r="AV272" i="3" s="1"/>
  <c r="AU271" i="3"/>
  <c r="AV271" i="3" s="1"/>
  <c r="AU270" i="3"/>
  <c r="AV270" i="3" s="1"/>
  <c r="AU269" i="3"/>
  <c r="AV269" i="3" s="1"/>
  <c r="AU268" i="3"/>
  <c r="AV268" i="3" s="1"/>
  <c r="AU267" i="3"/>
  <c r="AV267" i="3" s="1"/>
  <c r="AU266" i="3"/>
  <c r="AV266" i="3" s="1"/>
  <c r="AU265" i="3"/>
  <c r="AV265" i="3" s="1"/>
  <c r="AU264" i="3"/>
  <c r="AV264" i="3" s="1"/>
  <c r="AU263" i="3"/>
  <c r="AV263" i="3" s="1"/>
  <c r="AU262" i="3"/>
  <c r="AV262" i="3" s="1"/>
  <c r="AU261" i="3"/>
  <c r="AV261" i="3" s="1"/>
  <c r="AU260" i="3"/>
  <c r="AV260" i="3" s="1"/>
  <c r="AU259" i="3"/>
  <c r="AV259" i="3" s="1"/>
  <c r="AU258" i="3"/>
  <c r="AV258" i="3" s="1"/>
  <c r="AU257" i="3"/>
  <c r="AV257" i="3" s="1"/>
  <c r="AU256" i="3"/>
  <c r="AV256" i="3" s="1"/>
  <c r="AU255" i="3"/>
  <c r="AV255" i="3" s="1"/>
  <c r="AU254" i="3"/>
  <c r="AV254" i="3" s="1"/>
  <c r="AU253" i="3"/>
  <c r="AV253" i="3" s="1"/>
  <c r="AU252" i="3"/>
  <c r="AV252" i="3" s="1"/>
  <c r="AU251" i="3"/>
  <c r="AU250" i="3"/>
  <c r="AV250" i="3" s="1"/>
  <c r="AU249" i="3"/>
  <c r="AV249" i="3" s="1"/>
  <c r="AU248" i="3"/>
  <c r="AV248" i="3" s="1"/>
  <c r="AU247" i="3"/>
  <c r="AV247" i="3" s="1"/>
  <c r="AU246" i="3"/>
  <c r="AV246" i="3" s="1"/>
  <c r="AU245" i="3"/>
  <c r="AV245" i="3" s="1"/>
  <c r="AU244" i="3"/>
  <c r="AV244" i="3" s="1"/>
  <c r="AU243" i="3"/>
  <c r="AU242" i="3"/>
  <c r="AV242" i="3" s="1"/>
  <c r="AU241" i="3"/>
  <c r="AV241" i="3" s="1"/>
  <c r="AU240" i="3"/>
  <c r="AV240" i="3" s="1"/>
  <c r="AU239" i="3"/>
  <c r="AV239" i="3" s="1"/>
  <c r="AU238" i="3"/>
  <c r="AV238" i="3" s="1"/>
  <c r="AU237" i="3"/>
  <c r="AV237" i="3" s="1"/>
  <c r="AU236" i="3"/>
  <c r="AV236" i="3" s="1"/>
  <c r="AU235" i="3"/>
  <c r="AU234" i="3"/>
  <c r="AV234" i="3" s="1"/>
  <c r="AU233" i="3"/>
  <c r="AV233" i="3" s="1"/>
  <c r="AU232" i="3"/>
  <c r="AV232" i="3" s="1"/>
  <c r="AU231" i="3"/>
  <c r="AV231" i="3" s="1"/>
  <c r="AU230" i="3"/>
  <c r="AV230" i="3" s="1"/>
  <c r="AU229" i="3"/>
  <c r="AV229" i="3" s="1"/>
  <c r="AU228" i="3"/>
  <c r="AV228" i="3" s="1"/>
  <c r="AU227" i="3"/>
  <c r="AU226" i="3"/>
  <c r="AV226" i="3" s="1"/>
  <c r="AU225" i="3"/>
  <c r="AV225" i="3" s="1"/>
  <c r="AU224" i="3"/>
  <c r="AV224" i="3" s="1"/>
  <c r="AU223" i="3"/>
  <c r="AV223" i="3" s="1"/>
  <c r="AU222" i="3"/>
  <c r="AV222" i="3" s="1"/>
  <c r="AU221" i="3"/>
  <c r="AV221" i="3" s="1"/>
  <c r="AU220" i="3"/>
  <c r="AV220" i="3" s="1"/>
  <c r="AU219" i="3"/>
  <c r="AU218" i="3"/>
  <c r="AV218" i="3" s="1"/>
  <c r="AU217" i="3"/>
  <c r="AV217" i="3" s="1"/>
  <c r="AU216" i="3"/>
  <c r="AV216" i="3" s="1"/>
  <c r="AU215" i="3"/>
  <c r="AV215" i="3" s="1"/>
  <c r="AU214" i="3"/>
  <c r="AV214" i="3" s="1"/>
  <c r="AU213" i="3"/>
  <c r="AV213" i="3" s="1"/>
  <c r="AU212" i="3"/>
  <c r="AV212" i="3" s="1"/>
  <c r="AU211" i="3"/>
  <c r="AU210" i="3"/>
  <c r="AV210" i="3" s="1"/>
  <c r="AU209" i="3"/>
  <c r="AV209" i="3" s="1"/>
  <c r="AU208" i="3"/>
  <c r="AV208" i="3" s="1"/>
  <c r="AU207" i="3"/>
  <c r="AV207" i="3" s="1"/>
  <c r="AU206" i="3"/>
  <c r="AV206" i="3" s="1"/>
  <c r="AU205" i="3"/>
  <c r="AV205" i="3" s="1"/>
  <c r="AU204" i="3"/>
  <c r="AV204" i="3" s="1"/>
  <c r="AU203" i="3"/>
  <c r="AU202" i="3"/>
  <c r="AV202" i="3" s="1"/>
  <c r="AU201" i="3"/>
  <c r="AV201" i="3" s="1"/>
  <c r="AU200" i="3"/>
  <c r="AV200" i="3" s="1"/>
  <c r="AU199" i="3"/>
  <c r="AV199" i="3" s="1"/>
  <c r="AU198" i="3"/>
  <c r="AV198" i="3" s="1"/>
  <c r="AU197" i="3"/>
  <c r="AV197" i="3" s="1"/>
  <c r="AU196" i="3"/>
  <c r="AV196" i="3" s="1"/>
  <c r="AU195" i="3"/>
  <c r="AU194" i="3"/>
  <c r="AV194" i="3" s="1"/>
  <c r="AU193" i="3"/>
  <c r="AV193" i="3" s="1"/>
  <c r="AU192" i="3"/>
  <c r="AV192" i="3" s="1"/>
  <c r="AU191" i="3"/>
  <c r="AV191" i="3" s="1"/>
  <c r="AU190" i="3"/>
  <c r="AV190" i="3" s="1"/>
  <c r="AU189" i="3"/>
  <c r="AV189" i="3" s="1"/>
  <c r="AU188" i="3"/>
  <c r="AV188" i="3" s="1"/>
  <c r="AU187" i="3"/>
  <c r="AU186" i="3"/>
  <c r="AV186" i="3" s="1"/>
  <c r="AU185" i="3"/>
  <c r="AV185" i="3" s="1"/>
  <c r="AU184" i="3"/>
  <c r="AV184" i="3" s="1"/>
  <c r="AU183" i="3"/>
  <c r="AV183" i="3" s="1"/>
  <c r="AU182" i="3"/>
  <c r="AV182" i="3" s="1"/>
  <c r="AU181" i="3"/>
  <c r="AV181" i="3" s="1"/>
  <c r="AU180" i="3"/>
  <c r="AV180" i="3" s="1"/>
  <c r="AU179" i="3"/>
  <c r="AV179" i="3" s="1"/>
  <c r="AU178" i="3"/>
  <c r="AV178" i="3" s="1"/>
  <c r="AU177" i="3"/>
  <c r="AV177" i="3" s="1"/>
  <c r="AU176" i="3"/>
  <c r="AV176" i="3" s="1"/>
  <c r="AU175" i="3"/>
  <c r="AV175" i="3" s="1"/>
  <c r="AU174" i="3"/>
  <c r="AV174" i="3" s="1"/>
  <c r="AU173" i="3"/>
  <c r="AV173" i="3" s="1"/>
  <c r="AU172" i="3"/>
  <c r="AV172" i="3" s="1"/>
  <c r="AU171" i="3"/>
  <c r="AV171" i="3" s="1"/>
  <c r="AU170" i="3"/>
  <c r="AV170" i="3" s="1"/>
  <c r="AU169" i="3"/>
  <c r="AV169" i="3" s="1"/>
  <c r="AU168" i="3"/>
  <c r="AV168" i="3" s="1"/>
  <c r="AU167" i="3"/>
  <c r="AV167" i="3" s="1"/>
  <c r="AU166" i="3"/>
  <c r="AV166" i="3" s="1"/>
  <c r="AU165" i="3"/>
  <c r="AV165" i="3" s="1"/>
  <c r="AU164" i="3"/>
  <c r="AV164" i="3" s="1"/>
  <c r="AU163" i="3"/>
  <c r="AV163" i="3" s="1"/>
  <c r="AU162" i="3"/>
  <c r="AV162" i="3" s="1"/>
  <c r="AU161" i="3"/>
  <c r="AV161" i="3" s="1"/>
  <c r="AU160" i="3"/>
  <c r="AV160" i="3" s="1"/>
  <c r="AU159" i="3"/>
  <c r="AV159" i="3" s="1"/>
  <c r="AU158" i="3"/>
  <c r="AV158" i="3" s="1"/>
  <c r="AU157" i="3"/>
  <c r="AU156" i="3"/>
  <c r="AV156" i="3" s="1"/>
  <c r="AU155" i="3"/>
  <c r="AU154" i="3"/>
  <c r="AV154" i="3" s="1"/>
  <c r="AU153" i="3"/>
  <c r="AV153" i="3" s="1"/>
  <c r="AU152" i="3"/>
  <c r="AV152" i="3" s="1"/>
  <c r="AU151" i="3"/>
  <c r="AV151" i="3" s="1"/>
  <c r="AU150" i="3"/>
  <c r="AV150" i="3" s="1"/>
  <c r="AU149" i="3"/>
  <c r="AV149" i="3" s="1"/>
  <c r="AU148" i="3"/>
  <c r="AV148" i="3" s="1"/>
  <c r="AU147" i="3"/>
  <c r="AV147" i="3" s="1"/>
  <c r="AU146" i="3"/>
  <c r="AV146" i="3" s="1"/>
  <c r="AU145" i="3"/>
  <c r="AU144" i="3"/>
  <c r="AV144" i="3" s="1"/>
  <c r="AU143" i="3"/>
  <c r="AV143" i="3" s="1"/>
  <c r="AU142" i="3"/>
  <c r="AV142" i="3" s="1"/>
  <c r="AU141" i="3"/>
  <c r="AV141" i="3" s="1"/>
  <c r="AU140" i="3"/>
  <c r="AV140" i="3" s="1"/>
  <c r="AU139" i="3"/>
  <c r="AV139" i="3" s="1"/>
  <c r="AU138" i="3"/>
  <c r="AV138" i="3" s="1"/>
  <c r="AU137" i="3"/>
  <c r="AU136" i="3"/>
  <c r="AV136" i="3" s="1"/>
  <c r="AU135" i="3"/>
  <c r="AV135" i="3" s="1"/>
  <c r="AU134" i="3"/>
  <c r="AV134" i="3" s="1"/>
  <c r="AU133" i="3"/>
  <c r="AV133" i="3" s="1"/>
  <c r="AU132" i="3"/>
  <c r="AV132" i="3" s="1"/>
  <c r="AU131" i="3"/>
  <c r="AV131" i="3" s="1"/>
  <c r="AU130" i="3"/>
  <c r="AV130" i="3" s="1"/>
  <c r="AU129" i="3"/>
  <c r="AU128" i="3"/>
  <c r="AV128" i="3" s="1"/>
  <c r="AU127" i="3"/>
  <c r="AU126" i="3"/>
  <c r="AV126" i="3" s="1"/>
  <c r="AU125" i="3"/>
  <c r="AV125" i="3" s="1"/>
  <c r="AU124" i="3"/>
  <c r="AV124" i="3" s="1"/>
  <c r="AU123" i="3"/>
  <c r="AV123" i="3" s="1"/>
  <c r="AU122" i="3"/>
  <c r="AV122" i="3" s="1"/>
  <c r="AU121" i="3"/>
  <c r="AV121" i="3" s="1"/>
  <c r="AU120" i="3"/>
  <c r="AV120" i="3" s="1"/>
  <c r="AU119" i="3"/>
  <c r="AV119" i="3" s="1"/>
  <c r="AU118" i="3"/>
  <c r="AV118" i="3" s="1"/>
  <c r="AU117" i="3"/>
  <c r="AV117" i="3" s="1"/>
  <c r="AU116" i="3"/>
  <c r="AV116" i="3" s="1"/>
  <c r="AU115" i="3"/>
  <c r="AV115" i="3" s="1"/>
  <c r="AU114" i="3"/>
  <c r="AV114" i="3" s="1"/>
  <c r="AU113" i="3"/>
  <c r="AU112" i="3"/>
  <c r="AV112" i="3" s="1"/>
  <c r="AU111" i="3"/>
  <c r="AV111" i="3" s="1"/>
  <c r="AU110" i="3"/>
  <c r="AV110" i="3" s="1"/>
  <c r="AU109" i="3"/>
  <c r="AV109" i="3" s="1"/>
  <c r="AU108" i="3"/>
  <c r="AV108" i="3" s="1"/>
  <c r="AU107" i="3"/>
  <c r="AV107" i="3" s="1"/>
  <c r="AU106" i="3"/>
  <c r="AV106" i="3" s="1"/>
  <c r="AU105" i="3"/>
  <c r="AU104" i="3"/>
  <c r="AV104" i="3" s="1"/>
  <c r="AU103" i="3"/>
  <c r="AV103" i="3" s="1"/>
  <c r="AU102" i="3"/>
  <c r="AV102" i="3" s="1"/>
  <c r="AU101" i="3"/>
  <c r="AV101" i="3" s="1"/>
  <c r="AU100" i="3"/>
  <c r="AV100" i="3" s="1"/>
  <c r="AU99" i="3"/>
  <c r="AU98" i="3"/>
  <c r="AV98" i="3" s="1"/>
  <c r="AU97" i="3"/>
  <c r="AV97" i="3" s="1"/>
  <c r="AU96" i="3"/>
  <c r="AV96" i="3" s="1"/>
  <c r="AU95" i="3"/>
  <c r="AU94" i="3"/>
  <c r="AV94" i="3" s="1"/>
  <c r="AU93" i="3"/>
  <c r="AV93" i="3" s="1"/>
  <c r="AU92" i="3"/>
  <c r="AV92" i="3" s="1"/>
  <c r="AU91" i="3"/>
  <c r="AU90" i="3"/>
  <c r="AV90" i="3" s="1"/>
  <c r="AU89" i="3"/>
  <c r="AV89" i="3" s="1"/>
  <c r="AU88" i="3"/>
  <c r="AU87" i="3"/>
  <c r="AV87" i="3" s="1"/>
  <c r="AU86" i="3"/>
  <c r="AV86" i="3" s="1"/>
  <c r="AU85" i="3"/>
  <c r="AU84" i="3"/>
  <c r="AU83" i="3"/>
  <c r="AU82" i="3"/>
  <c r="AV82" i="3" s="1"/>
  <c r="AU81" i="3"/>
  <c r="AV81" i="3" s="1"/>
  <c r="AU80" i="3"/>
  <c r="AV80" i="3" s="1"/>
  <c r="AU79" i="3"/>
  <c r="AU78" i="3"/>
  <c r="AV78" i="3" s="1"/>
  <c r="AU77" i="3"/>
  <c r="AV77" i="3" s="1"/>
  <c r="AU76" i="3"/>
  <c r="AV76" i="3" s="1"/>
  <c r="AU75" i="3"/>
  <c r="AU74" i="3"/>
  <c r="AV74" i="3" s="1"/>
  <c r="AU73" i="3"/>
  <c r="AV73" i="3" s="1"/>
  <c r="AU72" i="3"/>
  <c r="AV72" i="3" s="1"/>
  <c r="AU71" i="3"/>
  <c r="AU70" i="3"/>
  <c r="AV70" i="3" s="1"/>
  <c r="AU69" i="3"/>
  <c r="AV69" i="3" s="1"/>
  <c r="AU68" i="3"/>
  <c r="AV68" i="3" s="1"/>
  <c r="AU67" i="3"/>
  <c r="AU66" i="3"/>
  <c r="AV66" i="3" s="1"/>
  <c r="AU65" i="3"/>
  <c r="AV65" i="3" s="1"/>
  <c r="AU64" i="3"/>
  <c r="AV64" i="3" s="1"/>
  <c r="AU63" i="3"/>
  <c r="AV63" i="3" s="1"/>
  <c r="AU62" i="3"/>
  <c r="AV62" i="3" s="1"/>
  <c r="AU61" i="3"/>
  <c r="AV61" i="3" s="1"/>
  <c r="AU60" i="3"/>
  <c r="AV60" i="3" s="1"/>
  <c r="AU59" i="3"/>
  <c r="AU58" i="3"/>
  <c r="AU57" i="3"/>
  <c r="AV57" i="3" s="1"/>
  <c r="AU56" i="3"/>
  <c r="AV56" i="3" s="1"/>
  <c r="AU55" i="3"/>
  <c r="AV55" i="3" s="1"/>
  <c r="AU54" i="3"/>
  <c r="AV54" i="3" s="1"/>
  <c r="AU53" i="3"/>
  <c r="AU52" i="3"/>
  <c r="AV52" i="3" s="1"/>
  <c r="AU51" i="3"/>
  <c r="AU50" i="3"/>
  <c r="AU49" i="3"/>
  <c r="AV49" i="3" s="1"/>
  <c r="AU48" i="3"/>
  <c r="AV48" i="3" s="1"/>
  <c r="AU47" i="3"/>
  <c r="AU46" i="3"/>
  <c r="AV46" i="3" s="1"/>
  <c r="AU45" i="3"/>
  <c r="AU44" i="3"/>
  <c r="AV44" i="3" s="1"/>
  <c r="AU43" i="3"/>
  <c r="AU42" i="3"/>
  <c r="AV42" i="3" s="1"/>
  <c r="AU41" i="3"/>
  <c r="AV41" i="3" s="1"/>
  <c r="AU40" i="3"/>
  <c r="AV40" i="3" s="1"/>
  <c r="AU39" i="3"/>
  <c r="AV39" i="3" s="1"/>
  <c r="AU38" i="3"/>
  <c r="AV38" i="3" s="1"/>
  <c r="AU37" i="3"/>
  <c r="AV37" i="3" s="1"/>
  <c r="AU36" i="3"/>
  <c r="AV36" i="3" s="1"/>
  <c r="AU35" i="3"/>
  <c r="AV35" i="3" s="1"/>
  <c r="C29" i="3"/>
  <c r="AU34" i="3"/>
  <c r="AV34" i="3" s="1"/>
  <c r="AU33" i="3"/>
  <c r="AV33" i="3" s="1"/>
  <c r="AU32" i="3"/>
  <c r="AU31" i="3"/>
  <c r="AV31" i="3" s="1"/>
  <c r="AU30" i="3"/>
  <c r="AV30" i="3" s="1"/>
  <c r="AU29" i="3"/>
  <c r="AV29" i="3" s="1"/>
  <c r="AU28" i="3"/>
  <c r="AU27" i="3"/>
  <c r="AV27" i="3" s="1"/>
  <c r="AU26" i="3"/>
  <c r="AV26" i="3" s="1"/>
  <c r="AU25" i="3"/>
  <c r="AU24" i="3"/>
  <c r="AU23" i="3"/>
  <c r="AV23" i="3" s="1"/>
  <c r="AU22" i="3"/>
  <c r="AU21" i="3"/>
  <c r="AV21" i="3" s="1"/>
  <c r="AU20" i="3"/>
  <c r="AV20" i="3" s="1"/>
  <c r="AU19" i="3"/>
  <c r="AV19" i="3" s="1"/>
  <c r="AU18" i="3"/>
  <c r="AV18" i="3" s="1"/>
  <c r="AU17" i="3"/>
  <c r="AV17" i="3" s="1"/>
  <c r="AU16" i="3"/>
  <c r="AV16" i="3" s="1"/>
  <c r="AU15" i="3"/>
  <c r="AV15" i="3" s="1"/>
  <c r="AU14" i="3"/>
  <c r="AV14" i="3" s="1"/>
  <c r="AU13" i="3"/>
  <c r="AV13" i="3" s="1"/>
  <c r="AU12" i="3"/>
  <c r="AV12" i="3" s="1"/>
  <c r="C9" i="3"/>
  <c r="D10" i="3" s="1"/>
  <c r="AU11" i="3"/>
  <c r="AV11" i="3" s="1"/>
  <c r="AU10" i="3"/>
  <c r="AV10" i="3" s="1"/>
  <c r="AU9" i="3"/>
  <c r="AV9" i="3" s="1"/>
  <c r="AU8" i="3"/>
  <c r="AV8" i="3" s="1"/>
  <c r="AU7" i="3"/>
  <c r="AV7" i="3" s="1"/>
  <c r="AS7" i="3"/>
  <c r="E7" i="3"/>
  <c r="E8" i="3" s="1"/>
  <c r="AU6" i="3"/>
  <c r="AS6" i="3"/>
  <c r="AR6" i="3"/>
  <c r="E6" i="3"/>
  <c r="AU5" i="3"/>
  <c r="AV5" i="3" s="1"/>
  <c r="AS5" i="3"/>
  <c r="AR5" i="3"/>
  <c r="AH5" i="3"/>
  <c r="E5" i="3"/>
  <c r="AY4" i="3"/>
  <c r="AU4" i="3"/>
  <c r="AR4" i="3"/>
  <c r="I4" i="3"/>
  <c r="M4" i="3" s="1"/>
  <c r="F4" i="3"/>
  <c r="F5" i="3" s="1"/>
  <c r="B12" i="1"/>
  <c r="C10" i="1"/>
  <c r="D10" i="1" s="1"/>
  <c r="C12" i="1"/>
  <c r="D12" i="1" s="1"/>
  <c r="B11" i="1"/>
  <c r="B39" i="1"/>
  <c r="AG6" i="1"/>
  <c r="S4" i="1"/>
  <c r="C35" i="1"/>
  <c r="AU1803" i="1"/>
  <c r="AU1802" i="1"/>
  <c r="AU1801" i="1"/>
  <c r="AU1800" i="1"/>
  <c r="AU1799" i="1"/>
  <c r="AU1798" i="1"/>
  <c r="AU1797" i="1"/>
  <c r="AU1796" i="1"/>
  <c r="AU1795" i="1"/>
  <c r="AU1794" i="1"/>
  <c r="AU1793" i="1"/>
  <c r="AU1792" i="1"/>
  <c r="AU1791" i="1"/>
  <c r="AU1790" i="1"/>
  <c r="AU1789" i="1"/>
  <c r="AU1788" i="1"/>
  <c r="AU1787" i="1"/>
  <c r="AU1786" i="1"/>
  <c r="AU1785" i="1"/>
  <c r="AU1784" i="1"/>
  <c r="AU1783" i="1"/>
  <c r="AU1782" i="1"/>
  <c r="AU1781" i="1"/>
  <c r="AU1780" i="1"/>
  <c r="AU1779" i="1"/>
  <c r="AU1778" i="1"/>
  <c r="AU1777" i="1"/>
  <c r="AU1776" i="1"/>
  <c r="AU1775" i="1"/>
  <c r="AU1774" i="1"/>
  <c r="AU1773" i="1"/>
  <c r="AU1772" i="1"/>
  <c r="AU1771" i="1"/>
  <c r="AU1770" i="1"/>
  <c r="AU1769" i="1"/>
  <c r="AU1768" i="1"/>
  <c r="AU1767" i="1"/>
  <c r="AU1766" i="1"/>
  <c r="AU1765" i="1"/>
  <c r="AU1764" i="1"/>
  <c r="AU1763" i="1"/>
  <c r="AU1762" i="1"/>
  <c r="AU1761" i="1"/>
  <c r="AU1760" i="1"/>
  <c r="AU1759" i="1"/>
  <c r="AU1758" i="1"/>
  <c r="AU1757" i="1"/>
  <c r="AU1756" i="1"/>
  <c r="AU1755" i="1"/>
  <c r="AU1754" i="1"/>
  <c r="AU1753" i="1"/>
  <c r="AU1752" i="1"/>
  <c r="AU1751" i="1"/>
  <c r="AU1750" i="1"/>
  <c r="AU1749" i="1"/>
  <c r="AU1748" i="1"/>
  <c r="AU1747" i="1"/>
  <c r="AU1746" i="1"/>
  <c r="AU1745" i="1"/>
  <c r="AU1744" i="1"/>
  <c r="AU1743" i="1"/>
  <c r="AU1742" i="1"/>
  <c r="AU1741" i="1"/>
  <c r="AU1740" i="1"/>
  <c r="AU1739" i="1"/>
  <c r="AU1738" i="1"/>
  <c r="AU1737" i="1"/>
  <c r="AU1736" i="1"/>
  <c r="AU1735" i="1"/>
  <c r="AU1734" i="1"/>
  <c r="AU1733" i="1"/>
  <c r="AU1732" i="1"/>
  <c r="AU1731" i="1"/>
  <c r="AU1730" i="1"/>
  <c r="AU1729" i="1"/>
  <c r="AU1728" i="1"/>
  <c r="AU1727" i="1"/>
  <c r="AU1726" i="1"/>
  <c r="AU1725" i="1"/>
  <c r="AU1724" i="1"/>
  <c r="AU1723" i="1"/>
  <c r="AU1722" i="1"/>
  <c r="AU1721" i="1"/>
  <c r="AU1720" i="1"/>
  <c r="AU1719" i="1"/>
  <c r="AU1718" i="1"/>
  <c r="AU1717" i="1"/>
  <c r="AU1716" i="1"/>
  <c r="AU1715" i="1"/>
  <c r="AU1714" i="1"/>
  <c r="AU1713" i="1"/>
  <c r="AU1712" i="1"/>
  <c r="AU1711" i="1"/>
  <c r="AU1710" i="1"/>
  <c r="AU1709" i="1"/>
  <c r="AU1708" i="1"/>
  <c r="AU1707" i="1"/>
  <c r="AU1706" i="1"/>
  <c r="AU1705" i="1"/>
  <c r="AU1704" i="1"/>
  <c r="AU1703" i="1"/>
  <c r="AU1702" i="1"/>
  <c r="AU1701" i="1"/>
  <c r="AU1700" i="1"/>
  <c r="AU1699" i="1"/>
  <c r="AU1698" i="1"/>
  <c r="AU1697" i="1"/>
  <c r="AU1696" i="1"/>
  <c r="AU1695" i="1"/>
  <c r="AU1694" i="1"/>
  <c r="AU1693" i="1"/>
  <c r="AU1692" i="1"/>
  <c r="AU1691" i="1"/>
  <c r="AU1690" i="1"/>
  <c r="AU1689" i="1"/>
  <c r="AU1688" i="1"/>
  <c r="AU1687" i="1"/>
  <c r="AU1686" i="1"/>
  <c r="AU1685" i="1"/>
  <c r="AU1684" i="1"/>
  <c r="AU1683" i="1"/>
  <c r="AU1682" i="1"/>
  <c r="AU1681" i="1"/>
  <c r="AU1680" i="1"/>
  <c r="AU1679" i="1"/>
  <c r="AU1678" i="1"/>
  <c r="AU1677" i="1"/>
  <c r="AU1676" i="1"/>
  <c r="AU1675" i="1"/>
  <c r="AU1674" i="1"/>
  <c r="AU1673" i="1"/>
  <c r="AU1672" i="1"/>
  <c r="AU1671" i="1"/>
  <c r="AU1670" i="1"/>
  <c r="AU1669" i="1"/>
  <c r="AU1668" i="1"/>
  <c r="AU1667" i="1"/>
  <c r="AU1666" i="1"/>
  <c r="AU1665" i="1"/>
  <c r="AU1664" i="1"/>
  <c r="AU1663" i="1"/>
  <c r="AU1662" i="1"/>
  <c r="AU1661" i="1"/>
  <c r="AU1660" i="1"/>
  <c r="AU1659" i="1"/>
  <c r="AU1658" i="1"/>
  <c r="AU1657" i="1"/>
  <c r="AU1656" i="1"/>
  <c r="AU1655" i="1"/>
  <c r="AU1654" i="1"/>
  <c r="AU1653" i="1"/>
  <c r="AU1652" i="1"/>
  <c r="AU1651" i="1"/>
  <c r="AU1650" i="1"/>
  <c r="AU1649" i="1"/>
  <c r="AU1648" i="1"/>
  <c r="AU1647" i="1"/>
  <c r="AU1646" i="1"/>
  <c r="AU1645" i="1"/>
  <c r="AU1644" i="1"/>
  <c r="AU1643" i="1"/>
  <c r="AU1642" i="1"/>
  <c r="AU1641" i="1"/>
  <c r="AU1640" i="1"/>
  <c r="AU1639" i="1"/>
  <c r="AU1638" i="1"/>
  <c r="AU1637" i="1"/>
  <c r="AU1636" i="1"/>
  <c r="AU1635" i="1"/>
  <c r="AU1634" i="1"/>
  <c r="AU1633" i="1"/>
  <c r="AU1632" i="1"/>
  <c r="AU1631" i="1"/>
  <c r="AU1630" i="1"/>
  <c r="AU1629" i="1"/>
  <c r="AU1628" i="1"/>
  <c r="AU1627" i="1"/>
  <c r="AU1626" i="1"/>
  <c r="AU1625" i="1"/>
  <c r="AU1624" i="1"/>
  <c r="AU1623" i="1"/>
  <c r="AU1622" i="1"/>
  <c r="AU1621" i="1"/>
  <c r="AU1620" i="1"/>
  <c r="AU1619" i="1"/>
  <c r="AU1618" i="1"/>
  <c r="AU1617" i="1"/>
  <c r="AU1616" i="1"/>
  <c r="AU1615" i="1"/>
  <c r="AU1614" i="1"/>
  <c r="AU1613" i="1"/>
  <c r="AU1612" i="1"/>
  <c r="AU1611" i="1"/>
  <c r="AU1610" i="1"/>
  <c r="AU1609" i="1"/>
  <c r="AU1608" i="1"/>
  <c r="AU1607" i="1"/>
  <c r="AU1606" i="1"/>
  <c r="AU1605" i="1"/>
  <c r="AU1604" i="1"/>
  <c r="AU1603" i="1"/>
  <c r="AU1602" i="1"/>
  <c r="AU1601" i="1"/>
  <c r="AU1600" i="1"/>
  <c r="AU1599" i="1"/>
  <c r="AU1598" i="1"/>
  <c r="AU1597" i="1"/>
  <c r="AU1596" i="1"/>
  <c r="AU1595" i="1"/>
  <c r="AU1594" i="1"/>
  <c r="AU1593" i="1"/>
  <c r="AU1592" i="1"/>
  <c r="AU1591" i="1"/>
  <c r="AU1590" i="1"/>
  <c r="AU1589" i="1"/>
  <c r="AU1588" i="1"/>
  <c r="AU1587" i="1"/>
  <c r="AU1586" i="1"/>
  <c r="AU1585" i="1"/>
  <c r="AU1584" i="1"/>
  <c r="AU1583" i="1"/>
  <c r="AU1582" i="1"/>
  <c r="AU1581" i="1"/>
  <c r="AU1580" i="1"/>
  <c r="AU1579" i="1"/>
  <c r="AU1578" i="1"/>
  <c r="AU1577" i="1"/>
  <c r="AU1576" i="1"/>
  <c r="AU1575" i="1"/>
  <c r="AU1574" i="1"/>
  <c r="AU1573" i="1"/>
  <c r="AU1572" i="1"/>
  <c r="AU1571" i="1"/>
  <c r="AU1570" i="1"/>
  <c r="AU1569" i="1"/>
  <c r="AU1568" i="1"/>
  <c r="AU1567" i="1"/>
  <c r="AU1566" i="1"/>
  <c r="AU1565" i="1"/>
  <c r="AU1564" i="1"/>
  <c r="AU1563" i="1"/>
  <c r="AU1562" i="1"/>
  <c r="AU1561" i="1"/>
  <c r="AU1560" i="1"/>
  <c r="AU1559" i="1"/>
  <c r="AU1558" i="1"/>
  <c r="AU1557" i="1"/>
  <c r="AU1556" i="1"/>
  <c r="AU1555" i="1"/>
  <c r="AU1554" i="1"/>
  <c r="AU1553" i="1"/>
  <c r="AU1552" i="1"/>
  <c r="AU1551" i="1"/>
  <c r="AU1550" i="1"/>
  <c r="AU1549" i="1"/>
  <c r="AU1548" i="1"/>
  <c r="AU1547" i="1"/>
  <c r="AU1546" i="1"/>
  <c r="AU1545" i="1"/>
  <c r="AU1544" i="1"/>
  <c r="AU1543" i="1"/>
  <c r="AU1542" i="1"/>
  <c r="AU1541" i="1"/>
  <c r="AU1540" i="1"/>
  <c r="AU1539" i="1"/>
  <c r="AU1538" i="1"/>
  <c r="AU1537" i="1"/>
  <c r="AU1536" i="1"/>
  <c r="AU1535" i="1"/>
  <c r="AU1534" i="1"/>
  <c r="AU1533" i="1"/>
  <c r="AU1532" i="1"/>
  <c r="AU1531" i="1"/>
  <c r="AU1530" i="1"/>
  <c r="AU1529" i="1"/>
  <c r="AU1528" i="1"/>
  <c r="AU1527" i="1"/>
  <c r="AU1526" i="1"/>
  <c r="AU1525" i="1"/>
  <c r="AU1524" i="1"/>
  <c r="AU1523" i="1"/>
  <c r="AU1522" i="1"/>
  <c r="AU1521" i="1"/>
  <c r="AU1520" i="1"/>
  <c r="AU1519" i="1"/>
  <c r="AU1518" i="1"/>
  <c r="AU1517" i="1"/>
  <c r="AU1516" i="1"/>
  <c r="AU1515" i="1"/>
  <c r="AU1514" i="1"/>
  <c r="AU1513" i="1"/>
  <c r="AU1512" i="1"/>
  <c r="AU1511" i="1"/>
  <c r="AU1510" i="1"/>
  <c r="AU1509" i="1"/>
  <c r="AU1508" i="1"/>
  <c r="AU1507" i="1"/>
  <c r="AU1506" i="1"/>
  <c r="AU1505" i="1"/>
  <c r="AU1504" i="1"/>
  <c r="AU1503" i="1"/>
  <c r="AU1502" i="1"/>
  <c r="AU1501" i="1"/>
  <c r="AU1500" i="1"/>
  <c r="AU1499" i="1"/>
  <c r="AU1498" i="1"/>
  <c r="AU1497" i="1"/>
  <c r="AU1496" i="1"/>
  <c r="AU1495" i="1"/>
  <c r="AU1494" i="1"/>
  <c r="AU1493" i="1"/>
  <c r="AU1492" i="1"/>
  <c r="AU1491" i="1"/>
  <c r="AU1490" i="1"/>
  <c r="AU1489" i="1"/>
  <c r="AU1488" i="1"/>
  <c r="AU1487" i="1"/>
  <c r="AU1486" i="1"/>
  <c r="AU1485" i="1"/>
  <c r="AU1484" i="1"/>
  <c r="AU1483" i="1"/>
  <c r="AU1482" i="1"/>
  <c r="AU1481" i="1"/>
  <c r="AU1480" i="1"/>
  <c r="AU1479" i="1"/>
  <c r="AU1478" i="1"/>
  <c r="AU1477" i="1"/>
  <c r="AU1476" i="1"/>
  <c r="AU1475" i="1"/>
  <c r="AU1474" i="1"/>
  <c r="AU1473" i="1"/>
  <c r="AU1472" i="1"/>
  <c r="AU1471" i="1"/>
  <c r="AU1470" i="1"/>
  <c r="AU1469" i="1"/>
  <c r="AU1468" i="1"/>
  <c r="AU1467" i="1"/>
  <c r="AU1466" i="1"/>
  <c r="AU1465" i="1"/>
  <c r="AU1464" i="1"/>
  <c r="AU1463" i="1"/>
  <c r="AU1462" i="1"/>
  <c r="AU1461" i="1"/>
  <c r="AU1460" i="1"/>
  <c r="AU1459" i="1"/>
  <c r="AU1458" i="1"/>
  <c r="AU1457" i="1"/>
  <c r="AU1456" i="1"/>
  <c r="AU1455" i="1"/>
  <c r="AU1454" i="1"/>
  <c r="AU1453" i="1"/>
  <c r="AU1452" i="1"/>
  <c r="AU1451" i="1"/>
  <c r="AU1450" i="1"/>
  <c r="AU1449" i="1"/>
  <c r="AU1448" i="1"/>
  <c r="AU1447" i="1"/>
  <c r="AU1446" i="1"/>
  <c r="AU1445" i="1"/>
  <c r="AU1444" i="1"/>
  <c r="AU1443" i="1"/>
  <c r="AU1442" i="1"/>
  <c r="AU1441" i="1"/>
  <c r="AU1440" i="1"/>
  <c r="AU1439" i="1"/>
  <c r="AU1438" i="1"/>
  <c r="AU1437" i="1"/>
  <c r="AU1436" i="1"/>
  <c r="AU1435" i="1"/>
  <c r="AU1434" i="1"/>
  <c r="AU1433" i="1"/>
  <c r="AU1432" i="1"/>
  <c r="AU1431" i="1"/>
  <c r="AU1430" i="1"/>
  <c r="AU1429" i="1"/>
  <c r="AU1428" i="1"/>
  <c r="AU1427" i="1"/>
  <c r="AU1426" i="1"/>
  <c r="AU1425" i="1"/>
  <c r="AU1424" i="1"/>
  <c r="AU1423" i="1"/>
  <c r="AU1422" i="1"/>
  <c r="AU1421" i="1"/>
  <c r="AU1420" i="1"/>
  <c r="AU1419" i="1"/>
  <c r="AU1418" i="1"/>
  <c r="AU1417" i="1"/>
  <c r="AU1416" i="1"/>
  <c r="AU1415" i="1"/>
  <c r="AU1414" i="1"/>
  <c r="AU1413" i="1"/>
  <c r="AU1412" i="1"/>
  <c r="AU1411" i="1"/>
  <c r="AU1410" i="1"/>
  <c r="AU1409" i="1"/>
  <c r="AU1408" i="1"/>
  <c r="AU1407" i="1"/>
  <c r="AU1406" i="1"/>
  <c r="AU1405" i="1"/>
  <c r="AU1404" i="1"/>
  <c r="AU1403" i="1"/>
  <c r="AU1402" i="1"/>
  <c r="AU1401" i="1"/>
  <c r="AU1400" i="1"/>
  <c r="AU1399" i="1"/>
  <c r="AU1398" i="1"/>
  <c r="AU1397" i="1"/>
  <c r="AU1396" i="1"/>
  <c r="AU1395" i="1"/>
  <c r="AU1394" i="1"/>
  <c r="AU1393" i="1"/>
  <c r="AU1392" i="1"/>
  <c r="AU1391" i="1"/>
  <c r="AU1390" i="1"/>
  <c r="AU1389" i="1"/>
  <c r="AU1388" i="1"/>
  <c r="AU1387" i="1"/>
  <c r="AU1386" i="1"/>
  <c r="AU1385" i="1"/>
  <c r="AU1384" i="1"/>
  <c r="AU1383" i="1"/>
  <c r="AU1382" i="1"/>
  <c r="AU1381" i="1"/>
  <c r="AU1380" i="1"/>
  <c r="AU1379" i="1"/>
  <c r="AU1378" i="1"/>
  <c r="AU1377" i="1"/>
  <c r="AU1376" i="1"/>
  <c r="AU1375" i="1"/>
  <c r="AU1374" i="1"/>
  <c r="AU1373" i="1"/>
  <c r="AU1372" i="1"/>
  <c r="AU1371" i="1"/>
  <c r="AU1370" i="1"/>
  <c r="AU1369" i="1"/>
  <c r="AU1368" i="1"/>
  <c r="AU1367" i="1"/>
  <c r="AU1366" i="1"/>
  <c r="AU1365" i="1"/>
  <c r="AU1364" i="1"/>
  <c r="AU1363" i="1"/>
  <c r="AU1362" i="1"/>
  <c r="AU1361" i="1"/>
  <c r="AU1360" i="1"/>
  <c r="AU1359" i="1"/>
  <c r="AU1358" i="1"/>
  <c r="AU1357" i="1"/>
  <c r="AU1356" i="1"/>
  <c r="AU1355" i="1"/>
  <c r="AU1354" i="1"/>
  <c r="AU1353" i="1"/>
  <c r="AU1352" i="1"/>
  <c r="AU1351" i="1"/>
  <c r="AU1350" i="1"/>
  <c r="AU1349" i="1"/>
  <c r="AU1348" i="1"/>
  <c r="AU1347" i="1"/>
  <c r="AU1346" i="1"/>
  <c r="AU1345" i="1"/>
  <c r="AU1344" i="1"/>
  <c r="AU1343" i="1"/>
  <c r="AU1342" i="1"/>
  <c r="AU1341" i="1"/>
  <c r="AU1340" i="1"/>
  <c r="AU1339" i="1"/>
  <c r="AU1338" i="1"/>
  <c r="AU1337" i="1"/>
  <c r="AU1336" i="1"/>
  <c r="AU1335" i="1"/>
  <c r="AU1334" i="1"/>
  <c r="AU1333" i="1"/>
  <c r="AU1332" i="1"/>
  <c r="AU1331" i="1"/>
  <c r="AU1330" i="1"/>
  <c r="AU1329" i="1"/>
  <c r="AU1328" i="1"/>
  <c r="AU1327" i="1"/>
  <c r="AU1326" i="1"/>
  <c r="AU1325" i="1"/>
  <c r="AU1324" i="1"/>
  <c r="AU1323" i="1"/>
  <c r="AU1322" i="1"/>
  <c r="AU1321" i="1"/>
  <c r="AU1320" i="1"/>
  <c r="AU1319" i="1"/>
  <c r="AU1318" i="1"/>
  <c r="AU1317" i="1"/>
  <c r="AU1316" i="1"/>
  <c r="AU1315" i="1"/>
  <c r="AU1314" i="1"/>
  <c r="AU1313" i="1"/>
  <c r="AU1312" i="1"/>
  <c r="AU1311" i="1"/>
  <c r="AU1310" i="1"/>
  <c r="AU1309" i="1"/>
  <c r="AU1308" i="1"/>
  <c r="AU1307" i="1"/>
  <c r="AU1306" i="1"/>
  <c r="AU1305" i="1"/>
  <c r="AU1304" i="1"/>
  <c r="AU1303" i="1"/>
  <c r="AU1302" i="1"/>
  <c r="AU1301" i="1"/>
  <c r="AU1300" i="1"/>
  <c r="AU1299" i="1"/>
  <c r="AU1298" i="1"/>
  <c r="AU1297" i="1"/>
  <c r="AU1296" i="1"/>
  <c r="AU1295" i="1"/>
  <c r="AU1294" i="1"/>
  <c r="AU1293" i="1"/>
  <c r="AU1292" i="1"/>
  <c r="AU1291" i="1"/>
  <c r="AU1290" i="1"/>
  <c r="AU1289" i="1"/>
  <c r="AU1288" i="1"/>
  <c r="AU1287" i="1"/>
  <c r="AU1286" i="1"/>
  <c r="AU1285" i="1"/>
  <c r="AU1284" i="1"/>
  <c r="AU1283" i="1"/>
  <c r="AU1282" i="1"/>
  <c r="AU1281" i="1"/>
  <c r="AU1280" i="1"/>
  <c r="AU1279" i="1"/>
  <c r="AU1278" i="1"/>
  <c r="AU1277" i="1"/>
  <c r="AU1276" i="1"/>
  <c r="AU1275" i="1"/>
  <c r="AU1274" i="1"/>
  <c r="AU1273" i="1"/>
  <c r="AU1272" i="1"/>
  <c r="AU1271" i="1"/>
  <c r="AU1270" i="1"/>
  <c r="AU1269" i="1"/>
  <c r="AU1268" i="1"/>
  <c r="AU1267" i="1"/>
  <c r="AU1266" i="1"/>
  <c r="AU1265" i="1"/>
  <c r="AU1264" i="1"/>
  <c r="AU1263" i="1"/>
  <c r="AU1262" i="1"/>
  <c r="AU1261" i="1"/>
  <c r="AU1260" i="1"/>
  <c r="AU1259" i="1"/>
  <c r="AU1258" i="1"/>
  <c r="AU1257" i="1"/>
  <c r="AU1256" i="1"/>
  <c r="AU1255" i="1"/>
  <c r="AU1254" i="1"/>
  <c r="AU1253" i="1"/>
  <c r="AU1252" i="1"/>
  <c r="AU1251" i="1"/>
  <c r="AU1250" i="1"/>
  <c r="AU1249" i="1"/>
  <c r="AU1248" i="1"/>
  <c r="AU1247" i="1"/>
  <c r="AU1246" i="1"/>
  <c r="AU1245" i="1"/>
  <c r="AU1244" i="1"/>
  <c r="AU1243" i="1"/>
  <c r="AU1242" i="1"/>
  <c r="AU1241" i="1"/>
  <c r="AU1240" i="1"/>
  <c r="AU1239" i="1"/>
  <c r="AU1238" i="1"/>
  <c r="AU1237" i="1"/>
  <c r="AU1236" i="1"/>
  <c r="AU1235" i="1"/>
  <c r="AU1234" i="1"/>
  <c r="AU1233" i="1"/>
  <c r="AU1232" i="1"/>
  <c r="AU1231" i="1"/>
  <c r="AU1230" i="1"/>
  <c r="AU1229" i="1"/>
  <c r="AU1228" i="1"/>
  <c r="AU1227" i="1"/>
  <c r="AU1226" i="1"/>
  <c r="AU1225" i="1"/>
  <c r="AU1224" i="1"/>
  <c r="AU1223" i="1"/>
  <c r="AU1222" i="1"/>
  <c r="AU1221" i="1"/>
  <c r="AU1220" i="1"/>
  <c r="AU1219" i="1"/>
  <c r="AU1218" i="1"/>
  <c r="AU1217" i="1"/>
  <c r="AU1216" i="1"/>
  <c r="AU1215" i="1"/>
  <c r="AU1214" i="1"/>
  <c r="AU1213" i="1"/>
  <c r="AU1212" i="1"/>
  <c r="AU1211" i="1"/>
  <c r="AU1210" i="1"/>
  <c r="AU1209" i="1"/>
  <c r="AU1208" i="1"/>
  <c r="AU1207" i="1"/>
  <c r="AU1206" i="1"/>
  <c r="AU1205" i="1"/>
  <c r="AU1204" i="1"/>
  <c r="AU1203" i="1"/>
  <c r="AU1202" i="1"/>
  <c r="AU1201" i="1"/>
  <c r="AU1200" i="1"/>
  <c r="AU1199" i="1"/>
  <c r="AU1198" i="1"/>
  <c r="AU1197" i="1"/>
  <c r="AU1196" i="1"/>
  <c r="AU1195" i="1"/>
  <c r="AU1194" i="1"/>
  <c r="AU1193" i="1"/>
  <c r="AU1192" i="1"/>
  <c r="AU1191" i="1"/>
  <c r="AU1190" i="1"/>
  <c r="AU1189" i="1"/>
  <c r="AU1188" i="1"/>
  <c r="AU1187" i="1"/>
  <c r="AU1186" i="1"/>
  <c r="AU1185" i="1"/>
  <c r="AU1184" i="1"/>
  <c r="AU1183" i="1"/>
  <c r="AU1182" i="1"/>
  <c r="AU1181" i="1"/>
  <c r="AU1180" i="1"/>
  <c r="AU1179" i="1"/>
  <c r="AU1178" i="1"/>
  <c r="AU1177" i="1"/>
  <c r="AU1176" i="1"/>
  <c r="AU1175" i="1"/>
  <c r="AU1174" i="1"/>
  <c r="AU1173" i="1"/>
  <c r="AU1172" i="1"/>
  <c r="AU1171" i="1"/>
  <c r="AU1170" i="1"/>
  <c r="AU1169" i="1"/>
  <c r="AU1168" i="1"/>
  <c r="AU1167" i="1"/>
  <c r="AU1166" i="1"/>
  <c r="AU1165" i="1"/>
  <c r="AU1164" i="1"/>
  <c r="AU1163" i="1"/>
  <c r="AU1162" i="1"/>
  <c r="AU1161" i="1"/>
  <c r="AU1160" i="1"/>
  <c r="AU1159" i="1"/>
  <c r="AU1158" i="1"/>
  <c r="AU1157" i="1"/>
  <c r="AU1156" i="1"/>
  <c r="AU1155" i="1"/>
  <c r="AU1154" i="1"/>
  <c r="AU1153" i="1"/>
  <c r="AU1152" i="1"/>
  <c r="AU1151" i="1"/>
  <c r="AU1150" i="1"/>
  <c r="AU1149" i="1"/>
  <c r="AU1148" i="1"/>
  <c r="AU1147" i="1"/>
  <c r="AU1146" i="1"/>
  <c r="AU1145" i="1"/>
  <c r="AU1144" i="1"/>
  <c r="AU1143" i="1"/>
  <c r="AU1142" i="1"/>
  <c r="AU1141" i="1"/>
  <c r="AU1140" i="1"/>
  <c r="AU1139" i="1"/>
  <c r="AU1138" i="1"/>
  <c r="AU1137" i="1"/>
  <c r="AU1136" i="1"/>
  <c r="AU1135" i="1"/>
  <c r="AU1134" i="1"/>
  <c r="AU1133" i="1"/>
  <c r="AU1132" i="1"/>
  <c r="AU1131" i="1"/>
  <c r="AU1130" i="1"/>
  <c r="AU1129" i="1"/>
  <c r="AU1128" i="1"/>
  <c r="AU1127" i="1"/>
  <c r="AU1126" i="1"/>
  <c r="AU1125" i="1"/>
  <c r="AU1124" i="1"/>
  <c r="AU1123" i="1"/>
  <c r="AU1122" i="1"/>
  <c r="AU1121" i="1"/>
  <c r="AU1120" i="1"/>
  <c r="AU1119" i="1"/>
  <c r="AU1118" i="1"/>
  <c r="AU1117" i="1"/>
  <c r="AU1116" i="1"/>
  <c r="AU1115" i="1"/>
  <c r="AU1114" i="1"/>
  <c r="AU1113" i="1"/>
  <c r="AU1112" i="1"/>
  <c r="AU1111" i="1"/>
  <c r="AU1110" i="1"/>
  <c r="AU1109" i="1"/>
  <c r="AU1108" i="1"/>
  <c r="AU1107" i="1"/>
  <c r="AU1106" i="1"/>
  <c r="AU1105" i="1"/>
  <c r="AU1104" i="1"/>
  <c r="AU1103" i="1"/>
  <c r="AU1102" i="1"/>
  <c r="AU1101" i="1"/>
  <c r="AU1100" i="1"/>
  <c r="AU1099" i="1"/>
  <c r="AU1098" i="1"/>
  <c r="AU1097" i="1"/>
  <c r="AU1096" i="1"/>
  <c r="AU1095" i="1"/>
  <c r="AU1094" i="1"/>
  <c r="AU1093" i="1"/>
  <c r="AU1092" i="1"/>
  <c r="AU1091" i="1"/>
  <c r="AU1090" i="1"/>
  <c r="AU1089" i="1"/>
  <c r="AU1088" i="1"/>
  <c r="AU1087" i="1"/>
  <c r="AU1086" i="1"/>
  <c r="AU1085" i="1"/>
  <c r="AU1084" i="1"/>
  <c r="AU1083" i="1"/>
  <c r="AU1082" i="1"/>
  <c r="AU1081" i="1"/>
  <c r="AU1080" i="1"/>
  <c r="AU1079" i="1"/>
  <c r="AU1078" i="1"/>
  <c r="AU1077" i="1"/>
  <c r="AU1076" i="1"/>
  <c r="AU1075" i="1"/>
  <c r="AU1074" i="1"/>
  <c r="AU1073" i="1"/>
  <c r="AU1072" i="1"/>
  <c r="AU1071" i="1"/>
  <c r="AU1070" i="1"/>
  <c r="AU1069" i="1"/>
  <c r="AU1068" i="1"/>
  <c r="AU1067" i="1"/>
  <c r="AU1066" i="1"/>
  <c r="AU1065" i="1"/>
  <c r="AU1064" i="1"/>
  <c r="AU1063" i="1"/>
  <c r="AU1062" i="1"/>
  <c r="AU1061" i="1"/>
  <c r="AU1060" i="1"/>
  <c r="AU1059" i="1"/>
  <c r="AU1058" i="1"/>
  <c r="AU1057" i="1"/>
  <c r="AU1056" i="1"/>
  <c r="AU1055" i="1"/>
  <c r="AU1054" i="1"/>
  <c r="AU1053" i="1"/>
  <c r="AU1052" i="1"/>
  <c r="AU1051" i="1"/>
  <c r="AU1050" i="1"/>
  <c r="AU1049" i="1"/>
  <c r="AU1048" i="1"/>
  <c r="AU1047" i="1"/>
  <c r="AU1046" i="1"/>
  <c r="AU1045" i="1"/>
  <c r="AU1044" i="1"/>
  <c r="AU1043" i="1"/>
  <c r="AU1042" i="1"/>
  <c r="AU1041" i="1"/>
  <c r="AU1040" i="1"/>
  <c r="AU1039" i="1"/>
  <c r="AU1038" i="1"/>
  <c r="AU1037" i="1"/>
  <c r="AU1036" i="1"/>
  <c r="AU1035" i="1"/>
  <c r="AU1034" i="1"/>
  <c r="AU1033" i="1"/>
  <c r="AU1032" i="1"/>
  <c r="AU1031" i="1"/>
  <c r="AU1030" i="1"/>
  <c r="AU1029" i="1"/>
  <c r="AU1028" i="1"/>
  <c r="AU1027" i="1"/>
  <c r="AU1026" i="1"/>
  <c r="AU1025" i="1"/>
  <c r="AU1024" i="1"/>
  <c r="AU1023" i="1"/>
  <c r="AU1022" i="1"/>
  <c r="AU1021" i="1"/>
  <c r="AU1020" i="1"/>
  <c r="AU1019" i="1"/>
  <c r="AU1018" i="1"/>
  <c r="AU1017" i="1"/>
  <c r="AU1016" i="1"/>
  <c r="AU1015" i="1"/>
  <c r="AU1014" i="1"/>
  <c r="AU1013" i="1"/>
  <c r="AU1012" i="1"/>
  <c r="AU1011" i="1"/>
  <c r="AU1010" i="1"/>
  <c r="AU1009" i="1"/>
  <c r="AU1008" i="1"/>
  <c r="AU1007" i="1"/>
  <c r="AU1006" i="1"/>
  <c r="AU1005" i="1"/>
  <c r="AU1004" i="1"/>
  <c r="AU1003" i="1"/>
  <c r="AU1002" i="1"/>
  <c r="AU1001" i="1"/>
  <c r="AU1000" i="1"/>
  <c r="AU999" i="1"/>
  <c r="AU998" i="1"/>
  <c r="AU997" i="1"/>
  <c r="AU996" i="1"/>
  <c r="AU995" i="1"/>
  <c r="AU994" i="1"/>
  <c r="AU993" i="1"/>
  <c r="AU992" i="1"/>
  <c r="AU991" i="1"/>
  <c r="AU990" i="1"/>
  <c r="AU989" i="1"/>
  <c r="AU988" i="1"/>
  <c r="AU987" i="1"/>
  <c r="AU986" i="1"/>
  <c r="AU985" i="1"/>
  <c r="AU984" i="1"/>
  <c r="AU983" i="1"/>
  <c r="AU982" i="1"/>
  <c r="AU981" i="1"/>
  <c r="AU980" i="1"/>
  <c r="AU979" i="1"/>
  <c r="AU978" i="1"/>
  <c r="AU977" i="1"/>
  <c r="AU976" i="1"/>
  <c r="AU975" i="1"/>
  <c r="AU974" i="1"/>
  <c r="AU973" i="1"/>
  <c r="AU972" i="1"/>
  <c r="AU971" i="1"/>
  <c r="AU970" i="1"/>
  <c r="AU969" i="1"/>
  <c r="AU968" i="1"/>
  <c r="AU967" i="1"/>
  <c r="AU966" i="1"/>
  <c r="AU965" i="1"/>
  <c r="AU964" i="1"/>
  <c r="AU963" i="1"/>
  <c r="AU962" i="1"/>
  <c r="AU961" i="1"/>
  <c r="AU960" i="1"/>
  <c r="AU959" i="1"/>
  <c r="AU958" i="1"/>
  <c r="AU957" i="1"/>
  <c r="AU956" i="1"/>
  <c r="AU955" i="1"/>
  <c r="AU954" i="1"/>
  <c r="AU953" i="1"/>
  <c r="AU952" i="1"/>
  <c r="AU951" i="1"/>
  <c r="AU950" i="1"/>
  <c r="AU949" i="1"/>
  <c r="AU948" i="1"/>
  <c r="AU947" i="1"/>
  <c r="AU946" i="1"/>
  <c r="AU945" i="1"/>
  <c r="AU944" i="1"/>
  <c r="AU943" i="1"/>
  <c r="AU942" i="1"/>
  <c r="AU941" i="1"/>
  <c r="AU940" i="1"/>
  <c r="AU939" i="1"/>
  <c r="AU938" i="1"/>
  <c r="AU937" i="1"/>
  <c r="AU936" i="1"/>
  <c r="AU935" i="1"/>
  <c r="AU934" i="1"/>
  <c r="AU933" i="1"/>
  <c r="AU932" i="1"/>
  <c r="AU931" i="1"/>
  <c r="AU930" i="1"/>
  <c r="AU929" i="1"/>
  <c r="AU928" i="1"/>
  <c r="AU927" i="1"/>
  <c r="AU926" i="1"/>
  <c r="AU925" i="1"/>
  <c r="AU924" i="1"/>
  <c r="AU923" i="1"/>
  <c r="AU922" i="1"/>
  <c r="AU921" i="1"/>
  <c r="AU920" i="1"/>
  <c r="AU919" i="1"/>
  <c r="AU918" i="1"/>
  <c r="AU917" i="1"/>
  <c r="AU916" i="1"/>
  <c r="AU915" i="1"/>
  <c r="AU914" i="1"/>
  <c r="AU913" i="1"/>
  <c r="AU912" i="1"/>
  <c r="AU911" i="1"/>
  <c r="AU910" i="1"/>
  <c r="AU909" i="1"/>
  <c r="AU908" i="1"/>
  <c r="AU907" i="1"/>
  <c r="AU906" i="1"/>
  <c r="AU905" i="1"/>
  <c r="AU904" i="1"/>
  <c r="AU903" i="1"/>
  <c r="AU902" i="1"/>
  <c r="AU901" i="1"/>
  <c r="AU900" i="1"/>
  <c r="AU899" i="1"/>
  <c r="AU898" i="1"/>
  <c r="AU897" i="1"/>
  <c r="AU896" i="1"/>
  <c r="AU895" i="1"/>
  <c r="AU894" i="1"/>
  <c r="AU893" i="1"/>
  <c r="AU892" i="1"/>
  <c r="AU891" i="1"/>
  <c r="AU890" i="1"/>
  <c r="AU889" i="1"/>
  <c r="AU888" i="1"/>
  <c r="AU887" i="1"/>
  <c r="AU886" i="1"/>
  <c r="AU885" i="1"/>
  <c r="AU884" i="1"/>
  <c r="AU883" i="1"/>
  <c r="AU882" i="1"/>
  <c r="AU881" i="1"/>
  <c r="AU880" i="1"/>
  <c r="AU879" i="1"/>
  <c r="AU878" i="1"/>
  <c r="AU877" i="1"/>
  <c r="AU876" i="1"/>
  <c r="AU875" i="1"/>
  <c r="AU874" i="1"/>
  <c r="AU873" i="1"/>
  <c r="AU872" i="1"/>
  <c r="AU871" i="1"/>
  <c r="AU870" i="1"/>
  <c r="AU869" i="1"/>
  <c r="AU868" i="1"/>
  <c r="AU867" i="1"/>
  <c r="AU866" i="1"/>
  <c r="AU865" i="1"/>
  <c r="AU864" i="1"/>
  <c r="AU863" i="1"/>
  <c r="AU862" i="1"/>
  <c r="AU861" i="1"/>
  <c r="AU860" i="1"/>
  <c r="AU859" i="1"/>
  <c r="AU858" i="1"/>
  <c r="AU857" i="1"/>
  <c r="AU856" i="1"/>
  <c r="AU855" i="1"/>
  <c r="AU854" i="1"/>
  <c r="AU853" i="1"/>
  <c r="AU852" i="1"/>
  <c r="AU851" i="1"/>
  <c r="AU850" i="1"/>
  <c r="AU849" i="1"/>
  <c r="AU848" i="1"/>
  <c r="AU847" i="1"/>
  <c r="AU846" i="1"/>
  <c r="AU845" i="1"/>
  <c r="AU844" i="1"/>
  <c r="AU843" i="1"/>
  <c r="AU842" i="1"/>
  <c r="AU841" i="1"/>
  <c r="AU840" i="1"/>
  <c r="AU839" i="1"/>
  <c r="AU838" i="1"/>
  <c r="AU837" i="1"/>
  <c r="AU836" i="1"/>
  <c r="AU835" i="1"/>
  <c r="AU834" i="1"/>
  <c r="AU833" i="1"/>
  <c r="AU832" i="1"/>
  <c r="AU831" i="1"/>
  <c r="AU830" i="1"/>
  <c r="AU829" i="1"/>
  <c r="AU828" i="1"/>
  <c r="AU827" i="1"/>
  <c r="AU826" i="1"/>
  <c r="AU825" i="1"/>
  <c r="AU824" i="1"/>
  <c r="AU823" i="1"/>
  <c r="AU822" i="1"/>
  <c r="AU821" i="1"/>
  <c r="AU820" i="1"/>
  <c r="AU819" i="1"/>
  <c r="AU818" i="1"/>
  <c r="AU817" i="1"/>
  <c r="AU816" i="1"/>
  <c r="AU815" i="1"/>
  <c r="AU814" i="1"/>
  <c r="AU813" i="1"/>
  <c r="AU812" i="1"/>
  <c r="AU811" i="1"/>
  <c r="AU810" i="1"/>
  <c r="AU809" i="1"/>
  <c r="AU808" i="1"/>
  <c r="AU807" i="1"/>
  <c r="AU806" i="1"/>
  <c r="AU805" i="1"/>
  <c r="AU804" i="1"/>
  <c r="AU803" i="1"/>
  <c r="AU802" i="1"/>
  <c r="AU801" i="1"/>
  <c r="AU800" i="1"/>
  <c r="AU799" i="1"/>
  <c r="AU798" i="1"/>
  <c r="AU797" i="1"/>
  <c r="AU796" i="1"/>
  <c r="AU795" i="1"/>
  <c r="AU794" i="1"/>
  <c r="AU793" i="1"/>
  <c r="AU792" i="1"/>
  <c r="AU791" i="1"/>
  <c r="AU790" i="1"/>
  <c r="AU789" i="1"/>
  <c r="AU788" i="1"/>
  <c r="AU787" i="1"/>
  <c r="AU786" i="1"/>
  <c r="AU785" i="1"/>
  <c r="AU784" i="1"/>
  <c r="AU783" i="1"/>
  <c r="AU782" i="1"/>
  <c r="AU781" i="1"/>
  <c r="AU780" i="1"/>
  <c r="AU779" i="1"/>
  <c r="AU778" i="1"/>
  <c r="AU777" i="1"/>
  <c r="AU776" i="1"/>
  <c r="AU775" i="1"/>
  <c r="AU774" i="1"/>
  <c r="AU773" i="1"/>
  <c r="AU772" i="1"/>
  <c r="AU771" i="1"/>
  <c r="AU770" i="1"/>
  <c r="AU769" i="1"/>
  <c r="AU768" i="1"/>
  <c r="AU767" i="1"/>
  <c r="AU766" i="1"/>
  <c r="AU765" i="1"/>
  <c r="AU764" i="1"/>
  <c r="AU763" i="1"/>
  <c r="AU762" i="1"/>
  <c r="AU761" i="1"/>
  <c r="AU760" i="1"/>
  <c r="AU759" i="1"/>
  <c r="AU758" i="1"/>
  <c r="AU757" i="1"/>
  <c r="AU756" i="1"/>
  <c r="AU755" i="1"/>
  <c r="AU754" i="1"/>
  <c r="AU753" i="1"/>
  <c r="AU752" i="1"/>
  <c r="AU751" i="1"/>
  <c r="AU750" i="1"/>
  <c r="AU749" i="1"/>
  <c r="AU748" i="1"/>
  <c r="AU747" i="1"/>
  <c r="AU746" i="1"/>
  <c r="AU745" i="1"/>
  <c r="AU744" i="1"/>
  <c r="AU743" i="1"/>
  <c r="AU742" i="1"/>
  <c r="AU741" i="1"/>
  <c r="AU740" i="1"/>
  <c r="AU739" i="1"/>
  <c r="AU738" i="1"/>
  <c r="AU737" i="1"/>
  <c r="AU736" i="1"/>
  <c r="AU735" i="1"/>
  <c r="AU734" i="1"/>
  <c r="AU733" i="1"/>
  <c r="AU732" i="1"/>
  <c r="AU731" i="1"/>
  <c r="AU730" i="1"/>
  <c r="AU729" i="1"/>
  <c r="AU728" i="1"/>
  <c r="AU727" i="1"/>
  <c r="AU726" i="1"/>
  <c r="AU725" i="1"/>
  <c r="AU724" i="1"/>
  <c r="AU723" i="1"/>
  <c r="AU722" i="1"/>
  <c r="AU721" i="1"/>
  <c r="AU720" i="1"/>
  <c r="AU719" i="1"/>
  <c r="AU718" i="1"/>
  <c r="AU717" i="1"/>
  <c r="AU716" i="1"/>
  <c r="AU715" i="1"/>
  <c r="AU714" i="1"/>
  <c r="AU713" i="1"/>
  <c r="AU712" i="1"/>
  <c r="AU711" i="1"/>
  <c r="AU710" i="1"/>
  <c r="AU709" i="1"/>
  <c r="AU708" i="1"/>
  <c r="AU707" i="1"/>
  <c r="AU706" i="1"/>
  <c r="AU705" i="1"/>
  <c r="AU704" i="1"/>
  <c r="AU703" i="1"/>
  <c r="AU702" i="1"/>
  <c r="AU701" i="1"/>
  <c r="AU700" i="1"/>
  <c r="AU699" i="1"/>
  <c r="AU698" i="1"/>
  <c r="AU697" i="1"/>
  <c r="AU696" i="1"/>
  <c r="AU695" i="1"/>
  <c r="AU694" i="1"/>
  <c r="AU693" i="1"/>
  <c r="AU692" i="1"/>
  <c r="AU691" i="1"/>
  <c r="AU690" i="1"/>
  <c r="AU689" i="1"/>
  <c r="AU688" i="1"/>
  <c r="AU687" i="1"/>
  <c r="AU686" i="1"/>
  <c r="AU685" i="1"/>
  <c r="AU684" i="1"/>
  <c r="AU683" i="1"/>
  <c r="AU682" i="1"/>
  <c r="AU681" i="1"/>
  <c r="AU680" i="1"/>
  <c r="AU679" i="1"/>
  <c r="AU678" i="1"/>
  <c r="AU677" i="1"/>
  <c r="AU676" i="1"/>
  <c r="AU675" i="1"/>
  <c r="AU674" i="1"/>
  <c r="AU673" i="1"/>
  <c r="AU672" i="1"/>
  <c r="AU671" i="1"/>
  <c r="AU670" i="1"/>
  <c r="AU669" i="1"/>
  <c r="AU668" i="1"/>
  <c r="AU667" i="1"/>
  <c r="AU666" i="1"/>
  <c r="AU665" i="1"/>
  <c r="AU664" i="1"/>
  <c r="AU663" i="1"/>
  <c r="AU662" i="1"/>
  <c r="AU661" i="1"/>
  <c r="AU660" i="1"/>
  <c r="AU659" i="1"/>
  <c r="AU658" i="1"/>
  <c r="AU657" i="1"/>
  <c r="AU656" i="1"/>
  <c r="AU655" i="1"/>
  <c r="AU654" i="1"/>
  <c r="AU653" i="1"/>
  <c r="AU652" i="1"/>
  <c r="AU651" i="1"/>
  <c r="AU650" i="1"/>
  <c r="AU649" i="1"/>
  <c r="AU648" i="1"/>
  <c r="AU647" i="1"/>
  <c r="AU646" i="1"/>
  <c r="AU645" i="1"/>
  <c r="AU644" i="1"/>
  <c r="AU643" i="1"/>
  <c r="AU642" i="1"/>
  <c r="AU641" i="1"/>
  <c r="AU640" i="1"/>
  <c r="AU639" i="1"/>
  <c r="AU638" i="1"/>
  <c r="AU637" i="1"/>
  <c r="AU636" i="1"/>
  <c r="AU635" i="1"/>
  <c r="AU634" i="1"/>
  <c r="AU633" i="1"/>
  <c r="AU632" i="1"/>
  <c r="AU631" i="1"/>
  <c r="AU630" i="1"/>
  <c r="AU629" i="1"/>
  <c r="AU628" i="1"/>
  <c r="AU627" i="1"/>
  <c r="AU626" i="1"/>
  <c r="AU625" i="1"/>
  <c r="AU624" i="1"/>
  <c r="AU623" i="1"/>
  <c r="AU622" i="1"/>
  <c r="AU621" i="1"/>
  <c r="AU620" i="1"/>
  <c r="AU619" i="1"/>
  <c r="AU618" i="1"/>
  <c r="AU617" i="1"/>
  <c r="AU616" i="1"/>
  <c r="AU615" i="1"/>
  <c r="AU614" i="1"/>
  <c r="AU613" i="1"/>
  <c r="AU612" i="1"/>
  <c r="AU611" i="1"/>
  <c r="AU610" i="1"/>
  <c r="AU609" i="1"/>
  <c r="AU608" i="1"/>
  <c r="AU607" i="1"/>
  <c r="AU606" i="1"/>
  <c r="AU605" i="1"/>
  <c r="AU604" i="1"/>
  <c r="AU603" i="1"/>
  <c r="AU602" i="1"/>
  <c r="AU601" i="1"/>
  <c r="AU600" i="1"/>
  <c r="AU599" i="1"/>
  <c r="AU598" i="1"/>
  <c r="AU597" i="1"/>
  <c r="AU596" i="1"/>
  <c r="AU595" i="1"/>
  <c r="AU594" i="1"/>
  <c r="AU593" i="1"/>
  <c r="AU592" i="1"/>
  <c r="AU591" i="1"/>
  <c r="AU590" i="1"/>
  <c r="AU589" i="1"/>
  <c r="AU588" i="1"/>
  <c r="AU587" i="1"/>
  <c r="AU586" i="1"/>
  <c r="AU585" i="1"/>
  <c r="AU584" i="1"/>
  <c r="AU583" i="1"/>
  <c r="AU582" i="1"/>
  <c r="AU581" i="1"/>
  <c r="AU580" i="1"/>
  <c r="AU579" i="1"/>
  <c r="AU578" i="1"/>
  <c r="AU577" i="1"/>
  <c r="AU576" i="1"/>
  <c r="AU575" i="1"/>
  <c r="AU574" i="1"/>
  <c r="AU573" i="1"/>
  <c r="AU572" i="1"/>
  <c r="AU571" i="1"/>
  <c r="AU570" i="1"/>
  <c r="AU569" i="1"/>
  <c r="AU568" i="1"/>
  <c r="AU567" i="1"/>
  <c r="AU566" i="1"/>
  <c r="AU565" i="1"/>
  <c r="AU564" i="1"/>
  <c r="AU563" i="1"/>
  <c r="AU562" i="1"/>
  <c r="AU561" i="1"/>
  <c r="AU560" i="1"/>
  <c r="AU559" i="1"/>
  <c r="AU558" i="1"/>
  <c r="AU557" i="1"/>
  <c r="AU556" i="1"/>
  <c r="AU555" i="1"/>
  <c r="AU554" i="1"/>
  <c r="AU553" i="1"/>
  <c r="AU552" i="1"/>
  <c r="AU551" i="1"/>
  <c r="AU550" i="1"/>
  <c r="AU549" i="1"/>
  <c r="AU548" i="1"/>
  <c r="AU547" i="1"/>
  <c r="AU546" i="1"/>
  <c r="AU545" i="1"/>
  <c r="AU544" i="1"/>
  <c r="AU543" i="1"/>
  <c r="AU542" i="1"/>
  <c r="AU541" i="1"/>
  <c r="AU540" i="1"/>
  <c r="AU539" i="1"/>
  <c r="AU538" i="1"/>
  <c r="AU537" i="1"/>
  <c r="AU536" i="1"/>
  <c r="AU535" i="1"/>
  <c r="AU534" i="1"/>
  <c r="AU533" i="1"/>
  <c r="AU532" i="1"/>
  <c r="AU531" i="1"/>
  <c r="AU530" i="1"/>
  <c r="AU529" i="1"/>
  <c r="AU528" i="1"/>
  <c r="AU527" i="1"/>
  <c r="AU526" i="1"/>
  <c r="AU525" i="1"/>
  <c r="AU524" i="1"/>
  <c r="AU523" i="1"/>
  <c r="AU522" i="1"/>
  <c r="AU521" i="1"/>
  <c r="AU520" i="1"/>
  <c r="AU519" i="1"/>
  <c r="AU518" i="1"/>
  <c r="AU517" i="1"/>
  <c r="AU516" i="1"/>
  <c r="AU515" i="1"/>
  <c r="AU514" i="1"/>
  <c r="AU513" i="1"/>
  <c r="AU512" i="1"/>
  <c r="AU511" i="1"/>
  <c r="AU510" i="1"/>
  <c r="AU509" i="1"/>
  <c r="AU508" i="1"/>
  <c r="AU507" i="1"/>
  <c r="AU506" i="1"/>
  <c r="AU505" i="1"/>
  <c r="AU504" i="1"/>
  <c r="AU503" i="1"/>
  <c r="AU502" i="1"/>
  <c r="AU501" i="1"/>
  <c r="AU500" i="1"/>
  <c r="AU499" i="1"/>
  <c r="AU498" i="1"/>
  <c r="AU497" i="1"/>
  <c r="AU496" i="1"/>
  <c r="AU495" i="1"/>
  <c r="AU494" i="1"/>
  <c r="AU493" i="1"/>
  <c r="AU492" i="1"/>
  <c r="AU491" i="1"/>
  <c r="AU490" i="1"/>
  <c r="AU489" i="1"/>
  <c r="AU488" i="1"/>
  <c r="AU487" i="1"/>
  <c r="AU486" i="1"/>
  <c r="AU485" i="1"/>
  <c r="AU484" i="1"/>
  <c r="AU483" i="1"/>
  <c r="AU482" i="1"/>
  <c r="AU481" i="1"/>
  <c r="AU480" i="1"/>
  <c r="AU479" i="1"/>
  <c r="AU478" i="1"/>
  <c r="AU477" i="1"/>
  <c r="AU476" i="1"/>
  <c r="AU475" i="1"/>
  <c r="AU474" i="1"/>
  <c r="AU473" i="1"/>
  <c r="AU472" i="1"/>
  <c r="AU471" i="1"/>
  <c r="AU470" i="1"/>
  <c r="AU469" i="1"/>
  <c r="AU468" i="1"/>
  <c r="AU467" i="1"/>
  <c r="AU466" i="1"/>
  <c r="AU465" i="1"/>
  <c r="AU464" i="1"/>
  <c r="AU463" i="1"/>
  <c r="AU462" i="1"/>
  <c r="AU461" i="1"/>
  <c r="AU460" i="1"/>
  <c r="AU459" i="1"/>
  <c r="AU458" i="1"/>
  <c r="AU457" i="1"/>
  <c r="AU456" i="1"/>
  <c r="AU455" i="1"/>
  <c r="AU454" i="1"/>
  <c r="AU453" i="1"/>
  <c r="AU452" i="1"/>
  <c r="AU451" i="1"/>
  <c r="AU450" i="1"/>
  <c r="AU449" i="1"/>
  <c r="AU448" i="1"/>
  <c r="AU447" i="1"/>
  <c r="AU446" i="1"/>
  <c r="AU445" i="1"/>
  <c r="AU444" i="1"/>
  <c r="AU443" i="1"/>
  <c r="AU442" i="1"/>
  <c r="AU441" i="1"/>
  <c r="AU440" i="1"/>
  <c r="AU439" i="1"/>
  <c r="AU438" i="1"/>
  <c r="AU437" i="1"/>
  <c r="AU436" i="1"/>
  <c r="AU435" i="1"/>
  <c r="AU434" i="1"/>
  <c r="AU433" i="1"/>
  <c r="AU432" i="1"/>
  <c r="AU431" i="1"/>
  <c r="AU430" i="1"/>
  <c r="AU429" i="1"/>
  <c r="AU428" i="1"/>
  <c r="AU427" i="1"/>
  <c r="AU426" i="1"/>
  <c r="AU425" i="1"/>
  <c r="AU424" i="1"/>
  <c r="AU423" i="1"/>
  <c r="AU422" i="1"/>
  <c r="AU421" i="1"/>
  <c r="AU420" i="1"/>
  <c r="AU419" i="1"/>
  <c r="AU418" i="1"/>
  <c r="AU417" i="1"/>
  <c r="AU416" i="1"/>
  <c r="AU415" i="1"/>
  <c r="AU414" i="1"/>
  <c r="AU413" i="1"/>
  <c r="AU412" i="1"/>
  <c r="AU411" i="1"/>
  <c r="AU410" i="1"/>
  <c r="AU409" i="1"/>
  <c r="AU408" i="1"/>
  <c r="AU407" i="1"/>
  <c r="AU406" i="1"/>
  <c r="AU405" i="1"/>
  <c r="AU404" i="1"/>
  <c r="AU403" i="1"/>
  <c r="AU402" i="1"/>
  <c r="AU401" i="1"/>
  <c r="AU400" i="1"/>
  <c r="AU399" i="1"/>
  <c r="AU398" i="1"/>
  <c r="AU397" i="1"/>
  <c r="AU396" i="1"/>
  <c r="AU395" i="1"/>
  <c r="AU394" i="1"/>
  <c r="AU393" i="1"/>
  <c r="AU392" i="1"/>
  <c r="AU391" i="1"/>
  <c r="AU390" i="1"/>
  <c r="AU389" i="1"/>
  <c r="AU388" i="1"/>
  <c r="AU387" i="1"/>
  <c r="AU386" i="1"/>
  <c r="AU385" i="1"/>
  <c r="AU384" i="1"/>
  <c r="AU383" i="1"/>
  <c r="AU382" i="1"/>
  <c r="AU381" i="1"/>
  <c r="AU380" i="1"/>
  <c r="AU379" i="1"/>
  <c r="AU378" i="1"/>
  <c r="AU377" i="1"/>
  <c r="AU376" i="1"/>
  <c r="AU375" i="1"/>
  <c r="AU374" i="1"/>
  <c r="AU373" i="1"/>
  <c r="AU372" i="1"/>
  <c r="AU371" i="1"/>
  <c r="AU370" i="1"/>
  <c r="AU369" i="1"/>
  <c r="AU368" i="1"/>
  <c r="AU367" i="1"/>
  <c r="AU366" i="1"/>
  <c r="AU365" i="1"/>
  <c r="AU364" i="1"/>
  <c r="AU363" i="1"/>
  <c r="AU362" i="1"/>
  <c r="AU361" i="1"/>
  <c r="AU360" i="1"/>
  <c r="AU359" i="1"/>
  <c r="AU358" i="1"/>
  <c r="AU357" i="1"/>
  <c r="AU356" i="1"/>
  <c r="AU355" i="1"/>
  <c r="AU354" i="1"/>
  <c r="AU353" i="1"/>
  <c r="AU352" i="1"/>
  <c r="AU351" i="1"/>
  <c r="AU350" i="1"/>
  <c r="AU349" i="1"/>
  <c r="AU348" i="1"/>
  <c r="AU347" i="1"/>
  <c r="AU346" i="1"/>
  <c r="AU345" i="1"/>
  <c r="AU344" i="1"/>
  <c r="AU343" i="1"/>
  <c r="AU342" i="1"/>
  <c r="AU341" i="1"/>
  <c r="AU340" i="1"/>
  <c r="AU339" i="1"/>
  <c r="AU338" i="1"/>
  <c r="AU337" i="1"/>
  <c r="AU336" i="1"/>
  <c r="AU335" i="1"/>
  <c r="AU334" i="1"/>
  <c r="AU333" i="1"/>
  <c r="AU332" i="1"/>
  <c r="AU331" i="1"/>
  <c r="AU330" i="1"/>
  <c r="AU329" i="1"/>
  <c r="AU328" i="1"/>
  <c r="AU327" i="1"/>
  <c r="AU326" i="1"/>
  <c r="AU325" i="1"/>
  <c r="AU324" i="1"/>
  <c r="AU323" i="1"/>
  <c r="AU322" i="1"/>
  <c r="AU321" i="1"/>
  <c r="AU320" i="1"/>
  <c r="AU319" i="1"/>
  <c r="AU318" i="1"/>
  <c r="AU317" i="1"/>
  <c r="AU316" i="1"/>
  <c r="AU315" i="1"/>
  <c r="AU314" i="1"/>
  <c r="AU313" i="1"/>
  <c r="AU312" i="1"/>
  <c r="AU311" i="1"/>
  <c r="AU310" i="1"/>
  <c r="AU309" i="1"/>
  <c r="AU308" i="1"/>
  <c r="AU307" i="1"/>
  <c r="AU306" i="1"/>
  <c r="AU305" i="1"/>
  <c r="AU304" i="1"/>
  <c r="AU303" i="1"/>
  <c r="AU302" i="1"/>
  <c r="AU301" i="1"/>
  <c r="AU300" i="1"/>
  <c r="AU299" i="1"/>
  <c r="AU298" i="1"/>
  <c r="AU297" i="1"/>
  <c r="AU296" i="1"/>
  <c r="AU295" i="1"/>
  <c r="AU294" i="1"/>
  <c r="AU293" i="1"/>
  <c r="AU292" i="1"/>
  <c r="AU291" i="1"/>
  <c r="AU290" i="1"/>
  <c r="AU289" i="1"/>
  <c r="AU288" i="1"/>
  <c r="AU287" i="1"/>
  <c r="AU286" i="1"/>
  <c r="AU285" i="1"/>
  <c r="AU284" i="1"/>
  <c r="AU283" i="1"/>
  <c r="AU282" i="1"/>
  <c r="AU281" i="1"/>
  <c r="AU280" i="1"/>
  <c r="AU279" i="1"/>
  <c r="AU278" i="1"/>
  <c r="AU277" i="1"/>
  <c r="AU276" i="1"/>
  <c r="AU275" i="1"/>
  <c r="AU274" i="1"/>
  <c r="AU273" i="1"/>
  <c r="AU272" i="1"/>
  <c r="AU271" i="1"/>
  <c r="AU270" i="1"/>
  <c r="AU269" i="1"/>
  <c r="AU268" i="1"/>
  <c r="AU267" i="1"/>
  <c r="AU266" i="1"/>
  <c r="AU265" i="1"/>
  <c r="AU264" i="1"/>
  <c r="AU263" i="1"/>
  <c r="AU262" i="1"/>
  <c r="AU261" i="1"/>
  <c r="AU260" i="1"/>
  <c r="AU259" i="1"/>
  <c r="AU258" i="1"/>
  <c r="AU257" i="1"/>
  <c r="AU256" i="1"/>
  <c r="AU255" i="1"/>
  <c r="AU254" i="1"/>
  <c r="AU253" i="1"/>
  <c r="AU252" i="1"/>
  <c r="AU251" i="1"/>
  <c r="AU250" i="1"/>
  <c r="AU249" i="1"/>
  <c r="AU248" i="1"/>
  <c r="AU247" i="1"/>
  <c r="AU246" i="1"/>
  <c r="AU245" i="1"/>
  <c r="AU244" i="1"/>
  <c r="AU243" i="1"/>
  <c r="AU242" i="1"/>
  <c r="AU241" i="1"/>
  <c r="AU240" i="1"/>
  <c r="AU239" i="1"/>
  <c r="AU238" i="1"/>
  <c r="AU237" i="1"/>
  <c r="AU236" i="1"/>
  <c r="AU235" i="1"/>
  <c r="AU234" i="1"/>
  <c r="AU233" i="1"/>
  <c r="AU232" i="1"/>
  <c r="AU231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N32" i="3" l="1"/>
  <c r="AN44" i="3"/>
  <c r="AN16" i="3"/>
  <c r="AN5" i="3"/>
  <c r="AN30" i="3"/>
  <c r="AN43" i="3"/>
  <c r="AN21" i="3"/>
  <c r="AN45" i="3"/>
  <c r="AN40" i="3"/>
  <c r="AN29" i="3"/>
  <c r="AN41" i="3"/>
  <c r="AN42" i="3"/>
  <c r="T4" i="3"/>
  <c r="AN46" i="3"/>
  <c r="AN28" i="3"/>
  <c r="AN17" i="3"/>
  <c r="AN18" i="3"/>
  <c r="AN31" i="3"/>
  <c r="F6" i="3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F131" i="3" s="1"/>
  <c r="F132" i="3" s="1"/>
  <c r="F133" i="3" s="1"/>
  <c r="F134" i="3" s="1"/>
  <c r="F135" i="3" s="1"/>
  <c r="F136" i="3" s="1"/>
  <c r="F137" i="3" s="1"/>
  <c r="F138" i="3" s="1"/>
  <c r="F139" i="3" s="1"/>
  <c r="F140" i="3" s="1"/>
  <c r="F141" i="3" s="1"/>
  <c r="F142" i="3" s="1"/>
  <c r="F143" i="3" s="1"/>
  <c r="F144" i="3" s="1"/>
  <c r="F145" i="3" s="1"/>
  <c r="F146" i="3" s="1"/>
  <c r="F147" i="3" s="1"/>
  <c r="F148" i="3" s="1"/>
  <c r="F149" i="3" s="1"/>
  <c r="F150" i="3" s="1"/>
  <c r="F151" i="3" s="1"/>
  <c r="F152" i="3" s="1"/>
  <c r="F153" i="3" s="1"/>
  <c r="F154" i="3" s="1"/>
  <c r="F155" i="3" s="1"/>
  <c r="F156" i="3" s="1"/>
  <c r="F157" i="3" s="1"/>
  <c r="F158" i="3" s="1"/>
  <c r="F159" i="3" s="1"/>
  <c r="F160" i="3" s="1"/>
  <c r="F161" i="3" s="1"/>
  <c r="F162" i="3" s="1"/>
  <c r="F163" i="3" s="1"/>
  <c r="F164" i="3" s="1"/>
  <c r="F165" i="3" s="1"/>
  <c r="F166" i="3" s="1"/>
  <c r="F167" i="3" s="1"/>
  <c r="F168" i="3" s="1"/>
  <c r="F169" i="3" s="1"/>
  <c r="F170" i="3" s="1"/>
  <c r="F171" i="3" s="1"/>
  <c r="F172" i="3" s="1"/>
  <c r="F173" i="3" s="1"/>
  <c r="F174" i="3" s="1"/>
  <c r="F175" i="3" s="1"/>
  <c r="F176" i="3" s="1"/>
  <c r="F177" i="3" s="1"/>
  <c r="F178" i="3" s="1"/>
  <c r="F179" i="3" s="1"/>
  <c r="F180" i="3" s="1"/>
  <c r="F181" i="3" s="1"/>
  <c r="F182" i="3" s="1"/>
  <c r="F183" i="3" s="1"/>
  <c r="F184" i="3" s="1"/>
  <c r="F185" i="3" s="1"/>
  <c r="F186" i="3" s="1"/>
  <c r="F187" i="3" s="1"/>
  <c r="F188" i="3" s="1"/>
  <c r="F189" i="3" s="1"/>
  <c r="F190" i="3" s="1"/>
  <c r="F191" i="3" s="1"/>
  <c r="F192" i="3" s="1"/>
  <c r="F193" i="3" s="1"/>
  <c r="F194" i="3" s="1"/>
  <c r="F195" i="3" s="1"/>
  <c r="F196" i="3" s="1"/>
  <c r="F197" i="3" s="1"/>
  <c r="F198" i="3" s="1"/>
  <c r="F199" i="3" s="1"/>
  <c r="F200" i="3" s="1"/>
  <c r="F201" i="3" s="1"/>
  <c r="F202" i="3" s="1"/>
  <c r="F203" i="3" s="1"/>
  <c r="F204" i="3" s="1"/>
  <c r="F205" i="3" s="1"/>
  <c r="F206" i="3" s="1"/>
  <c r="F207" i="3" s="1"/>
  <c r="F208" i="3" s="1"/>
  <c r="F209" i="3" s="1"/>
  <c r="F210" i="3" s="1"/>
  <c r="F211" i="3" s="1"/>
  <c r="F212" i="3" s="1"/>
  <c r="F213" i="3" s="1"/>
  <c r="F214" i="3" s="1"/>
  <c r="F215" i="3" s="1"/>
  <c r="F216" i="3" s="1"/>
  <c r="F217" i="3" s="1"/>
  <c r="F218" i="3" s="1"/>
  <c r="F219" i="3" s="1"/>
  <c r="F220" i="3" s="1"/>
  <c r="F221" i="3" s="1"/>
  <c r="F222" i="3" s="1"/>
  <c r="F223" i="3" s="1"/>
  <c r="F224" i="3" s="1"/>
  <c r="F225" i="3" s="1"/>
  <c r="F226" i="3" s="1"/>
  <c r="F227" i="3" s="1"/>
  <c r="F228" i="3" s="1"/>
  <c r="F229" i="3" s="1"/>
  <c r="F230" i="3" s="1"/>
  <c r="F231" i="3" s="1"/>
  <c r="F232" i="3" s="1"/>
  <c r="F233" i="3" s="1"/>
  <c r="F234" i="3" s="1"/>
  <c r="F235" i="3" s="1"/>
  <c r="F236" i="3" s="1"/>
  <c r="F237" i="3" s="1"/>
  <c r="F238" i="3" s="1"/>
  <c r="F239" i="3" s="1"/>
  <c r="F240" i="3" s="1"/>
  <c r="F241" i="3" s="1"/>
  <c r="F242" i="3" s="1"/>
  <c r="F243" i="3" s="1"/>
  <c r="F244" i="3" s="1"/>
  <c r="F245" i="3" s="1"/>
  <c r="F246" i="3" s="1"/>
  <c r="F247" i="3" s="1"/>
  <c r="F248" i="3" s="1"/>
  <c r="F249" i="3" s="1"/>
  <c r="F250" i="3" s="1"/>
  <c r="F251" i="3" s="1"/>
  <c r="F252" i="3" s="1"/>
  <c r="F253" i="3" s="1"/>
  <c r="F254" i="3" s="1"/>
  <c r="F255" i="3" s="1"/>
  <c r="F256" i="3" s="1"/>
  <c r="F257" i="3" s="1"/>
  <c r="F258" i="3" s="1"/>
  <c r="F259" i="3" s="1"/>
  <c r="F260" i="3" s="1"/>
  <c r="F261" i="3" s="1"/>
  <c r="F262" i="3" s="1"/>
  <c r="F263" i="3" s="1"/>
  <c r="F264" i="3" s="1"/>
  <c r="F265" i="3" s="1"/>
  <c r="F266" i="3" s="1"/>
  <c r="F267" i="3" s="1"/>
  <c r="F268" i="3" s="1"/>
  <c r="F269" i="3" s="1"/>
  <c r="F270" i="3" s="1"/>
  <c r="F271" i="3" s="1"/>
  <c r="F272" i="3" s="1"/>
  <c r="F273" i="3" s="1"/>
  <c r="F274" i="3" s="1"/>
  <c r="F275" i="3" s="1"/>
  <c r="F276" i="3" s="1"/>
  <c r="F277" i="3" s="1"/>
  <c r="F278" i="3" s="1"/>
  <c r="F279" i="3" s="1"/>
  <c r="F280" i="3" s="1"/>
  <c r="F281" i="3" s="1"/>
  <c r="F282" i="3" s="1"/>
  <c r="F283" i="3" s="1"/>
  <c r="F284" i="3" s="1"/>
  <c r="F285" i="3" s="1"/>
  <c r="F286" i="3" s="1"/>
  <c r="F287" i="3" s="1"/>
  <c r="F288" i="3" s="1"/>
  <c r="F289" i="3" s="1"/>
  <c r="F290" i="3" s="1"/>
  <c r="F291" i="3" s="1"/>
  <c r="F292" i="3" s="1"/>
  <c r="F293" i="3" s="1"/>
  <c r="F294" i="3" s="1"/>
  <c r="F295" i="3" s="1"/>
  <c r="F296" i="3" s="1"/>
  <c r="F297" i="3" s="1"/>
  <c r="F298" i="3" s="1"/>
  <c r="F299" i="3" s="1"/>
  <c r="F300" i="3" s="1"/>
  <c r="F301" i="3" s="1"/>
  <c r="F302" i="3" s="1"/>
  <c r="F303" i="3" s="1"/>
  <c r="F304" i="3" s="1"/>
  <c r="F305" i="3" s="1"/>
  <c r="F306" i="3" s="1"/>
  <c r="F307" i="3" s="1"/>
  <c r="F308" i="3" s="1"/>
  <c r="F309" i="3" s="1"/>
  <c r="F310" i="3" s="1"/>
  <c r="F311" i="3" s="1"/>
  <c r="F312" i="3" s="1"/>
  <c r="F313" i="3" s="1"/>
  <c r="F314" i="3" s="1"/>
  <c r="F315" i="3" s="1"/>
  <c r="F316" i="3" s="1"/>
  <c r="F317" i="3" s="1"/>
  <c r="F318" i="3" s="1"/>
  <c r="F319" i="3" s="1"/>
  <c r="F320" i="3" s="1"/>
  <c r="F321" i="3" s="1"/>
  <c r="F322" i="3" s="1"/>
  <c r="F323" i="3" s="1"/>
  <c r="F324" i="3" s="1"/>
  <c r="F325" i="3" s="1"/>
  <c r="F326" i="3" s="1"/>
  <c r="F327" i="3" s="1"/>
  <c r="F328" i="3" s="1"/>
  <c r="F329" i="3" s="1"/>
  <c r="F330" i="3" s="1"/>
  <c r="F331" i="3" s="1"/>
  <c r="F332" i="3" s="1"/>
  <c r="F333" i="3" s="1"/>
  <c r="F334" i="3" s="1"/>
  <c r="F335" i="3" s="1"/>
  <c r="F336" i="3" s="1"/>
  <c r="F337" i="3" s="1"/>
  <c r="F338" i="3" s="1"/>
  <c r="F339" i="3" s="1"/>
  <c r="F340" i="3" s="1"/>
  <c r="F341" i="3" s="1"/>
  <c r="F342" i="3" s="1"/>
  <c r="F343" i="3" s="1"/>
  <c r="F344" i="3" s="1"/>
  <c r="F345" i="3" s="1"/>
  <c r="F346" i="3" s="1"/>
  <c r="F347" i="3" s="1"/>
  <c r="F348" i="3" s="1"/>
  <c r="F349" i="3" s="1"/>
  <c r="F350" i="3" s="1"/>
  <c r="F351" i="3" s="1"/>
  <c r="F352" i="3" s="1"/>
  <c r="F353" i="3" s="1"/>
  <c r="F354" i="3" s="1"/>
  <c r="F355" i="3" s="1"/>
  <c r="F356" i="3" s="1"/>
  <c r="F357" i="3" s="1"/>
  <c r="F358" i="3" s="1"/>
  <c r="F359" i="3" s="1"/>
  <c r="F360" i="3" s="1"/>
  <c r="F361" i="3" s="1"/>
  <c r="F362" i="3" s="1"/>
  <c r="F363" i="3" s="1"/>
  <c r="F364" i="3" s="1"/>
  <c r="F365" i="3" s="1"/>
  <c r="F366" i="3" s="1"/>
  <c r="F367" i="3" s="1"/>
  <c r="F368" i="3" s="1"/>
  <c r="F369" i="3" s="1"/>
  <c r="F370" i="3" s="1"/>
  <c r="F371" i="3" s="1"/>
  <c r="F372" i="3" s="1"/>
  <c r="F373" i="3" s="1"/>
  <c r="F374" i="3" s="1"/>
  <c r="F375" i="3" s="1"/>
  <c r="F376" i="3" s="1"/>
  <c r="F377" i="3" s="1"/>
  <c r="F378" i="3" s="1"/>
  <c r="F379" i="3" s="1"/>
  <c r="F380" i="3" s="1"/>
  <c r="F381" i="3" s="1"/>
  <c r="F382" i="3" s="1"/>
  <c r="F383" i="3" s="1"/>
  <c r="F384" i="3" s="1"/>
  <c r="F385" i="3" s="1"/>
  <c r="F386" i="3" s="1"/>
  <c r="F387" i="3" s="1"/>
  <c r="F388" i="3" s="1"/>
  <c r="F389" i="3" s="1"/>
  <c r="F390" i="3" s="1"/>
  <c r="F391" i="3" s="1"/>
  <c r="F392" i="3" s="1"/>
  <c r="F393" i="3" s="1"/>
  <c r="F394" i="3" s="1"/>
  <c r="F395" i="3" s="1"/>
  <c r="F396" i="3" s="1"/>
  <c r="F397" i="3" s="1"/>
  <c r="F398" i="3" s="1"/>
  <c r="F399" i="3" s="1"/>
  <c r="F400" i="3" s="1"/>
  <c r="F401" i="3" s="1"/>
  <c r="F402" i="3" s="1"/>
  <c r="F403" i="3" s="1"/>
  <c r="F404" i="3" s="1"/>
  <c r="F405" i="3" s="1"/>
  <c r="F406" i="3" s="1"/>
  <c r="F407" i="3" s="1"/>
  <c r="F408" i="3" s="1"/>
  <c r="F409" i="3" s="1"/>
  <c r="F410" i="3" s="1"/>
  <c r="F411" i="3" s="1"/>
  <c r="F412" i="3" s="1"/>
  <c r="F413" i="3" s="1"/>
  <c r="F414" i="3" s="1"/>
  <c r="F415" i="3" s="1"/>
  <c r="F416" i="3" s="1"/>
  <c r="F417" i="3" s="1"/>
  <c r="F418" i="3" s="1"/>
  <c r="F419" i="3" s="1"/>
  <c r="F420" i="3" s="1"/>
  <c r="F421" i="3" s="1"/>
  <c r="F422" i="3" s="1"/>
  <c r="F423" i="3" s="1"/>
  <c r="F424" i="3" s="1"/>
  <c r="F425" i="3" s="1"/>
  <c r="F426" i="3" s="1"/>
  <c r="F427" i="3" s="1"/>
  <c r="F428" i="3" s="1"/>
  <c r="F429" i="3" s="1"/>
  <c r="F430" i="3" s="1"/>
  <c r="F431" i="3" s="1"/>
  <c r="F432" i="3" s="1"/>
  <c r="F433" i="3" s="1"/>
  <c r="F434" i="3" s="1"/>
  <c r="F435" i="3" s="1"/>
  <c r="F436" i="3" s="1"/>
  <c r="F437" i="3" s="1"/>
  <c r="F438" i="3" s="1"/>
  <c r="F439" i="3" s="1"/>
  <c r="F440" i="3" s="1"/>
  <c r="F441" i="3" s="1"/>
  <c r="F442" i="3" s="1"/>
  <c r="F443" i="3" s="1"/>
  <c r="F444" i="3" s="1"/>
  <c r="F445" i="3" s="1"/>
  <c r="F446" i="3" s="1"/>
  <c r="F447" i="3" s="1"/>
  <c r="F448" i="3" s="1"/>
  <c r="F449" i="3" s="1"/>
  <c r="F450" i="3" s="1"/>
  <c r="F451" i="3" s="1"/>
  <c r="F452" i="3" s="1"/>
  <c r="F453" i="3" s="1"/>
  <c r="F454" i="3" s="1"/>
  <c r="F455" i="3" s="1"/>
  <c r="F456" i="3" s="1"/>
  <c r="F457" i="3" s="1"/>
  <c r="F458" i="3" s="1"/>
  <c r="F459" i="3" s="1"/>
  <c r="F460" i="3" s="1"/>
  <c r="F461" i="3" s="1"/>
  <c r="F462" i="3" s="1"/>
  <c r="F463" i="3" s="1"/>
  <c r="F464" i="3" s="1"/>
  <c r="F465" i="3" s="1"/>
  <c r="F466" i="3" s="1"/>
  <c r="F467" i="3" s="1"/>
  <c r="F468" i="3" s="1"/>
  <c r="F469" i="3" s="1"/>
  <c r="F470" i="3" s="1"/>
  <c r="F471" i="3" s="1"/>
  <c r="F472" i="3" s="1"/>
  <c r="F473" i="3" s="1"/>
  <c r="F474" i="3" s="1"/>
  <c r="F475" i="3" s="1"/>
  <c r="F476" i="3" s="1"/>
  <c r="F477" i="3" s="1"/>
  <c r="F478" i="3" s="1"/>
  <c r="F479" i="3" s="1"/>
  <c r="F480" i="3" s="1"/>
  <c r="F481" i="3" s="1"/>
  <c r="F482" i="3" s="1"/>
  <c r="F483" i="3" s="1"/>
  <c r="F484" i="3" s="1"/>
  <c r="F485" i="3" s="1"/>
  <c r="F486" i="3" s="1"/>
  <c r="F487" i="3" s="1"/>
  <c r="F488" i="3" s="1"/>
  <c r="F489" i="3" s="1"/>
  <c r="F490" i="3" s="1"/>
  <c r="F491" i="3" s="1"/>
  <c r="F492" i="3" s="1"/>
  <c r="F493" i="3" s="1"/>
  <c r="F494" i="3" s="1"/>
  <c r="F495" i="3" s="1"/>
  <c r="F496" i="3" s="1"/>
  <c r="F497" i="3" s="1"/>
  <c r="F498" i="3" s="1"/>
  <c r="F499" i="3" s="1"/>
  <c r="F500" i="3" s="1"/>
  <c r="F501" i="3" s="1"/>
  <c r="F502" i="3" s="1"/>
  <c r="F503" i="3" s="1"/>
  <c r="F504" i="3" s="1"/>
  <c r="F505" i="3" s="1"/>
  <c r="F506" i="3" s="1"/>
  <c r="F507" i="3" s="1"/>
  <c r="F508" i="3" s="1"/>
  <c r="F509" i="3" s="1"/>
  <c r="F510" i="3" s="1"/>
  <c r="F511" i="3" s="1"/>
  <c r="F512" i="3" s="1"/>
  <c r="F513" i="3" s="1"/>
  <c r="F514" i="3" s="1"/>
  <c r="F515" i="3" s="1"/>
  <c r="F516" i="3" s="1"/>
  <c r="F517" i="3" s="1"/>
  <c r="F518" i="3" s="1"/>
  <c r="F519" i="3" s="1"/>
  <c r="F520" i="3" s="1"/>
  <c r="F521" i="3" s="1"/>
  <c r="F522" i="3" s="1"/>
  <c r="F523" i="3" s="1"/>
  <c r="F524" i="3" s="1"/>
  <c r="F525" i="3" s="1"/>
  <c r="F526" i="3" s="1"/>
  <c r="F527" i="3" s="1"/>
  <c r="F528" i="3" s="1"/>
  <c r="F529" i="3" s="1"/>
  <c r="F530" i="3" s="1"/>
  <c r="F531" i="3" s="1"/>
  <c r="F532" i="3" s="1"/>
  <c r="F533" i="3" s="1"/>
  <c r="F534" i="3" s="1"/>
  <c r="F535" i="3" s="1"/>
  <c r="F536" i="3" s="1"/>
  <c r="F537" i="3" s="1"/>
  <c r="F538" i="3" s="1"/>
  <c r="F539" i="3" s="1"/>
  <c r="F540" i="3" s="1"/>
  <c r="F541" i="3" s="1"/>
  <c r="F542" i="3" s="1"/>
  <c r="F543" i="3" s="1"/>
  <c r="F544" i="3" s="1"/>
  <c r="F545" i="3" s="1"/>
  <c r="F546" i="3" s="1"/>
  <c r="F547" i="3" s="1"/>
  <c r="F548" i="3" s="1"/>
  <c r="F549" i="3" s="1"/>
  <c r="F550" i="3" s="1"/>
  <c r="F551" i="3" s="1"/>
  <c r="F552" i="3" s="1"/>
  <c r="F553" i="3" s="1"/>
  <c r="F554" i="3" s="1"/>
  <c r="F555" i="3" s="1"/>
  <c r="F556" i="3" s="1"/>
  <c r="F557" i="3" s="1"/>
  <c r="F558" i="3" s="1"/>
  <c r="F559" i="3" s="1"/>
  <c r="F560" i="3" s="1"/>
  <c r="F561" i="3" s="1"/>
  <c r="F562" i="3" s="1"/>
  <c r="F563" i="3" s="1"/>
  <c r="F564" i="3" s="1"/>
  <c r="F565" i="3" s="1"/>
  <c r="F566" i="3" s="1"/>
  <c r="F567" i="3" s="1"/>
  <c r="F568" i="3" s="1"/>
  <c r="F569" i="3" s="1"/>
  <c r="F570" i="3" s="1"/>
  <c r="F571" i="3" s="1"/>
  <c r="F572" i="3" s="1"/>
  <c r="F573" i="3" s="1"/>
  <c r="F574" i="3" s="1"/>
  <c r="F575" i="3" s="1"/>
  <c r="F576" i="3" s="1"/>
  <c r="F577" i="3" s="1"/>
  <c r="F578" i="3" s="1"/>
  <c r="F579" i="3" s="1"/>
  <c r="F580" i="3" s="1"/>
  <c r="F581" i="3" s="1"/>
  <c r="F582" i="3" s="1"/>
  <c r="F583" i="3" s="1"/>
  <c r="F584" i="3" s="1"/>
  <c r="F585" i="3" s="1"/>
  <c r="F586" i="3" s="1"/>
  <c r="F587" i="3" s="1"/>
  <c r="F588" i="3" s="1"/>
  <c r="F589" i="3" s="1"/>
  <c r="F590" i="3" s="1"/>
  <c r="F591" i="3" s="1"/>
  <c r="F592" i="3" s="1"/>
  <c r="F593" i="3" s="1"/>
  <c r="F594" i="3" s="1"/>
  <c r="F595" i="3" s="1"/>
  <c r="F596" i="3" s="1"/>
  <c r="F597" i="3" s="1"/>
  <c r="F598" i="3" s="1"/>
  <c r="F599" i="3" s="1"/>
  <c r="F600" i="3" s="1"/>
  <c r="F601" i="3" s="1"/>
  <c r="F602" i="3" s="1"/>
  <c r="F603" i="3" s="1"/>
  <c r="F604" i="3" s="1"/>
  <c r="F605" i="3" s="1"/>
  <c r="F606" i="3" s="1"/>
  <c r="F607" i="3" s="1"/>
  <c r="F608" i="3" s="1"/>
  <c r="F609" i="3" s="1"/>
  <c r="F610" i="3" s="1"/>
  <c r="F611" i="3" s="1"/>
  <c r="F612" i="3" s="1"/>
  <c r="F613" i="3" s="1"/>
  <c r="F614" i="3" s="1"/>
  <c r="F615" i="3" s="1"/>
  <c r="F616" i="3" s="1"/>
  <c r="F617" i="3" s="1"/>
  <c r="F618" i="3" s="1"/>
  <c r="F619" i="3" s="1"/>
  <c r="F620" i="3" s="1"/>
  <c r="F621" i="3" s="1"/>
  <c r="F622" i="3" s="1"/>
  <c r="F623" i="3" s="1"/>
  <c r="F624" i="3" s="1"/>
  <c r="F625" i="3" s="1"/>
  <c r="F626" i="3" s="1"/>
  <c r="F627" i="3" s="1"/>
  <c r="F628" i="3" s="1"/>
  <c r="F629" i="3" s="1"/>
  <c r="F630" i="3" s="1"/>
  <c r="F631" i="3" s="1"/>
  <c r="F632" i="3" s="1"/>
  <c r="F633" i="3" s="1"/>
  <c r="F634" i="3" s="1"/>
  <c r="F635" i="3" s="1"/>
  <c r="F636" i="3" s="1"/>
  <c r="F637" i="3" s="1"/>
  <c r="F638" i="3" s="1"/>
  <c r="F639" i="3" s="1"/>
  <c r="F640" i="3" s="1"/>
  <c r="F641" i="3" s="1"/>
  <c r="F642" i="3" s="1"/>
  <c r="F643" i="3" s="1"/>
  <c r="F644" i="3" s="1"/>
  <c r="F645" i="3" s="1"/>
  <c r="F646" i="3" s="1"/>
  <c r="F647" i="3" s="1"/>
  <c r="F648" i="3" s="1"/>
  <c r="F649" i="3" s="1"/>
  <c r="F650" i="3" s="1"/>
  <c r="F651" i="3" s="1"/>
  <c r="F652" i="3" s="1"/>
  <c r="F653" i="3" s="1"/>
  <c r="F654" i="3" s="1"/>
  <c r="F655" i="3" s="1"/>
  <c r="F656" i="3" s="1"/>
  <c r="F657" i="3" s="1"/>
  <c r="F658" i="3" s="1"/>
  <c r="F659" i="3" s="1"/>
  <c r="F660" i="3" s="1"/>
  <c r="F661" i="3" s="1"/>
  <c r="F662" i="3" s="1"/>
  <c r="F663" i="3" s="1"/>
  <c r="F664" i="3" s="1"/>
  <c r="F665" i="3" s="1"/>
  <c r="F666" i="3" s="1"/>
  <c r="F667" i="3" s="1"/>
  <c r="F668" i="3" s="1"/>
  <c r="F669" i="3" s="1"/>
  <c r="F670" i="3" s="1"/>
  <c r="F671" i="3" s="1"/>
  <c r="F672" i="3" s="1"/>
  <c r="F673" i="3" s="1"/>
  <c r="F674" i="3" s="1"/>
  <c r="F675" i="3" s="1"/>
  <c r="F676" i="3" s="1"/>
  <c r="F677" i="3" s="1"/>
  <c r="F678" i="3" s="1"/>
  <c r="F679" i="3" s="1"/>
  <c r="F680" i="3" s="1"/>
  <c r="F681" i="3" s="1"/>
  <c r="F682" i="3" s="1"/>
  <c r="F683" i="3" s="1"/>
  <c r="F684" i="3" s="1"/>
  <c r="F685" i="3" s="1"/>
  <c r="F686" i="3" s="1"/>
  <c r="F687" i="3" s="1"/>
  <c r="F688" i="3" s="1"/>
  <c r="F689" i="3" s="1"/>
  <c r="F690" i="3" s="1"/>
  <c r="F691" i="3" s="1"/>
  <c r="F692" i="3" s="1"/>
  <c r="F693" i="3" s="1"/>
  <c r="F694" i="3" s="1"/>
  <c r="F695" i="3" s="1"/>
  <c r="F696" i="3" s="1"/>
  <c r="F697" i="3" s="1"/>
  <c r="F698" i="3" s="1"/>
  <c r="F699" i="3" s="1"/>
  <c r="F700" i="3" s="1"/>
  <c r="F701" i="3" s="1"/>
  <c r="F702" i="3" s="1"/>
  <c r="F703" i="3" s="1"/>
  <c r="F704" i="3" s="1"/>
  <c r="F705" i="3" s="1"/>
  <c r="F706" i="3" s="1"/>
  <c r="F707" i="3" s="1"/>
  <c r="F708" i="3" s="1"/>
  <c r="F709" i="3" s="1"/>
  <c r="F710" i="3" s="1"/>
  <c r="F711" i="3" s="1"/>
  <c r="F712" i="3" s="1"/>
  <c r="F713" i="3" s="1"/>
  <c r="F714" i="3" s="1"/>
  <c r="F715" i="3" s="1"/>
  <c r="F716" i="3" s="1"/>
  <c r="F717" i="3" s="1"/>
  <c r="F718" i="3" s="1"/>
  <c r="F719" i="3" s="1"/>
  <c r="F720" i="3" s="1"/>
  <c r="F721" i="3" s="1"/>
  <c r="F722" i="3" s="1"/>
  <c r="F723" i="3" s="1"/>
  <c r="F724" i="3" s="1"/>
  <c r="F725" i="3" s="1"/>
  <c r="F726" i="3" s="1"/>
  <c r="F727" i="3" s="1"/>
  <c r="F728" i="3" s="1"/>
  <c r="F729" i="3" s="1"/>
  <c r="F730" i="3" s="1"/>
  <c r="F731" i="3" s="1"/>
  <c r="F732" i="3" s="1"/>
  <c r="F733" i="3" s="1"/>
  <c r="F734" i="3" s="1"/>
  <c r="F735" i="3" s="1"/>
  <c r="F736" i="3" s="1"/>
  <c r="F737" i="3" s="1"/>
  <c r="F738" i="3" s="1"/>
  <c r="F739" i="3" s="1"/>
  <c r="F740" i="3" s="1"/>
  <c r="F741" i="3" s="1"/>
  <c r="F742" i="3" s="1"/>
  <c r="F743" i="3" s="1"/>
  <c r="F744" i="3" s="1"/>
  <c r="F745" i="3" s="1"/>
  <c r="F746" i="3" s="1"/>
  <c r="F747" i="3" s="1"/>
  <c r="F748" i="3" s="1"/>
  <c r="F749" i="3" s="1"/>
  <c r="F750" i="3" s="1"/>
  <c r="F751" i="3" s="1"/>
  <c r="F752" i="3" s="1"/>
  <c r="F753" i="3" s="1"/>
  <c r="F754" i="3" s="1"/>
  <c r="F755" i="3" s="1"/>
  <c r="F756" i="3" s="1"/>
  <c r="F757" i="3" s="1"/>
  <c r="F758" i="3" s="1"/>
  <c r="F759" i="3" s="1"/>
  <c r="F760" i="3" s="1"/>
  <c r="F761" i="3" s="1"/>
  <c r="F762" i="3" s="1"/>
  <c r="F763" i="3" s="1"/>
  <c r="F764" i="3" s="1"/>
  <c r="F765" i="3" s="1"/>
  <c r="F766" i="3" s="1"/>
  <c r="F767" i="3" s="1"/>
  <c r="F768" i="3" s="1"/>
  <c r="F769" i="3" s="1"/>
  <c r="F770" i="3" s="1"/>
  <c r="F771" i="3" s="1"/>
  <c r="F772" i="3" s="1"/>
  <c r="F773" i="3" s="1"/>
  <c r="F774" i="3" s="1"/>
  <c r="F775" i="3" s="1"/>
  <c r="F776" i="3" s="1"/>
  <c r="F777" i="3" s="1"/>
  <c r="F778" i="3" s="1"/>
  <c r="F779" i="3" s="1"/>
  <c r="F780" i="3" s="1"/>
  <c r="F781" i="3" s="1"/>
  <c r="F782" i="3" s="1"/>
  <c r="F783" i="3" s="1"/>
  <c r="F784" i="3" s="1"/>
  <c r="G5" i="3"/>
  <c r="G4" i="3"/>
  <c r="H5" i="3" s="1"/>
  <c r="BI4" i="3"/>
  <c r="AO5" i="3"/>
  <c r="T4" i="1"/>
  <c r="C34" i="3"/>
  <c r="D9" i="3"/>
  <c r="G6" i="3"/>
  <c r="BD4" i="3"/>
  <c r="AV58" i="3"/>
  <c r="AV67" i="3"/>
  <c r="N4" i="3"/>
  <c r="K4" i="3"/>
  <c r="BE4" i="3"/>
  <c r="AV50" i="3"/>
  <c r="J4" i="3"/>
  <c r="BG4" i="3"/>
  <c r="AV22" i="3"/>
  <c r="L4" i="3"/>
  <c r="AT4" i="3"/>
  <c r="AV4" i="3"/>
  <c r="AV6" i="3"/>
  <c r="BB4" i="3" s="1"/>
  <c r="BF4" i="3"/>
  <c r="AY5" i="3"/>
  <c r="BK4" i="3"/>
  <c r="BC4" i="3"/>
  <c r="BH4" i="3"/>
  <c r="BJ4" i="3"/>
  <c r="AR7" i="3"/>
  <c r="AS8" i="3"/>
  <c r="E9" i="3"/>
  <c r="AV45" i="3"/>
  <c r="BA4" i="3"/>
  <c r="AV51" i="3"/>
  <c r="AV59" i="3"/>
  <c r="AV95" i="3"/>
  <c r="AV28" i="3"/>
  <c r="AV91" i="3"/>
  <c r="AV99" i="3"/>
  <c r="AV24" i="3"/>
  <c r="AV25" i="3"/>
  <c r="AV32" i="3"/>
  <c r="AV43" i="3"/>
  <c r="AV47" i="3"/>
  <c r="AV53" i="3"/>
  <c r="AV377" i="3"/>
  <c r="AV145" i="3"/>
  <c r="AV187" i="3"/>
  <c r="AV195" i="3"/>
  <c r="AV203" i="3"/>
  <c r="AV211" i="3"/>
  <c r="AV219" i="3"/>
  <c r="AV227" i="3"/>
  <c r="AV235" i="3"/>
  <c r="AV243" i="3"/>
  <c r="AV251" i="3"/>
  <c r="AV105" i="3"/>
  <c r="AV88" i="3"/>
  <c r="AV83" i="3"/>
  <c r="AV127" i="3"/>
  <c r="AV75" i="3"/>
  <c r="AV79" i="3"/>
  <c r="AV71" i="3"/>
  <c r="AV85" i="3"/>
  <c r="AV113" i="3"/>
  <c r="AV129" i="3"/>
  <c r="AV155" i="3"/>
  <c r="AV157" i="3"/>
  <c r="AV375" i="3"/>
  <c r="AV84" i="3"/>
  <c r="AV137" i="3"/>
  <c r="AV456" i="3"/>
  <c r="AV368" i="3"/>
  <c r="AV611" i="3"/>
  <c r="AV509" i="3"/>
  <c r="AV508" i="3"/>
  <c r="AV535" i="3"/>
  <c r="AV601" i="3"/>
  <c r="AV520" i="3"/>
  <c r="AV605" i="3"/>
  <c r="AV528" i="3"/>
  <c r="AV549" i="3"/>
  <c r="AV557" i="3"/>
  <c r="AV580" i="3"/>
  <c r="AV606" i="3"/>
  <c r="AV655" i="3"/>
  <c r="AV571" i="3"/>
  <c r="AV607" i="3"/>
  <c r="AV621" i="3"/>
  <c r="AV622" i="3"/>
  <c r="AV623" i="3"/>
  <c r="AV637" i="3"/>
  <c r="AV913" i="3"/>
  <c r="AV627" i="3"/>
  <c r="AV801" i="3"/>
  <c r="AV573" i="3"/>
  <c r="AV617" i="3"/>
  <c r="AV643" i="3"/>
  <c r="AV824" i="3"/>
  <c r="AV553" i="3"/>
  <c r="AV596" i="3"/>
  <c r="AV589" i="3"/>
  <c r="AV590" i="3"/>
  <c r="AV591" i="3"/>
  <c r="AV651" i="3"/>
  <c r="AV736" i="3"/>
  <c r="AV594" i="3"/>
  <c r="AV610" i="3"/>
  <c r="AV675" i="3"/>
  <c r="AV676" i="3"/>
  <c r="AV669" i="3"/>
  <c r="AV598" i="3"/>
  <c r="AV614" i="3"/>
  <c r="AV683" i="3"/>
  <c r="AV700" i="3"/>
  <c r="AV708" i="3"/>
  <c r="AV597" i="3"/>
  <c r="AV602" i="3"/>
  <c r="AV613" i="3"/>
  <c r="AV618" i="3"/>
  <c r="AV629" i="3"/>
  <c r="AV689" i="3"/>
  <c r="AV770" i="3"/>
  <c r="AV892" i="3"/>
  <c r="AV696" i="3"/>
  <c r="AV780" i="3"/>
  <c r="AV1083" i="3"/>
  <c r="AV749" i="3"/>
  <c r="AV775" i="3"/>
  <c r="AV764" i="3"/>
  <c r="AV857" i="3"/>
  <c r="AV731" i="3"/>
  <c r="AV748" i="3"/>
  <c r="AV922" i="3"/>
  <c r="AV1021" i="3"/>
  <c r="AV732" i="3"/>
  <c r="AV781" i="3"/>
  <c r="AV733" i="3"/>
  <c r="AV739" i="3"/>
  <c r="AV765" i="3"/>
  <c r="AV1152" i="3"/>
  <c r="AV737" i="3"/>
  <c r="AV753" i="3"/>
  <c r="AV769" i="3"/>
  <c r="AV791" i="3"/>
  <c r="AV875" i="3"/>
  <c r="AV959" i="3"/>
  <c r="AV999" i="3"/>
  <c r="AV1012" i="3"/>
  <c r="AV1026" i="3"/>
  <c r="AV1030" i="3"/>
  <c r="AV785" i="3"/>
  <c r="AV955" i="3"/>
  <c r="AV986" i="3"/>
  <c r="AV1214" i="3"/>
  <c r="AV741" i="3"/>
  <c r="AV752" i="3"/>
  <c r="AV757" i="3"/>
  <c r="AV768" i="3"/>
  <c r="AV773" i="3"/>
  <c r="AV806" i="3"/>
  <c r="AV838" i="3"/>
  <c r="AV907" i="3"/>
  <c r="AV1094" i="3"/>
  <c r="AV1023" i="3"/>
  <c r="AV1063" i="3"/>
  <c r="AV1076" i="3"/>
  <c r="AV740" i="3"/>
  <c r="AV745" i="3"/>
  <c r="AV756" i="3"/>
  <c r="AV761" i="3"/>
  <c r="AV772" i="3"/>
  <c r="AV777" i="3"/>
  <c r="AV790" i="3"/>
  <c r="AV1019" i="3"/>
  <c r="AV1050" i="3"/>
  <c r="AV788" i="3"/>
  <c r="AV827" i="3"/>
  <c r="AV860" i="3"/>
  <c r="AV935" i="3"/>
  <c r="AV948" i="3"/>
  <c r="AV962" i="3"/>
  <c r="AV966" i="3"/>
  <c r="AV1112" i="3"/>
  <c r="AV911" i="3"/>
  <c r="AV951" i="3"/>
  <c r="AV971" i="3"/>
  <c r="AV975" i="3"/>
  <c r="AV1015" i="3"/>
  <c r="AV1035" i="3"/>
  <c r="AV1039" i="3"/>
  <c r="AV1079" i="3"/>
  <c r="AV1103" i="3"/>
  <c r="AV1186" i="3"/>
  <c r="AV938" i="3"/>
  <c r="AV1002" i="3"/>
  <c r="AV1066" i="3"/>
  <c r="AV1162" i="3"/>
  <c r="AV814" i="3"/>
  <c r="AV846" i="3"/>
  <c r="AV914" i="3"/>
  <c r="AV918" i="3"/>
  <c r="AV923" i="3"/>
  <c r="AV927" i="3"/>
  <c r="AV967" i="3"/>
  <c r="AV978" i="3"/>
  <c r="AV982" i="3"/>
  <c r="AV987" i="3"/>
  <c r="AV991" i="3"/>
  <c r="AV1031" i="3"/>
  <c r="AV1042" i="3"/>
  <c r="AV1046" i="3"/>
  <c r="AV1051" i="3"/>
  <c r="AV1055" i="3"/>
  <c r="AV1092" i="3"/>
  <c r="AV1095" i="3"/>
  <c r="AV1098" i="3"/>
  <c r="AV1114" i="3"/>
  <c r="AV954" i="3"/>
  <c r="AV1018" i="3"/>
  <c r="AV1082" i="3"/>
  <c r="AV1108" i="3"/>
  <c r="AV1130" i="3"/>
  <c r="AV1146" i="3"/>
  <c r="AV1150" i="3"/>
  <c r="AV822" i="3"/>
  <c r="AV919" i="3"/>
  <c r="AV930" i="3"/>
  <c r="AV934" i="3"/>
  <c r="AV939" i="3"/>
  <c r="AV943" i="3"/>
  <c r="AV983" i="3"/>
  <c r="AV994" i="3"/>
  <c r="AV998" i="3"/>
  <c r="AV1003" i="3"/>
  <c r="AV1007" i="3"/>
  <c r="AV1047" i="3"/>
  <c r="AV1058" i="3"/>
  <c r="AV1062" i="3"/>
  <c r="AV1067" i="3"/>
  <c r="AV1071" i="3"/>
  <c r="AV1087" i="3"/>
  <c r="AV970" i="3"/>
  <c r="AV1034" i="3"/>
  <c r="AV1119" i="3"/>
  <c r="AV1135" i="3"/>
  <c r="AV915" i="3"/>
  <c r="AV931" i="3"/>
  <c r="AV947" i="3"/>
  <c r="AV963" i="3"/>
  <c r="AV979" i="3"/>
  <c r="AV995" i="3"/>
  <c r="AV1011" i="3"/>
  <c r="AV1027" i="3"/>
  <c r="AV1043" i="3"/>
  <c r="AV1059" i="3"/>
  <c r="AV1075" i="3"/>
  <c r="AV1091" i="3"/>
  <c r="AV1107" i="3"/>
  <c r="AV1123" i="3"/>
  <c r="AV1139" i="3"/>
  <c r="AV1347" i="3"/>
  <c r="AV1685" i="3"/>
  <c r="AV1111" i="3"/>
  <c r="AV1127" i="3"/>
  <c r="AV1143" i="3"/>
  <c r="AV1184" i="3"/>
  <c r="AV1194" i="3"/>
  <c r="AV1226" i="3"/>
  <c r="AV1168" i="3"/>
  <c r="AV1654" i="3"/>
  <c r="AV1090" i="3"/>
  <c r="AV1099" i="3"/>
  <c r="AV1106" i="3"/>
  <c r="AV1115" i="3"/>
  <c r="AV1122" i="3"/>
  <c r="AV1131" i="3"/>
  <c r="AV1138" i="3"/>
  <c r="AV1182" i="3"/>
  <c r="AV1185" i="3"/>
  <c r="AV1512" i="3"/>
  <c r="AV1154" i="3"/>
  <c r="AV1169" i="3"/>
  <c r="AV1599" i="3"/>
  <c r="AV1497" i="3"/>
  <c r="AV1639" i="3"/>
  <c r="AV1645" i="3"/>
  <c r="AV1218" i="3"/>
  <c r="AV1238" i="3"/>
  <c r="AV1246" i="3"/>
  <c r="AV1254" i="3"/>
  <c r="AV1262" i="3"/>
  <c r="AV1270" i="3"/>
  <c r="AV1278" i="3"/>
  <c r="AV1286" i="3"/>
  <c r="AV1178" i="3"/>
  <c r="AV1363" i="3"/>
  <c r="AV1371" i="3"/>
  <c r="AV1379" i="3"/>
  <c r="AV1387" i="3"/>
  <c r="AV1395" i="3"/>
  <c r="AV1630" i="3"/>
  <c r="AV1690" i="3"/>
  <c r="AV1641" i="3"/>
  <c r="AV1672" i="3"/>
  <c r="AV1777" i="3"/>
  <c r="AV1529" i="3"/>
  <c r="AV1557" i="3"/>
  <c r="AV1570" i="3"/>
  <c r="AV1579" i="3"/>
  <c r="AV1584" i="3"/>
  <c r="AV1588" i="3"/>
  <c r="AV1544" i="3"/>
  <c r="AV1731" i="3"/>
  <c r="AV1518" i="3"/>
  <c r="AV1581" i="3"/>
  <c r="AV1621" i="3"/>
  <c r="AV1634" i="3"/>
  <c r="AV1648" i="3"/>
  <c r="AV1652" i="3"/>
  <c r="AV1538" i="3"/>
  <c r="AV1577" i="3"/>
  <c r="AV1608" i="3"/>
  <c r="AV1573" i="3"/>
  <c r="AV1593" i="3"/>
  <c r="AV1597" i="3"/>
  <c r="AV1637" i="3"/>
  <c r="AV1657" i="3"/>
  <c r="AV1661" i="3"/>
  <c r="AV1786" i="3"/>
  <c r="AV1560" i="3"/>
  <c r="AV1624" i="3"/>
  <c r="AV1688" i="3"/>
  <c r="AV1505" i="3"/>
  <c r="AV1545" i="3"/>
  <c r="AV1549" i="3"/>
  <c r="AV1589" i="3"/>
  <c r="AV1600" i="3"/>
  <c r="AV1604" i="3"/>
  <c r="AV1609" i="3"/>
  <c r="AV1613" i="3"/>
  <c r="AV1653" i="3"/>
  <c r="AV1664" i="3"/>
  <c r="AV1668" i="3"/>
  <c r="AV1673" i="3"/>
  <c r="AV1677" i="3"/>
  <c r="AV1703" i="3"/>
  <c r="AV1576" i="3"/>
  <c r="AV1640" i="3"/>
  <c r="AV1689" i="3"/>
  <c r="AV1698" i="3"/>
  <c r="AV1709" i="3"/>
  <c r="AV1795" i="3"/>
  <c r="AV1513" i="3"/>
  <c r="AV1552" i="3"/>
  <c r="AV1556" i="3"/>
  <c r="AV1561" i="3"/>
  <c r="AV1565" i="3"/>
  <c r="AV1605" i="3"/>
  <c r="AV1616" i="3"/>
  <c r="AV1620" i="3"/>
  <c r="AV1625" i="3"/>
  <c r="AV1629" i="3"/>
  <c r="AV1669" i="3"/>
  <c r="AV1680" i="3"/>
  <c r="AV1684" i="3"/>
  <c r="AV1715" i="3"/>
  <c r="AV1722" i="3"/>
  <c r="AV1752" i="3"/>
  <c r="AV1592" i="3"/>
  <c r="AV1656" i="3"/>
  <c r="AV1553" i="3"/>
  <c r="AV1569" i="3"/>
  <c r="AV1585" i="3"/>
  <c r="AV1601" i="3"/>
  <c r="AV1617" i="3"/>
  <c r="AV1633" i="3"/>
  <c r="AV1649" i="3"/>
  <c r="AV1665" i="3"/>
  <c r="AV1681" i="3"/>
  <c r="AV1693" i="3"/>
  <c r="AV1736" i="3"/>
  <c r="AV1800" i="3"/>
  <c r="AV1691" i="3"/>
  <c r="AV1701" i="3"/>
  <c r="AV1704" i="3"/>
  <c r="AV1779" i="3"/>
  <c r="AV1699" i="3"/>
  <c r="AV1710" i="3"/>
  <c r="AV1720" i="3"/>
  <c r="AV1784" i="3"/>
  <c r="AV1694" i="3"/>
  <c r="AV1763" i="3"/>
  <c r="AV1702" i="3"/>
  <c r="AV1705" i="3"/>
  <c r="AV1768" i="3"/>
  <c r="AV1717" i="3"/>
  <c r="AV1747" i="3"/>
  <c r="AV1692" i="3"/>
  <c r="AV1708" i="3"/>
  <c r="AV1724" i="3"/>
  <c r="AV1740" i="3"/>
  <c r="AV1756" i="3"/>
  <c r="AV1772" i="3"/>
  <c r="AV1788" i="3"/>
  <c r="AV1696" i="3"/>
  <c r="AV1712" i="3"/>
  <c r="AV1719" i="3"/>
  <c r="AV1728" i="3"/>
  <c r="AV1735" i="3"/>
  <c r="AV1744" i="3"/>
  <c r="AV1751" i="3"/>
  <c r="AV1760" i="3"/>
  <c r="AV1767" i="3"/>
  <c r="AV1776" i="3"/>
  <c r="AV1783" i="3"/>
  <c r="AV1792" i="3"/>
  <c r="AV1799" i="3"/>
  <c r="AV1700" i="3"/>
  <c r="AV1707" i="3"/>
  <c r="AV1716" i="3"/>
  <c r="AV1723" i="3"/>
  <c r="AV1732" i="3"/>
  <c r="AV1739" i="3"/>
  <c r="AV1748" i="3"/>
  <c r="AV1755" i="3"/>
  <c r="AV1764" i="3"/>
  <c r="AV1771" i="3"/>
  <c r="AV1780" i="3"/>
  <c r="AV1787" i="3"/>
  <c r="AV1796" i="3"/>
  <c r="AV1803" i="3"/>
  <c r="D13" i="1"/>
  <c r="C40" i="1"/>
  <c r="F4" i="1"/>
  <c r="AO6" i="3" l="1"/>
  <c r="AO7" i="3" s="1"/>
  <c r="AO8" i="3" s="1"/>
  <c r="G7" i="3"/>
  <c r="AW1803" i="3"/>
  <c r="BM154" i="3" s="1"/>
  <c r="AW1796" i="3"/>
  <c r="AW1794" i="3"/>
  <c r="AW1787" i="3"/>
  <c r="AW1780" i="3"/>
  <c r="AW1778" i="3"/>
  <c r="AW1771" i="3"/>
  <c r="AW1764" i="3"/>
  <c r="AW1762" i="3"/>
  <c r="AW1755" i="3"/>
  <c r="AW1748" i="3"/>
  <c r="AW1746" i="3"/>
  <c r="AW1739" i="3"/>
  <c r="AW1732" i="3"/>
  <c r="AW1730" i="3"/>
  <c r="AW1723" i="3"/>
  <c r="AW1801" i="3"/>
  <c r="AW1785" i="3"/>
  <c r="AW1769" i="3"/>
  <c r="AW1753" i="3"/>
  <c r="AW1737" i="3"/>
  <c r="AW1721" i="3"/>
  <c r="AW1705" i="3"/>
  <c r="AW1799" i="3"/>
  <c r="AW1792" i="3"/>
  <c r="AW1790" i="3"/>
  <c r="AW1783" i="3"/>
  <c r="AW1776" i="3"/>
  <c r="AW1774" i="3"/>
  <c r="AW1767" i="3"/>
  <c r="AW1760" i="3"/>
  <c r="AW1758" i="3"/>
  <c r="AW1751" i="3"/>
  <c r="AW1744" i="3"/>
  <c r="AW1742" i="3"/>
  <c r="AW1735" i="3"/>
  <c r="AW1728" i="3"/>
  <c r="AW1726" i="3"/>
  <c r="AW1719" i="3"/>
  <c r="AW1712" i="3"/>
  <c r="AW1710" i="3"/>
  <c r="AW1797" i="3"/>
  <c r="AW1781" i="3"/>
  <c r="AW1765" i="3"/>
  <c r="AW1749" i="3"/>
  <c r="AW1733" i="3"/>
  <c r="AW1717" i="3"/>
  <c r="AW1701" i="3"/>
  <c r="AW1802" i="3"/>
  <c r="AW1795" i="3"/>
  <c r="AW1788" i="3"/>
  <c r="AW1786" i="3"/>
  <c r="AW1779" i="3"/>
  <c r="AW1772" i="3"/>
  <c r="AW1770" i="3"/>
  <c r="AW1763" i="3"/>
  <c r="AW1756" i="3"/>
  <c r="AW1754" i="3"/>
  <c r="AW1747" i="3"/>
  <c r="AW1740" i="3"/>
  <c r="AW1738" i="3"/>
  <c r="AW1731" i="3"/>
  <c r="AW1724" i="3"/>
  <c r="AW1722" i="3"/>
  <c r="AW1793" i="3"/>
  <c r="AW1777" i="3"/>
  <c r="AW1761" i="3"/>
  <c r="AW1745" i="3"/>
  <c r="AW1729" i="3"/>
  <c r="AW1713" i="3"/>
  <c r="AW1697" i="3"/>
  <c r="AW1768" i="3"/>
  <c r="AW1759" i="3"/>
  <c r="AW1714" i="3"/>
  <c r="AW1711" i="3"/>
  <c r="AW1702" i="3"/>
  <c r="AW1789" i="3"/>
  <c r="AW1750" i="3"/>
  <c r="AW1725" i="3"/>
  <c r="AW1694" i="3"/>
  <c r="AW1689" i="3"/>
  <c r="AW1784" i="3"/>
  <c r="AW1775" i="3"/>
  <c r="AW1720" i="3"/>
  <c r="AW1699" i="3"/>
  <c r="AW1766" i="3"/>
  <c r="AW1741" i="3"/>
  <c r="AW1716" i="3"/>
  <c r="AW1707" i="3"/>
  <c r="AW1704" i="3"/>
  <c r="AW1696" i="3"/>
  <c r="AW1691" i="3"/>
  <c r="AW1800" i="3"/>
  <c r="AW1791" i="3"/>
  <c r="AW1736" i="3"/>
  <c r="AW1727" i="3"/>
  <c r="AW1693" i="3"/>
  <c r="AW1681" i="3"/>
  <c r="AW1679" i="3"/>
  <c r="AW1672" i="3"/>
  <c r="AW1665" i="3"/>
  <c r="AW1663" i="3"/>
  <c r="AW1656" i="3"/>
  <c r="AW1649" i="3"/>
  <c r="AW1647" i="3"/>
  <c r="AW1640" i="3"/>
  <c r="AW1633" i="3"/>
  <c r="AW1631" i="3"/>
  <c r="AW1624" i="3"/>
  <c r="AW1617" i="3"/>
  <c r="AW1615" i="3"/>
  <c r="AW1608" i="3"/>
  <c r="AW1601" i="3"/>
  <c r="AW1599" i="3"/>
  <c r="AW1592" i="3"/>
  <c r="AW1585" i="3"/>
  <c r="AW1583" i="3"/>
  <c r="AW1576" i="3"/>
  <c r="AW1569" i="3"/>
  <c r="AW1567" i="3"/>
  <c r="AW1560" i="3"/>
  <c r="AW1553" i="3"/>
  <c r="AW1551" i="3"/>
  <c r="AW1544" i="3"/>
  <c r="AW1538" i="3"/>
  <c r="AW1782" i="3"/>
  <c r="AW1757" i="3"/>
  <c r="AW1718" i="3"/>
  <c r="AW1715" i="3"/>
  <c r="AW1709" i="3"/>
  <c r="AW1706" i="3"/>
  <c r="AW1698" i="3"/>
  <c r="AW1690" i="3"/>
  <c r="AW1688" i="3"/>
  <c r="AW1686" i="3"/>
  <c r="AW1670" i="3"/>
  <c r="AW1654" i="3"/>
  <c r="AW1638" i="3"/>
  <c r="AW1622" i="3"/>
  <c r="AW1606" i="3"/>
  <c r="AW1590" i="3"/>
  <c r="AW1574" i="3"/>
  <c r="AW1558" i="3"/>
  <c r="AW1542" i="3"/>
  <c r="AW1752" i="3"/>
  <c r="AW1684" i="3"/>
  <c r="AW1682" i="3"/>
  <c r="AW1680" i="3"/>
  <c r="AW1671" i="3"/>
  <c r="AW1669" i="3"/>
  <c r="AW1660" i="3"/>
  <c r="AW1658" i="3"/>
  <c r="AW1651" i="3"/>
  <c r="AW1629" i="3"/>
  <c r="AW1625" i="3"/>
  <c r="AW1620" i="3"/>
  <c r="AW1618" i="3"/>
  <c r="AW1616" i="3"/>
  <c r="AW1607" i="3"/>
  <c r="AW1605" i="3"/>
  <c r="AW1596" i="3"/>
  <c r="AW1594" i="3"/>
  <c r="AW1587" i="3"/>
  <c r="AW1565" i="3"/>
  <c r="AW1561" i="3"/>
  <c r="AW1556" i="3"/>
  <c r="AW1554" i="3"/>
  <c r="AW1552" i="3"/>
  <c r="AW1543" i="3"/>
  <c r="AW1541" i="3"/>
  <c r="AW1536" i="3"/>
  <c r="AW1519" i="3"/>
  <c r="AW1516" i="3"/>
  <c r="AW1513" i="3"/>
  <c r="AW1510" i="3"/>
  <c r="AW1734" i="3"/>
  <c r="AW1675" i="3"/>
  <c r="AW1662" i="3"/>
  <c r="AW1611" i="3"/>
  <c r="AW1598" i="3"/>
  <c r="AW1547" i="3"/>
  <c r="AW1539" i="3"/>
  <c r="AW1531" i="3"/>
  <c r="AW1528" i="3"/>
  <c r="AW1525" i="3"/>
  <c r="AW1522" i="3"/>
  <c r="AW1499" i="3"/>
  <c r="AW1496" i="3"/>
  <c r="AW1492" i="3"/>
  <c r="AW1488" i="3"/>
  <c r="AW1484" i="3"/>
  <c r="AW1703" i="3"/>
  <c r="AW1677" i="3"/>
  <c r="AW1673" i="3"/>
  <c r="AW1668" i="3"/>
  <c r="AW1666" i="3"/>
  <c r="AW1664" i="3"/>
  <c r="AW1655" i="3"/>
  <c r="AW1653" i="3"/>
  <c r="AW1644" i="3"/>
  <c r="AW1642" i="3"/>
  <c r="AW1635" i="3"/>
  <c r="AW1613" i="3"/>
  <c r="AW1609" i="3"/>
  <c r="AW1604" i="3"/>
  <c r="AW1602" i="3"/>
  <c r="AW1600" i="3"/>
  <c r="AW1591" i="3"/>
  <c r="AW1589" i="3"/>
  <c r="AW1580" i="3"/>
  <c r="AW1578" i="3"/>
  <c r="AW1571" i="3"/>
  <c r="AW1549" i="3"/>
  <c r="AW1545" i="3"/>
  <c r="AW1534" i="3"/>
  <c r="AW1511" i="3"/>
  <c r="AW1508" i="3"/>
  <c r="AW1505" i="3"/>
  <c r="AW1502" i="3"/>
  <c r="AW1708" i="3"/>
  <c r="AW1659" i="3"/>
  <c r="AW1646" i="3"/>
  <c r="AW1595" i="3"/>
  <c r="AW1582" i="3"/>
  <c r="AW1537" i="3"/>
  <c r="AW1523" i="3"/>
  <c r="AW1520" i="3"/>
  <c r="AW1517" i="3"/>
  <c r="AW1514" i="3"/>
  <c r="AW1493" i="3"/>
  <c r="AW1489" i="3"/>
  <c r="AW1485" i="3"/>
  <c r="AW1481" i="3"/>
  <c r="AW1477" i="3"/>
  <c r="AW1473" i="3"/>
  <c r="AW1469" i="3"/>
  <c r="AW1465" i="3"/>
  <c r="AW1461" i="3"/>
  <c r="AW1457" i="3"/>
  <c r="AW1453" i="3"/>
  <c r="AW1449" i="3"/>
  <c r="AW1445" i="3"/>
  <c r="AW1441" i="3"/>
  <c r="AW1437" i="3"/>
  <c r="AW1433" i="3"/>
  <c r="AW1429" i="3"/>
  <c r="AW1425" i="3"/>
  <c r="AW1421" i="3"/>
  <c r="AW1417" i="3"/>
  <c r="AW1413" i="3"/>
  <c r="AW1409" i="3"/>
  <c r="AW1405" i="3"/>
  <c r="AW1401" i="3"/>
  <c r="AW1397" i="3"/>
  <c r="AW1393" i="3"/>
  <c r="AW1389" i="3"/>
  <c r="AW1385" i="3"/>
  <c r="AW1381" i="3"/>
  <c r="AW1377" i="3"/>
  <c r="AW1373" i="3"/>
  <c r="AW1369" i="3"/>
  <c r="AW1365" i="3"/>
  <c r="AW1361" i="3"/>
  <c r="AW1357" i="3"/>
  <c r="AW1353" i="3"/>
  <c r="AW1349" i="3"/>
  <c r="AW1345" i="3"/>
  <c r="AW1341" i="3"/>
  <c r="AW1337" i="3"/>
  <c r="AW1333" i="3"/>
  <c r="AW1329" i="3"/>
  <c r="AW1325" i="3"/>
  <c r="AW1321" i="3"/>
  <c r="AW1317" i="3"/>
  <c r="AW1313" i="3"/>
  <c r="AW1309" i="3"/>
  <c r="AW1305" i="3"/>
  <c r="AW1301" i="3"/>
  <c r="AW1297" i="3"/>
  <c r="AW1293" i="3"/>
  <c r="AW1289" i="3"/>
  <c r="AW1743" i="3"/>
  <c r="AW1692" i="3"/>
  <c r="AW1683" i="3"/>
  <c r="AW1661" i="3"/>
  <c r="AW1657" i="3"/>
  <c r="AW1652" i="3"/>
  <c r="AW1650" i="3"/>
  <c r="AW1648" i="3"/>
  <c r="AW1639" i="3"/>
  <c r="AW1637" i="3"/>
  <c r="AW1628" i="3"/>
  <c r="AW1626" i="3"/>
  <c r="AW1619" i="3"/>
  <c r="AW1597" i="3"/>
  <c r="AW1593" i="3"/>
  <c r="AW1588" i="3"/>
  <c r="AW1586" i="3"/>
  <c r="AW1584" i="3"/>
  <c r="AW1575" i="3"/>
  <c r="AW1573" i="3"/>
  <c r="AW1564" i="3"/>
  <c r="AW1562" i="3"/>
  <c r="AW1555" i="3"/>
  <c r="AW1535" i="3"/>
  <c r="AW1532" i="3"/>
  <c r="AW1529" i="3"/>
  <c r="AW1526" i="3"/>
  <c r="AW1503" i="3"/>
  <c r="AW1500" i="3"/>
  <c r="AW1497" i="3"/>
  <c r="AW1798" i="3"/>
  <c r="AW1773" i="3"/>
  <c r="AW1643" i="3"/>
  <c r="AW1630" i="3"/>
  <c r="AW1579" i="3"/>
  <c r="AW1566" i="3"/>
  <c r="AW1540" i="3"/>
  <c r="AW1515" i="3"/>
  <c r="AW1512" i="3"/>
  <c r="AW1509" i="3"/>
  <c r="AW1506" i="3"/>
  <c r="AW1494" i="3"/>
  <c r="AW1490" i="3"/>
  <c r="AW1486" i="3"/>
  <c r="AW1482" i="3"/>
  <c r="AW1478" i="3"/>
  <c r="AW1474" i="3"/>
  <c r="AW1470" i="3"/>
  <c r="AW1466" i="3"/>
  <c r="AW1462" i="3"/>
  <c r="AW1458" i="3"/>
  <c r="AW1454" i="3"/>
  <c r="AW1450" i="3"/>
  <c r="AW1446" i="3"/>
  <c r="AW1442" i="3"/>
  <c r="AW1438" i="3"/>
  <c r="AW1434" i="3"/>
  <c r="AW1430" i="3"/>
  <c r="AW1426" i="3"/>
  <c r="AW1422" i="3"/>
  <c r="AW1418" i="3"/>
  <c r="AW1414" i="3"/>
  <c r="AW1410" i="3"/>
  <c r="AW1406" i="3"/>
  <c r="AW1402" i="3"/>
  <c r="AW1398" i="3"/>
  <c r="AW1394" i="3"/>
  <c r="AW1390" i="3"/>
  <c r="AW1386" i="3"/>
  <c r="AW1382" i="3"/>
  <c r="AW1378" i="3"/>
  <c r="AW1374" i="3"/>
  <c r="AW1370" i="3"/>
  <c r="AW1366" i="3"/>
  <c r="AW1362" i="3"/>
  <c r="AW1358" i="3"/>
  <c r="AW1354" i="3"/>
  <c r="AW1350" i="3"/>
  <c r="AW1346" i="3"/>
  <c r="AW1342" i="3"/>
  <c r="AW1338" i="3"/>
  <c r="AW1334" i="3"/>
  <c r="AW1330" i="3"/>
  <c r="AW1326" i="3"/>
  <c r="AW1322" i="3"/>
  <c r="AW1318" i="3"/>
  <c r="AW1314" i="3"/>
  <c r="AW1310" i="3"/>
  <c r="AW1306" i="3"/>
  <c r="AW1302" i="3"/>
  <c r="AW1298" i="3"/>
  <c r="AW1294" i="3"/>
  <c r="AW1290" i="3"/>
  <c r="AW1634" i="3"/>
  <c r="AW1621" i="3"/>
  <c r="AW1612" i="3"/>
  <c r="AW1603" i="3"/>
  <c r="AW1581" i="3"/>
  <c r="AW1550" i="3"/>
  <c r="AW1546" i="3"/>
  <c r="AW1527" i="3"/>
  <c r="AW1524" i="3"/>
  <c r="AW1521" i="3"/>
  <c r="AW1518" i="3"/>
  <c r="AW1700" i="3"/>
  <c r="AW1687" i="3"/>
  <c r="AW1476" i="3"/>
  <c r="AW1468" i="3"/>
  <c r="AW1460" i="3"/>
  <c r="AW1452" i="3"/>
  <c r="AW1444" i="3"/>
  <c r="AW1436" i="3"/>
  <c r="AW1428" i="3"/>
  <c r="AW1420" i="3"/>
  <c r="AW1412" i="3"/>
  <c r="AW1404" i="3"/>
  <c r="AW1396" i="3"/>
  <c r="AW1388" i="3"/>
  <c r="AW1380" i="3"/>
  <c r="AW1372" i="3"/>
  <c r="AW1364" i="3"/>
  <c r="AW1356" i="3"/>
  <c r="AW1348" i="3"/>
  <c r="AW1678" i="3"/>
  <c r="AW1674" i="3"/>
  <c r="AW1533" i="3"/>
  <c r="AW1530" i="3"/>
  <c r="AW1491" i="3"/>
  <c r="AW1479" i="3"/>
  <c r="AW1471" i="3"/>
  <c r="AW1463" i="3"/>
  <c r="AW1455" i="3"/>
  <c r="AW1447" i="3"/>
  <c r="AW1439" i="3"/>
  <c r="AW1431" i="3"/>
  <c r="AW1423" i="3"/>
  <c r="AW1415" i="3"/>
  <c r="AW1407" i="3"/>
  <c r="AW1399" i="3"/>
  <c r="AW1391" i="3"/>
  <c r="AW1383" i="3"/>
  <c r="AW1375" i="3"/>
  <c r="AW1367" i="3"/>
  <c r="AW1359" i="3"/>
  <c r="AW1636" i="3"/>
  <c r="AW1632" i="3"/>
  <c r="AW1570" i="3"/>
  <c r="AW1557" i="3"/>
  <c r="AW1548" i="3"/>
  <c r="AW1641" i="3"/>
  <c r="AW1627" i="3"/>
  <c r="AW1623" i="3"/>
  <c r="AW1495" i="3"/>
  <c r="AW1487" i="3"/>
  <c r="AW1685" i="3"/>
  <c r="AW1676" i="3"/>
  <c r="AW1667" i="3"/>
  <c r="AW1645" i="3"/>
  <c r="AW1614" i="3"/>
  <c r="AW1610" i="3"/>
  <c r="AW1501" i="3"/>
  <c r="AW1498" i="3"/>
  <c r="AW1480" i="3"/>
  <c r="AW1472" i="3"/>
  <c r="AW1464" i="3"/>
  <c r="AW1456" i="3"/>
  <c r="AW1448" i="3"/>
  <c r="AW1440" i="3"/>
  <c r="AW1432" i="3"/>
  <c r="AW1424" i="3"/>
  <c r="AW1416" i="3"/>
  <c r="AW1408" i="3"/>
  <c r="AW1400" i="3"/>
  <c r="AW1392" i="3"/>
  <c r="AW1384" i="3"/>
  <c r="AW1376" i="3"/>
  <c r="AW1368" i="3"/>
  <c r="AW1360" i="3"/>
  <c r="AW1352" i="3"/>
  <c r="AW1344" i="3"/>
  <c r="AW1336" i="3"/>
  <c r="AW1328" i="3"/>
  <c r="AW1320" i="3"/>
  <c r="AW1312" i="3"/>
  <c r="AW1304" i="3"/>
  <c r="AW1296" i="3"/>
  <c r="AW1288" i="3"/>
  <c r="AW1284" i="3"/>
  <c r="AW1280" i="3"/>
  <c r="AW1276" i="3"/>
  <c r="AW1272" i="3"/>
  <c r="AW1268" i="3"/>
  <c r="AW1264" i="3"/>
  <c r="AW1260" i="3"/>
  <c r="AW1256" i="3"/>
  <c r="AW1252" i="3"/>
  <c r="AW1248" i="3"/>
  <c r="AW1244" i="3"/>
  <c r="AW1240" i="3"/>
  <c r="AW1236" i="3"/>
  <c r="AW1232" i="3"/>
  <c r="AW1228" i="3"/>
  <c r="AW1224" i="3"/>
  <c r="AW1220" i="3"/>
  <c r="AW1216" i="3"/>
  <c r="AW1212" i="3"/>
  <c r="AW1208" i="3"/>
  <c r="AW1204" i="3"/>
  <c r="AW1200" i="3"/>
  <c r="AW1196" i="3"/>
  <c r="AW1192" i="3"/>
  <c r="AW1188" i="3"/>
  <c r="AW1184" i="3"/>
  <c r="AW1180" i="3"/>
  <c r="AW1176" i="3"/>
  <c r="AW1172" i="3"/>
  <c r="AW1168" i="3"/>
  <c r="AW1164" i="3"/>
  <c r="AW1160" i="3"/>
  <c r="AW1156" i="3"/>
  <c r="AW1152" i="3"/>
  <c r="AW1148" i="3"/>
  <c r="AW1467" i="3"/>
  <c r="AW1435" i="3"/>
  <c r="AW1403" i="3"/>
  <c r="AW1355" i="3"/>
  <c r="AW1299" i="3"/>
  <c r="AW1283" i="3"/>
  <c r="AW1275" i="3"/>
  <c r="AW1267" i="3"/>
  <c r="AW1259" i="3"/>
  <c r="AW1251" i="3"/>
  <c r="AW1243" i="3"/>
  <c r="AW1235" i="3"/>
  <c r="AW1225" i="3"/>
  <c r="AW1215" i="3"/>
  <c r="AW1210" i="3"/>
  <c r="AW1193" i="3"/>
  <c r="AW1695" i="3"/>
  <c r="AW1577" i="3"/>
  <c r="AW1339" i="3"/>
  <c r="AW1335" i="3"/>
  <c r="AW1331" i="3"/>
  <c r="AW1327" i="3"/>
  <c r="AW1316" i="3"/>
  <c r="AW1295" i="3"/>
  <c r="AW1233" i="3"/>
  <c r="AW1230" i="3"/>
  <c r="AW1213" i="3"/>
  <c r="AW1203" i="3"/>
  <c r="AW1198" i="3"/>
  <c r="AW1181" i="3"/>
  <c r="AW1171" i="3"/>
  <c r="AW1166" i="3"/>
  <c r="AW1504" i="3"/>
  <c r="AW1475" i="3"/>
  <c r="AW1443" i="3"/>
  <c r="AW1411" i="3"/>
  <c r="AW1343" i="3"/>
  <c r="AW1323" i="3"/>
  <c r="AW1291" i="3"/>
  <c r="AW1286" i="3"/>
  <c r="AW1281" i="3"/>
  <c r="AW1278" i="3"/>
  <c r="AW1273" i="3"/>
  <c r="AW1270" i="3"/>
  <c r="AW1265" i="3"/>
  <c r="AW1262" i="3"/>
  <c r="AW1257" i="3"/>
  <c r="AW1254" i="3"/>
  <c r="AW1249" i="3"/>
  <c r="AW1246" i="3"/>
  <c r="AW1241" i="3"/>
  <c r="AW1238" i="3"/>
  <c r="AW1223" i="3"/>
  <c r="AW1218" i="3"/>
  <c r="AW1201" i="3"/>
  <c r="AW1191" i="3"/>
  <c r="AW1186" i="3"/>
  <c r="AW1169" i="3"/>
  <c r="AW1159" i="3"/>
  <c r="AW1319" i="3"/>
  <c r="AW1308" i="3"/>
  <c r="AW1231" i="3"/>
  <c r="AW1221" i="3"/>
  <c r="AW1211" i="3"/>
  <c r="AW1206" i="3"/>
  <c r="AW1189" i="3"/>
  <c r="AW1179" i="3"/>
  <c r="AW1174" i="3"/>
  <c r="AW1157" i="3"/>
  <c r="AW1147" i="3"/>
  <c r="AW1559" i="3"/>
  <c r="AW1483" i="3"/>
  <c r="AW1451" i="3"/>
  <c r="AW1419" i="3"/>
  <c r="AW1347" i="3"/>
  <c r="AW1315" i="3"/>
  <c r="AW1287" i="3"/>
  <c r="AW1279" i="3"/>
  <c r="AW1271" i="3"/>
  <c r="AW1263" i="3"/>
  <c r="AW1255" i="3"/>
  <c r="AW1247" i="3"/>
  <c r="AW1239" i="3"/>
  <c r="AW1226" i="3"/>
  <c r="AW1209" i="3"/>
  <c r="AW1199" i="3"/>
  <c r="AW1194" i="3"/>
  <c r="AW1507" i="3"/>
  <c r="AW1311" i="3"/>
  <c r="AW1300" i="3"/>
  <c r="AW1234" i="3"/>
  <c r="AW1229" i="3"/>
  <c r="AW1219" i="3"/>
  <c r="AW1214" i="3"/>
  <c r="AW1197" i="3"/>
  <c r="AW1187" i="3"/>
  <c r="AW1182" i="3"/>
  <c r="AW1165" i="3"/>
  <c r="AW1155" i="3"/>
  <c r="AW1150" i="3"/>
  <c r="AW1572" i="3"/>
  <c r="AW1261" i="3"/>
  <c r="AW1258" i="3"/>
  <c r="AW1205" i="3"/>
  <c r="AW1202" i="3"/>
  <c r="AW1185" i="3"/>
  <c r="AW1161" i="3"/>
  <c r="AW1149" i="3"/>
  <c r="AW1145" i="3"/>
  <c r="AW1138" i="3"/>
  <c r="AW1131" i="3"/>
  <c r="AW1129" i="3"/>
  <c r="AW1122" i="3"/>
  <c r="AW1395" i="3"/>
  <c r="AW1387" i="3"/>
  <c r="AW1379" i="3"/>
  <c r="AW1371" i="3"/>
  <c r="AW1363" i="3"/>
  <c r="AW1324" i="3"/>
  <c r="AW1307" i="3"/>
  <c r="AW1237" i="3"/>
  <c r="AW1227" i="3"/>
  <c r="AW1195" i="3"/>
  <c r="AW1158" i="3"/>
  <c r="AW1153" i="3"/>
  <c r="AW1151" i="3"/>
  <c r="AW1136" i="3"/>
  <c r="AW1120" i="3"/>
  <c r="AW1104" i="3"/>
  <c r="AW1088" i="3"/>
  <c r="AW1277" i="3"/>
  <c r="AW1274" i="3"/>
  <c r="AW1222" i="3"/>
  <c r="AW1190" i="3"/>
  <c r="AW1143" i="3"/>
  <c r="AW1141" i="3"/>
  <c r="AW1134" i="3"/>
  <c r="AW1127" i="3"/>
  <c r="AW1125" i="3"/>
  <c r="AW1118" i="3"/>
  <c r="AW1111" i="3"/>
  <c r="AW1109" i="3"/>
  <c r="AW1102" i="3"/>
  <c r="AW1095" i="3"/>
  <c r="AW1093" i="3"/>
  <c r="AW1427" i="3"/>
  <c r="AW1351" i="3"/>
  <c r="AW1253" i="3"/>
  <c r="AW1250" i="3"/>
  <c r="AW1207" i="3"/>
  <c r="AW1173" i="3"/>
  <c r="AW1163" i="3"/>
  <c r="AW1132" i="3"/>
  <c r="AW1116" i="3"/>
  <c r="AW1340" i="3"/>
  <c r="AW1303" i="3"/>
  <c r="AW1167" i="3"/>
  <c r="AW1146" i="3"/>
  <c r="AW1139" i="3"/>
  <c r="AW1137" i="3"/>
  <c r="AW1130" i="3"/>
  <c r="AW1123" i="3"/>
  <c r="AW1121" i="3"/>
  <c r="AW1114" i="3"/>
  <c r="AW1107" i="3"/>
  <c r="AW1105" i="3"/>
  <c r="AW1098" i="3"/>
  <c r="AW1091" i="3"/>
  <c r="AW1089" i="3"/>
  <c r="AW1082" i="3"/>
  <c r="AW1075" i="3"/>
  <c r="AW1073" i="3"/>
  <c r="AW1066" i="3"/>
  <c r="AW1059" i="3"/>
  <c r="AW1057" i="3"/>
  <c r="AW1050" i="3"/>
  <c r="AW1043" i="3"/>
  <c r="AW1041" i="3"/>
  <c r="AW1034" i="3"/>
  <c r="AW1027" i="3"/>
  <c r="AW1025" i="3"/>
  <c r="AW1018" i="3"/>
  <c r="AW1011" i="3"/>
  <c r="AW1009" i="3"/>
  <c r="AW1002" i="3"/>
  <c r="AW995" i="3"/>
  <c r="AW993" i="3"/>
  <c r="AW986" i="3"/>
  <c r="AW979" i="3"/>
  <c r="AW977" i="3"/>
  <c r="AW970" i="3"/>
  <c r="AW963" i="3"/>
  <c r="AW961" i="3"/>
  <c r="AW954" i="3"/>
  <c r="AW947" i="3"/>
  <c r="AW945" i="3"/>
  <c r="AW938" i="3"/>
  <c r="AW931" i="3"/>
  <c r="AW929" i="3"/>
  <c r="AW922" i="3"/>
  <c r="AW915" i="3"/>
  <c r="AW913" i="3"/>
  <c r="AW907" i="3"/>
  <c r="AW903" i="3"/>
  <c r="AW899" i="3"/>
  <c r="AW895" i="3"/>
  <c r="AW891" i="3"/>
  <c r="AW887" i="3"/>
  <c r="AW883" i="3"/>
  <c r="AW879" i="3"/>
  <c r="AW875" i="3"/>
  <c r="AW871" i="3"/>
  <c r="AW867" i="3"/>
  <c r="AW863" i="3"/>
  <c r="AW859" i="3"/>
  <c r="AW855" i="3"/>
  <c r="AW851" i="3"/>
  <c r="AW1459" i="3"/>
  <c r="AW1269" i="3"/>
  <c r="AW1266" i="3"/>
  <c r="AW1178" i="3"/>
  <c r="AW1175" i="3"/>
  <c r="AW1170" i="3"/>
  <c r="AW1162" i="3"/>
  <c r="AW1144" i="3"/>
  <c r="AW1128" i="3"/>
  <c r="AW1112" i="3"/>
  <c r="AW1096" i="3"/>
  <c r="AW1080" i="3"/>
  <c r="AW1064" i="3"/>
  <c r="AW1048" i="3"/>
  <c r="AW1032" i="3"/>
  <c r="AW1016" i="3"/>
  <c r="AW1000" i="3"/>
  <c r="AW984" i="3"/>
  <c r="AW968" i="3"/>
  <c r="AW952" i="3"/>
  <c r="AW936" i="3"/>
  <c r="AW920" i="3"/>
  <c r="AW1332" i="3"/>
  <c r="AW1183" i="3"/>
  <c r="AW1142" i="3"/>
  <c r="AW1126" i="3"/>
  <c r="AW1099" i="3"/>
  <c r="AW1090" i="3"/>
  <c r="AW1087" i="3"/>
  <c r="AW1071" i="3"/>
  <c r="AW1067" i="3"/>
  <c r="AW1062" i="3"/>
  <c r="AW1060" i="3"/>
  <c r="AW1058" i="3"/>
  <c r="AW1049" i="3"/>
  <c r="AW1047" i="3"/>
  <c r="AW1038" i="3"/>
  <c r="AW1036" i="3"/>
  <c r="AW1029" i="3"/>
  <c r="AW1007" i="3"/>
  <c r="AW1003" i="3"/>
  <c r="AW998" i="3"/>
  <c r="AW996" i="3"/>
  <c r="AW994" i="3"/>
  <c r="AW985" i="3"/>
  <c r="AW983" i="3"/>
  <c r="AW974" i="3"/>
  <c r="AW972" i="3"/>
  <c r="AW965" i="3"/>
  <c r="AW943" i="3"/>
  <c r="AW939" i="3"/>
  <c r="AW934" i="3"/>
  <c r="AW932" i="3"/>
  <c r="AW930" i="3"/>
  <c r="AW921" i="3"/>
  <c r="AW919" i="3"/>
  <c r="AW910" i="3"/>
  <c r="AW905" i="3"/>
  <c r="AW888" i="3"/>
  <c r="AW878" i="3"/>
  <c r="AW873" i="3"/>
  <c r="AW856" i="3"/>
  <c r="AW828" i="3"/>
  <c r="AW825" i="3"/>
  <c r="AW822" i="3"/>
  <c r="AW819" i="3"/>
  <c r="AW1292" i="3"/>
  <c r="AW1217" i="3"/>
  <c r="AW1115" i="3"/>
  <c r="AW1108" i="3"/>
  <c r="AW1101" i="3"/>
  <c r="AW1053" i="3"/>
  <c r="AW1040" i="3"/>
  <c r="AW989" i="3"/>
  <c r="AW976" i="3"/>
  <c r="AW925" i="3"/>
  <c r="AW912" i="3"/>
  <c r="AW908" i="3"/>
  <c r="AW898" i="3"/>
  <c r="AW893" i="3"/>
  <c r="AW876" i="3"/>
  <c r="AW866" i="3"/>
  <c r="AW861" i="3"/>
  <c r="AW840" i="3"/>
  <c r="AW837" i="3"/>
  <c r="AW834" i="3"/>
  <c r="AW831" i="3"/>
  <c r="AW808" i="3"/>
  <c r="AW805" i="3"/>
  <c r="AW802" i="3"/>
  <c r="AW799" i="3"/>
  <c r="AW1177" i="3"/>
  <c r="AW1092" i="3"/>
  <c r="AW1084" i="3"/>
  <c r="AW1077" i="3"/>
  <c r="AW1055" i="3"/>
  <c r="AW1051" i="3"/>
  <c r="AW1046" i="3"/>
  <c r="AW1044" i="3"/>
  <c r="AW1042" i="3"/>
  <c r="AW1033" i="3"/>
  <c r="AW1031" i="3"/>
  <c r="AW1022" i="3"/>
  <c r="AW1020" i="3"/>
  <c r="AW1013" i="3"/>
  <c r="AW991" i="3"/>
  <c r="AW987" i="3"/>
  <c r="AW982" i="3"/>
  <c r="AW980" i="3"/>
  <c r="AW978" i="3"/>
  <c r="AW969" i="3"/>
  <c r="AW967" i="3"/>
  <c r="AW958" i="3"/>
  <c r="AW956" i="3"/>
  <c r="AW949" i="3"/>
  <c r="AW927" i="3"/>
  <c r="AW923" i="3"/>
  <c r="AW918" i="3"/>
  <c r="AW916" i="3"/>
  <c r="AW914" i="3"/>
  <c r="AW896" i="3"/>
  <c r="AW886" i="3"/>
  <c r="AW881" i="3"/>
  <c r="AW864" i="3"/>
  <c r="AW854" i="3"/>
  <c r="AW849" i="3"/>
  <c r="AW846" i="3"/>
  <c r="AW843" i="3"/>
  <c r="AW820" i="3"/>
  <c r="AW817" i="3"/>
  <c r="AW814" i="3"/>
  <c r="AW811" i="3"/>
  <c r="AW1568" i="3"/>
  <c r="AW1563" i="3"/>
  <c r="AW1133" i="3"/>
  <c r="AW1117" i="3"/>
  <c r="AW1110" i="3"/>
  <c r="AW1086" i="3"/>
  <c r="AW1037" i="3"/>
  <c r="AW1024" i="3"/>
  <c r="AW973" i="3"/>
  <c r="AW960" i="3"/>
  <c r="AW906" i="3"/>
  <c r="AW901" i="3"/>
  <c r="AW884" i="3"/>
  <c r="AW874" i="3"/>
  <c r="AW869" i="3"/>
  <c r="AW852" i="3"/>
  <c r="AW832" i="3"/>
  <c r="AW829" i="3"/>
  <c r="AW826" i="3"/>
  <c r="AW823" i="3"/>
  <c r="AW800" i="3"/>
  <c r="AW797" i="3"/>
  <c r="AW794" i="3"/>
  <c r="AW791" i="3"/>
  <c r="AW1282" i="3"/>
  <c r="AW1154" i="3"/>
  <c r="AW1103" i="3"/>
  <c r="AW1100" i="3"/>
  <c r="AW1094" i="3"/>
  <c r="AW1081" i="3"/>
  <c r="AW1079" i="3"/>
  <c r="AW1070" i="3"/>
  <c r="AW1068" i="3"/>
  <c r="AW1061" i="3"/>
  <c r="AW1039" i="3"/>
  <c r="AW1035" i="3"/>
  <c r="AW1030" i="3"/>
  <c r="AW1028" i="3"/>
  <c r="AW1026" i="3"/>
  <c r="AW1017" i="3"/>
  <c r="AW1015" i="3"/>
  <c r="AW1006" i="3"/>
  <c r="AW1004" i="3"/>
  <c r="AW997" i="3"/>
  <c r="AW975" i="3"/>
  <c r="AW971" i="3"/>
  <c r="AW966" i="3"/>
  <c r="AW964" i="3"/>
  <c r="AW962" i="3"/>
  <c r="AW953" i="3"/>
  <c r="AW951" i="3"/>
  <c r="AW942" i="3"/>
  <c r="AW940" i="3"/>
  <c r="AW933" i="3"/>
  <c r="AW911" i="3"/>
  <c r="AW904" i="3"/>
  <c r="AW894" i="3"/>
  <c r="AW889" i="3"/>
  <c r="AW872" i="3"/>
  <c r="AW862" i="3"/>
  <c r="AW857" i="3"/>
  <c r="AW844" i="3"/>
  <c r="AW841" i="3"/>
  <c r="AW838" i="3"/>
  <c r="AW835" i="3"/>
  <c r="AW1242" i="3"/>
  <c r="AW1113" i="3"/>
  <c r="AW1097" i="3"/>
  <c r="AW1072" i="3"/>
  <c r="AW1021" i="3"/>
  <c r="AW1008" i="3"/>
  <c r="AW957" i="3"/>
  <c r="AW944" i="3"/>
  <c r="AW909" i="3"/>
  <c r="AW892" i="3"/>
  <c r="AW882" i="3"/>
  <c r="AW877" i="3"/>
  <c r="AW860" i="3"/>
  <c r="AW850" i="3"/>
  <c r="AW847" i="3"/>
  <c r="AW824" i="3"/>
  <c r="AW821" i="3"/>
  <c r="AW818" i="3"/>
  <c r="AW815" i="3"/>
  <c r="AW792" i="3"/>
  <c r="AW789" i="3"/>
  <c r="AW786" i="3"/>
  <c r="AW1106" i="3"/>
  <c r="AW1019" i="3"/>
  <c r="AW1005" i="3"/>
  <c r="AW1001" i="3"/>
  <c r="AW880" i="3"/>
  <c r="AW812" i="3"/>
  <c r="AW807" i="3"/>
  <c r="AW795" i="3"/>
  <c r="AW790" i="3"/>
  <c r="AW777" i="3"/>
  <c r="AW772" i="3"/>
  <c r="AW767" i="3"/>
  <c r="AW761" i="3"/>
  <c r="AW756" i="3"/>
  <c r="AW751" i="3"/>
  <c r="AW745" i="3"/>
  <c r="AW740" i="3"/>
  <c r="AW1085" i="3"/>
  <c r="AW1076" i="3"/>
  <c r="AW1063" i="3"/>
  <c r="AW1054" i="3"/>
  <c r="AW1045" i="3"/>
  <c r="AW1023" i="3"/>
  <c r="AW992" i="3"/>
  <c r="AW988" i="3"/>
  <c r="AW842" i="3"/>
  <c r="AW839" i="3"/>
  <c r="AW809" i="3"/>
  <c r="AW804" i="3"/>
  <c r="AW778" i="3"/>
  <c r="AW762" i="3"/>
  <c r="AW746" i="3"/>
  <c r="AW1245" i="3"/>
  <c r="AW950" i="3"/>
  <c r="AW946" i="3"/>
  <c r="AW900" i="3"/>
  <c r="AW897" i="3"/>
  <c r="AW890" i="3"/>
  <c r="AW845" i="3"/>
  <c r="AW806" i="3"/>
  <c r="AW779" i="3"/>
  <c r="AW773" i="3"/>
  <c r="AW768" i="3"/>
  <c r="AW763" i="3"/>
  <c r="AW757" i="3"/>
  <c r="AW752" i="3"/>
  <c r="AW747" i="3"/>
  <c r="AW741" i="3"/>
  <c r="AW955" i="3"/>
  <c r="AW941" i="3"/>
  <c r="AW937" i="3"/>
  <c r="AW848" i="3"/>
  <c r="AW787" i="3"/>
  <c r="AW785" i="3"/>
  <c r="AW783" i="3"/>
  <c r="AW774" i="3"/>
  <c r="AW758" i="3"/>
  <c r="AW742" i="3"/>
  <c r="AW727" i="3"/>
  <c r="AW723" i="3"/>
  <c r="AW719" i="3"/>
  <c r="AW715" i="3"/>
  <c r="AW711" i="3"/>
  <c r="AW707" i="3"/>
  <c r="AW703" i="3"/>
  <c r="AW699" i="3"/>
  <c r="AW695" i="3"/>
  <c r="AW1078" i="3"/>
  <c r="AW1074" i="3"/>
  <c r="AW1012" i="3"/>
  <c r="AW999" i="3"/>
  <c r="AW990" i="3"/>
  <c r="AW981" i="3"/>
  <c r="AW959" i="3"/>
  <c r="AW928" i="3"/>
  <c r="AW924" i="3"/>
  <c r="AW902" i="3"/>
  <c r="AW868" i="3"/>
  <c r="AW865" i="3"/>
  <c r="AW858" i="3"/>
  <c r="AW803" i="3"/>
  <c r="AW801" i="3"/>
  <c r="AW780" i="3"/>
  <c r="AW775" i="3"/>
  <c r="AW769" i="3"/>
  <c r="AW764" i="3"/>
  <c r="AW759" i="3"/>
  <c r="AW753" i="3"/>
  <c r="AW748" i="3"/>
  <c r="AW743" i="3"/>
  <c r="AW1135" i="3"/>
  <c r="AW1119" i="3"/>
  <c r="AW1083" i="3"/>
  <c r="AW1069" i="3"/>
  <c r="AW1065" i="3"/>
  <c r="AW885" i="3"/>
  <c r="AW813" i="3"/>
  <c r="AW796" i="3"/>
  <c r="AW770" i="3"/>
  <c r="AW754" i="3"/>
  <c r="AW738" i="3"/>
  <c r="AW728" i="3"/>
  <c r="AW724" i="3"/>
  <c r="AW720" i="3"/>
  <c r="AW716" i="3"/>
  <c r="AW712" i="3"/>
  <c r="AW708" i="3"/>
  <c r="AW704" i="3"/>
  <c r="AW700" i="3"/>
  <c r="AW696" i="3"/>
  <c r="AW935" i="3"/>
  <c r="AW917" i="3"/>
  <c r="AW776" i="3"/>
  <c r="AW771" i="3"/>
  <c r="AW739" i="3"/>
  <c r="AW733" i="3"/>
  <c r="AW689" i="3"/>
  <c r="AW1052" i="3"/>
  <c r="AW1010" i="3"/>
  <c r="AW827" i="3"/>
  <c r="AW781" i="3"/>
  <c r="AW766" i="3"/>
  <c r="AW732" i="3"/>
  <c r="AW1056" i="3"/>
  <c r="AW1014" i="3"/>
  <c r="AW816" i="3"/>
  <c r="AW798" i="3"/>
  <c r="AW731" i="3"/>
  <c r="AW729" i="3"/>
  <c r="AW721" i="3"/>
  <c r="AW713" i="3"/>
  <c r="AW705" i="3"/>
  <c r="AW853" i="3"/>
  <c r="AW830" i="3"/>
  <c r="AW810" i="3"/>
  <c r="AW782" i="3"/>
  <c r="AW730" i="3"/>
  <c r="AW722" i="3"/>
  <c r="AW714" i="3"/>
  <c r="AW706" i="3"/>
  <c r="AW698" i="3"/>
  <c r="AW1124" i="3"/>
  <c r="AW948" i="3"/>
  <c r="AW926" i="3"/>
  <c r="AW744" i="3"/>
  <c r="AW737" i="3"/>
  <c r="AW691" i="3"/>
  <c r="AW687" i="3"/>
  <c r="AW683" i="3"/>
  <c r="AW679" i="3"/>
  <c r="AW675" i="3"/>
  <c r="AW671" i="3"/>
  <c r="AW667" i="3"/>
  <c r="AW663" i="3"/>
  <c r="AW659" i="3"/>
  <c r="AW655" i="3"/>
  <c r="AW651" i="3"/>
  <c r="AW647" i="3"/>
  <c r="AW1285" i="3"/>
  <c r="AW833" i="3"/>
  <c r="AW793" i="3"/>
  <c r="AW749" i="3"/>
  <c r="AW784" i="3"/>
  <c r="AW750" i="3"/>
  <c r="AW736" i="3"/>
  <c r="AW709" i="3"/>
  <c r="AW670" i="3"/>
  <c r="AW664" i="3"/>
  <c r="AW657" i="3"/>
  <c r="AW641" i="3"/>
  <c r="AW637" i="3"/>
  <c r="AW633" i="3"/>
  <c r="AW629" i="3"/>
  <c r="AW836" i="3"/>
  <c r="AW788" i="3"/>
  <c r="AW755" i="3"/>
  <c r="AW734" i="3"/>
  <c r="AW701" i="3"/>
  <c r="AW678" i="3"/>
  <c r="AW672" i="3"/>
  <c r="AW665" i="3"/>
  <c r="AW646" i="3"/>
  <c r="AW702" i="3"/>
  <c r="AW694" i="3"/>
  <c r="AW688" i="3"/>
  <c r="AW686" i="3"/>
  <c r="AW666" i="3"/>
  <c r="AW660" i="3"/>
  <c r="AW653" i="3"/>
  <c r="AW1140" i="3"/>
  <c r="AW735" i="3"/>
  <c r="AW725" i="3"/>
  <c r="AW692" i="3"/>
  <c r="AW690" i="3"/>
  <c r="AW680" i="3"/>
  <c r="AW673" i="3"/>
  <c r="AW654" i="3"/>
  <c r="AW648" i="3"/>
  <c r="AW643" i="3"/>
  <c r="AW639" i="3"/>
  <c r="AW635" i="3"/>
  <c r="AW631" i="3"/>
  <c r="AW627" i="3"/>
  <c r="AW870" i="3"/>
  <c r="AW760" i="3"/>
  <c r="AW726" i="3"/>
  <c r="AW674" i="3"/>
  <c r="AW668" i="3"/>
  <c r="AW661" i="3"/>
  <c r="AW649" i="3"/>
  <c r="AW632" i="3"/>
  <c r="AW630" i="3"/>
  <c r="AW619" i="3"/>
  <c r="AW603" i="3"/>
  <c r="AW587" i="3"/>
  <c r="AW710" i="3"/>
  <c r="AW682" i="3"/>
  <c r="AW677" i="3"/>
  <c r="AW625" i="3"/>
  <c r="AW620" i="3"/>
  <c r="AW614" i="3"/>
  <c r="AW609" i="3"/>
  <c r="AW604" i="3"/>
  <c r="AW598" i="3"/>
  <c r="AW593" i="3"/>
  <c r="AW588" i="3"/>
  <c r="AW717" i="3"/>
  <c r="AW681" i="3"/>
  <c r="AW669" i="3"/>
  <c r="AW658" i="3"/>
  <c r="AW636" i="3"/>
  <c r="AW634" i="3"/>
  <c r="AW615" i="3"/>
  <c r="AW599" i="3"/>
  <c r="AW586" i="3"/>
  <c r="AW582" i="3"/>
  <c r="AW676" i="3"/>
  <c r="AW662" i="3"/>
  <c r="AW621" i="3"/>
  <c r="AW616" i="3"/>
  <c r="AW610" i="3"/>
  <c r="AW605" i="3"/>
  <c r="AW600" i="3"/>
  <c r="AW594" i="3"/>
  <c r="AW589" i="3"/>
  <c r="AW765" i="3"/>
  <c r="AW652" i="3"/>
  <c r="AW640" i="3"/>
  <c r="AW638" i="3"/>
  <c r="AW611" i="3"/>
  <c r="AW595" i="3"/>
  <c r="AW585" i="3"/>
  <c r="AW583" i="3"/>
  <c r="AW579" i="3"/>
  <c r="AW575" i="3"/>
  <c r="AW571" i="3"/>
  <c r="AW567" i="3"/>
  <c r="AW563" i="3"/>
  <c r="AW559" i="3"/>
  <c r="AW555" i="3"/>
  <c r="AW551" i="3"/>
  <c r="AW656" i="3"/>
  <c r="AW626" i="3"/>
  <c r="AW597" i="3"/>
  <c r="AW596" i="3"/>
  <c r="AW566" i="3"/>
  <c r="AW560" i="3"/>
  <c r="AW553" i="3"/>
  <c r="AW545" i="3"/>
  <c r="AW618" i="3"/>
  <c r="AW617" i="3"/>
  <c r="AW573" i="3"/>
  <c r="AW554" i="3"/>
  <c r="AW684" i="3"/>
  <c r="AW644" i="3"/>
  <c r="AW624" i="3"/>
  <c r="AW584" i="3"/>
  <c r="AW581" i="3"/>
  <c r="AW574" i="3"/>
  <c r="AW568" i="3"/>
  <c r="AW561" i="3"/>
  <c r="AW546" i="3"/>
  <c r="AW542" i="3"/>
  <c r="AW538" i="3"/>
  <c r="AW534" i="3"/>
  <c r="AW530" i="3"/>
  <c r="AW526" i="3"/>
  <c r="AW522" i="3"/>
  <c r="AW693" i="3"/>
  <c r="AW650" i="3"/>
  <c r="AW645" i="3"/>
  <c r="AW628" i="3"/>
  <c r="AW623" i="3"/>
  <c r="AW622" i="3"/>
  <c r="AW602" i="3"/>
  <c r="AW601" i="3"/>
  <c r="AW562" i="3"/>
  <c r="AW556" i="3"/>
  <c r="AW549" i="3"/>
  <c r="AW608" i="3"/>
  <c r="AW576" i="3"/>
  <c r="AW569" i="3"/>
  <c r="AW550" i="3"/>
  <c r="AW547" i="3"/>
  <c r="AW543" i="3"/>
  <c r="AW539" i="3"/>
  <c r="AW535" i="3"/>
  <c r="AW531" i="3"/>
  <c r="AW527" i="3"/>
  <c r="AW523" i="3"/>
  <c r="AW519" i="3"/>
  <c r="AW515" i="3"/>
  <c r="AW511" i="3"/>
  <c r="AW507" i="3"/>
  <c r="AW685" i="3"/>
  <c r="AW642" i="3"/>
  <c r="AW591" i="3"/>
  <c r="AW570" i="3"/>
  <c r="AW565" i="3"/>
  <c r="AW552" i="3"/>
  <c r="AW544" i="3"/>
  <c r="AW529" i="3"/>
  <c r="AW524" i="3"/>
  <c r="AW518" i="3"/>
  <c r="AW517" i="3"/>
  <c r="AW718" i="3"/>
  <c r="AW564" i="3"/>
  <c r="AW541" i="3"/>
  <c r="AW536" i="3"/>
  <c r="AW512" i="3"/>
  <c r="AW506" i="3"/>
  <c r="AW503" i="3"/>
  <c r="AW502" i="3"/>
  <c r="AW501" i="3"/>
  <c r="AW500" i="3"/>
  <c r="AW499" i="3"/>
  <c r="AW498" i="3"/>
  <c r="AW497" i="3"/>
  <c r="AW496" i="3"/>
  <c r="AW495" i="3"/>
  <c r="AW494" i="3"/>
  <c r="AW493" i="3"/>
  <c r="AW492" i="3"/>
  <c r="AW491" i="3"/>
  <c r="AW490" i="3"/>
  <c r="AW489" i="3"/>
  <c r="AW488" i="3"/>
  <c r="AW487" i="3"/>
  <c r="AW486" i="3"/>
  <c r="AW485" i="3"/>
  <c r="AW484" i="3"/>
  <c r="AW483" i="3"/>
  <c r="AW482" i="3"/>
  <c r="AW481" i="3"/>
  <c r="AW480" i="3"/>
  <c r="AW479" i="3"/>
  <c r="AW612" i="3"/>
  <c r="AW606" i="3"/>
  <c r="AW580" i="3"/>
  <c r="AW558" i="3"/>
  <c r="AW557" i="3"/>
  <c r="AW505" i="3"/>
  <c r="AW533" i="3"/>
  <c r="AW528" i="3"/>
  <c r="AW520" i="3"/>
  <c r="AW514" i="3"/>
  <c r="AW513" i="3"/>
  <c r="AW504" i="3"/>
  <c r="AW592" i="3"/>
  <c r="AW590" i="3"/>
  <c r="AW540" i="3"/>
  <c r="AW508" i="3"/>
  <c r="AW572" i="3"/>
  <c r="AW525" i="3"/>
  <c r="AW469" i="3"/>
  <c r="AW466" i="3"/>
  <c r="AW450" i="3"/>
  <c r="AW449" i="3"/>
  <c r="AW448" i="3"/>
  <c r="AW447" i="3"/>
  <c r="AW446" i="3"/>
  <c r="AW445" i="3"/>
  <c r="AW444" i="3"/>
  <c r="AW443" i="3"/>
  <c r="AW442" i="3"/>
  <c r="AW441" i="3"/>
  <c r="AW440" i="3"/>
  <c r="AW439" i="3"/>
  <c r="AW438" i="3"/>
  <c r="AW437" i="3"/>
  <c r="AW436" i="3"/>
  <c r="AW435" i="3"/>
  <c r="AW434" i="3"/>
  <c r="AW433" i="3"/>
  <c r="AW432" i="3"/>
  <c r="AW431" i="3"/>
  <c r="AW430" i="3"/>
  <c r="AW429" i="3"/>
  <c r="AW428" i="3"/>
  <c r="AW427" i="3"/>
  <c r="AW426" i="3"/>
  <c r="AW425" i="3"/>
  <c r="AW424" i="3"/>
  <c r="AW423" i="3"/>
  <c r="AW422" i="3"/>
  <c r="AW421" i="3"/>
  <c r="AW420" i="3"/>
  <c r="AW419" i="3"/>
  <c r="AW418" i="3"/>
  <c r="AW417" i="3"/>
  <c r="AW416" i="3"/>
  <c r="AW415" i="3"/>
  <c r="AW414" i="3"/>
  <c r="AW413" i="3"/>
  <c r="AW412" i="3"/>
  <c r="AW411" i="3"/>
  <c r="AW410" i="3"/>
  <c r="AW577" i="3"/>
  <c r="AW521" i="3"/>
  <c r="AW516" i="3"/>
  <c r="AW475" i="3"/>
  <c r="AW461" i="3"/>
  <c r="AW458" i="3"/>
  <c r="AW455" i="3"/>
  <c r="AW453" i="3"/>
  <c r="AW451" i="3"/>
  <c r="AW380" i="3"/>
  <c r="AW510" i="3"/>
  <c r="AW470" i="3"/>
  <c r="AW464" i="3"/>
  <c r="AW457" i="3"/>
  <c r="AW478" i="3"/>
  <c r="AW474" i="3"/>
  <c r="AW467" i="3"/>
  <c r="AW459" i="3"/>
  <c r="AW509" i="3"/>
  <c r="AW471" i="3"/>
  <c r="AW462" i="3"/>
  <c r="AW377" i="3"/>
  <c r="AW376" i="3"/>
  <c r="AW375" i="3"/>
  <c r="AW578" i="3"/>
  <c r="AW402" i="3"/>
  <c r="AW398" i="3"/>
  <c r="AW397" i="3"/>
  <c r="AW396" i="3"/>
  <c r="AW395" i="3"/>
  <c r="AW394" i="3"/>
  <c r="AW393" i="3"/>
  <c r="AW392" i="3"/>
  <c r="AW391" i="3"/>
  <c r="AW390" i="3"/>
  <c r="AW389" i="3"/>
  <c r="AW388" i="3"/>
  <c r="AW387" i="3"/>
  <c r="AW386" i="3"/>
  <c r="AW385" i="3"/>
  <c r="AW384" i="3"/>
  <c r="AW383" i="3"/>
  <c r="AW382" i="3"/>
  <c r="AW381" i="3"/>
  <c r="AW363" i="3"/>
  <c r="AW362" i="3"/>
  <c r="AW361" i="3"/>
  <c r="AW360" i="3"/>
  <c r="AW359" i="3"/>
  <c r="AW358" i="3"/>
  <c r="AW357" i="3"/>
  <c r="AW356" i="3"/>
  <c r="AW355" i="3"/>
  <c r="AW354" i="3"/>
  <c r="AW353" i="3"/>
  <c r="AW352" i="3"/>
  <c r="AW351" i="3"/>
  <c r="AW350" i="3"/>
  <c r="AW349" i="3"/>
  <c r="AW348" i="3"/>
  <c r="AW347" i="3"/>
  <c r="AW346" i="3"/>
  <c r="AW345" i="3"/>
  <c r="AW344" i="3"/>
  <c r="AW343" i="3"/>
  <c r="AW342" i="3"/>
  <c r="AW341" i="3"/>
  <c r="AW340" i="3"/>
  <c r="AW339" i="3"/>
  <c r="AW338" i="3"/>
  <c r="AW337" i="3"/>
  <c r="AW336" i="3"/>
  <c r="AW335" i="3"/>
  <c r="AW334" i="3"/>
  <c r="AW333" i="3"/>
  <c r="AW332" i="3"/>
  <c r="AW331" i="3"/>
  <c r="AW330" i="3"/>
  <c r="AW329" i="3"/>
  <c r="AW328" i="3"/>
  <c r="AW327" i="3"/>
  <c r="AW326" i="3"/>
  <c r="AW325" i="3"/>
  <c r="AW324" i="3"/>
  <c r="AW323" i="3"/>
  <c r="AW322" i="3"/>
  <c r="AW321" i="3"/>
  <c r="AW320" i="3"/>
  <c r="AW319" i="3"/>
  <c r="AW318" i="3"/>
  <c r="AW317" i="3"/>
  <c r="AW316" i="3"/>
  <c r="AW315" i="3"/>
  <c r="AW314" i="3"/>
  <c r="AW313" i="3"/>
  <c r="AW312" i="3"/>
  <c r="AW311" i="3"/>
  <c r="AW310" i="3"/>
  <c r="AW309" i="3"/>
  <c r="AW308" i="3"/>
  <c r="AW307" i="3"/>
  <c r="AW306" i="3"/>
  <c r="AW305" i="3"/>
  <c r="AW304" i="3"/>
  <c r="AW303" i="3"/>
  <c r="AW302" i="3"/>
  <c r="AW301" i="3"/>
  <c r="AW300" i="3"/>
  <c r="AW299" i="3"/>
  <c r="AW298" i="3"/>
  <c r="AW297" i="3"/>
  <c r="AW296" i="3"/>
  <c r="AW295" i="3"/>
  <c r="AW697" i="3"/>
  <c r="AW537" i="3"/>
  <c r="AW452" i="3"/>
  <c r="AW409" i="3"/>
  <c r="AW401" i="3"/>
  <c r="AW379" i="3"/>
  <c r="AW613" i="3"/>
  <c r="AW408" i="3"/>
  <c r="AW399" i="3"/>
  <c r="AW366" i="3"/>
  <c r="AW364" i="3"/>
  <c r="AW532" i="3"/>
  <c r="AW468" i="3"/>
  <c r="AW454" i="3"/>
  <c r="AW407" i="3"/>
  <c r="AW378" i="3"/>
  <c r="AW465" i="3"/>
  <c r="AW406" i="3"/>
  <c r="AW374" i="3"/>
  <c r="AW373" i="3"/>
  <c r="AW372" i="3"/>
  <c r="AW371" i="3"/>
  <c r="AW370" i="3"/>
  <c r="AW369" i="3"/>
  <c r="AW368" i="3"/>
  <c r="AW472" i="3"/>
  <c r="AW403" i="3"/>
  <c r="AW367" i="3"/>
  <c r="AW365" i="3"/>
  <c r="AW291" i="3"/>
  <c r="AW287" i="3"/>
  <c r="AW283" i="3"/>
  <c r="AW279" i="3"/>
  <c r="AW275" i="3"/>
  <c r="AW271" i="3"/>
  <c r="AW261" i="3"/>
  <c r="AW477" i="3"/>
  <c r="AW404" i="3"/>
  <c r="AW260" i="3"/>
  <c r="AW548" i="3"/>
  <c r="AW405" i="3"/>
  <c r="AW294" i="3"/>
  <c r="AW290" i="3"/>
  <c r="AW286" i="3"/>
  <c r="AW282" i="3"/>
  <c r="AW278" i="3"/>
  <c r="AW274" i="3"/>
  <c r="AW270" i="3"/>
  <c r="AW259" i="3"/>
  <c r="AW267" i="3"/>
  <c r="AW266" i="3"/>
  <c r="AW258" i="3"/>
  <c r="AW257" i="3"/>
  <c r="AW256" i="3"/>
  <c r="AW255" i="3"/>
  <c r="AW254" i="3"/>
  <c r="AW253" i="3"/>
  <c r="AW252" i="3"/>
  <c r="AW251" i="3"/>
  <c r="AW250" i="3"/>
  <c r="AW249" i="3"/>
  <c r="AW248" i="3"/>
  <c r="AW247" i="3"/>
  <c r="AW246" i="3"/>
  <c r="AW245" i="3"/>
  <c r="AW244" i="3"/>
  <c r="AW243" i="3"/>
  <c r="AW242" i="3"/>
  <c r="AW241" i="3"/>
  <c r="AW240" i="3"/>
  <c r="AW239" i="3"/>
  <c r="AW238" i="3"/>
  <c r="AW237" i="3"/>
  <c r="AW236" i="3"/>
  <c r="AW235" i="3"/>
  <c r="AW234" i="3"/>
  <c r="AW233" i="3"/>
  <c r="AW232" i="3"/>
  <c r="AW231" i="3"/>
  <c r="AW230" i="3"/>
  <c r="AW229" i="3"/>
  <c r="AW228" i="3"/>
  <c r="AW227" i="3"/>
  <c r="AW226" i="3"/>
  <c r="AW225" i="3"/>
  <c r="AW224" i="3"/>
  <c r="AW223" i="3"/>
  <c r="AW222" i="3"/>
  <c r="AW221" i="3"/>
  <c r="AW220" i="3"/>
  <c r="AW219" i="3"/>
  <c r="AW218" i="3"/>
  <c r="AW217" i="3"/>
  <c r="AW216" i="3"/>
  <c r="AW215" i="3"/>
  <c r="AW214" i="3"/>
  <c r="AW213" i="3"/>
  <c r="AW212" i="3"/>
  <c r="AW211" i="3"/>
  <c r="AW210" i="3"/>
  <c r="AW209" i="3"/>
  <c r="AW208" i="3"/>
  <c r="AW207" i="3"/>
  <c r="AW206" i="3"/>
  <c r="AW205" i="3"/>
  <c r="AW204" i="3"/>
  <c r="AW203" i="3"/>
  <c r="AW202" i="3"/>
  <c r="AW201" i="3"/>
  <c r="AW200" i="3"/>
  <c r="AW199" i="3"/>
  <c r="AW198" i="3"/>
  <c r="AW197" i="3"/>
  <c r="AW196" i="3"/>
  <c r="AW195" i="3"/>
  <c r="AW194" i="3"/>
  <c r="AW193" i="3"/>
  <c r="AW192" i="3"/>
  <c r="AW191" i="3"/>
  <c r="AW190" i="3"/>
  <c r="AW189" i="3"/>
  <c r="AW188" i="3"/>
  <c r="AW187" i="3"/>
  <c r="AW186" i="3"/>
  <c r="AW185" i="3"/>
  <c r="AW607" i="3"/>
  <c r="AW476" i="3"/>
  <c r="AW463" i="3"/>
  <c r="AW293" i="3"/>
  <c r="AW289" i="3"/>
  <c r="AW285" i="3"/>
  <c r="AW281" i="3"/>
  <c r="AW277" i="3"/>
  <c r="AW273" i="3"/>
  <c r="AW269" i="3"/>
  <c r="AW265" i="3"/>
  <c r="AW473" i="3"/>
  <c r="AW148" i="3"/>
  <c r="AW140" i="3"/>
  <c r="AW132" i="3"/>
  <c r="AW124" i="3"/>
  <c r="AW116" i="3"/>
  <c r="AW108" i="3"/>
  <c r="AW100" i="3"/>
  <c r="AW292" i="3"/>
  <c r="AW288" i="3"/>
  <c r="AW284" i="3"/>
  <c r="AW280" i="3"/>
  <c r="AW276" i="3"/>
  <c r="AW272" i="3"/>
  <c r="AW268" i="3"/>
  <c r="AW263" i="3"/>
  <c r="AW149" i="3"/>
  <c r="AW141" i="3"/>
  <c r="AW133" i="3"/>
  <c r="AW125" i="3"/>
  <c r="AW117" i="3"/>
  <c r="AW109" i="3"/>
  <c r="AW101" i="3"/>
  <c r="AW150" i="3"/>
  <c r="AW142" i="3"/>
  <c r="AW134" i="3"/>
  <c r="AW126" i="3"/>
  <c r="AW118" i="3"/>
  <c r="AW110" i="3"/>
  <c r="AW102" i="3"/>
  <c r="AW400" i="3"/>
  <c r="AW151" i="3"/>
  <c r="AW143" i="3"/>
  <c r="AW135" i="3"/>
  <c r="AW127" i="3"/>
  <c r="AW119" i="3"/>
  <c r="AW111" i="3"/>
  <c r="AW103" i="3"/>
  <c r="AW95" i="3"/>
  <c r="AW460" i="3"/>
  <c r="AW456" i="3"/>
  <c r="AW262" i="3"/>
  <c r="AW184" i="3"/>
  <c r="AW183" i="3"/>
  <c r="AW182" i="3"/>
  <c r="AW181" i="3"/>
  <c r="AW180" i="3"/>
  <c r="AW179" i="3"/>
  <c r="AW178" i="3"/>
  <c r="AW177" i="3"/>
  <c r="AW176" i="3"/>
  <c r="AW175" i="3"/>
  <c r="AW174" i="3"/>
  <c r="AW173" i="3"/>
  <c r="AW172" i="3"/>
  <c r="AW171" i="3"/>
  <c r="AW170" i="3"/>
  <c r="AW152" i="3"/>
  <c r="AW144" i="3"/>
  <c r="AW136" i="3"/>
  <c r="AW128" i="3"/>
  <c r="AW120" i="3"/>
  <c r="AW112" i="3"/>
  <c r="AW104" i="3"/>
  <c r="AW96" i="3"/>
  <c r="AW88" i="3"/>
  <c r="AW166" i="3"/>
  <c r="AW162" i="3"/>
  <c r="AW158" i="3"/>
  <c r="AW154" i="3"/>
  <c r="AW137" i="3"/>
  <c r="AW107" i="3"/>
  <c r="AW90" i="3"/>
  <c r="AW84" i="3"/>
  <c r="AW78" i="3"/>
  <c r="AW70" i="3"/>
  <c r="AW62" i="3"/>
  <c r="AW54" i="3"/>
  <c r="AW46" i="3"/>
  <c r="AW27" i="3"/>
  <c r="AW147" i="3"/>
  <c r="AW130" i="3"/>
  <c r="AW113" i="3"/>
  <c r="AW99" i="3"/>
  <c r="AW85" i="3"/>
  <c r="AW83" i="3"/>
  <c r="AW75" i="3"/>
  <c r="AW67" i="3"/>
  <c r="AW59" i="3"/>
  <c r="AW51" i="3"/>
  <c r="AW43" i="3"/>
  <c r="AW32" i="3"/>
  <c r="AW24" i="3"/>
  <c r="AW4" i="3"/>
  <c r="AW264" i="3"/>
  <c r="AW169" i="3"/>
  <c r="AW165" i="3"/>
  <c r="AW161" i="3"/>
  <c r="AW153" i="3"/>
  <c r="AW123" i="3"/>
  <c r="AW106" i="3"/>
  <c r="AW94" i="3"/>
  <c r="AW92" i="3"/>
  <c r="AW80" i="3"/>
  <c r="AW72" i="3"/>
  <c r="AW64" i="3"/>
  <c r="AW56" i="3"/>
  <c r="AW48" i="3"/>
  <c r="AW40" i="3"/>
  <c r="AW38" i="3"/>
  <c r="AW36" i="3"/>
  <c r="AW34" i="3"/>
  <c r="AW29" i="3"/>
  <c r="AW157" i="3"/>
  <c r="AW155" i="3"/>
  <c r="AW146" i="3"/>
  <c r="AW168" i="3"/>
  <c r="AW164" i="3"/>
  <c r="AW160" i="3"/>
  <c r="AW139" i="3"/>
  <c r="AW122" i="3"/>
  <c r="AW105" i="3"/>
  <c r="AW98" i="3"/>
  <c r="AW87" i="3"/>
  <c r="AW82" i="3"/>
  <c r="AW74" i="3"/>
  <c r="AW66" i="3"/>
  <c r="AW58" i="3"/>
  <c r="AW50" i="3"/>
  <c r="AW42" i="3"/>
  <c r="AW31" i="3"/>
  <c r="AW23" i="3"/>
  <c r="AW21" i="3"/>
  <c r="AW9" i="3"/>
  <c r="AW7" i="3"/>
  <c r="AW145" i="3"/>
  <c r="AW115" i="3"/>
  <c r="AW91" i="3"/>
  <c r="AW79" i="3"/>
  <c r="AW71" i="3"/>
  <c r="AW163" i="3"/>
  <c r="AW156" i="3"/>
  <c r="AW121" i="3"/>
  <c r="AW86" i="3"/>
  <c r="AW81" i="3"/>
  <c r="AW77" i="3"/>
  <c r="AW97" i="3"/>
  <c r="AW93" i="3"/>
  <c r="AW138" i="3"/>
  <c r="AW167" i="3"/>
  <c r="AW129" i="3"/>
  <c r="AW89" i="3"/>
  <c r="AW52" i="3"/>
  <c r="AW131" i="3"/>
  <c r="AW76" i="3"/>
  <c r="AW159" i="3"/>
  <c r="AW69" i="3"/>
  <c r="AW53" i="3"/>
  <c r="AW47" i="3"/>
  <c r="AW25" i="3"/>
  <c r="AW63" i="3"/>
  <c r="AW37" i="3"/>
  <c r="AW28" i="3"/>
  <c r="AW65" i="3"/>
  <c r="AW55" i="3"/>
  <c r="AW39" i="3"/>
  <c r="AW18" i="3"/>
  <c r="AW17" i="3"/>
  <c r="AW57" i="3"/>
  <c r="AW49" i="3"/>
  <c r="AW20" i="3"/>
  <c r="AW19" i="3"/>
  <c r="AW45" i="3"/>
  <c r="AW41" i="3"/>
  <c r="AW30" i="3"/>
  <c r="AW8" i="3"/>
  <c r="AW60" i="3"/>
  <c r="AW44" i="3"/>
  <c r="AW33" i="3"/>
  <c r="AW22" i="3"/>
  <c r="AW13" i="3"/>
  <c r="AW11" i="3"/>
  <c r="AW114" i="3"/>
  <c r="AW61" i="3"/>
  <c r="AW6" i="3"/>
  <c r="AW15" i="3"/>
  <c r="AW12" i="3"/>
  <c r="AW16" i="3"/>
  <c r="AW10" i="3"/>
  <c r="AW35" i="3"/>
  <c r="AW73" i="3"/>
  <c r="AW14" i="3"/>
  <c r="AW5" i="3"/>
  <c r="AW26" i="3"/>
  <c r="AW68" i="3"/>
  <c r="AZ4" i="3"/>
  <c r="AT5" i="3"/>
  <c r="AT6" i="3" s="1"/>
  <c r="AT7" i="3" s="1"/>
  <c r="AT8" i="3" s="1"/>
  <c r="AT9" i="3" s="1"/>
  <c r="AT10" i="3" s="1"/>
  <c r="AT11" i="3" s="1"/>
  <c r="AT12" i="3" s="1"/>
  <c r="AT13" i="3" s="1"/>
  <c r="AT14" i="3" s="1"/>
  <c r="AT15" i="3" s="1"/>
  <c r="AT16" i="3" s="1"/>
  <c r="AT17" i="3" s="1"/>
  <c r="AT18" i="3" s="1"/>
  <c r="AT19" i="3" s="1"/>
  <c r="AT20" i="3" s="1"/>
  <c r="AT21" i="3" s="1"/>
  <c r="AT22" i="3" s="1"/>
  <c r="AT23" i="3" s="1"/>
  <c r="AT24" i="3" s="1"/>
  <c r="AT25" i="3" s="1"/>
  <c r="AT26" i="3" s="1"/>
  <c r="AT27" i="3" s="1"/>
  <c r="AT28" i="3" s="1"/>
  <c r="AT29" i="3" s="1"/>
  <c r="AT30" i="3" s="1"/>
  <c r="AT31" i="3" s="1"/>
  <c r="AT32" i="3" s="1"/>
  <c r="AT33" i="3" s="1"/>
  <c r="AT34" i="3" s="1"/>
  <c r="AT35" i="3" s="1"/>
  <c r="AT36" i="3" s="1"/>
  <c r="AT37" i="3" s="1"/>
  <c r="AT38" i="3" s="1"/>
  <c r="AT39" i="3" s="1"/>
  <c r="AT40" i="3" s="1"/>
  <c r="AT41" i="3" s="1"/>
  <c r="AT42" i="3" s="1"/>
  <c r="AT43" i="3" s="1"/>
  <c r="AT44" i="3" s="1"/>
  <c r="AT45" i="3" s="1"/>
  <c r="AT46" i="3" s="1"/>
  <c r="AT47" i="3" s="1"/>
  <c r="AT48" i="3" s="1"/>
  <c r="AT49" i="3" s="1"/>
  <c r="AT50" i="3" s="1"/>
  <c r="AT51" i="3" s="1"/>
  <c r="AT52" i="3" s="1"/>
  <c r="AT53" i="3" s="1"/>
  <c r="AT54" i="3" s="1"/>
  <c r="AT55" i="3" s="1"/>
  <c r="AT56" i="3" s="1"/>
  <c r="AT57" i="3" s="1"/>
  <c r="AT58" i="3" s="1"/>
  <c r="AT59" i="3" s="1"/>
  <c r="AT60" i="3" s="1"/>
  <c r="AT61" i="3" s="1"/>
  <c r="AT62" i="3" s="1"/>
  <c r="AT63" i="3" s="1"/>
  <c r="AT64" i="3" s="1"/>
  <c r="AT65" i="3" s="1"/>
  <c r="AT66" i="3" s="1"/>
  <c r="AT67" i="3" s="1"/>
  <c r="AT68" i="3" s="1"/>
  <c r="AT69" i="3" s="1"/>
  <c r="AT70" i="3" s="1"/>
  <c r="AT71" i="3" s="1"/>
  <c r="AT72" i="3" s="1"/>
  <c r="AT73" i="3" s="1"/>
  <c r="AT74" i="3" s="1"/>
  <c r="AT75" i="3" s="1"/>
  <c r="AT76" i="3" s="1"/>
  <c r="AT77" i="3" s="1"/>
  <c r="AT78" i="3" s="1"/>
  <c r="AT79" i="3" s="1"/>
  <c r="AT80" i="3" s="1"/>
  <c r="AT81" i="3" s="1"/>
  <c r="AT82" i="3" s="1"/>
  <c r="AT83" i="3" s="1"/>
  <c r="AT84" i="3" s="1"/>
  <c r="AT85" i="3" s="1"/>
  <c r="AT86" i="3" s="1"/>
  <c r="AT87" i="3" s="1"/>
  <c r="AT88" i="3" s="1"/>
  <c r="AT89" i="3" s="1"/>
  <c r="AT90" i="3" s="1"/>
  <c r="AT91" i="3" s="1"/>
  <c r="AT92" i="3" s="1"/>
  <c r="AT93" i="3" s="1"/>
  <c r="AT94" i="3" s="1"/>
  <c r="AT95" i="3" s="1"/>
  <c r="AT96" i="3" s="1"/>
  <c r="AT97" i="3" s="1"/>
  <c r="AT98" i="3" s="1"/>
  <c r="AT99" i="3" s="1"/>
  <c r="AT100" i="3" s="1"/>
  <c r="AT101" i="3" s="1"/>
  <c r="AT102" i="3" s="1"/>
  <c r="AT103" i="3" s="1"/>
  <c r="AT104" i="3" s="1"/>
  <c r="AT105" i="3" s="1"/>
  <c r="AT106" i="3" s="1"/>
  <c r="AT107" i="3" s="1"/>
  <c r="AT108" i="3" s="1"/>
  <c r="AT109" i="3" s="1"/>
  <c r="AT110" i="3" s="1"/>
  <c r="AT111" i="3" s="1"/>
  <c r="AT112" i="3" s="1"/>
  <c r="AT113" i="3" s="1"/>
  <c r="AT114" i="3" s="1"/>
  <c r="AT115" i="3" s="1"/>
  <c r="AT116" i="3" s="1"/>
  <c r="AT117" i="3" s="1"/>
  <c r="AT118" i="3" s="1"/>
  <c r="AT119" i="3" s="1"/>
  <c r="AT120" i="3" s="1"/>
  <c r="AT121" i="3" s="1"/>
  <c r="AT122" i="3" s="1"/>
  <c r="AT123" i="3" s="1"/>
  <c r="AT124" i="3" s="1"/>
  <c r="AT125" i="3" s="1"/>
  <c r="AT126" i="3" s="1"/>
  <c r="AT127" i="3" s="1"/>
  <c r="AT128" i="3" s="1"/>
  <c r="AT129" i="3" s="1"/>
  <c r="AT130" i="3" s="1"/>
  <c r="AT131" i="3" s="1"/>
  <c r="AT132" i="3" s="1"/>
  <c r="AT133" i="3" s="1"/>
  <c r="AT134" i="3" s="1"/>
  <c r="AT135" i="3" s="1"/>
  <c r="AT136" i="3" s="1"/>
  <c r="AT137" i="3" s="1"/>
  <c r="AT138" i="3" s="1"/>
  <c r="AT139" i="3" s="1"/>
  <c r="AT140" i="3" s="1"/>
  <c r="AT141" i="3" s="1"/>
  <c r="AT142" i="3" s="1"/>
  <c r="AT143" i="3" s="1"/>
  <c r="AT144" i="3" s="1"/>
  <c r="AT145" i="3" s="1"/>
  <c r="AT146" i="3" s="1"/>
  <c r="AT147" i="3" s="1"/>
  <c r="AT148" i="3" s="1"/>
  <c r="AT149" i="3" s="1"/>
  <c r="AT150" i="3" s="1"/>
  <c r="AT151" i="3" s="1"/>
  <c r="AT152" i="3" s="1"/>
  <c r="AT153" i="3" s="1"/>
  <c r="AT154" i="3" s="1"/>
  <c r="AT155" i="3" s="1"/>
  <c r="AT156" i="3" s="1"/>
  <c r="AT157" i="3" s="1"/>
  <c r="AT158" i="3" s="1"/>
  <c r="AT159" i="3" s="1"/>
  <c r="AT160" i="3" s="1"/>
  <c r="AT161" i="3" s="1"/>
  <c r="AT162" i="3" s="1"/>
  <c r="AT163" i="3" s="1"/>
  <c r="AT164" i="3" s="1"/>
  <c r="AT165" i="3" s="1"/>
  <c r="AT166" i="3" s="1"/>
  <c r="AT167" i="3" s="1"/>
  <c r="AT168" i="3" s="1"/>
  <c r="AT169" i="3" s="1"/>
  <c r="AT170" i="3" s="1"/>
  <c r="AT171" i="3" s="1"/>
  <c r="AT172" i="3" s="1"/>
  <c r="AT173" i="3" s="1"/>
  <c r="AT174" i="3" s="1"/>
  <c r="AT175" i="3" s="1"/>
  <c r="AT176" i="3" s="1"/>
  <c r="AT177" i="3" s="1"/>
  <c r="AT178" i="3" s="1"/>
  <c r="AT179" i="3" s="1"/>
  <c r="AT180" i="3" s="1"/>
  <c r="AT181" i="3" s="1"/>
  <c r="AT182" i="3" s="1"/>
  <c r="AT183" i="3" s="1"/>
  <c r="AT184" i="3" s="1"/>
  <c r="AT185" i="3" s="1"/>
  <c r="AT186" i="3" s="1"/>
  <c r="AT187" i="3" s="1"/>
  <c r="AT188" i="3" s="1"/>
  <c r="AT189" i="3" s="1"/>
  <c r="AT190" i="3" s="1"/>
  <c r="AT191" i="3" s="1"/>
  <c r="AT192" i="3" s="1"/>
  <c r="AT193" i="3" s="1"/>
  <c r="AT194" i="3" s="1"/>
  <c r="AT195" i="3" s="1"/>
  <c r="AT196" i="3" s="1"/>
  <c r="AT197" i="3" s="1"/>
  <c r="AT198" i="3" s="1"/>
  <c r="AT199" i="3" s="1"/>
  <c r="AT200" i="3" s="1"/>
  <c r="AT201" i="3" s="1"/>
  <c r="AT202" i="3" s="1"/>
  <c r="AT203" i="3" s="1"/>
  <c r="AT204" i="3" s="1"/>
  <c r="AT205" i="3" s="1"/>
  <c r="AT206" i="3" s="1"/>
  <c r="AT207" i="3" s="1"/>
  <c r="AT208" i="3" s="1"/>
  <c r="AT209" i="3" s="1"/>
  <c r="AT210" i="3" s="1"/>
  <c r="AT211" i="3" s="1"/>
  <c r="AT212" i="3" s="1"/>
  <c r="AT213" i="3" s="1"/>
  <c r="AT214" i="3" s="1"/>
  <c r="AT215" i="3" s="1"/>
  <c r="AT216" i="3" s="1"/>
  <c r="AT217" i="3" s="1"/>
  <c r="AT218" i="3" s="1"/>
  <c r="AT219" i="3" s="1"/>
  <c r="AT220" i="3" s="1"/>
  <c r="AT221" i="3" s="1"/>
  <c r="AT222" i="3" s="1"/>
  <c r="AT223" i="3" s="1"/>
  <c r="AT224" i="3" s="1"/>
  <c r="AT225" i="3" s="1"/>
  <c r="AT226" i="3" s="1"/>
  <c r="AT227" i="3" s="1"/>
  <c r="AT228" i="3" s="1"/>
  <c r="AT229" i="3" s="1"/>
  <c r="AT230" i="3" s="1"/>
  <c r="AT231" i="3" s="1"/>
  <c r="AT232" i="3" s="1"/>
  <c r="AT233" i="3" s="1"/>
  <c r="AT234" i="3" s="1"/>
  <c r="AT235" i="3" s="1"/>
  <c r="AT236" i="3" s="1"/>
  <c r="AT237" i="3" s="1"/>
  <c r="AT238" i="3" s="1"/>
  <c r="AT239" i="3" s="1"/>
  <c r="AT240" i="3" s="1"/>
  <c r="AT241" i="3" s="1"/>
  <c r="AT242" i="3" s="1"/>
  <c r="AT243" i="3" s="1"/>
  <c r="AT244" i="3" s="1"/>
  <c r="AT245" i="3" s="1"/>
  <c r="AT246" i="3" s="1"/>
  <c r="AT247" i="3" s="1"/>
  <c r="AT248" i="3" s="1"/>
  <c r="AT249" i="3" s="1"/>
  <c r="AT250" i="3" s="1"/>
  <c r="AT251" i="3" s="1"/>
  <c r="AT252" i="3" s="1"/>
  <c r="AT253" i="3" s="1"/>
  <c r="AT254" i="3" s="1"/>
  <c r="AT255" i="3" s="1"/>
  <c r="AT256" i="3" s="1"/>
  <c r="AT257" i="3" s="1"/>
  <c r="AT258" i="3" s="1"/>
  <c r="AT259" i="3" s="1"/>
  <c r="AT260" i="3" s="1"/>
  <c r="AT261" i="3" s="1"/>
  <c r="AT262" i="3" s="1"/>
  <c r="AT263" i="3" s="1"/>
  <c r="AT264" i="3" s="1"/>
  <c r="AT265" i="3" s="1"/>
  <c r="AT266" i="3" s="1"/>
  <c r="AT267" i="3" s="1"/>
  <c r="AT268" i="3" s="1"/>
  <c r="AT269" i="3" s="1"/>
  <c r="AT270" i="3" s="1"/>
  <c r="AT271" i="3" s="1"/>
  <c r="AT272" i="3" s="1"/>
  <c r="AT273" i="3" s="1"/>
  <c r="AT274" i="3" s="1"/>
  <c r="AT275" i="3" s="1"/>
  <c r="AT276" i="3" s="1"/>
  <c r="AT277" i="3" s="1"/>
  <c r="AT278" i="3" s="1"/>
  <c r="AT279" i="3" s="1"/>
  <c r="AT280" i="3" s="1"/>
  <c r="AT281" i="3" s="1"/>
  <c r="AT282" i="3" s="1"/>
  <c r="AT283" i="3" s="1"/>
  <c r="AT284" i="3" s="1"/>
  <c r="AT285" i="3" s="1"/>
  <c r="AT286" i="3" s="1"/>
  <c r="AT287" i="3" s="1"/>
  <c r="AT288" i="3" s="1"/>
  <c r="AT289" i="3" s="1"/>
  <c r="AT290" i="3" s="1"/>
  <c r="AT291" i="3" s="1"/>
  <c r="AT292" i="3" s="1"/>
  <c r="AT293" i="3" s="1"/>
  <c r="AT294" i="3" s="1"/>
  <c r="AT295" i="3" s="1"/>
  <c r="AT296" i="3" s="1"/>
  <c r="AT297" i="3" s="1"/>
  <c r="AT298" i="3" s="1"/>
  <c r="AT299" i="3" s="1"/>
  <c r="AT300" i="3" s="1"/>
  <c r="AT301" i="3" s="1"/>
  <c r="AT302" i="3" s="1"/>
  <c r="AT303" i="3" s="1"/>
  <c r="AT304" i="3" s="1"/>
  <c r="AT305" i="3" s="1"/>
  <c r="AT306" i="3" s="1"/>
  <c r="AT307" i="3" s="1"/>
  <c r="AT308" i="3" s="1"/>
  <c r="AT309" i="3" s="1"/>
  <c r="AT310" i="3" s="1"/>
  <c r="AT311" i="3" s="1"/>
  <c r="AT312" i="3" s="1"/>
  <c r="AT313" i="3" s="1"/>
  <c r="AT314" i="3" s="1"/>
  <c r="AT315" i="3" s="1"/>
  <c r="AT316" i="3" s="1"/>
  <c r="AT317" i="3" s="1"/>
  <c r="AT318" i="3" s="1"/>
  <c r="AT319" i="3" s="1"/>
  <c r="AT320" i="3" s="1"/>
  <c r="AT321" i="3" s="1"/>
  <c r="AT322" i="3" s="1"/>
  <c r="AT323" i="3" s="1"/>
  <c r="AT324" i="3" s="1"/>
  <c r="AT325" i="3" s="1"/>
  <c r="AT326" i="3" s="1"/>
  <c r="AT327" i="3" s="1"/>
  <c r="AT328" i="3" s="1"/>
  <c r="AT329" i="3" s="1"/>
  <c r="AT330" i="3" s="1"/>
  <c r="AT331" i="3" s="1"/>
  <c r="AT332" i="3" s="1"/>
  <c r="AT333" i="3" s="1"/>
  <c r="AT334" i="3" s="1"/>
  <c r="AT335" i="3" s="1"/>
  <c r="AT336" i="3" s="1"/>
  <c r="AT337" i="3" s="1"/>
  <c r="AT338" i="3" s="1"/>
  <c r="AT339" i="3" s="1"/>
  <c r="AT340" i="3" s="1"/>
  <c r="AT341" i="3" s="1"/>
  <c r="AT342" i="3" s="1"/>
  <c r="AT343" i="3" s="1"/>
  <c r="AT344" i="3" s="1"/>
  <c r="AT345" i="3" s="1"/>
  <c r="AT346" i="3" s="1"/>
  <c r="AT347" i="3" s="1"/>
  <c r="AT348" i="3" s="1"/>
  <c r="AT349" i="3" s="1"/>
  <c r="AT350" i="3" s="1"/>
  <c r="AT351" i="3" s="1"/>
  <c r="AT352" i="3" s="1"/>
  <c r="AT353" i="3" s="1"/>
  <c r="AT354" i="3" s="1"/>
  <c r="AT355" i="3" s="1"/>
  <c r="AT356" i="3" s="1"/>
  <c r="AT357" i="3" s="1"/>
  <c r="AT358" i="3" s="1"/>
  <c r="AT359" i="3" s="1"/>
  <c r="AT360" i="3" s="1"/>
  <c r="AT361" i="3" s="1"/>
  <c r="AT362" i="3" s="1"/>
  <c r="AT363" i="3" s="1"/>
  <c r="AT364" i="3" s="1"/>
  <c r="AT365" i="3" s="1"/>
  <c r="AT366" i="3" s="1"/>
  <c r="AT367" i="3" s="1"/>
  <c r="AT368" i="3" s="1"/>
  <c r="AT369" i="3" s="1"/>
  <c r="AT370" i="3" s="1"/>
  <c r="AT371" i="3" s="1"/>
  <c r="AT372" i="3" s="1"/>
  <c r="AT373" i="3" s="1"/>
  <c r="AT374" i="3" s="1"/>
  <c r="AT375" i="3" s="1"/>
  <c r="AT376" i="3" s="1"/>
  <c r="AT377" i="3" s="1"/>
  <c r="AT378" i="3" s="1"/>
  <c r="AT379" i="3" s="1"/>
  <c r="AT380" i="3" s="1"/>
  <c r="AT381" i="3" s="1"/>
  <c r="AT382" i="3" s="1"/>
  <c r="AT383" i="3" s="1"/>
  <c r="AT384" i="3" s="1"/>
  <c r="AT385" i="3" s="1"/>
  <c r="AT386" i="3" s="1"/>
  <c r="AT387" i="3" s="1"/>
  <c r="AT388" i="3" s="1"/>
  <c r="AT389" i="3" s="1"/>
  <c r="AT390" i="3" s="1"/>
  <c r="AT391" i="3" s="1"/>
  <c r="AT392" i="3" s="1"/>
  <c r="AT393" i="3" s="1"/>
  <c r="AT394" i="3" s="1"/>
  <c r="AT395" i="3" s="1"/>
  <c r="AT396" i="3" s="1"/>
  <c r="AT397" i="3" s="1"/>
  <c r="AT398" i="3" s="1"/>
  <c r="AT399" i="3" s="1"/>
  <c r="AT400" i="3" s="1"/>
  <c r="AT401" i="3" s="1"/>
  <c r="AT402" i="3" s="1"/>
  <c r="AT403" i="3" s="1"/>
  <c r="AT404" i="3" s="1"/>
  <c r="AT405" i="3" s="1"/>
  <c r="AT406" i="3" s="1"/>
  <c r="AT407" i="3" s="1"/>
  <c r="AT408" i="3" s="1"/>
  <c r="AT409" i="3" s="1"/>
  <c r="AT410" i="3" s="1"/>
  <c r="AT411" i="3" s="1"/>
  <c r="AT412" i="3" s="1"/>
  <c r="AT413" i="3" s="1"/>
  <c r="AT414" i="3" s="1"/>
  <c r="AT415" i="3" s="1"/>
  <c r="AT416" i="3" s="1"/>
  <c r="AT417" i="3" s="1"/>
  <c r="AT418" i="3" s="1"/>
  <c r="AT419" i="3" s="1"/>
  <c r="AT420" i="3" s="1"/>
  <c r="AT421" i="3" s="1"/>
  <c r="AT422" i="3" s="1"/>
  <c r="AT423" i="3" s="1"/>
  <c r="AT424" i="3" s="1"/>
  <c r="AT425" i="3" s="1"/>
  <c r="AT426" i="3" s="1"/>
  <c r="AT427" i="3" s="1"/>
  <c r="AT428" i="3" s="1"/>
  <c r="AT429" i="3" s="1"/>
  <c r="AT430" i="3" s="1"/>
  <c r="AT431" i="3" s="1"/>
  <c r="AT432" i="3" s="1"/>
  <c r="AT433" i="3" s="1"/>
  <c r="AT434" i="3" s="1"/>
  <c r="AT435" i="3" s="1"/>
  <c r="AT436" i="3" s="1"/>
  <c r="AT437" i="3" s="1"/>
  <c r="AT438" i="3" s="1"/>
  <c r="AT439" i="3" s="1"/>
  <c r="AT440" i="3" s="1"/>
  <c r="AT441" i="3" s="1"/>
  <c r="AT442" i="3" s="1"/>
  <c r="AT443" i="3" s="1"/>
  <c r="AT444" i="3" s="1"/>
  <c r="AT445" i="3" s="1"/>
  <c r="AT446" i="3" s="1"/>
  <c r="AT447" i="3" s="1"/>
  <c r="AT448" i="3" s="1"/>
  <c r="AT449" i="3" s="1"/>
  <c r="AT450" i="3" s="1"/>
  <c r="AT451" i="3" s="1"/>
  <c r="AT452" i="3" s="1"/>
  <c r="AT453" i="3" s="1"/>
  <c r="AT454" i="3" s="1"/>
  <c r="AT455" i="3" s="1"/>
  <c r="AT456" i="3" s="1"/>
  <c r="AT457" i="3" s="1"/>
  <c r="AT458" i="3" s="1"/>
  <c r="AT459" i="3" s="1"/>
  <c r="AT460" i="3" s="1"/>
  <c r="AT461" i="3" s="1"/>
  <c r="AT462" i="3" s="1"/>
  <c r="AT463" i="3" s="1"/>
  <c r="AT464" i="3" s="1"/>
  <c r="AT465" i="3" s="1"/>
  <c r="AT466" i="3" s="1"/>
  <c r="AT467" i="3" s="1"/>
  <c r="AT468" i="3" s="1"/>
  <c r="AT469" i="3" s="1"/>
  <c r="AT470" i="3" s="1"/>
  <c r="AT471" i="3" s="1"/>
  <c r="AT472" i="3" s="1"/>
  <c r="AT473" i="3" s="1"/>
  <c r="AT474" i="3" s="1"/>
  <c r="AT475" i="3" s="1"/>
  <c r="AT476" i="3" s="1"/>
  <c r="AT477" i="3" s="1"/>
  <c r="AT478" i="3" s="1"/>
  <c r="AT479" i="3" s="1"/>
  <c r="AT480" i="3" s="1"/>
  <c r="AT481" i="3" s="1"/>
  <c r="AT482" i="3" s="1"/>
  <c r="AT483" i="3" s="1"/>
  <c r="AT484" i="3" s="1"/>
  <c r="AT485" i="3" s="1"/>
  <c r="AT486" i="3" s="1"/>
  <c r="AT487" i="3" s="1"/>
  <c r="AT488" i="3" s="1"/>
  <c r="AT489" i="3" s="1"/>
  <c r="AT490" i="3" s="1"/>
  <c r="AT491" i="3" s="1"/>
  <c r="AT492" i="3" s="1"/>
  <c r="AT493" i="3" s="1"/>
  <c r="AT494" i="3" s="1"/>
  <c r="AT495" i="3" s="1"/>
  <c r="AT496" i="3" s="1"/>
  <c r="AT497" i="3" s="1"/>
  <c r="AT498" i="3" s="1"/>
  <c r="AT499" i="3" s="1"/>
  <c r="AT500" i="3" s="1"/>
  <c r="AT501" i="3" s="1"/>
  <c r="AT502" i="3" s="1"/>
  <c r="AT503" i="3" s="1"/>
  <c r="AT504" i="3" s="1"/>
  <c r="AT505" i="3" s="1"/>
  <c r="AT506" i="3" s="1"/>
  <c r="AT507" i="3" s="1"/>
  <c r="AT508" i="3" s="1"/>
  <c r="AT509" i="3" s="1"/>
  <c r="AT510" i="3" s="1"/>
  <c r="AT511" i="3" s="1"/>
  <c r="AT512" i="3" s="1"/>
  <c r="AT513" i="3" s="1"/>
  <c r="AT514" i="3" s="1"/>
  <c r="AT515" i="3" s="1"/>
  <c r="AT516" i="3" s="1"/>
  <c r="AT517" i="3" s="1"/>
  <c r="AT518" i="3" s="1"/>
  <c r="AT519" i="3" s="1"/>
  <c r="AT520" i="3" s="1"/>
  <c r="AT521" i="3" s="1"/>
  <c r="AT522" i="3" s="1"/>
  <c r="AT523" i="3" s="1"/>
  <c r="AT524" i="3" s="1"/>
  <c r="AT525" i="3" s="1"/>
  <c r="AT526" i="3" s="1"/>
  <c r="AT527" i="3" s="1"/>
  <c r="AT528" i="3" s="1"/>
  <c r="AT529" i="3" s="1"/>
  <c r="AT530" i="3" s="1"/>
  <c r="AT531" i="3" s="1"/>
  <c r="AT532" i="3" s="1"/>
  <c r="AT533" i="3" s="1"/>
  <c r="AT534" i="3" s="1"/>
  <c r="AT535" i="3" s="1"/>
  <c r="AT536" i="3" s="1"/>
  <c r="AT537" i="3" s="1"/>
  <c r="AT538" i="3" s="1"/>
  <c r="AT539" i="3" s="1"/>
  <c r="AT540" i="3" s="1"/>
  <c r="AT541" i="3" s="1"/>
  <c r="AT542" i="3" s="1"/>
  <c r="AT543" i="3" s="1"/>
  <c r="AT544" i="3" s="1"/>
  <c r="AT545" i="3" s="1"/>
  <c r="AT546" i="3" s="1"/>
  <c r="AT547" i="3" s="1"/>
  <c r="AT548" i="3" s="1"/>
  <c r="AT549" i="3" s="1"/>
  <c r="AT550" i="3" s="1"/>
  <c r="AT551" i="3" s="1"/>
  <c r="AT552" i="3" s="1"/>
  <c r="AT553" i="3" s="1"/>
  <c r="AT554" i="3" s="1"/>
  <c r="AT555" i="3" s="1"/>
  <c r="AT556" i="3" s="1"/>
  <c r="AT557" i="3" s="1"/>
  <c r="AT558" i="3" s="1"/>
  <c r="AT559" i="3" s="1"/>
  <c r="AT560" i="3" s="1"/>
  <c r="AT561" i="3" s="1"/>
  <c r="AT562" i="3" s="1"/>
  <c r="AT563" i="3" s="1"/>
  <c r="AT564" i="3" s="1"/>
  <c r="AT565" i="3" s="1"/>
  <c r="AT566" i="3" s="1"/>
  <c r="AT567" i="3" s="1"/>
  <c r="AT568" i="3" s="1"/>
  <c r="AT569" i="3" s="1"/>
  <c r="AT570" i="3" s="1"/>
  <c r="AT571" i="3" s="1"/>
  <c r="AT572" i="3" s="1"/>
  <c r="AT573" i="3" s="1"/>
  <c r="AT574" i="3" s="1"/>
  <c r="AT575" i="3" s="1"/>
  <c r="AT576" i="3" s="1"/>
  <c r="AT577" i="3" s="1"/>
  <c r="AT578" i="3" s="1"/>
  <c r="AT579" i="3" s="1"/>
  <c r="AT580" i="3" s="1"/>
  <c r="AT581" i="3" s="1"/>
  <c r="AT582" i="3" s="1"/>
  <c r="AT583" i="3" s="1"/>
  <c r="AT584" i="3" s="1"/>
  <c r="AT585" i="3" s="1"/>
  <c r="AT586" i="3" s="1"/>
  <c r="AT587" i="3" s="1"/>
  <c r="AT588" i="3" s="1"/>
  <c r="AT589" i="3" s="1"/>
  <c r="AT590" i="3" s="1"/>
  <c r="AT591" i="3" s="1"/>
  <c r="AT592" i="3" s="1"/>
  <c r="AT593" i="3" s="1"/>
  <c r="AT594" i="3" s="1"/>
  <c r="AT595" i="3" s="1"/>
  <c r="AT596" i="3" s="1"/>
  <c r="AT597" i="3" s="1"/>
  <c r="AT598" i="3" s="1"/>
  <c r="AT599" i="3" s="1"/>
  <c r="AT600" i="3" s="1"/>
  <c r="AT601" i="3" s="1"/>
  <c r="AT602" i="3" s="1"/>
  <c r="AT603" i="3" s="1"/>
  <c r="AT604" i="3" s="1"/>
  <c r="AT605" i="3" s="1"/>
  <c r="AT606" i="3" s="1"/>
  <c r="AT607" i="3" s="1"/>
  <c r="AT608" i="3" s="1"/>
  <c r="AT609" i="3" s="1"/>
  <c r="AT610" i="3" s="1"/>
  <c r="AT611" i="3" s="1"/>
  <c r="AT612" i="3" s="1"/>
  <c r="AT613" i="3" s="1"/>
  <c r="AT614" i="3" s="1"/>
  <c r="AT615" i="3" s="1"/>
  <c r="AT616" i="3" s="1"/>
  <c r="AT617" i="3" s="1"/>
  <c r="AT618" i="3" s="1"/>
  <c r="AT619" i="3" s="1"/>
  <c r="AT620" i="3" s="1"/>
  <c r="AT621" i="3" s="1"/>
  <c r="AT622" i="3" s="1"/>
  <c r="AT623" i="3" s="1"/>
  <c r="AT624" i="3" s="1"/>
  <c r="AT625" i="3" s="1"/>
  <c r="AT626" i="3" s="1"/>
  <c r="AT627" i="3" s="1"/>
  <c r="AT628" i="3" s="1"/>
  <c r="AT629" i="3" s="1"/>
  <c r="AT630" i="3" s="1"/>
  <c r="AT631" i="3" s="1"/>
  <c r="AT632" i="3" s="1"/>
  <c r="AT633" i="3" s="1"/>
  <c r="AT634" i="3" s="1"/>
  <c r="AT635" i="3" s="1"/>
  <c r="AT636" i="3" s="1"/>
  <c r="AT637" i="3" s="1"/>
  <c r="AT638" i="3" s="1"/>
  <c r="AT639" i="3" s="1"/>
  <c r="AT640" i="3" s="1"/>
  <c r="AT641" i="3" s="1"/>
  <c r="AT642" i="3" s="1"/>
  <c r="AT643" i="3" s="1"/>
  <c r="AT644" i="3" s="1"/>
  <c r="AT645" i="3" s="1"/>
  <c r="AT646" i="3" s="1"/>
  <c r="AT647" i="3" s="1"/>
  <c r="AT648" i="3" s="1"/>
  <c r="AT649" i="3" s="1"/>
  <c r="AT650" i="3" s="1"/>
  <c r="AT651" i="3" s="1"/>
  <c r="AT652" i="3" s="1"/>
  <c r="AT653" i="3" s="1"/>
  <c r="AT654" i="3" s="1"/>
  <c r="AT655" i="3" s="1"/>
  <c r="AT656" i="3" s="1"/>
  <c r="AT657" i="3" s="1"/>
  <c r="AT658" i="3" s="1"/>
  <c r="AT659" i="3" s="1"/>
  <c r="AT660" i="3" s="1"/>
  <c r="AT661" i="3" s="1"/>
  <c r="AT662" i="3" s="1"/>
  <c r="AT663" i="3" s="1"/>
  <c r="AT664" i="3" s="1"/>
  <c r="AT665" i="3" s="1"/>
  <c r="AT666" i="3" s="1"/>
  <c r="AT667" i="3" s="1"/>
  <c r="AT668" i="3" s="1"/>
  <c r="AT669" i="3" s="1"/>
  <c r="AT670" i="3" s="1"/>
  <c r="AT671" i="3" s="1"/>
  <c r="AT672" i="3" s="1"/>
  <c r="AT673" i="3" s="1"/>
  <c r="AT674" i="3" s="1"/>
  <c r="AT675" i="3" s="1"/>
  <c r="AT676" i="3" s="1"/>
  <c r="AT677" i="3" s="1"/>
  <c r="AT678" i="3" s="1"/>
  <c r="AT679" i="3" s="1"/>
  <c r="AT680" i="3" s="1"/>
  <c r="AT681" i="3" s="1"/>
  <c r="AT682" i="3" s="1"/>
  <c r="AT683" i="3" s="1"/>
  <c r="AT684" i="3" s="1"/>
  <c r="AT685" i="3" s="1"/>
  <c r="AT686" i="3" s="1"/>
  <c r="AT687" i="3" s="1"/>
  <c r="AT688" i="3" s="1"/>
  <c r="AT689" i="3" s="1"/>
  <c r="AT690" i="3" s="1"/>
  <c r="AT691" i="3" s="1"/>
  <c r="AT692" i="3" s="1"/>
  <c r="AT693" i="3" s="1"/>
  <c r="AT694" i="3" s="1"/>
  <c r="AT695" i="3" s="1"/>
  <c r="AT696" i="3" s="1"/>
  <c r="AT697" i="3" s="1"/>
  <c r="AT698" i="3" s="1"/>
  <c r="AT699" i="3" s="1"/>
  <c r="AT700" i="3" s="1"/>
  <c r="AT701" i="3" s="1"/>
  <c r="AT702" i="3" s="1"/>
  <c r="AT703" i="3" s="1"/>
  <c r="AT704" i="3" s="1"/>
  <c r="AT705" i="3" s="1"/>
  <c r="AT706" i="3" s="1"/>
  <c r="AT707" i="3" s="1"/>
  <c r="AT708" i="3" s="1"/>
  <c r="AT709" i="3" s="1"/>
  <c r="AT710" i="3" s="1"/>
  <c r="AT711" i="3" s="1"/>
  <c r="AT712" i="3" s="1"/>
  <c r="AT713" i="3" s="1"/>
  <c r="AT714" i="3" s="1"/>
  <c r="AT715" i="3" s="1"/>
  <c r="AT716" i="3" s="1"/>
  <c r="AT717" i="3" s="1"/>
  <c r="AT718" i="3" s="1"/>
  <c r="AT719" i="3" s="1"/>
  <c r="AT720" i="3" s="1"/>
  <c r="AT721" i="3" s="1"/>
  <c r="AT722" i="3" s="1"/>
  <c r="AT723" i="3" s="1"/>
  <c r="AT724" i="3" s="1"/>
  <c r="AT725" i="3" s="1"/>
  <c r="AT726" i="3" s="1"/>
  <c r="AT727" i="3" s="1"/>
  <c r="AT728" i="3" s="1"/>
  <c r="AT729" i="3" s="1"/>
  <c r="AT730" i="3" s="1"/>
  <c r="AT731" i="3" s="1"/>
  <c r="AT732" i="3" s="1"/>
  <c r="AT733" i="3" s="1"/>
  <c r="AT734" i="3" s="1"/>
  <c r="AT735" i="3" s="1"/>
  <c r="AT736" i="3" s="1"/>
  <c r="AT737" i="3" s="1"/>
  <c r="AT738" i="3" s="1"/>
  <c r="AT739" i="3" s="1"/>
  <c r="AT740" i="3" s="1"/>
  <c r="AT741" i="3" s="1"/>
  <c r="AT742" i="3" s="1"/>
  <c r="AT743" i="3" s="1"/>
  <c r="AT744" i="3" s="1"/>
  <c r="AT745" i="3" s="1"/>
  <c r="AT746" i="3" s="1"/>
  <c r="AT747" i="3" s="1"/>
  <c r="AT748" i="3" s="1"/>
  <c r="AT749" i="3" s="1"/>
  <c r="AT750" i="3" s="1"/>
  <c r="AT751" i="3" s="1"/>
  <c r="AT752" i="3" s="1"/>
  <c r="AT753" i="3" s="1"/>
  <c r="AT754" i="3" s="1"/>
  <c r="AT755" i="3" s="1"/>
  <c r="AT756" i="3" s="1"/>
  <c r="AT757" i="3" s="1"/>
  <c r="AT758" i="3" s="1"/>
  <c r="AT759" i="3" s="1"/>
  <c r="AT760" i="3" s="1"/>
  <c r="AT761" i="3" s="1"/>
  <c r="AT762" i="3" s="1"/>
  <c r="AT763" i="3" s="1"/>
  <c r="AT764" i="3" s="1"/>
  <c r="AT765" i="3" s="1"/>
  <c r="AT766" i="3" s="1"/>
  <c r="AT767" i="3" s="1"/>
  <c r="AT768" i="3" s="1"/>
  <c r="AT769" i="3" s="1"/>
  <c r="AT770" i="3" s="1"/>
  <c r="AT771" i="3" s="1"/>
  <c r="AT772" i="3" s="1"/>
  <c r="AT773" i="3" s="1"/>
  <c r="AT774" i="3" s="1"/>
  <c r="AT775" i="3" s="1"/>
  <c r="AT776" i="3" s="1"/>
  <c r="AT777" i="3" s="1"/>
  <c r="AT778" i="3" s="1"/>
  <c r="AT779" i="3" s="1"/>
  <c r="AT780" i="3" s="1"/>
  <c r="AT781" i="3" s="1"/>
  <c r="AT782" i="3" s="1"/>
  <c r="AT783" i="3" s="1"/>
  <c r="AT784" i="3" s="1"/>
  <c r="AT785" i="3" s="1"/>
  <c r="AT786" i="3" s="1"/>
  <c r="AT787" i="3" s="1"/>
  <c r="AT788" i="3" s="1"/>
  <c r="AT789" i="3" s="1"/>
  <c r="AT790" i="3" s="1"/>
  <c r="AT791" i="3" s="1"/>
  <c r="AT792" i="3" s="1"/>
  <c r="AT793" i="3" s="1"/>
  <c r="AT794" i="3" s="1"/>
  <c r="AT795" i="3" s="1"/>
  <c r="AT796" i="3" s="1"/>
  <c r="AT797" i="3" s="1"/>
  <c r="AT798" i="3" s="1"/>
  <c r="AT799" i="3" s="1"/>
  <c r="AT800" i="3" s="1"/>
  <c r="AT801" i="3" s="1"/>
  <c r="AT802" i="3" s="1"/>
  <c r="AT803" i="3" s="1"/>
  <c r="AT804" i="3" s="1"/>
  <c r="AT805" i="3" s="1"/>
  <c r="AT806" i="3" s="1"/>
  <c r="AT807" i="3" s="1"/>
  <c r="AT808" i="3" s="1"/>
  <c r="AT809" i="3" s="1"/>
  <c r="AT810" i="3" s="1"/>
  <c r="AT811" i="3" s="1"/>
  <c r="AT812" i="3" s="1"/>
  <c r="AT813" i="3" s="1"/>
  <c r="AT814" i="3" s="1"/>
  <c r="AT815" i="3" s="1"/>
  <c r="AT816" i="3" s="1"/>
  <c r="AT817" i="3" s="1"/>
  <c r="AT818" i="3" s="1"/>
  <c r="AT819" i="3" s="1"/>
  <c r="AT820" i="3" s="1"/>
  <c r="AT821" i="3" s="1"/>
  <c r="AT822" i="3" s="1"/>
  <c r="AT823" i="3" s="1"/>
  <c r="AT824" i="3" s="1"/>
  <c r="AT825" i="3" s="1"/>
  <c r="AT826" i="3" s="1"/>
  <c r="AT827" i="3" s="1"/>
  <c r="AT828" i="3" s="1"/>
  <c r="AT829" i="3" s="1"/>
  <c r="AT830" i="3" s="1"/>
  <c r="AT831" i="3" s="1"/>
  <c r="AT832" i="3" s="1"/>
  <c r="AT833" i="3" s="1"/>
  <c r="AT834" i="3" s="1"/>
  <c r="AT835" i="3" s="1"/>
  <c r="AT836" i="3" s="1"/>
  <c r="AT837" i="3" s="1"/>
  <c r="AT838" i="3" s="1"/>
  <c r="AT839" i="3" s="1"/>
  <c r="AT840" i="3" s="1"/>
  <c r="AT841" i="3" s="1"/>
  <c r="AT842" i="3" s="1"/>
  <c r="AT843" i="3" s="1"/>
  <c r="AT844" i="3" s="1"/>
  <c r="AT845" i="3" s="1"/>
  <c r="AT846" i="3" s="1"/>
  <c r="AT847" i="3" s="1"/>
  <c r="AT848" i="3" s="1"/>
  <c r="AT849" i="3" s="1"/>
  <c r="AT850" i="3" s="1"/>
  <c r="AT851" i="3" s="1"/>
  <c r="AT852" i="3" s="1"/>
  <c r="AT853" i="3" s="1"/>
  <c r="AT854" i="3" s="1"/>
  <c r="AT855" i="3" s="1"/>
  <c r="AT856" i="3" s="1"/>
  <c r="AT857" i="3" s="1"/>
  <c r="AT858" i="3" s="1"/>
  <c r="AT859" i="3" s="1"/>
  <c r="AT860" i="3" s="1"/>
  <c r="AT861" i="3" s="1"/>
  <c r="AT862" i="3" s="1"/>
  <c r="AT863" i="3" s="1"/>
  <c r="AT864" i="3" s="1"/>
  <c r="AT865" i="3" s="1"/>
  <c r="AT866" i="3" s="1"/>
  <c r="AT867" i="3" s="1"/>
  <c r="AT868" i="3" s="1"/>
  <c r="AT869" i="3" s="1"/>
  <c r="AT870" i="3" s="1"/>
  <c r="AT871" i="3" s="1"/>
  <c r="AT872" i="3" s="1"/>
  <c r="AT873" i="3" s="1"/>
  <c r="AT874" i="3" s="1"/>
  <c r="AT875" i="3" s="1"/>
  <c r="AT876" i="3" s="1"/>
  <c r="AT877" i="3" s="1"/>
  <c r="AT878" i="3" s="1"/>
  <c r="AT879" i="3" s="1"/>
  <c r="AT880" i="3" s="1"/>
  <c r="AT881" i="3" s="1"/>
  <c r="AT882" i="3" s="1"/>
  <c r="AT883" i="3" s="1"/>
  <c r="AT884" i="3" s="1"/>
  <c r="AT885" i="3" s="1"/>
  <c r="AT886" i="3" s="1"/>
  <c r="AT887" i="3" s="1"/>
  <c r="AT888" i="3" s="1"/>
  <c r="AT889" i="3" s="1"/>
  <c r="AT890" i="3" s="1"/>
  <c r="AT891" i="3" s="1"/>
  <c r="AT892" i="3" s="1"/>
  <c r="AT893" i="3" s="1"/>
  <c r="AT894" i="3" s="1"/>
  <c r="AT895" i="3" s="1"/>
  <c r="AT896" i="3" s="1"/>
  <c r="AT897" i="3" s="1"/>
  <c r="AT898" i="3" s="1"/>
  <c r="AT899" i="3" s="1"/>
  <c r="AT900" i="3" s="1"/>
  <c r="AT901" i="3" s="1"/>
  <c r="AT902" i="3" s="1"/>
  <c r="AT903" i="3" s="1"/>
  <c r="AT904" i="3" s="1"/>
  <c r="AT905" i="3" s="1"/>
  <c r="AT906" i="3" s="1"/>
  <c r="AT907" i="3" s="1"/>
  <c r="AT908" i="3" s="1"/>
  <c r="AT909" i="3" s="1"/>
  <c r="AT910" i="3" s="1"/>
  <c r="AT911" i="3" s="1"/>
  <c r="AT912" i="3" s="1"/>
  <c r="AT913" i="3" s="1"/>
  <c r="AT914" i="3" s="1"/>
  <c r="AT915" i="3" s="1"/>
  <c r="AT916" i="3" s="1"/>
  <c r="AT917" i="3" s="1"/>
  <c r="AT918" i="3" s="1"/>
  <c r="AT919" i="3" s="1"/>
  <c r="AT920" i="3" s="1"/>
  <c r="AT921" i="3" s="1"/>
  <c r="AT922" i="3" s="1"/>
  <c r="AT923" i="3" s="1"/>
  <c r="AT924" i="3" s="1"/>
  <c r="AT925" i="3" s="1"/>
  <c r="AT926" i="3" s="1"/>
  <c r="AT927" i="3" s="1"/>
  <c r="AT928" i="3" s="1"/>
  <c r="AT929" i="3" s="1"/>
  <c r="AT930" i="3" s="1"/>
  <c r="AT931" i="3" s="1"/>
  <c r="AT932" i="3" s="1"/>
  <c r="AT933" i="3" s="1"/>
  <c r="AT934" i="3" s="1"/>
  <c r="AT935" i="3" s="1"/>
  <c r="AT936" i="3" s="1"/>
  <c r="AT937" i="3" s="1"/>
  <c r="AT938" i="3" s="1"/>
  <c r="AT939" i="3" s="1"/>
  <c r="AT940" i="3" s="1"/>
  <c r="AT941" i="3" s="1"/>
  <c r="AT942" i="3" s="1"/>
  <c r="AT943" i="3" s="1"/>
  <c r="AT944" i="3" s="1"/>
  <c r="AT945" i="3" s="1"/>
  <c r="AT946" i="3" s="1"/>
  <c r="AT947" i="3" s="1"/>
  <c r="AT948" i="3" s="1"/>
  <c r="AT949" i="3" s="1"/>
  <c r="AT950" i="3" s="1"/>
  <c r="AT951" i="3" s="1"/>
  <c r="AT952" i="3" s="1"/>
  <c r="AT953" i="3" s="1"/>
  <c r="AT954" i="3" s="1"/>
  <c r="AT955" i="3" s="1"/>
  <c r="AT956" i="3" s="1"/>
  <c r="AT957" i="3" s="1"/>
  <c r="AT958" i="3" s="1"/>
  <c r="AT959" i="3" s="1"/>
  <c r="AT960" i="3" s="1"/>
  <c r="AT961" i="3" s="1"/>
  <c r="AT962" i="3" s="1"/>
  <c r="AT963" i="3" s="1"/>
  <c r="AT964" i="3" s="1"/>
  <c r="AT965" i="3" s="1"/>
  <c r="AT966" i="3" s="1"/>
  <c r="AT967" i="3" s="1"/>
  <c r="AT968" i="3" s="1"/>
  <c r="AT969" i="3" s="1"/>
  <c r="AT970" i="3" s="1"/>
  <c r="AT971" i="3" s="1"/>
  <c r="AT972" i="3" s="1"/>
  <c r="AT973" i="3" s="1"/>
  <c r="AT974" i="3" s="1"/>
  <c r="AT975" i="3" s="1"/>
  <c r="AT976" i="3" s="1"/>
  <c r="AT977" i="3" s="1"/>
  <c r="AT978" i="3" s="1"/>
  <c r="AT979" i="3" s="1"/>
  <c r="AT980" i="3" s="1"/>
  <c r="AT981" i="3" s="1"/>
  <c r="AT982" i="3" s="1"/>
  <c r="AT983" i="3" s="1"/>
  <c r="AT984" i="3" s="1"/>
  <c r="AT985" i="3" s="1"/>
  <c r="AT986" i="3" s="1"/>
  <c r="AT987" i="3" s="1"/>
  <c r="AT988" i="3" s="1"/>
  <c r="AT989" i="3" s="1"/>
  <c r="AT990" i="3" s="1"/>
  <c r="AT991" i="3" s="1"/>
  <c r="AT992" i="3" s="1"/>
  <c r="AT993" i="3" s="1"/>
  <c r="AT994" i="3" s="1"/>
  <c r="AT995" i="3" s="1"/>
  <c r="AT996" i="3" s="1"/>
  <c r="AT997" i="3" s="1"/>
  <c r="AT998" i="3" s="1"/>
  <c r="AT999" i="3" s="1"/>
  <c r="AT1000" i="3" s="1"/>
  <c r="AT1001" i="3" s="1"/>
  <c r="AT1002" i="3" s="1"/>
  <c r="AT1003" i="3" s="1"/>
  <c r="AT1004" i="3" s="1"/>
  <c r="AT1005" i="3" s="1"/>
  <c r="AT1006" i="3" s="1"/>
  <c r="AT1007" i="3" s="1"/>
  <c r="AT1008" i="3" s="1"/>
  <c r="AT1009" i="3" s="1"/>
  <c r="AT1010" i="3" s="1"/>
  <c r="AT1011" i="3" s="1"/>
  <c r="AT1012" i="3" s="1"/>
  <c r="AT1013" i="3" s="1"/>
  <c r="AT1014" i="3" s="1"/>
  <c r="AT1015" i="3" s="1"/>
  <c r="AT1016" i="3" s="1"/>
  <c r="AT1017" i="3" s="1"/>
  <c r="AT1018" i="3" s="1"/>
  <c r="AT1019" i="3" s="1"/>
  <c r="AT1020" i="3" s="1"/>
  <c r="AT1021" i="3" s="1"/>
  <c r="AT1022" i="3" s="1"/>
  <c r="AT1023" i="3" s="1"/>
  <c r="AT1024" i="3" s="1"/>
  <c r="AT1025" i="3" s="1"/>
  <c r="AT1026" i="3" s="1"/>
  <c r="AT1027" i="3" s="1"/>
  <c r="AT1028" i="3" s="1"/>
  <c r="AT1029" i="3" s="1"/>
  <c r="AT1030" i="3" s="1"/>
  <c r="AT1031" i="3" s="1"/>
  <c r="AT1032" i="3" s="1"/>
  <c r="AT1033" i="3" s="1"/>
  <c r="AT1034" i="3" s="1"/>
  <c r="AT1035" i="3" s="1"/>
  <c r="AT1036" i="3" s="1"/>
  <c r="AT1037" i="3" s="1"/>
  <c r="AT1038" i="3" s="1"/>
  <c r="AT1039" i="3" s="1"/>
  <c r="AT1040" i="3" s="1"/>
  <c r="AT1041" i="3" s="1"/>
  <c r="AT1042" i="3" s="1"/>
  <c r="AT1043" i="3" s="1"/>
  <c r="AT1044" i="3" s="1"/>
  <c r="AT1045" i="3" s="1"/>
  <c r="AT1046" i="3" s="1"/>
  <c r="AT1047" i="3" s="1"/>
  <c r="AT1048" i="3" s="1"/>
  <c r="AT1049" i="3" s="1"/>
  <c r="AT1050" i="3" s="1"/>
  <c r="AT1051" i="3" s="1"/>
  <c r="AT1052" i="3" s="1"/>
  <c r="AT1053" i="3" s="1"/>
  <c r="AT1054" i="3" s="1"/>
  <c r="AT1055" i="3" s="1"/>
  <c r="AT1056" i="3" s="1"/>
  <c r="AT1057" i="3" s="1"/>
  <c r="AT1058" i="3" s="1"/>
  <c r="AT1059" i="3" s="1"/>
  <c r="AT1060" i="3" s="1"/>
  <c r="AT1061" i="3" s="1"/>
  <c r="AT1062" i="3" s="1"/>
  <c r="AT1063" i="3" s="1"/>
  <c r="AT1064" i="3" s="1"/>
  <c r="AT1065" i="3" s="1"/>
  <c r="AT1066" i="3" s="1"/>
  <c r="AT1067" i="3" s="1"/>
  <c r="AT1068" i="3" s="1"/>
  <c r="AT1069" i="3" s="1"/>
  <c r="AT1070" i="3" s="1"/>
  <c r="AT1071" i="3" s="1"/>
  <c r="AT1072" i="3" s="1"/>
  <c r="AT1073" i="3" s="1"/>
  <c r="AT1074" i="3" s="1"/>
  <c r="AT1075" i="3" s="1"/>
  <c r="AT1076" i="3" s="1"/>
  <c r="AT1077" i="3" s="1"/>
  <c r="AT1078" i="3" s="1"/>
  <c r="AT1079" i="3" s="1"/>
  <c r="AT1080" i="3" s="1"/>
  <c r="AT1081" i="3" s="1"/>
  <c r="AT1082" i="3" s="1"/>
  <c r="AT1083" i="3" s="1"/>
  <c r="AT1084" i="3" s="1"/>
  <c r="AT1085" i="3" s="1"/>
  <c r="AT1086" i="3" s="1"/>
  <c r="AT1087" i="3" s="1"/>
  <c r="AT1088" i="3" s="1"/>
  <c r="AT1089" i="3" s="1"/>
  <c r="AT1090" i="3" s="1"/>
  <c r="AT1091" i="3" s="1"/>
  <c r="AT1092" i="3" s="1"/>
  <c r="AT1093" i="3" s="1"/>
  <c r="AT1094" i="3" s="1"/>
  <c r="AT1095" i="3" s="1"/>
  <c r="AT1096" i="3" s="1"/>
  <c r="AT1097" i="3" s="1"/>
  <c r="AT1098" i="3" s="1"/>
  <c r="AT1099" i="3" s="1"/>
  <c r="AT1100" i="3" s="1"/>
  <c r="AT1101" i="3" s="1"/>
  <c r="AT1102" i="3" s="1"/>
  <c r="AT1103" i="3" s="1"/>
  <c r="AT1104" i="3" s="1"/>
  <c r="AT1105" i="3" s="1"/>
  <c r="AT1106" i="3" s="1"/>
  <c r="AT1107" i="3" s="1"/>
  <c r="AT1108" i="3" s="1"/>
  <c r="AT1109" i="3" s="1"/>
  <c r="AT1110" i="3" s="1"/>
  <c r="AT1111" i="3" s="1"/>
  <c r="AT1112" i="3" s="1"/>
  <c r="AT1113" i="3" s="1"/>
  <c r="AT1114" i="3" s="1"/>
  <c r="AT1115" i="3" s="1"/>
  <c r="AT1116" i="3" s="1"/>
  <c r="AT1117" i="3" s="1"/>
  <c r="AT1118" i="3" s="1"/>
  <c r="AT1119" i="3" s="1"/>
  <c r="AT1120" i="3" s="1"/>
  <c r="AT1121" i="3" s="1"/>
  <c r="AT1122" i="3" s="1"/>
  <c r="AT1123" i="3" s="1"/>
  <c r="AT1124" i="3" s="1"/>
  <c r="AT1125" i="3" s="1"/>
  <c r="AT1126" i="3" s="1"/>
  <c r="AT1127" i="3" s="1"/>
  <c r="AT1128" i="3" s="1"/>
  <c r="AT1129" i="3" s="1"/>
  <c r="AT1130" i="3" s="1"/>
  <c r="AT1131" i="3" s="1"/>
  <c r="AT1132" i="3" s="1"/>
  <c r="AT1133" i="3" s="1"/>
  <c r="AT1134" i="3" s="1"/>
  <c r="AT1135" i="3" s="1"/>
  <c r="AT1136" i="3" s="1"/>
  <c r="AT1137" i="3" s="1"/>
  <c r="AT1138" i="3" s="1"/>
  <c r="AT1139" i="3" s="1"/>
  <c r="AT1140" i="3" s="1"/>
  <c r="AT1141" i="3" s="1"/>
  <c r="AT1142" i="3" s="1"/>
  <c r="AT1143" i="3" s="1"/>
  <c r="AT1144" i="3" s="1"/>
  <c r="AT1145" i="3" s="1"/>
  <c r="AT1146" i="3" s="1"/>
  <c r="AT1147" i="3" s="1"/>
  <c r="AT1148" i="3" s="1"/>
  <c r="AT1149" i="3" s="1"/>
  <c r="AT1150" i="3" s="1"/>
  <c r="AT1151" i="3" s="1"/>
  <c r="AT1152" i="3" s="1"/>
  <c r="AT1153" i="3" s="1"/>
  <c r="AT1154" i="3" s="1"/>
  <c r="AT1155" i="3" s="1"/>
  <c r="AT1156" i="3" s="1"/>
  <c r="AT1157" i="3" s="1"/>
  <c r="AT1158" i="3" s="1"/>
  <c r="AT1159" i="3" s="1"/>
  <c r="AT1160" i="3" s="1"/>
  <c r="AT1161" i="3" s="1"/>
  <c r="AT1162" i="3" s="1"/>
  <c r="AT1163" i="3" s="1"/>
  <c r="AT1164" i="3" s="1"/>
  <c r="AT1165" i="3" s="1"/>
  <c r="AT1166" i="3" s="1"/>
  <c r="AT1167" i="3" s="1"/>
  <c r="AT1168" i="3" s="1"/>
  <c r="AT1169" i="3" s="1"/>
  <c r="AT1170" i="3" s="1"/>
  <c r="AT1171" i="3" s="1"/>
  <c r="AT1172" i="3" s="1"/>
  <c r="AT1173" i="3" s="1"/>
  <c r="AT1174" i="3" s="1"/>
  <c r="AT1175" i="3" s="1"/>
  <c r="AT1176" i="3" s="1"/>
  <c r="AT1177" i="3" s="1"/>
  <c r="AT1178" i="3" s="1"/>
  <c r="AT1179" i="3" s="1"/>
  <c r="AT1180" i="3" s="1"/>
  <c r="AT1181" i="3" s="1"/>
  <c r="AT1182" i="3" s="1"/>
  <c r="AT1183" i="3" s="1"/>
  <c r="AT1184" i="3" s="1"/>
  <c r="AT1185" i="3" s="1"/>
  <c r="AT1186" i="3" s="1"/>
  <c r="AT1187" i="3" s="1"/>
  <c r="AT1188" i="3" s="1"/>
  <c r="AT1189" i="3" s="1"/>
  <c r="AT1190" i="3" s="1"/>
  <c r="AT1191" i="3" s="1"/>
  <c r="AT1192" i="3" s="1"/>
  <c r="AT1193" i="3" s="1"/>
  <c r="AT1194" i="3" s="1"/>
  <c r="AT1195" i="3" s="1"/>
  <c r="AT1196" i="3" s="1"/>
  <c r="AT1197" i="3" s="1"/>
  <c r="AT1198" i="3" s="1"/>
  <c r="AT1199" i="3" s="1"/>
  <c r="AT1200" i="3" s="1"/>
  <c r="AT1201" i="3" s="1"/>
  <c r="AT1202" i="3" s="1"/>
  <c r="AT1203" i="3" s="1"/>
  <c r="AT1204" i="3" s="1"/>
  <c r="AT1205" i="3" s="1"/>
  <c r="AT1206" i="3" s="1"/>
  <c r="AT1207" i="3" s="1"/>
  <c r="AT1208" i="3" s="1"/>
  <c r="AT1209" i="3" s="1"/>
  <c r="AT1210" i="3" s="1"/>
  <c r="AT1211" i="3" s="1"/>
  <c r="AT1212" i="3" s="1"/>
  <c r="AT1213" i="3" s="1"/>
  <c r="AT1214" i="3" s="1"/>
  <c r="AT1215" i="3" s="1"/>
  <c r="AT1216" i="3" s="1"/>
  <c r="AT1217" i="3" s="1"/>
  <c r="AT1218" i="3" s="1"/>
  <c r="AT1219" i="3" s="1"/>
  <c r="AT1220" i="3" s="1"/>
  <c r="AT1221" i="3" s="1"/>
  <c r="AT1222" i="3" s="1"/>
  <c r="AT1223" i="3" s="1"/>
  <c r="AT1224" i="3" s="1"/>
  <c r="AT1225" i="3" s="1"/>
  <c r="AT1226" i="3" s="1"/>
  <c r="AT1227" i="3" s="1"/>
  <c r="AT1228" i="3" s="1"/>
  <c r="AT1229" i="3" s="1"/>
  <c r="AT1230" i="3" s="1"/>
  <c r="AT1231" i="3" s="1"/>
  <c r="AT1232" i="3" s="1"/>
  <c r="AT1233" i="3" s="1"/>
  <c r="AT1234" i="3" s="1"/>
  <c r="AT1235" i="3" s="1"/>
  <c r="AT1236" i="3" s="1"/>
  <c r="AT1237" i="3" s="1"/>
  <c r="AT1238" i="3" s="1"/>
  <c r="AT1239" i="3" s="1"/>
  <c r="AT1240" i="3" s="1"/>
  <c r="AT1241" i="3" s="1"/>
  <c r="AT1242" i="3" s="1"/>
  <c r="AT1243" i="3" s="1"/>
  <c r="AT1244" i="3" s="1"/>
  <c r="AT1245" i="3" s="1"/>
  <c r="AT1246" i="3" s="1"/>
  <c r="AT1247" i="3" s="1"/>
  <c r="AT1248" i="3" s="1"/>
  <c r="AT1249" i="3" s="1"/>
  <c r="AT1250" i="3" s="1"/>
  <c r="AT1251" i="3" s="1"/>
  <c r="AT1252" i="3" s="1"/>
  <c r="AT1253" i="3" s="1"/>
  <c r="AT1254" i="3" s="1"/>
  <c r="AT1255" i="3" s="1"/>
  <c r="AT1256" i="3" s="1"/>
  <c r="AT1257" i="3" s="1"/>
  <c r="AT1258" i="3" s="1"/>
  <c r="AT1259" i="3" s="1"/>
  <c r="AT1260" i="3" s="1"/>
  <c r="AT1261" i="3" s="1"/>
  <c r="AT1262" i="3" s="1"/>
  <c r="AT1263" i="3" s="1"/>
  <c r="AT1264" i="3" s="1"/>
  <c r="AT1265" i="3" s="1"/>
  <c r="AT1266" i="3" s="1"/>
  <c r="AT1267" i="3" s="1"/>
  <c r="AT1268" i="3" s="1"/>
  <c r="AT1269" i="3" s="1"/>
  <c r="AT1270" i="3" s="1"/>
  <c r="AT1271" i="3" s="1"/>
  <c r="AT1272" i="3" s="1"/>
  <c r="AT1273" i="3" s="1"/>
  <c r="AT1274" i="3" s="1"/>
  <c r="AT1275" i="3" s="1"/>
  <c r="AT1276" i="3" s="1"/>
  <c r="AT1277" i="3" s="1"/>
  <c r="AT1278" i="3" s="1"/>
  <c r="AT1279" i="3" s="1"/>
  <c r="AT1280" i="3" s="1"/>
  <c r="AT1281" i="3" s="1"/>
  <c r="AT1282" i="3" s="1"/>
  <c r="AT1283" i="3" s="1"/>
  <c r="AT1284" i="3" s="1"/>
  <c r="AT1285" i="3" s="1"/>
  <c r="AT1286" i="3" s="1"/>
  <c r="AT1287" i="3" s="1"/>
  <c r="AT1288" i="3" s="1"/>
  <c r="AT1289" i="3" s="1"/>
  <c r="AT1290" i="3" s="1"/>
  <c r="AT1291" i="3" s="1"/>
  <c r="AT1292" i="3" s="1"/>
  <c r="AT1293" i="3" s="1"/>
  <c r="AT1294" i="3" s="1"/>
  <c r="AT1295" i="3" s="1"/>
  <c r="AT1296" i="3" s="1"/>
  <c r="AT1297" i="3" s="1"/>
  <c r="AT1298" i="3" s="1"/>
  <c r="AT1299" i="3" s="1"/>
  <c r="AT1300" i="3" s="1"/>
  <c r="AT1301" i="3" s="1"/>
  <c r="AT1302" i="3" s="1"/>
  <c r="AT1303" i="3" s="1"/>
  <c r="AT1304" i="3" s="1"/>
  <c r="AT1305" i="3" s="1"/>
  <c r="AT1306" i="3" s="1"/>
  <c r="AT1307" i="3" s="1"/>
  <c r="AT1308" i="3" s="1"/>
  <c r="AT1309" i="3" s="1"/>
  <c r="AT1310" i="3" s="1"/>
  <c r="AT1311" i="3" s="1"/>
  <c r="AT1312" i="3" s="1"/>
  <c r="AT1313" i="3" s="1"/>
  <c r="AT1314" i="3" s="1"/>
  <c r="AT1315" i="3" s="1"/>
  <c r="AT1316" i="3" s="1"/>
  <c r="AT1317" i="3" s="1"/>
  <c r="AT1318" i="3" s="1"/>
  <c r="AT1319" i="3" s="1"/>
  <c r="AT1320" i="3" s="1"/>
  <c r="AT1321" i="3" s="1"/>
  <c r="AT1322" i="3" s="1"/>
  <c r="AT1323" i="3" s="1"/>
  <c r="AT1324" i="3" s="1"/>
  <c r="AT1325" i="3" s="1"/>
  <c r="AT1326" i="3" s="1"/>
  <c r="AT1327" i="3" s="1"/>
  <c r="AT1328" i="3" s="1"/>
  <c r="AT1329" i="3" s="1"/>
  <c r="AT1330" i="3" s="1"/>
  <c r="AT1331" i="3" s="1"/>
  <c r="AT1332" i="3" s="1"/>
  <c r="AT1333" i="3" s="1"/>
  <c r="AT1334" i="3" s="1"/>
  <c r="AT1335" i="3" s="1"/>
  <c r="AT1336" i="3" s="1"/>
  <c r="AT1337" i="3" s="1"/>
  <c r="AT1338" i="3" s="1"/>
  <c r="AT1339" i="3" s="1"/>
  <c r="AT1340" i="3" s="1"/>
  <c r="AT1341" i="3" s="1"/>
  <c r="AT1342" i="3" s="1"/>
  <c r="AT1343" i="3" s="1"/>
  <c r="AT1344" i="3" s="1"/>
  <c r="AT1345" i="3" s="1"/>
  <c r="AT1346" i="3" s="1"/>
  <c r="AT1347" i="3" s="1"/>
  <c r="AT1348" i="3" s="1"/>
  <c r="AT1349" i="3" s="1"/>
  <c r="AT1350" i="3" s="1"/>
  <c r="AT1351" i="3" s="1"/>
  <c r="AT1352" i="3" s="1"/>
  <c r="AT1353" i="3" s="1"/>
  <c r="AT1354" i="3" s="1"/>
  <c r="AT1355" i="3" s="1"/>
  <c r="AT1356" i="3" s="1"/>
  <c r="AT1357" i="3" s="1"/>
  <c r="AT1358" i="3" s="1"/>
  <c r="AT1359" i="3" s="1"/>
  <c r="AT1360" i="3" s="1"/>
  <c r="AT1361" i="3" s="1"/>
  <c r="AT1362" i="3" s="1"/>
  <c r="AT1363" i="3" s="1"/>
  <c r="AT1364" i="3" s="1"/>
  <c r="AT1365" i="3" s="1"/>
  <c r="AT1366" i="3" s="1"/>
  <c r="AT1367" i="3" s="1"/>
  <c r="AT1368" i="3" s="1"/>
  <c r="AT1369" i="3" s="1"/>
  <c r="AT1370" i="3" s="1"/>
  <c r="AT1371" i="3" s="1"/>
  <c r="AT1372" i="3" s="1"/>
  <c r="AT1373" i="3" s="1"/>
  <c r="AT1374" i="3" s="1"/>
  <c r="AT1375" i="3" s="1"/>
  <c r="AT1376" i="3" s="1"/>
  <c r="AT1377" i="3" s="1"/>
  <c r="AT1378" i="3" s="1"/>
  <c r="AT1379" i="3" s="1"/>
  <c r="AT1380" i="3" s="1"/>
  <c r="AT1381" i="3" s="1"/>
  <c r="AT1382" i="3" s="1"/>
  <c r="AT1383" i="3" s="1"/>
  <c r="AT1384" i="3" s="1"/>
  <c r="AT1385" i="3" s="1"/>
  <c r="AT1386" i="3" s="1"/>
  <c r="AT1387" i="3" s="1"/>
  <c r="AT1388" i="3" s="1"/>
  <c r="AT1389" i="3" s="1"/>
  <c r="AT1390" i="3" s="1"/>
  <c r="AT1391" i="3" s="1"/>
  <c r="AT1392" i="3" s="1"/>
  <c r="AT1393" i="3" s="1"/>
  <c r="AT1394" i="3" s="1"/>
  <c r="AT1395" i="3" s="1"/>
  <c r="AT1396" i="3" s="1"/>
  <c r="AT1397" i="3" s="1"/>
  <c r="AT1398" i="3" s="1"/>
  <c r="AT1399" i="3" s="1"/>
  <c r="AT1400" i="3" s="1"/>
  <c r="AT1401" i="3" s="1"/>
  <c r="AT1402" i="3" s="1"/>
  <c r="AT1403" i="3" s="1"/>
  <c r="AT1404" i="3" s="1"/>
  <c r="AT1405" i="3" s="1"/>
  <c r="AT1406" i="3" s="1"/>
  <c r="AT1407" i="3" s="1"/>
  <c r="AT1408" i="3" s="1"/>
  <c r="AT1409" i="3" s="1"/>
  <c r="AT1410" i="3" s="1"/>
  <c r="AT1411" i="3" s="1"/>
  <c r="AT1412" i="3" s="1"/>
  <c r="AT1413" i="3" s="1"/>
  <c r="AT1414" i="3" s="1"/>
  <c r="AT1415" i="3" s="1"/>
  <c r="AT1416" i="3" s="1"/>
  <c r="AT1417" i="3" s="1"/>
  <c r="AT1418" i="3" s="1"/>
  <c r="AT1419" i="3" s="1"/>
  <c r="AT1420" i="3" s="1"/>
  <c r="AT1421" i="3" s="1"/>
  <c r="AT1422" i="3" s="1"/>
  <c r="AT1423" i="3" s="1"/>
  <c r="AT1424" i="3" s="1"/>
  <c r="AT1425" i="3" s="1"/>
  <c r="AT1426" i="3" s="1"/>
  <c r="AT1427" i="3" s="1"/>
  <c r="AT1428" i="3" s="1"/>
  <c r="AT1429" i="3" s="1"/>
  <c r="AT1430" i="3" s="1"/>
  <c r="AT1431" i="3" s="1"/>
  <c r="AT1432" i="3" s="1"/>
  <c r="AT1433" i="3" s="1"/>
  <c r="AT1434" i="3" s="1"/>
  <c r="AT1435" i="3" s="1"/>
  <c r="AT1436" i="3" s="1"/>
  <c r="AT1437" i="3" s="1"/>
  <c r="AT1438" i="3" s="1"/>
  <c r="AT1439" i="3" s="1"/>
  <c r="AT1440" i="3" s="1"/>
  <c r="AT1441" i="3" s="1"/>
  <c r="AT1442" i="3" s="1"/>
  <c r="AT1443" i="3" s="1"/>
  <c r="AT1444" i="3" s="1"/>
  <c r="AT1445" i="3" s="1"/>
  <c r="AT1446" i="3" s="1"/>
  <c r="AT1447" i="3" s="1"/>
  <c r="AT1448" i="3" s="1"/>
  <c r="AT1449" i="3" s="1"/>
  <c r="AT1450" i="3" s="1"/>
  <c r="AT1451" i="3" s="1"/>
  <c r="AT1452" i="3" s="1"/>
  <c r="AT1453" i="3" s="1"/>
  <c r="AT1454" i="3" s="1"/>
  <c r="AT1455" i="3" s="1"/>
  <c r="AT1456" i="3" s="1"/>
  <c r="AT1457" i="3" s="1"/>
  <c r="AT1458" i="3" s="1"/>
  <c r="AT1459" i="3" s="1"/>
  <c r="AT1460" i="3" s="1"/>
  <c r="AT1461" i="3" s="1"/>
  <c r="AT1462" i="3" s="1"/>
  <c r="AT1463" i="3" s="1"/>
  <c r="AT1464" i="3" s="1"/>
  <c r="AT1465" i="3" s="1"/>
  <c r="AT1466" i="3" s="1"/>
  <c r="AT1467" i="3" s="1"/>
  <c r="AT1468" i="3" s="1"/>
  <c r="AT1469" i="3" s="1"/>
  <c r="AT1470" i="3" s="1"/>
  <c r="AT1471" i="3" s="1"/>
  <c r="AT1472" i="3" s="1"/>
  <c r="AT1473" i="3" s="1"/>
  <c r="AT1474" i="3" s="1"/>
  <c r="AT1475" i="3" s="1"/>
  <c r="AT1476" i="3" s="1"/>
  <c r="AT1477" i="3" s="1"/>
  <c r="AT1478" i="3" s="1"/>
  <c r="AT1479" i="3" s="1"/>
  <c r="AT1480" i="3" s="1"/>
  <c r="AT1481" i="3" s="1"/>
  <c r="AT1482" i="3" s="1"/>
  <c r="AT1483" i="3" s="1"/>
  <c r="AT1484" i="3" s="1"/>
  <c r="AT1485" i="3" s="1"/>
  <c r="AT1486" i="3" s="1"/>
  <c r="AT1487" i="3" s="1"/>
  <c r="AT1488" i="3" s="1"/>
  <c r="AT1489" i="3" s="1"/>
  <c r="AT1490" i="3" s="1"/>
  <c r="AT1491" i="3" s="1"/>
  <c r="AT1492" i="3" s="1"/>
  <c r="AT1493" i="3" s="1"/>
  <c r="AT1494" i="3" s="1"/>
  <c r="AT1495" i="3" s="1"/>
  <c r="AT1496" i="3" s="1"/>
  <c r="AT1497" i="3" s="1"/>
  <c r="AT1498" i="3" s="1"/>
  <c r="AT1499" i="3" s="1"/>
  <c r="AT1500" i="3" s="1"/>
  <c r="AT1501" i="3" s="1"/>
  <c r="AT1502" i="3" s="1"/>
  <c r="AT1503" i="3" s="1"/>
  <c r="AT1504" i="3" s="1"/>
  <c r="AT1505" i="3" s="1"/>
  <c r="AT1506" i="3" s="1"/>
  <c r="AT1507" i="3" s="1"/>
  <c r="AT1508" i="3" s="1"/>
  <c r="AT1509" i="3" s="1"/>
  <c r="AT1510" i="3" s="1"/>
  <c r="AT1511" i="3" s="1"/>
  <c r="AT1512" i="3" s="1"/>
  <c r="AT1513" i="3" s="1"/>
  <c r="AT1514" i="3" s="1"/>
  <c r="AT1515" i="3" s="1"/>
  <c r="AT1516" i="3" s="1"/>
  <c r="AT1517" i="3" s="1"/>
  <c r="AT1518" i="3" s="1"/>
  <c r="AT1519" i="3" s="1"/>
  <c r="AT1520" i="3" s="1"/>
  <c r="AT1521" i="3" s="1"/>
  <c r="AT1522" i="3" s="1"/>
  <c r="AT1523" i="3" s="1"/>
  <c r="AT1524" i="3" s="1"/>
  <c r="AT1525" i="3" s="1"/>
  <c r="AT1526" i="3" s="1"/>
  <c r="AT1527" i="3" s="1"/>
  <c r="AT1528" i="3" s="1"/>
  <c r="AT1529" i="3" s="1"/>
  <c r="AT1530" i="3" s="1"/>
  <c r="AT1531" i="3" s="1"/>
  <c r="AT1532" i="3" s="1"/>
  <c r="AT1533" i="3" s="1"/>
  <c r="AT1534" i="3" s="1"/>
  <c r="AT1535" i="3" s="1"/>
  <c r="AT1536" i="3" s="1"/>
  <c r="AT1537" i="3" s="1"/>
  <c r="AT1538" i="3" s="1"/>
  <c r="AT1539" i="3" s="1"/>
  <c r="AT1540" i="3" s="1"/>
  <c r="AT1541" i="3" s="1"/>
  <c r="AT1542" i="3" s="1"/>
  <c r="AT1543" i="3" s="1"/>
  <c r="AT1544" i="3" s="1"/>
  <c r="AT1545" i="3" s="1"/>
  <c r="AT1546" i="3" s="1"/>
  <c r="AT1547" i="3" s="1"/>
  <c r="AT1548" i="3" s="1"/>
  <c r="AT1549" i="3" s="1"/>
  <c r="AT1550" i="3" s="1"/>
  <c r="AT1551" i="3" s="1"/>
  <c r="AT1552" i="3" s="1"/>
  <c r="AT1553" i="3" s="1"/>
  <c r="AT1554" i="3" s="1"/>
  <c r="AT1555" i="3" s="1"/>
  <c r="AT1556" i="3" s="1"/>
  <c r="AT1557" i="3" s="1"/>
  <c r="AT1558" i="3" s="1"/>
  <c r="AT1559" i="3" s="1"/>
  <c r="AT1560" i="3" s="1"/>
  <c r="AT1561" i="3" s="1"/>
  <c r="AT1562" i="3" s="1"/>
  <c r="AT1563" i="3" s="1"/>
  <c r="AT1564" i="3" s="1"/>
  <c r="AT1565" i="3" s="1"/>
  <c r="AT1566" i="3" s="1"/>
  <c r="AT1567" i="3" s="1"/>
  <c r="AT1568" i="3" s="1"/>
  <c r="AT1569" i="3" s="1"/>
  <c r="AT1570" i="3" s="1"/>
  <c r="AT1571" i="3" s="1"/>
  <c r="AT1572" i="3" s="1"/>
  <c r="AT1573" i="3" s="1"/>
  <c r="AT1574" i="3" s="1"/>
  <c r="AT1575" i="3" s="1"/>
  <c r="AT1576" i="3" s="1"/>
  <c r="AT1577" i="3" s="1"/>
  <c r="AT1578" i="3" s="1"/>
  <c r="AT1579" i="3" s="1"/>
  <c r="AT1580" i="3" s="1"/>
  <c r="AT1581" i="3" s="1"/>
  <c r="AT1582" i="3" s="1"/>
  <c r="AT1583" i="3" s="1"/>
  <c r="AT1584" i="3" s="1"/>
  <c r="AT1585" i="3" s="1"/>
  <c r="AT1586" i="3" s="1"/>
  <c r="AT1587" i="3" s="1"/>
  <c r="AT1588" i="3" s="1"/>
  <c r="AT1589" i="3" s="1"/>
  <c r="AT1590" i="3" s="1"/>
  <c r="AT1591" i="3" s="1"/>
  <c r="AT1592" i="3" s="1"/>
  <c r="AT1593" i="3" s="1"/>
  <c r="AT1594" i="3" s="1"/>
  <c r="AT1595" i="3" s="1"/>
  <c r="AT1596" i="3" s="1"/>
  <c r="AT1597" i="3" s="1"/>
  <c r="AT1598" i="3" s="1"/>
  <c r="AT1599" i="3" s="1"/>
  <c r="AT1600" i="3" s="1"/>
  <c r="AT1601" i="3" s="1"/>
  <c r="AT1602" i="3" s="1"/>
  <c r="AT1603" i="3" s="1"/>
  <c r="AT1604" i="3" s="1"/>
  <c r="AT1605" i="3" s="1"/>
  <c r="AT1606" i="3" s="1"/>
  <c r="AT1607" i="3" s="1"/>
  <c r="AT1608" i="3" s="1"/>
  <c r="AT1609" i="3" s="1"/>
  <c r="AT1610" i="3" s="1"/>
  <c r="AT1611" i="3" s="1"/>
  <c r="AT1612" i="3" s="1"/>
  <c r="AT1613" i="3" s="1"/>
  <c r="AT1614" i="3" s="1"/>
  <c r="AT1615" i="3" s="1"/>
  <c r="AT1616" i="3" s="1"/>
  <c r="AT1617" i="3" s="1"/>
  <c r="AT1618" i="3" s="1"/>
  <c r="AT1619" i="3" s="1"/>
  <c r="AT1620" i="3" s="1"/>
  <c r="AT1621" i="3" s="1"/>
  <c r="AT1622" i="3" s="1"/>
  <c r="AT1623" i="3" s="1"/>
  <c r="AT1624" i="3" s="1"/>
  <c r="AT1625" i="3" s="1"/>
  <c r="AT1626" i="3" s="1"/>
  <c r="AT1627" i="3" s="1"/>
  <c r="AT1628" i="3" s="1"/>
  <c r="AT1629" i="3" s="1"/>
  <c r="AT1630" i="3" s="1"/>
  <c r="AT1631" i="3" s="1"/>
  <c r="AT1632" i="3" s="1"/>
  <c r="AT1633" i="3" s="1"/>
  <c r="AT1634" i="3" s="1"/>
  <c r="AT1635" i="3" s="1"/>
  <c r="AT1636" i="3" s="1"/>
  <c r="AT1637" i="3" s="1"/>
  <c r="AT1638" i="3" s="1"/>
  <c r="AT1639" i="3" s="1"/>
  <c r="AT1640" i="3" s="1"/>
  <c r="AT1641" i="3" s="1"/>
  <c r="AT1642" i="3" s="1"/>
  <c r="AT1643" i="3" s="1"/>
  <c r="AT1644" i="3" s="1"/>
  <c r="AT1645" i="3" s="1"/>
  <c r="AT1646" i="3" s="1"/>
  <c r="AT1647" i="3" s="1"/>
  <c r="AT1648" i="3" s="1"/>
  <c r="AT1649" i="3" s="1"/>
  <c r="AT1650" i="3" s="1"/>
  <c r="AT1651" i="3" s="1"/>
  <c r="AT1652" i="3" s="1"/>
  <c r="AT1653" i="3" s="1"/>
  <c r="AT1654" i="3" s="1"/>
  <c r="AT1655" i="3" s="1"/>
  <c r="AT1656" i="3" s="1"/>
  <c r="AT1657" i="3" s="1"/>
  <c r="AT1658" i="3" s="1"/>
  <c r="AT1659" i="3" s="1"/>
  <c r="AT1660" i="3" s="1"/>
  <c r="AT1661" i="3" s="1"/>
  <c r="AT1662" i="3" s="1"/>
  <c r="AT1663" i="3" s="1"/>
  <c r="AT1664" i="3" s="1"/>
  <c r="AT1665" i="3" s="1"/>
  <c r="AT1666" i="3" s="1"/>
  <c r="AT1667" i="3" s="1"/>
  <c r="AT1668" i="3" s="1"/>
  <c r="AT1669" i="3" s="1"/>
  <c r="AT1670" i="3" s="1"/>
  <c r="AT1671" i="3" s="1"/>
  <c r="AT1672" i="3" s="1"/>
  <c r="AT1673" i="3" s="1"/>
  <c r="AT1674" i="3" s="1"/>
  <c r="AT1675" i="3" s="1"/>
  <c r="AT1676" i="3" s="1"/>
  <c r="AT1677" i="3" s="1"/>
  <c r="AT1678" i="3" s="1"/>
  <c r="AT1679" i="3" s="1"/>
  <c r="AT1680" i="3" s="1"/>
  <c r="AT1681" i="3" s="1"/>
  <c r="AT1682" i="3" s="1"/>
  <c r="AT1683" i="3" s="1"/>
  <c r="AT1684" i="3" s="1"/>
  <c r="AT1685" i="3" s="1"/>
  <c r="AT1686" i="3" s="1"/>
  <c r="AT1687" i="3" s="1"/>
  <c r="AT1688" i="3" s="1"/>
  <c r="AT1689" i="3" s="1"/>
  <c r="AT1690" i="3" s="1"/>
  <c r="AT1691" i="3" s="1"/>
  <c r="AT1692" i="3" s="1"/>
  <c r="AT1693" i="3" s="1"/>
  <c r="AT1694" i="3" s="1"/>
  <c r="AT1695" i="3" s="1"/>
  <c r="AT1696" i="3" s="1"/>
  <c r="AT1697" i="3" s="1"/>
  <c r="AT1698" i="3" s="1"/>
  <c r="AT1699" i="3" s="1"/>
  <c r="AT1700" i="3" s="1"/>
  <c r="AT1701" i="3" s="1"/>
  <c r="AT1702" i="3" s="1"/>
  <c r="AT1703" i="3" s="1"/>
  <c r="AT1704" i="3" s="1"/>
  <c r="AT1705" i="3" s="1"/>
  <c r="AT1706" i="3" s="1"/>
  <c r="AT1707" i="3" s="1"/>
  <c r="AT1708" i="3" s="1"/>
  <c r="AT1709" i="3" s="1"/>
  <c r="AT1710" i="3" s="1"/>
  <c r="AT1711" i="3" s="1"/>
  <c r="AT1712" i="3" s="1"/>
  <c r="AT1713" i="3" s="1"/>
  <c r="AT1714" i="3" s="1"/>
  <c r="AT1715" i="3" s="1"/>
  <c r="AT1716" i="3" s="1"/>
  <c r="AT1717" i="3" s="1"/>
  <c r="AT1718" i="3" s="1"/>
  <c r="AT1719" i="3" s="1"/>
  <c r="AT1720" i="3" s="1"/>
  <c r="AT1721" i="3" s="1"/>
  <c r="AT1722" i="3" s="1"/>
  <c r="AT1723" i="3" s="1"/>
  <c r="AT1724" i="3" s="1"/>
  <c r="AT1725" i="3" s="1"/>
  <c r="AT1726" i="3" s="1"/>
  <c r="AT1727" i="3" s="1"/>
  <c r="AT1728" i="3" s="1"/>
  <c r="AT1729" i="3" s="1"/>
  <c r="AT1730" i="3" s="1"/>
  <c r="AT1731" i="3" s="1"/>
  <c r="AT1732" i="3" s="1"/>
  <c r="AT1733" i="3" s="1"/>
  <c r="AT1734" i="3" s="1"/>
  <c r="AT1735" i="3" s="1"/>
  <c r="AT1736" i="3" s="1"/>
  <c r="AT1737" i="3" s="1"/>
  <c r="AT1738" i="3" s="1"/>
  <c r="AT1739" i="3" s="1"/>
  <c r="AT1740" i="3" s="1"/>
  <c r="AT1741" i="3" s="1"/>
  <c r="AT1742" i="3" s="1"/>
  <c r="AT1743" i="3" s="1"/>
  <c r="AT1744" i="3" s="1"/>
  <c r="AT1745" i="3" s="1"/>
  <c r="AT1746" i="3" s="1"/>
  <c r="AT1747" i="3" s="1"/>
  <c r="AT1748" i="3" s="1"/>
  <c r="AT1749" i="3" s="1"/>
  <c r="AT1750" i="3" s="1"/>
  <c r="AT1751" i="3" s="1"/>
  <c r="AT1752" i="3" s="1"/>
  <c r="AT1753" i="3" s="1"/>
  <c r="AT1754" i="3" s="1"/>
  <c r="AT1755" i="3" s="1"/>
  <c r="AT1756" i="3" s="1"/>
  <c r="AT1757" i="3" s="1"/>
  <c r="AT1758" i="3" s="1"/>
  <c r="AT1759" i="3" s="1"/>
  <c r="AT1760" i="3" s="1"/>
  <c r="AT1761" i="3" s="1"/>
  <c r="AT1762" i="3" s="1"/>
  <c r="AT1763" i="3" s="1"/>
  <c r="AT1764" i="3" s="1"/>
  <c r="AT1765" i="3" s="1"/>
  <c r="AT1766" i="3" s="1"/>
  <c r="AT1767" i="3" s="1"/>
  <c r="AT1768" i="3" s="1"/>
  <c r="AT1769" i="3" s="1"/>
  <c r="AT1770" i="3" s="1"/>
  <c r="AT1771" i="3" s="1"/>
  <c r="AT1772" i="3" s="1"/>
  <c r="AT1773" i="3" s="1"/>
  <c r="AT1774" i="3" s="1"/>
  <c r="AT1775" i="3" s="1"/>
  <c r="AT1776" i="3" s="1"/>
  <c r="AT1777" i="3" s="1"/>
  <c r="AT1778" i="3" s="1"/>
  <c r="AT1779" i="3" s="1"/>
  <c r="AT1780" i="3" s="1"/>
  <c r="AT1781" i="3" s="1"/>
  <c r="AT1782" i="3" s="1"/>
  <c r="AT1783" i="3" s="1"/>
  <c r="AT1784" i="3" s="1"/>
  <c r="AT1785" i="3" s="1"/>
  <c r="AT1786" i="3" s="1"/>
  <c r="AT1787" i="3" s="1"/>
  <c r="AT1788" i="3" s="1"/>
  <c r="AT1789" i="3" s="1"/>
  <c r="AT1790" i="3" s="1"/>
  <c r="AT1791" i="3" s="1"/>
  <c r="AT1792" i="3" s="1"/>
  <c r="AT1793" i="3" s="1"/>
  <c r="AT1794" i="3" s="1"/>
  <c r="AT1795" i="3" s="1"/>
  <c r="AT1796" i="3" s="1"/>
  <c r="AT1797" i="3" s="1"/>
  <c r="AT1798" i="3" s="1"/>
  <c r="AT1799" i="3" s="1"/>
  <c r="AT1800" i="3" s="1"/>
  <c r="AT1801" i="3" s="1"/>
  <c r="AT1802" i="3" s="1"/>
  <c r="AT1803" i="3" s="1"/>
  <c r="E10" i="3"/>
  <c r="BJ5" i="3"/>
  <c r="BB5" i="3"/>
  <c r="BG5" i="3"/>
  <c r="BF5" i="3"/>
  <c r="BE5" i="3"/>
  <c r="BC5" i="3"/>
  <c r="BH5" i="3"/>
  <c r="BA5" i="3"/>
  <c r="AZ5" i="3"/>
  <c r="BK5" i="3"/>
  <c r="BI5" i="3"/>
  <c r="AY6" i="3"/>
  <c r="BD5" i="3"/>
  <c r="H6" i="3"/>
  <c r="AS9" i="3"/>
  <c r="AR8" i="3"/>
  <c r="G4" i="1"/>
  <c r="H5" i="1" s="1"/>
  <c r="G5" i="1"/>
  <c r="I4" i="1"/>
  <c r="AH5" i="1"/>
  <c r="AH6" i="1"/>
  <c r="L9" i="2"/>
  <c r="L8" i="2"/>
  <c r="L7" i="2"/>
  <c r="L6" i="2"/>
  <c r="J7" i="2"/>
  <c r="J8" i="2" s="1"/>
  <c r="J9" i="2" s="1"/>
  <c r="I9" i="2"/>
  <c r="I8" i="2"/>
  <c r="I7" i="2"/>
  <c r="E5" i="1"/>
  <c r="AM5" i="1" s="1"/>
  <c r="AY4" i="1"/>
  <c r="AR4" i="1"/>
  <c r="AS5" i="1"/>
  <c r="AV1803" i="1"/>
  <c r="AV1802" i="1"/>
  <c r="AV1800" i="1"/>
  <c r="AV1799" i="1"/>
  <c r="AV1798" i="1"/>
  <c r="AV1797" i="1"/>
  <c r="AV1796" i="1"/>
  <c r="AV1795" i="1"/>
  <c r="AV1794" i="1"/>
  <c r="AV1792" i="1"/>
  <c r="AV1791" i="1"/>
  <c r="AV1790" i="1"/>
  <c r="AV1789" i="1"/>
  <c r="AV1788" i="1"/>
  <c r="AV1787" i="1"/>
  <c r="AV1786" i="1"/>
  <c r="AV1784" i="1"/>
  <c r="AV1783" i="1"/>
  <c r="AV1782" i="1"/>
  <c r="AV1781" i="1"/>
  <c r="AV1780" i="1"/>
  <c r="AV1779" i="1"/>
  <c r="AV1778" i="1"/>
  <c r="AV1776" i="1"/>
  <c r="AV1775" i="1"/>
  <c r="AV1774" i="1"/>
  <c r="AV1773" i="1"/>
  <c r="AV1772" i="1"/>
  <c r="AV1771" i="1"/>
  <c r="AV1770" i="1"/>
  <c r="AV1769" i="1"/>
  <c r="AV1768" i="1"/>
  <c r="AV1767" i="1"/>
  <c r="AV1766" i="1"/>
  <c r="AV1765" i="1"/>
  <c r="AV1764" i="1"/>
  <c r="AV1763" i="1"/>
  <c r="AV1762" i="1"/>
  <c r="AV1761" i="1"/>
  <c r="AV1760" i="1"/>
  <c r="AV1759" i="1"/>
  <c r="AV1758" i="1"/>
  <c r="AV1757" i="1"/>
  <c r="AV1756" i="1"/>
  <c r="AV1755" i="1"/>
  <c r="AV1754" i="1"/>
  <c r="AV1753" i="1"/>
  <c r="AV1752" i="1"/>
  <c r="AV1751" i="1"/>
  <c r="AV1750" i="1"/>
  <c r="AV1749" i="1"/>
  <c r="AV1748" i="1"/>
  <c r="AV1747" i="1"/>
  <c r="AV1746" i="1"/>
  <c r="AV1745" i="1"/>
  <c r="AV1744" i="1"/>
  <c r="AV1743" i="1"/>
  <c r="AV1742" i="1"/>
  <c r="AV1741" i="1"/>
  <c r="AV1740" i="1"/>
  <c r="AV1739" i="1"/>
  <c r="AV1738" i="1"/>
  <c r="AV1737" i="1"/>
  <c r="AV1736" i="1"/>
  <c r="AV1735" i="1"/>
  <c r="AV1734" i="1"/>
  <c r="AV1733" i="1"/>
  <c r="AV1732" i="1"/>
  <c r="AV1731" i="1"/>
  <c r="AV1730" i="1"/>
  <c r="AV1729" i="1"/>
  <c r="AV1728" i="1"/>
  <c r="AV1727" i="1"/>
  <c r="AV1726" i="1"/>
  <c r="AV1725" i="1"/>
  <c r="AV1724" i="1"/>
  <c r="AV1723" i="1"/>
  <c r="AV1722" i="1"/>
  <c r="AV1721" i="1"/>
  <c r="AV1720" i="1"/>
  <c r="AV1719" i="1"/>
  <c r="AV1718" i="1"/>
  <c r="AV1717" i="1"/>
  <c r="AV1716" i="1"/>
  <c r="AV1715" i="1"/>
  <c r="AV1714" i="1"/>
  <c r="AV1713" i="1"/>
  <c r="AV1712" i="1"/>
  <c r="AV1711" i="1"/>
  <c r="AV1710" i="1"/>
  <c r="AV1709" i="1"/>
  <c r="AV1708" i="1"/>
  <c r="AV1707" i="1"/>
  <c r="AV1706" i="1"/>
  <c r="AV1705" i="1"/>
  <c r="AV1704" i="1"/>
  <c r="AV1703" i="1"/>
  <c r="AV1702" i="1"/>
  <c r="AV1701" i="1"/>
  <c r="AV1700" i="1"/>
  <c r="AV1699" i="1"/>
  <c r="AV1698" i="1"/>
  <c r="AV1697" i="1"/>
  <c r="AV1696" i="1"/>
  <c r="AV1695" i="1"/>
  <c r="AV1694" i="1"/>
  <c r="AV1693" i="1"/>
  <c r="AV1692" i="1"/>
  <c r="AV1691" i="1"/>
  <c r="AV1690" i="1"/>
  <c r="AV1689" i="1"/>
  <c r="AV1688" i="1"/>
  <c r="AV1687" i="1"/>
  <c r="AV1686" i="1"/>
  <c r="AV1685" i="1"/>
  <c r="AV1684" i="1"/>
  <c r="AV1683" i="1"/>
  <c r="AV1681" i="1"/>
  <c r="AV1680" i="1"/>
  <c r="AV1679" i="1"/>
  <c r="AV1678" i="1"/>
  <c r="AV1677" i="1"/>
  <c r="AV1676" i="1"/>
  <c r="AV1675" i="1"/>
  <c r="AV1673" i="1"/>
  <c r="AV1672" i="1"/>
  <c r="AV1671" i="1"/>
  <c r="AV1670" i="1"/>
  <c r="AV1669" i="1"/>
  <c r="AV1668" i="1"/>
  <c r="AV1667" i="1"/>
  <c r="AV1665" i="1"/>
  <c r="AV1664" i="1"/>
  <c r="AV1663" i="1"/>
  <c r="AV1661" i="1"/>
  <c r="AV1660" i="1"/>
  <c r="AV1659" i="1"/>
  <c r="AV1657" i="1"/>
  <c r="AV1656" i="1"/>
  <c r="AV1655" i="1"/>
  <c r="AV1653" i="1"/>
  <c r="AV1652" i="1"/>
  <c r="AV1651" i="1"/>
  <c r="AV1649" i="1"/>
  <c r="AV1648" i="1"/>
  <c r="AV1647" i="1"/>
  <c r="AV1645" i="1"/>
  <c r="AV1644" i="1"/>
  <c r="AV1643" i="1"/>
  <c r="AV1640" i="1"/>
  <c r="AV1639" i="1"/>
  <c r="AV1638" i="1"/>
  <c r="AV1637" i="1"/>
  <c r="AV1636" i="1"/>
  <c r="AV1635" i="1"/>
  <c r="AV1633" i="1"/>
  <c r="AV1632" i="1"/>
  <c r="AV1631" i="1"/>
  <c r="AV1629" i="1"/>
  <c r="AV1628" i="1"/>
  <c r="AV1627" i="1"/>
  <c r="AV1625" i="1"/>
  <c r="AV1624" i="1"/>
  <c r="AV1623" i="1"/>
  <c r="AV1622" i="1"/>
  <c r="AV1621" i="1"/>
  <c r="AV1620" i="1"/>
  <c r="AV1619" i="1"/>
  <c r="AV1617" i="1"/>
  <c r="AV1616" i="1"/>
  <c r="AV1615" i="1"/>
  <c r="AV1614" i="1"/>
  <c r="AV1613" i="1"/>
  <c r="AV1612" i="1"/>
  <c r="AV1610" i="1"/>
  <c r="AV1609" i="1"/>
  <c r="AV1607" i="1"/>
  <c r="AV1606" i="1"/>
  <c r="AV1605" i="1"/>
  <c r="AV1604" i="1"/>
  <c r="AV1603" i="1"/>
  <c r="AV1601" i="1"/>
  <c r="AV1600" i="1"/>
  <c r="AV1599" i="1"/>
  <c r="AV1598" i="1"/>
  <c r="AV1597" i="1"/>
  <c r="AV1594" i="1"/>
  <c r="AV1593" i="1"/>
  <c r="AV1591" i="1"/>
  <c r="AV1590" i="1"/>
  <c r="AV1589" i="1"/>
  <c r="AV1588" i="1"/>
  <c r="AV1585" i="1"/>
  <c r="AV1584" i="1"/>
  <c r="AV1582" i="1"/>
  <c r="AV1581" i="1"/>
  <c r="AV1578" i="1"/>
  <c r="AV1577" i="1"/>
  <c r="AV1576" i="1"/>
  <c r="AV1575" i="1"/>
  <c r="AV1574" i="1"/>
  <c r="AV1573" i="1"/>
  <c r="AV1572" i="1"/>
  <c r="AV1571" i="1"/>
  <c r="AV1569" i="1"/>
  <c r="AV1568" i="1"/>
  <c r="AV1567" i="1"/>
  <c r="AV1566" i="1"/>
  <c r="AV1565" i="1"/>
  <c r="AV1562" i="1"/>
  <c r="AV1561" i="1"/>
  <c r="AV1559" i="1"/>
  <c r="AV1558" i="1"/>
  <c r="AV1557" i="1"/>
  <c r="AV1556" i="1"/>
  <c r="AV1555" i="1"/>
  <c r="AV1553" i="1"/>
  <c r="AV1552" i="1"/>
  <c r="AV1551" i="1"/>
  <c r="AV1550" i="1"/>
  <c r="AV1549" i="1"/>
  <c r="AV1548" i="1"/>
  <c r="AV1546" i="1"/>
  <c r="AV1545" i="1"/>
  <c r="AV1543" i="1"/>
  <c r="AV1542" i="1"/>
  <c r="AV1541" i="1"/>
  <c r="AV1540" i="1"/>
  <c r="AV1539" i="1"/>
  <c r="AV1537" i="1"/>
  <c r="AV1536" i="1"/>
  <c r="AV1534" i="1"/>
  <c r="AV1533" i="1"/>
  <c r="AV1530" i="1"/>
  <c r="AV1529" i="1"/>
  <c r="AV1527" i="1"/>
  <c r="AV1526" i="1"/>
  <c r="AV1525" i="1"/>
  <c r="AV1524" i="1"/>
  <c r="AV1523" i="1"/>
  <c r="AV1521" i="1"/>
  <c r="AV1520" i="1"/>
  <c r="AV1519" i="1"/>
  <c r="AV1518" i="1"/>
  <c r="AV1517" i="1"/>
  <c r="AV1514" i="1"/>
  <c r="AV1513" i="1"/>
  <c r="AV1511" i="1"/>
  <c r="AV1510" i="1"/>
  <c r="AV1509" i="1"/>
  <c r="AV1508" i="1"/>
  <c r="AV1507" i="1"/>
  <c r="AV1505" i="1"/>
  <c r="AV1504" i="1"/>
  <c r="AV1502" i="1"/>
  <c r="AV1501" i="1"/>
  <c r="AV1497" i="1"/>
  <c r="AV1495" i="1"/>
  <c r="AV1494" i="1"/>
  <c r="AV1493" i="1"/>
  <c r="AV1492" i="1"/>
  <c r="AV1491" i="1"/>
  <c r="AV1489" i="1"/>
  <c r="AV1488" i="1"/>
  <c r="AV1486" i="1"/>
  <c r="AV1485" i="1"/>
  <c r="AV1484" i="1"/>
  <c r="AV1482" i="1"/>
  <c r="AV1481" i="1"/>
  <c r="AV1480" i="1"/>
  <c r="AV1479" i="1"/>
  <c r="AV1478" i="1"/>
  <c r="AV1477" i="1"/>
  <c r="AV1476" i="1"/>
  <c r="AV1475" i="1"/>
  <c r="AV1473" i="1"/>
  <c r="AV1472" i="1"/>
  <c r="AV1471" i="1"/>
  <c r="AV1470" i="1"/>
  <c r="AV1469" i="1"/>
  <c r="AV1466" i="1"/>
  <c r="AV1465" i="1"/>
  <c r="AV1463" i="1"/>
  <c r="AV1462" i="1"/>
  <c r="AV1461" i="1"/>
  <c r="AV1460" i="1"/>
  <c r="AV1457" i="1"/>
  <c r="AV1456" i="1"/>
  <c r="AV1454" i="1"/>
  <c r="AV1453" i="1"/>
  <c r="AV1450" i="1"/>
  <c r="AV1449" i="1"/>
  <c r="AV1448" i="1"/>
  <c r="AV1447" i="1"/>
  <c r="AV1446" i="1"/>
  <c r="AV1445" i="1"/>
  <c r="AV1444" i="1"/>
  <c r="AV1443" i="1"/>
  <c r="AV1441" i="1"/>
  <c r="AV1440" i="1"/>
  <c r="AV1439" i="1"/>
  <c r="AV1438" i="1"/>
  <c r="AV1437" i="1"/>
  <c r="AV1434" i="1"/>
  <c r="AV1433" i="1"/>
  <c r="AV1431" i="1"/>
  <c r="AV1430" i="1"/>
  <c r="AV1429" i="1"/>
  <c r="AV1428" i="1"/>
  <c r="AV1427" i="1"/>
  <c r="AV1425" i="1"/>
  <c r="AV1424" i="1"/>
  <c r="AV1423" i="1"/>
  <c r="AV1422" i="1"/>
  <c r="AV1421" i="1"/>
  <c r="AV1418" i="1"/>
  <c r="AV1417" i="1"/>
  <c r="AV1415" i="1"/>
  <c r="AV1414" i="1"/>
  <c r="AV1413" i="1"/>
  <c r="AV1412" i="1"/>
  <c r="AV1411" i="1"/>
  <c r="AV1409" i="1"/>
  <c r="AV1408" i="1"/>
  <c r="AV1406" i="1"/>
  <c r="AV1405" i="1"/>
  <c r="AV1401" i="1"/>
  <c r="AV1399" i="1"/>
  <c r="AV1398" i="1"/>
  <c r="AV1397" i="1"/>
  <c r="AV1396" i="1"/>
  <c r="AV1395" i="1"/>
  <c r="AV1393" i="1"/>
  <c r="AV1392" i="1"/>
  <c r="AV1391" i="1"/>
  <c r="AV1390" i="1"/>
  <c r="AV1389" i="1"/>
  <c r="AV1386" i="1"/>
  <c r="AV1385" i="1"/>
  <c r="AV1383" i="1"/>
  <c r="AV1382" i="1"/>
  <c r="AV1381" i="1"/>
  <c r="AV1380" i="1"/>
  <c r="AV1379" i="1"/>
  <c r="AV1377" i="1"/>
  <c r="AV1376" i="1"/>
  <c r="AV1374" i="1"/>
  <c r="AV1373" i="1"/>
  <c r="AV1369" i="1"/>
  <c r="AV1367" i="1"/>
  <c r="AV1366" i="1"/>
  <c r="AV1365" i="1"/>
  <c r="AV1364" i="1"/>
  <c r="AV1363" i="1"/>
  <c r="AV1361" i="1"/>
  <c r="AV1360" i="1"/>
  <c r="AV1359" i="1"/>
  <c r="AV1358" i="1"/>
  <c r="AV1357" i="1"/>
  <c r="AV1356" i="1"/>
  <c r="AV1354" i="1"/>
  <c r="AV1353" i="1"/>
  <c r="AV1351" i="1"/>
  <c r="AV1350" i="1"/>
  <c r="AV1349" i="1"/>
  <c r="AV1348" i="1"/>
  <c r="AV1347" i="1"/>
  <c r="AV1345" i="1"/>
  <c r="AV1344" i="1"/>
  <c r="AV1343" i="1"/>
  <c r="AV1342" i="1"/>
  <c r="AV1341" i="1"/>
  <c r="AV1338" i="1"/>
  <c r="AV1337" i="1"/>
  <c r="AV1335" i="1"/>
  <c r="AV1334" i="1"/>
  <c r="AV1333" i="1"/>
  <c r="AV1332" i="1"/>
  <c r="AV1329" i="1"/>
  <c r="AV1328" i="1"/>
  <c r="AV1327" i="1"/>
  <c r="AV1326" i="1"/>
  <c r="AV1325" i="1"/>
  <c r="AV1322" i="1"/>
  <c r="AV1321" i="1"/>
  <c r="AV1320" i="1"/>
  <c r="AV1319" i="1"/>
  <c r="AV1318" i="1"/>
  <c r="AV1317" i="1"/>
  <c r="AV1316" i="1"/>
  <c r="AV1315" i="1"/>
  <c r="AV1313" i="1"/>
  <c r="AV1312" i="1"/>
  <c r="AV1311" i="1"/>
  <c r="AV1310" i="1"/>
  <c r="AV1309" i="1"/>
  <c r="AV1306" i="1"/>
  <c r="AV1305" i="1"/>
  <c r="AV1303" i="1"/>
  <c r="AV1302" i="1"/>
  <c r="AV1301" i="1"/>
  <c r="AV1300" i="1"/>
  <c r="AV1299" i="1"/>
  <c r="AV1297" i="1"/>
  <c r="AV1296" i="1"/>
  <c r="AV1295" i="1"/>
  <c r="AV1294" i="1"/>
  <c r="AV1293" i="1"/>
  <c r="AV1292" i="1"/>
  <c r="AV1290" i="1"/>
  <c r="AV1289" i="1"/>
  <c r="AV1287" i="1"/>
  <c r="AV1286" i="1"/>
  <c r="AV1285" i="1"/>
  <c r="AV1284" i="1"/>
  <c r="AV1283" i="1"/>
  <c r="AV1281" i="1"/>
  <c r="AV1280" i="1"/>
  <c r="AV1279" i="1"/>
  <c r="AV1278" i="1"/>
  <c r="AV1277" i="1"/>
  <c r="AV1276" i="1"/>
  <c r="AV1275" i="1"/>
  <c r="AV1273" i="1"/>
  <c r="AV1271" i="1"/>
  <c r="AV1270" i="1"/>
  <c r="AV1268" i="1"/>
  <c r="AV1267" i="1"/>
  <c r="AV1265" i="1"/>
  <c r="AV1264" i="1"/>
  <c r="AV1263" i="1"/>
  <c r="AV1261" i="1"/>
  <c r="AV1260" i="1"/>
  <c r="AV1259" i="1"/>
  <c r="AV1256" i="1"/>
  <c r="AV1255" i="1"/>
  <c r="AV1252" i="1"/>
  <c r="AV1251" i="1"/>
  <c r="AV1249" i="1"/>
  <c r="AV1247" i="1"/>
  <c r="AV1246" i="1"/>
  <c r="AV1245" i="1"/>
  <c r="AV1244" i="1"/>
  <c r="AV1243" i="1"/>
  <c r="AV1241" i="1"/>
  <c r="AV1240" i="1"/>
  <c r="AV1239" i="1"/>
  <c r="AV1237" i="1"/>
  <c r="AV1236" i="1"/>
  <c r="AV1235" i="1"/>
  <c r="AV1234" i="1"/>
  <c r="AV1233" i="1"/>
  <c r="AV1231" i="1"/>
  <c r="AV1230" i="1"/>
  <c r="AV1229" i="1"/>
  <c r="AV1228" i="1"/>
  <c r="AV1227" i="1"/>
  <c r="AV1226" i="1"/>
  <c r="AV1225" i="1"/>
  <c r="AV1224" i="1"/>
  <c r="AV1223" i="1"/>
  <c r="AV1221" i="1"/>
  <c r="AV1220" i="1"/>
  <c r="AV1219" i="1"/>
  <c r="AV1215" i="1"/>
  <c r="AV1213" i="1"/>
  <c r="AV1212" i="1"/>
  <c r="AV1211" i="1"/>
  <c r="AV1210" i="1"/>
  <c r="AV1209" i="1"/>
  <c r="AV1207" i="1"/>
  <c r="AV1206" i="1"/>
  <c r="AV1205" i="1"/>
  <c r="AV1204" i="1"/>
  <c r="AV1203" i="1"/>
  <c r="AV1201" i="1"/>
  <c r="AV1200" i="1"/>
  <c r="AV1199" i="1"/>
  <c r="AV1198" i="1"/>
  <c r="AV1197" i="1"/>
  <c r="AV1196" i="1"/>
  <c r="AV1195" i="1"/>
  <c r="AV1192" i="1"/>
  <c r="AV1191" i="1"/>
  <c r="AV1189" i="1"/>
  <c r="AV1188" i="1"/>
  <c r="AV1187" i="1"/>
  <c r="AV1185" i="1"/>
  <c r="AV1184" i="1"/>
  <c r="AV1183" i="1"/>
  <c r="AV1180" i="1"/>
  <c r="AV1179" i="1"/>
  <c r="AV1178" i="1"/>
  <c r="AV1177" i="1"/>
  <c r="AV1175" i="1"/>
  <c r="AV1174" i="1"/>
  <c r="AV1173" i="1"/>
  <c r="AV1172" i="1"/>
  <c r="AV1171" i="1"/>
  <c r="AV1169" i="1"/>
  <c r="AV1168" i="1"/>
  <c r="AV1167" i="1"/>
  <c r="AV1165" i="1"/>
  <c r="AV1164" i="1"/>
  <c r="AV1163" i="1"/>
  <c r="AV1161" i="1"/>
  <c r="AV1160" i="1"/>
  <c r="AV1159" i="1"/>
  <c r="AV1157" i="1"/>
  <c r="AV1156" i="1"/>
  <c r="AV1155" i="1"/>
  <c r="AV1154" i="1"/>
  <c r="AV1153" i="1"/>
  <c r="AV1151" i="1"/>
  <c r="AV1147" i="1"/>
  <c r="AV1146" i="1"/>
  <c r="AV1145" i="1"/>
  <c r="AV1144" i="1"/>
  <c r="AV1142" i="1"/>
  <c r="AV1141" i="1"/>
  <c r="AV1140" i="1"/>
  <c r="AV1139" i="1"/>
  <c r="AV1138" i="1"/>
  <c r="AV1135" i="1"/>
  <c r="AV1134" i="1"/>
  <c r="AV1132" i="1"/>
  <c r="AV1131" i="1"/>
  <c r="AV1130" i="1"/>
  <c r="AV1129" i="1"/>
  <c r="AV1128" i="1"/>
  <c r="AV1126" i="1"/>
  <c r="AV1125" i="1"/>
  <c r="AV1124" i="1"/>
  <c r="AV1123" i="1"/>
  <c r="AV1122" i="1"/>
  <c r="AV1121" i="1"/>
  <c r="AV1119" i="1"/>
  <c r="AV1118" i="1"/>
  <c r="AV1116" i="1"/>
  <c r="AV1115" i="1"/>
  <c r="AV1114" i="1"/>
  <c r="AV1113" i="1"/>
  <c r="AV1112" i="1"/>
  <c r="AV1110" i="1"/>
  <c r="AV1109" i="1"/>
  <c r="AV1108" i="1"/>
  <c r="AV1107" i="1"/>
  <c r="AV1106" i="1"/>
  <c r="AV1103" i="1"/>
  <c r="AV1102" i="1"/>
  <c r="AV1100" i="1"/>
  <c r="AV1099" i="1"/>
  <c r="AV1098" i="1"/>
  <c r="AV1097" i="1"/>
  <c r="AV1096" i="1"/>
  <c r="AV1094" i="1"/>
  <c r="AV1093" i="1"/>
  <c r="AV1092" i="1"/>
  <c r="AV1091" i="1"/>
  <c r="AV1090" i="1"/>
  <c r="AV1087" i="1"/>
  <c r="AV1086" i="1"/>
  <c r="AV1085" i="1"/>
  <c r="AV1084" i="1"/>
  <c r="AV1083" i="1"/>
  <c r="AV1082" i="1"/>
  <c r="AV1081" i="1"/>
  <c r="AV1080" i="1"/>
  <c r="AV1078" i="1"/>
  <c r="AV1077" i="1"/>
  <c r="AV1076" i="1"/>
  <c r="AV1075" i="1"/>
  <c r="AV1074" i="1"/>
  <c r="AV1071" i="1"/>
  <c r="AV1070" i="1"/>
  <c r="AV1068" i="1"/>
  <c r="AV1067" i="1"/>
  <c r="AV1066" i="1"/>
  <c r="AV1065" i="1"/>
  <c r="AV1064" i="1"/>
  <c r="AV1062" i="1"/>
  <c r="AV1061" i="1"/>
  <c r="AV1060" i="1"/>
  <c r="AV1059" i="1"/>
  <c r="AV1058" i="1"/>
  <c r="AV1057" i="1"/>
  <c r="AV1055" i="1"/>
  <c r="AV1054" i="1"/>
  <c r="AV1052" i="1"/>
  <c r="AV1051" i="1"/>
  <c r="AV1050" i="1"/>
  <c r="AV1049" i="1"/>
  <c r="AV1048" i="1"/>
  <c r="AV1046" i="1"/>
  <c r="AV1045" i="1"/>
  <c r="AV1044" i="1"/>
  <c r="AV1043" i="1"/>
  <c r="AV1042" i="1"/>
  <c r="AV1039" i="1"/>
  <c r="AV1038" i="1"/>
  <c r="AV1036" i="1"/>
  <c r="AV1035" i="1"/>
  <c r="AV1034" i="1"/>
  <c r="AV1033" i="1"/>
  <c r="AV1032" i="1"/>
  <c r="AV1030" i="1"/>
  <c r="AV1029" i="1"/>
  <c r="AV1028" i="1"/>
  <c r="AV1027" i="1"/>
  <c r="AV1026" i="1"/>
  <c r="AV1023" i="1"/>
  <c r="AV1022" i="1"/>
  <c r="AV1021" i="1"/>
  <c r="AV1020" i="1"/>
  <c r="AV1019" i="1"/>
  <c r="AV1018" i="1"/>
  <c r="AV1017" i="1"/>
  <c r="AV1016" i="1"/>
  <c r="AV1014" i="1"/>
  <c r="AV1013" i="1"/>
  <c r="AV1012" i="1"/>
  <c r="AV1011" i="1"/>
  <c r="AV1010" i="1"/>
  <c r="AV1007" i="1"/>
  <c r="AV1006" i="1"/>
  <c r="AV1004" i="1"/>
  <c r="AV1003" i="1"/>
  <c r="AV1002" i="1"/>
  <c r="AV1001" i="1"/>
  <c r="AV1000" i="1"/>
  <c r="AV998" i="1"/>
  <c r="AV997" i="1"/>
  <c r="AV996" i="1"/>
  <c r="AV995" i="1"/>
  <c r="AV994" i="1"/>
  <c r="AV993" i="1"/>
  <c r="AV991" i="1"/>
  <c r="AV990" i="1"/>
  <c r="AV988" i="1"/>
  <c r="AV987" i="1"/>
  <c r="AV986" i="1"/>
  <c r="AV985" i="1"/>
  <c r="AV984" i="1"/>
  <c r="AV982" i="1"/>
  <c r="AV981" i="1"/>
  <c r="AV980" i="1"/>
  <c r="AV979" i="1"/>
  <c r="AV978" i="1"/>
  <c r="AV975" i="1"/>
  <c r="AV974" i="1"/>
  <c r="AV972" i="1"/>
  <c r="AV971" i="1"/>
  <c r="AV970" i="1"/>
  <c r="AV969" i="1"/>
  <c r="AV968" i="1"/>
  <c r="AV966" i="1"/>
  <c r="AV965" i="1"/>
  <c r="AV964" i="1"/>
  <c r="AV963" i="1"/>
  <c r="AV962" i="1"/>
  <c r="AV959" i="1"/>
  <c r="AV958" i="1"/>
  <c r="AV957" i="1"/>
  <c r="AV956" i="1"/>
  <c r="AV955" i="1"/>
  <c r="AV954" i="1"/>
  <c r="AV953" i="1"/>
  <c r="AV952" i="1"/>
  <c r="AV950" i="1"/>
  <c r="AV949" i="1"/>
  <c r="AV948" i="1"/>
  <c r="AV947" i="1"/>
  <c r="AV946" i="1"/>
  <c r="AV943" i="1"/>
  <c r="AV942" i="1"/>
  <c r="AV940" i="1"/>
  <c r="AV939" i="1"/>
  <c r="AV938" i="1"/>
  <c r="AV937" i="1"/>
  <c r="AV936" i="1"/>
  <c r="AV934" i="1"/>
  <c r="AV933" i="1"/>
  <c r="AV932" i="1"/>
  <c r="AV931" i="1"/>
  <c r="AV930" i="1"/>
  <c r="AV929" i="1"/>
  <c r="AV927" i="1"/>
  <c r="AV926" i="1"/>
  <c r="AV924" i="1"/>
  <c r="AV923" i="1"/>
  <c r="AV922" i="1"/>
  <c r="AV921" i="1"/>
  <c r="AV920" i="1"/>
  <c r="AV918" i="1"/>
  <c r="AV917" i="1"/>
  <c r="AV916" i="1"/>
  <c r="AV915" i="1"/>
  <c r="AV914" i="1"/>
  <c r="AV911" i="1"/>
  <c r="AV910" i="1"/>
  <c r="AV909" i="1"/>
  <c r="AV908" i="1"/>
  <c r="AV907" i="1"/>
  <c r="AV906" i="1"/>
  <c r="AV905" i="1"/>
  <c r="AV904" i="1"/>
  <c r="AV902" i="1"/>
  <c r="AV901" i="1"/>
  <c r="AV900" i="1"/>
  <c r="AV899" i="1"/>
  <c r="AV898" i="1"/>
  <c r="AV896" i="1"/>
  <c r="AV895" i="1"/>
  <c r="AV894" i="1"/>
  <c r="AV892" i="1"/>
  <c r="AV891" i="1"/>
  <c r="AV890" i="1"/>
  <c r="AV888" i="1"/>
  <c r="AV887" i="1"/>
  <c r="AV886" i="1"/>
  <c r="AV883" i="1"/>
  <c r="AV882" i="1"/>
  <c r="AV881" i="1"/>
  <c r="AV880" i="1"/>
  <c r="AV878" i="1"/>
  <c r="AV877" i="1"/>
  <c r="AV876" i="1"/>
  <c r="AV875" i="1"/>
  <c r="AV874" i="1"/>
  <c r="AV871" i="1"/>
  <c r="AV870" i="1"/>
  <c r="AV869" i="1"/>
  <c r="AV868" i="1"/>
  <c r="AV867" i="1"/>
  <c r="AV866" i="1"/>
  <c r="AV865" i="1"/>
  <c r="AV864" i="1"/>
  <c r="AV862" i="1"/>
  <c r="AV861" i="1"/>
  <c r="AV860" i="1"/>
  <c r="AV859" i="1"/>
  <c r="AV858" i="1"/>
  <c r="AV857" i="1"/>
  <c r="AV855" i="1"/>
  <c r="AV854" i="1"/>
  <c r="AV852" i="1"/>
  <c r="AV851" i="1"/>
  <c r="AV850" i="1"/>
  <c r="AV849" i="1"/>
  <c r="AV848" i="1"/>
  <c r="AV846" i="1"/>
  <c r="AV845" i="1"/>
  <c r="AV844" i="1"/>
  <c r="AV843" i="1"/>
  <c r="AV842" i="1"/>
  <c r="AV839" i="1"/>
  <c r="AV838" i="1"/>
  <c r="AV837" i="1"/>
  <c r="AV836" i="1"/>
  <c r="AV835" i="1"/>
  <c r="AV834" i="1"/>
  <c r="AV833" i="1"/>
  <c r="AV832" i="1"/>
  <c r="AV830" i="1"/>
  <c r="AV829" i="1"/>
  <c r="AV828" i="1"/>
  <c r="AV827" i="1"/>
  <c r="AV826" i="1"/>
  <c r="AV823" i="1"/>
  <c r="AV822" i="1"/>
  <c r="AV821" i="1"/>
  <c r="AV820" i="1"/>
  <c r="AV819" i="1"/>
  <c r="AV818" i="1"/>
  <c r="AV817" i="1"/>
  <c r="AV816" i="1"/>
  <c r="AV814" i="1"/>
  <c r="AV813" i="1"/>
  <c r="AV812" i="1"/>
  <c r="AV811" i="1"/>
  <c r="AV810" i="1"/>
  <c r="AV809" i="1"/>
  <c r="AV807" i="1"/>
  <c r="AV806" i="1"/>
  <c r="AV804" i="1"/>
  <c r="AV803" i="1"/>
  <c r="AV802" i="1"/>
  <c r="AV801" i="1"/>
  <c r="AV800" i="1"/>
  <c r="AV798" i="1"/>
  <c r="AV797" i="1"/>
  <c r="AV796" i="1"/>
  <c r="AV795" i="1"/>
  <c r="AV794" i="1"/>
  <c r="AV793" i="1"/>
  <c r="AV791" i="1"/>
  <c r="AV790" i="1"/>
  <c r="AV789" i="1"/>
  <c r="AV788" i="1"/>
  <c r="AV787" i="1"/>
  <c r="AV786" i="1"/>
  <c r="AV785" i="1"/>
  <c r="AV784" i="1"/>
  <c r="AV782" i="1"/>
  <c r="AV781" i="1"/>
  <c r="AV780" i="1"/>
  <c r="AV779" i="1"/>
  <c r="AV778" i="1"/>
  <c r="AV775" i="1"/>
  <c r="AV774" i="1"/>
  <c r="AV772" i="1"/>
  <c r="AV771" i="1"/>
  <c r="AV770" i="1"/>
  <c r="AV769" i="1"/>
  <c r="AV768" i="1"/>
  <c r="AV766" i="1"/>
  <c r="AV765" i="1"/>
  <c r="AV764" i="1"/>
  <c r="AV763" i="1"/>
  <c r="AV762" i="1"/>
  <c r="AV761" i="1"/>
  <c r="AV759" i="1"/>
  <c r="AV758" i="1"/>
  <c r="AV757" i="1"/>
  <c r="AV756" i="1"/>
  <c r="AV755" i="1"/>
  <c r="AV754" i="1"/>
  <c r="AV753" i="1"/>
  <c r="AV752" i="1"/>
  <c r="AV750" i="1"/>
  <c r="AV749" i="1"/>
  <c r="AV748" i="1"/>
  <c r="AV747" i="1"/>
  <c r="AV746" i="1"/>
  <c r="AV743" i="1"/>
  <c r="AV742" i="1"/>
  <c r="AV740" i="1"/>
  <c r="AV739" i="1"/>
  <c r="AV738" i="1"/>
  <c r="AV737" i="1"/>
  <c r="AV736" i="1"/>
  <c r="AV734" i="1"/>
  <c r="AV733" i="1"/>
  <c r="AV732" i="1"/>
  <c r="AV731" i="1"/>
  <c r="AV730" i="1"/>
  <c r="AV727" i="1"/>
  <c r="AV726" i="1"/>
  <c r="AV725" i="1"/>
  <c r="AV724" i="1"/>
  <c r="AV723" i="1"/>
  <c r="AV722" i="1"/>
  <c r="AV721" i="1"/>
  <c r="AV720" i="1"/>
  <c r="AV718" i="1"/>
  <c r="AV717" i="1"/>
  <c r="AV716" i="1"/>
  <c r="AV715" i="1"/>
  <c r="AV714" i="1"/>
  <c r="AV711" i="1"/>
  <c r="AV710" i="1"/>
  <c r="AV708" i="1"/>
  <c r="AV707" i="1"/>
  <c r="AV706" i="1"/>
  <c r="AV705" i="1"/>
  <c r="AV704" i="1"/>
  <c r="AV702" i="1"/>
  <c r="AV701" i="1"/>
  <c r="AV700" i="1"/>
  <c r="AV699" i="1"/>
  <c r="AV698" i="1"/>
  <c r="AV695" i="1"/>
  <c r="AV694" i="1"/>
  <c r="AV692" i="1"/>
  <c r="AV691" i="1"/>
  <c r="AV690" i="1"/>
  <c r="AV689" i="1"/>
  <c r="AV688" i="1"/>
  <c r="AV686" i="1"/>
  <c r="AV685" i="1"/>
  <c r="AV684" i="1"/>
  <c r="AV683" i="1"/>
  <c r="AV682" i="1"/>
  <c r="AV679" i="1"/>
  <c r="AV678" i="1"/>
  <c r="AV676" i="1"/>
  <c r="AV675" i="1"/>
  <c r="AV674" i="1"/>
  <c r="AV673" i="1"/>
  <c r="AV672" i="1"/>
  <c r="AV670" i="1"/>
  <c r="AV669" i="1"/>
  <c r="AV668" i="1"/>
  <c r="AV667" i="1"/>
  <c r="AV666" i="1"/>
  <c r="AV663" i="1"/>
  <c r="AV662" i="1"/>
  <c r="AV660" i="1"/>
  <c r="AV659" i="1"/>
  <c r="AV658" i="1"/>
  <c r="AV657" i="1"/>
  <c r="AV656" i="1"/>
  <c r="AV655" i="1"/>
  <c r="AV654" i="1"/>
  <c r="AV653" i="1"/>
  <c r="AV652" i="1"/>
  <c r="AV651" i="1"/>
  <c r="AV650" i="1"/>
  <c r="AV649" i="1"/>
  <c r="AV648" i="1"/>
  <c r="AV646" i="1"/>
  <c r="AV645" i="1"/>
  <c r="AV644" i="1"/>
  <c r="AV642" i="1"/>
  <c r="AV641" i="1"/>
  <c r="AV640" i="1"/>
  <c r="AV639" i="1"/>
  <c r="AV638" i="1"/>
  <c r="AV637" i="1"/>
  <c r="AV636" i="1"/>
  <c r="AV635" i="1"/>
  <c r="AV634" i="1"/>
  <c r="AV633" i="1"/>
  <c r="AV632" i="1"/>
  <c r="AV631" i="1"/>
  <c r="AV630" i="1"/>
  <c r="AV629" i="1"/>
  <c r="AV628" i="1"/>
  <c r="AV627" i="1"/>
  <c r="AV626" i="1"/>
  <c r="AV625" i="1"/>
  <c r="AV624" i="1"/>
  <c r="AV623" i="1"/>
  <c r="AV622" i="1"/>
  <c r="AV621" i="1"/>
  <c r="AV620" i="1"/>
  <c r="AV619" i="1"/>
  <c r="AV618" i="1"/>
  <c r="AV617" i="1"/>
  <c r="AV616" i="1"/>
  <c r="AV615" i="1"/>
  <c r="AV614" i="1"/>
  <c r="AV613" i="1"/>
  <c r="AV612" i="1"/>
  <c r="AV610" i="1"/>
  <c r="AV609" i="1"/>
  <c r="AV608" i="1"/>
  <c r="AV607" i="1"/>
  <c r="AV606" i="1"/>
  <c r="AV605" i="1"/>
  <c r="AV604" i="1"/>
  <c r="AV603" i="1"/>
  <c r="AV602" i="1"/>
  <c r="AV601" i="1"/>
  <c r="AV600" i="1"/>
  <c r="AV599" i="1"/>
  <c r="M4" i="1" l="1"/>
  <c r="AO9" i="3"/>
  <c r="BM4" i="3"/>
  <c r="BL4" i="3"/>
  <c r="E11" i="3"/>
  <c r="BE6" i="3"/>
  <c r="BJ6" i="3"/>
  <c r="BB6" i="3"/>
  <c r="BF6" i="3"/>
  <c r="AZ6" i="3"/>
  <c r="BI6" i="3"/>
  <c r="BH6" i="3"/>
  <c r="BK6" i="3"/>
  <c r="BG6" i="3"/>
  <c r="BA6" i="3"/>
  <c r="BD6" i="3"/>
  <c r="AY7" i="3"/>
  <c r="BC6" i="3"/>
  <c r="G8" i="3"/>
  <c r="H7" i="3"/>
  <c r="BL5" i="3"/>
  <c r="AS10" i="3"/>
  <c r="AR9" i="3"/>
  <c r="K4" i="1"/>
  <c r="O4" i="1"/>
  <c r="AN5" i="1"/>
  <c r="J4" i="1"/>
  <c r="L4" i="1"/>
  <c r="N4" i="1"/>
  <c r="E6" i="1"/>
  <c r="AM6" i="1" s="1"/>
  <c r="AN6" i="1" s="1"/>
  <c r="AS6" i="1"/>
  <c r="AR5" i="1"/>
  <c r="AY5" i="1"/>
  <c r="AV1626" i="1"/>
  <c r="AV1630" i="1"/>
  <c r="AV1634" i="1"/>
  <c r="AV1641" i="1"/>
  <c r="AV1801" i="1"/>
  <c r="AV1646" i="1"/>
  <c r="AV1650" i="1"/>
  <c r="AV1642" i="1"/>
  <c r="AV1654" i="1"/>
  <c r="AV1658" i="1"/>
  <c r="AV1793" i="1"/>
  <c r="AV1662" i="1"/>
  <c r="AV1666" i="1"/>
  <c r="AV1777" i="1"/>
  <c r="AV1674" i="1"/>
  <c r="AV1618" i="1"/>
  <c r="AV1682" i="1"/>
  <c r="AV1785" i="1"/>
  <c r="AV671" i="1"/>
  <c r="AV751" i="1"/>
  <c r="AV824" i="1"/>
  <c r="AV872" i="1"/>
  <c r="AV885" i="1"/>
  <c r="AV1127" i="1"/>
  <c r="AV1257" i="1"/>
  <c r="AV1394" i="1"/>
  <c r="AV944" i="1"/>
  <c r="AV983" i="1"/>
  <c r="AV992" i="1"/>
  <c r="AV1031" i="1"/>
  <c r="AV1041" i="1"/>
  <c r="AV1069" i="1"/>
  <c r="AV1352" i="1"/>
  <c r="AV1586" i="1"/>
  <c r="AV680" i="1"/>
  <c r="AV697" i="1"/>
  <c r="AV709" i="1"/>
  <c r="AV735" i="1"/>
  <c r="AV760" i="1"/>
  <c r="AV777" i="1"/>
  <c r="AV825" i="1"/>
  <c r="AV847" i="1"/>
  <c r="AV856" i="1"/>
  <c r="AV913" i="1"/>
  <c r="AV935" i="1"/>
  <c r="AV945" i="1"/>
  <c r="AV973" i="1"/>
  <c r="AV1104" i="1"/>
  <c r="AV1143" i="1"/>
  <c r="AV1152" i="1"/>
  <c r="AV1269" i="1"/>
  <c r="AV1368" i="1"/>
  <c r="AV1410" i="1"/>
  <c r="AV1426" i="1"/>
  <c r="AV1467" i="1"/>
  <c r="AV1560" i="1"/>
  <c r="AV1602" i="1"/>
  <c r="AV664" i="1"/>
  <c r="AV681" i="1"/>
  <c r="AV693" i="1"/>
  <c r="AV719" i="1"/>
  <c r="AV799" i="1"/>
  <c r="AV1008" i="1"/>
  <c r="AV1047" i="1"/>
  <c r="AV1056" i="1"/>
  <c r="AV1095" i="1"/>
  <c r="AV1105" i="1"/>
  <c r="AV1133" i="1"/>
  <c r="AV1400" i="1"/>
  <c r="AV1452" i="1"/>
  <c r="AV1468" i="1"/>
  <c r="AV1487" i="1"/>
  <c r="AV1535" i="1"/>
  <c r="AV696" i="1"/>
  <c r="AV815" i="1"/>
  <c r="AV912" i="1"/>
  <c r="AV1079" i="1"/>
  <c r="AV776" i="1"/>
  <c r="AV744" i="1"/>
  <c r="AV773" i="1"/>
  <c r="AV960" i="1"/>
  <c r="AV999" i="1"/>
  <c r="AV1037" i="1"/>
  <c r="AV1148" i="1"/>
  <c r="AV1214" i="1"/>
  <c r="AV1266" i="1"/>
  <c r="AV677" i="1"/>
  <c r="AV728" i="1"/>
  <c r="AV831" i="1"/>
  <c r="AV919" i="1"/>
  <c r="AV1608" i="1"/>
  <c r="AV611" i="1"/>
  <c r="AV661" i="1"/>
  <c r="AV792" i="1"/>
  <c r="AV840" i="1"/>
  <c r="AV853" i="1"/>
  <c r="AV889" i="1"/>
  <c r="AV928" i="1"/>
  <c r="AV976" i="1"/>
  <c r="AV1015" i="1"/>
  <c r="AV1024" i="1"/>
  <c r="AV1063" i="1"/>
  <c r="AV1073" i="1"/>
  <c r="AV1101" i="1"/>
  <c r="AV1158" i="1"/>
  <c r="AV1262" i="1"/>
  <c r="AV1339" i="1"/>
  <c r="AV1371" i="1"/>
  <c r="AV1402" i="1"/>
  <c r="AV1522" i="1"/>
  <c r="AV713" i="1"/>
  <c r="AV903" i="1"/>
  <c r="AV1040" i="1"/>
  <c r="AV1088" i="1"/>
  <c r="AV1137" i="1"/>
  <c r="AV1232" i="1"/>
  <c r="AV1330" i="1"/>
  <c r="AV1420" i="1"/>
  <c r="AV808" i="1"/>
  <c r="AV879" i="1"/>
  <c r="AV897" i="1"/>
  <c r="AV951" i="1"/>
  <c r="AV1009" i="1"/>
  <c r="AV1248" i="1"/>
  <c r="AV1498" i="1"/>
  <c r="AV665" i="1"/>
  <c r="AV703" i="1"/>
  <c r="AV745" i="1"/>
  <c r="AV783" i="1"/>
  <c r="AV893" i="1"/>
  <c r="AV941" i="1"/>
  <c r="AV1072" i="1"/>
  <c r="AV1111" i="1"/>
  <c r="AV1120" i="1"/>
  <c r="AV1182" i="1"/>
  <c r="AV1202" i="1"/>
  <c r="AV1308" i="1"/>
  <c r="AV1407" i="1"/>
  <c r="AV1499" i="1"/>
  <c r="AV643" i="1"/>
  <c r="AV647" i="1"/>
  <c r="AV687" i="1"/>
  <c r="AV712" i="1"/>
  <c r="AV729" i="1"/>
  <c r="AV741" i="1"/>
  <c r="AV767" i="1"/>
  <c r="AV863" i="1"/>
  <c r="AV884" i="1"/>
  <c r="AV967" i="1"/>
  <c r="AV977" i="1"/>
  <c r="AV1005" i="1"/>
  <c r="AV1136" i="1"/>
  <c r="AV1193" i="1"/>
  <c r="AV1216" i="1"/>
  <c r="AV1272" i="1"/>
  <c r="AV1388" i="1"/>
  <c r="AV1419" i="1"/>
  <c r="AV1455" i="1"/>
  <c r="AV1506" i="1"/>
  <c r="AV1579" i="1"/>
  <c r="AV1595" i="1"/>
  <c r="AV1331" i="1"/>
  <c r="AV1340" i="1"/>
  <c r="AV1375" i="1"/>
  <c r="AV1531" i="1"/>
  <c r="AV1547" i="1"/>
  <c r="AV1611" i="1"/>
  <c r="AV1176" i="1"/>
  <c r="AV1208" i="1"/>
  <c r="AV1288" i="1"/>
  <c r="AV1298" i="1"/>
  <c r="AV1370" i="1"/>
  <c r="AV1384" i="1"/>
  <c r="AV1459" i="1"/>
  <c r="AV1474" i="1"/>
  <c r="AV1194" i="1"/>
  <c r="AV1217" i="1"/>
  <c r="AV1346" i="1"/>
  <c r="AV1436" i="1"/>
  <c r="AV805" i="1"/>
  <c r="AV841" i="1"/>
  <c r="AV873" i="1"/>
  <c r="AV925" i="1"/>
  <c r="AV961" i="1"/>
  <c r="AV989" i="1"/>
  <c r="AV1025" i="1"/>
  <c r="AV1053" i="1"/>
  <c r="AV1089" i="1"/>
  <c r="AV1117" i="1"/>
  <c r="AV1186" i="1"/>
  <c r="AV1218" i="1"/>
  <c r="AV1253" i="1"/>
  <c r="AV1304" i="1"/>
  <c r="AV1323" i="1"/>
  <c r="AV1516" i="1"/>
  <c r="AV1544" i="1"/>
  <c r="AV1554" i="1"/>
  <c r="AV1258" i="1"/>
  <c r="AV1372" i="1"/>
  <c r="AV1496" i="1"/>
  <c r="AV1528" i="1"/>
  <c r="AV1587" i="1"/>
  <c r="AV1596" i="1"/>
  <c r="AV1149" i="1"/>
  <c r="AV1162" i="1"/>
  <c r="AV1166" i="1"/>
  <c r="AV1170" i="1"/>
  <c r="AV1181" i="1"/>
  <c r="AV1190" i="1"/>
  <c r="AV1222" i="1"/>
  <c r="AV1250" i="1"/>
  <c r="AV1254" i="1"/>
  <c r="AV1291" i="1"/>
  <c r="AV1355" i="1"/>
  <c r="AV1378" i="1"/>
  <c r="AV1451" i="1"/>
  <c r="AV1503" i="1"/>
  <c r="AV1512" i="1"/>
  <c r="AV1564" i="1"/>
  <c r="AV1583" i="1"/>
  <c r="AV1314" i="1"/>
  <c r="AV1435" i="1"/>
  <c r="AV1464" i="1"/>
  <c r="AV1490" i="1"/>
  <c r="AV1515" i="1"/>
  <c r="AV1532" i="1"/>
  <c r="AV1570" i="1"/>
  <c r="AV1282" i="1"/>
  <c r="AV1403" i="1"/>
  <c r="AV1432" i="1"/>
  <c r="AV1458" i="1"/>
  <c r="AV1483" i="1"/>
  <c r="AV1500" i="1"/>
  <c r="AV1538" i="1"/>
  <c r="AV1150" i="1"/>
  <c r="AV1238" i="1"/>
  <c r="AV1242" i="1"/>
  <c r="AV1274" i="1"/>
  <c r="AV1307" i="1"/>
  <c r="AV1324" i="1"/>
  <c r="AV1336" i="1"/>
  <c r="AV1362" i="1"/>
  <c r="AV1387" i="1"/>
  <c r="AV1404" i="1"/>
  <c r="AV1416" i="1"/>
  <c r="AV1442" i="1"/>
  <c r="AV1563" i="1"/>
  <c r="AV1580" i="1"/>
  <c r="AV1592" i="1"/>
  <c r="AO10" i="3" l="1"/>
  <c r="AO11" i="3" s="1"/>
  <c r="AR10" i="3"/>
  <c r="AS11" i="3"/>
  <c r="BL6" i="3"/>
  <c r="G9" i="3"/>
  <c r="BM5" i="3"/>
  <c r="AP5" i="3"/>
  <c r="E12" i="3"/>
  <c r="BI7" i="3"/>
  <c r="BA7" i="3"/>
  <c r="BF7" i="3"/>
  <c r="BG7" i="3"/>
  <c r="BH7" i="3"/>
  <c r="BD7" i="3"/>
  <c r="BC7" i="3"/>
  <c r="BE7" i="3"/>
  <c r="AY8" i="3"/>
  <c r="BB7" i="3"/>
  <c r="AZ7" i="3"/>
  <c r="BK7" i="3"/>
  <c r="BJ7" i="3"/>
  <c r="P4" i="1"/>
  <c r="I5" i="1" s="1"/>
  <c r="M5" i="1" s="1"/>
  <c r="G6" i="1"/>
  <c r="H6" i="1" s="1"/>
  <c r="G7" i="1"/>
  <c r="E7" i="1"/>
  <c r="AM7" i="1" s="1"/>
  <c r="AN7" i="1" s="1"/>
  <c r="AY6" i="1"/>
  <c r="AS7" i="1"/>
  <c r="AR6" i="1"/>
  <c r="BL7" i="3" l="1"/>
  <c r="BM6" i="3"/>
  <c r="AP6" i="3"/>
  <c r="AS12" i="3"/>
  <c r="AR11" i="3"/>
  <c r="BE8" i="3"/>
  <c r="BJ8" i="3"/>
  <c r="BB8" i="3"/>
  <c r="AY9" i="3"/>
  <c r="BH8" i="3"/>
  <c r="BD8" i="3"/>
  <c r="BA8" i="3"/>
  <c r="AZ8" i="3"/>
  <c r="BF8" i="3"/>
  <c r="BK8" i="3"/>
  <c r="BI8" i="3"/>
  <c r="BG8" i="3"/>
  <c r="BC8" i="3"/>
  <c r="G10" i="3"/>
  <c r="AO12" i="3"/>
  <c r="E13" i="3"/>
  <c r="H8" i="3"/>
  <c r="G8" i="1"/>
  <c r="H7" i="1"/>
  <c r="E8" i="1"/>
  <c r="AM8" i="1" s="1"/>
  <c r="AN8" i="1" s="1"/>
  <c r="AS8" i="1"/>
  <c r="AR7" i="1"/>
  <c r="AY7" i="1"/>
  <c r="BL8" i="3" l="1"/>
  <c r="H9" i="3"/>
  <c r="G11" i="3"/>
  <c r="AS13" i="3"/>
  <c r="AR12" i="3"/>
  <c r="AO13" i="3"/>
  <c r="E14" i="3"/>
  <c r="BM7" i="3"/>
  <c r="AP7" i="3"/>
  <c r="BI9" i="3"/>
  <c r="BA9" i="3"/>
  <c r="AY10" i="3"/>
  <c r="BF9" i="3"/>
  <c r="BJ9" i="3"/>
  <c r="BB9" i="3"/>
  <c r="BK9" i="3"/>
  <c r="BH9" i="3"/>
  <c r="BC9" i="3"/>
  <c r="BG9" i="3"/>
  <c r="BE9" i="3"/>
  <c r="BD9" i="3"/>
  <c r="AZ9" i="3"/>
  <c r="G9" i="1"/>
  <c r="H8" i="1"/>
  <c r="E9" i="1"/>
  <c r="AM9" i="1" s="1"/>
  <c r="AN9" i="1" s="1"/>
  <c r="AS9" i="1"/>
  <c r="AR8" i="1"/>
  <c r="AY8" i="1"/>
  <c r="E15" i="3" l="1"/>
  <c r="AO14" i="3"/>
  <c r="G12" i="3"/>
  <c r="BL9" i="3"/>
  <c r="H10" i="3"/>
  <c r="BJ10" i="3"/>
  <c r="BB10" i="3"/>
  <c r="BG10" i="3"/>
  <c r="BF10" i="3"/>
  <c r="BD10" i="3"/>
  <c r="BA10" i="3"/>
  <c r="AZ10" i="3"/>
  <c r="BC10" i="3"/>
  <c r="BK10" i="3"/>
  <c r="AY11" i="3"/>
  <c r="BI10" i="3"/>
  <c r="BH10" i="3"/>
  <c r="BE10" i="3"/>
  <c r="BM8" i="3"/>
  <c r="AP8" i="3"/>
  <c r="AS14" i="3"/>
  <c r="AR13" i="3"/>
  <c r="G10" i="1"/>
  <c r="H9" i="1"/>
  <c r="E10" i="1"/>
  <c r="AM10" i="1" s="1"/>
  <c r="AN10" i="1" s="1"/>
  <c r="AS10" i="1"/>
  <c r="AR9" i="1"/>
  <c r="AY9" i="1"/>
  <c r="AO15" i="3" l="1"/>
  <c r="E16" i="3"/>
  <c r="AR14" i="3"/>
  <c r="AS15" i="3"/>
  <c r="BD11" i="3"/>
  <c r="BI11" i="3"/>
  <c r="BA11" i="3"/>
  <c r="BE11" i="3"/>
  <c r="BJ11" i="3"/>
  <c r="AY12" i="3"/>
  <c r="BG11" i="3"/>
  <c r="BF11" i="3"/>
  <c r="BK11" i="3"/>
  <c r="BC11" i="3"/>
  <c r="BB11" i="3"/>
  <c r="AZ11" i="3"/>
  <c r="BH11" i="3"/>
  <c r="G13" i="3"/>
  <c r="BL10" i="3"/>
  <c r="H11" i="3"/>
  <c r="BM9" i="3"/>
  <c r="AP9" i="3"/>
  <c r="G11" i="1"/>
  <c r="H10" i="1"/>
  <c r="E11" i="1"/>
  <c r="AM11" i="1" s="1"/>
  <c r="AN11" i="1" s="1"/>
  <c r="AS11" i="1"/>
  <c r="AR10" i="1"/>
  <c r="AY10" i="1"/>
  <c r="BM10" i="3" l="1"/>
  <c r="AP10" i="3"/>
  <c r="BL11" i="3"/>
  <c r="BE12" i="3"/>
  <c r="BJ12" i="3"/>
  <c r="BB12" i="3"/>
  <c r="BC12" i="3"/>
  <c r="BA12" i="3"/>
  <c r="AZ12" i="3"/>
  <c r="BK12" i="3"/>
  <c r="BI12" i="3"/>
  <c r="BH12" i="3"/>
  <c r="BD12" i="3"/>
  <c r="BG12" i="3"/>
  <c r="BF12" i="3"/>
  <c r="AY13" i="3"/>
  <c r="E17" i="3"/>
  <c r="AO16" i="3"/>
  <c r="H12" i="3"/>
  <c r="G14" i="3"/>
  <c r="AS16" i="3"/>
  <c r="AR15" i="3"/>
  <c r="G12" i="1"/>
  <c r="H11" i="1"/>
  <c r="E12" i="1"/>
  <c r="AM12" i="1" s="1"/>
  <c r="AN12" i="1" s="1"/>
  <c r="AY11" i="1"/>
  <c r="AS12" i="1"/>
  <c r="AR11" i="1"/>
  <c r="AO17" i="3" l="1"/>
  <c r="E18" i="3"/>
  <c r="BL12" i="3"/>
  <c r="G15" i="3"/>
  <c r="H13" i="3"/>
  <c r="AR16" i="3"/>
  <c r="AS17" i="3"/>
  <c r="BH13" i="3"/>
  <c r="AZ13" i="3"/>
  <c r="BE13" i="3"/>
  <c r="BC13" i="3"/>
  <c r="BJ13" i="3"/>
  <c r="BI13" i="3"/>
  <c r="BG13" i="3"/>
  <c r="BF13" i="3"/>
  <c r="AY14" i="3"/>
  <c r="BD13" i="3"/>
  <c r="BB13" i="3"/>
  <c r="BK13" i="3"/>
  <c r="BA13" i="3"/>
  <c r="BM11" i="3"/>
  <c r="AP11" i="3"/>
  <c r="G13" i="1"/>
  <c r="H12" i="1"/>
  <c r="E13" i="1"/>
  <c r="AM13" i="1" s="1"/>
  <c r="AN13" i="1" s="1"/>
  <c r="AS13" i="1"/>
  <c r="AR12" i="1"/>
  <c r="AY12" i="1"/>
  <c r="H14" i="3" l="1"/>
  <c r="BL13" i="3"/>
  <c r="G16" i="3"/>
  <c r="AO18" i="3"/>
  <c r="E19" i="3"/>
  <c r="BD14" i="3"/>
  <c r="BI14" i="3"/>
  <c r="BA14" i="3"/>
  <c r="BC14" i="3"/>
  <c r="BF14" i="3"/>
  <c r="BE14" i="3"/>
  <c r="AY15" i="3"/>
  <c r="BB14" i="3"/>
  <c r="AZ14" i="3"/>
  <c r="BG14" i="3"/>
  <c r="BK14" i="3"/>
  <c r="BJ14" i="3"/>
  <c r="BH14" i="3"/>
  <c r="AS18" i="3"/>
  <c r="AR17" i="3"/>
  <c r="BM12" i="3"/>
  <c r="AP12" i="3"/>
  <c r="G14" i="1"/>
  <c r="H13" i="1"/>
  <c r="E14" i="1"/>
  <c r="AM14" i="1" s="1"/>
  <c r="AN14" i="1" s="1"/>
  <c r="AS14" i="1"/>
  <c r="AR13" i="1"/>
  <c r="AY13" i="1"/>
  <c r="G17" i="3" l="1"/>
  <c r="BM13" i="3"/>
  <c r="AP13" i="3"/>
  <c r="AO19" i="3"/>
  <c r="E20" i="3"/>
  <c r="BL14" i="3"/>
  <c r="BH15" i="3"/>
  <c r="AZ15" i="3"/>
  <c r="BE15" i="3"/>
  <c r="BD15" i="3"/>
  <c r="BB15" i="3"/>
  <c r="BA15" i="3"/>
  <c r="BK15" i="3"/>
  <c r="AY16" i="3"/>
  <c r="BJ15" i="3"/>
  <c r="BI15" i="3"/>
  <c r="BG15" i="3"/>
  <c r="BF15" i="3"/>
  <c r="BC15" i="3"/>
  <c r="AR18" i="3"/>
  <c r="AS19" i="3"/>
  <c r="H15" i="3"/>
  <c r="G15" i="1"/>
  <c r="H14" i="1"/>
  <c r="E15" i="1"/>
  <c r="AM15" i="1" s="1"/>
  <c r="AN15" i="1" s="1"/>
  <c r="AY14" i="1"/>
  <c r="AS15" i="1"/>
  <c r="AR14" i="1"/>
  <c r="BD16" i="3" l="1"/>
  <c r="BI16" i="3"/>
  <c r="BA16" i="3"/>
  <c r="AY17" i="3"/>
  <c r="BG16" i="3"/>
  <c r="BF16" i="3"/>
  <c r="BE16" i="3"/>
  <c r="BC16" i="3"/>
  <c r="BB16" i="3"/>
  <c r="AZ16" i="3"/>
  <c r="BH16" i="3"/>
  <c r="BK16" i="3"/>
  <c r="BJ16" i="3"/>
  <c r="G18" i="3"/>
  <c r="H16" i="3"/>
  <c r="BM14" i="3"/>
  <c r="AP14" i="3"/>
  <c r="AO20" i="3"/>
  <c r="E21" i="3"/>
  <c r="AS20" i="3"/>
  <c r="AR19" i="3"/>
  <c r="BL15" i="3"/>
  <c r="G16" i="1"/>
  <c r="H15" i="1"/>
  <c r="E16" i="1"/>
  <c r="AM16" i="1" s="1"/>
  <c r="AN16" i="1" s="1"/>
  <c r="AY15" i="1"/>
  <c r="AS16" i="1"/>
  <c r="AR15" i="1"/>
  <c r="BM15" i="3" l="1"/>
  <c r="AP15" i="3"/>
  <c r="H17" i="3"/>
  <c r="BH17" i="3"/>
  <c r="AZ17" i="3"/>
  <c r="BE17" i="3"/>
  <c r="AY18" i="3"/>
  <c r="BJ17" i="3"/>
  <c r="BI17" i="3"/>
  <c r="BG17" i="3"/>
  <c r="BF17" i="3"/>
  <c r="BD17" i="3"/>
  <c r="BC17" i="3"/>
  <c r="BB17" i="3"/>
  <c r="BA17" i="3"/>
  <c r="BK17" i="3"/>
  <c r="BL16" i="3"/>
  <c r="AR20" i="3"/>
  <c r="AS21" i="3"/>
  <c r="E22" i="3"/>
  <c r="AO21" i="3"/>
  <c r="G19" i="3"/>
  <c r="G17" i="1"/>
  <c r="H16" i="1"/>
  <c r="E17" i="1"/>
  <c r="AM17" i="1" s="1"/>
  <c r="AN17" i="1" s="1"/>
  <c r="AS17" i="1"/>
  <c r="AR16" i="1"/>
  <c r="AY16" i="1"/>
  <c r="BL17" i="3" l="1"/>
  <c r="BD18" i="3"/>
  <c r="BI18" i="3"/>
  <c r="BA18" i="3"/>
  <c r="BJ18" i="3"/>
  <c r="AY19" i="3"/>
  <c r="BH18" i="3"/>
  <c r="BG18" i="3"/>
  <c r="BF18" i="3"/>
  <c r="BK18" i="3"/>
  <c r="BE18" i="3"/>
  <c r="BC18" i="3"/>
  <c r="BB18" i="3"/>
  <c r="AZ18" i="3"/>
  <c r="AO22" i="3"/>
  <c r="E23" i="3"/>
  <c r="AR21" i="3"/>
  <c r="AS22" i="3"/>
  <c r="G20" i="3"/>
  <c r="H18" i="3"/>
  <c r="BM16" i="3"/>
  <c r="AP16" i="3"/>
  <c r="G18" i="1"/>
  <c r="H17" i="1"/>
  <c r="E18" i="1"/>
  <c r="AM18" i="1" s="1"/>
  <c r="AN18" i="1" s="1"/>
  <c r="AY17" i="1"/>
  <c r="AS18" i="1"/>
  <c r="AR17" i="1"/>
  <c r="H19" i="3" l="1"/>
  <c r="BH19" i="3"/>
  <c r="AZ19" i="3"/>
  <c r="BE19" i="3"/>
  <c r="BK19" i="3"/>
  <c r="BA19" i="3"/>
  <c r="AY20" i="3"/>
  <c r="BJ19" i="3"/>
  <c r="BI19" i="3"/>
  <c r="BG19" i="3"/>
  <c r="BB19" i="3"/>
  <c r="BC19" i="3"/>
  <c r="BF19" i="3"/>
  <c r="BD19" i="3"/>
  <c r="G21" i="3"/>
  <c r="BM17" i="3"/>
  <c r="AP17" i="3"/>
  <c r="AR22" i="3"/>
  <c r="AS23" i="3"/>
  <c r="BL18" i="3"/>
  <c r="E24" i="3"/>
  <c r="AO23" i="3"/>
  <c r="G19" i="1"/>
  <c r="H18" i="1"/>
  <c r="E19" i="1"/>
  <c r="AM19" i="1" s="1"/>
  <c r="AN19" i="1" s="1"/>
  <c r="AY18" i="1"/>
  <c r="AS19" i="1"/>
  <c r="AR18" i="1"/>
  <c r="BM18" i="3" l="1"/>
  <c r="AP18" i="3"/>
  <c r="BD20" i="3"/>
  <c r="BI20" i="3"/>
  <c r="BA20" i="3"/>
  <c r="BB20" i="3"/>
  <c r="BK20" i="3"/>
  <c r="AZ20" i="3"/>
  <c r="BJ20" i="3"/>
  <c r="BH20" i="3"/>
  <c r="AY21" i="3"/>
  <c r="BG20" i="3"/>
  <c r="BC20" i="3"/>
  <c r="BF20" i="3"/>
  <c r="BE20" i="3"/>
  <c r="H20" i="3"/>
  <c r="BL19" i="3"/>
  <c r="E25" i="3"/>
  <c r="AO24" i="3"/>
  <c r="G22" i="3"/>
  <c r="AR23" i="3"/>
  <c r="AS24" i="3"/>
  <c r="G20" i="1"/>
  <c r="H19" i="1"/>
  <c r="E20" i="1"/>
  <c r="AM20" i="1" s="1"/>
  <c r="AN20" i="1" s="1"/>
  <c r="AS20" i="1"/>
  <c r="AR19" i="1"/>
  <c r="AY19" i="1"/>
  <c r="BL20" i="3" l="1"/>
  <c r="AO25" i="3"/>
  <c r="E26" i="3"/>
  <c r="G23" i="3"/>
  <c r="H21" i="3"/>
  <c r="AS25" i="3"/>
  <c r="AR24" i="3"/>
  <c r="BI21" i="3"/>
  <c r="BA21" i="3"/>
  <c r="BF21" i="3"/>
  <c r="BD21" i="3"/>
  <c r="BC21" i="3"/>
  <c r="BB21" i="3"/>
  <c r="BK21" i="3"/>
  <c r="AZ21" i="3"/>
  <c r="BJ21" i="3"/>
  <c r="BE21" i="3"/>
  <c r="AY22" i="3"/>
  <c r="BG21" i="3"/>
  <c r="BH21" i="3"/>
  <c r="BM19" i="3"/>
  <c r="AP19" i="3"/>
  <c r="G21" i="1"/>
  <c r="H20" i="1"/>
  <c r="E21" i="1"/>
  <c r="AM21" i="1" s="1"/>
  <c r="AN21" i="1" s="1"/>
  <c r="AY20" i="1"/>
  <c r="AS21" i="1"/>
  <c r="AR20" i="1"/>
  <c r="G24" i="3" l="1"/>
  <c r="BL21" i="3"/>
  <c r="AO26" i="3"/>
  <c r="E27" i="3"/>
  <c r="H22" i="3"/>
  <c r="BE22" i="3"/>
  <c r="BJ22" i="3"/>
  <c r="BB22" i="3"/>
  <c r="BF22" i="3"/>
  <c r="BD22" i="3"/>
  <c r="BC22" i="3"/>
  <c r="BA22" i="3"/>
  <c r="BK22" i="3"/>
  <c r="AZ22" i="3"/>
  <c r="BH22" i="3"/>
  <c r="AY23" i="3"/>
  <c r="BI22" i="3"/>
  <c r="BG22" i="3"/>
  <c r="BM20" i="3"/>
  <c r="AP20" i="3"/>
  <c r="AS26" i="3"/>
  <c r="AR25" i="3"/>
  <c r="G22" i="1"/>
  <c r="H21" i="1"/>
  <c r="E22" i="1"/>
  <c r="AM22" i="1" s="1"/>
  <c r="AN22" i="1" s="1"/>
  <c r="AY21" i="1"/>
  <c r="AS22" i="1"/>
  <c r="AR21" i="1"/>
  <c r="AR26" i="3" l="1"/>
  <c r="AS27" i="3"/>
  <c r="H23" i="3"/>
  <c r="G25" i="3"/>
  <c r="BL22" i="3"/>
  <c r="BI23" i="3"/>
  <c r="BA23" i="3"/>
  <c r="BH23" i="3"/>
  <c r="AZ23" i="3"/>
  <c r="BF23" i="3"/>
  <c r="AY24" i="3"/>
  <c r="BK23" i="3"/>
  <c r="BJ23" i="3"/>
  <c r="BG23" i="3"/>
  <c r="BE23" i="3"/>
  <c r="BD23" i="3"/>
  <c r="BB23" i="3"/>
  <c r="BC23" i="3"/>
  <c r="BM21" i="3"/>
  <c r="AP21" i="3"/>
  <c r="E28" i="3"/>
  <c r="AO27" i="3"/>
  <c r="G23" i="1"/>
  <c r="H22" i="1"/>
  <c r="E23" i="1"/>
  <c r="AM23" i="1" s="1"/>
  <c r="AN23" i="1" s="1"/>
  <c r="AS23" i="1"/>
  <c r="AR22" i="1"/>
  <c r="AY22" i="1"/>
  <c r="BL23" i="3" l="1"/>
  <c r="H24" i="3"/>
  <c r="E29" i="3"/>
  <c r="AO28" i="3"/>
  <c r="AS28" i="3"/>
  <c r="AR27" i="3"/>
  <c r="BM22" i="3"/>
  <c r="AP22" i="3"/>
  <c r="BF24" i="3"/>
  <c r="BE24" i="3"/>
  <c r="BK24" i="3"/>
  <c r="BC24" i="3"/>
  <c r="BJ24" i="3"/>
  <c r="BI24" i="3"/>
  <c r="BH24" i="3"/>
  <c r="BG24" i="3"/>
  <c r="BD24" i="3"/>
  <c r="BA24" i="3"/>
  <c r="AY25" i="3"/>
  <c r="BB24" i="3"/>
  <c r="AZ24" i="3"/>
  <c r="G26" i="3"/>
  <c r="G24" i="1"/>
  <c r="H23" i="1"/>
  <c r="E24" i="1"/>
  <c r="AM24" i="1" s="1"/>
  <c r="AN24" i="1" s="1"/>
  <c r="AY23" i="1"/>
  <c r="AS24" i="1"/>
  <c r="AR23" i="1"/>
  <c r="H25" i="3" l="1"/>
  <c r="E30" i="3"/>
  <c r="AO29" i="3"/>
  <c r="BK25" i="3"/>
  <c r="BC25" i="3"/>
  <c r="AY26" i="3"/>
  <c r="BJ25" i="3"/>
  <c r="BB25" i="3"/>
  <c r="BH25" i="3"/>
  <c r="AZ25" i="3"/>
  <c r="BI25" i="3"/>
  <c r="BG25" i="3"/>
  <c r="BF25" i="3"/>
  <c r="BE25" i="3"/>
  <c r="BA25" i="3"/>
  <c r="BD25" i="3"/>
  <c r="BM23" i="3"/>
  <c r="AP23" i="3"/>
  <c r="AR28" i="3"/>
  <c r="AS29" i="3"/>
  <c r="G27" i="3"/>
  <c r="BL24" i="3"/>
  <c r="G25" i="1"/>
  <c r="H24" i="1"/>
  <c r="E25" i="1"/>
  <c r="AM25" i="1" s="1"/>
  <c r="AN25" i="1" s="1"/>
  <c r="AS25" i="1"/>
  <c r="AR24" i="1"/>
  <c r="AY24" i="1"/>
  <c r="AO30" i="3" l="1"/>
  <c r="E31" i="3"/>
  <c r="BL25" i="3"/>
  <c r="BM24" i="3"/>
  <c r="AP24" i="3"/>
  <c r="BI26" i="3"/>
  <c r="BA26" i="3"/>
  <c r="BH26" i="3"/>
  <c r="AZ26" i="3"/>
  <c r="BG26" i="3"/>
  <c r="BE26" i="3"/>
  <c r="BJ26" i="3"/>
  <c r="BF26" i="3"/>
  <c r="BD26" i="3"/>
  <c r="AY27" i="3"/>
  <c r="BC26" i="3"/>
  <c r="BB26" i="3"/>
  <c r="BK26" i="3"/>
  <c r="G28" i="3"/>
  <c r="AR29" i="3"/>
  <c r="AS30" i="3"/>
  <c r="H26" i="3"/>
  <c r="G26" i="1"/>
  <c r="H25" i="1"/>
  <c r="E26" i="1"/>
  <c r="AM26" i="1" s="1"/>
  <c r="AN26" i="1" s="1"/>
  <c r="AY25" i="1"/>
  <c r="AS26" i="1"/>
  <c r="AR25" i="1"/>
  <c r="G29" i="3" l="1"/>
  <c r="BM25" i="3"/>
  <c r="AP25" i="3"/>
  <c r="BL26" i="3"/>
  <c r="E32" i="3"/>
  <c r="AO31" i="3"/>
  <c r="H27" i="3"/>
  <c r="AS31" i="3"/>
  <c r="AR30" i="3"/>
  <c r="BF27" i="3"/>
  <c r="BE27" i="3"/>
  <c r="BD27" i="3"/>
  <c r="AY28" i="3"/>
  <c r="BJ27" i="3"/>
  <c r="BB27" i="3"/>
  <c r="BC27" i="3"/>
  <c r="BA27" i="3"/>
  <c r="AZ27" i="3"/>
  <c r="BK27" i="3"/>
  <c r="BH27" i="3"/>
  <c r="BI27" i="3"/>
  <c r="BG27" i="3"/>
  <c r="G27" i="1"/>
  <c r="H26" i="1"/>
  <c r="E27" i="1"/>
  <c r="AM27" i="1" s="1"/>
  <c r="AN27" i="1" s="1"/>
  <c r="AS27" i="1"/>
  <c r="AR26" i="1"/>
  <c r="AY26" i="1"/>
  <c r="AR31" i="3" l="1"/>
  <c r="AS32" i="3"/>
  <c r="E33" i="3"/>
  <c r="AO32" i="3"/>
  <c r="BK28" i="3"/>
  <c r="BC28" i="3"/>
  <c r="AY29" i="3"/>
  <c r="BJ28" i="3"/>
  <c r="BB28" i="3"/>
  <c r="BI28" i="3"/>
  <c r="BA28" i="3"/>
  <c r="BG28" i="3"/>
  <c r="AZ28" i="3"/>
  <c r="BH28" i="3"/>
  <c r="BE28" i="3"/>
  <c r="BF28" i="3"/>
  <c r="BD28" i="3"/>
  <c r="H28" i="3"/>
  <c r="BM26" i="3"/>
  <c r="AP26" i="3"/>
  <c r="BL27" i="3"/>
  <c r="G30" i="3"/>
  <c r="G28" i="1"/>
  <c r="H27" i="1"/>
  <c r="E28" i="1"/>
  <c r="AM28" i="1" s="1"/>
  <c r="AN28" i="1" s="1"/>
  <c r="AY27" i="1"/>
  <c r="AS28" i="1"/>
  <c r="AR27" i="1"/>
  <c r="BH29" i="3" l="1"/>
  <c r="AZ29" i="3"/>
  <c r="BG29" i="3"/>
  <c r="BF29" i="3"/>
  <c r="BD29" i="3"/>
  <c r="BK29" i="3"/>
  <c r="BJ29" i="3"/>
  <c r="BI29" i="3"/>
  <c r="AY30" i="3"/>
  <c r="BE29" i="3"/>
  <c r="BC29" i="3"/>
  <c r="BA29" i="3"/>
  <c r="BB29" i="3"/>
  <c r="BL28" i="3"/>
  <c r="BM27" i="3"/>
  <c r="AP27" i="3"/>
  <c r="G31" i="3"/>
  <c r="H29" i="3"/>
  <c r="AO33" i="3"/>
  <c r="E34" i="3"/>
  <c r="AS33" i="3"/>
  <c r="AR32" i="3"/>
  <c r="G29" i="1"/>
  <c r="H28" i="1"/>
  <c r="E29" i="1"/>
  <c r="AM29" i="1" s="1"/>
  <c r="AN29" i="1" s="1"/>
  <c r="AS29" i="1"/>
  <c r="AR28" i="1"/>
  <c r="AY28" i="1"/>
  <c r="BE30" i="3" l="1"/>
  <c r="BD30" i="3"/>
  <c r="BK30" i="3"/>
  <c r="BC30" i="3"/>
  <c r="BI30" i="3"/>
  <c r="BA30" i="3"/>
  <c r="BF30" i="3"/>
  <c r="AY31" i="3"/>
  <c r="BB30" i="3"/>
  <c r="AZ30" i="3"/>
  <c r="BH30" i="3"/>
  <c r="BJ30" i="3"/>
  <c r="BG30" i="3"/>
  <c r="AR33" i="3"/>
  <c r="AS34" i="3"/>
  <c r="E35" i="3"/>
  <c r="AO34" i="3"/>
  <c r="G32" i="3"/>
  <c r="BM28" i="3"/>
  <c r="AP28" i="3"/>
  <c r="H30" i="3"/>
  <c r="BL29" i="3"/>
  <c r="G30" i="1"/>
  <c r="H29" i="1"/>
  <c r="E30" i="1"/>
  <c r="AM30" i="1" s="1"/>
  <c r="AN30" i="1" s="1"/>
  <c r="AY29" i="1"/>
  <c r="AS30" i="1"/>
  <c r="AR29" i="1"/>
  <c r="G33" i="3" l="1"/>
  <c r="E36" i="3"/>
  <c r="AO35" i="3"/>
  <c r="H31" i="3"/>
  <c r="AY32" i="3"/>
  <c r="BJ31" i="3"/>
  <c r="BB31" i="3"/>
  <c r="BI31" i="3"/>
  <c r="BA31" i="3"/>
  <c r="BH31" i="3"/>
  <c r="AZ31" i="3"/>
  <c r="BF31" i="3"/>
  <c r="BC31" i="3"/>
  <c r="BK31" i="3"/>
  <c r="BE31" i="3"/>
  <c r="BD31" i="3"/>
  <c r="BG31" i="3"/>
  <c r="AS35" i="3"/>
  <c r="AR34" i="3"/>
  <c r="BL30" i="3"/>
  <c r="BM29" i="3"/>
  <c r="AP29" i="3"/>
  <c r="G31" i="1"/>
  <c r="H30" i="1"/>
  <c r="E31" i="1"/>
  <c r="AM31" i="1" s="1"/>
  <c r="AN31" i="1" s="1"/>
  <c r="AS31" i="1"/>
  <c r="AR30" i="1"/>
  <c r="AY30" i="1"/>
  <c r="E37" i="3" l="1"/>
  <c r="AO36" i="3"/>
  <c r="BM30" i="3"/>
  <c r="AP30" i="3"/>
  <c r="BG32" i="3"/>
  <c r="BF32" i="3"/>
  <c r="BE32" i="3"/>
  <c r="BK32" i="3"/>
  <c r="BC32" i="3"/>
  <c r="AZ32" i="3"/>
  <c r="BJ32" i="3"/>
  <c r="BI32" i="3"/>
  <c r="BH32" i="3"/>
  <c r="BB32" i="3"/>
  <c r="BD32" i="3"/>
  <c r="AY33" i="3"/>
  <c r="BA32" i="3"/>
  <c r="BL31" i="3"/>
  <c r="H32" i="3"/>
  <c r="AR35" i="3"/>
  <c r="AS36" i="3"/>
  <c r="G34" i="3"/>
  <c r="G32" i="1"/>
  <c r="H31" i="1"/>
  <c r="E32" i="1"/>
  <c r="AM32" i="1" s="1"/>
  <c r="AN32" i="1" s="1"/>
  <c r="AY31" i="1"/>
  <c r="AS32" i="1"/>
  <c r="AR31" i="1"/>
  <c r="BL32" i="3" l="1"/>
  <c r="H33" i="3"/>
  <c r="G35" i="3"/>
  <c r="BD33" i="3"/>
  <c r="AY34" i="3"/>
  <c r="BK33" i="3"/>
  <c r="BC33" i="3"/>
  <c r="BJ33" i="3"/>
  <c r="BB33" i="3"/>
  <c r="BH33" i="3"/>
  <c r="AZ33" i="3"/>
  <c r="BI33" i="3"/>
  <c r="BG33" i="3"/>
  <c r="BF33" i="3"/>
  <c r="BE33" i="3"/>
  <c r="BA33" i="3"/>
  <c r="E38" i="3"/>
  <c r="AO37" i="3"/>
  <c r="BM31" i="3"/>
  <c r="AP31" i="3"/>
  <c r="AS37" i="3"/>
  <c r="AR36" i="3"/>
  <c r="G33" i="1"/>
  <c r="H32" i="1"/>
  <c r="E33" i="1"/>
  <c r="AM33" i="1" s="1"/>
  <c r="AN33" i="1" s="1"/>
  <c r="AS33" i="1"/>
  <c r="AR32" i="1"/>
  <c r="AY32" i="1"/>
  <c r="G36" i="3" l="1"/>
  <c r="AS38" i="3"/>
  <c r="AR37" i="3"/>
  <c r="BH34" i="3"/>
  <c r="AZ34" i="3"/>
  <c r="BG34" i="3"/>
  <c r="BF34" i="3"/>
  <c r="BD34" i="3"/>
  <c r="BC34" i="3"/>
  <c r="BB34" i="3"/>
  <c r="BA34" i="3"/>
  <c r="BK34" i="3"/>
  <c r="AY35" i="3"/>
  <c r="BI34" i="3"/>
  <c r="BE34" i="3"/>
  <c r="BJ34" i="3"/>
  <c r="H34" i="3"/>
  <c r="BM32" i="3"/>
  <c r="AP32" i="3"/>
  <c r="E39" i="3"/>
  <c r="AO38" i="3"/>
  <c r="BL33" i="3"/>
  <c r="G34" i="1"/>
  <c r="H33" i="1"/>
  <c r="E34" i="1"/>
  <c r="AM34" i="1" s="1"/>
  <c r="AN34" i="1" s="1"/>
  <c r="AY33" i="1"/>
  <c r="AS34" i="1"/>
  <c r="AR33" i="1"/>
  <c r="BL34" i="3" l="1"/>
  <c r="BD35" i="3"/>
  <c r="AY36" i="3"/>
  <c r="BK35" i="3"/>
  <c r="BC35" i="3"/>
  <c r="BJ35" i="3"/>
  <c r="BB35" i="3"/>
  <c r="BH35" i="3"/>
  <c r="AZ35" i="3"/>
  <c r="BI35" i="3"/>
  <c r="BG35" i="3"/>
  <c r="BF35" i="3"/>
  <c r="BE35" i="3"/>
  <c r="BA35" i="3"/>
  <c r="AS39" i="3"/>
  <c r="AR38" i="3"/>
  <c r="BM33" i="3"/>
  <c r="AP33" i="3"/>
  <c r="H35" i="3"/>
  <c r="AO39" i="3"/>
  <c r="E40" i="3"/>
  <c r="G37" i="3"/>
  <c r="G35" i="1"/>
  <c r="H34" i="1"/>
  <c r="E35" i="1"/>
  <c r="AM35" i="1" s="1"/>
  <c r="AN35" i="1" s="1"/>
  <c r="AS35" i="1"/>
  <c r="AR34" i="1"/>
  <c r="AY34" i="1"/>
  <c r="BL35" i="3" l="1"/>
  <c r="AS40" i="3"/>
  <c r="AR39" i="3"/>
  <c r="H36" i="3"/>
  <c r="G38" i="3"/>
  <c r="E41" i="3"/>
  <c r="AO40" i="3"/>
  <c r="BH36" i="3"/>
  <c r="AZ36" i="3"/>
  <c r="BG36" i="3"/>
  <c r="BF36" i="3"/>
  <c r="BD36" i="3"/>
  <c r="AY37" i="3"/>
  <c r="BE36" i="3"/>
  <c r="BC36" i="3"/>
  <c r="BB36" i="3"/>
  <c r="BA36" i="3"/>
  <c r="BJ36" i="3"/>
  <c r="BK36" i="3"/>
  <c r="BI36" i="3"/>
  <c r="BM34" i="3"/>
  <c r="AP34" i="3"/>
  <c r="G36" i="1"/>
  <c r="H35" i="1"/>
  <c r="E36" i="1"/>
  <c r="AM36" i="1" s="1"/>
  <c r="AN36" i="1" s="1"/>
  <c r="AY35" i="1"/>
  <c r="AS36" i="1"/>
  <c r="AR35" i="1"/>
  <c r="AR40" i="3" l="1"/>
  <c r="AS41" i="3"/>
  <c r="G39" i="3"/>
  <c r="BD37" i="3"/>
  <c r="AY38" i="3"/>
  <c r="BK37" i="3"/>
  <c r="BC37" i="3"/>
  <c r="BJ37" i="3"/>
  <c r="BB37" i="3"/>
  <c r="BH37" i="3"/>
  <c r="AZ37" i="3"/>
  <c r="BI37" i="3"/>
  <c r="BG37" i="3"/>
  <c r="BE37" i="3"/>
  <c r="BF37" i="3"/>
  <c r="BA37" i="3"/>
  <c r="AO41" i="3"/>
  <c r="E42" i="3"/>
  <c r="H37" i="3"/>
  <c r="BL36" i="3"/>
  <c r="BM35" i="3"/>
  <c r="AP35" i="3"/>
  <c r="G37" i="1"/>
  <c r="H36" i="1"/>
  <c r="E37" i="1"/>
  <c r="AM37" i="1" s="1"/>
  <c r="AN37" i="1" s="1"/>
  <c r="AS37" i="1"/>
  <c r="AR36" i="1"/>
  <c r="AY36" i="1"/>
  <c r="BL37" i="3" l="1"/>
  <c r="G40" i="3"/>
  <c r="H38" i="3"/>
  <c r="AS42" i="3"/>
  <c r="AR41" i="3"/>
  <c r="E43" i="3"/>
  <c r="AO42" i="3"/>
  <c r="BM36" i="3"/>
  <c r="AP36" i="3"/>
  <c r="BH38" i="3"/>
  <c r="AZ38" i="3"/>
  <c r="BG38" i="3"/>
  <c r="BF38" i="3"/>
  <c r="BD38" i="3"/>
  <c r="BJ38" i="3"/>
  <c r="AY39" i="3"/>
  <c r="BI38" i="3"/>
  <c r="BE38" i="3"/>
  <c r="BC38" i="3"/>
  <c r="BB38" i="3"/>
  <c r="BK38" i="3"/>
  <c r="BA38" i="3"/>
  <c r="G38" i="1"/>
  <c r="H37" i="1"/>
  <c r="E38" i="1"/>
  <c r="AM38" i="1" s="1"/>
  <c r="AN38" i="1" s="1"/>
  <c r="AY37" i="1"/>
  <c r="AS38" i="1"/>
  <c r="AR37" i="1"/>
  <c r="BD39" i="3" l="1"/>
  <c r="AY40" i="3"/>
  <c r="BK39" i="3"/>
  <c r="BC39" i="3"/>
  <c r="BJ39" i="3"/>
  <c r="BB39" i="3"/>
  <c r="BH39" i="3"/>
  <c r="AZ39" i="3"/>
  <c r="BA39" i="3"/>
  <c r="BI39" i="3"/>
  <c r="BF39" i="3"/>
  <c r="BG39" i="3"/>
  <c r="BE39" i="3"/>
  <c r="H39" i="3"/>
  <c r="E44" i="3"/>
  <c r="AO43" i="3"/>
  <c r="BM37" i="3"/>
  <c r="AP37" i="3"/>
  <c r="BL38" i="3"/>
  <c r="G41" i="3"/>
  <c r="AR42" i="3"/>
  <c r="AS43" i="3"/>
  <c r="G39" i="1"/>
  <c r="H38" i="1"/>
  <c r="E39" i="1"/>
  <c r="AM39" i="1" s="1"/>
  <c r="AN39" i="1" s="1"/>
  <c r="AS39" i="1"/>
  <c r="AR38" i="1"/>
  <c r="AY38" i="1"/>
  <c r="AO44" i="3" l="1"/>
  <c r="E45" i="3"/>
  <c r="BL39" i="3"/>
  <c r="H40" i="3"/>
  <c r="AS44" i="3"/>
  <c r="AR43" i="3"/>
  <c r="BM38" i="3"/>
  <c r="AP38" i="3"/>
  <c r="G42" i="3"/>
  <c r="BH40" i="3"/>
  <c r="AZ40" i="3"/>
  <c r="BG40" i="3"/>
  <c r="BF40" i="3"/>
  <c r="BD40" i="3"/>
  <c r="BK40" i="3"/>
  <c r="BJ40" i="3"/>
  <c r="BI40" i="3"/>
  <c r="AY41" i="3"/>
  <c r="BE40" i="3"/>
  <c r="BC40" i="3"/>
  <c r="BA40" i="3"/>
  <c r="BB40" i="3"/>
  <c r="G40" i="1"/>
  <c r="H39" i="1"/>
  <c r="E40" i="1"/>
  <c r="AM40" i="1" s="1"/>
  <c r="AN40" i="1" s="1"/>
  <c r="AY39" i="1"/>
  <c r="AS40" i="1"/>
  <c r="AR39" i="1"/>
  <c r="AR44" i="3" l="1"/>
  <c r="AS45" i="3"/>
  <c r="H41" i="3"/>
  <c r="BM39" i="3"/>
  <c r="AP39" i="3"/>
  <c r="BL40" i="3"/>
  <c r="AO45" i="3"/>
  <c r="E46" i="3"/>
  <c r="G43" i="3"/>
  <c r="BE41" i="3"/>
  <c r="BD41" i="3"/>
  <c r="BK41" i="3"/>
  <c r="BC41" i="3"/>
  <c r="BI41" i="3"/>
  <c r="BA41" i="3"/>
  <c r="BF41" i="3"/>
  <c r="AY42" i="3"/>
  <c r="BB41" i="3"/>
  <c r="AZ41" i="3"/>
  <c r="BH41" i="3"/>
  <c r="BJ41" i="3"/>
  <c r="BG41" i="3"/>
  <c r="G41" i="1"/>
  <c r="H40" i="1"/>
  <c r="E41" i="1"/>
  <c r="AM41" i="1" s="1"/>
  <c r="AN41" i="1" s="1"/>
  <c r="AS41" i="1"/>
  <c r="AR40" i="1"/>
  <c r="AY40" i="1"/>
  <c r="AY43" i="3" l="1"/>
  <c r="BJ42" i="3"/>
  <c r="BB42" i="3"/>
  <c r="BI42" i="3"/>
  <c r="BA42" i="3"/>
  <c r="BH42" i="3"/>
  <c r="AZ42" i="3"/>
  <c r="BF42" i="3"/>
  <c r="BC42" i="3"/>
  <c r="BK42" i="3"/>
  <c r="BE42" i="3"/>
  <c r="BG42" i="3"/>
  <c r="BD42" i="3"/>
  <c r="H42" i="3"/>
  <c r="BM40" i="3"/>
  <c r="AP40" i="3"/>
  <c r="BL41" i="3"/>
  <c r="G44" i="3"/>
  <c r="E47" i="3"/>
  <c r="AO46" i="3"/>
  <c r="AR45" i="3"/>
  <c r="AS46" i="3"/>
  <c r="G42" i="1"/>
  <c r="H41" i="1"/>
  <c r="E42" i="1"/>
  <c r="AM42" i="1" s="1"/>
  <c r="AN42" i="1" s="1"/>
  <c r="AY41" i="1"/>
  <c r="AS42" i="1"/>
  <c r="AR41" i="1"/>
  <c r="BL42" i="3" l="1"/>
  <c r="G45" i="3"/>
  <c r="BM41" i="3"/>
  <c r="AP41" i="3"/>
  <c r="E48" i="3"/>
  <c r="AO47" i="3"/>
  <c r="H43" i="3"/>
  <c r="AS47" i="3"/>
  <c r="AR46" i="3"/>
  <c r="BG43" i="3"/>
  <c r="BF43" i="3"/>
  <c r="BE43" i="3"/>
  <c r="BK43" i="3"/>
  <c r="BC43" i="3"/>
  <c r="AZ43" i="3"/>
  <c r="BJ43" i="3"/>
  <c r="BI43" i="3"/>
  <c r="BH43" i="3"/>
  <c r="BB43" i="3"/>
  <c r="AY44" i="3"/>
  <c r="BA43" i="3"/>
  <c r="BD43" i="3"/>
  <c r="G43" i="1"/>
  <c r="H42" i="1"/>
  <c r="E43" i="1"/>
  <c r="AM43" i="1" s="1"/>
  <c r="AN43" i="1" s="1"/>
  <c r="AS43" i="1"/>
  <c r="AR42" i="1"/>
  <c r="AY42" i="1"/>
  <c r="BL43" i="3" l="1"/>
  <c r="BM42" i="3"/>
  <c r="AP42" i="3"/>
  <c r="H44" i="3"/>
  <c r="BD44" i="3"/>
  <c r="BK44" i="3"/>
  <c r="BC44" i="3"/>
  <c r="AY45" i="3"/>
  <c r="BJ44" i="3"/>
  <c r="BB44" i="3"/>
  <c r="BH44" i="3"/>
  <c r="AZ44" i="3"/>
  <c r="BI44" i="3"/>
  <c r="BG44" i="3"/>
  <c r="BF44" i="3"/>
  <c r="BE44" i="3"/>
  <c r="BA44" i="3"/>
  <c r="G46" i="3"/>
  <c r="AR47" i="3"/>
  <c r="AS48" i="3"/>
  <c r="E49" i="3"/>
  <c r="AO48" i="3"/>
  <c r="G44" i="1"/>
  <c r="H43" i="1"/>
  <c r="E44" i="1"/>
  <c r="AM44" i="1" s="1"/>
  <c r="AN44" i="1" s="1"/>
  <c r="AY43" i="1"/>
  <c r="AS44" i="1"/>
  <c r="AR43" i="1"/>
  <c r="AR48" i="3" l="1"/>
  <c r="AS49" i="3"/>
  <c r="H45" i="3"/>
  <c r="BL44" i="3"/>
  <c r="BI45" i="3"/>
  <c r="BA45" i="3"/>
  <c r="BH45" i="3"/>
  <c r="AZ45" i="3"/>
  <c r="BG45" i="3"/>
  <c r="BE45" i="3"/>
  <c r="BF45" i="3"/>
  <c r="BD45" i="3"/>
  <c r="AY46" i="3"/>
  <c r="BC45" i="3"/>
  <c r="BB45" i="3"/>
  <c r="BK45" i="3"/>
  <c r="BJ45" i="3"/>
  <c r="G47" i="3"/>
  <c r="AO49" i="3"/>
  <c r="E50" i="3"/>
  <c r="BM43" i="3"/>
  <c r="AP43" i="3"/>
  <c r="G45" i="1"/>
  <c r="H44" i="1"/>
  <c r="E45" i="1"/>
  <c r="AM45" i="1" s="1"/>
  <c r="AN45" i="1" s="1"/>
  <c r="AS45" i="1"/>
  <c r="AR44" i="1"/>
  <c r="AY44" i="1"/>
  <c r="BF46" i="3" l="1"/>
  <c r="BE46" i="3"/>
  <c r="BD46" i="3"/>
  <c r="AY47" i="3"/>
  <c r="BJ46" i="3"/>
  <c r="BB46" i="3"/>
  <c r="BA46" i="3"/>
  <c r="AZ46" i="3"/>
  <c r="BK46" i="3"/>
  <c r="BI46" i="3"/>
  <c r="BG46" i="3"/>
  <c r="BH46" i="3"/>
  <c r="BC46" i="3"/>
  <c r="BM44" i="3"/>
  <c r="AP44" i="3"/>
  <c r="G48" i="3"/>
  <c r="E51" i="3"/>
  <c r="AO50" i="3"/>
  <c r="BL45" i="3"/>
  <c r="H46" i="3"/>
  <c r="AS50" i="3"/>
  <c r="AR49" i="3"/>
  <c r="G46" i="1"/>
  <c r="H45" i="1"/>
  <c r="E46" i="1"/>
  <c r="AM46" i="1" s="1"/>
  <c r="AN46" i="1" s="1"/>
  <c r="AY45" i="1"/>
  <c r="AS46" i="1"/>
  <c r="AR45" i="1"/>
  <c r="BL46" i="3" l="1"/>
  <c r="AR50" i="3"/>
  <c r="AS51" i="3"/>
  <c r="BM45" i="3"/>
  <c r="AP45" i="3"/>
  <c r="E52" i="3"/>
  <c r="AO51" i="3"/>
  <c r="BK47" i="3"/>
  <c r="BC47" i="3"/>
  <c r="AY48" i="3"/>
  <c r="BJ47" i="3"/>
  <c r="BB47" i="3"/>
  <c r="BI47" i="3"/>
  <c r="BA47" i="3"/>
  <c r="BG47" i="3"/>
  <c r="BH47" i="3"/>
  <c r="BF47" i="3"/>
  <c r="BD47" i="3"/>
  <c r="BE47" i="3"/>
  <c r="AZ47" i="3"/>
  <c r="H47" i="3"/>
  <c r="G49" i="3"/>
  <c r="G47" i="1"/>
  <c r="H46" i="1"/>
  <c r="E47" i="1"/>
  <c r="AM47" i="1" s="1"/>
  <c r="AN47" i="1" s="1"/>
  <c r="AS47" i="1"/>
  <c r="AR46" i="1"/>
  <c r="AY46" i="1"/>
  <c r="BL47" i="3" l="1"/>
  <c r="AS52" i="3"/>
  <c r="AR51" i="3"/>
  <c r="H48" i="3"/>
  <c r="E53" i="3"/>
  <c r="AO52" i="3"/>
  <c r="BM46" i="3"/>
  <c r="AP46" i="3"/>
  <c r="G50" i="3"/>
  <c r="BH48" i="3"/>
  <c r="AZ48" i="3"/>
  <c r="BG48" i="3"/>
  <c r="BF48" i="3"/>
  <c r="BD48" i="3"/>
  <c r="BJ48" i="3"/>
  <c r="BI48" i="3"/>
  <c r="AY49" i="3"/>
  <c r="BE48" i="3"/>
  <c r="BC48" i="3"/>
  <c r="BB48" i="3"/>
  <c r="BK48" i="3"/>
  <c r="BA48" i="3"/>
  <c r="G48" i="1"/>
  <c r="H47" i="1"/>
  <c r="E48" i="1"/>
  <c r="AM48" i="1" s="1"/>
  <c r="AN48" i="1" s="1"/>
  <c r="AY47" i="1"/>
  <c r="AS48" i="1"/>
  <c r="AR47" i="1"/>
  <c r="AO53" i="3" l="1"/>
  <c r="E54" i="3"/>
  <c r="BL48" i="3"/>
  <c r="G51" i="3"/>
  <c r="H49" i="3"/>
  <c r="AR52" i="3"/>
  <c r="AS53" i="3"/>
  <c r="BE49" i="3"/>
  <c r="BD49" i="3"/>
  <c r="BK49" i="3"/>
  <c r="BC49" i="3"/>
  <c r="BI49" i="3"/>
  <c r="BA49" i="3"/>
  <c r="BH49" i="3"/>
  <c r="BB49" i="3"/>
  <c r="AZ49" i="3"/>
  <c r="AY50" i="3"/>
  <c r="BG49" i="3"/>
  <c r="BJ49" i="3"/>
  <c r="BF49" i="3"/>
  <c r="BM47" i="3"/>
  <c r="AP47" i="3"/>
  <c r="G49" i="1"/>
  <c r="H48" i="1"/>
  <c r="E49" i="1"/>
  <c r="AM49" i="1" s="1"/>
  <c r="AN49" i="1" s="1"/>
  <c r="AS49" i="1"/>
  <c r="AR48" i="1"/>
  <c r="AY48" i="1"/>
  <c r="G52" i="3" l="1"/>
  <c r="AY51" i="3"/>
  <c r="BJ50" i="3"/>
  <c r="BB50" i="3"/>
  <c r="BI50" i="3"/>
  <c r="BA50" i="3"/>
  <c r="BH50" i="3"/>
  <c r="AZ50" i="3"/>
  <c r="BF50" i="3"/>
  <c r="BE50" i="3"/>
  <c r="BG50" i="3"/>
  <c r="BD50" i="3"/>
  <c r="BC50" i="3"/>
  <c r="BK50" i="3"/>
  <c r="H50" i="3"/>
  <c r="BM48" i="3"/>
  <c r="AP48" i="3"/>
  <c r="E55" i="3"/>
  <c r="AO54" i="3"/>
  <c r="BL49" i="3"/>
  <c r="AR53" i="3"/>
  <c r="AS54" i="3"/>
  <c r="G50" i="1"/>
  <c r="H49" i="1"/>
  <c r="E50" i="1"/>
  <c r="AM50" i="1" s="1"/>
  <c r="AN50" i="1" s="1"/>
  <c r="AY49" i="1"/>
  <c r="AS50" i="1"/>
  <c r="AR49" i="1"/>
  <c r="BG51" i="3" l="1"/>
  <c r="BF51" i="3"/>
  <c r="BE51" i="3"/>
  <c r="BK51" i="3"/>
  <c r="BC51" i="3"/>
  <c r="BB51" i="3"/>
  <c r="BJ51" i="3"/>
  <c r="BI51" i="3"/>
  <c r="BH51" i="3"/>
  <c r="BD51" i="3"/>
  <c r="BA51" i="3"/>
  <c r="AY52" i="3"/>
  <c r="AZ51" i="3"/>
  <c r="H51" i="3"/>
  <c r="G53" i="3"/>
  <c r="AS55" i="3"/>
  <c r="AR54" i="3"/>
  <c r="BL50" i="3"/>
  <c r="BM49" i="3"/>
  <c r="AP49" i="3"/>
  <c r="E56" i="3"/>
  <c r="AO55" i="3"/>
  <c r="G51" i="1"/>
  <c r="H50" i="1"/>
  <c r="E51" i="1"/>
  <c r="AM51" i="1" s="1"/>
  <c r="AN51" i="1" s="1"/>
  <c r="AS51" i="1"/>
  <c r="AR50" i="1"/>
  <c r="AY50" i="1"/>
  <c r="BM50" i="3" l="1"/>
  <c r="AP50" i="3"/>
  <c r="H52" i="3"/>
  <c r="BL51" i="3"/>
  <c r="AR55" i="3"/>
  <c r="AS56" i="3"/>
  <c r="BD52" i="3"/>
  <c r="BK52" i="3"/>
  <c r="BC52" i="3"/>
  <c r="AY53" i="3"/>
  <c r="BJ52" i="3"/>
  <c r="BB52" i="3"/>
  <c r="BH52" i="3"/>
  <c r="AZ52" i="3"/>
  <c r="BI52" i="3"/>
  <c r="BG52" i="3"/>
  <c r="BF52" i="3"/>
  <c r="BE52" i="3"/>
  <c r="BA52" i="3"/>
  <c r="E57" i="3"/>
  <c r="AO56" i="3"/>
  <c r="G54" i="3"/>
  <c r="G52" i="1"/>
  <c r="H51" i="1"/>
  <c r="E52" i="1"/>
  <c r="AM52" i="1" s="1"/>
  <c r="AN52" i="1" s="1"/>
  <c r="AY51" i="1"/>
  <c r="AS52" i="1"/>
  <c r="AR51" i="1"/>
  <c r="BI53" i="3" l="1"/>
  <c r="BA53" i="3"/>
  <c r="BH53" i="3"/>
  <c r="AZ53" i="3"/>
  <c r="BG53" i="3"/>
  <c r="BE53" i="3"/>
  <c r="BK53" i="3"/>
  <c r="AY54" i="3"/>
  <c r="BJ53" i="3"/>
  <c r="BF53" i="3"/>
  <c r="BC53" i="3"/>
  <c r="BD53" i="3"/>
  <c r="BB53" i="3"/>
  <c r="G55" i="3"/>
  <c r="H53" i="3"/>
  <c r="AO57" i="3"/>
  <c r="E58" i="3"/>
  <c r="BL52" i="3"/>
  <c r="AS57" i="3"/>
  <c r="AR56" i="3"/>
  <c r="BM51" i="3"/>
  <c r="AP51" i="3"/>
  <c r="G53" i="1"/>
  <c r="H52" i="1"/>
  <c r="E53" i="1"/>
  <c r="AM53" i="1" s="1"/>
  <c r="AN53" i="1" s="1"/>
  <c r="AS53" i="1"/>
  <c r="AR52" i="1"/>
  <c r="AY52" i="1"/>
  <c r="BM52" i="3" l="1"/>
  <c r="AP52" i="3"/>
  <c r="AS58" i="3"/>
  <c r="AR57" i="3"/>
  <c r="H54" i="3"/>
  <c r="BF54" i="3"/>
  <c r="BE54" i="3"/>
  <c r="BD54" i="3"/>
  <c r="AY55" i="3"/>
  <c r="BJ54" i="3"/>
  <c r="BB54" i="3"/>
  <c r="BG54" i="3"/>
  <c r="AZ54" i="3"/>
  <c r="BK54" i="3"/>
  <c r="BI54" i="3"/>
  <c r="BC54" i="3"/>
  <c r="BH54" i="3"/>
  <c r="BA54" i="3"/>
  <c r="BL53" i="3"/>
  <c r="E59" i="3"/>
  <c r="AO58" i="3"/>
  <c r="G56" i="3"/>
  <c r="G54" i="1"/>
  <c r="H53" i="1"/>
  <c r="E54" i="1"/>
  <c r="AM54" i="1" s="1"/>
  <c r="AN54" i="1" s="1"/>
  <c r="AY53" i="1"/>
  <c r="AS54" i="1"/>
  <c r="AR53" i="1"/>
  <c r="BK55" i="3" l="1"/>
  <c r="BC55" i="3"/>
  <c r="AY56" i="3"/>
  <c r="BJ55" i="3"/>
  <c r="BB55" i="3"/>
  <c r="BI55" i="3"/>
  <c r="BA55" i="3"/>
  <c r="BG55" i="3"/>
  <c r="BD55" i="3"/>
  <c r="BE55" i="3"/>
  <c r="AZ55" i="3"/>
  <c r="BH55" i="3"/>
  <c r="BF55" i="3"/>
  <c r="AR58" i="3"/>
  <c r="AS59" i="3"/>
  <c r="H55" i="3"/>
  <c r="G57" i="3"/>
  <c r="BM53" i="3"/>
  <c r="AP53" i="3"/>
  <c r="E60" i="3"/>
  <c r="AO59" i="3"/>
  <c r="BL54" i="3"/>
  <c r="G55" i="1"/>
  <c r="H54" i="1"/>
  <c r="E55" i="1"/>
  <c r="AM55" i="1" s="1"/>
  <c r="AN55" i="1" s="1"/>
  <c r="AS55" i="1"/>
  <c r="AR54" i="1"/>
  <c r="AY54" i="1"/>
  <c r="BJ53" i="1"/>
  <c r="BI53" i="1"/>
  <c r="BG53" i="1"/>
  <c r="BK53" i="1"/>
  <c r="BH53" i="1"/>
  <c r="AS60" i="3" l="1"/>
  <c r="AR59" i="3"/>
  <c r="BM54" i="3"/>
  <c r="AP54" i="3"/>
  <c r="BL55" i="3"/>
  <c r="BH56" i="3"/>
  <c r="AZ56" i="3"/>
  <c r="BG56" i="3"/>
  <c r="BF56" i="3"/>
  <c r="BD56" i="3"/>
  <c r="BC56" i="3"/>
  <c r="BB56" i="3"/>
  <c r="AY57" i="3"/>
  <c r="BA56" i="3"/>
  <c r="BK56" i="3"/>
  <c r="BI56" i="3"/>
  <c r="BJ56" i="3"/>
  <c r="BE56" i="3"/>
  <c r="G58" i="3"/>
  <c r="AO60" i="3"/>
  <c r="E61" i="3"/>
  <c r="H56" i="3"/>
  <c r="G56" i="1"/>
  <c r="H55" i="1"/>
  <c r="E56" i="1"/>
  <c r="AM56" i="1" s="1"/>
  <c r="AN56" i="1" s="1"/>
  <c r="AY55" i="1"/>
  <c r="BH54" i="1"/>
  <c r="AZ54" i="1"/>
  <c r="BF54" i="1"/>
  <c r="BE54" i="1"/>
  <c r="BK54" i="1"/>
  <c r="BC54" i="1"/>
  <c r="BA54" i="1"/>
  <c r="BJ54" i="1"/>
  <c r="BI54" i="1"/>
  <c r="BD54" i="1"/>
  <c r="BG54" i="1"/>
  <c r="BB54" i="1"/>
  <c r="AS56" i="1"/>
  <c r="AR55" i="1"/>
  <c r="BE57" i="3" l="1"/>
  <c r="BD57" i="3"/>
  <c r="BK57" i="3"/>
  <c r="BC57" i="3"/>
  <c r="BI57" i="3"/>
  <c r="BA57" i="3"/>
  <c r="BG57" i="3"/>
  <c r="BB57" i="3"/>
  <c r="AZ57" i="3"/>
  <c r="AY58" i="3"/>
  <c r="BH57" i="3"/>
  <c r="BJ57" i="3"/>
  <c r="BF57" i="3"/>
  <c r="H57" i="3"/>
  <c r="AO61" i="3"/>
  <c r="E62" i="3"/>
  <c r="BM55" i="3"/>
  <c r="AP55" i="3"/>
  <c r="G59" i="3"/>
  <c r="AS61" i="3"/>
  <c r="AR60" i="3"/>
  <c r="BL56" i="3"/>
  <c r="G57" i="1"/>
  <c r="H56" i="1"/>
  <c r="E57" i="1"/>
  <c r="AM57" i="1" s="1"/>
  <c r="AN57" i="1" s="1"/>
  <c r="BL54" i="1"/>
  <c r="AS57" i="1"/>
  <c r="AR56" i="1"/>
  <c r="AY56" i="1"/>
  <c r="BD55" i="1"/>
  <c r="BJ55" i="1"/>
  <c r="BB55" i="1"/>
  <c r="BI55" i="1"/>
  <c r="BA55" i="1"/>
  <c r="BG55" i="1"/>
  <c r="BE55" i="1"/>
  <c r="BC55" i="1"/>
  <c r="AZ55" i="1"/>
  <c r="BH55" i="1"/>
  <c r="BK55" i="1"/>
  <c r="BF55" i="1"/>
  <c r="H58" i="3" l="1"/>
  <c r="BM56" i="3"/>
  <c r="AP56" i="3"/>
  <c r="E63" i="3"/>
  <c r="AO62" i="3"/>
  <c r="AR61" i="3"/>
  <c r="AS62" i="3"/>
  <c r="AY59" i="3"/>
  <c r="BJ58" i="3"/>
  <c r="BB58" i="3"/>
  <c r="BI58" i="3"/>
  <c r="BA58" i="3"/>
  <c r="BH58" i="3"/>
  <c r="AZ58" i="3"/>
  <c r="BF58" i="3"/>
  <c r="BD58" i="3"/>
  <c r="BG58" i="3"/>
  <c r="BE58" i="3"/>
  <c r="BC58" i="3"/>
  <c r="BK58" i="3"/>
  <c r="G60" i="3"/>
  <c r="BL57" i="3"/>
  <c r="G58" i="1"/>
  <c r="H57" i="1"/>
  <c r="E58" i="1"/>
  <c r="AM58" i="1" s="1"/>
  <c r="AN58" i="1" s="1"/>
  <c r="AY57" i="1"/>
  <c r="BH56" i="1"/>
  <c r="AZ56" i="1"/>
  <c r="BF56" i="1"/>
  <c r="BE56" i="1"/>
  <c r="BK56" i="1"/>
  <c r="BC56" i="1"/>
  <c r="BI56" i="1"/>
  <c r="BG56" i="1"/>
  <c r="BD56" i="1"/>
  <c r="BB56" i="1"/>
  <c r="BA56" i="1"/>
  <c r="BJ56" i="1"/>
  <c r="AS58" i="1"/>
  <c r="AR57" i="1"/>
  <c r="BL55" i="1"/>
  <c r="E64" i="3" l="1"/>
  <c r="AO63" i="3"/>
  <c r="BG59" i="3"/>
  <c r="BF59" i="3"/>
  <c r="BE59" i="3"/>
  <c r="BK59" i="3"/>
  <c r="BC59" i="3"/>
  <c r="BA59" i="3"/>
  <c r="BJ59" i="3"/>
  <c r="BI59" i="3"/>
  <c r="BH59" i="3"/>
  <c r="BD59" i="3"/>
  <c r="BB59" i="3"/>
  <c r="AY60" i="3"/>
  <c r="AZ59" i="3"/>
  <c r="BM57" i="3"/>
  <c r="AP57" i="3"/>
  <c r="G61" i="3"/>
  <c r="BL58" i="3"/>
  <c r="AS63" i="3"/>
  <c r="AR62" i="3"/>
  <c r="H59" i="3"/>
  <c r="G59" i="1"/>
  <c r="H58" i="1"/>
  <c r="E59" i="1"/>
  <c r="AM59" i="1" s="1"/>
  <c r="AN59" i="1" s="1"/>
  <c r="BL56" i="1"/>
  <c r="AS59" i="1"/>
  <c r="AR58" i="1"/>
  <c r="AY58" i="1"/>
  <c r="BD57" i="1"/>
  <c r="BJ57" i="1"/>
  <c r="BB57" i="1"/>
  <c r="BI57" i="1"/>
  <c r="BA57" i="1"/>
  <c r="BG57" i="1"/>
  <c r="BK57" i="1"/>
  <c r="BH57" i="1"/>
  <c r="BF57" i="1"/>
  <c r="BE57" i="1"/>
  <c r="AZ57" i="1"/>
  <c r="BC57" i="1"/>
  <c r="BL59" i="3" l="1"/>
  <c r="E65" i="3"/>
  <c r="AO64" i="3"/>
  <c r="BD60" i="3"/>
  <c r="BK60" i="3"/>
  <c r="BC60" i="3"/>
  <c r="AY61" i="3"/>
  <c r="BJ60" i="3"/>
  <c r="BB60" i="3"/>
  <c r="BH60" i="3"/>
  <c r="AZ60" i="3"/>
  <c r="BI60" i="3"/>
  <c r="BG60" i="3"/>
  <c r="BF60" i="3"/>
  <c r="BE60" i="3"/>
  <c r="BA60" i="3"/>
  <c r="G62" i="3"/>
  <c r="H60" i="3"/>
  <c r="AR63" i="3"/>
  <c r="AS64" i="3"/>
  <c r="BM58" i="3"/>
  <c r="AP58" i="3"/>
  <c r="G60" i="1"/>
  <c r="H59" i="1"/>
  <c r="E60" i="1"/>
  <c r="AM60" i="1" s="1"/>
  <c r="AN60" i="1" s="1"/>
  <c r="BL57" i="1"/>
  <c r="AS60" i="1"/>
  <c r="AR59" i="1"/>
  <c r="AY59" i="1"/>
  <c r="BH58" i="1"/>
  <c r="AZ58" i="1"/>
  <c r="BF58" i="1"/>
  <c r="BE58" i="1"/>
  <c r="BK58" i="1"/>
  <c r="BC58" i="1"/>
  <c r="BA58" i="1"/>
  <c r="BJ58" i="1"/>
  <c r="BI58" i="1"/>
  <c r="BD58" i="1"/>
  <c r="BG58" i="1"/>
  <c r="BB58" i="1"/>
  <c r="BI61" i="3" l="1"/>
  <c r="BA61" i="3"/>
  <c r="BH61" i="3"/>
  <c r="AZ61" i="3"/>
  <c r="BG61" i="3"/>
  <c r="BE61" i="3"/>
  <c r="BJ61" i="3"/>
  <c r="AY62" i="3"/>
  <c r="BK61" i="3"/>
  <c r="BF61" i="3"/>
  <c r="BD61" i="3"/>
  <c r="BB61" i="3"/>
  <c r="BC61" i="3"/>
  <c r="H61" i="3"/>
  <c r="BM59" i="3"/>
  <c r="AP59" i="3"/>
  <c r="BL60" i="3"/>
  <c r="AR64" i="3"/>
  <c r="AS65" i="3"/>
  <c r="G63" i="3"/>
  <c r="AO65" i="3"/>
  <c r="E66" i="3"/>
  <c r="G61" i="1"/>
  <c r="H60" i="1"/>
  <c r="E61" i="1"/>
  <c r="AM61" i="1" s="1"/>
  <c r="AN61" i="1" s="1"/>
  <c r="BL58" i="1"/>
  <c r="AY60" i="1"/>
  <c r="BD59" i="1"/>
  <c r="BJ59" i="1"/>
  <c r="BB59" i="1"/>
  <c r="BI59" i="1"/>
  <c r="BA59" i="1"/>
  <c r="BG59" i="1"/>
  <c r="BE59" i="1"/>
  <c r="BC59" i="1"/>
  <c r="AZ59" i="1"/>
  <c r="BH59" i="1"/>
  <c r="BK59" i="1"/>
  <c r="BF59" i="1"/>
  <c r="AS61" i="1"/>
  <c r="AR60" i="1"/>
  <c r="AS66" i="3" l="1"/>
  <c r="AR65" i="3"/>
  <c r="H62" i="3"/>
  <c r="BL61" i="3"/>
  <c r="BF62" i="3"/>
  <c r="BE62" i="3"/>
  <c r="BD62" i="3"/>
  <c r="AY63" i="3"/>
  <c r="BJ62" i="3"/>
  <c r="BB62" i="3"/>
  <c r="BC62" i="3"/>
  <c r="BK62" i="3"/>
  <c r="BI62" i="3"/>
  <c r="BH62" i="3"/>
  <c r="BA62" i="3"/>
  <c r="BG62" i="3"/>
  <c r="AZ62" i="3"/>
  <c r="BM60" i="3"/>
  <c r="AP60" i="3"/>
  <c r="E67" i="3"/>
  <c r="AO66" i="3"/>
  <c r="G64" i="3"/>
  <c r="G62" i="1"/>
  <c r="H61" i="1"/>
  <c r="E62" i="1"/>
  <c r="AM62" i="1" s="1"/>
  <c r="AN62" i="1" s="1"/>
  <c r="AY61" i="1"/>
  <c r="BH60" i="1"/>
  <c r="AZ60" i="1"/>
  <c r="BF60" i="1"/>
  <c r="BE60" i="1"/>
  <c r="BK60" i="1"/>
  <c r="BC60" i="1"/>
  <c r="BI60" i="1"/>
  <c r="BG60" i="1"/>
  <c r="BD60" i="1"/>
  <c r="BB60" i="1"/>
  <c r="BA60" i="1"/>
  <c r="BJ60" i="1"/>
  <c r="AS62" i="1"/>
  <c r="AR61" i="1"/>
  <c r="BL59" i="1"/>
  <c r="BM61" i="3" l="1"/>
  <c r="AP61" i="3"/>
  <c r="BK63" i="3"/>
  <c r="BC63" i="3"/>
  <c r="AY64" i="3"/>
  <c r="BJ63" i="3"/>
  <c r="BB63" i="3"/>
  <c r="BI63" i="3"/>
  <c r="BA63" i="3"/>
  <c r="BG63" i="3"/>
  <c r="AZ63" i="3"/>
  <c r="BD63" i="3"/>
  <c r="BF63" i="3"/>
  <c r="BH63" i="3"/>
  <c r="BE63" i="3"/>
  <c r="G65" i="3"/>
  <c r="H63" i="3"/>
  <c r="BL62" i="3"/>
  <c r="E68" i="3"/>
  <c r="AO67" i="3"/>
  <c r="AR66" i="3"/>
  <c r="AS67" i="3"/>
  <c r="G63" i="1"/>
  <c r="H62" i="1"/>
  <c r="E63" i="1"/>
  <c r="AM63" i="1" s="1"/>
  <c r="AN63" i="1" s="1"/>
  <c r="AS63" i="1"/>
  <c r="AR62" i="1"/>
  <c r="BL60" i="1"/>
  <c r="AY62" i="1"/>
  <c r="BD61" i="1"/>
  <c r="BJ61" i="1"/>
  <c r="BB61" i="1"/>
  <c r="BI61" i="1"/>
  <c r="BA61" i="1"/>
  <c r="BG61" i="1"/>
  <c r="BK61" i="1"/>
  <c r="BH61" i="1"/>
  <c r="BF61" i="1"/>
  <c r="BE61" i="1"/>
  <c r="AZ61" i="1"/>
  <c r="BC61" i="1"/>
  <c r="H64" i="3" l="1"/>
  <c r="BH64" i="3"/>
  <c r="AZ64" i="3"/>
  <c r="BG64" i="3"/>
  <c r="BF64" i="3"/>
  <c r="BD64" i="3"/>
  <c r="BK64" i="3"/>
  <c r="BB64" i="3"/>
  <c r="AY65" i="3"/>
  <c r="BA64" i="3"/>
  <c r="BJ64" i="3"/>
  <c r="BE64" i="3"/>
  <c r="BI64" i="3"/>
  <c r="BC64" i="3"/>
  <c r="BL63" i="3"/>
  <c r="AS68" i="3"/>
  <c r="AR67" i="3"/>
  <c r="AO68" i="3"/>
  <c r="E69" i="3"/>
  <c r="G66" i="3"/>
  <c r="BM62" i="3"/>
  <c r="AP62" i="3"/>
  <c r="G64" i="1"/>
  <c r="H63" i="1"/>
  <c r="E64" i="1"/>
  <c r="AM64" i="1" s="1"/>
  <c r="AN64" i="1" s="1"/>
  <c r="BL61" i="1"/>
  <c r="AY63" i="1"/>
  <c r="BH62" i="1"/>
  <c r="AZ62" i="1"/>
  <c r="BF62" i="1"/>
  <c r="BE62" i="1"/>
  <c r="BK62" i="1"/>
  <c r="BC62" i="1"/>
  <c r="BA62" i="1"/>
  <c r="BJ62" i="1"/>
  <c r="BI62" i="1"/>
  <c r="BD62" i="1"/>
  <c r="BG62" i="1"/>
  <c r="BB62" i="1"/>
  <c r="AS64" i="1"/>
  <c r="AR63" i="1"/>
  <c r="BL64" i="3" l="1"/>
  <c r="AO69" i="3"/>
  <c r="E70" i="3"/>
  <c r="BM63" i="3"/>
  <c r="AP63" i="3"/>
  <c r="G67" i="3"/>
  <c r="BE65" i="3"/>
  <c r="BD65" i="3"/>
  <c r="BK65" i="3"/>
  <c r="BC65" i="3"/>
  <c r="BI65" i="3"/>
  <c r="BA65" i="3"/>
  <c r="BF65" i="3"/>
  <c r="AZ65" i="3"/>
  <c r="AY66" i="3"/>
  <c r="BJ65" i="3"/>
  <c r="BG65" i="3"/>
  <c r="BH65" i="3"/>
  <c r="BB65" i="3"/>
  <c r="AS69" i="3"/>
  <c r="AR68" i="3"/>
  <c r="H65" i="3"/>
  <c r="G65" i="1"/>
  <c r="H64" i="1"/>
  <c r="E65" i="1"/>
  <c r="AM65" i="1" s="1"/>
  <c r="AN65" i="1" s="1"/>
  <c r="BL62" i="1"/>
  <c r="AS65" i="1"/>
  <c r="AR64" i="1"/>
  <c r="AY64" i="1"/>
  <c r="BD63" i="1"/>
  <c r="BJ63" i="1"/>
  <c r="BB63" i="1"/>
  <c r="BI63" i="1"/>
  <c r="BA63" i="1"/>
  <c r="BG63" i="1"/>
  <c r="BE63" i="1"/>
  <c r="BC63" i="1"/>
  <c r="AZ63" i="1"/>
  <c r="BH63" i="1"/>
  <c r="BK63" i="1"/>
  <c r="BF63" i="1"/>
  <c r="E71" i="3" l="1"/>
  <c r="AO70" i="3"/>
  <c r="H66" i="3"/>
  <c r="BM64" i="3"/>
  <c r="AP64" i="3"/>
  <c r="BL65" i="3"/>
  <c r="AY67" i="3"/>
  <c r="BJ66" i="3"/>
  <c r="BB66" i="3"/>
  <c r="BI66" i="3"/>
  <c r="BA66" i="3"/>
  <c r="BH66" i="3"/>
  <c r="AZ66" i="3"/>
  <c r="BF66" i="3"/>
  <c r="BC66" i="3"/>
  <c r="BE66" i="3"/>
  <c r="BD66" i="3"/>
  <c r="BK66" i="3"/>
  <c r="BG66" i="3"/>
  <c r="AR69" i="3"/>
  <c r="AS70" i="3"/>
  <c r="G68" i="3"/>
  <c r="G66" i="1"/>
  <c r="H65" i="1"/>
  <c r="E66" i="1"/>
  <c r="AM66" i="1" s="1"/>
  <c r="AN66" i="1" s="1"/>
  <c r="BL63" i="1"/>
  <c r="AS66" i="1"/>
  <c r="AR65" i="1"/>
  <c r="AY65" i="1"/>
  <c r="BH64" i="1"/>
  <c r="AZ64" i="1"/>
  <c r="BF64" i="1"/>
  <c r="BE64" i="1"/>
  <c r="BK64" i="1"/>
  <c r="BC64" i="1"/>
  <c r="BI64" i="1"/>
  <c r="BG64" i="1"/>
  <c r="BD64" i="1"/>
  <c r="BB64" i="1"/>
  <c r="BA64" i="1"/>
  <c r="BJ64" i="1"/>
  <c r="BG67" i="3" l="1"/>
  <c r="BF67" i="3"/>
  <c r="BE67" i="3"/>
  <c r="BK67" i="3"/>
  <c r="BC67" i="3"/>
  <c r="AZ67" i="3"/>
  <c r="BI67" i="3"/>
  <c r="BH67" i="3"/>
  <c r="BD67" i="3"/>
  <c r="BB67" i="3"/>
  <c r="AY68" i="3"/>
  <c r="BA67" i="3"/>
  <c r="BJ67" i="3"/>
  <c r="BL66" i="3"/>
  <c r="G69" i="3"/>
  <c r="E72" i="3"/>
  <c r="AO71" i="3"/>
  <c r="H67" i="3"/>
  <c r="AS71" i="3"/>
  <c r="AR70" i="3"/>
  <c r="BM65" i="3"/>
  <c r="AP65" i="3"/>
  <c r="G67" i="1"/>
  <c r="H66" i="1"/>
  <c r="E67" i="1"/>
  <c r="AM67" i="1" s="1"/>
  <c r="AN67" i="1" s="1"/>
  <c r="BL64" i="1"/>
  <c r="AY66" i="1"/>
  <c r="BD65" i="1"/>
  <c r="BJ65" i="1"/>
  <c r="BB65" i="1"/>
  <c r="BI65" i="1"/>
  <c r="BA65" i="1"/>
  <c r="BG65" i="1"/>
  <c r="BK65" i="1"/>
  <c r="BH65" i="1"/>
  <c r="BF65" i="1"/>
  <c r="BE65" i="1"/>
  <c r="AZ65" i="1"/>
  <c r="BC65" i="1"/>
  <c r="AS67" i="1"/>
  <c r="AR66" i="1"/>
  <c r="AR71" i="3" l="1"/>
  <c r="AS72" i="3"/>
  <c r="H68" i="3"/>
  <c r="E73" i="3"/>
  <c r="AO72" i="3"/>
  <c r="BD68" i="3"/>
  <c r="BK68" i="3"/>
  <c r="BC68" i="3"/>
  <c r="AY69" i="3"/>
  <c r="BJ68" i="3"/>
  <c r="BB68" i="3"/>
  <c r="BH68" i="3"/>
  <c r="AZ68" i="3"/>
  <c r="BI68" i="3"/>
  <c r="BG68" i="3"/>
  <c r="BF68" i="3"/>
  <c r="BE68" i="3"/>
  <c r="BA68" i="3"/>
  <c r="BM66" i="3"/>
  <c r="AP66" i="3"/>
  <c r="BL67" i="3"/>
  <c r="G70" i="3"/>
  <c r="G68" i="1"/>
  <c r="H67" i="1"/>
  <c r="E68" i="1"/>
  <c r="AM68" i="1" s="1"/>
  <c r="AN68" i="1" s="1"/>
  <c r="AS68" i="1"/>
  <c r="AR67" i="1"/>
  <c r="AY67" i="1"/>
  <c r="BH66" i="1"/>
  <c r="AZ66" i="1"/>
  <c r="BF66" i="1"/>
  <c r="BE66" i="1"/>
  <c r="BK66" i="1"/>
  <c r="BC66" i="1"/>
  <c r="BA66" i="1"/>
  <c r="BJ66" i="1"/>
  <c r="BI66" i="1"/>
  <c r="BD66" i="1"/>
  <c r="BG66" i="1"/>
  <c r="BB66" i="1"/>
  <c r="BL65" i="1"/>
  <c r="AS73" i="3" l="1"/>
  <c r="AR72" i="3"/>
  <c r="G71" i="3"/>
  <c r="BL68" i="3"/>
  <c r="BI69" i="3"/>
  <c r="BA69" i="3"/>
  <c r="BH69" i="3"/>
  <c r="AZ69" i="3"/>
  <c r="BG69" i="3"/>
  <c r="BE69" i="3"/>
  <c r="BD69" i="3"/>
  <c r="BK69" i="3"/>
  <c r="AY70" i="3"/>
  <c r="BJ69" i="3"/>
  <c r="BF69" i="3"/>
  <c r="BC69" i="3"/>
  <c r="BB69" i="3"/>
  <c r="H69" i="3"/>
  <c r="BM67" i="3"/>
  <c r="AP67" i="3"/>
  <c r="AO73" i="3"/>
  <c r="E74" i="3"/>
  <c r="G69" i="1"/>
  <c r="H68" i="1"/>
  <c r="E69" i="1"/>
  <c r="AM69" i="1" s="1"/>
  <c r="AN69" i="1" s="1"/>
  <c r="BL66" i="1"/>
  <c r="AY68" i="1"/>
  <c r="BD67" i="1"/>
  <c r="BJ67" i="1"/>
  <c r="BB67" i="1"/>
  <c r="BI67" i="1"/>
  <c r="BA67" i="1"/>
  <c r="BG67" i="1"/>
  <c r="BE67" i="1"/>
  <c r="BC67" i="1"/>
  <c r="AZ67" i="1"/>
  <c r="BH67" i="1"/>
  <c r="BK67" i="1"/>
  <c r="BF67" i="1"/>
  <c r="AS69" i="1"/>
  <c r="AR68" i="1"/>
  <c r="G72" i="3" l="1"/>
  <c r="H70" i="3"/>
  <c r="E75" i="3"/>
  <c r="AO74" i="3"/>
  <c r="BL69" i="3"/>
  <c r="BF70" i="3"/>
  <c r="BE70" i="3"/>
  <c r="BD70" i="3"/>
  <c r="AY71" i="3"/>
  <c r="BJ70" i="3"/>
  <c r="BB70" i="3"/>
  <c r="BI70" i="3"/>
  <c r="BA70" i="3"/>
  <c r="BG70" i="3"/>
  <c r="BC70" i="3"/>
  <c r="AZ70" i="3"/>
  <c r="BH70" i="3"/>
  <c r="BK70" i="3"/>
  <c r="BM68" i="3"/>
  <c r="AP68" i="3"/>
  <c r="AS74" i="3"/>
  <c r="AR73" i="3"/>
  <c r="G70" i="1"/>
  <c r="H69" i="1"/>
  <c r="E70" i="1"/>
  <c r="AM70" i="1" s="1"/>
  <c r="AN70" i="1" s="1"/>
  <c r="AS70" i="1"/>
  <c r="AR69" i="1"/>
  <c r="BL67" i="1"/>
  <c r="AY69" i="1"/>
  <c r="BH68" i="1"/>
  <c r="AZ68" i="1"/>
  <c r="BF68" i="1"/>
  <c r="BE68" i="1"/>
  <c r="BK68" i="1"/>
  <c r="BC68" i="1"/>
  <c r="BI68" i="1"/>
  <c r="BG68" i="1"/>
  <c r="BD68" i="1"/>
  <c r="BB68" i="1"/>
  <c r="BA68" i="1"/>
  <c r="BJ68" i="1"/>
  <c r="BL70" i="3" l="1"/>
  <c r="E76" i="3"/>
  <c r="AO75" i="3"/>
  <c r="H71" i="3"/>
  <c r="AR74" i="3"/>
  <c r="AS75" i="3"/>
  <c r="BM69" i="3"/>
  <c r="AP69" i="3"/>
  <c r="G73" i="3"/>
  <c r="BK71" i="3"/>
  <c r="BC71" i="3"/>
  <c r="AY72" i="3"/>
  <c r="BJ71" i="3"/>
  <c r="BB71" i="3"/>
  <c r="BI71" i="3"/>
  <c r="BA71" i="3"/>
  <c r="BG71" i="3"/>
  <c r="BF71" i="3"/>
  <c r="BH71" i="3"/>
  <c r="BD71" i="3"/>
  <c r="BE71" i="3"/>
  <c r="AZ71" i="3"/>
  <c r="G71" i="1"/>
  <c r="H70" i="1"/>
  <c r="E71" i="1"/>
  <c r="AM71" i="1" s="1"/>
  <c r="AN71" i="1" s="1"/>
  <c r="AY70" i="1"/>
  <c r="BD69" i="1"/>
  <c r="BJ69" i="1"/>
  <c r="BB69" i="1"/>
  <c r="BI69" i="1"/>
  <c r="BA69" i="1"/>
  <c r="BG69" i="1"/>
  <c r="BK69" i="1"/>
  <c r="BH69" i="1"/>
  <c r="BF69" i="1"/>
  <c r="BE69" i="1"/>
  <c r="AZ69" i="1"/>
  <c r="BC69" i="1"/>
  <c r="BL68" i="1"/>
  <c r="AS71" i="1"/>
  <c r="AR70" i="1"/>
  <c r="G74" i="3" l="1"/>
  <c r="BL71" i="3"/>
  <c r="H72" i="3"/>
  <c r="BH72" i="3"/>
  <c r="AZ72" i="3"/>
  <c r="BG72" i="3"/>
  <c r="BF72" i="3"/>
  <c r="BD72" i="3"/>
  <c r="BK72" i="3"/>
  <c r="BC72" i="3"/>
  <c r="BI72" i="3"/>
  <c r="BE72" i="3"/>
  <c r="BB72" i="3"/>
  <c r="BA72" i="3"/>
  <c r="AY73" i="3"/>
  <c r="BJ72" i="3"/>
  <c r="BM70" i="3"/>
  <c r="AP70" i="3"/>
  <c r="AS76" i="3"/>
  <c r="AR75" i="3"/>
  <c r="AO76" i="3"/>
  <c r="E77" i="3"/>
  <c r="G72" i="1"/>
  <c r="H71" i="1"/>
  <c r="E72" i="1"/>
  <c r="AM72" i="1" s="1"/>
  <c r="AN72" i="1" s="1"/>
  <c r="AS72" i="1"/>
  <c r="AR71" i="1"/>
  <c r="BL69" i="1"/>
  <c r="AY71" i="1"/>
  <c r="BH70" i="1"/>
  <c r="AZ70" i="1"/>
  <c r="BF70" i="1"/>
  <c r="BE70" i="1"/>
  <c r="BK70" i="1"/>
  <c r="BC70" i="1"/>
  <c r="BA70" i="1"/>
  <c r="BJ70" i="1"/>
  <c r="BI70" i="1"/>
  <c r="BD70" i="1"/>
  <c r="BG70" i="1"/>
  <c r="BB70" i="1"/>
  <c r="AO77" i="3" l="1"/>
  <c r="E78" i="3"/>
  <c r="H73" i="3"/>
  <c r="BE73" i="3"/>
  <c r="BD73" i="3"/>
  <c r="BK73" i="3"/>
  <c r="BC73" i="3"/>
  <c r="BI73" i="3"/>
  <c r="BA73" i="3"/>
  <c r="BH73" i="3"/>
  <c r="AZ73" i="3"/>
  <c r="BJ73" i="3"/>
  <c r="AY74" i="3"/>
  <c r="BG73" i="3"/>
  <c r="BF73" i="3"/>
  <c r="BB73" i="3"/>
  <c r="BM71" i="3"/>
  <c r="AP71" i="3"/>
  <c r="AS77" i="3"/>
  <c r="AR76" i="3"/>
  <c r="BL72" i="3"/>
  <c r="G75" i="3"/>
  <c r="G73" i="1"/>
  <c r="H72" i="1"/>
  <c r="E73" i="1"/>
  <c r="AM73" i="1" s="1"/>
  <c r="AN73" i="1" s="1"/>
  <c r="BL70" i="1"/>
  <c r="AY72" i="1"/>
  <c r="BD71" i="1"/>
  <c r="BJ71" i="1"/>
  <c r="BB71" i="1"/>
  <c r="BI71" i="1"/>
  <c r="BA71" i="1"/>
  <c r="BG71" i="1"/>
  <c r="BE71" i="1"/>
  <c r="BC71" i="1"/>
  <c r="AZ71" i="1"/>
  <c r="BH71" i="1"/>
  <c r="BK71" i="1"/>
  <c r="BF71" i="1"/>
  <c r="AS73" i="1"/>
  <c r="AR72" i="1"/>
  <c r="AR77" i="3" l="1"/>
  <c r="AS78" i="3"/>
  <c r="AY75" i="3"/>
  <c r="BJ74" i="3"/>
  <c r="BB74" i="3"/>
  <c r="BI74" i="3"/>
  <c r="BA74" i="3"/>
  <c r="BH74" i="3"/>
  <c r="AZ74" i="3"/>
  <c r="BF74" i="3"/>
  <c r="BE74" i="3"/>
  <c r="BG74" i="3"/>
  <c r="BD74" i="3"/>
  <c r="BC74" i="3"/>
  <c r="BK74" i="3"/>
  <c r="BL73" i="3"/>
  <c r="BM72" i="3"/>
  <c r="AP72" i="3"/>
  <c r="H74" i="3"/>
  <c r="G76" i="3"/>
  <c r="E79" i="3"/>
  <c r="AO78" i="3"/>
  <c r="G74" i="1"/>
  <c r="H73" i="1"/>
  <c r="E74" i="1"/>
  <c r="AM74" i="1" s="1"/>
  <c r="AN74" i="1" s="1"/>
  <c r="AS74" i="1"/>
  <c r="AR73" i="1"/>
  <c r="AY73" i="1"/>
  <c r="BH72" i="1"/>
  <c r="AZ72" i="1"/>
  <c r="BF72" i="1"/>
  <c r="BE72" i="1"/>
  <c r="BK72" i="1"/>
  <c r="BC72" i="1"/>
  <c r="BI72" i="1"/>
  <c r="BG72" i="1"/>
  <c r="BD72" i="1"/>
  <c r="BB72" i="1"/>
  <c r="BA72" i="1"/>
  <c r="BJ72" i="1"/>
  <c r="BL71" i="1"/>
  <c r="H75" i="3" l="1"/>
  <c r="BG75" i="3"/>
  <c r="BF75" i="3"/>
  <c r="BE75" i="3"/>
  <c r="BK75" i="3"/>
  <c r="BC75" i="3"/>
  <c r="AY76" i="3"/>
  <c r="BJ75" i="3"/>
  <c r="BB75" i="3"/>
  <c r="AZ75" i="3"/>
  <c r="BI75" i="3"/>
  <c r="BH75" i="3"/>
  <c r="BD75" i="3"/>
  <c r="BA75" i="3"/>
  <c r="G77" i="3"/>
  <c r="E80" i="3"/>
  <c r="AO79" i="3"/>
  <c r="BM73" i="3"/>
  <c r="AP73" i="3"/>
  <c r="AS79" i="3"/>
  <c r="AR78" i="3"/>
  <c r="BL74" i="3"/>
  <c r="G75" i="1"/>
  <c r="H74" i="1"/>
  <c r="E75" i="1"/>
  <c r="AM75" i="1" s="1"/>
  <c r="AN75" i="1" s="1"/>
  <c r="AY74" i="1"/>
  <c r="BD73" i="1"/>
  <c r="BJ73" i="1"/>
  <c r="BB73" i="1"/>
  <c r="BI73" i="1"/>
  <c r="BA73" i="1"/>
  <c r="BG73" i="1"/>
  <c r="BK73" i="1"/>
  <c r="BH73" i="1"/>
  <c r="BF73" i="1"/>
  <c r="BE73" i="1"/>
  <c r="AZ73" i="1"/>
  <c r="BC73" i="1"/>
  <c r="BL72" i="1"/>
  <c r="AS75" i="1"/>
  <c r="AR74" i="1"/>
  <c r="AR79" i="3" l="1"/>
  <c r="AS80" i="3"/>
  <c r="G78" i="3"/>
  <c r="BD76" i="3"/>
  <c r="BK76" i="3"/>
  <c r="BC76" i="3"/>
  <c r="AY77" i="3"/>
  <c r="BJ76" i="3"/>
  <c r="BB76" i="3"/>
  <c r="BH76" i="3"/>
  <c r="AZ76" i="3"/>
  <c r="BG76" i="3"/>
  <c r="BI76" i="3"/>
  <c r="BF76" i="3"/>
  <c r="BE76" i="3"/>
  <c r="BA76" i="3"/>
  <c r="BL75" i="3"/>
  <c r="H76" i="3"/>
  <c r="BM74" i="3"/>
  <c r="AP74" i="3"/>
  <c r="E81" i="3"/>
  <c r="AO80" i="3"/>
  <c r="G76" i="1"/>
  <c r="H75" i="1"/>
  <c r="E76" i="1"/>
  <c r="AM76" i="1" s="1"/>
  <c r="AN76" i="1" s="1"/>
  <c r="BL73" i="1"/>
  <c r="AS76" i="1"/>
  <c r="AR75" i="1"/>
  <c r="AY75" i="1"/>
  <c r="BF74" i="1"/>
  <c r="BJ74" i="1"/>
  <c r="BB74" i="1"/>
  <c r="BK74" i="1"/>
  <c r="AZ74" i="1"/>
  <c r="BH74" i="1"/>
  <c r="BG74" i="1"/>
  <c r="BD74" i="1"/>
  <c r="BA74" i="1"/>
  <c r="BE74" i="1"/>
  <c r="BI74" i="1"/>
  <c r="BC74" i="1"/>
  <c r="BL76" i="3" l="1"/>
  <c r="H77" i="3"/>
  <c r="G79" i="3"/>
  <c r="BM75" i="3"/>
  <c r="AP75" i="3"/>
  <c r="AR80" i="3"/>
  <c r="AS81" i="3"/>
  <c r="AO81" i="3"/>
  <c r="E82" i="3"/>
  <c r="BI77" i="3"/>
  <c r="BA77" i="3"/>
  <c r="BH77" i="3"/>
  <c r="AZ77" i="3"/>
  <c r="BG77" i="3"/>
  <c r="BE77" i="3"/>
  <c r="BD77" i="3"/>
  <c r="BK77" i="3"/>
  <c r="AY78" i="3"/>
  <c r="BJ77" i="3"/>
  <c r="BF77" i="3"/>
  <c r="BC77" i="3"/>
  <c r="BB77" i="3"/>
  <c r="G77" i="1"/>
  <c r="H76" i="1"/>
  <c r="E77" i="1"/>
  <c r="AM77" i="1" s="1"/>
  <c r="AN77" i="1" s="1"/>
  <c r="AY76" i="1"/>
  <c r="BJ75" i="1"/>
  <c r="BB75" i="1"/>
  <c r="BF75" i="1"/>
  <c r="BI75" i="1"/>
  <c r="BG75" i="1"/>
  <c r="BE75" i="1"/>
  <c r="BC75" i="1"/>
  <c r="BK75" i="1"/>
  <c r="BH75" i="1"/>
  <c r="BD75" i="1"/>
  <c r="BA75" i="1"/>
  <c r="AZ75" i="1"/>
  <c r="AS77" i="1"/>
  <c r="AR76" i="1"/>
  <c r="BL74" i="1"/>
  <c r="G80" i="3" l="1"/>
  <c r="BL77" i="3"/>
  <c r="AS82" i="3"/>
  <c r="AR81" i="3"/>
  <c r="H78" i="3"/>
  <c r="BF78" i="3"/>
  <c r="BE78" i="3"/>
  <c r="BD78" i="3"/>
  <c r="AY79" i="3"/>
  <c r="BJ78" i="3"/>
  <c r="BB78" i="3"/>
  <c r="BI78" i="3"/>
  <c r="BA78" i="3"/>
  <c r="BH78" i="3"/>
  <c r="BG78" i="3"/>
  <c r="BC78" i="3"/>
  <c r="AZ78" i="3"/>
  <c r="BK78" i="3"/>
  <c r="E83" i="3"/>
  <c r="AO82" i="3"/>
  <c r="BM76" i="3"/>
  <c r="AP76" i="3"/>
  <c r="G78" i="1"/>
  <c r="H77" i="1"/>
  <c r="E78" i="1"/>
  <c r="AM78" i="1" s="1"/>
  <c r="AN78" i="1" s="1"/>
  <c r="AS78" i="1"/>
  <c r="AR77" i="1"/>
  <c r="BL75" i="1"/>
  <c r="AY77" i="1"/>
  <c r="BF76" i="1"/>
  <c r="BJ76" i="1"/>
  <c r="BB76" i="1"/>
  <c r="BH76" i="1"/>
  <c r="BE76" i="1"/>
  <c r="BD76" i="1"/>
  <c r="BA76" i="1"/>
  <c r="BK76" i="1"/>
  <c r="BI76" i="1"/>
  <c r="BC76" i="1"/>
  <c r="BG76" i="1"/>
  <c r="AZ76" i="1"/>
  <c r="BL78" i="3" l="1"/>
  <c r="BK79" i="3"/>
  <c r="BC79" i="3"/>
  <c r="AY80" i="3"/>
  <c r="BJ79" i="3"/>
  <c r="BB79" i="3"/>
  <c r="BI79" i="3"/>
  <c r="BA79" i="3"/>
  <c r="BG79" i="3"/>
  <c r="BF79" i="3"/>
  <c r="AZ79" i="3"/>
  <c r="BH79" i="3"/>
  <c r="BE79" i="3"/>
  <c r="BD79" i="3"/>
  <c r="AR82" i="3"/>
  <c r="AS83" i="3"/>
  <c r="BM77" i="3"/>
  <c r="AP77" i="3"/>
  <c r="E84" i="3"/>
  <c r="AO83" i="3"/>
  <c r="H79" i="3"/>
  <c r="G81" i="3"/>
  <c r="G79" i="1"/>
  <c r="H78" i="1"/>
  <c r="E79" i="1"/>
  <c r="AM79" i="1" s="1"/>
  <c r="AN79" i="1" s="1"/>
  <c r="BL76" i="1"/>
  <c r="AY78" i="1"/>
  <c r="BJ77" i="1"/>
  <c r="BB77" i="1"/>
  <c r="BF77" i="1"/>
  <c r="BG77" i="1"/>
  <c r="BD77" i="1"/>
  <c r="BC77" i="1"/>
  <c r="BK77" i="1"/>
  <c r="AZ77" i="1"/>
  <c r="BH77" i="1"/>
  <c r="BE77" i="1"/>
  <c r="BA77" i="1"/>
  <c r="BI77" i="1"/>
  <c r="AS79" i="1"/>
  <c r="AR78" i="1"/>
  <c r="BH80" i="3" l="1"/>
  <c r="AZ80" i="3"/>
  <c r="BG80" i="3"/>
  <c r="BF80" i="3"/>
  <c r="BD80" i="3"/>
  <c r="BK80" i="3"/>
  <c r="BC80" i="3"/>
  <c r="BJ80" i="3"/>
  <c r="BI80" i="3"/>
  <c r="BE80" i="3"/>
  <c r="BB80" i="3"/>
  <c r="BA80" i="3"/>
  <c r="AY81" i="3"/>
  <c r="BL79" i="3"/>
  <c r="G82" i="3"/>
  <c r="H80" i="3"/>
  <c r="BM78" i="3"/>
  <c r="AP78" i="3"/>
  <c r="E85" i="3"/>
  <c r="AO84" i="3"/>
  <c r="AS84" i="3"/>
  <c r="AR83" i="3"/>
  <c r="G80" i="1"/>
  <c r="H79" i="1"/>
  <c r="E80" i="1"/>
  <c r="AM80" i="1" s="1"/>
  <c r="AN80" i="1" s="1"/>
  <c r="AS80" i="1"/>
  <c r="AR79" i="1"/>
  <c r="BL77" i="1"/>
  <c r="AY79" i="1"/>
  <c r="BF78" i="1"/>
  <c r="BJ78" i="1"/>
  <c r="BB78" i="1"/>
  <c r="BE78" i="1"/>
  <c r="BC78" i="1"/>
  <c r="BA78" i="1"/>
  <c r="BI78" i="1"/>
  <c r="BK78" i="1"/>
  <c r="BH78" i="1"/>
  <c r="BG78" i="1"/>
  <c r="AZ78" i="1"/>
  <c r="BD78" i="1"/>
  <c r="G83" i="3" l="1"/>
  <c r="BE81" i="3"/>
  <c r="BD81" i="3"/>
  <c r="BK81" i="3"/>
  <c r="BC81" i="3"/>
  <c r="BI81" i="3"/>
  <c r="BA81" i="3"/>
  <c r="BH81" i="3"/>
  <c r="AZ81" i="3"/>
  <c r="BJ81" i="3"/>
  <c r="AY82" i="3"/>
  <c r="BG81" i="3"/>
  <c r="BF81" i="3"/>
  <c r="BB81" i="3"/>
  <c r="AS85" i="3"/>
  <c r="AR84" i="3"/>
  <c r="BM79" i="3"/>
  <c r="AP79" i="3"/>
  <c r="H81" i="3"/>
  <c r="BL80" i="3"/>
  <c r="AO85" i="3"/>
  <c r="E86" i="3"/>
  <c r="G81" i="1"/>
  <c r="H80" i="1"/>
  <c r="E81" i="1"/>
  <c r="AM81" i="1" s="1"/>
  <c r="AN81" i="1" s="1"/>
  <c r="AY80" i="1"/>
  <c r="BJ79" i="1"/>
  <c r="BB79" i="1"/>
  <c r="BF79" i="1"/>
  <c r="BD79" i="1"/>
  <c r="BA79" i="1"/>
  <c r="BK79" i="1"/>
  <c r="AZ79" i="1"/>
  <c r="BH79" i="1"/>
  <c r="BE79" i="1"/>
  <c r="BC79" i="1"/>
  <c r="BI79" i="1"/>
  <c r="BG79" i="1"/>
  <c r="BL78" i="1"/>
  <c r="AS81" i="1"/>
  <c r="AR80" i="1"/>
  <c r="AY83" i="3" l="1"/>
  <c r="BJ82" i="3"/>
  <c r="BB82" i="3"/>
  <c r="BI82" i="3"/>
  <c r="BA82" i="3"/>
  <c r="BH82" i="3"/>
  <c r="AZ82" i="3"/>
  <c r="BF82" i="3"/>
  <c r="BE82" i="3"/>
  <c r="BK82" i="3"/>
  <c r="BG82" i="3"/>
  <c r="BD82" i="3"/>
  <c r="BC82" i="3"/>
  <c r="H82" i="3"/>
  <c r="AO86" i="3"/>
  <c r="E87" i="3"/>
  <c r="BM80" i="3"/>
  <c r="AP80" i="3"/>
  <c r="BL81" i="3"/>
  <c r="G84" i="3"/>
  <c r="AR85" i="3"/>
  <c r="AS86" i="3"/>
  <c r="G82" i="1"/>
  <c r="H81" i="1"/>
  <c r="E82" i="1"/>
  <c r="AM82" i="1" s="1"/>
  <c r="AN82" i="1" s="1"/>
  <c r="BL79" i="1"/>
  <c r="AS82" i="1"/>
  <c r="AR81" i="1"/>
  <c r="AY81" i="1"/>
  <c r="BF80" i="1"/>
  <c r="BJ80" i="1"/>
  <c r="BB80" i="1"/>
  <c r="BC80" i="1"/>
  <c r="BK80" i="1"/>
  <c r="AZ80" i="1"/>
  <c r="BI80" i="1"/>
  <c r="BG80" i="1"/>
  <c r="BH80" i="1"/>
  <c r="BE80" i="1"/>
  <c r="BD80" i="1"/>
  <c r="BA80" i="1"/>
  <c r="BG83" i="3" l="1"/>
  <c r="BF83" i="3"/>
  <c r="BE83" i="3"/>
  <c r="BK83" i="3"/>
  <c r="BC83" i="3"/>
  <c r="BJ83" i="3"/>
  <c r="BB83" i="3"/>
  <c r="BA83" i="3"/>
  <c r="AZ83" i="3"/>
  <c r="BI83" i="3"/>
  <c r="BH83" i="3"/>
  <c r="BD83" i="3"/>
  <c r="AY84" i="3"/>
  <c r="BL82" i="3"/>
  <c r="G85" i="3"/>
  <c r="H83" i="3"/>
  <c r="AS87" i="3"/>
  <c r="AR86" i="3"/>
  <c r="BM81" i="3"/>
  <c r="AP81" i="3"/>
  <c r="E88" i="3"/>
  <c r="AO87" i="3"/>
  <c r="G83" i="1"/>
  <c r="H82" i="1"/>
  <c r="E83" i="1"/>
  <c r="AM83" i="1" s="1"/>
  <c r="AN83" i="1" s="1"/>
  <c r="AY82" i="1"/>
  <c r="BJ81" i="1"/>
  <c r="BB81" i="1"/>
  <c r="BI81" i="1"/>
  <c r="BA81" i="1"/>
  <c r="BF81" i="1"/>
  <c r="BC81" i="1"/>
  <c r="BK81" i="1"/>
  <c r="BG81" i="1"/>
  <c r="BD81" i="1"/>
  <c r="AZ81" i="1"/>
  <c r="BH81" i="1"/>
  <c r="BE81" i="1"/>
  <c r="BL80" i="1"/>
  <c r="AS83" i="1"/>
  <c r="AR82" i="1"/>
  <c r="BL83" i="3" l="1"/>
  <c r="AR87" i="3"/>
  <c r="AS88" i="3"/>
  <c r="G86" i="3"/>
  <c r="BK84" i="3"/>
  <c r="BC84" i="3"/>
  <c r="AY85" i="3"/>
  <c r="BJ84" i="3"/>
  <c r="BB84" i="3"/>
  <c r="BH84" i="3"/>
  <c r="BG84" i="3"/>
  <c r="BF84" i="3"/>
  <c r="BD84" i="3"/>
  <c r="BA84" i="3"/>
  <c r="BI84" i="3"/>
  <c r="BE84" i="3"/>
  <c r="AZ84" i="3"/>
  <c r="E89" i="3"/>
  <c r="AO88" i="3"/>
  <c r="H84" i="3"/>
  <c r="BM82" i="3"/>
  <c r="AP82" i="3"/>
  <c r="G84" i="1"/>
  <c r="H83" i="1"/>
  <c r="E84" i="1"/>
  <c r="AM84" i="1" s="1"/>
  <c r="AN84" i="1" s="1"/>
  <c r="AS84" i="1"/>
  <c r="AR83" i="1"/>
  <c r="BL81" i="1"/>
  <c r="AY83" i="1"/>
  <c r="BF82" i="1"/>
  <c r="BE82" i="1"/>
  <c r="BJ82" i="1"/>
  <c r="BB82" i="1"/>
  <c r="BC82" i="1"/>
  <c r="AZ82" i="1"/>
  <c r="BK82" i="1"/>
  <c r="BH82" i="1"/>
  <c r="BI82" i="1"/>
  <c r="BG82" i="1"/>
  <c r="BD82" i="1"/>
  <c r="BA82" i="1"/>
  <c r="BL84" i="3" l="1"/>
  <c r="G87" i="3"/>
  <c r="AO89" i="3"/>
  <c r="E90" i="3"/>
  <c r="BH85" i="3"/>
  <c r="AZ85" i="3"/>
  <c r="BG85" i="3"/>
  <c r="BK85" i="3"/>
  <c r="BA85" i="3"/>
  <c r="BJ85" i="3"/>
  <c r="AY86" i="3"/>
  <c r="BI85" i="3"/>
  <c r="BE85" i="3"/>
  <c r="BD85" i="3"/>
  <c r="BF85" i="3"/>
  <c r="BB85" i="3"/>
  <c r="BC85" i="3"/>
  <c r="AS89" i="3"/>
  <c r="AR88" i="3"/>
  <c r="H85" i="3"/>
  <c r="BM83" i="3"/>
  <c r="AP83" i="3"/>
  <c r="G85" i="1"/>
  <c r="H84" i="1"/>
  <c r="E85" i="1"/>
  <c r="AM85" i="1" s="1"/>
  <c r="AN85" i="1" s="1"/>
  <c r="AY84" i="1"/>
  <c r="BJ83" i="1"/>
  <c r="BB83" i="1"/>
  <c r="BI83" i="1"/>
  <c r="BA83" i="1"/>
  <c r="BF83" i="1"/>
  <c r="BD83" i="1"/>
  <c r="AZ83" i="1"/>
  <c r="BH83" i="1"/>
  <c r="BE83" i="1"/>
  <c r="BC83" i="1"/>
  <c r="BK83" i="1"/>
  <c r="BG83" i="1"/>
  <c r="BL82" i="1"/>
  <c r="AS85" i="1"/>
  <c r="AR84" i="1"/>
  <c r="BE86" i="3" l="1"/>
  <c r="BD86" i="3"/>
  <c r="BK86" i="3"/>
  <c r="BA86" i="3"/>
  <c r="BJ86" i="3"/>
  <c r="AZ86" i="3"/>
  <c r="BI86" i="3"/>
  <c r="BG86" i="3"/>
  <c r="BF86" i="3"/>
  <c r="AY87" i="3"/>
  <c r="BH86" i="3"/>
  <c r="BB86" i="3"/>
  <c r="BC86" i="3"/>
  <c r="AS90" i="3"/>
  <c r="AR89" i="3"/>
  <c r="G88" i="3"/>
  <c r="BM84" i="3"/>
  <c r="AP84" i="3"/>
  <c r="E91" i="3"/>
  <c r="AO90" i="3"/>
  <c r="AH10" i="3" s="1"/>
  <c r="BL85" i="3"/>
  <c r="H86" i="3"/>
  <c r="G86" i="1"/>
  <c r="H85" i="1"/>
  <c r="E86" i="1"/>
  <c r="AM86" i="1" s="1"/>
  <c r="AN86" i="1" s="1"/>
  <c r="BL83" i="1"/>
  <c r="AS86" i="1"/>
  <c r="AR85" i="1"/>
  <c r="AY85" i="1"/>
  <c r="BF84" i="1"/>
  <c r="BE84" i="1"/>
  <c r="BJ84" i="1"/>
  <c r="BB84" i="1"/>
  <c r="BD84" i="1"/>
  <c r="BA84" i="1"/>
  <c r="AZ84" i="1"/>
  <c r="BI84" i="1"/>
  <c r="BK84" i="1"/>
  <c r="BH84" i="1"/>
  <c r="BG84" i="1"/>
  <c r="BC84" i="1"/>
  <c r="AS91" i="3" l="1"/>
  <c r="AR90" i="3"/>
  <c r="BL86" i="3"/>
  <c r="H87" i="3"/>
  <c r="BM85" i="3"/>
  <c r="AP85" i="3"/>
  <c r="AH23" i="3"/>
  <c r="G89" i="3"/>
  <c r="AY88" i="3"/>
  <c r="BJ87" i="3"/>
  <c r="BB87" i="3"/>
  <c r="BI87" i="3"/>
  <c r="BA87" i="3"/>
  <c r="BD87" i="3"/>
  <c r="BC87" i="3"/>
  <c r="AZ87" i="3"/>
  <c r="BH87" i="3"/>
  <c r="BG87" i="3"/>
  <c r="BE87" i="3"/>
  <c r="BK87" i="3"/>
  <c r="BF87" i="3"/>
  <c r="E92" i="3"/>
  <c r="G87" i="1"/>
  <c r="H86" i="1"/>
  <c r="E87" i="1"/>
  <c r="AM87" i="1" s="1"/>
  <c r="AN87" i="1" s="1"/>
  <c r="AY86" i="1"/>
  <c r="BJ85" i="1"/>
  <c r="BB85" i="1"/>
  <c r="BI85" i="1"/>
  <c r="BA85" i="1"/>
  <c r="BF85" i="1"/>
  <c r="BE85" i="1"/>
  <c r="BC85" i="1"/>
  <c r="AZ85" i="1"/>
  <c r="BK85" i="1"/>
  <c r="BG85" i="1"/>
  <c r="BD85" i="1"/>
  <c r="BH85" i="1"/>
  <c r="BL84" i="1"/>
  <c r="AS87" i="1"/>
  <c r="AR86" i="1"/>
  <c r="BL87" i="3" l="1"/>
  <c r="BM86" i="3"/>
  <c r="AP86" i="3"/>
  <c r="E93" i="3"/>
  <c r="G90" i="3"/>
  <c r="H88" i="3"/>
  <c r="AS92" i="3"/>
  <c r="AR91" i="3"/>
  <c r="BG88" i="3"/>
  <c r="BF88" i="3"/>
  <c r="BE88" i="3"/>
  <c r="BD88" i="3"/>
  <c r="BC88" i="3"/>
  <c r="BK88" i="3"/>
  <c r="BA88" i="3"/>
  <c r="BJ88" i="3"/>
  <c r="AZ88" i="3"/>
  <c r="BI88" i="3"/>
  <c r="BH88" i="3"/>
  <c r="AY89" i="3"/>
  <c r="BB88" i="3"/>
  <c r="G88" i="1"/>
  <c r="H87" i="1"/>
  <c r="E88" i="1"/>
  <c r="AM88" i="1" s="1"/>
  <c r="AN88" i="1" s="1"/>
  <c r="AS88" i="1"/>
  <c r="AR87" i="1"/>
  <c r="BL85" i="1"/>
  <c r="AY87" i="1"/>
  <c r="BF86" i="1"/>
  <c r="BE86" i="1"/>
  <c r="BJ86" i="1"/>
  <c r="BB86" i="1"/>
  <c r="BG86" i="1"/>
  <c r="BC86" i="1"/>
  <c r="BA86" i="1"/>
  <c r="BK86" i="1"/>
  <c r="BI86" i="1"/>
  <c r="BH86" i="1"/>
  <c r="AZ86" i="1"/>
  <c r="BD86" i="1"/>
  <c r="BL88" i="3" l="1"/>
  <c r="E94" i="3"/>
  <c r="AS93" i="3"/>
  <c r="AR92" i="3"/>
  <c r="H89" i="3"/>
  <c r="BD89" i="3"/>
  <c r="BK89" i="3"/>
  <c r="BC89" i="3"/>
  <c r="BG89" i="3"/>
  <c r="BF89" i="3"/>
  <c r="BE89" i="3"/>
  <c r="BA89" i="3"/>
  <c r="BJ89" i="3"/>
  <c r="AZ89" i="3"/>
  <c r="BH89" i="3"/>
  <c r="BB89" i="3"/>
  <c r="AY90" i="3"/>
  <c r="BI89" i="3"/>
  <c r="G91" i="3"/>
  <c r="BM87" i="3"/>
  <c r="AP87" i="3"/>
  <c r="G89" i="1"/>
  <c r="H88" i="1"/>
  <c r="E89" i="1"/>
  <c r="AM89" i="1" s="1"/>
  <c r="AN89" i="1" s="1"/>
  <c r="AY88" i="1"/>
  <c r="BJ87" i="1"/>
  <c r="BB87" i="1"/>
  <c r="BI87" i="1"/>
  <c r="BA87" i="1"/>
  <c r="BF87" i="1"/>
  <c r="BG87" i="1"/>
  <c r="BD87" i="1"/>
  <c r="BC87" i="1"/>
  <c r="BH87" i="1"/>
  <c r="BE87" i="1"/>
  <c r="AZ87" i="1"/>
  <c r="BK87" i="1"/>
  <c r="BL86" i="1"/>
  <c r="AS89" i="1"/>
  <c r="AR88" i="1"/>
  <c r="H90" i="3" l="1"/>
  <c r="BI90" i="3"/>
  <c r="BA90" i="3"/>
  <c r="BH90" i="3"/>
  <c r="AZ90" i="3"/>
  <c r="BJ90" i="3"/>
  <c r="BG90" i="3"/>
  <c r="BF90" i="3"/>
  <c r="AY91" i="3"/>
  <c r="BD90" i="3"/>
  <c r="BC90" i="3"/>
  <c r="BK90" i="3"/>
  <c r="BE90" i="3"/>
  <c r="BB90" i="3"/>
  <c r="AR93" i="3"/>
  <c r="AS94" i="3"/>
  <c r="G92" i="3"/>
  <c r="BM88" i="3"/>
  <c r="AP88" i="3"/>
  <c r="BL89" i="3"/>
  <c r="E95" i="3"/>
  <c r="G90" i="1"/>
  <c r="H89" i="1"/>
  <c r="E90" i="1"/>
  <c r="AM90" i="1" s="1"/>
  <c r="AN90" i="1" s="1"/>
  <c r="AS90" i="1"/>
  <c r="AR89" i="1"/>
  <c r="BL87" i="1"/>
  <c r="AY89" i="1"/>
  <c r="BF88" i="1"/>
  <c r="BE88" i="1"/>
  <c r="BJ88" i="1"/>
  <c r="BB88" i="1"/>
  <c r="BH88" i="1"/>
  <c r="BD88" i="1"/>
  <c r="BC88" i="1"/>
  <c r="AZ88" i="1"/>
  <c r="BK88" i="1"/>
  <c r="BI88" i="1"/>
  <c r="BA88" i="1"/>
  <c r="BG88" i="1"/>
  <c r="G93" i="3" l="1"/>
  <c r="E96" i="3"/>
  <c r="BJ91" i="3"/>
  <c r="BB91" i="3"/>
  <c r="BI91" i="3"/>
  <c r="BA91" i="3"/>
  <c r="BE91" i="3"/>
  <c r="AY92" i="3"/>
  <c r="BD91" i="3"/>
  <c r="BC91" i="3"/>
  <c r="BK91" i="3"/>
  <c r="BH91" i="3"/>
  <c r="BG91" i="3"/>
  <c r="BF91" i="3"/>
  <c r="AZ91" i="3"/>
  <c r="BM89" i="3"/>
  <c r="AP89" i="3"/>
  <c r="AS95" i="3"/>
  <c r="AR94" i="3"/>
  <c r="BL90" i="3"/>
  <c r="H91" i="3"/>
  <c r="G91" i="1"/>
  <c r="H90" i="1"/>
  <c r="E91" i="1"/>
  <c r="AY90" i="1"/>
  <c r="BK89" i="1"/>
  <c r="BJ89" i="1"/>
  <c r="BB89" i="1"/>
  <c r="BI89" i="1"/>
  <c r="BA89" i="1"/>
  <c r="BF89" i="1"/>
  <c r="BH89" i="1"/>
  <c r="BE89" i="1"/>
  <c r="BD89" i="1"/>
  <c r="AZ89" i="1"/>
  <c r="BG89" i="1"/>
  <c r="BC89" i="1"/>
  <c r="BL88" i="1"/>
  <c r="AS91" i="1"/>
  <c r="AR90" i="1"/>
  <c r="BM90" i="3" l="1"/>
  <c r="BM91" i="3" s="1"/>
  <c r="AP90" i="3"/>
  <c r="AH24" i="3" s="1"/>
  <c r="E97" i="3"/>
  <c r="BK92" i="3"/>
  <c r="BC92" i="3"/>
  <c r="BJ92" i="3"/>
  <c r="BB92" i="3"/>
  <c r="AZ92" i="3"/>
  <c r="BI92" i="3"/>
  <c r="BH92" i="3"/>
  <c r="BF92" i="3"/>
  <c r="AY93" i="3"/>
  <c r="BE92" i="3"/>
  <c r="BG92" i="3"/>
  <c r="BD92" i="3"/>
  <c r="BA92" i="3"/>
  <c r="AR95" i="3"/>
  <c r="AS96" i="3"/>
  <c r="BL91" i="3"/>
  <c r="H92" i="3"/>
  <c r="G94" i="3"/>
  <c r="G92" i="1"/>
  <c r="H91" i="1"/>
  <c r="E92" i="1"/>
  <c r="AS92" i="1"/>
  <c r="AR91" i="1"/>
  <c r="BL89" i="1"/>
  <c r="AY91" i="1"/>
  <c r="BG90" i="1"/>
  <c r="BF90" i="1"/>
  <c r="BE90" i="1"/>
  <c r="BJ90" i="1"/>
  <c r="BB90" i="1"/>
  <c r="BI90" i="1"/>
  <c r="BH90" i="1"/>
  <c r="BC90" i="1"/>
  <c r="AZ90" i="1"/>
  <c r="BD90" i="1"/>
  <c r="BK90" i="1"/>
  <c r="BA90" i="1"/>
  <c r="H93" i="3" l="1"/>
  <c r="BD93" i="3"/>
  <c r="BK93" i="3"/>
  <c r="BC93" i="3"/>
  <c r="BF93" i="3"/>
  <c r="AY94" i="3"/>
  <c r="BE93" i="3"/>
  <c r="BB93" i="3"/>
  <c r="BJ93" i="3"/>
  <c r="AZ93" i="3"/>
  <c r="BI93" i="3"/>
  <c r="BA93" i="3"/>
  <c r="BH93" i="3"/>
  <c r="BG93" i="3"/>
  <c r="AR96" i="3"/>
  <c r="AS97" i="3"/>
  <c r="E98" i="3"/>
  <c r="G95" i="3"/>
  <c r="BL92" i="3"/>
  <c r="BM92" i="3"/>
  <c r="G93" i="1"/>
  <c r="H92" i="1"/>
  <c r="E93" i="1"/>
  <c r="AY92" i="1"/>
  <c r="BK91" i="1"/>
  <c r="BC91" i="1"/>
  <c r="BJ91" i="1"/>
  <c r="BB91" i="1"/>
  <c r="BI91" i="1"/>
  <c r="BA91" i="1"/>
  <c r="BF91" i="1"/>
  <c r="AZ91" i="1"/>
  <c r="BG91" i="1"/>
  <c r="BH91" i="1"/>
  <c r="BE91" i="1"/>
  <c r="BD91" i="1"/>
  <c r="BL90" i="1"/>
  <c r="AS93" i="1"/>
  <c r="AR92" i="1"/>
  <c r="G96" i="3" l="1"/>
  <c r="BE94" i="3"/>
  <c r="BD94" i="3"/>
  <c r="BJ94" i="3"/>
  <c r="AZ94" i="3"/>
  <c r="BI94" i="3"/>
  <c r="BH94" i="3"/>
  <c r="BF94" i="3"/>
  <c r="BC94" i="3"/>
  <c r="BK94" i="3"/>
  <c r="BG94" i="3"/>
  <c r="BB94" i="3"/>
  <c r="BA94" i="3"/>
  <c r="AY95" i="3"/>
  <c r="AS98" i="3"/>
  <c r="AR97" i="3"/>
  <c r="E99" i="3"/>
  <c r="BM93" i="3"/>
  <c r="BL93" i="3"/>
  <c r="H94" i="3"/>
  <c r="H93" i="1"/>
  <c r="G94" i="1"/>
  <c r="E94" i="1"/>
  <c r="AS94" i="1"/>
  <c r="AR93" i="1"/>
  <c r="BL91" i="1"/>
  <c r="AY93" i="1"/>
  <c r="BG92" i="1"/>
  <c r="BF92" i="1"/>
  <c r="BE92" i="1"/>
  <c r="BJ92" i="1"/>
  <c r="BB92" i="1"/>
  <c r="BD92" i="1"/>
  <c r="BA92" i="1"/>
  <c r="AZ92" i="1"/>
  <c r="BK92" i="1"/>
  <c r="BH92" i="1"/>
  <c r="BC92" i="1"/>
  <c r="BI92" i="1"/>
  <c r="BM94" i="3" l="1"/>
  <c r="BL94" i="3"/>
  <c r="E100" i="3"/>
  <c r="AY96" i="3"/>
  <c r="BF95" i="3"/>
  <c r="BE95" i="3"/>
  <c r="BG95" i="3"/>
  <c r="BD95" i="3"/>
  <c r="BC95" i="3"/>
  <c r="BK95" i="3"/>
  <c r="BA95" i="3"/>
  <c r="BJ95" i="3"/>
  <c r="AZ95" i="3"/>
  <c r="BI95" i="3"/>
  <c r="BH95" i="3"/>
  <c r="BB95" i="3"/>
  <c r="G97" i="3"/>
  <c r="H95" i="3"/>
  <c r="AS99" i="3"/>
  <c r="AR98" i="3"/>
  <c r="H94" i="1"/>
  <c r="G95" i="1"/>
  <c r="E95" i="1"/>
  <c r="BL92" i="1"/>
  <c r="AY94" i="1"/>
  <c r="BK93" i="1"/>
  <c r="BC93" i="1"/>
  <c r="BJ93" i="1"/>
  <c r="BB93" i="1"/>
  <c r="BI93" i="1"/>
  <c r="BA93" i="1"/>
  <c r="BF93" i="1"/>
  <c r="BH93" i="1"/>
  <c r="BE93" i="1"/>
  <c r="BD93" i="1"/>
  <c r="AZ93" i="1"/>
  <c r="BG93" i="1"/>
  <c r="AS95" i="1"/>
  <c r="AR94" i="1"/>
  <c r="H96" i="3" l="1"/>
  <c r="BL95" i="3"/>
  <c r="BG96" i="3"/>
  <c r="AY97" i="3"/>
  <c r="BF96" i="3"/>
  <c r="BB96" i="3"/>
  <c r="BK96" i="3"/>
  <c r="BA96" i="3"/>
  <c r="BJ96" i="3"/>
  <c r="AZ96" i="3"/>
  <c r="BH96" i="3"/>
  <c r="BE96" i="3"/>
  <c r="BI96" i="3"/>
  <c r="BD96" i="3"/>
  <c r="BC96" i="3"/>
  <c r="G98" i="3"/>
  <c r="E101" i="3"/>
  <c r="BM95" i="3"/>
  <c r="AS100" i="3"/>
  <c r="AR99" i="3"/>
  <c r="H95" i="1"/>
  <c r="G96" i="1"/>
  <c r="E96" i="1"/>
  <c r="AS96" i="1"/>
  <c r="AR95" i="1"/>
  <c r="BL93" i="1"/>
  <c r="AY95" i="1"/>
  <c r="BG94" i="1"/>
  <c r="BF94" i="1"/>
  <c r="BE94" i="1"/>
  <c r="BJ94" i="1"/>
  <c r="BB94" i="1"/>
  <c r="BI94" i="1"/>
  <c r="BH94" i="1"/>
  <c r="BC94" i="1"/>
  <c r="BK94" i="1"/>
  <c r="BD94" i="1"/>
  <c r="BA94" i="1"/>
  <c r="AZ94" i="1"/>
  <c r="BM96" i="3" l="1"/>
  <c r="BH97" i="3"/>
  <c r="AZ97" i="3"/>
  <c r="BG97" i="3"/>
  <c r="BI97" i="3"/>
  <c r="BF97" i="3"/>
  <c r="BE97" i="3"/>
  <c r="BC97" i="3"/>
  <c r="BB97" i="3"/>
  <c r="BA97" i="3"/>
  <c r="AY98" i="3"/>
  <c r="BK97" i="3"/>
  <c r="BJ97" i="3"/>
  <c r="BD97" i="3"/>
  <c r="E102" i="3"/>
  <c r="BL96" i="3"/>
  <c r="H97" i="3"/>
  <c r="G99" i="3"/>
  <c r="AR100" i="3"/>
  <c r="AS101" i="3"/>
  <c r="H96" i="1"/>
  <c r="G97" i="1"/>
  <c r="E97" i="1"/>
  <c r="BL94" i="1"/>
  <c r="AY96" i="1"/>
  <c r="BK95" i="1"/>
  <c r="BC95" i="1"/>
  <c r="BJ95" i="1"/>
  <c r="BB95" i="1"/>
  <c r="BI95" i="1"/>
  <c r="BA95" i="1"/>
  <c r="BF95" i="1"/>
  <c r="AZ95" i="1"/>
  <c r="BG95" i="1"/>
  <c r="BD95" i="1"/>
  <c r="BH95" i="1"/>
  <c r="BE95" i="1"/>
  <c r="AS97" i="1"/>
  <c r="AR96" i="1"/>
  <c r="BM97" i="3" l="1"/>
  <c r="E103" i="3"/>
  <c r="G100" i="3"/>
  <c r="AR101" i="3"/>
  <c r="AS102" i="3"/>
  <c r="H98" i="3"/>
  <c r="BI98" i="3"/>
  <c r="BA98" i="3"/>
  <c r="BH98" i="3"/>
  <c r="AZ98" i="3"/>
  <c r="AY99" i="3"/>
  <c r="BD98" i="3"/>
  <c r="BC98" i="3"/>
  <c r="BB98" i="3"/>
  <c r="BJ98" i="3"/>
  <c r="BG98" i="3"/>
  <c r="BK98" i="3"/>
  <c r="BF98" i="3"/>
  <c r="BE98" i="3"/>
  <c r="BL97" i="3"/>
  <c r="H97" i="1"/>
  <c r="G98" i="1"/>
  <c r="E98" i="1"/>
  <c r="AS98" i="1"/>
  <c r="AR97" i="1"/>
  <c r="BL95" i="1"/>
  <c r="AY97" i="1"/>
  <c r="BG96" i="1"/>
  <c r="BF96" i="1"/>
  <c r="BE96" i="1"/>
  <c r="BJ96" i="1"/>
  <c r="BB96" i="1"/>
  <c r="BD96" i="1"/>
  <c r="BA96" i="1"/>
  <c r="AZ96" i="1"/>
  <c r="BK96" i="1"/>
  <c r="BI96" i="1"/>
  <c r="BH96" i="1"/>
  <c r="BC96" i="1"/>
  <c r="G101" i="3" l="1"/>
  <c r="H99" i="3"/>
  <c r="AS103" i="3"/>
  <c r="AR102" i="3"/>
  <c r="E104" i="3"/>
  <c r="BJ99" i="3"/>
  <c r="BB99" i="3"/>
  <c r="BI99" i="3"/>
  <c r="BA99" i="3"/>
  <c r="AY100" i="3"/>
  <c r="BK99" i="3"/>
  <c r="BH99" i="3"/>
  <c r="BG99" i="3"/>
  <c r="BE99" i="3"/>
  <c r="BD99" i="3"/>
  <c r="BF99" i="3"/>
  <c r="BC99" i="3"/>
  <c r="AZ99" i="3"/>
  <c r="BL98" i="3"/>
  <c r="BM98" i="3"/>
  <c r="H98" i="1"/>
  <c r="E99" i="1"/>
  <c r="BL96" i="1"/>
  <c r="AY98" i="1"/>
  <c r="BH97" i="1"/>
  <c r="BG97" i="1"/>
  <c r="BE97" i="1"/>
  <c r="BC97" i="1"/>
  <c r="BB97" i="1"/>
  <c r="BA97" i="1"/>
  <c r="BI97" i="1"/>
  <c r="BK97" i="1"/>
  <c r="BF97" i="1"/>
  <c r="BD97" i="1"/>
  <c r="BJ97" i="1"/>
  <c r="AZ97" i="1"/>
  <c r="AS99" i="1"/>
  <c r="AR98" i="1"/>
  <c r="H100" i="3" l="1"/>
  <c r="E105" i="3"/>
  <c r="BM99" i="3"/>
  <c r="G102" i="3"/>
  <c r="BL99" i="3"/>
  <c r="AY101" i="3"/>
  <c r="BF100" i="3"/>
  <c r="BE100" i="3"/>
  <c r="BD100" i="3"/>
  <c r="BK100" i="3"/>
  <c r="BC100" i="3"/>
  <c r="BJ100" i="3"/>
  <c r="BB100" i="3"/>
  <c r="BH100" i="3"/>
  <c r="BG100" i="3"/>
  <c r="BA100" i="3"/>
  <c r="AZ100" i="3"/>
  <c r="BI100" i="3"/>
  <c r="AS104" i="3"/>
  <c r="AR103" i="3"/>
  <c r="G99" i="1"/>
  <c r="H99" i="1" s="1"/>
  <c r="E100" i="1"/>
  <c r="AS100" i="1"/>
  <c r="AR99" i="1"/>
  <c r="AY99" i="1"/>
  <c r="BD98" i="1"/>
  <c r="BK98" i="1"/>
  <c r="BC98" i="1"/>
  <c r="BI98" i="1"/>
  <c r="BA98" i="1"/>
  <c r="BE98" i="1"/>
  <c r="BB98" i="1"/>
  <c r="AZ98" i="1"/>
  <c r="BH98" i="1"/>
  <c r="BJ98" i="1"/>
  <c r="BF98" i="1"/>
  <c r="BG98" i="1"/>
  <c r="BL97" i="1"/>
  <c r="BM100" i="3" l="1"/>
  <c r="E106" i="3"/>
  <c r="BL100" i="3"/>
  <c r="BG101" i="3"/>
  <c r="AY102" i="3"/>
  <c r="BF101" i="3"/>
  <c r="BE101" i="3"/>
  <c r="BD101" i="3"/>
  <c r="BK101" i="3"/>
  <c r="BC101" i="3"/>
  <c r="BI101" i="3"/>
  <c r="BH101" i="3"/>
  <c r="BB101" i="3"/>
  <c r="AZ101" i="3"/>
  <c r="BA101" i="3"/>
  <c r="BJ101" i="3"/>
  <c r="AS105" i="3"/>
  <c r="AR104" i="3"/>
  <c r="G103" i="3"/>
  <c r="H101" i="3"/>
  <c r="G100" i="1"/>
  <c r="H100" i="1" s="1"/>
  <c r="E101" i="1"/>
  <c r="BL98" i="1"/>
  <c r="AY100" i="1"/>
  <c r="BH99" i="1"/>
  <c r="AZ99" i="1"/>
  <c r="BG99" i="1"/>
  <c r="BE99" i="1"/>
  <c r="BD99" i="1"/>
  <c r="BC99" i="1"/>
  <c r="BB99" i="1"/>
  <c r="BJ99" i="1"/>
  <c r="BI99" i="1"/>
  <c r="BF99" i="1"/>
  <c r="BA99" i="1"/>
  <c r="BK99" i="1"/>
  <c r="AS101" i="1"/>
  <c r="AR100" i="1"/>
  <c r="BM101" i="3" l="1"/>
  <c r="BH102" i="3"/>
  <c r="AZ102" i="3"/>
  <c r="BG102" i="3"/>
  <c r="AY103" i="3"/>
  <c r="BF102" i="3"/>
  <c r="BE102" i="3"/>
  <c r="BD102" i="3"/>
  <c r="BB102" i="3"/>
  <c r="BA102" i="3"/>
  <c r="BK102" i="3"/>
  <c r="BJ102" i="3"/>
  <c r="BC102" i="3"/>
  <c r="BI102" i="3"/>
  <c r="BL101" i="3"/>
  <c r="AS106" i="3"/>
  <c r="AR105" i="3"/>
  <c r="H102" i="3"/>
  <c r="E107" i="3"/>
  <c r="G104" i="3"/>
  <c r="G101" i="1"/>
  <c r="H101" i="1" s="1"/>
  <c r="E102" i="1"/>
  <c r="AS102" i="1"/>
  <c r="AR101" i="1"/>
  <c r="BL99" i="1"/>
  <c r="AY101" i="1"/>
  <c r="BD100" i="1"/>
  <c r="BK100" i="1"/>
  <c r="BC100" i="1"/>
  <c r="BI100" i="1"/>
  <c r="BA100" i="1"/>
  <c r="BF100" i="1"/>
  <c r="BE100" i="1"/>
  <c r="BB100" i="1"/>
  <c r="BJ100" i="1"/>
  <c r="AZ100" i="1"/>
  <c r="BH100" i="1"/>
  <c r="BG100" i="1"/>
  <c r="BI103" i="3" l="1"/>
  <c r="BA103" i="3"/>
  <c r="BH103" i="3"/>
  <c r="AZ103" i="3"/>
  <c r="BG103" i="3"/>
  <c r="AY104" i="3"/>
  <c r="BF103" i="3"/>
  <c r="BE103" i="3"/>
  <c r="BJ103" i="3"/>
  <c r="BD103" i="3"/>
  <c r="BC103" i="3"/>
  <c r="BB103" i="3"/>
  <c r="BK103" i="3"/>
  <c r="H103" i="3"/>
  <c r="E108" i="3"/>
  <c r="BL102" i="3"/>
  <c r="G105" i="3"/>
  <c r="AS107" i="3"/>
  <c r="AR106" i="3"/>
  <c r="BM102" i="3"/>
  <c r="G102" i="1"/>
  <c r="H102" i="1" s="1"/>
  <c r="E103" i="1"/>
  <c r="BL100" i="1"/>
  <c r="AY102" i="1"/>
  <c r="BH101" i="1"/>
  <c r="AZ101" i="1"/>
  <c r="BG101" i="1"/>
  <c r="BE101" i="1"/>
  <c r="BF101" i="1"/>
  <c r="BD101" i="1"/>
  <c r="BC101" i="1"/>
  <c r="BK101" i="1"/>
  <c r="BJ101" i="1"/>
  <c r="BI101" i="1"/>
  <c r="BA101" i="1"/>
  <c r="BB101" i="1"/>
  <c r="AS103" i="1"/>
  <c r="AR102" i="1"/>
  <c r="E109" i="3" l="1"/>
  <c r="H104" i="3"/>
  <c r="BJ104" i="3"/>
  <c r="BB104" i="3"/>
  <c r="BI104" i="3"/>
  <c r="BA104" i="3"/>
  <c r="BH104" i="3"/>
  <c r="AZ104" i="3"/>
  <c r="BG104" i="3"/>
  <c r="AY105" i="3"/>
  <c r="BF104" i="3"/>
  <c r="BK104" i="3"/>
  <c r="BD104" i="3"/>
  <c r="BC104" i="3"/>
  <c r="BE104" i="3"/>
  <c r="G106" i="3"/>
  <c r="BL103" i="3"/>
  <c r="AS108" i="3"/>
  <c r="AR107" i="3"/>
  <c r="BM103" i="3"/>
  <c r="G103" i="1"/>
  <c r="H103" i="1" s="1"/>
  <c r="E104" i="1"/>
  <c r="BL101" i="1"/>
  <c r="AS104" i="1"/>
  <c r="AR103" i="1"/>
  <c r="AY103" i="1"/>
  <c r="BD102" i="1"/>
  <c r="BK102" i="1"/>
  <c r="BC102" i="1"/>
  <c r="BI102" i="1"/>
  <c r="BA102" i="1"/>
  <c r="BG102" i="1"/>
  <c r="BF102" i="1"/>
  <c r="BE102" i="1"/>
  <c r="BB102" i="1"/>
  <c r="BH102" i="1"/>
  <c r="AZ102" i="1"/>
  <c r="BJ102" i="1"/>
  <c r="AS109" i="3" l="1"/>
  <c r="AR108" i="3"/>
  <c r="E110" i="3"/>
  <c r="G107" i="3"/>
  <c r="BK105" i="3"/>
  <c r="BC105" i="3"/>
  <c r="BJ105" i="3"/>
  <c r="BB105" i="3"/>
  <c r="BI105" i="3"/>
  <c r="BA105" i="3"/>
  <c r="BH105" i="3"/>
  <c r="AZ105" i="3"/>
  <c r="BG105" i="3"/>
  <c r="AY106" i="3"/>
  <c r="BF105" i="3"/>
  <c r="BE105" i="3"/>
  <c r="BD105" i="3"/>
  <c r="H105" i="3"/>
  <c r="BM104" i="3"/>
  <c r="BL104" i="3"/>
  <c r="G104" i="1"/>
  <c r="H104" i="1" s="1"/>
  <c r="E105" i="1"/>
  <c r="BL102" i="1"/>
  <c r="AY104" i="1"/>
  <c r="BH103" i="1"/>
  <c r="AZ103" i="1"/>
  <c r="BG103" i="1"/>
  <c r="BE103" i="1"/>
  <c r="BI103" i="1"/>
  <c r="BF103" i="1"/>
  <c r="BD103" i="1"/>
  <c r="BA103" i="1"/>
  <c r="BK103" i="1"/>
  <c r="BJ103" i="1"/>
  <c r="BB103" i="1"/>
  <c r="BC103" i="1"/>
  <c r="AS105" i="1"/>
  <c r="AR104" i="1"/>
  <c r="BL105" i="3" l="1"/>
  <c r="G108" i="3"/>
  <c r="H106" i="3"/>
  <c r="E111" i="3"/>
  <c r="BM105" i="3"/>
  <c r="BD106" i="3"/>
  <c r="BK106" i="3"/>
  <c r="BC106" i="3"/>
  <c r="BJ106" i="3"/>
  <c r="BB106" i="3"/>
  <c r="BI106" i="3"/>
  <c r="BA106" i="3"/>
  <c r="BH106" i="3"/>
  <c r="AZ106" i="3"/>
  <c r="BE106" i="3"/>
  <c r="BG106" i="3"/>
  <c r="BF106" i="3"/>
  <c r="AY107" i="3"/>
  <c r="AS110" i="3"/>
  <c r="AR109" i="3"/>
  <c r="G105" i="1"/>
  <c r="H105" i="1" s="1"/>
  <c r="E106" i="1"/>
  <c r="BL103" i="1"/>
  <c r="AS106" i="1"/>
  <c r="AR105" i="1"/>
  <c r="AY105" i="1"/>
  <c r="BD104" i="1"/>
  <c r="BK104" i="1"/>
  <c r="BC104" i="1"/>
  <c r="BI104" i="1"/>
  <c r="BA104" i="1"/>
  <c r="BH104" i="1"/>
  <c r="BG104" i="1"/>
  <c r="BF104" i="1"/>
  <c r="AZ104" i="1"/>
  <c r="BE104" i="1"/>
  <c r="BJ104" i="1"/>
  <c r="BB104" i="1"/>
  <c r="BE107" i="3" l="1"/>
  <c r="BD107" i="3"/>
  <c r="BK107" i="3"/>
  <c r="BC107" i="3"/>
  <c r="BJ107" i="3"/>
  <c r="BB107" i="3"/>
  <c r="BI107" i="3"/>
  <c r="BA107" i="3"/>
  <c r="BG107" i="3"/>
  <c r="AY108" i="3"/>
  <c r="BF107" i="3"/>
  <c r="BH107" i="3"/>
  <c r="AZ107" i="3"/>
  <c r="H107" i="3"/>
  <c r="BL106" i="3"/>
  <c r="AR110" i="3"/>
  <c r="AS111" i="3"/>
  <c r="E112" i="3"/>
  <c r="BM106" i="3"/>
  <c r="G109" i="3"/>
  <c r="G106" i="1"/>
  <c r="H106" i="1" s="1"/>
  <c r="E107" i="1"/>
  <c r="AY106" i="1"/>
  <c r="BH105" i="1"/>
  <c r="AZ105" i="1"/>
  <c r="BG105" i="1"/>
  <c r="BE105" i="1"/>
  <c r="BJ105" i="1"/>
  <c r="BI105" i="1"/>
  <c r="BF105" i="1"/>
  <c r="BB105" i="1"/>
  <c r="BK105" i="1"/>
  <c r="BC105" i="1"/>
  <c r="BD105" i="1"/>
  <c r="BA105" i="1"/>
  <c r="AS107" i="1"/>
  <c r="AR106" i="1"/>
  <c r="BL104" i="1"/>
  <c r="H108" i="3" l="1"/>
  <c r="BM107" i="3"/>
  <c r="E113" i="3"/>
  <c r="AS112" i="3"/>
  <c r="AR111" i="3"/>
  <c r="AY109" i="3"/>
  <c r="BF108" i="3"/>
  <c r="BE108" i="3"/>
  <c r="BD108" i="3"/>
  <c r="BK108" i="3"/>
  <c r="BC108" i="3"/>
  <c r="BJ108" i="3"/>
  <c r="BB108" i="3"/>
  <c r="BI108" i="3"/>
  <c r="BH108" i="3"/>
  <c r="BG108" i="3"/>
  <c r="AZ108" i="3"/>
  <c r="BA108" i="3"/>
  <c r="BL107" i="3"/>
  <c r="G110" i="3"/>
  <c r="G107" i="1"/>
  <c r="H107" i="1" s="1"/>
  <c r="E108" i="1"/>
  <c r="BL105" i="1"/>
  <c r="AS108" i="1"/>
  <c r="AR107" i="1"/>
  <c r="AY107" i="1"/>
  <c r="BD106" i="1"/>
  <c r="BK106" i="1"/>
  <c r="BC106" i="1"/>
  <c r="BI106" i="1"/>
  <c r="BA106" i="1"/>
  <c r="BJ106" i="1"/>
  <c r="BH106" i="1"/>
  <c r="BG106" i="1"/>
  <c r="BB106" i="1"/>
  <c r="BF106" i="1"/>
  <c r="AZ106" i="1"/>
  <c r="BE106" i="1"/>
  <c r="AS113" i="3" l="1"/>
  <c r="AR112" i="3"/>
  <c r="BG109" i="3"/>
  <c r="AY110" i="3"/>
  <c r="BF109" i="3"/>
  <c r="BE109" i="3"/>
  <c r="BD109" i="3"/>
  <c r="BK109" i="3"/>
  <c r="BC109" i="3"/>
  <c r="BA109" i="3"/>
  <c r="AZ109" i="3"/>
  <c r="BJ109" i="3"/>
  <c r="BI109" i="3"/>
  <c r="BH109" i="3"/>
  <c r="BB109" i="3"/>
  <c r="E114" i="3"/>
  <c r="BL108" i="3"/>
  <c r="BM108" i="3"/>
  <c r="G111" i="3"/>
  <c r="H109" i="3"/>
  <c r="G108" i="1"/>
  <c r="H108" i="1" s="1"/>
  <c r="E109" i="1"/>
  <c r="BL106" i="1"/>
  <c r="AY108" i="1"/>
  <c r="BH107" i="1"/>
  <c r="AZ107" i="1"/>
  <c r="BG107" i="1"/>
  <c r="BE107" i="1"/>
  <c r="BK107" i="1"/>
  <c r="BJ107" i="1"/>
  <c r="BI107" i="1"/>
  <c r="BC107" i="1"/>
  <c r="BD107" i="1"/>
  <c r="BA107" i="1"/>
  <c r="BF107" i="1"/>
  <c r="BB107" i="1"/>
  <c r="AS109" i="1"/>
  <c r="AR108" i="1"/>
  <c r="BH110" i="3" l="1"/>
  <c r="AZ110" i="3"/>
  <c r="BG110" i="3"/>
  <c r="AY111" i="3"/>
  <c r="BF110" i="3"/>
  <c r="BE110" i="3"/>
  <c r="BD110" i="3"/>
  <c r="BK110" i="3"/>
  <c r="BJ110" i="3"/>
  <c r="BC110" i="3"/>
  <c r="BB110" i="3"/>
  <c r="BI110" i="3"/>
  <c r="BA110" i="3"/>
  <c r="BM109" i="3"/>
  <c r="BL109" i="3"/>
  <c r="H110" i="3"/>
  <c r="G112" i="3"/>
  <c r="E115" i="3"/>
  <c r="AS114" i="3"/>
  <c r="AR113" i="3"/>
  <c r="G109" i="1"/>
  <c r="H109" i="1" s="1"/>
  <c r="E110" i="1"/>
  <c r="AS110" i="1"/>
  <c r="AR109" i="1"/>
  <c r="BL107" i="1"/>
  <c r="AY109" i="1"/>
  <c r="BD108" i="1"/>
  <c r="BK108" i="1"/>
  <c r="BC108" i="1"/>
  <c r="BI108" i="1"/>
  <c r="BA108" i="1"/>
  <c r="BJ108" i="1"/>
  <c r="BH108" i="1"/>
  <c r="BE108" i="1"/>
  <c r="BG108" i="1"/>
  <c r="BB108" i="1"/>
  <c r="AZ108" i="1"/>
  <c r="BF108" i="1"/>
  <c r="E116" i="3" l="1"/>
  <c r="BM110" i="3"/>
  <c r="G113" i="3"/>
  <c r="BI111" i="3"/>
  <c r="BA111" i="3"/>
  <c r="BH111" i="3"/>
  <c r="AZ111" i="3"/>
  <c r="BG111" i="3"/>
  <c r="AY112" i="3"/>
  <c r="BF111" i="3"/>
  <c r="BE111" i="3"/>
  <c r="BK111" i="3"/>
  <c r="BJ111" i="3"/>
  <c r="BD111" i="3"/>
  <c r="BB111" i="3"/>
  <c r="BC111" i="3"/>
  <c r="BL110" i="3"/>
  <c r="AS115" i="3"/>
  <c r="AR114" i="3"/>
  <c r="H111" i="3"/>
  <c r="G110" i="1"/>
  <c r="H110" i="1" s="1"/>
  <c r="E111" i="1"/>
  <c r="AY110" i="1"/>
  <c r="BH109" i="1"/>
  <c r="AZ109" i="1"/>
  <c r="BG109" i="1"/>
  <c r="BE109" i="1"/>
  <c r="BA109" i="1"/>
  <c r="BK109" i="1"/>
  <c r="BJ109" i="1"/>
  <c r="BD109" i="1"/>
  <c r="BF109" i="1"/>
  <c r="BI109" i="1"/>
  <c r="BC109" i="1"/>
  <c r="BB109" i="1"/>
  <c r="BL108" i="1"/>
  <c r="AS111" i="1"/>
  <c r="AR110" i="1"/>
  <c r="BJ112" i="3" l="1"/>
  <c r="BB112" i="3"/>
  <c r="BI112" i="3"/>
  <c r="BA112" i="3"/>
  <c r="BH112" i="3"/>
  <c r="AZ112" i="3"/>
  <c r="BG112" i="3"/>
  <c r="AY113" i="3"/>
  <c r="BF112" i="3"/>
  <c r="BE112" i="3"/>
  <c r="BD112" i="3"/>
  <c r="BC112" i="3"/>
  <c r="BK112" i="3"/>
  <c r="G114" i="3"/>
  <c r="BL111" i="3"/>
  <c r="AS116" i="3"/>
  <c r="AR115" i="3"/>
  <c r="BM111" i="3"/>
  <c r="H112" i="3"/>
  <c r="E117" i="3"/>
  <c r="G111" i="1"/>
  <c r="H111" i="1" s="1"/>
  <c r="E112" i="1"/>
  <c r="AS112" i="1"/>
  <c r="AR111" i="1"/>
  <c r="BL109" i="1"/>
  <c r="AY111" i="1"/>
  <c r="BD110" i="1"/>
  <c r="BK110" i="1"/>
  <c r="BC110" i="1"/>
  <c r="BI110" i="1"/>
  <c r="BA110" i="1"/>
  <c r="AZ110" i="1"/>
  <c r="BJ110" i="1"/>
  <c r="BF110" i="1"/>
  <c r="BH110" i="1"/>
  <c r="BE110" i="1"/>
  <c r="BB110" i="1"/>
  <c r="BG110" i="1"/>
  <c r="BK113" i="3" l="1"/>
  <c r="BC113" i="3"/>
  <c r="BJ113" i="3"/>
  <c r="BB113" i="3"/>
  <c r="BI113" i="3"/>
  <c r="BA113" i="3"/>
  <c r="BH113" i="3"/>
  <c r="AZ113" i="3"/>
  <c r="BG113" i="3"/>
  <c r="BD113" i="3"/>
  <c r="AY114" i="3"/>
  <c r="BF113" i="3"/>
  <c r="BE113" i="3"/>
  <c r="BM112" i="3"/>
  <c r="G115" i="3"/>
  <c r="BL112" i="3"/>
  <c r="H113" i="3"/>
  <c r="AS117" i="3"/>
  <c r="AR116" i="3"/>
  <c r="E118" i="3"/>
  <c r="G112" i="1"/>
  <c r="H112" i="1" s="1"/>
  <c r="E113" i="1"/>
  <c r="AY112" i="1"/>
  <c r="BH111" i="1"/>
  <c r="AZ111" i="1"/>
  <c r="BG111" i="1"/>
  <c r="BE111" i="1"/>
  <c r="BB111" i="1"/>
  <c r="BA111" i="1"/>
  <c r="BK111" i="1"/>
  <c r="BF111" i="1"/>
  <c r="BI111" i="1"/>
  <c r="BC111" i="1"/>
  <c r="BJ111" i="1"/>
  <c r="BD111" i="1"/>
  <c r="BL110" i="1"/>
  <c r="AS113" i="1"/>
  <c r="AR112" i="1"/>
  <c r="BL113" i="3" l="1"/>
  <c r="G116" i="3"/>
  <c r="AR117" i="3"/>
  <c r="AS118" i="3"/>
  <c r="H114" i="3"/>
  <c r="BM113" i="3"/>
  <c r="BD114" i="3"/>
  <c r="BK114" i="3"/>
  <c r="BC114" i="3"/>
  <c r="BJ114" i="3"/>
  <c r="BB114" i="3"/>
  <c r="BI114" i="3"/>
  <c r="BA114" i="3"/>
  <c r="BH114" i="3"/>
  <c r="AZ114" i="3"/>
  <c r="AY115" i="3"/>
  <c r="BF114" i="3"/>
  <c r="BE114" i="3"/>
  <c r="BG114" i="3"/>
  <c r="E119" i="3"/>
  <c r="G113" i="1"/>
  <c r="H113" i="1" s="1"/>
  <c r="E114" i="1"/>
  <c r="AS114" i="1"/>
  <c r="AR113" i="1"/>
  <c r="BL111" i="1"/>
  <c r="AY113" i="1"/>
  <c r="BD112" i="1"/>
  <c r="BK112" i="1"/>
  <c r="BC112" i="1"/>
  <c r="BI112" i="1"/>
  <c r="BA112" i="1"/>
  <c r="BB112" i="1"/>
  <c r="AZ112" i="1"/>
  <c r="BG112" i="1"/>
  <c r="BJ112" i="1"/>
  <c r="BF112" i="1"/>
  <c r="BE112" i="1"/>
  <c r="BH112" i="1"/>
  <c r="AS119" i="3" l="1"/>
  <c r="AR118" i="3"/>
  <c r="BE115" i="3"/>
  <c r="BD115" i="3"/>
  <c r="BK115" i="3"/>
  <c r="BC115" i="3"/>
  <c r="BJ115" i="3"/>
  <c r="BB115" i="3"/>
  <c r="BI115" i="3"/>
  <c r="BA115" i="3"/>
  <c r="BH115" i="3"/>
  <c r="BG115" i="3"/>
  <c r="AY116" i="3"/>
  <c r="BF115" i="3"/>
  <c r="AZ115" i="3"/>
  <c r="BL114" i="3"/>
  <c r="G117" i="3"/>
  <c r="E120" i="3"/>
  <c r="BM114" i="3"/>
  <c r="H115" i="3"/>
  <c r="G114" i="1"/>
  <c r="H114" i="1" s="1"/>
  <c r="E115" i="1"/>
  <c r="AY114" i="1"/>
  <c r="BH113" i="1"/>
  <c r="AZ113" i="1"/>
  <c r="BG113" i="1"/>
  <c r="BE113" i="1"/>
  <c r="BC113" i="1"/>
  <c r="BB113" i="1"/>
  <c r="BA113" i="1"/>
  <c r="BI113" i="1"/>
  <c r="BJ113" i="1"/>
  <c r="BK113" i="1"/>
  <c r="BF113" i="1"/>
  <c r="BD113" i="1"/>
  <c r="BL112" i="1"/>
  <c r="AS115" i="1"/>
  <c r="AR114" i="1"/>
  <c r="BM115" i="3" l="1"/>
  <c r="BL115" i="3"/>
  <c r="E121" i="3"/>
  <c r="AS120" i="3"/>
  <c r="AR119" i="3"/>
  <c r="AY117" i="3"/>
  <c r="BF116" i="3"/>
  <c r="BE116" i="3"/>
  <c r="BD116" i="3"/>
  <c r="BK116" i="3"/>
  <c r="BC116" i="3"/>
  <c r="BJ116" i="3"/>
  <c r="BB116" i="3"/>
  <c r="BA116" i="3"/>
  <c r="AZ116" i="3"/>
  <c r="BI116" i="3"/>
  <c r="BG116" i="3"/>
  <c r="BH116" i="3"/>
  <c r="H116" i="3"/>
  <c r="G118" i="3"/>
  <c r="G115" i="1"/>
  <c r="H115" i="1" s="1"/>
  <c r="E116" i="1"/>
  <c r="AS116" i="1"/>
  <c r="AR115" i="1"/>
  <c r="BL113" i="1"/>
  <c r="AY115" i="1"/>
  <c r="BD114" i="1"/>
  <c r="BK114" i="1"/>
  <c r="BC114" i="1"/>
  <c r="BI114" i="1"/>
  <c r="BA114" i="1"/>
  <c r="BE114" i="1"/>
  <c r="BB114" i="1"/>
  <c r="AZ114" i="1"/>
  <c r="BH114" i="1"/>
  <c r="BG114" i="1"/>
  <c r="BF114" i="1"/>
  <c r="BJ114" i="1"/>
  <c r="BL116" i="3" l="1"/>
  <c r="BM116" i="3"/>
  <c r="BG117" i="3"/>
  <c r="AY118" i="3"/>
  <c r="BF117" i="3"/>
  <c r="BE117" i="3"/>
  <c r="BD117" i="3"/>
  <c r="BK117" i="3"/>
  <c r="BC117" i="3"/>
  <c r="BJ117" i="3"/>
  <c r="BI117" i="3"/>
  <c r="BB117" i="3"/>
  <c r="BA117" i="3"/>
  <c r="AZ117" i="3"/>
  <c r="BH117" i="3"/>
  <c r="AS121" i="3"/>
  <c r="AR120" i="3"/>
  <c r="E122" i="3"/>
  <c r="G119" i="3"/>
  <c r="H117" i="3"/>
  <c r="G116" i="1"/>
  <c r="H116" i="1" s="1"/>
  <c r="E117" i="1"/>
  <c r="AY116" i="1"/>
  <c r="BH115" i="1"/>
  <c r="AZ115" i="1"/>
  <c r="BG115" i="1"/>
  <c r="BE115" i="1"/>
  <c r="BD115" i="1"/>
  <c r="BC115" i="1"/>
  <c r="BB115" i="1"/>
  <c r="BJ115" i="1"/>
  <c r="BA115" i="1"/>
  <c r="BK115" i="1"/>
  <c r="BF115" i="1"/>
  <c r="BI115" i="1"/>
  <c r="BL114" i="1"/>
  <c r="AS117" i="1"/>
  <c r="AR116" i="1"/>
  <c r="BL117" i="3" l="1"/>
  <c r="H118" i="3"/>
  <c r="G120" i="3"/>
  <c r="AS122" i="3"/>
  <c r="AR121" i="3"/>
  <c r="BH118" i="3"/>
  <c r="AZ118" i="3"/>
  <c r="BG118" i="3"/>
  <c r="AY119" i="3"/>
  <c r="BF118" i="3"/>
  <c r="BE118" i="3"/>
  <c r="BD118" i="3"/>
  <c r="BI118" i="3"/>
  <c r="BC118" i="3"/>
  <c r="BB118" i="3"/>
  <c r="BA118" i="3"/>
  <c r="BK118" i="3"/>
  <c r="BJ118" i="3"/>
  <c r="E123" i="3"/>
  <c r="BM117" i="3"/>
  <c r="G117" i="1"/>
  <c r="H117" i="1" s="1"/>
  <c r="E118" i="1"/>
  <c r="AS118" i="1"/>
  <c r="AR117" i="1"/>
  <c r="BL115" i="1"/>
  <c r="AY117" i="1"/>
  <c r="BD116" i="1"/>
  <c r="BK116" i="1"/>
  <c r="BC116" i="1"/>
  <c r="BI116" i="1"/>
  <c r="BA116" i="1"/>
  <c r="BF116" i="1"/>
  <c r="BE116" i="1"/>
  <c r="BB116" i="1"/>
  <c r="BJ116" i="1"/>
  <c r="BH116" i="1"/>
  <c r="BG116" i="1"/>
  <c r="AZ116" i="1"/>
  <c r="E124" i="3" l="1"/>
  <c r="AS123" i="3"/>
  <c r="AR122" i="3"/>
  <c r="G121" i="3"/>
  <c r="BL118" i="3"/>
  <c r="H119" i="3"/>
  <c r="BI119" i="3"/>
  <c r="BA119" i="3"/>
  <c r="BH119" i="3"/>
  <c r="AZ119" i="3"/>
  <c r="BG119" i="3"/>
  <c r="AY120" i="3"/>
  <c r="BF119" i="3"/>
  <c r="BE119" i="3"/>
  <c r="BC119" i="3"/>
  <c r="BB119" i="3"/>
  <c r="BK119" i="3"/>
  <c r="BD119" i="3"/>
  <c r="BJ119" i="3"/>
  <c r="BM118" i="3"/>
  <c r="G118" i="1"/>
  <c r="H118" i="1" s="1"/>
  <c r="E119" i="1"/>
  <c r="BL116" i="1"/>
  <c r="AY118" i="1"/>
  <c r="BH117" i="1"/>
  <c r="AZ117" i="1"/>
  <c r="BG117" i="1"/>
  <c r="BE117" i="1"/>
  <c r="BF117" i="1"/>
  <c r="BD117" i="1"/>
  <c r="BC117" i="1"/>
  <c r="BK117" i="1"/>
  <c r="BB117" i="1"/>
  <c r="BJ117" i="1"/>
  <c r="BI117" i="1"/>
  <c r="BA117" i="1"/>
  <c r="AS119" i="1"/>
  <c r="AR118" i="1"/>
  <c r="BL119" i="3" l="1"/>
  <c r="G122" i="3"/>
  <c r="H120" i="3"/>
  <c r="BM119" i="3"/>
  <c r="BJ120" i="3"/>
  <c r="BB120" i="3"/>
  <c r="BI120" i="3"/>
  <c r="BA120" i="3"/>
  <c r="BH120" i="3"/>
  <c r="AZ120" i="3"/>
  <c r="BG120" i="3"/>
  <c r="AY121" i="3"/>
  <c r="BF120" i="3"/>
  <c r="BK120" i="3"/>
  <c r="BE120" i="3"/>
  <c r="BC120" i="3"/>
  <c r="BD120" i="3"/>
  <c r="AS124" i="3"/>
  <c r="AR123" i="3"/>
  <c r="E125" i="3"/>
  <c r="G119" i="1"/>
  <c r="H119" i="1" s="1"/>
  <c r="E120" i="1"/>
  <c r="BL117" i="1"/>
  <c r="AS120" i="1"/>
  <c r="AR119" i="1"/>
  <c r="AY119" i="1"/>
  <c r="BD118" i="1"/>
  <c r="BK118" i="1"/>
  <c r="BC118" i="1"/>
  <c r="BI118" i="1"/>
  <c r="BA118" i="1"/>
  <c r="BG118" i="1"/>
  <c r="BF118" i="1"/>
  <c r="BE118" i="1"/>
  <c r="BJ118" i="1"/>
  <c r="BH118" i="1"/>
  <c r="AZ118" i="1"/>
  <c r="BB118" i="1"/>
  <c r="BM120" i="3" l="1"/>
  <c r="BK121" i="3"/>
  <c r="BC121" i="3"/>
  <c r="BJ121" i="3"/>
  <c r="BB121" i="3"/>
  <c r="BI121" i="3"/>
  <c r="BA121" i="3"/>
  <c r="BH121" i="3"/>
  <c r="AZ121" i="3"/>
  <c r="BG121" i="3"/>
  <c r="BE121" i="3"/>
  <c r="BD121" i="3"/>
  <c r="AY122" i="3"/>
  <c r="BF121" i="3"/>
  <c r="BL120" i="3"/>
  <c r="H121" i="3"/>
  <c r="AR124" i="3"/>
  <c r="AS125" i="3"/>
  <c r="E126" i="3"/>
  <c r="G123" i="3"/>
  <c r="G120" i="1"/>
  <c r="H120" i="1" s="1"/>
  <c r="E121" i="1"/>
  <c r="AY120" i="1"/>
  <c r="BH119" i="1"/>
  <c r="AZ119" i="1"/>
  <c r="BG119" i="1"/>
  <c r="BE119" i="1"/>
  <c r="BI119" i="1"/>
  <c r="BF119" i="1"/>
  <c r="BD119" i="1"/>
  <c r="BA119" i="1"/>
  <c r="BC119" i="1"/>
  <c r="BJ119" i="1"/>
  <c r="BB119" i="1"/>
  <c r="BK119" i="1"/>
  <c r="BL118" i="1"/>
  <c r="AS121" i="1"/>
  <c r="AR120" i="1"/>
  <c r="BL121" i="3" l="1"/>
  <c r="H122" i="3"/>
  <c r="AS126" i="3"/>
  <c r="AR125" i="3"/>
  <c r="E127" i="3"/>
  <c r="BM121" i="3"/>
  <c r="BD122" i="3"/>
  <c r="BK122" i="3"/>
  <c r="BC122" i="3"/>
  <c r="BJ122" i="3"/>
  <c r="BB122" i="3"/>
  <c r="BI122" i="3"/>
  <c r="BA122" i="3"/>
  <c r="BH122" i="3"/>
  <c r="AZ122" i="3"/>
  <c r="BG122" i="3"/>
  <c r="AY123" i="3"/>
  <c r="BF122" i="3"/>
  <c r="BE122" i="3"/>
  <c r="G124" i="3"/>
  <c r="G121" i="1"/>
  <c r="H121" i="1" s="1"/>
  <c r="E122" i="1"/>
  <c r="AS122" i="1"/>
  <c r="AR121" i="1"/>
  <c r="BL119" i="1"/>
  <c r="AY121" i="1"/>
  <c r="BD120" i="1"/>
  <c r="BK120" i="1"/>
  <c r="BC120" i="1"/>
  <c r="BI120" i="1"/>
  <c r="BA120" i="1"/>
  <c r="BH120" i="1"/>
  <c r="BG120" i="1"/>
  <c r="BF120" i="1"/>
  <c r="AZ120" i="1"/>
  <c r="BJ120" i="1"/>
  <c r="BB120" i="1"/>
  <c r="BE120" i="1"/>
  <c r="E128" i="3" l="1"/>
  <c r="BE123" i="3"/>
  <c r="BD123" i="3"/>
  <c r="BK123" i="3"/>
  <c r="BC123" i="3"/>
  <c r="BJ123" i="3"/>
  <c r="BB123" i="3"/>
  <c r="BI123" i="3"/>
  <c r="BA123" i="3"/>
  <c r="AZ123" i="3"/>
  <c r="BH123" i="3"/>
  <c r="BG123" i="3"/>
  <c r="BF123" i="3"/>
  <c r="AY124" i="3"/>
  <c r="AS127" i="3"/>
  <c r="AR126" i="3"/>
  <c r="BL122" i="3"/>
  <c r="G125" i="3"/>
  <c r="BM122" i="3"/>
  <c r="H123" i="3"/>
  <c r="G122" i="1"/>
  <c r="H122" i="1" s="1"/>
  <c r="E123" i="1"/>
  <c r="AY122" i="1"/>
  <c r="BH121" i="1"/>
  <c r="AZ121" i="1"/>
  <c r="BG121" i="1"/>
  <c r="BE121" i="1"/>
  <c r="BJ121" i="1"/>
  <c r="BI121" i="1"/>
  <c r="BF121" i="1"/>
  <c r="BB121" i="1"/>
  <c r="BD121" i="1"/>
  <c r="BA121" i="1"/>
  <c r="BK121" i="1"/>
  <c r="BC121" i="1"/>
  <c r="BL120" i="1"/>
  <c r="AS123" i="1"/>
  <c r="AR122" i="1"/>
  <c r="G126" i="3" l="1"/>
  <c r="BL123" i="3"/>
  <c r="H124" i="3"/>
  <c r="AS128" i="3"/>
  <c r="AR127" i="3"/>
  <c r="E129" i="3"/>
  <c r="BM123" i="3"/>
  <c r="AY125" i="3"/>
  <c r="BF124" i="3"/>
  <c r="BE124" i="3"/>
  <c r="BD124" i="3"/>
  <c r="BK124" i="3"/>
  <c r="BC124" i="3"/>
  <c r="BJ124" i="3"/>
  <c r="BB124" i="3"/>
  <c r="BI124" i="3"/>
  <c r="BG124" i="3"/>
  <c r="BA124" i="3"/>
  <c r="BH124" i="3"/>
  <c r="AZ124" i="3"/>
  <c r="G123" i="1"/>
  <c r="H123" i="1" s="1"/>
  <c r="E124" i="1"/>
  <c r="AS124" i="1"/>
  <c r="AR123" i="1"/>
  <c r="BL121" i="1"/>
  <c r="AY123" i="1"/>
  <c r="BD122" i="1"/>
  <c r="BK122" i="1"/>
  <c r="BC122" i="1"/>
  <c r="BI122" i="1"/>
  <c r="BA122" i="1"/>
  <c r="BJ122" i="1"/>
  <c r="BH122" i="1"/>
  <c r="BG122" i="1"/>
  <c r="BB122" i="1"/>
  <c r="BE122" i="1"/>
  <c r="BF122" i="1"/>
  <c r="AZ122" i="1"/>
  <c r="BG125" i="3" l="1"/>
  <c r="AY126" i="3"/>
  <c r="BF125" i="3"/>
  <c r="BE125" i="3"/>
  <c r="BD125" i="3"/>
  <c r="BK125" i="3"/>
  <c r="BC125" i="3"/>
  <c r="BH125" i="3"/>
  <c r="BB125" i="3"/>
  <c r="BA125" i="3"/>
  <c r="AZ125" i="3"/>
  <c r="BJ125" i="3"/>
  <c r="BI125" i="3"/>
  <c r="BM124" i="3"/>
  <c r="H125" i="3"/>
  <c r="E130" i="3"/>
  <c r="BL124" i="3"/>
  <c r="AS129" i="3"/>
  <c r="AR128" i="3"/>
  <c r="G127" i="3"/>
  <c r="G124" i="1"/>
  <c r="H124" i="1" s="1"/>
  <c r="E125" i="1"/>
  <c r="BL122" i="1"/>
  <c r="AY124" i="1"/>
  <c r="BH123" i="1"/>
  <c r="AZ123" i="1"/>
  <c r="BG123" i="1"/>
  <c r="BE123" i="1"/>
  <c r="BK123" i="1"/>
  <c r="BJ123" i="1"/>
  <c r="BI123" i="1"/>
  <c r="BC123" i="1"/>
  <c r="BF123" i="1"/>
  <c r="BB123" i="1"/>
  <c r="BA123" i="1"/>
  <c r="BD123" i="1"/>
  <c r="AS125" i="1"/>
  <c r="AR124" i="1"/>
  <c r="G128" i="3" l="1"/>
  <c r="H126" i="3"/>
  <c r="BM125" i="3"/>
  <c r="AS130" i="3"/>
  <c r="AR129" i="3"/>
  <c r="BL125" i="3"/>
  <c r="E131" i="3"/>
  <c r="BH126" i="3"/>
  <c r="AZ126" i="3"/>
  <c r="BG126" i="3"/>
  <c r="AY127" i="3"/>
  <c r="BF126" i="3"/>
  <c r="BE126" i="3"/>
  <c r="BD126" i="3"/>
  <c r="BA126" i="3"/>
  <c r="BJ126" i="3"/>
  <c r="BI126" i="3"/>
  <c r="BB126" i="3"/>
  <c r="BK126" i="3"/>
  <c r="BC126" i="3"/>
  <c r="G125" i="1"/>
  <c r="H125" i="1" s="1"/>
  <c r="E126" i="1"/>
  <c r="BL123" i="1"/>
  <c r="AS126" i="1"/>
  <c r="AR125" i="1"/>
  <c r="AY125" i="1"/>
  <c r="BD124" i="1"/>
  <c r="BK124" i="1"/>
  <c r="BC124" i="1"/>
  <c r="BI124" i="1"/>
  <c r="BA124" i="1"/>
  <c r="BJ124" i="1"/>
  <c r="BH124" i="1"/>
  <c r="BE124" i="1"/>
  <c r="BF124" i="1"/>
  <c r="AZ124" i="1"/>
  <c r="BG124" i="1"/>
  <c r="BB124" i="1"/>
  <c r="AS131" i="3" l="1"/>
  <c r="AR130" i="3"/>
  <c r="E132" i="3"/>
  <c r="BM126" i="3"/>
  <c r="BL126" i="3"/>
  <c r="H127" i="3"/>
  <c r="BI127" i="3"/>
  <c r="BA127" i="3"/>
  <c r="BH127" i="3"/>
  <c r="AZ127" i="3"/>
  <c r="BG127" i="3"/>
  <c r="AY128" i="3"/>
  <c r="BF127" i="3"/>
  <c r="BE127" i="3"/>
  <c r="BK127" i="3"/>
  <c r="BD127" i="3"/>
  <c r="BC127" i="3"/>
  <c r="BJ127" i="3"/>
  <c r="BB127" i="3"/>
  <c r="G129" i="3"/>
  <c r="G126" i="1"/>
  <c r="H126" i="1" s="1"/>
  <c r="E127" i="1"/>
  <c r="AY126" i="1"/>
  <c r="BH125" i="1"/>
  <c r="AZ125" i="1"/>
  <c r="BG125" i="1"/>
  <c r="BE125" i="1"/>
  <c r="BA125" i="1"/>
  <c r="BK125" i="1"/>
  <c r="BJ125" i="1"/>
  <c r="BD125" i="1"/>
  <c r="BI125" i="1"/>
  <c r="BC125" i="1"/>
  <c r="BB125" i="1"/>
  <c r="BF125" i="1"/>
  <c r="AS127" i="1"/>
  <c r="AR126" i="1"/>
  <c r="BL124" i="1"/>
  <c r="G130" i="3" l="1"/>
  <c r="AS132" i="3"/>
  <c r="AR131" i="3"/>
  <c r="BJ128" i="3"/>
  <c r="BB128" i="3"/>
  <c r="BI128" i="3"/>
  <c r="BA128" i="3"/>
  <c r="BH128" i="3"/>
  <c r="AZ128" i="3"/>
  <c r="BG128" i="3"/>
  <c r="AY129" i="3"/>
  <c r="BF128" i="3"/>
  <c r="BK128" i="3"/>
  <c r="BE128" i="3"/>
  <c r="BC128" i="3"/>
  <c r="BD128" i="3"/>
  <c r="BL127" i="3"/>
  <c r="BM127" i="3"/>
  <c r="H128" i="3"/>
  <c r="E133" i="3"/>
  <c r="G127" i="1"/>
  <c r="H127" i="1" s="1"/>
  <c r="E128" i="1"/>
  <c r="BL125" i="1"/>
  <c r="AS128" i="1"/>
  <c r="AR127" i="1"/>
  <c r="AY127" i="1"/>
  <c r="BD126" i="1"/>
  <c r="BK126" i="1"/>
  <c r="BC126" i="1"/>
  <c r="BI126" i="1"/>
  <c r="BA126" i="1"/>
  <c r="AZ126" i="1"/>
  <c r="BJ126" i="1"/>
  <c r="BF126" i="1"/>
  <c r="BG126" i="1"/>
  <c r="BH126" i="1"/>
  <c r="BE126" i="1"/>
  <c r="BB126" i="1"/>
  <c r="H129" i="3" l="1"/>
  <c r="BM128" i="3"/>
  <c r="BK129" i="3"/>
  <c r="BC129" i="3"/>
  <c r="BJ129" i="3"/>
  <c r="BB129" i="3"/>
  <c r="BI129" i="3"/>
  <c r="BA129" i="3"/>
  <c r="BH129" i="3"/>
  <c r="AZ129" i="3"/>
  <c r="BG129" i="3"/>
  <c r="AY130" i="3"/>
  <c r="BF129" i="3"/>
  <c r="BE129" i="3"/>
  <c r="BD129" i="3"/>
  <c r="AS133" i="3"/>
  <c r="AR132" i="3"/>
  <c r="BL128" i="3"/>
  <c r="E134" i="3"/>
  <c r="G131" i="3"/>
  <c r="G128" i="1"/>
  <c r="H128" i="1" s="1"/>
  <c r="E129" i="1"/>
  <c r="AY128" i="1"/>
  <c r="BH127" i="1"/>
  <c r="AZ127" i="1"/>
  <c r="BG127" i="1"/>
  <c r="BE127" i="1"/>
  <c r="BB127" i="1"/>
  <c r="BA127" i="1"/>
  <c r="BK127" i="1"/>
  <c r="BF127" i="1"/>
  <c r="BJ127" i="1"/>
  <c r="BD127" i="1"/>
  <c r="BC127" i="1"/>
  <c r="BI127" i="1"/>
  <c r="BL126" i="1"/>
  <c r="AS129" i="1"/>
  <c r="AR128" i="1"/>
  <c r="E135" i="3" l="1"/>
  <c r="BD130" i="3"/>
  <c r="BK130" i="3"/>
  <c r="BC130" i="3"/>
  <c r="BJ130" i="3"/>
  <c r="BB130" i="3"/>
  <c r="BI130" i="3"/>
  <c r="BA130" i="3"/>
  <c r="BH130" i="3"/>
  <c r="AZ130" i="3"/>
  <c r="BG130" i="3"/>
  <c r="BF130" i="3"/>
  <c r="AY131" i="3"/>
  <c r="BE130" i="3"/>
  <c r="BM129" i="3"/>
  <c r="BL129" i="3"/>
  <c r="AS134" i="3"/>
  <c r="AR133" i="3"/>
  <c r="G132" i="3"/>
  <c r="H130" i="3"/>
  <c r="G129" i="1"/>
  <c r="H129" i="1" s="1"/>
  <c r="E130" i="1"/>
  <c r="AS130" i="1"/>
  <c r="AR129" i="1"/>
  <c r="BL127" i="1"/>
  <c r="AY129" i="1"/>
  <c r="BD128" i="1"/>
  <c r="BK128" i="1"/>
  <c r="BC128" i="1"/>
  <c r="BI128" i="1"/>
  <c r="BA128" i="1"/>
  <c r="BB128" i="1"/>
  <c r="AZ128" i="1"/>
  <c r="BG128" i="1"/>
  <c r="BH128" i="1"/>
  <c r="BE128" i="1"/>
  <c r="BJ128" i="1"/>
  <c r="BF128" i="1"/>
  <c r="AR134" i="3" l="1"/>
  <c r="AS135" i="3"/>
  <c r="BE131" i="3"/>
  <c r="BD131" i="3"/>
  <c r="BK131" i="3"/>
  <c r="BC131" i="3"/>
  <c r="BJ131" i="3"/>
  <c r="BB131" i="3"/>
  <c r="BI131" i="3"/>
  <c r="BA131" i="3"/>
  <c r="BH131" i="3"/>
  <c r="AY132" i="3"/>
  <c r="BF131" i="3"/>
  <c r="AZ131" i="3"/>
  <c r="BG131" i="3"/>
  <c r="H131" i="3"/>
  <c r="BL130" i="3"/>
  <c r="BM130" i="3"/>
  <c r="G133" i="3"/>
  <c r="E136" i="3"/>
  <c r="G130" i="1"/>
  <c r="H130" i="1" s="1"/>
  <c r="E131" i="1"/>
  <c r="AY130" i="1"/>
  <c r="BH129" i="1"/>
  <c r="AZ129" i="1"/>
  <c r="BG129" i="1"/>
  <c r="BE129" i="1"/>
  <c r="BC129" i="1"/>
  <c r="BB129" i="1"/>
  <c r="BA129" i="1"/>
  <c r="BI129" i="1"/>
  <c r="BK129" i="1"/>
  <c r="BF129" i="1"/>
  <c r="BD129" i="1"/>
  <c r="BJ129" i="1"/>
  <c r="BL128" i="1"/>
  <c r="AS131" i="1"/>
  <c r="AR130" i="1"/>
  <c r="H132" i="3" l="1"/>
  <c r="E137" i="3"/>
  <c r="BL131" i="3"/>
  <c r="AY133" i="3"/>
  <c r="BF132" i="3"/>
  <c r="BE132" i="3"/>
  <c r="BD132" i="3"/>
  <c r="BK132" i="3"/>
  <c r="BC132" i="3"/>
  <c r="BJ132" i="3"/>
  <c r="BB132" i="3"/>
  <c r="BH132" i="3"/>
  <c r="BG132" i="3"/>
  <c r="BA132" i="3"/>
  <c r="BI132" i="3"/>
  <c r="AZ132" i="3"/>
  <c r="G134" i="3"/>
  <c r="BM131" i="3"/>
  <c r="AS136" i="3"/>
  <c r="AR135" i="3"/>
  <c r="G131" i="1"/>
  <c r="H131" i="1" s="1"/>
  <c r="E132" i="1"/>
  <c r="AS132" i="1"/>
  <c r="AR131" i="1"/>
  <c r="BL129" i="1"/>
  <c r="AY131" i="1"/>
  <c r="BD130" i="1"/>
  <c r="BK130" i="1"/>
  <c r="BC130" i="1"/>
  <c r="BI130" i="1"/>
  <c r="BA130" i="1"/>
  <c r="BE130" i="1"/>
  <c r="BB130" i="1"/>
  <c r="AZ130" i="1"/>
  <c r="BH130" i="1"/>
  <c r="BJ130" i="1"/>
  <c r="BG130" i="1"/>
  <c r="BF130" i="1"/>
  <c r="BM132" i="3" l="1"/>
  <c r="BG133" i="3"/>
  <c r="AY134" i="3"/>
  <c r="BF133" i="3"/>
  <c r="BE133" i="3"/>
  <c r="BD133" i="3"/>
  <c r="BK133" i="3"/>
  <c r="BC133" i="3"/>
  <c r="AZ133" i="3"/>
  <c r="BI133" i="3"/>
  <c r="BH133" i="3"/>
  <c r="BJ133" i="3"/>
  <c r="BB133" i="3"/>
  <c r="BA133" i="3"/>
  <c r="G135" i="3"/>
  <c r="E138" i="3"/>
  <c r="BL132" i="3"/>
  <c r="H133" i="3"/>
  <c r="AS137" i="3"/>
  <c r="AR136" i="3"/>
  <c r="G132" i="1"/>
  <c r="H132" i="1" s="1"/>
  <c r="E133" i="1"/>
  <c r="AY132" i="1"/>
  <c r="BH131" i="1"/>
  <c r="AZ131" i="1"/>
  <c r="BG131" i="1"/>
  <c r="BE131" i="1"/>
  <c r="BD131" i="1"/>
  <c r="BC131" i="1"/>
  <c r="BB131" i="1"/>
  <c r="BJ131" i="1"/>
  <c r="BI131" i="1"/>
  <c r="BF131" i="1"/>
  <c r="BK131" i="1"/>
  <c r="BA131" i="1"/>
  <c r="BL130" i="1"/>
  <c r="AS133" i="1"/>
  <c r="AR132" i="1"/>
  <c r="BM133" i="3" l="1"/>
  <c r="G136" i="3"/>
  <c r="BL133" i="3"/>
  <c r="E139" i="3"/>
  <c r="H134" i="3"/>
  <c r="AS138" i="3"/>
  <c r="AR137" i="3"/>
  <c r="BH134" i="3"/>
  <c r="AZ134" i="3"/>
  <c r="BG134" i="3"/>
  <c r="AY135" i="3"/>
  <c r="BF134" i="3"/>
  <c r="BE134" i="3"/>
  <c r="BD134" i="3"/>
  <c r="BK134" i="3"/>
  <c r="BJ134" i="3"/>
  <c r="BI134" i="3"/>
  <c r="BB134" i="3"/>
  <c r="BA134" i="3"/>
  <c r="BC134" i="3"/>
  <c r="G133" i="1"/>
  <c r="H133" i="1" s="1"/>
  <c r="E134" i="1"/>
  <c r="AS134" i="1"/>
  <c r="AR133" i="1"/>
  <c r="BL131" i="1"/>
  <c r="AY133" i="1"/>
  <c r="BD132" i="1"/>
  <c r="BK132" i="1"/>
  <c r="BC132" i="1"/>
  <c r="BI132" i="1"/>
  <c r="BA132" i="1"/>
  <c r="BG132" i="1"/>
  <c r="BF132" i="1"/>
  <c r="BE132" i="1"/>
  <c r="BB132" i="1"/>
  <c r="AZ132" i="1"/>
  <c r="BJ132" i="1"/>
  <c r="BH132" i="1"/>
  <c r="E140" i="3" l="1"/>
  <c r="BL134" i="3"/>
  <c r="AS139" i="3"/>
  <c r="AR138" i="3"/>
  <c r="G137" i="3"/>
  <c r="BI135" i="3"/>
  <c r="BA135" i="3"/>
  <c r="BH135" i="3"/>
  <c r="AZ135" i="3"/>
  <c r="BG135" i="3"/>
  <c r="AY136" i="3"/>
  <c r="BF135" i="3"/>
  <c r="BE135" i="3"/>
  <c r="BJ135" i="3"/>
  <c r="BD135" i="3"/>
  <c r="BC135" i="3"/>
  <c r="BK135" i="3"/>
  <c r="BB135" i="3"/>
  <c r="H135" i="3"/>
  <c r="BM134" i="3"/>
  <c r="G134" i="1"/>
  <c r="H134" i="1" s="1"/>
  <c r="E135" i="1"/>
  <c r="BL132" i="1"/>
  <c r="AY134" i="1"/>
  <c r="BH133" i="1"/>
  <c r="AZ133" i="1"/>
  <c r="BG133" i="1"/>
  <c r="BE133" i="1"/>
  <c r="BI133" i="1"/>
  <c r="BF133" i="1"/>
  <c r="BD133" i="1"/>
  <c r="BC133" i="1"/>
  <c r="BB133" i="1"/>
  <c r="BK133" i="1"/>
  <c r="BA133" i="1"/>
  <c r="BJ133" i="1"/>
  <c r="AS135" i="1"/>
  <c r="AR134" i="1"/>
  <c r="G138" i="3" l="1"/>
  <c r="BL135" i="3"/>
  <c r="BJ136" i="3"/>
  <c r="BB136" i="3"/>
  <c r="BI136" i="3"/>
  <c r="BA136" i="3"/>
  <c r="BH136" i="3"/>
  <c r="AZ136" i="3"/>
  <c r="BG136" i="3"/>
  <c r="AY137" i="3"/>
  <c r="BF136" i="3"/>
  <c r="BD136" i="3"/>
  <c r="BC136" i="3"/>
  <c r="BK136" i="3"/>
  <c r="BE136" i="3"/>
  <c r="AS140" i="3"/>
  <c r="AR139" i="3"/>
  <c r="BM135" i="3"/>
  <c r="E141" i="3"/>
  <c r="H136" i="3"/>
  <c r="G135" i="1"/>
  <c r="H135" i="1" s="1"/>
  <c r="E136" i="1"/>
  <c r="AS136" i="1"/>
  <c r="AR135" i="1"/>
  <c r="BL133" i="1"/>
  <c r="AY135" i="1"/>
  <c r="BD134" i="1"/>
  <c r="BK134" i="1"/>
  <c r="BC134" i="1"/>
  <c r="BI134" i="1"/>
  <c r="BA134" i="1"/>
  <c r="BH134" i="1"/>
  <c r="BG134" i="1"/>
  <c r="BF134" i="1"/>
  <c r="BE134" i="1"/>
  <c r="BB134" i="1"/>
  <c r="AZ134" i="1"/>
  <c r="BJ134" i="1"/>
  <c r="BM136" i="3" l="1"/>
  <c r="BK137" i="3"/>
  <c r="BC137" i="3"/>
  <c r="BJ137" i="3"/>
  <c r="BB137" i="3"/>
  <c r="BI137" i="3"/>
  <c r="BA137" i="3"/>
  <c r="BH137" i="3"/>
  <c r="AZ137" i="3"/>
  <c r="BG137" i="3"/>
  <c r="AY138" i="3"/>
  <c r="BF137" i="3"/>
  <c r="BD137" i="3"/>
  <c r="BE137" i="3"/>
  <c r="E142" i="3"/>
  <c r="H137" i="3"/>
  <c r="AS141" i="3"/>
  <c r="AR140" i="3"/>
  <c r="BL136" i="3"/>
  <c r="G139" i="3"/>
  <c r="G136" i="1"/>
  <c r="H136" i="1" s="1"/>
  <c r="E137" i="1"/>
  <c r="BL134" i="1"/>
  <c r="AY136" i="1"/>
  <c r="BH135" i="1"/>
  <c r="AZ135" i="1"/>
  <c r="BG135" i="1"/>
  <c r="BE135" i="1"/>
  <c r="BJ135" i="1"/>
  <c r="BI135" i="1"/>
  <c r="BF135" i="1"/>
  <c r="BD135" i="1"/>
  <c r="BC135" i="1"/>
  <c r="BA135" i="1"/>
  <c r="BK135" i="1"/>
  <c r="BB135" i="1"/>
  <c r="AS137" i="1"/>
  <c r="AR136" i="1"/>
  <c r="AR141" i="3" l="1"/>
  <c r="AS142" i="3"/>
  <c r="BD138" i="3"/>
  <c r="BK138" i="3"/>
  <c r="BC138" i="3"/>
  <c r="BJ138" i="3"/>
  <c r="BB138" i="3"/>
  <c r="BI138" i="3"/>
  <c r="BA138" i="3"/>
  <c r="BH138" i="3"/>
  <c r="AZ138" i="3"/>
  <c r="BG138" i="3"/>
  <c r="AY139" i="3"/>
  <c r="BF138" i="3"/>
  <c r="BE138" i="3"/>
  <c r="H138" i="3"/>
  <c r="BL137" i="3"/>
  <c r="G140" i="3"/>
  <c r="E143" i="3"/>
  <c r="BM137" i="3"/>
  <c r="G137" i="1"/>
  <c r="H137" i="1" s="1"/>
  <c r="E138" i="1"/>
  <c r="BL135" i="1"/>
  <c r="AS138" i="1"/>
  <c r="AR137" i="1"/>
  <c r="AY137" i="1"/>
  <c r="BD136" i="1"/>
  <c r="BK136" i="1"/>
  <c r="BC136" i="1"/>
  <c r="BI136" i="1"/>
  <c r="BA136" i="1"/>
  <c r="BJ136" i="1"/>
  <c r="BH136" i="1"/>
  <c r="BG136" i="1"/>
  <c r="BF136" i="1"/>
  <c r="BE136" i="1"/>
  <c r="AZ136" i="1"/>
  <c r="BB136" i="1"/>
  <c r="G141" i="3" l="1"/>
  <c r="BE139" i="3"/>
  <c r="BD139" i="3"/>
  <c r="BK139" i="3"/>
  <c r="BC139" i="3"/>
  <c r="BJ139" i="3"/>
  <c r="BB139" i="3"/>
  <c r="BI139" i="3"/>
  <c r="BA139" i="3"/>
  <c r="BG139" i="3"/>
  <c r="AY140" i="3"/>
  <c r="BF139" i="3"/>
  <c r="AZ139" i="3"/>
  <c r="BH139" i="3"/>
  <c r="AS143" i="3"/>
  <c r="AR142" i="3"/>
  <c r="BM138" i="3"/>
  <c r="H139" i="3"/>
  <c r="E144" i="3"/>
  <c r="BL138" i="3"/>
  <c r="G138" i="1"/>
  <c r="H138" i="1" s="1"/>
  <c r="E139" i="1"/>
  <c r="BL136" i="1"/>
  <c r="AY138" i="1"/>
  <c r="BH137" i="1"/>
  <c r="AZ137" i="1"/>
  <c r="BG137" i="1"/>
  <c r="BE137" i="1"/>
  <c r="BK137" i="1"/>
  <c r="BJ137" i="1"/>
  <c r="BI137" i="1"/>
  <c r="BF137" i="1"/>
  <c r="BD137" i="1"/>
  <c r="BB137" i="1"/>
  <c r="BA137" i="1"/>
  <c r="BC137" i="1"/>
  <c r="AS139" i="1"/>
  <c r="AR138" i="1"/>
  <c r="BL139" i="3" l="1"/>
  <c r="BM139" i="3"/>
  <c r="AS144" i="3"/>
  <c r="AR143" i="3"/>
  <c r="AY141" i="3"/>
  <c r="BF140" i="3"/>
  <c r="BE140" i="3"/>
  <c r="BD140" i="3"/>
  <c r="BK140" i="3"/>
  <c r="BC140" i="3"/>
  <c r="BJ140" i="3"/>
  <c r="BB140" i="3"/>
  <c r="AZ140" i="3"/>
  <c r="BI140" i="3"/>
  <c r="BH140" i="3"/>
  <c r="BG140" i="3"/>
  <c r="BA140" i="3"/>
  <c r="G142" i="3"/>
  <c r="E145" i="3"/>
  <c r="H140" i="3"/>
  <c r="G139" i="1"/>
  <c r="H139" i="1" s="1"/>
  <c r="E140" i="1"/>
  <c r="AS140" i="1"/>
  <c r="AR139" i="1"/>
  <c r="BL137" i="1"/>
  <c r="AY139" i="1"/>
  <c r="BD138" i="1"/>
  <c r="BK138" i="1"/>
  <c r="BC138" i="1"/>
  <c r="BI138" i="1"/>
  <c r="BA138" i="1"/>
  <c r="BJ138" i="1"/>
  <c r="BH138" i="1"/>
  <c r="BG138" i="1"/>
  <c r="BF138" i="1"/>
  <c r="BB138" i="1"/>
  <c r="BE138" i="1"/>
  <c r="AZ138" i="1"/>
  <c r="E146" i="3" l="1"/>
  <c r="H141" i="3"/>
  <c r="BL140" i="3"/>
  <c r="BG141" i="3"/>
  <c r="AY142" i="3"/>
  <c r="BF141" i="3"/>
  <c r="BE141" i="3"/>
  <c r="BD141" i="3"/>
  <c r="BK141" i="3"/>
  <c r="BC141" i="3"/>
  <c r="BJ141" i="3"/>
  <c r="BI141" i="3"/>
  <c r="BH141" i="3"/>
  <c r="BB141" i="3"/>
  <c r="BA141" i="3"/>
  <c r="AZ141" i="3"/>
  <c r="G143" i="3"/>
  <c r="AS145" i="3"/>
  <c r="AR144" i="3"/>
  <c r="BM140" i="3"/>
  <c r="G140" i="1"/>
  <c r="H140" i="1" s="1"/>
  <c r="E141" i="1"/>
  <c r="BL138" i="1"/>
  <c r="AY140" i="1"/>
  <c r="BH139" i="1"/>
  <c r="AZ139" i="1"/>
  <c r="BG139" i="1"/>
  <c r="BE139" i="1"/>
  <c r="BA139" i="1"/>
  <c r="BK139" i="1"/>
  <c r="BJ139" i="1"/>
  <c r="BI139" i="1"/>
  <c r="BF139" i="1"/>
  <c r="BC139" i="1"/>
  <c r="BD139" i="1"/>
  <c r="BB139" i="1"/>
  <c r="AS141" i="1"/>
  <c r="AR140" i="1"/>
  <c r="BH142" i="3" l="1"/>
  <c r="AZ142" i="3"/>
  <c r="BG142" i="3"/>
  <c r="AY143" i="3"/>
  <c r="BF142" i="3"/>
  <c r="BE142" i="3"/>
  <c r="BD142" i="3"/>
  <c r="BC142" i="3"/>
  <c r="BB142" i="3"/>
  <c r="BA142" i="3"/>
  <c r="BK142" i="3"/>
  <c r="BJ142" i="3"/>
  <c r="BI142" i="3"/>
  <c r="H142" i="3"/>
  <c r="BM141" i="3"/>
  <c r="BL141" i="3"/>
  <c r="AS146" i="3"/>
  <c r="AR145" i="3"/>
  <c r="G144" i="3"/>
  <c r="E147" i="3"/>
  <c r="G141" i="1"/>
  <c r="H141" i="1" s="1"/>
  <c r="E142" i="1"/>
  <c r="BL139" i="1"/>
  <c r="AS142" i="1"/>
  <c r="AR141" i="1"/>
  <c r="AY141" i="1"/>
  <c r="BD140" i="1"/>
  <c r="BK140" i="1"/>
  <c r="BC140" i="1"/>
  <c r="BI140" i="1"/>
  <c r="BA140" i="1"/>
  <c r="AZ140" i="1"/>
  <c r="BJ140" i="1"/>
  <c r="BH140" i="1"/>
  <c r="BG140" i="1"/>
  <c r="BE140" i="1"/>
  <c r="BB140" i="1"/>
  <c r="BF140" i="1"/>
  <c r="AS147" i="3" l="1"/>
  <c r="AR146" i="3"/>
  <c r="BI143" i="3"/>
  <c r="BA143" i="3"/>
  <c r="BH143" i="3"/>
  <c r="AZ143" i="3"/>
  <c r="BG143" i="3"/>
  <c r="AY144" i="3"/>
  <c r="BF143" i="3"/>
  <c r="BE143" i="3"/>
  <c r="BB143" i="3"/>
  <c r="BK143" i="3"/>
  <c r="BJ143" i="3"/>
  <c r="BD143" i="3"/>
  <c r="BC143" i="3"/>
  <c r="H143" i="3"/>
  <c r="E148" i="3"/>
  <c r="G145" i="3"/>
  <c r="BM142" i="3"/>
  <c r="BL142" i="3"/>
  <c r="G142" i="1"/>
  <c r="H142" i="1" s="1"/>
  <c r="E143" i="1"/>
  <c r="AY142" i="1"/>
  <c r="BH141" i="1"/>
  <c r="AZ141" i="1"/>
  <c r="BG141" i="1"/>
  <c r="BE141" i="1"/>
  <c r="BB141" i="1"/>
  <c r="BA141" i="1"/>
  <c r="BK141" i="1"/>
  <c r="BJ141" i="1"/>
  <c r="BI141" i="1"/>
  <c r="BD141" i="1"/>
  <c r="BC141" i="1"/>
  <c r="BF141" i="1"/>
  <c r="BL140" i="1"/>
  <c r="AS143" i="1"/>
  <c r="AR142" i="1"/>
  <c r="AS148" i="3" l="1"/>
  <c r="AR147" i="3"/>
  <c r="BM143" i="3"/>
  <c r="H144" i="3"/>
  <c r="BJ144" i="3"/>
  <c r="BB144" i="3"/>
  <c r="BI144" i="3"/>
  <c r="BA144" i="3"/>
  <c r="BH144" i="3"/>
  <c r="AZ144" i="3"/>
  <c r="BG144" i="3"/>
  <c r="AY145" i="3"/>
  <c r="BF144" i="3"/>
  <c r="BK144" i="3"/>
  <c r="BE144" i="3"/>
  <c r="BD144" i="3"/>
  <c r="BC144" i="3"/>
  <c r="G146" i="3"/>
  <c r="BL143" i="3"/>
  <c r="E149" i="3"/>
  <c r="G143" i="1"/>
  <c r="H143" i="1" s="1"/>
  <c r="E144" i="1"/>
  <c r="AS144" i="1"/>
  <c r="AR143" i="1"/>
  <c r="BL141" i="1"/>
  <c r="AY143" i="1"/>
  <c r="BD142" i="1"/>
  <c r="BK142" i="1"/>
  <c r="BC142" i="1"/>
  <c r="BI142" i="1"/>
  <c r="BA142" i="1"/>
  <c r="BB142" i="1"/>
  <c r="AZ142" i="1"/>
  <c r="BJ142" i="1"/>
  <c r="BH142" i="1"/>
  <c r="BF142" i="1"/>
  <c r="BG142" i="1"/>
  <c r="BE142" i="1"/>
  <c r="E150" i="3" l="1"/>
  <c r="AR148" i="3"/>
  <c r="AS149" i="3"/>
  <c r="BK145" i="3"/>
  <c r="BC145" i="3"/>
  <c r="BJ145" i="3"/>
  <c r="BB145" i="3"/>
  <c r="BI145" i="3"/>
  <c r="BA145" i="3"/>
  <c r="BH145" i="3"/>
  <c r="AZ145" i="3"/>
  <c r="BG145" i="3"/>
  <c r="AY146" i="3"/>
  <c r="BF145" i="3"/>
  <c r="BE145" i="3"/>
  <c r="BD145" i="3"/>
  <c r="G147" i="3"/>
  <c r="H145" i="3"/>
  <c r="BL144" i="3"/>
  <c r="BM144" i="3"/>
  <c r="G144" i="1"/>
  <c r="H144" i="1" s="1"/>
  <c r="E145" i="1"/>
  <c r="BL142" i="1"/>
  <c r="AY144" i="1"/>
  <c r="BH143" i="1"/>
  <c r="AZ143" i="1"/>
  <c r="BG143" i="1"/>
  <c r="BE143" i="1"/>
  <c r="BC143" i="1"/>
  <c r="BB143" i="1"/>
  <c r="BA143" i="1"/>
  <c r="BK143" i="1"/>
  <c r="BJ143" i="1"/>
  <c r="BF143" i="1"/>
  <c r="BI143" i="1"/>
  <c r="BD143" i="1"/>
  <c r="AS145" i="1"/>
  <c r="AR144" i="1"/>
  <c r="BD146" i="3" l="1"/>
  <c r="BK146" i="3"/>
  <c r="BC146" i="3"/>
  <c r="BJ146" i="3"/>
  <c r="BB146" i="3"/>
  <c r="BI146" i="3"/>
  <c r="BA146" i="3"/>
  <c r="BH146" i="3"/>
  <c r="AZ146" i="3"/>
  <c r="AY147" i="3"/>
  <c r="BF146" i="3"/>
  <c r="BE146" i="3"/>
  <c r="BG146" i="3"/>
  <c r="H146" i="3"/>
  <c r="BL145" i="3"/>
  <c r="AS150" i="3"/>
  <c r="AR149" i="3"/>
  <c r="G148" i="3"/>
  <c r="BM145" i="3"/>
  <c r="E151" i="3"/>
  <c r="G145" i="1"/>
  <c r="H145" i="1" s="1"/>
  <c r="E146" i="1"/>
  <c r="AY145" i="1"/>
  <c r="BD144" i="1"/>
  <c r="BK144" i="1"/>
  <c r="BC144" i="1"/>
  <c r="BI144" i="1"/>
  <c r="BA144" i="1"/>
  <c r="BE144" i="1"/>
  <c r="BB144" i="1"/>
  <c r="AZ144" i="1"/>
  <c r="BJ144" i="1"/>
  <c r="BG144" i="1"/>
  <c r="BF144" i="1"/>
  <c r="BH144" i="1"/>
  <c r="AS146" i="1"/>
  <c r="AR145" i="1"/>
  <c r="BL143" i="1"/>
  <c r="BL146" i="3" l="1"/>
  <c r="H147" i="3"/>
  <c r="BM146" i="3"/>
  <c r="G149" i="3"/>
  <c r="E152" i="3"/>
  <c r="AS151" i="3"/>
  <c r="AR150" i="3"/>
  <c r="BE147" i="3"/>
  <c r="BD147" i="3"/>
  <c r="BK147" i="3"/>
  <c r="BC147" i="3"/>
  <c r="BJ147" i="3"/>
  <c r="BB147" i="3"/>
  <c r="BI147" i="3"/>
  <c r="BA147" i="3"/>
  <c r="BH147" i="3"/>
  <c r="BG147" i="3"/>
  <c r="BF147" i="3"/>
  <c r="AZ147" i="3"/>
  <c r="AY148" i="3"/>
  <c r="G146" i="1"/>
  <c r="H146" i="1" s="1"/>
  <c r="E147" i="1"/>
  <c r="AS147" i="1"/>
  <c r="AR146" i="1"/>
  <c r="BL144" i="1"/>
  <c r="AY146" i="1"/>
  <c r="BH145" i="1"/>
  <c r="AZ145" i="1"/>
  <c r="BG145" i="1"/>
  <c r="BE145" i="1"/>
  <c r="BD145" i="1"/>
  <c r="BC145" i="1"/>
  <c r="BB145" i="1"/>
  <c r="BA145" i="1"/>
  <c r="BK145" i="1"/>
  <c r="BI145" i="1"/>
  <c r="BF145" i="1"/>
  <c r="BJ145" i="1"/>
  <c r="G150" i="3" l="1"/>
  <c r="BM147" i="3"/>
  <c r="E153" i="3"/>
  <c r="AY149" i="3"/>
  <c r="BF148" i="3"/>
  <c r="BE148" i="3"/>
  <c r="BD148" i="3"/>
  <c r="BK148" i="3"/>
  <c r="BC148" i="3"/>
  <c r="BJ148" i="3"/>
  <c r="BB148" i="3"/>
  <c r="BI148" i="3"/>
  <c r="BH148" i="3"/>
  <c r="BG148" i="3"/>
  <c r="BA148" i="3"/>
  <c r="AZ148" i="3"/>
  <c r="AS152" i="3"/>
  <c r="AR151" i="3"/>
  <c r="BL147" i="3"/>
  <c r="H148" i="3"/>
  <c r="G147" i="1"/>
  <c r="H147" i="1" s="1"/>
  <c r="E148" i="1"/>
  <c r="BL145" i="1"/>
  <c r="AY147" i="1"/>
  <c r="BG146" i="1"/>
  <c r="BD146" i="1"/>
  <c r="BK146" i="1"/>
  <c r="BC146" i="1"/>
  <c r="BJ146" i="1"/>
  <c r="BB146" i="1"/>
  <c r="BI146" i="1"/>
  <c r="BA146" i="1"/>
  <c r="BH146" i="1"/>
  <c r="BF146" i="1"/>
  <c r="BE146" i="1"/>
  <c r="AZ146" i="1"/>
  <c r="AS148" i="1"/>
  <c r="AR147" i="1"/>
  <c r="BM148" i="3" l="1"/>
  <c r="BL148" i="3"/>
  <c r="AS153" i="3"/>
  <c r="AR152" i="3"/>
  <c r="E154" i="3"/>
  <c r="H149" i="3"/>
  <c r="BG149" i="3"/>
  <c r="AY150" i="3"/>
  <c r="BF149" i="3"/>
  <c r="BE149" i="3"/>
  <c r="BD149" i="3"/>
  <c r="BK149" i="3"/>
  <c r="BC149" i="3"/>
  <c r="BB149" i="3"/>
  <c r="BA149" i="3"/>
  <c r="AZ149" i="3"/>
  <c r="BJ149" i="3"/>
  <c r="BI149" i="3"/>
  <c r="BH149" i="3"/>
  <c r="G151" i="3"/>
  <c r="G148" i="1"/>
  <c r="H148" i="1" s="1"/>
  <c r="E149" i="1"/>
  <c r="AS149" i="1"/>
  <c r="AR148" i="1"/>
  <c r="BL146" i="1"/>
  <c r="AY148" i="1"/>
  <c r="BK147" i="1"/>
  <c r="BC147" i="1"/>
  <c r="BH147" i="1"/>
  <c r="AZ147" i="1"/>
  <c r="BG147" i="1"/>
  <c r="BF147" i="1"/>
  <c r="BE147" i="1"/>
  <c r="BJ147" i="1"/>
  <c r="BI147" i="1"/>
  <c r="BB147" i="1"/>
  <c r="BD147" i="1"/>
  <c r="BA147" i="1"/>
  <c r="BM149" i="3" l="1"/>
  <c r="E155" i="3"/>
  <c r="BL149" i="3"/>
  <c r="BH150" i="3"/>
  <c r="AZ150" i="3"/>
  <c r="BG150" i="3"/>
  <c r="AY151" i="3"/>
  <c r="BF150" i="3"/>
  <c r="BE150" i="3"/>
  <c r="BD150" i="3"/>
  <c r="BK150" i="3"/>
  <c r="BJ150" i="3"/>
  <c r="BI150" i="3"/>
  <c r="BC150" i="3"/>
  <c r="BA150" i="3"/>
  <c r="BB150" i="3"/>
  <c r="G152" i="3"/>
  <c r="AS154" i="3"/>
  <c r="AR153" i="3"/>
  <c r="H150" i="3"/>
  <c r="G149" i="1"/>
  <c r="H149" i="1" s="1"/>
  <c r="E150" i="1"/>
  <c r="BL147" i="1"/>
  <c r="AY149" i="1"/>
  <c r="BG148" i="1"/>
  <c r="BD148" i="1"/>
  <c r="BK148" i="1"/>
  <c r="BC148" i="1"/>
  <c r="BJ148" i="1"/>
  <c r="BB148" i="1"/>
  <c r="BI148" i="1"/>
  <c r="BA148" i="1"/>
  <c r="BF148" i="1"/>
  <c r="BE148" i="1"/>
  <c r="AZ148" i="1"/>
  <c r="BH148" i="1"/>
  <c r="AS150" i="1"/>
  <c r="AR149" i="1"/>
  <c r="BM150" i="3" l="1"/>
  <c r="BI151" i="3"/>
  <c r="BA151" i="3"/>
  <c r="BH151" i="3"/>
  <c r="AZ151" i="3"/>
  <c r="BG151" i="3"/>
  <c r="AY152" i="3"/>
  <c r="BF151" i="3"/>
  <c r="BE151" i="3"/>
  <c r="BK151" i="3"/>
  <c r="BJ151" i="3"/>
  <c r="BD151" i="3"/>
  <c r="BC151" i="3"/>
  <c r="BB151" i="3"/>
  <c r="BL150" i="3"/>
  <c r="AS155" i="3"/>
  <c r="AR154" i="3"/>
  <c r="H151" i="3"/>
  <c r="G153" i="3"/>
  <c r="E156" i="3"/>
  <c r="G150" i="1"/>
  <c r="H150" i="1" s="1"/>
  <c r="E151" i="1"/>
  <c r="BL148" i="1"/>
  <c r="AY150" i="1"/>
  <c r="BK149" i="1"/>
  <c r="BC149" i="1"/>
  <c r="BH149" i="1"/>
  <c r="AZ149" i="1"/>
  <c r="BG149" i="1"/>
  <c r="BF149" i="1"/>
  <c r="BE149" i="1"/>
  <c r="BJ149" i="1"/>
  <c r="BI149" i="1"/>
  <c r="BD149" i="1"/>
  <c r="BA149" i="1"/>
  <c r="BB149" i="1"/>
  <c r="AS151" i="1"/>
  <c r="AR150" i="1"/>
  <c r="BJ152" i="3" l="1"/>
  <c r="BB152" i="3"/>
  <c r="BI152" i="3"/>
  <c r="BA152" i="3"/>
  <c r="BH152" i="3"/>
  <c r="AZ152" i="3"/>
  <c r="BG152" i="3"/>
  <c r="AY153" i="3"/>
  <c r="BF152" i="3"/>
  <c r="BK152" i="3"/>
  <c r="BE152" i="3"/>
  <c r="BD152" i="3"/>
  <c r="BC152" i="3"/>
  <c r="H152" i="3"/>
  <c r="BL151" i="3"/>
  <c r="G154" i="3"/>
  <c r="E157" i="3"/>
  <c r="AS156" i="3"/>
  <c r="AR155" i="3"/>
  <c r="BM151" i="3"/>
  <c r="G151" i="1"/>
  <c r="H151" i="1" s="1"/>
  <c r="E152" i="1"/>
  <c r="AS152" i="1"/>
  <c r="AR151" i="1"/>
  <c r="BG150" i="1"/>
  <c r="BD150" i="1"/>
  <c r="BK150" i="1"/>
  <c r="BC150" i="1"/>
  <c r="BJ150" i="1"/>
  <c r="BB150" i="1"/>
  <c r="BI150" i="1"/>
  <c r="BA150" i="1"/>
  <c r="BE150" i="1"/>
  <c r="AZ150" i="1"/>
  <c r="BH150" i="1"/>
  <c r="BF150" i="1"/>
  <c r="AY151" i="1"/>
  <c r="BL149" i="1"/>
  <c r="AS157" i="3" l="1"/>
  <c r="AR156" i="3"/>
  <c r="BK153" i="3"/>
  <c r="BC153" i="3"/>
  <c r="BJ153" i="3"/>
  <c r="BB153" i="3"/>
  <c r="BI153" i="3"/>
  <c r="BA153" i="3"/>
  <c r="BH153" i="3"/>
  <c r="AZ153" i="3"/>
  <c r="BG153" i="3"/>
  <c r="BE153" i="3"/>
  <c r="BD153" i="3"/>
  <c r="BF153" i="3"/>
  <c r="H153" i="3"/>
  <c r="BL152" i="3"/>
  <c r="E158" i="3"/>
  <c r="BM152" i="3"/>
  <c r="G155" i="3"/>
  <c r="G152" i="1"/>
  <c r="H152" i="1" s="1"/>
  <c r="E153" i="1"/>
  <c r="AY152" i="1"/>
  <c r="BK151" i="1"/>
  <c r="BC151" i="1"/>
  <c r="BH151" i="1"/>
  <c r="AZ151" i="1"/>
  <c r="BG151" i="1"/>
  <c r="BF151" i="1"/>
  <c r="BE151" i="1"/>
  <c r="BJ151" i="1"/>
  <c r="BI151" i="1"/>
  <c r="BD151" i="1"/>
  <c r="BB151" i="1"/>
  <c r="BA151" i="1"/>
  <c r="BL150" i="1"/>
  <c r="AS153" i="1"/>
  <c r="AR152" i="1"/>
  <c r="BM153" i="3" l="1"/>
  <c r="AS158" i="3"/>
  <c r="AR157" i="3"/>
  <c r="G156" i="3"/>
  <c r="H154" i="3"/>
  <c r="E159" i="3"/>
  <c r="BL153" i="3"/>
  <c r="G153" i="1"/>
  <c r="H153" i="1" s="1"/>
  <c r="E154" i="1"/>
  <c r="AS154" i="1"/>
  <c r="AR153" i="1"/>
  <c r="BL151" i="1"/>
  <c r="AY153" i="1"/>
  <c r="BG152" i="1"/>
  <c r="BD152" i="1"/>
  <c r="BK152" i="1"/>
  <c r="BC152" i="1"/>
  <c r="BJ152" i="1"/>
  <c r="BB152" i="1"/>
  <c r="BI152" i="1"/>
  <c r="BA152" i="1"/>
  <c r="AZ152" i="1"/>
  <c r="BF152" i="1"/>
  <c r="BE152" i="1"/>
  <c r="BH152" i="1"/>
  <c r="H155" i="3" l="1"/>
  <c r="G157" i="3"/>
  <c r="AS159" i="3"/>
  <c r="AR158" i="3"/>
  <c r="E160" i="3"/>
  <c r="G154" i="1"/>
  <c r="H154" i="1" s="1"/>
  <c r="E155" i="1"/>
  <c r="BK153" i="1"/>
  <c r="BC153" i="1"/>
  <c r="BH153" i="1"/>
  <c r="AZ153" i="1"/>
  <c r="BG153" i="1"/>
  <c r="BF153" i="1"/>
  <c r="BE153" i="1"/>
  <c r="BJ153" i="1"/>
  <c r="BI153" i="1"/>
  <c r="BD153" i="1"/>
  <c r="BB153" i="1"/>
  <c r="BA153" i="1"/>
  <c r="BL152" i="1"/>
  <c r="AS155" i="1"/>
  <c r="AR154" i="1"/>
  <c r="H156" i="3" l="1"/>
  <c r="G158" i="3"/>
  <c r="AS160" i="3"/>
  <c r="AR159" i="3"/>
  <c r="E161" i="3"/>
  <c r="G155" i="1"/>
  <c r="H155" i="1" s="1"/>
  <c r="E156" i="1"/>
  <c r="BL153" i="1"/>
  <c r="AS156" i="1"/>
  <c r="AR155" i="1"/>
  <c r="G159" i="3" l="1"/>
  <c r="E162" i="3"/>
  <c r="H157" i="3"/>
  <c r="AS161" i="3"/>
  <c r="AR160" i="3"/>
  <c r="G156" i="1"/>
  <c r="H156" i="1" s="1"/>
  <c r="E157" i="1"/>
  <c r="AS157" i="1"/>
  <c r="AR156" i="1"/>
  <c r="H158" i="3" l="1"/>
  <c r="G160" i="3"/>
  <c r="E163" i="3"/>
  <c r="AS162" i="3"/>
  <c r="AR161" i="3"/>
  <c r="G157" i="1"/>
  <c r="H157" i="1" s="1"/>
  <c r="E158" i="1"/>
  <c r="AS158" i="1"/>
  <c r="AR157" i="1"/>
  <c r="AS163" i="3" l="1"/>
  <c r="AR162" i="3"/>
  <c r="E164" i="3"/>
  <c r="G161" i="3"/>
  <c r="H159" i="3"/>
  <c r="G158" i="1"/>
  <c r="H158" i="1" s="1"/>
  <c r="E159" i="1"/>
  <c r="AS159" i="1"/>
  <c r="AR158" i="1"/>
  <c r="H160" i="3" l="1"/>
  <c r="E165" i="3"/>
  <c r="AS164" i="3"/>
  <c r="AR163" i="3"/>
  <c r="G162" i="3"/>
  <c r="G159" i="1"/>
  <c r="H159" i="1" s="1"/>
  <c r="E160" i="1"/>
  <c r="AS160" i="1"/>
  <c r="AR159" i="1"/>
  <c r="G163" i="3" l="1"/>
  <c r="E166" i="3"/>
  <c r="AS165" i="3"/>
  <c r="AR164" i="3"/>
  <c r="H161" i="3"/>
  <c r="G160" i="1"/>
  <c r="H160" i="1" s="1"/>
  <c r="E161" i="1"/>
  <c r="AS161" i="1"/>
  <c r="AR160" i="1"/>
  <c r="AS166" i="3" l="1"/>
  <c r="AR165" i="3"/>
  <c r="E167" i="3"/>
  <c r="H162" i="3"/>
  <c r="G164" i="3"/>
  <c r="G161" i="1"/>
  <c r="H161" i="1" s="1"/>
  <c r="E162" i="1"/>
  <c r="AS162" i="1"/>
  <c r="AR161" i="1"/>
  <c r="H163" i="3" l="1"/>
  <c r="E168" i="3"/>
  <c r="G165" i="3"/>
  <c r="AS167" i="3"/>
  <c r="AR166" i="3"/>
  <c r="G162" i="1"/>
  <c r="H162" i="1" s="1"/>
  <c r="E163" i="1"/>
  <c r="AS163" i="1"/>
  <c r="AR162" i="1"/>
  <c r="H164" i="3" l="1"/>
  <c r="G166" i="3"/>
  <c r="E169" i="3"/>
  <c r="AS168" i="3"/>
  <c r="AR167" i="3"/>
  <c r="G163" i="1"/>
  <c r="H163" i="1" s="1"/>
  <c r="E164" i="1"/>
  <c r="AS164" i="1"/>
  <c r="AR163" i="1"/>
  <c r="H165" i="3" l="1"/>
  <c r="E170" i="3"/>
  <c r="G167" i="3"/>
  <c r="AS169" i="3"/>
  <c r="AR168" i="3"/>
  <c r="G164" i="1"/>
  <c r="H164" i="1" s="1"/>
  <c r="E165" i="1"/>
  <c r="AS165" i="1"/>
  <c r="AR164" i="1"/>
  <c r="AR169" i="3" l="1"/>
  <c r="AS170" i="3"/>
  <c r="H166" i="3"/>
  <c r="G168" i="3"/>
  <c r="E171" i="3"/>
  <c r="G165" i="1"/>
  <c r="H165" i="1" s="1"/>
  <c r="E166" i="1"/>
  <c r="AS166" i="1"/>
  <c r="AR165" i="1"/>
  <c r="H167" i="3" l="1"/>
  <c r="G169" i="3"/>
  <c r="AR170" i="3"/>
  <c r="AS171" i="3"/>
  <c r="E172" i="3"/>
  <c r="G166" i="1"/>
  <c r="H166" i="1" s="1"/>
  <c r="E167" i="1"/>
  <c r="AS167" i="1"/>
  <c r="AR166" i="1"/>
  <c r="AR171" i="3" l="1"/>
  <c r="AS172" i="3"/>
  <c r="G170" i="3"/>
  <c r="E173" i="3"/>
  <c r="H168" i="3"/>
  <c r="G167" i="1"/>
  <c r="H167" i="1" s="1"/>
  <c r="E168" i="1"/>
  <c r="AS168" i="1"/>
  <c r="AR167" i="1"/>
  <c r="G171" i="3" l="1"/>
  <c r="H169" i="3"/>
  <c r="AR172" i="3"/>
  <c r="AS173" i="3"/>
  <c r="E174" i="3"/>
  <c r="G168" i="1"/>
  <c r="H168" i="1" s="1"/>
  <c r="E169" i="1"/>
  <c r="AS169" i="1"/>
  <c r="AR168" i="1"/>
  <c r="H170" i="3" l="1"/>
  <c r="AR173" i="3"/>
  <c r="AS174" i="3"/>
  <c r="E175" i="3"/>
  <c r="G172" i="3"/>
  <c r="G169" i="1"/>
  <c r="H169" i="1" s="1"/>
  <c r="E170" i="1"/>
  <c r="AS170" i="1"/>
  <c r="AR169" i="1"/>
  <c r="E176" i="3" l="1"/>
  <c r="G173" i="3"/>
  <c r="AR174" i="3"/>
  <c r="AS175" i="3"/>
  <c r="H171" i="3"/>
  <c r="G170" i="1"/>
  <c r="H170" i="1" s="1"/>
  <c r="E171" i="1"/>
  <c r="AS171" i="1"/>
  <c r="AR170" i="1"/>
  <c r="AR175" i="3" l="1"/>
  <c r="AS176" i="3"/>
  <c r="G174" i="3"/>
  <c r="E177" i="3"/>
  <c r="H172" i="3"/>
  <c r="G171" i="1"/>
  <c r="H171" i="1" s="1"/>
  <c r="E172" i="1"/>
  <c r="AS172" i="1"/>
  <c r="AR171" i="1"/>
  <c r="E178" i="3" l="1"/>
  <c r="G175" i="3"/>
  <c r="H173" i="3"/>
  <c r="AR176" i="3"/>
  <c r="AS177" i="3"/>
  <c r="G172" i="1"/>
  <c r="H172" i="1" s="1"/>
  <c r="E173" i="1"/>
  <c r="AS173" i="1"/>
  <c r="AR172" i="1"/>
  <c r="AR177" i="3" l="1"/>
  <c r="AS178" i="3"/>
  <c r="E179" i="3"/>
  <c r="H174" i="3"/>
  <c r="G176" i="3"/>
  <c r="G173" i="1"/>
  <c r="H173" i="1" s="1"/>
  <c r="E174" i="1"/>
  <c r="AS174" i="1"/>
  <c r="AR173" i="1"/>
  <c r="H175" i="3" l="1"/>
  <c r="AR178" i="3"/>
  <c r="AS179" i="3"/>
  <c r="G177" i="3"/>
  <c r="E180" i="3"/>
  <c r="G174" i="1"/>
  <c r="H174" i="1" s="1"/>
  <c r="E175" i="1"/>
  <c r="AS175" i="1"/>
  <c r="AR174" i="1"/>
  <c r="G178" i="3" l="1"/>
  <c r="E181" i="3"/>
  <c r="H176" i="3"/>
  <c r="AR179" i="3"/>
  <c r="AS180" i="3"/>
  <c r="G175" i="1"/>
  <c r="H175" i="1" s="1"/>
  <c r="E176" i="1"/>
  <c r="AS176" i="1"/>
  <c r="AR175" i="1"/>
  <c r="H177" i="3" l="1"/>
  <c r="AR180" i="3"/>
  <c r="AS181" i="3"/>
  <c r="E182" i="3"/>
  <c r="G179" i="3"/>
  <c r="G176" i="1"/>
  <c r="H176" i="1" s="1"/>
  <c r="E177" i="1"/>
  <c r="AS177" i="1"/>
  <c r="AR176" i="1"/>
  <c r="AR181" i="3" l="1"/>
  <c r="AS182" i="3"/>
  <c r="E183" i="3"/>
  <c r="G180" i="3"/>
  <c r="H178" i="3"/>
  <c r="G177" i="1"/>
  <c r="H177" i="1" s="1"/>
  <c r="E178" i="1"/>
  <c r="AS178" i="1"/>
  <c r="AR177" i="1"/>
  <c r="G181" i="3" l="1"/>
  <c r="E184" i="3"/>
  <c r="H179" i="3"/>
  <c r="AR182" i="3"/>
  <c r="AS183" i="3"/>
  <c r="G178" i="1"/>
  <c r="H178" i="1" s="1"/>
  <c r="E179" i="1"/>
  <c r="AS179" i="1"/>
  <c r="AR178" i="1"/>
  <c r="E185" i="3" l="1"/>
  <c r="G182" i="3"/>
  <c r="AR183" i="3"/>
  <c r="AS184" i="3"/>
  <c r="H180" i="3"/>
  <c r="G179" i="1"/>
  <c r="H179" i="1" s="1"/>
  <c r="E180" i="1"/>
  <c r="AS180" i="1"/>
  <c r="AR179" i="1"/>
  <c r="G183" i="3" l="1"/>
  <c r="H181" i="3"/>
  <c r="E186" i="3"/>
  <c r="AR184" i="3"/>
  <c r="AS185" i="3"/>
  <c r="G180" i="1"/>
  <c r="H180" i="1" s="1"/>
  <c r="E181" i="1"/>
  <c r="AS181" i="1"/>
  <c r="AR180" i="1"/>
  <c r="H182" i="3" l="1"/>
  <c r="G184" i="3"/>
  <c r="AR185" i="3"/>
  <c r="AS186" i="3"/>
  <c r="E187" i="3"/>
  <c r="G181" i="1"/>
  <c r="H181" i="1" s="1"/>
  <c r="E182" i="1"/>
  <c r="AS182" i="1"/>
  <c r="AR181" i="1"/>
  <c r="AR186" i="3" l="1"/>
  <c r="AS187" i="3"/>
  <c r="E188" i="3"/>
  <c r="G185" i="3"/>
  <c r="H183" i="3"/>
  <c r="G182" i="1"/>
  <c r="H182" i="1" s="1"/>
  <c r="E183" i="1"/>
  <c r="AS183" i="1"/>
  <c r="AR182" i="1"/>
  <c r="G186" i="3" l="1"/>
  <c r="E189" i="3"/>
  <c r="H184" i="3"/>
  <c r="AR187" i="3"/>
  <c r="AS188" i="3"/>
  <c r="G183" i="1"/>
  <c r="H183" i="1" s="1"/>
  <c r="E184" i="1"/>
  <c r="AS184" i="1"/>
  <c r="AR183" i="1"/>
  <c r="E190" i="3" l="1"/>
  <c r="AR188" i="3"/>
  <c r="AS189" i="3"/>
  <c r="H185" i="3"/>
  <c r="G187" i="3"/>
  <c r="G184" i="1"/>
  <c r="H184" i="1" s="1"/>
  <c r="E185" i="1"/>
  <c r="AS185" i="1"/>
  <c r="AR184" i="1"/>
  <c r="H186" i="3" l="1"/>
  <c r="G188" i="3"/>
  <c r="E191" i="3"/>
  <c r="AR189" i="3"/>
  <c r="AS190" i="3"/>
  <c r="G185" i="1"/>
  <c r="H185" i="1" s="1"/>
  <c r="E186" i="1"/>
  <c r="AS186" i="1"/>
  <c r="AR185" i="1"/>
  <c r="AR190" i="3" l="1"/>
  <c r="AS191" i="3"/>
  <c r="H187" i="3"/>
  <c r="E192" i="3"/>
  <c r="G189" i="3"/>
  <c r="G186" i="1"/>
  <c r="H186" i="1" s="1"/>
  <c r="E187" i="1"/>
  <c r="AS187" i="1"/>
  <c r="AR186" i="1"/>
  <c r="H188" i="3" l="1"/>
  <c r="E193" i="3"/>
  <c r="AR191" i="3"/>
  <c r="AS192" i="3"/>
  <c r="G190" i="3"/>
  <c r="G187" i="1"/>
  <c r="H187" i="1" s="1"/>
  <c r="E188" i="1"/>
  <c r="AS188" i="1"/>
  <c r="AR187" i="1"/>
  <c r="H189" i="3" l="1"/>
  <c r="H190" i="3" s="1"/>
  <c r="G191" i="3"/>
  <c r="E194" i="3"/>
  <c r="AR192" i="3"/>
  <c r="AS193" i="3"/>
  <c r="G188" i="1"/>
  <c r="H188" i="1" s="1"/>
  <c r="E189" i="1"/>
  <c r="AS189" i="1"/>
  <c r="AR188" i="1"/>
  <c r="E195" i="3" l="1"/>
  <c r="AR193" i="3"/>
  <c r="AS194" i="3"/>
  <c r="G192" i="3"/>
  <c r="G189" i="1"/>
  <c r="H189" i="1" s="1"/>
  <c r="E190" i="1"/>
  <c r="AS190" i="1"/>
  <c r="AR189" i="1"/>
  <c r="G193" i="3" l="1"/>
  <c r="AR194" i="3"/>
  <c r="AS195" i="3"/>
  <c r="E196" i="3"/>
  <c r="H191" i="3"/>
  <c r="H192" i="3" s="1"/>
  <c r="G190" i="1"/>
  <c r="H190" i="1" s="1"/>
  <c r="E191" i="1"/>
  <c r="AS191" i="1"/>
  <c r="AR190" i="1"/>
  <c r="G194" i="3" l="1"/>
  <c r="AR195" i="3"/>
  <c r="AS196" i="3"/>
  <c r="E197" i="3"/>
  <c r="G191" i="1"/>
  <c r="H191" i="1" s="1"/>
  <c r="E192" i="1"/>
  <c r="AS192" i="1"/>
  <c r="AR191" i="1"/>
  <c r="AR196" i="3" l="1"/>
  <c r="AS197" i="3"/>
  <c r="G195" i="3"/>
  <c r="E198" i="3"/>
  <c r="H193" i="3"/>
  <c r="G192" i="1"/>
  <c r="H192" i="1" s="1"/>
  <c r="E193" i="1"/>
  <c r="AS193" i="1"/>
  <c r="AR192" i="1"/>
  <c r="H194" i="3" l="1"/>
  <c r="E199" i="3"/>
  <c r="G196" i="3"/>
  <c r="AR197" i="3"/>
  <c r="AS198" i="3"/>
  <c r="G193" i="1"/>
  <c r="H193" i="1" s="1"/>
  <c r="E194" i="1"/>
  <c r="AS194" i="1"/>
  <c r="AR193" i="1"/>
  <c r="G197" i="3" l="1"/>
  <c r="E200" i="3"/>
  <c r="AR198" i="3"/>
  <c r="AS199" i="3"/>
  <c r="H195" i="3"/>
  <c r="G194" i="1"/>
  <c r="H194" i="1" s="1"/>
  <c r="E195" i="1"/>
  <c r="AS195" i="1"/>
  <c r="AR194" i="1"/>
  <c r="E201" i="3" l="1"/>
  <c r="H196" i="3"/>
  <c r="H197" i="3" s="1"/>
  <c r="AR199" i="3"/>
  <c r="AS200" i="3"/>
  <c r="G198" i="3"/>
  <c r="G195" i="1"/>
  <c r="H195" i="1" s="1"/>
  <c r="E196" i="1"/>
  <c r="AS196" i="1"/>
  <c r="AR195" i="1"/>
  <c r="AR200" i="3" l="1"/>
  <c r="AS201" i="3"/>
  <c r="E202" i="3"/>
  <c r="G199" i="3"/>
  <c r="G196" i="1"/>
  <c r="H196" i="1" s="1"/>
  <c r="E197" i="1"/>
  <c r="AS197" i="1"/>
  <c r="AR196" i="1"/>
  <c r="G200" i="3" l="1"/>
  <c r="E203" i="3"/>
  <c r="H198" i="3"/>
  <c r="AR201" i="3"/>
  <c r="AS202" i="3"/>
  <c r="G197" i="1"/>
  <c r="H197" i="1" s="1"/>
  <c r="E198" i="1"/>
  <c r="AS198" i="1"/>
  <c r="AR197" i="1"/>
  <c r="H199" i="3" l="1"/>
  <c r="E204" i="3"/>
  <c r="AR202" i="3"/>
  <c r="AS203" i="3"/>
  <c r="G201" i="3"/>
  <c r="G198" i="1"/>
  <c r="H198" i="1" s="1"/>
  <c r="E199" i="1"/>
  <c r="AS199" i="1"/>
  <c r="AR198" i="1"/>
  <c r="H200" i="3" l="1"/>
  <c r="AR203" i="3"/>
  <c r="AS204" i="3"/>
  <c r="E205" i="3"/>
  <c r="G202" i="3"/>
  <c r="G199" i="1"/>
  <c r="H199" i="1" s="1"/>
  <c r="E200" i="1"/>
  <c r="AS200" i="1"/>
  <c r="AR199" i="1"/>
  <c r="H201" i="3" l="1"/>
  <c r="E206" i="3"/>
  <c r="AR204" i="3"/>
  <c r="AS205" i="3"/>
  <c r="G203" i="3"/>
  <c r="G200" i="1"/>
  <c r="H200" i="1" s="1"/>
  <c r="E201" i="1"/>
  <c r="AS201" i="1"/>
  <c r="AR200" i="1"/>
  <c r="E207" i="3" l="1"/>
  <c r="AR205" i="3"/>
  <c r="AS206" i="3"/>
  <c r="G204" i="3"/>
  <c r="H202" i="3"/>
  <c r="G201" i="1"/>
  <c r="H201" i="1" s="1"/>
  <c r="E202" i="1"/>
  <c r="AS202" i="1"/>
  <c r="AR201" i="1"/>
  <c r="AR206" i="3" l="1"/>
  <c r="AS207" i="3"/>
  <c r="H203" i="3"/>
  <c r="G205" i="3"/>
  <c r="E208" i="3"/>
  <c r="G202" i="1"/>
  <c r="H202" i="1" s="1"/>
  <c r="E203" i="1"/>
  <c r="AS203" i="1"/>
  <c r="AR202" i="1"/>
  <c r="G206" i="3" l="1"/>
  <c r="H204" i="3"/>
  <c r="E209" i="3"/>
  <c r="AR207" i="3"/>
  <c r="AS208" i="3"/>
  <c r="G203" i="1"/>
  <c r="H203" i="1" s="1"/>
  <c r="E204" i="1"/>
  <c r="AS204" i="1"/>
  <c r="AR203" i="1"/>
  <c r="E210" i="3" l="1"/>
  <c r="H205" i="3"/>
  <c r="AR208" i="3"/>
  <c r="AS209" i="3"/>
  <c r="G207" i="3"/>
  <c r="G204" i="1"/>
  <c r="H204" i="1" s="1"/>
  <c r="E205" i="1"/>
  <c r="AS205" i="1"/>
  <c r="AR204" i="1"/>
  <c r="AR209" i="3" l="1"/>
  <c r="AS210" i="3"/>
  <c r="H206" i="3"/>
  <c r="E211" i="3"/>
  <c r="G208" i="3"/>
  <c r="G205" i="1"/>
  <c r="H205" i="1" s="1"/>
  <c r="E206" i="1"/>
  <c r="AS206" i="1"/>
  <c r="AR205" i="1"/>
  <c r="E212" i="3" l="1"/>
  <c r="H207" i="3"/>
  <c r="AR210" i="3"/>
  <c r="AS211" i="3"/>
  <c r="G209" i="3"/>
  <c r="G206" i="1"/>
  <c r="H206" i="1" s="1"/>
  <c r="E207" i="1"/>
  <c r="AS207" i="1"/>
  <c r="AR206" i="1"/>
  <c r="H208" i="3" l="1"/>
  <c r="AR211" i="3"/>
  <c r="AS212" i="3"/>
  <c r="E213" i="3"/>
  <c r="G210" i="3"/>
  <c r="G207" i="1"/>
  <c r="H207" i="1" s="1"/>
  <c r="E208" i="1"/>
  <c r="AS208" i="1"/>
  <c r="AR207" i="1"/>
  <c r="E214" i="3" l="1"/>
  <c r="AR212" i="3"/>
  <c r="AS213" i="3"/>
  <c r="H209" i="3"/>
  <c r="G211" i="3"/>
  <c r="G208" i="1"/>
  <c r="H208" i="1" s="1"/>
  <c r="E209" i="1"/>
  <c r="AS209" i="1"/>
  <c r="AR208" i="1"/>
  <c r="H210" i="3" l="1"/>
  <c r="AR213" i="3"/>
  <c r="AS214" i="3"/>
  <c r="G212" i="3"/>
  <c r="E215" i="3"/>
  <c r="G209" i="1"/>
  <c r="H209" i="1" s="1"/>
  <c r="E210" i="1"/>
  <c r="AS210" i="1"/>
  <c r="AR209" i="1"/>
  <c r="G213" i="3" l="1"/>
  <c r="AR214" i="3"/>
  <c r="AS215" i="3"/>
  <c r="E216" i="3"/>
  <c r="H211" i="3"/>
  <c r="G210" i="1"/>
  <c r="H210" i="1" s="1"/>
  <c r="E211" i="1"/>
  <c r="AS211" i="1"/>
  <c r="AR210" i="1"/>
  <c r="E217" i="3" l="1"/>
  <c r="H212" i="3"/>
  <c r="AR215" i="3"/>
  <c r="AS216" i="3"/>
  <c r="G214" i="3"/>
  <c r="G211" i="1"/>
  <c r="H211" i="1" s="1"/>
  <c r="E212" i="1"/>
  <c r="AS212" i="1"/>
  <c r="AR211" i="1"/>
  <c r="AR216" i="3" l="1"/>
  <c r="AS217" i="3"/>
  <c r="H213" i="3"/>
  <c r="E218" i="3"/>
  <c r="G215" i="3"/>
  <c r="G212" i="1"/>
  <c r="H212" i="1" s="1"/>
  <c r="E213" i="1"/>
  <c r="AS213" i="1"/>
  <c r="AR212" i="1"/>
  <c r="H214" i="3" l="1"/>
  <c r="E219" i="3"/>
  <c r="G216" i="3"/>
  <c r="AR217" i="3"/>
  <c r="AS218" i="3"/>
  <c r="G213" i="1"/>
  <c r="H213" i="1" s="1"/>
  <c r="E214" i="1"/>
  <c r="AS214" i="1"/>
  <c r="AR213" i="1"/>
  <c r="G217" i="3" l="1"/>
  <c r="AR218" i="3"/>
  <c r="AS219" i="3"/>
  <c r="E220" i="3"/>
  <c r="H215" i="3"/>
  <c r="G214" i="1"/>
  <c r="H214" i="1" s="1"/>
  <c r="E215" i="1"/>
  <c r="AS215" i="1"/>
  <c r="AR214" i="1"/>
  <c r="AR219" i="3" l="1"/>
  <c r="AS220" i="3"/>
  <c r="H216" i="3"/>
  <c r="E221" i="3"/>
  <c r="G218" i="3"/>
  <c r="G215" i="1"/>
  <c r="H215" i="1" s="1"/>
  <c r="E216" i="1"/>
  <c r="AS216" i="1"/>
  <c r="AR215" i="1"/>
  <c r="E222" i="3" l="1"/>
  <c r="AR220" i="3"/>
  <c r="AS221" i="3"/>
  <c r="H217" i="3"/>
  <c r="G219" i="3"/>
  <c r="G216" i="1"/>
  <c r="H216" i="1" s="1"/>
  <c r="E217" i="1"/>
  <c r="AS217" i="1"/>
  <c r="AR216" i="1"/>
  <c r="H218" i="3" l="1"/>
  <c r="E223" i="3"/>
  <c r="AR221" i="3"/>
  <c r="AS222" i="3"/>
  <c r="G220" i="3"/>
  <c r="G217" i="1"/>
  <c r="H217" i="1" s="1"/>
  <c r="E218" i="1"/>
  <c r="AS218" i="1"/>
  <c r="AR217" i="1"/>
  <c r="E224" i="3" l="1"/>
  <c r="H219" i="3"/>
  <c r="AR222" i="3"/>
  <c r="AS223" i="3"/>
  <c r="G221" i="3"/>
  <c r="G218" i="1"/>
  <c r="H218" i="1" s="1"/>
  <c r="E219" i="1"/>
  <c r="AS219" i="1"/>
  <c r="AR218" i="1"/>
  <c r="AR223" i="3" l="1"/>
  <c r="AS224" i="3"/>
  <c r="H220" i="3"/>
  <c r="E225" i="3"/>
  <c r="G222" i="3"/>
  <c r="G219" i="1"/>
  <c r="H219" i="1" s="1"/>
  <c r="E220" i="1"/>
  <c r="AS220" i="1"/>
  <c r="AR219" i="1"/>
  <c r="E226" i="3" l="1"/>
  <c r="H221" i="3"/>
  <c r="G223" i="3"/>
  <c r="AR224" i="3"/>
  <c r="AS225" i="3"/>
  <c r="G220" i="1"/>
  <c r="H220" i="1" s="1"/>
  <c r="E221" i="1"/>
  <c r="AS221" i="1"/>
  <c r="AR220" i="1"/>
  <c r="G224" i="3" l="1"/>
  <c r="H222" i="3"/>
  <c r="E227" i="3"/>
  <c r="AR225" i="3"/>
  <c r="AS226" i="3"/>
  <c r="G221" i="1"/>
  <c r="H221" i="1" s="1"/>
  <c r="E222" i="1"/>
  <c r="AS222" i="1"/>
  <c r="AR221" i="1"/>
  <c r="E228" i="3" l="1"/>
  <c r="H223" i="3"/>
  <c r="AR226" i="3"/>
  <c r="AS227" i="3"/>
  <c r="G225" i="3"/>
  <c r="G222" i="1"/>
  <c r="H222" i="1" s="1"/>
  <c r="E223" i="1"/>
  <c r="AS223" i="1"/>
  <c r="AR222" i="1"/>
  <c r="AR227" i="3" l="1"/>
  <c r="AS228" i="3"/>
  <c r="H224" i="3"/>
  <c r="G226" i="3"/>
  <c r="E229" i="3"/>
  <c r="G223" i="1"/>
  <c r="H223" i="1" s="1"/>
  <c r="E224" i="1"/>
  <c r="AS224" i="1"/>
  <c r="AR223" i="1"/>
  <c r="G227" i="3" l="1"/>
  <c r="H225" i="3"/>
  <c r="E230" i="3"/>
  <c r="AR228" i="3"/>
  <c r="AS229" i="3"/>
  <c r="G224" i="1"/>
  <c r="H224" i="1" s="1"/>
  <c r="E225" i="1"/>
  <c r="AS225" i="1"/>
  <c r="AR224" i="1"/>
  <c r="E231" i="3" l="1"/>
  <c r="H226" i="3"/>
  <c r="AR229" i="3"/>
  <c r="AS230" i="3"/>
  <c r="G228" i="3"/>
  <c r="G225" i="1"/>
  <c r="H225" i="1" s="1"/>
  <c r="E226" i="1"/>
  <c r="AS226" i="1"/>
  <c r="AR225" i="1"/>
  <c r="H227" i="3" l="1"/>
  <c r="AR230" i="3"/>
  <c r="AS231" i="3"/>
  <c r="G229" i="3"/>
  <c r="E232" i="3"/>
  <c r="G226" i="1"/>
  <c r="H226" i="1" s="1"/>
  <c r="E227" i="1"/>
  <c r="AS227" i="1"/>
  <c r="AR226" i="1"/>
  <c r="E233" i="3" l="1"/>
  <c r="G230" i="3"/>
  <c r="AR231" i="3"/>
  <c r="AS232" i="3"/>
  <c r="H228" i="3"/>
  <c r="G227" i="1"/>
  <c r="H227" i="1" s="1"/>
  <c r="E228" i="1"/>
  <c r="AS228" i="1"/>
  <c r="AR227" i="1"/>
  <c r="AR232" i="3" l="1"/>
  <c r="AS233" i="3"/>
  <c r="G231" i="3"/>
  <c r="H229" i="3"/>
  <c r="E234" i="3"/>
  <c r="G228" i="1"/>
  <c r="H228" i="1" s="1"/>
  <c r="E229" i="1"/>
  <c r="AS229" i="1"/>
  <c r="AR228" i="1"/>
  <c r="E235" i="3" l="1"/>
  <c r="H230" i="3"/>
  <c r="G232" i="3"/>
  <c r="AR233" i="3"/>
  <c r="AS234" i="3"/>
  <c r="G229" i="1"/>
  <c r="H229" i="1" s="1"/>
  <c r="E230" i="1"/>
  <c r="AS230" i="1"/>
  <c r="AR229" i="1"/>
  <c r="G233" i="3" l="1"/>
  <c r="H231" i="3"/>
  <c r="AR234" i="3"/>
  <c r="AS235" i="3"/>
  <c r="E236" i="3"/>
  <c r="G230" i="1"/>
  <c r="H230" i="1" s="1"/>
  <c r="E231" i="1"/>
  <c r="AS231" i="1"/>
  <c r="AR230" i="1"/>
  <c r="AR235" i="3" l="1"/>
  <c r="AS236" i="3"/>
  <c r="H232" i="3"/>
  <c r="E237" i="3"/>
  <c r="G234" i="3"/>
  <c r="G231" i="1"/>
  <c r="H231" i="1" s="1"/>
  <c r="E232" i="1"/>
  <c r="AS232" i="1"/>
  <c r="AR231" i="1"/>
  <c r="E238" i="3" l="1"/>
  <c r="H233" i="3"/>
  <c r="AR236" i="3"/>
  <c r="AS237" i="3"/>
  <c r="G235" i="3"/>
  <c r="G232" i="1"/>
  <c r="H232" i="1" s="1"/>
  <c r="E233" i="1"/>
  <c r="AS233" i="1"/>
  <c r="AR232" i="1"/>
  <c r="AR237" i="3" l="1"/>
  <c r="AS238" i="3"/>
  <c r="H234" i="3"/>
  <c r="E239" i="3"/>
  <c r="G236" i="3"/>
  <c r="G233" i="1"/>
  <c r="H233" i="1" s="1"/>
  <c r="E234" i="1"/>
  <c r="AS234" i="1"/>
  <c r="AR233" i="1"/>
  <c r="E240" i="3" l="1"/>
  <c r="H235" i="3"/>
  <c r="AR238" i="3"/>
  <c r="AS239" i="3"/>
  <c r="G237" i="3"/>
  <c r="G234" i="1"/>
  <c r="H234" i="1" s="1"/>
  <c r="E235" i="1"/>
  <c r="AS235" i="1"/>
  <c r="AR234" i="1"/>
  <c r="AR239" i="3" l="1"/>
  <c r="AS240" i="3"/>
  <c r="H236" i="3"/>
  <c r="E241" i="3"/>
  <c r="G238" i="3"/>
  <c r="G235" i="1"/>
  <c r="H235" i="1" s="1"/>
  <c r="E236" i="1"/>
  <c r="AS236" i="1"/>
  <c r="AR235" i="1"/>
  <c r="E242" i="3" l="1"/>
  <c r="H237" i="3"/>
  <c r="AR240" i="3"/>
  <c r="AS241" i="3"/>
  <c r="G239" i="3"/>
  <c r="G236" i="1"/>
  <c r="H236" i="1" s="1"/>
  <c r="E237" i="1"/>
  <c r="AS237" i="1"/>
  <c r="AR236" i="1"/>
  <c r="AR241" i="3" l="1"/>
  <c r="AS242" i="3"/>
  <c r="H238" i="3"/>
  <c r="E243" i="3"/>
  <c r="G240" i="3"/>
  <c r="G237" i="1"/>
  <c r="H237" i="1" s="1"/>
  <c r="E238" i="1"/>
  <c r="AS238" i="1"/>
  <c r="AR237" i="1"/>
  <c r="E244" i="3" l="1"/>
  <c r="H239" i="3"/>
  <c r="AR242" i="3"/>
  <c r="AS243" i="3"/>
  <c r="G241" i="3"/>
  <c r="G238" i="1"/>
  <c r="H238" i="1" s="1"/>
  <c r="E239" i="1"/>
  <c r="AS239" i="1"/>
  <c r="AR238" i="1"/>
  <c r="H240" i="3" l="1"/>
  <c r="AR243" i="3"/>
  <c r="AS244" i="3"/>
  <c r="G242" i="3"/>
  <c r="E245" i="3"/>
  <c r="G239" i="1"/>
  <c r="H239" i="1" s="1"/>
  <c r="E240" i="1"/>
  <c r="AS240" i="1"/>
  <c r="AR239" i="1"/>
  <c r="H241" i="3" l="1"/>
  <c r="H242" i="3" s="1"/>
  <c r="G243" i="3"/>
  <c r="E246" i="3"/>
  <c r="AR244" i="3"/>
  <c r="AS245" i="3"/>
  <c r="G240" i="1"/>
  <c r="H240" i="1" s="1"/>
  <c r="E241" i="1"/>
  <c r="AS241" i="1"/>
  <c r="AR240" i="1"/>
  <c r="H243" i="3" l="1"/>
  <c r="G244" i="3"/>
  <c r="AR245" i="3"/>
  <c r="AS246" i="3"/>
  <c r="E247" i="3"/>
  <c r="G241" i="1"/>
  <c r="H241" i="1" s="1"/>
  <c r="E242" i="1"/>
  <c r="AS242" i="1"/>
  <c r="AR241" i="1"/>
  <c r="G245" i="3" l="1"/>
  <c r="AR246" i="3"/>
  <c r="AS247" i="3"/>
  <c r="E248" i="3"/>
  <c r="G242" i="1"/>
  <c r="H242" i="1" s="1"/>
  <c r="E243" i="1"/>
  <c r="AS243" i="1"/>
  <c r="AR242" i="1"/>
  <c r="AR247" i="3" l="1"/>
  <c r="AS248" i="3"/>
  <c r="E249" i="3"/>
  <c r="H244" i="3"/>
  <c r="G246" i="3"/>
  <c r="G243" i="1"/>
  <c r="H243" i="1" s="1"/>
  <c r="E244" i="1"/>
  <c r="AS244" i="1"/>
  <c r="AR243" i="1"/>
  <c r="E250" i="3" l="1"/>
  <c r="H245" i="3"/>
  <c r="AR248" i="3"/>
  <c r="AS249" i="3"/>
  <c r="G247" i="3"/>
  <c r="G244" i="1"/>
  <c r="H244" i="1" s="1"/>
  <c r="E245" i="1"/>
  <c r="AS245" i="1"/>
  <c r="AR244" i="1"/>
  <c r="AR249" i="3" l="1"/>
  <c r="AS250" i="3"/>
  <c r="H246" i="3"/>
  <c r="E251" i="3"/>
  <c r="G248" i="3"/>
  <c r="G245" i="1"/>
  <c r="H245" i="1" s="1"/>
  <c r="E246" i="1"/>
  <c r="AS246" i="1"/>
  <c r="AR245" i="1"/>
  <c r="E252" i="3" l="1"/>
  <c r="AR250" i="3"/>
  <c r="AS251" i="3"/>
  <c r="H247" i="3"/>
  <c r="G249" i="3"/>
  <c r="G246" i="1"/>
  <c r="H246" i="1" s="1"/>
  <c r="E247" i="1"/>
  <c r="AS247" i="1"/>
  <c r="AR246" i="1"/>
  <c r="H248" i="3" l="1"/>
  <c r="AR251" i="3"/>
  <c r="AS252" i="3"/>
  <c r="E253" i="3"/>
  <c r="G250" i="3"/>
  <c r="G247" i="1"/>
  <c r="H247" i="1" s="1"/>
  <c r="E248" i="1"/>
  <c r="AS248" i="1"/>
  <c r="AR247" i="1"/>
  <c r="E254" i="3" l="1"/>
  <c r="AR252" i="3"/>
  <c r="AS253" i="3"/>
  <c r="H249" i="3"/>
  <c r="G251" i="3"/>
  <c r="G248" i="1"/>
  <c r="H248" i="1" s="1"/>
  <c r="E249" i="1"/>
  <c r="AS249" i="1"/>
  <c r="AR248" i="1"/>
  <c r="AR253" i="3" l="1"/>
  <c r="AS254" i="3"/>
  <c r="E255" i="3"/>
  <c r="H250" i="3"/>
  <c r="G252" i="3"/>
  <c r="G249" i="1"/>
  <c r="H249" i="1" s="1"/>
  <c r="E250" i="1"/>
  <c r="AS250" i="1"/>
  <c r="AR249" i="1"/>
  <c r="H251" i="3" l="1"/>
  <c r="AR254" i="3"/>
  <c r="AS255" i="3"/>
  <c r="E256" i="3"/>
  <c r="G253" i="3"/>
  <c r="G250" i="1"/>
  <c r="H250" i="1" s="1"/>
  <c r="E251" i="1"/>
  <c r="AS251" i="1"/>
  <c r="AR250" i="1"/>
  <c r="E257" i="3" l="1"/>
  <c r="AR255" i="3"/>
  <c r="AS256" i="3"/>
  <c r="G254" i="3"/>
  <c r="H252" i="3"/>
  <c r="G251" i="1"/>
  <c r="H251" i="1" s="1"/>
  <c r="E252" i="1"/>
  <c r="AS252" i="1"/>
  <c r="AR251" i="1"/>
  <c r="G255" i="3" l="1"/>
  <c r="H253" i="3"/>
  <c r="H254" i="3" s="1"/>
  <c r="E258" i="3"/>
  <c r="AR256" i="3"/>
  <c r="AS257" i="3"/>
  <c r="G252" i="1"/>
  <c r="H252" i="1" s="1"/>
  <c r="E253" i="1"/>
  <c r="AS253" i="1"/>
  <c r="AR252" i="1"/>
  <c r="H255" i="3" l="1"/>
  <c r="E259" i="3"/>
  <c r="G256" i="3"/>
  <c r="AR257" i="3"/>
  <c r="AS258" i="3"/>
  <c r="G253" i="1"/>
  <c r="H253" i="1" s="1"/>
  <c r="E254" i="1"/>
  <c r="AS254" i="1"/>
  <c r="AR253" i="1"/>
  <c r="AS259" i="3" l="1"/>
  <c r="AR258" i="3"/>
  <c r="G257" i="3"/>
  <c r="E260" i="3"/>
  <c r="G254" i="1"/>
  <c r="H254" i="1" s="1"/>
  <c r="E255" i="1"/>
  <c r="AS255" i="1"/>
  <c r="AR254" i="1"/>
  <c r="G258" i="3" l="1"/>
  <c r="E261" i="3"/>
  <c r="H256" i="3"/>
  <c r="H257" i="3" s="1"/>
  <c r="AS260" i="3"/>
  <c r="AR259" i="3"/>
  <c r="G255" i="1"/>
  <c r="H255" i="1" s="1"/>
  <c r="E256" i="1"/>
  <c r="AS256" i="1"/>
  <c r="AR255" i="1"/>
  <c r="E262" i="3" l="1"/>
  <c r="H258" i="3"/>
  <c r="G259" i="3"/>
  <c r="AS261" i="3"/>
  <c r="AR260" i="3"/>
  <c r="G256" i="1"/>
  <c r="H256" i="1" s="1"/>
  <c r="E257" i="1"/>
  <c r="AS257" i="1"/>
  <c r="AR256" i="1"/>
  <c r="AS262" i="3" l="1"/>
  <c r="AR261" i="3"/>
  <c r="G260" i="3"/>
  <c r="E263" i="3"/>
  <c r="G257" i="1"/>
  <c r="H257" i="1" s="1"/>
  <c r="E258" i="1"/>
  <c r="AS258" i="1"/>
  <c r="AR257" i="1"/>
  <c r="E264" i="3" l="1"/>
  <c r="G261" i="3"/>
  <c r="AS263" i="3"/>
  <c r="AR262" i="3"/>
  <c r="H259" i="3"/>
  <c r="G258" i="1"/>
  <c r="H258" i="1" s="1"/>
  <c r="E259" i="1"/>
  <c r="AS259" i="1"/>
  <c r="AR258" i="1"/>
  <c r="AS264" i="3" l="1"/>
  <c r="AR263" i="3"/>
  <c r="G262" i="3"/>
  <c r="E265" i="3"/>
  <c r="H260" i="3"/>
  <c r="G259" i="1"/>
  <c r="H259" i="1" s="1"/>
  <c r="E260" i="1"/>
  <c r="AS260" i="1"/>
  <c r="AR259" i="1"/>
  <c r="AS265" i="3" l="1"/>
  <c r="AR264" i="3"/>
  <c r="E266" i="3"/>
  <c r="G263" i="3"/>
  <c r="H261" i="3"/>
  <c r="G260" i="1"/>
  <c r="H260" i="1" s="1"/>
  <c r="E261" i="1"/>
  <c r="AS261" i="1"/>
  <c r="AR260" i="1"/>
  <c r="AS266" i="3" l="1"/>
  <c r="AR265" i="3"/>
  <c r="G264" i="3"/>
  <c r="H262" i="3"/>
  <c r="E267" i="3"/>
  <c r="G261" i="1"/>
  <c r="H261" i="1" s="1"/>
  <c r="E262" i="1"/>
  <c r="AS262" i="1"/>
  <c r="AR261" i="1"/>
  <c r="AS267" i="3" l="1"/>
  <c r="AR266" i="3"/>
  <c r="E268" i="3"/>
  <c r="G265" i="3"/>
  <c r="H263" i="3"/>
  <c r="G262" i="1"/>
  <c r="H262" i="1" s="1"/>
  <c r="E263" i="1"/>
  <c r="AS263" i="1"/>
  <c r="AR262" i="1"/>
  <c r="AS268" i="3" l="1"/>
  <c r="AR267" i="3"/>
  <c r="G266" i="3"/>
  <c r="H264" i="3"/>
  <c r="E269" i="3"/>
  <c r="G263" i="1"/>
  <c r="H263" i="1" s="1"/>
  <c r="E264" i="1"/>
  <c r="AS264" i="1"/>
  <c r="AR263" i="1"/>
  <c r="AS269" i="3" l="1"/>
  <c r="AR268" i="3"/>
  <c r="E270" i="3"/>
  <c r="H265" i="3"/>
  <c r="H266" i="3" s="1"/>
  <c r="G267" i="3"/>
  <c r="G264" i="1"/>
  <c r="H264" i="1" s="1"/>
  <c r="E265" i="1"/>
  <c r="AS265" i="1"/>
  <c r="AR264" i="1"/>
  <c r="G268" i="3" l="1"/>
  <c r="E271" i="3"/>
  <c r="AS270" i="3"/>
  <c r="AR269" i="3"/>
  <c r="G265" i="1"/>
  <c r="H265" i="1" s="1"/>
  <c r="E266" i="1"/>
  <c r="AS266" i="1"/>
  <c r="AR265" i="1"/>
  <c r="AS271" i="3" l="1"/>
  <c r="AR270" i="3"/>
  <c r="H267" i="3"/>
  <c r="E272" i="3"/>
  <c r="G269" i="3"/>
  <c r="G266" i="1"/>
  <c r="H266" i="1" s="1"/>
  <c r="E267" i="1"/>
  <c r="AS267" i="1"/>
  <c r="AR266" i="1"/>
  <c r="AS272" i="3" l="1"/>
  <c r="AR271" i="3"/>
  <c r="E273" i="3"/>
  <c r="H268" i="3"/>
  <c r="H269" i="3" s="1"/>
  <c r="G270" i="3"/>
  <c r="G267" i="1"/>
  <c r="H267" i="1" s="1"/>
  <c r="E268" i="1"/>
  <c r="AS268" i="1"/>
  <c r="AR267" i="1"/>
  <c r="G271" i="3" l="1"/>
  <c r="AS273" i="3"/>
  <c r="AR272" i="3"/>
  <c r="E274" i="3"/>
  <c r="G268" i="1"/>
  <c r="H268" i="1" s="1"/>
  <c r="E269" i="1"/>
  <c r="AS269" i="1"/>
  <c r="AR268" i="1"/>
  <c r="G272" i="3" l="1"/>
  <c r="AS274" i="3"/>
  <c r="AR273" i="3"/>
  <c r="E275" i="3"/>
  <c r="H270" i="3"/>
  <c r="G269" i="1"/>
  <c r="H269" i="1" s="1"/>
  <c r="E270" i="1"/>
  <c r="AS270" i="1"/>
  <c r="AR269" i="1"/>
  <c r="E276" i="3" l="1"/>
  <c r="H271" i="3"/>
  <c r="G273" i="3"/>
  <c r="AS275" i="3"/>
  <c r="AR274" i="3"/>
  <c r="G270" i="1"/>
  <c r="H270" i="1" s="1"/>
  <c r="E271" i="1"/>
  <c r="AS271" i="1"/>
  <c r="AR270" i="1"/>
  <c r="AS276" i="3" l="1"/>
  <c r="AR275" i="3"/>
  <c r="H272" i="3"/>
  <c r="G274" i="3"/>
  <c r="E277" i="3"/>
  <c r="G271" i="1"/>
  <c r="H271" i="1" s="1"/>
  <c r="E272" i="1"/>
  <c r="AS272" i="1"/>
  <c r="AR271" i="1"/>
  <c r="AS277" i="3" l="1"/>
  <c r="AR276" i="3"/>
  <c r="G275" i="3"/>
  <c r="H273" i="3"/>
  <c r="E278" i="3"/>
  <c r="G272" i="1"/>
  <c r="H272" i="1" s="1"/>
  <c r="E273" i="1"/>
  <c r="AS273" i="1"/>
  <c r="AR272" i="1"/>
  <c r="AS278" i="3" l="1"/>
  <c r="AR277" i="3"/>
  <c r="H274" i="3"/>
  <c r="G276" i="3"/>
  <c r="E279" i="3"/>
  <c r="G273" i="1"/>
  <c r="H273" i="1" s="1"/>
  <c r="E274" i="1"/>
  <c r="AS274" i="1"/>
  <c r="AR273" i="1"/>
  <c r="G277" i="3" l="1"/>
  <c r="AS279" i="3"/>
  <c r="AR278" i="3"/>
  <c r="H275" i="3"/>
  <c r="H276" i="3" s="1"/>
  <c r="E280" i="3"/>
  <c r="G274" i="1"/>
  <c r="H274" i="1" s="1"/>
  <c r="E275" i="1"/>
  <c r="AS275" i="1"/>
  <c r="AR274" i="1"/>
  <c r="G278" i="3" l="1"/>
  <c r="AS280" i="3"/>
  <c r="AR279" i="3"/>
  <c r="H277" i="3"/>
  <c r="E281" i="3"/>
  <c r="G275" i="1"/>
  <c r="H275" i="1" s="1"/>
  <c r="E276" i="1"/>
  <c r="AS276" i="1"/>
  <c r="AR275" i="1"/>
  <c r="G279" i="3" l="1"/>
  <c r="H278" i="3"/>
  <c r="AS281" i="3"/>
  <c r="AR280" i="3"/>
  <c r="E282" i="3"/>
  <c r="G276" i="1"/>
  <c r="H276" i="1" s="1"/>
  <c r="E277" i="1"/>
  <c r="AS277" i="1"/>
  <c r="AR276" i="1"/>
  <c r="AS282" i="3" l="1"/>
  <c r="AR281" i="3"/>
  <c r="E283" i="3"/>
  <c r="G280" i="3"/>
  <c r="G277" i="1"/>
  <c r="H277" i="1" s="1"/>
  <c r="E278" i="1"/>
  <c r="AS278" i="1"/>
  <c r="AR277" i="1"/>
  <c r="G281" i="3" l="1"/>
  <c r="E284" i="3"/>
  <c r="AS283" i="3"/>
  <c r="AR282" i="3"/>
  <c r="H279" i="3"/>
  <c r="G278" i="1"/>
  <c r="H278" i="1" s="1"/>
  <c r="E279" i="1"/>
  <c r="AS279" i="1"/>
  <c r="AR278" i="1"/>
  <c r="E285" i="3" l="1"/>
  <c r="G282" i="3"/>
  <c r="H280" i="3"/>
  <c r="AS284" i="3"/>
  <c r="AR283" i="3"/>
  <c r="G279" i="1"/>
  <c r="H279" i="1" s="1"/>
  <c r="E280" i="1"/>
  <c r="AS280" i="1"/>
  <c r="AR279" i="1"/>
  <c r="AS285" i="3" l="1"/>
  <c r="AR284" i="3"/>
  <c r="E286" i="3"/>
  <c r="G283" i="3"/>
  <c r="H281" i="3"/>
  <c r="G280" i="1"/>
  <c r="H280" i="1" s="1"/>
  <c r="E281" i="1"/>
  <c r="AS281" i="1"/>
  <c r="AR280" i="1"/>
  <c r="E287" i="3" l="1"/>
  <c r="G284" i="3"/>
  <c r="H282" i="3"/>
  <c r="AS286" i="3"/>
  <c r="AR285" i="3"/>
  <c r="G281" i="1"/>
  <c r="H281" i="1" s="1"/>
  <c r="E282" i="1"/>
  <c r="AS282" i="1"/>
  <c r="AR281" i="1"/>
  <c r="H283" i="3" l="1"/>
  <c r="G285" i="3"/>
  <c r="AS287" i="3"/>
  <c r="AR286" i="3"/>
  <c r="E288" i="3"/>
  <c r="G282" i="1"/>
  <c r="H282" i="1" s="1"/>
  <c r="E283" i="1"/>
  <c r="AS283" i="1"/>
  <c r="AR282" i="1"/>
  <c r="E289" i="3" l="1"/>
  <c r="H284" i="3"/>
  <c r="AS288" i="3"/>
  <c r="AR287" i="3"/>
  <c r="G286" i="3"/>
  <c r="G283" i="1"/>
  <c r="H283" i="1" s="1"/>
  <c r="E284" i="1"/>
  <c r="AS284" i="1"/>
  <c r="AR283" i="1"/>
  <c r="E290" i="3" l="1"/>
  <c r="H285" i="3"/>
  <c r="AS289" i="3"/>
  <c r="AR288" i="3"/>
  <c r="G287" i="3"/>
  <c r="G284" i="1"/>
  <c r="H284" i="1" s="1"/>
  <c r="E285" i="1"/>
  <c r="AS285" i="1"/>
  <c r="AR284" i="1"/>
  <c r="H286" i="3" l="1"/>
  <c r="AS290" i="3"/>
  <c r="AR289" i="3"/>
  <c r="E291" i="3"/>
  <c r="G288" i="3"/>
  <c r="G285" i="1"/>
  <c r="H285" i="1" s="1"/>
  <c r="E286" i="1"/>
  <c r="AS286" i="1"/>
  <c r="AR285" i="1"/>
  <c r="E292" i="3" l="1"/>
  <c r="AS291" i="3"/>
  <c r="AR290" i="3"/>
  <c r="G289" i="3"/>
  <c r="H287" i="3"/>
  <c r="G286" i="1"/>
  <c r="H286" i="1" s="1"/>
  <c r="E287" i="1"/>
  <c r="AS287" i="1"/>
  <c r="AR286" i="1"/>
  <c r="AS292" i="3" l="1"/>
  <c r="AR291" i="3"/>
  <c r="G290" i="3"/>
  <c r="E293" i="3"/>
  <c r="H288" i="3"/>
  <c r="G287" i="1"/>
  <c r="H287" i="1" s="1"/>
  <c r="E288" i="1"/>
  <c r="AS288" i="1"/>
  <c r="AR287" i="1"/>
  <c r="G291" i="3" l="1"/>
  <c r="AS293" i="3"/>
  <c r="AR292" i="3"/>
  <c r="H289" i="3"/>
  <c r="E294" i="3"/>
  <c r="G288" i="1"/>
  <c r="H288" i="1" s="1"/>
  <c r="E289" i="1"/>
  <c r="AS289" i="1"/>
  <c r="AR288" i="1"/>
  <c r="G292" i="3" l="1"/>
  <c r="E295" i="3"/>
  <c r="H290" i="3"/>
  <c r="AS294" i="3"/>
  <c r="AR293" i="3"/>
  <c r="G289" i="1"/>
  <c r="H289" i="1" s="1"/>
  <c r="E290" i="1"/>
  <c r="AS290" i="1"/>
  <c r="AR289" i="1"/>
  <c r="E296" i="3" l="1"/>
  <c r="AS295" i="3"/>
  <c r="AR294" i="3"/>
  <c r="G293" i="3"/>
  <c r="H291" i="3"/>
  <c r="G290" i="1"/>
  <c r="H290" i="1" s="1"/>
  <c r="E291" i="1"/>
  <c r="AS291" i="1"/>
  <c r="AR290" i="1"/>
  <c r="H292" i="3" l="1"/>
  <c r="AS296" i="3"/>
  <c r="AR295" i="3"/>
  <c r="E297" i="3"/>
  <c r="G294" i="3"/>
  <c r="G291" i="1"/>
  <c r="H291" i="1" s="1"/>
  <c r="E292" i="1"/>
  <c r="AS292" i="1"/>
  <c r="AR291" i="1"/>
  <c r="E298" i="3" l="1"/>
  <c r="G295" i="3"/>
  <c r="AS297" i="3"/>
  <c r="AR296" i="3"/>
  <c r="H293" i="3"/>
  <c r="G292" i="1"/>
  <c r="H292" i="1" s="1"/>
  <c r="E293" i="1"/>
  <c r="AS293" i="1"/>
  <c r="AR292" i="1"/>
  <c r="AS298" i="3" l="1"/>
  <c r="AR297" i="3"/>
  <c r="G296" i="3"/>
  <c r="H294" i="3"/>
  <c r="E299" i="3"/>
  <c r="G293" i="1"/>
  <c r="H293" i="1" s="1"/>
  <c r="E294" i="1"/>
  <c r="AS294" i="1"/>
  <c r="AR293" i="1"/>
  <c r="G297" i="3" l="1"/>
  <c r="H295" i="3"/>
  <c r="H296" i="3" s="1"/>
  <c r="E300" i="3"/>
  <c r="AS299" i="3"/>
  <c r="AR298" i="3"/>
  <c r="G294" i="1"/>
  <c r="H294" i="1" s="1"/>
  <c r="E295" i="1"/>
  <c r="AS295" i="1"/>
  <c r="AR294" i="1"/>
  <c r="E301" i="3" l="1"/>
  <c r="H297" i="3"/>
  <c r="G298" i="3"/>
  <c r="AS300" i="3"/>
  <c r="AR299" i="3"/>
  <c r="G295" i="1"/>
  <c r="H295" i="1" s="1"/>
  <c r="E296" i="1"/>
  <c r="AS296" i="1"/>
  <c r="AR295" i="1"/>
  <c r="H298" i="3" l="1"/>
  <c r="G299" i="3"/>
  <c r="AS301" i="3"/>
  <c r="AR300" i="3"/>
  <c r="E302" i="3"/>
  <c r="G296" i="1"/>
  <c r="H296" i="1" s="1"/>
  <c r="E297" i="1"/>
  <c r="AS297" i="1"/>
  <c r="AR296" i="1"/>
  <c r="AS302" i="3" l="1"/>
  <c r="AR301" i="3"/>
  <c r="G300" i="3"/>
  <c r="H299" i="3"/>
  <c r="E303" i="3"/>
  <c r="G297" i="1"/>
  <c r="H297" i="1" s="1"/>
  <c r="E298" i="1"/>
  <c r="AS298" i="1"/>
  <c r="AR297" i="1"/>
  <c r="H300" i="3" l="1"/>
  <c r="G301" i="3"/>
  <c r="AS303" i="3"/>
  <c r="AR302" i="3"/>
  <c r="E304" i="3"/>
  <c r="G298" i="1"/>
  <c r="H298" i="1" s="1"/>
  <c r="E299" i="1"/>
  <c r="AS299" i="1"/>
  <c r="AR298" i="1"/>
  <c r="H301" i="3" l="1"/>
  <c r="AS304" i="3"/>
  <c r="AR303" i="3"/>
  <c r="E305" i="3"/>
  <c r="G302" i="3"/>
  <c r="G299" i="1"/>
  <c r="H299" i="1" s="1"/>
  <c r="E300" i="1"/>
  <c r="AS300" i="1"/>
  <c r="AR299" i="1"/>
  <c r="AS305" i="3" l="1"/>
  <c r="AR304" i="3"/>
  <c r="H302" i="3"/>
  <c r="G303" i="3"/>
  <c r="E306" i="3"/>
  <c r="G300" i="1"/>
  <c r="H300" i="1" s="1"/>
  <c r="E301" i="1"/>
  <c r="AS301" i="1"/>
  <c r="AR300" i="1"/>
  <c r="G304" i="3" l="1"/>
  <c r="E307" i="3"/>
  <c r="AS306" i="3"/>
  <c r="AR305" i="3"/>
  <c r="G301" i="1"/>
  <c r="H301" i="1" s="1"/>
  <c r="E302" i="1"/>
  <c r="AS302" i="1"/>
  <c r="AR301" i="1"/>
  <c r="G305" i="3" l="1"/>
  <c r="AS307" i="3"/>
  <c r="AR306" i="3"/>
  <c r="E308" i="3"/>
  <c r="H303" i="3"/>
  <c r="G302" i="1"/>
  <c r="H302" i="1" s="1"/>
  <c r="E303" i="1"/>
  <c r="AS303" i="1"/>
  <c r="AR302" i="1"/>
  <c r="AS308" i="3" l="1"/>
  <c r="AR307" i="3"/>
  <c r="H304" i="3"/>
  <c r="G306" i="3"/>
  <c r="E309" i="3"/>
  <c r="G303" i="1"/>
  <c r="H303" i="1" s="1"/>
  <c r="E304" i="1"/>
  <c r="AS304" i="1"/>
  <c r="AR303" i="1"/>
  <c r="G307" i="3" l="1"/>
  <c r="H305" i="3"/>
  <c r="H306" i="3" s="1"/>
  <c r="E310" i="3"/>
  <c r="AS309" i="3"/>
  <c r="AR308" i="3"/>
  <c r="G304" i="1"/>
  <c r="H304" i="1" s="1"/>
  <c r="E305" i="1"/>
  <c r="AS305" i="1"/>
  <c r="AR304" i="1"/>
  <c r="E311" i="3" l="1"/>
  <c r="AS310" i="3"/>
  <c r="AR309" i="3"/>
  <c r="G308" i="3"/>
  <c r="H307" i="3"/>
  <c r="G305" i="1"/>
  <c r="H305" i="1" s="1"/>
  <c r="E306" i="1"/>
  <c r="AS306" i="1"/>
  <c r="AR305" i="1"/>
  <c r="AS311" i="3" l="1"/>
  <c r="AR310" i="3"/>
  <c r="G309" i="3"/>
  <c r="H308" i="3"/>
  <c r="E312" i="3"/>
  <c r="G306" i="1"/>
  <c r="H306" i="1" s="1"/>
  <c r="E307" i="1"/>
  <c r="AS307" i="1"/>
  <c r="AR306" i="1"/>
  <c r="E313" i="3" l="1"/>
  <c r="G310" i="3"/>
  <c r="AS312" i="3"/>
  <c r="AR311" i="3"/>
  <c r="G307" i="1"/>
  <c r="H307" i="1" s="1"/>
  <c r="E308" i="1"/>
  <c r="AS308" i="1"/>
  <c r="AR307" i="1"/>
  <c r="AS313" i="3" l="1"/>
  <c r="AR312" i="3"/>
  <c r="G311" i="3"/>
  <c r="E314" i="3"/>
  <c r="H309" i="3"/>
  <c r="G308" i="1"/>
  <c r="H308" i="1" s="1"/>
  <c r="E309" i="1"/>
  <c r="AS309" i="1"/>
  <c r="AR308" i="1"/>
  <c r="G312" i="3" l="1"/>
  <c r="H310" i="3"/>
  <c r="E315" i="3"/>
  <c r="AS314" i="3"/>
  <c r="AR313" i="3"/>
  <c r="G309" i="1"/>
  <c r="H309" i="1" s="1"/>
  <c r="E310" i="1"/>
  <c r="AS310" i="1"/>
  <c r="AR309" i="1"/>
  <c r="H311" i="3" l="1"/>
  <c r="G313" i="3"/>
  <c r="AS315" i="3"/>
  <c r="AR314" i="3"/>
  <c r="E316" i="3"/>
  <c r="G310" i="1"/>
  <c r="H310" i="1" s="1"/>
  <c r="E311" i="1"/>
  <c r="AS311" i="1"/>
  <c r="AR310" i="1"/>
  <c r="G314" i="3" l="1"/>
  <c r="AS316" i="3"/>
  <c r="AR315" i="3"/>
  <c r="E317" i="3"/>
  <c r="H312" i="3"/>
  <c r="G311" i="1"/>
  <c r="H311" i="1" s="1"/>
  <c r="E312" i="1"/>
  <c r="AS312" i="1"/>
  <c r="AR311" i="1"/>
  <c r="AS317" i="3" l="1"/>
  <c r="AR316" i="3"/>
  <c r="E318" i="3"/>
  <c r="G315" i="3"/>
  <c r="H313" i="3"/>
  <c r="G312" i="1"/>
  <c r="H312" i="1" s="1"/>
  <c r="E313" i="1"/>
  <c r="AS313" i="1"/>
  <c r="AR312" i="1"/>
  <c r="E319" i="3" l="1"/>
  <c r="H314" i="3"/>
  <c r="AS318" i="3"/>
  <c r="AR317" i="3"/>
  <c r="G316" i="3"/>
  <c r="G313" i="1"/>
  <c r="H313" i="1" s="1"/>
  <c r="E314" i="1"/>
  <c r="AS314" i="1"/>
  <c r="AR313" i="1"/>
  <c r="H315" i="3" l="1"/>
  <c r="E320" i="3"/>
  <c r="AS319" i="3"/>
  <c r="AR318" i="3"/>
  <c r="G317" i="3"/>
  <c r="G314" i="1"/>
  <c r="H314" i="1" s="1"/>
  <c r="G315" i="1"/>
  <c r="E315" i="1"/>
  <c r="AS315" i="1"/>
  <c r="AR314" i="1"/>
  <c r="AS320" i="3" l="1"/>
  <c r="AR319" i="3"/>
  <c r="E321" i="3"/>
  <c r="G318" i="3"/>
  <c r="H316" i="3"/>
  <c r="H315" i="1"/>
  <c r="E316" i="1"/>
  <c r="AS316" i="1"/>
  <c r="AR315" i="1"/>
  <c r="E322" i="3" l="1"/>
  <c r="AS321" i="3"/>
  <c r="AR320" i="3"/>
  <c r="H317" i="3"/>
  <c r="H318" i="3" s="1"/>
  <c r="G319" i="3"/>
  <c r="G316" i="1"/>
  <c r="H316" i="1" s="1"/>
  <c r="E317" i="1"/>
  <c r="AS317" i="1"/>
  <c r="AR316" i="1"/>
  <c r="AS322" i="3" l="1"/>
  <c r="AR321" i="3"/>
  <c r="G320" i="3"/>
  <c r="E323" i="3"/>
  <c r="G317" i="1"/>
  <c r="H317" i="1" s="1"/>
  <c r="E318" i="1"/>
  <c r="AS318" i="1"/>
  <c r="AR317" i="1"/>
  <c r="AS323" i="3" l="1"/>
  <c r="AR322" i="3"/>
  <c r="E324" i="3"/>
  <c r="G321" i="3"/>
  <c r="H319" i="3"/>
  <c r="H320" i="3" s="1"/>
  <c r="G318" i="1"/>
  <c r="H318" i="1" s="1"/>
  <c r="E319" i="1"/>
  <c r="AS319" i="1"/>
  <c r="AR318" i="1"/>
  <c r="G322" i="3" l="1"/>
  <c r="H321" i="3"/>
  <c r="E325" i="3"/>
  <c r="AS324" i="3"/>
  <c r="AR323" i="3"/>
  <c r="G319" i="1"/>
  <c r="H319" i="1" s="1"/>
  <c r="E320" i="1"/>
  <c r="AS320" i="1"/>
  <c r="AR319" i="1"/>
  <c r="E326" i="3" l="1"/>
  <c r="AS325" i="3"/>
  <c r="AR324" i="3"/>
  <c r="G323" i="3"/>
  <c r="G320" i="1"/>
  <c r="H320" i="1" s="1"/>
  <c r="E321" i="1"/>
  <c r="AS321" i="1"/>
  <c r="AR320" i="1"/>
  <c r="AS326" i="3" l="1"/>
  <c r="AR325" i="3"/>
  <c r="E327" i="3"/>
  <c r="H322" i="3"/>
  <c r="H323" i="3" s="1"/>
  <c r="G324" i="3"/>
  <c r="G321" i="1"/>
  <c r="H321" i="1" s="1"/>
  <c r="E322" i="1"/>
  <c r="AS322" i="1"/>
  <c r="AR321" i="1"/>
  <c r="AS327" i="3" l="1"/>
  <c r="AR326" i="3"/>
  <c r="E328" i="3"/>
  <c r="G325" i="3"/>
  <c r="H324" i="3"/>
  <c r="G322" i="1"/>
  <c r="H322" i="1" s="1"/>
  <c r="E323" i="1"/>
  <c r="AS323" i="1"/>
  <c r="AR322" i="1"/>
  <c r="H325" i="3" l="1"/>
  <c r="E329" i="3"/>
  <c r="AS328" i="3"/>
  <c r="AR327" i="3"/>
  <c r="G326" i="3"/>
  <c r="G323" i="1"/>
  <c r="H323" i="1" s="1"/>
  <c r="E324" i="1"/>
  <c r="AS324" i="1"/>
  <c r="AR323" i="1"/>
  <c r="E330" i="3" l="1"/>
  <c r="G327" i="3"/>
  <c r="AS329" i="3"/>
  <c r="AR328" i="3"/>
  <c r="G324" i="1"/>
  <c r="H324" i="1" s="1"/>
  <c r="E325" i="1"/>
  <c r="AS325" i="1"/>
  <c r="AR324" i="1"/>
  <c r="G328" i="3" l="1"/>
  <c r="E331" i="3"/>
  <c r="H326" i="3"/>
  <c r="H327" i="3" s="1"/>
  <c r="AS330" i="3"/>
  <c r="AR329" i="3"/>
  <c r="G325" i="1"/>
  <c r="H325" i="1" s="1"/>
  <c r="E326" i="1"/>
  <c r="AS326" i="1"/>
  <c r="AR325" i="1"/>
  <c r="E332" i="3" l="1"/>
  <c r="AS331" i="3"/>
  <c r="AR330" i="3"/>
  <c r="G329" i="3"/>
  <c r="G326" i="1"/>
  <c r="H326" i="1" s="1"/>
  <c r="E327" i="1"/>
  <c r="AS327" i="1"/>
  <c r="AR326" i="1"/>
  <c r="G330" i="3" l="1"/>
  <c r="H328" i="3"/>
  <c r="H329" i="3" s="1"/>
  <c r="AS332" i="3"/>
  <c r="AR331" i="3"/>
  <c r="E333" i="3"/>
  <c r="G327" i="1"/>
  <c r="H327" i="1" s="1"/>
  <c r="E328" i="1"/>
  <c r="AS328" i="1"/>
  <c r="AR327" i="1"/>
  <c r="AS333" i="3" l="1"/>
  <c r="AR332" i="3"/>
  <c r="G331" i="3"/>
  <c r="E334" i="3"/>
  <c r="G328" i="1"/>
  <c r="H328" i="1" s="1"/>
  <c r="E329" i="1"/>
  <c r="AS329" i="1"/>
  <c r="AR328" i="1"/>
  <c r="H330" i="3" l="1"/>
  <c r="G332" i="3"/>
  <c r="AS334" i="3"/>
  <c r="AR333" i="3"/>
  <c r="E335" i="3"/>
  <c r="G329" i="1"/>
  <c r="H329" i="1" s="1"/>
  <c r="E330" i="1"/>
  <c r="AS330" i="1"/>
  <c r="AR329" i="1"/>
  <c r="AS335" i="3" l="1"/>
  <c r="AR334" i="3"/>
  <c r="H331" i="3"/>
  <c r="G333" i="3"/>
  <c r="E336" i="3"/>
  <c r="G330" i="1"/>
  <c r="H330" i="1" s="1"/>
  <c r="E331" i="1"/>
  <c r="AS331" i="1"/>
  <c r="AR330" i="1"/>
  <c r="AS336" i="3" l="1"/>
  <c r="AR335" i="3"/>
  <c r="G334" i="3"/>
  <c r="H332" i="3"/>
  <c r="E337" i="3"/>
  <c r="G331" i="1"/>
  <c r="H331" i="1" s="1"/>
  <c r="E332" i="1"/>
  <c r="AS332" i="1"/>
  <c r="AR331" i="1"/>
  <c r="G335" i="3" l="1"/>
  <c r="E338" i="3"/>
  <c r="AS337" i="3"/>
  <c r="AR336" i="3"/>
  <c r="H333" i="3"/>
  <c r="H334" i="3" s="1"/>
  <c r="G332" i="1"/>
  <c r="H332" i="1" s="1"/>
  <c r="E333" i="1"/>
  <c r="AS333" i="1"/>
  <c r="AR332" i="1"/>
  <c r="AS338" i="3" l="1"/>
  <c r="AR337" i="3"/>
  <c r="E339" i="3"/>
  <c r="G336" i="3"/>
  <c r="G333" i="1"/>
  <c r="H333" i="1" s="1"/>
  <c r="E334" i="1"/>
  <c r="AS334" i="1"/>
  <c r="AR333" i="1"/>
  <c r="E340" i="3" l="1"/>
  <c r="H335" i="3"/>
  <c r="AS339" i="3"/>
  <c r="AR338" i="3"/>
  <c r="G337" i="3"/>
  <c r="G334" i="1"/>
  <c r="H334" i="1" s="1"/>
  <c r="E335" i="1"/>
  <c r="AS335" i="1"/>
  <c r="AR334" i="1"/>
  <c r="AS340" i="3" l="1"/>
  <c r="AR339" i="3"/>
  <c r="H336" i="3"/>
  <c r="G338" i="3"/>
  <c r="E341" i="3"/>
  <c r="G335" i="1"/>
  <c r="H335" i="1" s="1"/>
  <c r="E336" i="1"/>
  <c r="AS336" i="1"/>
  <c r="AR335" i="1"/>
  <c r="G339" i="3" l="1"/>
  <c r="E342" i="3"/>
  <c r="AS341" i="3"/>
  <c r="AR340" i="3"/>
  <c r="H337" i="3"/>
  <c r="G336" i="1"/>
  <c r="H336" i="1" s="1"/>
  <c r="E337" i="1"/>
  <c r="AS337" i="1"/>
  <c r="AR336" i="1"/>
  <c r="E343" i="3" l="1"/>
  <c r="G340" i="3"/>
  <c r="H338" i="3"/>
  <c r="AS342" i="3"/>
  <c r="AR341" i="3"/>
  <c r="G337" i="1"/>
  <c r="H337" i="1" s="1"/>
  <c r="E338" i="1"/>
  <c r="AS338" i="1"/>
  <c r="AR337" i="1"/>
  <c r="H339" i="3" l="1"/>
  <c r="G341" i="3"/>
  <c r="AS343" i="3"/>
  <c r="AR342" i="3"/>
  <c r="E344" i="3"/>
  <c r="G338" i="1"/>
  <c r="H338" i="1" s="1"/>
  <c r="E339" i="1"/>
  <c r="AS339" i="1"/>
  <c r="AR338" i="1"/>
  <c r="G342" i="3" l="1"/>
  <c r="AS344" i="3"/>
  <c r="AR343" i="3"/>
  <c r="E345" i="3"/>
  <c r="H340" i="3"/>
  <c r="G339" i="1"/>
  <c r="H339" i="1" s="1"/>
  <c r="E340" i="1"/>
  <c r="AS340" i="1"/>
  <c r="AR339" i="1"/>
  <c r="H341" i="3" l="1"/>
  <c r="AS345" i="3"/>
  <c r="AR344" i="3"/>
  <c r="G343" i="3"/>
  <c r="E346" i="3"/>
  <c r="G340" i="1"/>
  <c r="H340" i="1" s="1"/>
  <c r="E341" i="1"/>
  <c r="AS341" i="1"/>
  <c r="AR340" i="1"/>
  <c r="H342" i="3" l="1"/>
  <c r="AS346" i="3"/>
  <c r="AR345" i="3"/>
  <c r="E347" i="3"/>
  <c r="G344" i="3"/>
  <c r="G341" i="1"/>
  <c r="H341" i="1" s="1"/>
  <c r="E342" i="1"/>
  <c r="AS342" i="1"/>
  <c r="AR341" i="1"/>
  <c r="E348" i="3" l="1"/>
  <c r="AS347" i="3"/>
  <c r="AR346" i="3"/>
  <c r="H343" i="3"/>
  <c r="G345" i="3"/>
  <c r="G342" i="1"/>
  <c r="H342" i="1" s="1"/>
  <c r="E343" i="1"/>
  <c r="AS343" i="1"/>
  <c r="AR342" i="1"/>
  <c r="AS348" i="3" l="1"/>
  <c r="AR347" i="3"/>
  <c r="H344" i="3"/>
  <c r="G346" i="3"/>
  <c r="E349" i="3"/>
  <c r="G343" i="1"/>
  <c r="H343" i="1" s="1"/>
  <c r="E344" i="1"/>
  <c r="AS344" i="1"/>
  <c r="AR343" i="1"/>
  <c r="G347" i="3" l="1"/>
  <c r="H345" i="3"/>
  <c r="AS349" i="3"/>
  <c r="AR348" i="3"/>
  <c r="E350" i="3"/>
  <c r="G344" i="1"/>
  <c r="H344" i="1" s="1"/>
  <c r="E345" i="1"/>
  <c r="AS345" i="1"/>
  <c r="AR344" i="1"/>
  <c r="AS350" i="3" l="1"/>
  <c r="AR349" i="3"/>
  <c r="H346" i="3"/>
  <c r="G348" i="3"/>
  <c r="E351" i="3"/>
  <c r="G345" i="1"/>
  <c r="H345" i="1" s="1"/>
  <c r="E346" i="1"/>
  <c r="AS346" i="1"/>
  <c r="AR345" i="1"/>
  <c r="G349" i="3" l="1"/>
  <c r="H347" i="3"/>
  <c r="H348" i="3" s="1"/>
  <c r="E352" i="3"/>
  <c r="AS351" i="3"/>
  <c r="AR350" i="3"/>
  <c r="G346" i="1"/>
  <c r="H346" i="1" s="1"/>
  <c r="E347" i="1"/>
  <c r="AS347" i="1"/>
  <c r="AR346" i="1"/>
  <c r="E353" i="3" l="1"/>
  <c r="AS352" i="3"/>
  <c r="AR351" i="3"/>
  <c r="H349" i="3"/>
  <c r="G350" i="3"/>
  <c r="G347" i="1"/>
  <c r="H347" i="1" s="1"/>
  <c r="E348" i="1"/>
  <c r="AS348" i="1"/>
  <c r="AR347" i="1"/>
  <c r="AS353" i="3" l="1"/>
  <c r="AR352" i="3"/>
  <c r="H350" i="3"/>
  <c r="G351" i="3"/>
  <c r="E354" i="3"/>
  <c r="G348" i="1"/>
  <c r="H348" i="1" s="1"/>
  <c r="E349" i="1"/>
  <c r="AS349" i="1"/>
  <c r="AR348" i="1"/>
  <c r="G352" i="3" l="1"/>
  <c r="E355" i="3"/>
  <c r="AS354" i="3"/>
  <c r="AR353" i="3"/>
  <c r="G349" i="1"/>
  <c r="H349" i="1" s="1"/>
  <c r="E350" i="1"/>
  <c r="AS350" i="1"/>
  <c r="AR349" i="1"/>
  <c r="AS355" i="3" l="1"/>
  <c r="AR354" i="3"/>
  <c r="G353" i="3"/>
  <c r="E356" i="3"/>
  <c r="H351" i="3"/>
  <c r="G350" i="1"/>
  <c r="H350" i="1" s="1"/>
  <c r="E351" i="1"/>
  <c r="AS351" i="1"/>
  <c r="AR350" i="1"/>
  <c r="H352" i="3" l="1"/>
  <c r="G354" i="3"/>
  <c r="AS356" i="3"/>
  <c r="AR355" i="3"/>
  <c r="E357" i="3"/>
  <c r="G351" i="1"/>
  <c r="H351" i="1" s="1"/>
  <c r="E352" i="1"/>
  <c r="AS352" i="1"/>
  <c r="AR351" i="1"/>
  <c r="E358" i="3" l="1"/>
  <c r="AS357" i="3"/>
  <c r="AR356" i="3"/>
  <c r="G355" i="3"/>
  <c r="H353" i="3"/>
  <c r="G352" i="1"/>
  <c r="H352" i="1" s="1"/>
  <c r="E353" i="1"/>
  <c r="AS353" i="1"/>
  <c r="AR352" i="1"/>
  <c r="G356" i="3" l="1"/>
  <c r="AS358" i="3"/>
  <c r="AR357" i="3"/>
  <c r="E359" i="3"/>
  <c r="H354" i="3"/>
  <c r="G353" i="1"/>
  <c r="H353" i="1" s="1"/>
  <c r="E354" i="1"/>
  <c r="AS354" i="1"/>
  <c r="AR353" i="1"/>
  <c r="H355" i="3" l="1"/>
  <c r="E360" i="3"/>
  <c r="AS359" i="3"/>
  <c r="AR358" i="3"/>
  <c r="G357" i="3"/>
  <c r="G354" i="1"/>
  <c r="H354" i="1" s="1"/>
  <c r="E355" i="1"/>
  <c r="AS355" i="1"/>
  <c r="AR354" i="1"/>
  <c r="E361" i="3" l="1"/>
  <c r="AS360" i="3"/>
  <c r="AR359" i="3"/>
  <c r="H356" i="3"/>
  <c r="H357" i="3" s="1"/>
  <c r="G358" i="3"/>
  <c r="G355" i="1"/>
  <c r="H355" i="1" s="1"/>
  <c r="E356" i="1"/>
  <c r="AS356" i="1"/>
  <c r="AR355" i="1"/>
  <c r="AS361" i="3" l="1"/>
  <c r="AR360" i="3"/>
  <c r="H358" i="3"/>
  <c r="G359" i="3"/>
  <c r="E362" i="3"/>
  <c r="G356" i="1"/>
  <c r="H356" i="1" s="1"/>
  <c r="E357" i="1"/>
  <c r="AS357" i="1"/>
  <c r="AR356" i="1"/>
  <c r="AS362" i="3" l="1"/>
  <c r="AR361" i="3"/>
  <c r="G360" i="3"/>
  <c r="E363" i="3"/>
  <c r="G357" i="1"/>
  <c r="H357" i="1" s="1"/>
  <c r="E358" i="1"/>
  <c r="AS358" i="1"/>
  <c r="AR357" i="1"/>
  <c r="G361" i="3" l="1"/>
  <c r="AS363" i="3"/>
  <c r="AR362" i="3"/>
  <c r="E364" i="3"/>
  <c r="H359" i="3"/>
  <c r="G358" i="1"/>
  <c r="H358" i="1" s="1"/>
  <c r="E359" i="1"/>
  <c r="AS359" i="1"/>
  <c r="AR358" i="1"/>
  <c r="H360" i="3" l="1"/>
  <c r="E365" i="3"/>
  <c r="G362" i="3"/>
  <c r="AS364" i="3"/>
  <c r="AR363" i="3"/>
  <c r="G359" i="1"/>
  <c r="H359" i="1" s="1"/>
  <c r="E360" i="1"/>
  <c r="AS360" i="1"/>
  <c r="AR359" i="1"/>
  <c r="G363" i="3" l="1"/>
  <c r="E366" i="3"/>
  <c r="AS365" i="3"/>
  <c r="AR364" i="3"/>
  <c r="H361" i="3"/>
  <c r="G360" i="1"/>
  <c r="H360" i="1" s="1"/>
  <c r="E361" i="1"/>
  <c r="AS361" i="1"/>
  <c r="AR360" i="1"/>
  <c r="E367" i="3" l="1"/>
  <c r="H362" i="3"/>
  <c r="G364" i="3"/>
  <c r="AS366" i="3"/>
  <c r="AR365" i="3"/>
  <c r="G361" i="1"/>
  <c r="H361" i="1" s="1"/>
  <c r="E362" i="1"/>
  <c r="AS362" i="1"/>
  <c r="AR361" i="1"/>
  <c r="E368" i="3" l="1"/>
  <c r="H363" i="3"/>
  <c r="H364" i="3" s="1"/>
  <c r="AS367" i="3"/>
  <c r="AR366" i="3"/>
  <c r="G365" i="3"/>
  <c r="G362" i="1"/>
  <c r="H362" i="1" s="1"/>
  <c r="E363" i="1"/>
  <c r="AS363" i="1"/>
  <c r="AR362" i="1"/>
  <c r="G366" i="3" l="1"/>
  <c r="AS368" i="3"/>
  <c r="AR367" i="3"/>
  <c r="E369" i="3"/>
  <c r="G363" i="1"/>
  <c r="H363" i="1" s="1"/>
  <c r="E364" i="1"/>
  <c r="AS364" i="1"/>
  <c r="AR363" i="1"/>
  <c r="AS369" i="3" l="1"/>
  <c r="AR368" i="3"/>
  <c r="G367" i="3"/>
  <c r="E370" i="3"/>
  <c r="H365" i="3"/>
  <c r="G364" i="1"/>
  <c r="H364" i="1" s="1"/>
  <c r="E365" i="1"/>
  <c r="AS365" i="1"/>
  <c r="AR364" i="1"/>
  <c r="G368" i="3" l="1"/>
  <c r="H366" i="3"/>
  <c r="E371" i="3"/>
  <c r="AS370" i="3"/>
  <c r="AR369" i="3"/>
  <c r="G365" i="1"/>
  <c r="H365" i="1" s="1"/>
  <c r="E366" i="1"/>
  <c r="AS366" i="1"/>
  <c r="AR365" i="1"/>
  <c r="E372" i="3" l="1"/>
  <c r="H367" i="3"/>
  <c r="G369" i="3"/>
  <c r="AS371" i="3"/>
  <c r="AR370" i="3"/>
  <c r="G366" i="1"/>
  <c r="H366" i="1" s="1"/>
  <c r="E367" i="1"/>
  <c r="AS367" i="1"/>
  <c r="AR366" i="1"/>
  <c r="G370" i="3" l="1"/>
  <c r="H368" i="3"/>
  <c r="H369" i="3" s="1"/>
  <c r="AS372" i="3"/>
  <c r="AR371" i="3"/>
  <c r="E373" i="3"/>
  <c r="G367" i="1"/>
  <c r="H367" i="1" s="1"/>
  <c r="E368" i="1"/>
  <c r="AS368" i="1"/>
  <c r="AR367" i="1"/>
  <c r="AS373" i="3" l="1"/>
  <c r="AR372" i="3"/>
  <c r="G371" i="3"/>
  <c r="E374" i="3"/>
  <c r="G368" i="1"/>
  <c r="H368" i="1" s="1"/>
  <c r="E369" i="1"/>
  <c r="AS369" i="1"/>
  <c r="AR368" i="1"/>
  <c r="E375" i="3" l="1"/>
  <c r="AS374" i="3"/>
  <c r="AR373" i="3"/>
  <c r="G372" i="3"/>
  <c r="H370" i="3"/>
  <c r="G369" i="1"/>
  <c r="H369" i="1" s="1"/>
  <c r="E370" i="1"/>
  <c r="AS370" i="1"/>
  <c r="AR369" i="1"/>
  <c r="AR374" i="3" l="1"/>
  <c r="AS375" i="3"/>
  <c r="H371" i="3"/>
  <c r="G373" i="3"/>
  <c r="E376" i="3"/>
  <c r="G370" i="1"/>
  <c r="H370" i="1" s="1"/>
  <c r="E371" i="1"/>
  <c r="AS371" i="1"/>
  <c r="AR370" i="1"/>
  <c r="H372" i="3" l="1"/>
  <c r="E377" i="3"/>
  <c r="G374" i="3"/>
  <c r="AR375" i="3"/>
  <c r="AS376" i="3"/>
  <c r="G371" i="1"/>
  <c r="H371" i="1" s="1"/>
  <c r="E372" i="1"/>
  <c r="AS372" i="1"/>
  <c r="AR371" i="1"/>
  <c r="G375" i="3" l="1"/>
  <c r="H373" i="3"/>
  <c r="H374" i="3" s="1"/>
  <c r="AR376" i="3"/>
  <c r="AS377" i="3"/>
  <c r="E378" i="3"/>
  <c r="G372" i="1"/>
  <c r="H372" i="1" s="1"/>
  <c r="E373" i="1"/>
  <c r="AS373" i="1"/>
  <c r="AR372" i="1"/>
  <c r="E379" i="3" l="1"/>
  <c r="G376" i="3"/>
  <c r="H375" i="3"/>
  <c r="AR377" i="3"/>
  <c r="AS378" i="3"/>
  <c r="G373" i="1"/>
  <c r="H373" i="1" s="1"/>
  <c r="E374" i="1"/>
  <c r="AS374" i="1"/>
  <c r="AR373" i="1"/>
  <c r="G377" i="3" l="1"/>
  <c r="E380" i="3"/>
  <c r="AS379" i="3"/>
  <c r="AR378" i="3"/>
  <c r="G374" i="1"/>
  <c r="H374" i="1" s="1"/>
  <c r="E375" i="1"/>
  <c r="AS375" i="1"/>
  <c r="AR374" i="1"/>
  <c r="E381" i="3" l="1"/>
  <c r="G378" i="3"/>
  <c r="AS380" i="3"/>
  <c r="AR379" i="3"/>
  <c r="H376" i="3"/>
  <c r="G375" i="1"/>
  <c r="H375" i="1" s="1"/>
  <c r="E376" i="1"/>
  <c r="AS376" i="1"/>
  <c r="AR375" i="1"/>
  <c r="AS381" i="3" l="1"/>
  <c r="AR380" i="3"/>
  <c r="G379" i="3"/>
  <c r="H377" i="3"/>
  <c r="E382" i="3"/>
  <c r="G376" i="1"/>
  <c r="H376" i="1" s="1"/>
  <c r="E377" i="1"/>
  <c r="AS377" i="1"/>
  <c r="AR376" i="1"/>
  <c r="H378" i="3" l="1"/>
  <c r="G380" i="3"/>
  <c r="E383" i="3"/>
  <c r="AS382" i="3"/>
  <c r="AR381" i="3"/>
  <c r="G377" i="1"/>
  <c r="H377" i="1" s="1"/>
  <c r="E378" i="1"/>
  <c r="AS378" i="1"/>
  <c r="AR377" i="1"/>
  <c r="E384" i="3" l="1"/>
  <c r="G381" i="3"/>
  <c r="AS383" i="3"/>
  <c r="AR382" i="3"/>
  <c r="H379" i="3"/>
  <c r="G378" i="1"/>
  <c r="H378" i="1" s="1"/>
  <c r="E379" i="1"/>
  <c r="AS379" i="1"/>
  <c r="AR378" i="1"/>
  <c r="G382" i="3" l="1"/>
  <c r="H380" i="3"/>
  <c r="H381" i="3" s="1"/>
  <c r="AS384" i="3"/>
  <c r="AR383" i="3"/>
  <c r="E385" i="3"/>
  <c r="G379" i="1"/>
  <c r="H379" i="1" s="1"/>
  <c r="E380" i="1"/>
  <c r="AS380" i="1"/>
  <c r="AR379" i="1"/>
  <c r="AS385" i="3" l="1"/>
  <c r="AR384" i="3"/>
  <c r="E386" i="3"/>
  <c r="H382" i="3"/>
  <c r="G383" i="3"/>
  <c r="G380" i="1"/>
  <c r="H380" i="1" s="1"/>
  <c r="E381" i="1"/>
  <c r="AS381" i="1"/>
  <c r="AR380" i="1"/>
  <c r="H383" i="3" l="1"/>
  <c r="G384" i="3"/>
  <c r="AS386" i="3"/>
  <c r="AR385" i="3"/>
  <c r="E387" i="3"/>
  <c r="G381" i="1"/>
  <c r="H381" i="1" s="1"/>
  <c r="E382" i="1"/>
  <c r="AS382" i="1"/>
  <c r="AR381" i="1"/>
  <c r="H384" i="3" l="1"/>
  <c r="E388" i="3"/>
  <c r="AS387" i="3"/>
  <c r="AR386" i="3"/>
  <c r="G385" i="3"/>
  <c r="G382" i="1"/>
  <c r="H382" i="1" s="1"/>
  <c r="E383" i="1"/>
  <c r="AS383" i="1"/>
  <c r="AR382" i="1"/>
  <c r="H385" i="3" l="1"/>
  <c r="G386" i="3"/>
  <c r="AS388" i="3"/>
  <c r="AR387" i="3"/>
  <c r="E389" i="3"/>
  <c r="G383" i="1"/>
  <c r="H383" i="1" s="1"/>
  <c r="E384" i="1"/>
  <c r="AS384" i="1"/>
  <c r="AR383" i="1"/>
  <c r="AS389" i="3" l="1"/>
  <c r="AR388" i="3"/>
  <c r="H386" i="3"/>
  <c r="G387" i="3"/>
  <c r="E390" i="3"/>
  <c r="G384" i="1"/>
  <c r="H384" i="1" s="1"/>
  <c r="E385" i="1"/>
  <c r="AS385" i="1"/>
  <c r="AR384" i="1"/>
  <c r="G388" i="3" l="1"/>
  <c r="E391" i="3"/>
  <c r="AS390" i="3"/>
  <c r="AR389" i="3"/>
  <c r="G385" i="1"/>
  <c r="H385" i="1" s="1"/>
  <c r="E386" i="1"/>
  <c r="AS386" i="1"/>
  <c r="AR385" i="1"/>
  <c r="E392" i="3" l="1"/>
  <c r="AS391" i="3"/>
  <c r="AR390" i="3"/>
  <c r="G389" i="3"/>
  <c r="H387" i="3"/>
  <c r="G386" i="1"/>
  <c r="H386" i="1" s="1"/>
  <c r="E387" i="1"/>
  <c r="AS387" i="1"/>
  <c r="AR386" i="1"/>
  <c r="AS392" i="3" l="1"/>
  <c r="AR391" i="3"/>
  <c r="E393" i="3"/>
  <c r="G390" i="3"/>
  <c r="H388" i="3"/>
  <c r="G387" i="1"/>
  <c r="H387" i="1" s="1"/>
  <c r="E388" i="1"/>
  <c r="AS388" i="1"/>
  <c r="AR387" i="1"/>
  <c r="E394" i="3" l="1"/>
  <c r="G391" i="3"/>
  <c r="H389" i="3"/>
  <c r="AS393" i="3"/>
  <c r="AR392" i="3"/>
  <c r="G388" i="1"/>
  <c r="H388" i="1" s="1"/>
  <c r="E389" i="1"/>
  <c r="AS389" i="1"/>
  <c r="AR388" i="1"/>
  <c r="H390" i="3" l="1"/>
  <c r="E395" i="3"/>
  <c r="G392" i="3"/>
  <c r="AS394" i="3"/>
  <c r="AR393" i="3"/>
  <c r="G389" i="1"/>
  <c r="H389" i="1" s="1"/>
  <c r="E390" i="1"/>
  <c r="AS390" i="1"/>
  <c r="AR389" i="1"/>
  <c r="G393" i="3" l="1"/>
  <c r="H391" i="3"/>
  <c r="H392" i="3" s="1"/>
  <c r="AS395" i="3"/>
  <c r="AR394" i="3"/>
  <c r="E396" i="3"/>
  <c r="G390" i="1"/>
  <c r="H390" i="1" s="1"/>
  <c r="E391" i="1"/>
  <c r="AS391" i="1"/>
  <c r="AR390" i="1"/>
  <c r="AS396" i="3" l="1"/>
  <c r="AR395" i="3"/>
  <c r="E397" i="3"/>
  <c r="G391" i="1"/>
  <c r="H391" i="1" s="1"/>
  <c r="E392" i="1"/>
  <c r="AS392" i="1"/>
  <c r="AR391" i="1"/>
  <c r="G394" i="3" l="1"/>
  <c r="R4" i="3"/>
  <c r="V4" i="3"/>
  <c r="U4" i="3"/>
  <c r="AS397" i="3"/>
  <c r="AR396" i="3"/>
  <c r="G395" i="3"/>
  <c r="H393" i="3"/>
  <c r="H394" i="3" s="1"/>
  <c r="E398" i="3"/>
  <c r="G392" i="1"/>
  <c r="H392" i="1" s="1"/>
  <c r="E393" i="1"/>
  <c r="AS393" i="1"/>
  <c r="AR392" i="1"/>
  <c r="O4" i="3" l="1"/>
  <c r="Z4" i="3"/>
  <c r="AS398" i="3"/>
  <c r="AR397" i="3"/>
  <c r="E399" i="3"/>
  <c r="G396" i="3"/>
  <c r="R5" i="3"/>
  <c r="G393" i="1"/>
  <c r="H393" i="1" s="1"/>
  <c r="E394" i="1"/>
  <c r="AS394" i="1"/>
  <c r="AR393" i="1"/>
  <c r="G397" i="3" l="1"/>
  <c r="R6" i="3"/>
  <c r="S5" i="3"/>
  <c r="T5" i="3" s="1"/>
  <c r="AS399" i="3"/>
  <c r="AR398" i="3"/>
  <c r="E400" i="3"/>
  <c r="H395" i="3"/>
  <c r="H396" i="3" s="1"/>
  <c r="G394" i="1"/>
  <c r="H394" i="1" s="1"/>
  <c r="U4" i="1"/>
  <c r="R4" i="1"/>
  <c r="E395" i="1"/>
  <c r="AS395" i="1"/>
  <c r="AR394" i="1"/>
  <c r="G398" i="3" l="1"/>
  <c r="H397" i="3"/>
  <c r="AS400" i="3"/>
  <c r="AR399" i="3"/>
  <c r="R7" i="3"/>
  <c r="S6" i="3"/>
  <c r="T6" i="3" s="1"/>
  <c r="E401" i="3"/>
  <c r="U5" i="3"/>
  <c r="G395" i="1"/>
  <c r="H395" i="1" s="1"/>
  <c r="E396" i="1"/>
  <c r="AS396" i="1"/>
  <c r="AR395" i="1"/>
  <c r="AS401" i="3" l="1"/>
  <c r="AR400" i="3"/>
  <c r="U6" i="3"/>
  <c r="E402" i="3"/>
  <c r="S7" i="3"/>
  <c r="T7" i="3" s="1"/>
  <c r="R8" i="3"/>
  <c r="G399" i="3"/>
  <c r="G396" i="1"/>
  <c r="H396" i="1" s="1"/>
  <c r="E397" i="1"/>
  <c r="AS397" i="1"/>
  <c r="AR396" i="1"/>
  <c r="G400" i="3" l="1"/>
  <c r="R9" i="3"/>
  <c r="S8" i="3"/>
  <c r="T8" i="3" s="1"/>
  <c r="H398" i="3"/>
  <c r="H399" i="3" s="1"/>
  <c r="U7" i="3"/>
  <c r="E403" i="3"/>
  <c r="AS402" i="3"/>
  <c r="AR401" i="3"/>
  <c r="G397" i="1"/>
  <c r="H397" i="1" s="1"/>
  <c r="E398" i="1"/>
  <c r="AS398" i="1"/>
  <c r="AR397" i="1"/>
  <c r="R10" i="3" l="1"/>
  <c r="S9" i="3"/>
  <c r="T9" i="3" s="1"/>
  <c r="H400" i="3"/>
  <c r="E404" i="3"/>
  <c r="G401" i="3"/>
  <c r="U8" i="3"/>
  <c r="AS403" i="3"/>
  <c r="AR402" i="3"/>
  <c r="G398" i="1"/>
  <c r="H398" i="1" s="1"/>
  <c r="E399" i="1"/>
  <c r="AS399" i="1"/>
  <c r="AR398" i="1"/>
  <c r="AS404" i="3" l="1"/>
  <c r="AR403" i="3"/>
  <c r="U9" i="3"/>
  <c r="S10" i="3"/>
  <c r="T10" i="3" s="1"/>
  <c r="R11" i="3"/>
  <c r="H401" i="3"/>
  <c r="G402" i="3"/>
  <c r="E405" i="3"/>
  <c r="G399" i="1"/>
  <c r="H399" i="1" s="1"/>
  <c r="E400" i="1"/>
  <c r="AS400" i="1"/>
  <c r="AR399" i="1"/>
  <c r="S11" i="3" l="1"/>
  <c r="T11" i="3" s="1"/>
  <c r="R12" i="3"/>
  <c r="U10" i="3"/>
  <c r="E406" i="3"/>
  <c r="AS405" i="3"/>
  <c r="AR404" i="3"/>
  <c r="G403" i="3"/>
  <c r="G400" i="1"/>
  <c r="H400" i="1" s="1"/>
  <c r="E401" i="1"/>
  <c r="AS401" i="1"/>
  <c r="AR400" i="1"/>
  <c r="AS406" i="3" l="1"/>
  <c r="AR405" i="3"/>
  <c r="R13" i="3"/>
  <c r="S12" i="3"/>
  <c r="T12" i="3" s="1"/>
  <c r="G404" i="3"/>
  <c r="U11" i="3"/>
  <c r="E407" i="3"/>
  <c r="H402" i="3"/>
  <c r="G401" i="1"/>
  <c r="H401" i="1" s="1"/>
  <c r="E402" i="1"/>
  <c r="AS402" i="1"/>
  <c r="AR401" i="1"/>
  <c r="S13" i="3" l="1"/>
  <c r="T13" i="3" s="1"/>
  <c r="R14" i="3"/>
  <c r="H403" i="3"/>
  <c r="H404" i="3" s="1"/>
  <c r="E408" i="3"/>
  <c r="G405" i="3"/>
  <c r="AS407" i="3"/>
  <c r="AR406" i="3"/>
  <c r="U12" i="3"/>
  <c r="G402" i="1"/>
  <c r="H402" i="1" s="1"/>
  <c r="E403" i="1"/>
  <c r="AS403" i="1"/>
  <c r="AR402" i="1"/>
  <c r="U13" i="3" l="1"/>
  <c r="R15" i="3"/>
  <c r="S14" i="3"/>
  <c r="T14" i="3" s="1"/>
  <c r="AS408" i="3"/>
  <c r="AR407" i="3"/>
  <c r="E409" i="3"/>
  <c r="G406" i="3"/>
  <c r="H405" i="3"/>
  <c r="G403" i="1"/>
  <c r="H403" i="1" s="1"/>
  <c r="E404" i="1"/>
  <c r="AS404" i="1"/>
  <c r="AR403" i="1"/>
  <c r="R16" i="3" l="1"/>
  <c r="S15" i="3"/>
  <c r="T15" i="3" s="1"/>
  <c r="E410" i="3"/>
  <c r="U14" i="3"/>
  <c r="G407" i="3"/>
  <c r="AS409" i="3"/>
  <c r="AR408" i="3"/>
  <c r="G404" i="1"/>
  <c r="H404" i="1" s="1"/>
  <c r="E405" i="1"/>
  <c r="AS405" i="1"/>
  <c r="AR404" i="1"/>
  <c r="S16" i="3" l="1"/>
  <c r="T16" i="3" s="1"/>
  <c r="R17" i="3"/>
  <c r="AS410" i="3"/>
  <c r="AR409" i="3"/>
  <c r="G408" i="3"/>
  <c r="U15" i="3"/>
  <c r="E411" i="3"/>
  <c r="H406" i="3"/>
  <c r="G405" i="1"/>
  <c r="H405" i="1" s="1"/>
  <c r="E406" i="1"/>
  <c r="AS406" i="1"/>
  <c r="AR405" i="1"/>
  <c r="G409" i="3" l="1"/>
  <c r="H407" i="3"/>
  <c r="S17" i="3"/>
  <c r="T17" i="3" s="1"/>
  <c r="R18" i="3"/>
  <c r="U16" i="3"/>
  <c r="AS411" i="3"/>
  <c r="AR410" i="3"/>
  <c r="E412" i="3"/>
  <c r="G406" i="1"/>
  <c r="H406" i="1" s="1"/>
  <c r="E407" i="1"/>
  <c r="AS407" i="1"/>
  <c r="AR406" i="1"/>
  <c r="H408" i="3" l="1"/>
  <c r="G410" i="3"/>
  <c r="U17" i="3"/>
  <c r="E413" i="3"/>
  <c r="S18" i="3"/>
  <c r="T18" i="3" s="1"/>
  <c r="R19" i="3"/>
  <c r="AS412" i="3"/>
  <c r="AR411" i="3"/>
  <c r="G407" i="1"/>
  <c r="H407" i="1" s="1"/>
  <c r="E408" i="1"/>
  <c r="AS408" i="1"/>
  <c r="AR407" i="1"/>
  <c r="S19" i="3" l="1"/>
  <c r="T19" i="3" s="1"/>
  <c r="R20" i="3"/>
  <c r="G411" i="3"/>
  <c r="H409" i="3"/>
  <c r="E414" i="3"/>
  <c r="U18" i="3"/>
  <c r="AS413" i="3"/>
  <c r="AR412" i="3"/>
  <c r="G408" i="1"/>
  <c r="H408" i="1" s="1"/>
  <c r="E409" i="1"/>
  <c r="AS409" i="1"/>
  <c r="AR408" i="1"/>
  <c r="R21" i="3" l="1"/>
  <c r="S20" i="3"/>
  <c r="T20" i="3" s="1"/>
  <c r="AS414" i="3"/>
  <c r="AR413" i="3"/>
  <c r="U19" i="3"/>
  <c r="G412" i="3"/>
  <c r="E415" i="3"/>
  <c r="H410" i="3"/>
  <c r="G409" i="1"/>
  <c r="H409" i="1" s="1"/>
  <c r="E410" i="1"/>
  <c r="AS410" i="1"/>
  <c r="AR409" i="1"/>
  <c r="H411" i="3" l="1"/>
  <c r="AS415" i="3"/>
  <c r="AR414" i="3"/>
  <c r="E416" i="3"/>
  <c r="U20" i="3"/>
  <c r="G413" i="3"/>
  <c r="R22" i="3"/>
  <c r="S21" i="3"/>
  <c r="T21" i="3" s="1"/>
  <c r="G410" i="1"/>
  <c r="H410" i="1" s="1"/>
  <c r="E411" i="1"/>
  <c r="AS411" i="1"/>
  <c r="AR410" i="1"/>
  <c r="G414" i="3" l="1"/>
  <c r="E417" i="3"/>
  <c r="R23" i="3"/>
  <c r="S22" i="3"/>
  <c r="T22" i="3" s="1"/>
  <c r="U21" i="3"/>
  <c r="H412" i="3"/>
  <c r="AS416" i="3"/>
  <c r="AR415" i="3"/>
  <c r="G411" i="1"/>
  <c r="H411" i="1" s="1"/>
  <c r="E412" i="1"/>
  <c r="AS412" i="1"/>
  <c r="AR411" i="1"/>
  <c r="E418" i="3" l="1"/>
  <c r="U22" i="3"/>
  <c r="AS417" i="3"/>
  <c r="AR416" i="3"/>
  <c r="G415" i="3"/>
  <c r="H413" i="3"/>
  <c r="S23" i="3"/>
  <c r="T23" i="3" s="1"/>
  <c r="R24" i="3"/>
  <c r="G412" i="1"/>
  <c r="H412" i="1" s="1"/>
  <c r="E413" i="1"/>
  <c r="AS413" i="1"/>
  <c r="AR412" i="1"/>
  <c r="R25" i="3" l="1"/>
  <c r="S24" i="3"/>
  <c r="T24" i="3" s="1"/>
  <c r="G416" i="3"/>
  <c r="E419" i="3"/>
  <c r="AS418" i="3"/>
  <c r="AR417" i="3"/>
  <c r="U23" i="3"/>
  <c r="H414" i="3"/>
  <c r="G413" i="1"/>
  <c r="H413" i="1" s="1"/>
  <c r="E414" i="1"/>
  <c r="AS414" i="1"/>
  <c r="AR413" i="1"/>
  <c r="U24" i="3" l="1"/>
  <c r="G417" i="3"/>
  <c r="AS419" i="3"/>
  <c r="AR418" i="3"/>
  <c r="H415" i="3"/>
  <c r="E420" i="3"/>
  <c r="R26" i="3"/>
  <c r="S25" i="3"/>
  <c r="T25" i="3" s="1"/>
  <c r="G414" i="1"/>
  <c r="H414" i="1" s="1"/>
  <c r="E415" i="1"/>
  <c r="AS415" i="1"/>
  <c r="AR414" i="1"/>
  <c r="H416" i="3" l="1"/>
  <c r="E421" i="3"/>
  <c r="G418" i="3"/>
  <c r="AS420" i="3"/>
  <c r="AR419" i="3"/>
  <c r="S26" i="3"/>
  <c r="T26" i="3" s="1"/>
  <c r="R27" i="3"/>
  <c r="U25" i="3"/>
  <c r="G415" i="1"/>
  <c r="H415" i="1" s="1"/>
  <c r="E416" i="1"/>
  <c r="AS416" i="1"/>
  <c r="AR415" i="1"/>
  <c r="E422" i="3" l="1"/>
  <c r="AS421" i="3"/>
  <c r="AR420" i="3"/>
  <c r="U26" i="3"/>
  <c r="H417" i="3"/>
  <c r="R28" i="3"/>
  <c r="S27" i="3"/>
  <c r="T27" i="3" s="1"/>
  <c r="G419" i="3"/>
  <c r="G416" i="1"/>
  <c r="H416" i="1" s="1"/>
  <c r="E417" i="1"/>
  <c r="AS417" i="1"/>
  <c r="AR416" i="1"/>
  <c r="AS422" i="3" l="1"/>
  <c r="AR421" i="3"/>
  <c r="E423" i="3"/>
  <c r="U27" i="3"/>
  <c r="G420" i="3"/>
  <c r="R29" i="3"/>
  <c r="S28" i="3"/>
  <c r="T28" i="3" s="1"/>
  <c r="H418" i="3"/>
  <c r="G417" i="1"/>
  <c r="H417" i="1" s="1"/>
  <c r="E418" i="1"/>
  <c r="AS418" i="1"/>
  <c r="AR417" i="1"/>
  <c r="H419" i="3" l="1"/>
  <c r="U28" i="3"/>
  <c r="AS423" i="3"/>
  <c r="AR422" i="3"/>
  <c r="G421" i="3"/>
  <c r="S29" i="3"/>
  <c r="T29" i="3" s="1"/>
  <c r="R30" i="3"/>
  <c r="E424" i="3"/>
  <c r="G418" i="1"/>
  <c r="H418" i="1" s="1"/>
  <c r="E419" i="1"/>
  <c r="AS419" i="1"/>
  <c r="AR418" i="1"/>
  <c r="H420" i="3" l="1"/>
  <c r="E425" i="3"/>
  <c r="S30" i="3"/>
  <c r="T30" i="3" s="1"/>
  <c r="R31" i="3"/>
  <c r="AS424" i="3"/>
  <c r="AR423" i="3"/>
  <c r="U29" i="3"/>
  <c r="G422" i="3"/>
  <c r="G419" i="1"/>
  <c r="H419" i="1" s="1"/>
  <c r="E420" i="1"/>
  <c r="AS420" i="1"/>
  <c r="AR419" i="1"/>
  <c r="AS425" i="3" l="1"/>
  <c r="AR424" i="3"/>
  <c r="R32" i="3"/>
  <c r="S31" i="3"/>
  <c r="T31" i="3" s="1"/>
  <c r="G423" i="3"/>
  <c r="H421" i="3"/>
  <c r="U30" i="3"/>
  <c r="E426" i="3"/>
  <c r="G420" i="1"/>
  <c r="H420" i="1" s="1"/>
  <c r="E421" i="1"/>
  <c r="AS421" i="1"/>
  <c r="AR420" i="1"/>
  <c r="H422" i="3" l="1"/>
  <c r="U31" i="3"/>
  <c r="R33" i="3"/>
  <c r="S32" i="3"/>
  <c r="T32" i="3" s="1"/>
  <c r="G424" i="3"/>
  <c r="E427" i="3"/>
  <c r="AS426" i="3"/>
  <c r="AR425" i="3"/>
  <c r="G421" i="1"/>
  <c r="H421" i="1" s="1"/>
  <c r="E422" i="1"/>
  <c r="AS422" i="1"/>
  <c r="AR421" i="1"/>
  <c r="AS427" i="3" l="1"/>
  <c r="AR426" i="3"/>
  <c r="U32" i="3"/>
  <c r="H423" i="3"/>
  <c r="R34" i="3"/>
  <c r="S33" i="3"/>
  <c r="T33" i="3" s="1"/>
  <c r="E428" i="3"/>
  <c r="G425" i="3"/>
  <c r="G422" i="1"/>
  <c r="H422" i="1" s="1"/>
  <c r="E423" i="1"/>
  <c r="AS423" i="1"/>
  <c r="AR422" i="1"/>
  <c r="H424" i="3" l="1"/>
  <c r="U33" i="3"/>
  <c r="G426" i="3"/>
  <c r="E429" i="3"/>
  <c r="S34" i="3"/>
  <c r="T34" i="3" s="1"/>
  <c r="R35" i="3"/>
  <c r="AS428" i="3"/>
  <c r="AR427" i="3"/>
  <c r="G423" i="1"/>
  <c r="H423" i="1" s="1"/>
  <c r="E424" i="1"/>
  <c r="AS424" i="1"/>
  <c r="AR423" i="1"/>
  <c r="U34" i="3" l="1"/>
  <c r="E430" i="3"/>
  <c r="AS429" i="3"/>
  <c r="AR428" i="3"/>
  <c r="H425" i="3"/>
  <c r="H426" i="3" s="1"/>
  <c r="G427" i="3"/>
  <c r="R36" i="3"/>
  <c r="S35" i="3"/>
  <c r="T35" i="3" s="1"/>
  <c r="G424" i="1"/>
  <c r="H424" i="1" s="1"/>
  <c r="E425" i="1"/>
  <c r="AS425" i="1"/>
  <c r="AR424" i="1"/>
  <c r="AS430" i="3" l="1"/>
  <c r="AR429" i="3"/>
  <c r="S36" i="3"/>
  <c r="T36" i="3" s="1"/>
  <c r="R37" i="3"/>
  <c r="U35" i="3"/>
  <c r="E431" i="3"/>
  <c r="G428" i="3"/>
  <c r="H427" i="3"/>
  <c r="G425" i="1"/>
  <c r="H425" i="1" s="1"/>
  <c r="E426" i="1"/>
  <c r="AS426" i="1"/>
  <c r="AR425" i="1"/>
  <c r="AS431" i="3" l="1"/>
  <c r="AR430" i="3"/>
  <c r="G429" i="3"/>
  <c r="E432" i="3"/>
  <c r="U36" i="3"/>
  <c r="R38" i="3"/>
  <c r="S37" i="3"/>
  <c r="T37" i="3" s="1"/>
  <c r="G426" i="1"/>
  <c r="H426" i="1" s="1"/>
  <c r="E427" i="1"/>
  <c r="AS427" i="1"/>
  <c r="AR426" i="1"/>
  <c r="G430" i="3" l="1"/>
  <c r="E433" i="3"/>
  <c r="AS432" i="3"/>
  <c r="AR431" i="3"/>
  <c r="S38" i="3"/>
  <c r="T38" i="3" s="1"/>
  <c r="R39" i="3"/>
  <c r="U37" i="3"/>
  <c r="H428" i="3"/>
  <c r="H429" i="3" s="1"/>
  <c r="G427" i="1"/>
  <c r="H427" i="1" s="1"/>
  <c r="E428" i="1"/>
  <c r="AS428" i="1"/>
  <c r="AR427" i="1"/>
  <c r="E434" i="3" l="1"/>
  <c r="G431" i="3"/>
  <c r="R40" i="3"/>
  <c r="S39" i="3"/>
  <c r="T39" i="3" s="1"/>
  <c r="AS433" i="3"/>
  <c r="AR432" i="3"/>
  <c r="U38" i="3"/>
  <c r="G428" i="1"/>
  <c r="H428" i="1" s="1"/>
  <c r="E429" i="1"/>
  <c r="AS429" i="1"/>
  <c r="AR428" i="1"/>
  <c r="G432" i="3" l="1"/>
  <c r="E435" i="3"/>
  <c r="U39" i="3"/>
  <c r="AS434" i="3"/>
  <c r="AR433" i="3"/>
  <c r="H430" i="3"/>
  <c r="S40" i="3"/>
  <c r="T40" i="3" s="1"/>
  <c r="R41" i="3"/>
  <c r="G429" i="1"/>
  <c r="H429" i="1" s="1"/>
  <c r="E430" i="1"/>
  <c r="AS430" i="1"/>
  <c r="AR429" i="1"/>
  <c r="S41" i="3" l="1"/>
  <c r="T41" i="3" s="1"/>
  <c r="R42" i="3"/>
  <c r="H431" i="3"/>
  <c r="E436" i="3"/>
  <c r="AS435" i="3"/>
  <c r="AR434" i="3"/>
  <c r="G433" i="3"/>
  <c r="U40" i="3"/>
  <c r="G430" i="1"/>
  <c r="H430" i="1" s="1"/>
  <c r="E431" i="1"/>
  <c r="AS431" i="1"/>
  <c r="AR430" i="1"/>
  <c r="U41" i="3" l="1"/>
  <c r="E437" i="3"/>
  <c r="H432" i="3"/>
  <c r="R43" i="3"/>
  <c r="S42" i="3"/>
  <c r="T42" i="3" s="1"/>
  <c r="AS436" i="3"/>
  <c r="AR435" i="3"/>
  <c r="G434" i="3"/>
  <c r="G431" i="1"/>
  <c r="H431" i="1" s="1"/>
  <c r="E432" i="1"/>
  <c r="AS432" i="1"/>
  <c r="AR431" i="1"/>
  <c r="E438" i="3" l="1"/>
  <c r="U42" i="3"/>
  <c r="R44" i="3"/>
  <c r="S43" i="3"/>
  <c r="T43" i="3" s="1"/>
  <c r="G435" i="3"/>
  <c r="H433" i="3"/>
  <c r="AS437" i="3"/>
  <c r="AR436" i="3"/>
  <c r="G432" i="1"/>
  <c r="H432" i="1" s="1"/>
  <c r="E433" i="1"/>
  <c r="AS433" i="1"/>
  <c r="AR432" i="1"/>
  <c r="AS438" i="3" l="1"/>
  <c r="AR437" i="3"/>
  <c r="R45" i="3"/>
  <c r="S44" i="3"/>
  <c r="T44" i="3" s="1"/>
  <c r="H434" i="3"/>
  <c r="H435" i="3" s="1"/>
  <c r="G436" i="3"/>
  <c r="E439" i="3"/>
  <c r="U43" i="3"/>
  <c r="G433" i="1"/>
  <c r="H433" i="1" s="1"/>
  <c r="E434" i="1"/>
  <c r="AS434" i="1"/>
  <c r="AR433" i="1"/>
  <c r="S45" i="3" l="1"/>
  <c r="T45" i="3" s="1"/>
  <c r="R46" i="3"/>
  <c r="E440" i="3"/>
  <c r="U44" i="3"/>
  <c r="G437" i="3"/>
  <c r="AS439" i="3"/>
  <c r="AR438" i="3"/>
  <c r="G434" i="1"/>
  <c r="H434" i="1" s="1"/>
  <c r="E435" i="1"/>
  <c r="AS435" i="1"/>
  <c r="AR434" i="1"/>
  <c r="G438" i="3" l="1"/>
  <c r="R47" i="3"/>
  <c r="S46" i="3"/>
  <c r="T46" i="3" s="1"/>
  <c r="U45" i="3"/>
  <c r="E441" i="3"/>
  <c r="AS440" i="3"/>
  <c r="AR439" i="3"/>
  <c r="H436" i="3"/>
  <c r="G435" i="1"/>
  <c r="H435" i="1" s="1"/>
  <c r="E436" i="1"/>
  <c r="AS436" i="1"/>
  <c r="AR435" i="1"/>
  <c r="R48" i="3" l="1"/>
  <c r="S47" i="3"/>
  <c r="T47" i="3" s="1"/>
  <c r="E442" i="3"/>
  <c r="U46" i="3"/>
  <c r="G439" i="3"/>
  <c r="H437" i="3"/>
  <c r="H438" i="3" s="1"/>
  <c r="AS441" i="3"/>
  <c r="AR440" i="3"/>
  <c r="G436" i="1"/>
  <c r="H436" i="1" s="1"/>
  <c r="E437" i="1"/>
  <c r="AS437" i="1"/>
  <c r="AR436" i="1"/>
  <c r="E443" i="3" l="1"/>
  <c r="AS442" i="3"/>
  <c r="AR441" i="3"/>
  <c r="G440" i="3"/>
  <c r="H439" i="3"/>
  <c r="U47" i="3"/>
  <c r="S48" i="3"/>
  <c r="T48" i="3" s="1"/>
  <c r="R49" i="3"/>
  <c r="G437" i="1"/>
  <c r="H437" i="1" s="1"/>
  <c r="E438" i="1"/>
  <c r="AS438" i="1"/>
  <c r="AR437" i="1"/>
  <c r="AS443" i="3" l="1"/>
  <c r="AR442" i="3"/>
  <c r="R50" i="3"/>
  <c r="S49" i="3"/>
  <c r="T49" i="3" s="1"/>
  <c r="G441" i="3"/>
  <c r="E444" i="3"/>
  <c r="U48" i="3"/>
  <c r="G438" i="1"/>
  <c r="H438" i="1" s="1"/>
  <c r="E439" i="1"/>
  <c r="AS439" i="1"/>
  <c r="AR438" i="1"/>
  <c r="E445" i="3" l="1"/>
  <c r="AS444" i="3"/>
  <c r="AR443" i="3"/>
  <c r="R51" i="3"/>
  <c r="S50" i="3"/>
  <c r="T50" i="3" s="1"/>
  <c r="U49" i="3"/>
  <c r="G442" i="3"/>
  <c r="H440" i="3"/>
  <c r="G439" i="1"/>
  <c r="H439" i="1" s="1"/>
  <c r="E440" i="1"/>
  <c r="AS440" i="1"/>
  <c r="AR439" i="1"/>
  <c r="U50" i="3" l="1"/>
  <c r="E446" i="3"/>
  <c r="AS445" i="3"/>
  <c r="AR444" i="3"/>
  <c r="H441" i="3"/>
  <c r="S51" i="3"/>
  <c r="T51" i="3" s="1"/>
  <c r="R52" i="3"/>
  <c r="G443" i="3"/>
  <c r="G440" i="1"/>
  <c r="H440" i="1" s="1"/>
  <c r="E441" i="1"/>
  <c r="AS441" i="1"/>
  <c r="AR440" i="1"/>
  <c r="G444" i="3" l="1"/>
  <c r="E447" i="3"/>
  <c r="U51" i="3"/>
  <c r="H442" i="3"/>
  <c r="H443" i="3" s="1"/>
  <c r="AS446" i="3"/>
  <c r="AR445" i="3"/>
  <c r="R53" i="3"/>
  <c r="S52" i="3"/>
  <c r="T52" i="3" s="1"/>
  <c r="G441" i="1"/>
  <c r="H441" i="1" s="1"/>
  <c r="E442" i="1"/>
  <c r="AS442" i="1"/>
  <c r="AR441" i="1"/>
  <c r="E448" i="3" l="1"/>
  <c r="U52" i="3"/>
  <c r="AS447" i="3"/>
  <c r="AR446" i="3"/>
  <c r="S53" i="3"/>
  <c r="T53" i="3" s="1"/>
  <c r="R54" i="3"/>
  <c r="H444" i="3"/>
  <c r="G445" i="3"/>
  <c r="G442" i="1"/>
  <c r="H442" i="1" s="1"/>
  <c r="E443" i="1"/>
  <c r="AS443" i="1"/>
  <c r="AR442" i="1"/>
  <c r="U53" i="3" l="1"/>
  <c r="R55" i="3"/>
  <c r="S54" i="3"/>
  <c r="T54" i="3" s="1"/>
  <c r="G446" i="3"/>
  <c r="AS448" i="3"/>
  <c r="AR447" i="3"/>
  <c r="E449" i="3"/>
  <c r="G443" i="1"/>
  <c r="H443" i="1" s="1"/>
  <c r="E444" i="1"/>
  <c r="AS444" i="1"/>
  <c r="AR443" i="1"/>
  <c r="U54" i="3" l="1"/>
  <c r="H445" i="3"/>
  <c r="H446" i="3" s="1"/>
  <c r="R56" i="3"/>
  <c r="S55" i="3"/>
  <c r="T55" i="3" s="1"/>
  <c r="G447" i="3"/>
  <c r="E450" i="3"/>
  <c r="AS449" i="3"/>
  <c r="AR448" i="3"/>
  <c r="G444" i="1"/>
  <c r="H444" i="1" s="1"/>
  <c r="E445" i="1"/>
  <c r="AS445" i="1"/>
  <c r="AR444" i="1"/>
  <c r="S56" i="3" l="1"/>
  <c r="T56" i="3" s="1"/>
  <c r="R57" i="3"/>
  <c r="E451" i="3"/>
  <c r="U55" i="3"/>
  <c r="G448" i="3"/>
  <c r="AS450" i="3"/>
  <c r="AR449" i="3"/>
  <c r="G445" i="1"/>
  <c r="H445" i="1" s="1"/>
  <c r="E446" i="1"/>
  <c r="AS446" i="1"/>
  <c r="AR445" i="1"/>
  <c r="R58" i="3" l="1"/>
  <c r="S57" i="3"/>
  <c r="T57" i="3" s="1"/>
  <c r="E452" i="3"/>
  <c r="AS451" i="3"/>
  <c r="AR450" i="3"/>
  <c r="G449" i="3"/>
  <c r="U56" i="3"/>
  <c r="H447" i="3"/>
  <c r="G446" i="1"/>
  <c r="H446" i="1" s="1"/>
  <c r="E447" i="1"/>
  <c r="AS447" i="1"/>
  <c r="AR446" i="1"/>
  <c r="AS452" i="3" l="1"/>
  <c r="AR451" i="3"/>
  <c r="E453" i="3"/>
  <c r="R59" i="3"/>
  <c r="S58" i="3"/>
  <c r="T58" i="3" s="1"/>
  <c r="H448" i="3"/>
  <c r="G450" i="3"/>
  <c r="U57" i="3"/>
  <c r="G447" i="1"/>
  <c r="H447" i="1" s="1"/>
  <c r="E448" i="1"/>
  <c r="AS448" i="1"/>
  <c r="AR447" i="1"/>
  <c r="E454" i="3" l="1"/>
  <c r="H449" i="3"/>
  <c r="U58" i="3"/>
  <c r="AR452" i="3"/>
  <c r="AS453" i="3"/>
  <c r="S59" i="3"/>
  <c r="T59" i="3" s="1"/>
  <c r="R60" i="3"/>
  <c r="G451" i="3"/>
  <c r="G448" i="1"/>
  <c r="H448" i="1" s="1"/>
  <c r="E449" i="1"/>
  <c r="AS449" i="1"/>
  <c r="AR448" i="1"/>
  <c r="H450" i="3" l="1"/>
  <c r="G452" i="3"/>
  <c r="R61" i="3"/>
  <c r="S60" i="3"/>
  <c r="T60" i="3" s="1"/>
  <c r="E455" i="3"/>
  <c r="U59" i="3"/>
  <c r="AS454" i="3"/>
  <c r="AR453" i="3"/>
  <c r="G449" i="1"/>
  <c r="H449" i="1" s="1"/>
  <c r="E450" i="1"/>
  <c r="AS450" i="1"/>
  <c r="AR449" i="1"/>
  <c r="G453" i="3" l="1"/>
  <c r="E456" i="3"/>
  <c r="AR454" i="3"/>
  <c r="AS455" i="3"/>
  <c r="H451" i="3"/>
  <c r="H452" i="3" s="1"/>
  <c r="S61" i="3"/>
  <c r="T61" i="3" s="1"/>
  <c r="R62" i="3"/>
  <c r="U60" i="3"/>
  <c r="G450" i="1"/>
  <c r="H450" i="1" s="1"/>
  <c r="E451" i="1"/>
  <c r="AS451" i="1"/>
  <c r="AR450" i="1"/>
  <c r="AS456" i="3" l="1"/>
  <c r="AR455" i="3"/>
  <c r="U61" i="3"/>
  <c r="R63" i="3"/>
  <c r="S62" i="3"/>
  <c r="T62" i="3" s="1"/>
  <c r="E457" i="3"/>
  <c r="G454" i="3"/>
  <c r="G451" i="1"/>
  <c r="H451" i="1" s="1"/>
  <c r="E452" i="1"/>
  <c r="AS452" i="1"/>
  <c r="AR451" i="1"/>
  <c r="H453" i="3" l="1"/>
  <c r="U62" i="3"/>
  <c r="E458" i="3"/>
  <c r="AR456" i="3"/>
  <c r="AS457" i="3"/>
  <c r="G455" i="3"/>
  <c r="R64" i="3"/>
  <c r="S63" i="3"/>
  <c r="T63" i="3" s="1"/>
  <c r="G452" i="1"/>
  <c r="H452" i="1" s="1"/>
  <c r="E453" i="1"/>
  <c r="AS453" i="1"/>
  <c r="AR452" i="1"/>
  <c r="E459" i="3" l="1"/>
  <c r="S64" i="3"/>
  <c r="T64" i="3" s="1"/>
  <c r="R65" i="3"/>
  <c r="U63" i="3"/>
  <c r="H454" i="3"/>
  <c r="G456" i="3"/>
  <c r="AS458" i="3"/>
  <c r="AR457" i="3"/>
  <c r="G453" i="1"/>
  <c r="H453" i="1" s="1"/>
  <c r="E454" i="1"/>
  <c r="AS454" i="1"/>
  <c r="AR453" i="1"/>
  <c r="AS459" i="3" l="1"/>
  <c r="AR458" i="3"/>
  <c r="G457" i="3"/>
  <c r="E460" i="3"/>
  <c r="S65" i="3"/>
  <c r="T65" i="3" s="1"/>
  <c r="R66" i="3"/>
  <c r="H455" i="3"/>
  <c r="U64" i="3"/>
  <c r="G454" i="1"/>
  <c r="H454" i="1" s="1"/>
  <c r="E455" i="1"/>
  <c r="AS455" i="1"/>
  <c r="AR454" i="1"/>
  <c r="E461" i="3" l="1"/>
  <c r="U65" i="3"/>
  <c r="H456" i="3"/>
  <c r="G458" i="3"/>
  <c r="R67" i="3"/>
  <c r="S66" i="3"/>
  <c r="T66" i="3" s="1"/>
  <c r="AS460" i="3"/>
  <c r="AR459" i="3"/>
  <c r="G455" i="1"/>
  <c r="H455" i="1" s="1"/>
  <c r="E456" i="1"/>
  <c r="AS456" i="1"/>
  <c r="AR455" i="1"/>
  <c r="U66" i="3" l="1"/>
  <c r="R68" i="3"/>
  <c r="S67" i="3"/>
  <c r="T67" i="3" s="1"/>
  <c r="AR460" i="3"/>
  <c r="AS461" i="3"/>
  <c r="E462" i="3"/>
  <c r="G459" i="3"/>
  <c r="H457" i="3"/>
  <c r="H458" i="3" s="1"/>
  <c r="G456" i="1"/>
  <c r="H456" i="1" s="1"/>
  <c r="E457" i="1"/>
  <c r="AS457" i="1"/>
  <c r="AR456" i="1"/>
  <c r="AR461" i="3" l="1"/>
  <c r="AS462" i="3"/>
  <c r="R69" i="3"/>
  <c r="S68" i="3"/>
  <c r="T68" i="3" s="1"/>
  <c r="G460" i="3"/>
  <c r="H459" i="3"/>
  <c r="U67" i="3"/>
  <c r="E463" i="3"/>
  <c r="G457" i="1"/>
  <c r="H457" i="1" s="1"/>
  <c r="E458" i="1"/>
  <c r="AS458" i="1"/>
  <c r="AR457" i="1"/>
  <c r="S69" i="3" l="1"/>
  <c r="T69" i="3" s="1"/>
  <c r="R70" i="3"/>
  <c r="E464" i="3"/>
  <c r="AS463" i="3"/>
  <c r="AR462" i="3"/>
  <c r="G461" i="3"/>
  <c r="U68" i="3"/>
  <c r="G458" i="1"/>
  <c r="H458" i="1" s="1"/>
  <c r="E459" i="1"/>
  <c r="AS459" i="1"/>
  <c r="AR458" i="1"/>
  <c r="E465" i="3" l="1"/>
  <c r="AR463" i="3"/>
  <c r="AS464" i="3"/>
  <c r="R71" i="3"/>
  <c r="S70" i="3"/>
  <c r="T70" i="3" s="1"/>
  <c r="G462" i="3"/>
  <c r="U69" i="3"/>
  <c r="H460" i="3"/>
  <c r="G459" i="1"/>
  <c r="H459" i="1" s="1"/>
  <c r="E460" i="1"/>
  <c r="AS460" i="1"/>
  <c r="AR459" i="1"/>
  <c r="G463" i="3" l="1"/>
  <c r="E466" i="3"/>
  <c r="H461" i="3"/>
  <c r="H462" i="3" s="1"/>
  <c r="U70" i="3"/>
  <c r="R72" i="3"/>
  <c r="S71" i="3"/>
  <c r="T71" i="3" s="1"/>
  <c r="AR464" i="3"/>
  <c r="AS465" i="3"/>
  <c r="G460" i="1"/>
  <c r="H460" i="1" s="1"/>
  <c r="E461" i="1"/>
  <c r="AS461" i="1"/>
  <c r="AR460" i="1"/>
  <c r="E467" i="3" l="1"/>
  <c r="S72" i="3"/>
  <c r="T72" i="3" s="1"/>
  <c r="R73" i="3"/>
  <c r="AR465" i="3"/>
  <c r="AS466" i="3"/>
  <c r="U71" i="3"/>
  <c r="H463" i="3"/>
  <c r="G464" i="3"/>
  <c r="G461" i="1"/>
  <c r="H461" i="1" s="1"/>
  <c r="E462" i="1"/>
  <c r="AS462" i="1"/>
  <c r="AR461" i="1"/>
  <c r="U72" i="3" l="1"/>
  <c r="E468" i="3"/>
  <c r="AR466" i="3"/>
  <c r="AS467" i="3"/>
  <c r="G465" i="3"/>
  <c r="S73" i="3"/>
  <c r="T73" i="3" s="1"/>
  <c r="R74" i="3"/>
  <c r="G462" i="1"/>
  <c r="H462" i="1" s="1"/>
  <c r="E463" i="1"/>
  <c r="AS463" i="1"/>
  <c r="AR462" i="1"/>
  <c r="E469" i="3" l="1"/>
  <c r="G466" i="3"/>
  <c r="R75" i="3"/>
  <c r="S74" i="3"/>
  <c r="T74" i="3" s="1"/>
  <c r="U73" i="3"/>
  <c r="AS468" i="3"/>
  <c r="AR467" i="3"/>
  <c r="H464" i="3"/>
  <c r="G463" i="1"/>
  <c r="H463" i="1" s="1"/>
  <c r="E464" i="1"/>
  <c r="AS464" i="1"/>
  <c r="AR463" i="1"/>
  <c r="G467" i="3" l="1"/>
  <c r="AR468" i="3"/>
  <c r="AS469" i="3"/>
  <c r="U74" i="3"/>
  <c r="E470" i="3"/>
  <c r="R76" i="3"/>
  <c r="S75" i="3"/>
  <c r="T75" i="3" s="1"/>
  <c r="H465" i="3"/>
  <c r="H466" i="3" s="1"/>
  <c r="G464" i="1"/>
  <c r="H464" i="1" s="1"/>
  <c r="E465" i="1"/>
  <c r="AS465" i="1"/>
  <c r="AR464" i="1"/>
  <c r="R77" i="3" l="1"/>
  <c r="S76" i="3"/>
  <c r="T76" i="3" s="1"/>
  <c r="E471" i="3"/>
  <c r="G468" i="3"/>
  <c r="H467" i="3"/>
  <c r="U75" i="3"/>
  <c r="AR469" i="3"/>
  <c r="AS470" i="3"/>
  <c r="G465" i="1"/>
  <c r="H465" i="1" s="1"/>
  <c r="E466" i="1"/>
  <c r="AS466" i="1"/>
  <c r="AR465" i="1"/>
  <c r="E472" i="3" l="1"/>
  <c r="AS471" i="3"/>
  <c r="AR470" i="3"/>
  <c r="S77" i="3"/>
  <c r="T77" i="3" s="1"/>
  <c r="R78" i="3"/>
  <c r="H468" i="3"/>
  <c r="G469" i="3"/>
  <c r="U76" i="3"/>
  <c r="G466" i="1"/>
  <c r="H466" i="1" s="1"/>
  <c r="E467" i="1"/>
  <c r="AS467" i="1"/>
  <c r="AR466" i="1"/>
  <c r="AR471" i="3" l="1"/>
  <c r="AS472" i="3"/>
  <c r="E473" i="3"/>
  <c r="H469" i="3"/>
  <c r="G470" i="3"/>
  <c r="R79" i="3"/>
  <c r="S78" i="3"/>
  <c r="T78" i="3" s="1"/>
  <c r="U77" i="3"/>
  <c r="G467" i="1"/>
  <c r="H467" i="1" s="1"/>
  <c r="E468" i="1"/>
  <c r="AS468" i="1"/>
  <c r="AR467" i="1"/>
  <c r="U78" i="3" l="1"/>
  <c r="AS473" i="3"/>
  <c r="AR472" i="3"/>
  <c r="E474" i="3"/>
  <c r="G471" i="3"/>
  <c r="H470" i="3"/>
  <c r="R80" i="3"/>
  <c r="S79" i="3"/>
  <c r="T79" i="3" s="1"/>
  <c r="G468" i="1"/>
  <c r="H468" i="1" s="1"/>
  <c r="E469" i="1"/>
  <c r="AS469" i="1"/>
  <c r="AR468" i="1"/>
  <c r="AR473" i="3" l="1"/>
  <c r="AS474" i="3"/>
  <c r="S80" i="3"/>
  <c r="T80" i="3" s="1"/>
  <c r="R81" i="3"/>
  <c r="E475" i="3"/>
  <c r="G472" i="3"/>
  <c r="U79" i="3"/>
  <c r="G469" i="1"/>
  <c r="H469" i="1" s="1"/>
  <c r="E470" i="1"/>
  <c r="AS470" i="1"/>
  <c r="AR469" i="1"/>
  <c r="S81" i="3" l="1"/>
  <c r="T81" i="3" s="1"/>
  <c r="R82" i="3"/>
  <c r="E476" i="3"/>
  <c r="U80" i="3"/>
  <c r="G473" i="3"/>
  <c r="AS475" i="3"/>
  <c r="AR474" i="3"/>
  <c r="H471" i="3"/>
  <c r="G470" i="1"/>
  <c r="H470" i="1" s="1"/>
  <c r="E471" i="1"/>
  <c r="AS471" i="1"/>
  <c r="AR470" i="1"/>
  <c r="H472" i="3" l="1"/>
  <c r="G474" i="3"/>
  <c r="R83" i="3"/>
  <c r="S82" i="3"/>
  <c r="T82" i="3" s="1"/>
  <c r="U81" i="3"/>
  <c r="AS476" i="3"/>
  <c r="AR475" i="3"/>
  <c r="E477" i="3"/>
  <c r="G471" i="1"/>
  <c r="H471" i="1" s="1"/>
  <c r="E472" i="1"/>
  <c r="AS472" i="1"/>
  <c r="AR471" i="1"/>
  <c r="AS477" i="3" l="1"/>
  <c r="AR476" i="3"/>
  <c r="E478" i="3"/>
  <c r="G475" i="3"/>
  <c r="H473" i="3"/>
  <c r="U82" i="3"/>
  <c r="R84" i="3"/>
  <c r="S83" i="3"/>
  <c r="T83" i="3" s="1"/>
  <c r="G472" i="1"/>
  <c r="H472" i="1" s="1"/>
  <c r="E473" i="1"/>
  <c r="AS473" i="1"/>
  <c r="AR472" i="1"/>
  <c r="U83" i="3" l="1"/>
  <c r="E479" i="3"/>
  <c r="H474" i="3"/>
  <c r="AR477" i="3"/>
  <c r="AS478" i="3"/>
  <c r="G476" i="3"/>
  <c r="R85" i="3"/>
  <c r="S84" i="3"/>
  <c r="T84" i="3" s="1"/>
  <c r="G473" i="1"/>
  <c r="H473" i="1" s="1"/>
  <c r="E474" i="1"/>
  <c r="AS474" i="1"/>
  <c r="AR473" i="1"/>
  <c r="E480" i="3" l="1"/>
  <c r="S85" i="3"/>
  <c r="T85" i="3" s="1"/>
  <c r="R86" i="3"/>
  <c r="U84" i="3"/>
  <c r="H475" i="3"/>
  <c r="G477" i="3"/>
  <c r="AS479" i="3"/>
  <c r="AR478" i="3"/>
  <c r="G474" i="1"/>
  <c r="H474" i="1" s="1"/>
  <c r="E475" i="1"/>
  <c r="AS475" i="1"/>
  <c r="AR474" i="1"/>
  <c r="AR479" i="3" l="1"/>
  <c r="AS480" i="3"/>
  <c r="E481" i="3"/>
  <c r="G478" i="3"/>
  <c r="H476" i="3"/>
  <c r="H477" i="3" s="1"/>
  <c r="U85" i="3"/>
  <c r="S86" i="3"/>
  <c r="T86" i="3" s="1"/>
  <c r="R87" i="3"/>
  <c r="G475" i="1"/>
  <c r="H475" i="1" s="1"/>
  <c r="E476" i="1"/>
  <c r="AS476" i="1"/>
  <c r="AR475" i="1"/>
  <c r="G479" i="3" l="1"/>
  <c r="U86" i="3"/>
  <c r="E482" i="3"/>
  <c r="AS481" i="3"/>
  <c r="AR480" i="3"/>
  <c r="R88" i="3"/>
  <c r="S87" i="3"/>
  <c r="T87" i="3" s="1"/>
  <c r="G476" i="1"/>
  <c r="H476" i="1" s="1"/>
  <c r="E477" i="1"/>
  <c r="AS477" i="1"/>
  <c r="AR476" i="1"/>
  <c r="U87" i="3" l="1"/>
  <c r="E483" i="3"/>
  <c r="R89" i="3"/>
  <c r="S88" i="3"/>
  <c r="T88" i="3" s="1"/>
  <c r="G480" i="3"/>
  <c r="H478" i="3"/>
  <c r="AR481" i="3"/>
  <c r="AS482" i="3"/>
  <c r="G477" i="1"/>
  <c r="H477" i="1" s="1"/>
  <c r="E478" i="1"/>
  <c r="AS478" i="1"/>
  <c r="AR477" i="1"/>
  <c r="AR482" i="3" l="1"/>
  <c r="AS483" i="3"/>
  <c r="H479" i="3"/>
  <c r="H480" i="3" s="1"/>
  <c r="G481" i="3"/>
  <c r="E484" i="3"/>
  <c r="S89" i="3"/>
  <c r="T89" i="3" s="1"/>
  <c r="R90" i="3"/>
  <c r="U88" i="3"/>
  <c r="G478" i="1"/>
  <c r="H478" i="1" s="1"/>
  <c r="E479" i="1"/>
  <c r="AS479" i="1"/>
  <c r="AR478" i="1"/>
  <c r="U89" i="3" l="1"/>
  <c r="AS484" i="3"/>
  <c r="AR483" i="3"/>
  <c r="E485" i="3"/>
  <c r="S90" i="3"/>
  <c r="T90" i="3" s="1"/>
  <c r="R91" i="3"/>
  <c r="G482" i="3"/>
  <c r="G479" i="1"/>
  <c r="H479" i="1" s="1"/>
  <c r="E480" i="1"/>
  <c r="AS480" i="1"/>
  <c r="AR479" i="1"/>
  <c r="AS485" i="3" l="1"/>
  <c r="AR484" i="3"/>
  <c r="R92" i="3"/>
  <c r="S91" i="3"/>
  <c r="T91" i="3" s="1"/>
  <c r="G483" i="3"/>
  <c r="U90" i="3"/>
  <c r="H481" i="3"/>
  <c r="E486" i="3"/>
  <c r="G480" i="1"/>
  <c r="H480" i="1" s="1"/>
  <c r="E481" i="1"/>
  <c r="AS481" i="1"/>
  <c r="AR480" i="1"/>
  <c r="R93" i="3" l="1"/>
  <c r="S92" i="3"/>
  <c r="T92" i="3" s="1"/>
  <c r="AR485" i="3"/>
  <c r="AS486" i="3"/>
  <c r="E487" i="3"/>
  <c r="H482" i="3"/>
  <c r="H483" i="3" s="1"/>
  <c r="U91" i="3"/>
  <c r="G484" i="3"/>
  <c r="G481" i="1"/>
  <c r="H481" i="1" s="1"/>
  <c r="E482" i="1"/>
  <c r="AS482" i="1"/>
  <c r="AR481" i="1"/>
  <c r="G485" i="3" l="1"/>
  <c r="U92" i="3"/>
  <c r="AR486" i="3"/>
  <c r="AS487" i="3"/>
  <c r="H484" i="3"/>
  <c r="E488" i="3"/>
  <c r="S93" i="3"/>
  <c r="T93" i="3" s="1"/>
  <c r="R94" i="3"/>
  <c r="G482" i="1"/>
  <c r="H482" i="1" s="1"/>
  <c r="E483" i="1"/>
  <c r="AS483" i="1"/>
  <c r="AR482" i="1"/>
  <c r="U93" i="3" l="1"/>
  <c r="E489" i="3"/>
  <c r="S94" i="3"/>
  <c r="T94" i="3" s="1"/>
  <c r="R95" i="3"/>
  <c r="G486" i="3"/>
  <c r="AR487" i="3"/>
  <c r="AS488" i="3"/>
  <c r="G483" i="1"/>
  <c r="H483" i="1" s="1"/>
  <c r="E484" i="1"/>
  <c r="AS484" i="1"/>
  <c r="AR483" i="1"/>
  <c r="E490" i="3" l="1"/>
  <c r="U94" i="3"/>
  <c r="G487" i="3"/>
  <c r="H485" i="3"/>
  <c r="R96" i="3"/>
  <c r="S95" i="3"/>
  <c r="T95" i="3" s="1"/>
  <c r="AS489" i="3"/>
  <c r="AR488" i="3"/>
  <c r="G484" i="1"/>
  <c r="H484" i="1" s="1"/>
  <c r="E485" i="1"/>
  <c r="AS485" i="1"/>
  <c r="AR484" i="1"/>
  <c r="E491" i="3" l="1"/>
  <c r="S96" i="3"/>
  <c r="T96" i="3" s="1"/>
  <c r="R97" i="3"/>
  <c r="AR489" i="3"/>
  <c r="AS490" i="3"/>
  <c r="G488" i="3"/>
  <c r="U95" i="3"/>
  <c r="H486" i="3"/>
  <c r="G485" i="1"/>
  <c r="H485" i="1" s="1"/>
  <c r="E486" i="1"/>
  <c r="AS486" i="1"/>
  <c r="AR485" i="1"/>
  <c r="G489" i="3" l="1"/>
  <c r="H487" i="3"/>
  <c r="H488" i="3" s="1"/>
  <c r="U96" i="3"/>
  <c r="E492" i="3"/>
  <c r="AR490" i="3"/>
  <c r="AS491" i="3"/>
  <c r="S97" i="3"/>
  <c r="T97" i="3" s="1"/>
  <c r="R98" i="3"/>
  <c r="G486" i="1"/>
  <c r="H486" i="1" s="1"/>
  <c r="E487" i="1"/>
  <c r="AS487" i="1"/>
  <c r="AR486" i="1"/>
  <c r="U97" i="3" l="1"/>
  <c r="R99" i="3"/>
  <c r="S98" i="3"/>
  <c r="T98" i="3" s="1"/>
  <c r="AR491" i="3"/>
  <c r="AS492" i="3"/>
  <c r="G490" i="3"/>
  <c r="E493" i="3"/>
  <c r="G487" i="1"/>
  <c r="H487" i="1" s="1"/>
  <c r="E488" i="1"/>
  <c r="AS488" i="1"/>
  <c r="AR487" i="1"/>
  <c r="AS493" i="3" l="1"/>
  <c r="AR492" i="3"/>
  <c r="G491" i="3"/>
  <c r="R100" i="3"/>
  <c r="S99" i="3"/>
  <c r="T99" i="3" s="1"/>
  <c r="U98" i="3"/>
  <c r="E494" i="3"/>
  <c r="H489" i="3"/>
  <c r="G488" i="1"/>
  <c r="H488" i="1" s="1"/>
  <c r="E489" i="1"/>
  <c r="AS489" i="1"/>
  <c r="AR488" i="1"/>
  <c r="G492" i="3" l="1"/>
  <c r="E495" i="3"/>
  <c r="AR493" i="3"/>
  <c r="AS494" i="3"/>
  <c r="R101" i="3"/>
  <c r="S100" i="3"/>
  <c r="T100" i="3" s="1"/>
  <c r="U99" i="3"/>
  <c r="H490" i="3"/>
  <c r="G489" i="1"/>
  <c r="H489" i="1" s="1"/>
  <c r="E490" i="1"/>
  <c r="AS490" i="1"/>
  <c r="AR489" i="1"/>
  <c r="AR494" i="3" l="1"/>
  <c r="AS495" i="3"/>
  <c r="S101" i="3"/>
  <c r="T101" i="3" s="1"/>
  <c r="R102" i="3"/>
  <c r="E496" i="3"/>
  <c r="H491" i="3"/>
  <c r="G493" i="3"/>
  <c r="U100" i="3"/>
  <c r="G490" i="1"/>
  <c r="H490" i="1" s="1"/>
  <c r="E491" i="1"/>
  <c r="AS491" i="1"/>
  <c r="AR490" i="1"/>
  <c r="E497" i="3" l="1"/>
  <c r="S102" i="3"/>
  <c r="T102" i="3" s="1"/>
  <c r="R103" i="3"/>
  <c r="AR495" i="3"/>
  <c r="AS496" i="3"/>
  <c r="G494" i="3"/>
  <c r="H492" i="3"/>
  <c r="U101" i="3"/>
  <c r="G491" i="1"/>
  <c r="H491" i="1" s="1"/>
  <c r="E492" i="1"/>
  <c r="AS492" i="1"/>
  <c r="AR491" i="1"/>
  <c r="G495" i="3" l="1"/>
  <c r="AS497" i="3"/>
  <c r="AR496" i="3"/>
  <c r="S103" i="3"/>
  <c r="T103" i="3" s="1"/>
  <c r="R104" i="3"/>
  <c r="U102" i="3"/>
  <c r="H493" i="3"/>
  <c r="H494" i="3" s="1"/>
  <c r="E498" i="3"/>
  <c r="G492" i="1"/>
  <c r="H492" i="1" s="1"/>
  <c r="E493" i="1"/>
  <c r="AS493" i="1"/>
  <c r="AR492" i="1"/>
  <c r="AR497" i="3" l="1"/>
  <c r="AS498" i="3"/>
  <c r="U103" i="3"/>
  <c r="R105" i="3"/>
  <c r="S104" i="3"/>
  <c r="T104" i="3" s="1"/>
  <c r="G496" i="3"/>
  <c r="E499" i="3"/>
  <c r="G493" i="1"/>
  <c r="H493" i="1" s="1"/>
  <c r="E494" i="1"/>
  <c r="AS494" i="1"/>
  <c r="AR493" i="1"/>
  <c r="G497" i="3" l="1"/>
  <c r="AR498" i="3"/>
  <c r="AS499" i="3"/>
  <c r="U104" i="3"/>
  <c r="H495" i="3"/>
  <c r="E500" i="3"/>
  <c r="R106" i="3"/>
  <c r="S105" i="3"/>
  <c r="T105" i="3" s="1"/>
  <c r="G494" i="1"/>
  <c r="H494" i="1" s="1"/>
  <c r="E495" i="1"/>
  <c r="AS495" i="1"/>
  <c r="AR494" i="1"/>
  <c r="S106" i="3" l="1"/>
  <c r="T106" i="3" s="1"/>
  <c r="R107" i="3"/>
  <c r="G498" i="3"/>
  <c r="U105" i="3"/>
  <c r="E501" i="3"/>
  <c r="H496" i="3"/>
  <c r="AS500" i="3"/>
  <c r="AR499" i="3"/>
  <c r="G495" i="1"/>
  <c r="H495" i="1" s="1"/>
  <c r="E496" i="1"/>
  <c r="AS496" i="1"/>
  <c r="AR495" i="1"/>
  <c r="H497" i="3" l="1"/>
  <c r="S107" i="3"/>
  <c r="T107" i="3" s="1"/>
  <c r="R108" i="3"/>
  <c r="G499" i="3"/>
  <c r="E502" i="3"/>
  <c r="U106" i="3"/>
  <c r="AS501" i="3"/>
  <c r="AR500" i="3"/>
  <c r="G496" i="1"/>
  <c r="H496" i="1" s="1"/>
  <c r="E497" i="1"/>
  <c r="AS497" i="1"/>
  <c r="AR496" i="1"/>
  <c r="G500" i="3" l="1"/>
  <c r="S108" i="3"/>
  <c r="T108" i="3" s="1"/>
  <c r="R109" i="3"/>
  <c r="U107" i="3"/>
  <c r="AR501" i="3"/>
  <c r="AS502" i="3"/>
  <c r="E503" i="3"/>
  <c r="H498" i="3"/>
  <c r="G497" i="1"/>
  <c r="H497" i="1" s="1"/>
  <c r="E498" i="1"/>
  <c r="AS498" i="1"/>
  <c r="AR497" i="1"/>
  <c r="E504" i="3" l="1"/>
  <c r="H499" i="3"/>
  <c r="G501" i="3"/>
  <c r="AR502" i="3"/>
  <c r="AS503" i="3"/>
  <c r="U108" i="3"/>
  <c r="S109" i="3"/>
  <c r="T109" i="3" s="1"/>
  <c r="R110" i="3"/>
  <c r="G498" i="1"/>
  <c r="H498" i="1" s="1"/>
  <c r="E499" i="1"/>
  <c r="AS499" i="1"/>
  <c r="AR498" i="1"/>
  <c r="G502" i="3" l="1"/>
  <c r="U109" i="3"/>
  <c r="H500" i="3"/>
  <c r="AS504" i="3"/>
  <c r="AR503" i="3"/>
  <c r="S110" i="3"/>
  <c r="T110" i="3" s="1"/>
  <c r="R111" i="3"/>
  <c r="E505" i="3"/>
  <c r="G499" i="1"/>
  <c r="H499" i="1" s="1"/>
  <c r="E500" i="1"/>
  <c r="AS500" i="1"/>
  <c r="AR499" i="1"/>
  <c r="H501" i="3" l="1"/>
  <c r="E506" i="3"/>
  <c r="G503" i="3"/>
  <c r="AR504" i="3"/>
  <c r="AS505" i="3"/>
  <c r="S111" i="3"/>
  <c r="T111" i="3" s="1"/>
  <c r="R112" i="3"/>
  <c r="U110" i="3"/>
  <c r="G500" i="1"/>
  <c r="H500" i="1" s="1"/>
  <c r="E501" i="1"/>
  <c r="AS501" i="1"/>
  <c r="AR500" i="1"/>
  <c r="G504" i="3" l="1"/>
  <c r="E507" i="3"/>
  <c r="H502" i="3"/>
  <c r="U111" i="3"/>
  <c r="R113" i="3"/>
  <c r="S112" i="3"/>
  <c r="T112" i="3" s="1"/>
  <c r="AS506" i="3"/>
  <c r="AR505" i="3"/>
  <c r="G501" i="1"/>
  <c r="H501" i="1" s="1"/>
  <c r="E502" i="1"/>
  <c r="AS502" i="1"/>
  <c r="AR501" i="1"/>
  <c r="R114" i="3" l="1"/>
  <c r="S113" i="3"/>
  <c r="T113" i="3" s="1"/>
  <c r="H503" i="3"/>
  <c r="U112" i="3"/>
  <c r="G505" i="3"/>
  <c r="AR506" i="3"/>
  <c r="AS507" i="3"/>
  <c r="E508" i="3"/>
  <c r="G502" i="1"/>
  <c r="H502" i="1" s="1"/>
  <c r="E503" i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AS503" i="1"/>
  <c r="AR502" i="1"/>
  <c r="U113" i="3" l="1"/>
  <c r="S114" i="3"/>
  <c r="T114" i="3" s="1"/>
  <c r="R115" i="3"/>
  <c r="AR507" i="3"/>
  <c r="AS508" i="3"/>
  <c r="H504" i="3"/>
  <c r="E509" i="3"/>
  <c r="G506" i="3"/>
  <c r="G503" i="1"/>
  <c r="H503" i="1" s="1"/>
  <c r="G504" i="1"/>
  <c r="AS504" i="1"/>
  <c r="AR503" i="1"/>
  <c r="G507" i="3" l="1"/>
  <c r="E510" i="3"/>
  <c r="S115" i="3"/>
  <c r="T115" i="3" s="1"/>
  <c r="R116" i="3"/>
  <c r="H505" i="3"/>
  <c r="H506" i="3" s="1"/>
  <c r="AS509" i="3"/>
  <c r="AR508" i="3"/>
  <c r="U114" i="3"/>
  <c r="G505" i="1"/>
  <c r="H504" i="1"/>
  <c r="AS505" i="1"/>
  <c r="AR504" i="1"/>
  <c r="E511" i="3" l="1"/>
  <c r="S116" i="3"/>
  <c r="T116" i="3" s="1"/>
  <c r="R117" i="3"/>
  <c r="AR509" i="3"/>
  <c r="AS510" i="3"/>
  <c r="U115" i="3"/>
  <c r="G508" i="3"/>
  <c r="G506" i="1"/>
  <c r="H505" i="1"/>
  <c r="AS506" i="1"/>
  <c r="AR505" i="1"/>
  <c r="H507" i="3" l="1"/>
  <c r="H508" i="3" s="1"/>
  <c r="S117" i="3"/>
  <c r="T117" i="3" s="1"/>
  <c r="R118" i="3"/>
  <c r="G509" i="3"/>
  <c r="AS511" i="3"/>
  <c r="AR510" i="3"/>
  <c r="U116" i="3"/>
  <c r="E512" i="3"/>
  <c r="G507" i="1"/>
  <c r="H506" i="1"/>
  <c r="AS507" i="1"/>
  <c r="AR506" i="1"/>
  <c r="AR511" i="3" l="1"/>
  <c r="AS512" i="3"/>
  <c r="S118" i="3"/>
  <c r="T118" i="3" s="1"/>
  <c r="R119" i="3"/>
  <c r="H509" i="3"/>
  <c r="G510" i="3"/>
  <c r="U117" i="3"/>
  <c r="E513" i="3"/>
  <c r="G508" i="1"/>
  <c r="H507" i="1"/>
  <c r="AS508" i="1"/>
  <c r="AR507" i="1"/>
  <c r="R120" i="3" l="1"/>
  <c r="S119" i="3"/>
  <c r="T119" i="3" s="1"/>
  <c r="E514" i="3"/>
  <c r="U118" i="3"/>
  <c r="AS513" i="3"/>
  <c r="AR512" i="3"/>
  <c r="G511" i="3"/>
  <c r="G509" i="1"/>
  <c r="H508" i="1"/>
  <c r="AS509" i="1"/>
  <c r="AR508" i="1"/>
  <c r="E515" i="3" l="1"/>
  <c r="R121" i="3"/>
  <c r="S120" i="3"/>
  <c r="T120" i="3" s="1"/>
  <c r="AS514" i="3"/>
  <c r="AR513" i="3"/>
  <c r="G512" i="3"/>
  <c r="U119" i="3"/>
  <c r="H510" i="3"/>
  <c r="G510" i="1"/>
  <c r="H509" i="1"/>
  <c r="AS510" i="1"/>
  <c r="AR509" i="1"/>
  <c r="R122" i="3" l="1"/>
  <c r="S121" i="3"/>
  <c r="T121" i="3" s="1"/>
  <c r="AS515" i="3"/>
  <c r="AR514" i="3"/>
  <c r="H511" i="3"/>
  <c r="E516" i="3"/>
  <c r="G513" i="3"/>
  <c r="U120" i="3"/>
  <c r="G511" i="1"/>
  <c r="H510" i="1"/>
  <c r="AS511" i="1"/>
  <c r="AR510" i="1"/>
  <c r="G514" i="3" l="1"/>
  <c r="E517" i="3"/>
  <c r="H512" i="3"/>
  <c r="U121" i="3"/>
  <c r="S122" i="3"/>
  <c r="T122" i="3" s="1"/>
  <c r="R123" i="3"/>
  <c r="AR515" i="3"/>
  <c r="AS516" i="3"/>
  <c r="G512" i="1"/>
  <c r="H511" i="1"/>
  <c r="AS512" i="1"/>
  <c r="AR511" i="1"/>
  <c r="E518" i="3" l="1"/>
  <c r="S123" i="3"/>
  <c r="T123" i="3" s="1"/>
  <c r="R124" i="3"/>
  <c r="G515" i="3"/>
  <c r="AS517" i="3"/>
  <c r="AR516" i="3"/>
  <c r="U122" i="3"/>
  <c r="H513" i="3"/>
  <c r="G513" i="1"/>
  <c r="H512" i="1"/>
  <c r="AS513" i="1"/>
  <c r="AR512" i="1"/>
  <c r="U123" i="3" l="1"/>
  <c r="E519" i="3"/>
  <c r="AR517" i="3"/>
  <c r="AS518" i="3"/>
  <c r="G516" i="3"/>
  <c r="H514" i="3"/>
  <c r="S124" i="3"/>
  <c r="T124" i="3" s="1"/>
  <c r="R125" i="3"/>
  <c r="G514" i="1"/>
  <c r="H513" i="1"/>
  <c r="AS514" i="1"/>
  <c r="AR513" i="1"/>
  <c r="H515" i="3" l="1"/>
  <c r="E520" i="3"/>
  <c r="U124" i="3"/>
  <c r="G517" i="3"/>
  <c r="AR518" i="3"/>
  <c r="AS519" i="3"/>
  <c r="S125" i="3"/>
  <c r="T125" i="3" s="1"/>
  <c r="R126" i="3"/>
  <c r="G515" i="1"/>
  <c r="H514" i="1"/>
  <c r="AS515" i="1"/>
  <c r="AR514" i="1"/>
  <c r="G518" i="3" l="1"/>
  <c r="S126" i="3"/>
  <c r="T126" i="3" s="1"/>
  <c r="R127" i="3"/>
  <c r="E521" i="3"/>
  <c r="AR519" i="3"/>
  <c r="AS520" i="3"/>
  <c r="H516" i="3"/>
  <c r="H517" i="3" s="1"/>
  <c r="U125" i="3"/>
  <c r="G516" i="1"/>
  <c r="H515" i="1"/>
  <c r="AS516" i="1"/>
  <c r="AR515" i="1"/>
  <c r="U126" i="3" l="1"/>
  <c r="H518" i="3"/>
  <c r="AS521" i="3"/>
  <c r="AR520" i="3"/>
  <c r="G519" i="3"/>
  <c r="R128" i="3"/>
  <c r="S127" i="3"/>
  <c r="T127" i="3" s="1"/>
  <c r="E522" i="3"/>
  <c r="G517" i="1"/>
  <c r="H516" i="1"/>
  <c r="AS517" i="1"/>
  <c r="AR516" i="1"/>
  <c r="AR521" i="3" l="1"/>
  <c r="AS522" i="3"/>
  <c r="R129" i="3"/>
  <c r="S128" i="3"/>
  <c r="T128" i="3" s="1"/>
  <c r="G520" i="3"/>
  <c r="U127" i="3"/>
  <c r="E523" i="3"/>
  <c r="G518" i="1"/>
  <c r="H517" i="1"/>
  <c r="AS518" i="1"/>
  <c r="AR517" i="1"/>
  <c r="G521" i="3" l="1"/>
  <c r="U128" i="3"/>
  <c r="E524" i="3"/>
  <c r="H519" i="3"/>
  <c r="H520" i="3" s="1"/>
  <c r="R130" i="3"/>
  <c r="S129" i="3"/>
  <c r="T129" i="3" s="1"/>
  <c r="AR522" i="3"/>
  <c r="AS523" i="3"/>
  <c r="G519" i="1"/>
  <c r="H518" i="1"/>
  <c r="AS519" i="1"/>
  <c r="AR518" i="1"/>
  <c r="U129" i="3" l="1"/>
  <c r="AR523" i="3"/>
  <c r="AS524" i="3"/>
  <c r="G522" i="3"/>
  <c r="S130" i="3"/>
  <c r="T130" i="3" s="1"/>
  <c r="R131" i="3"/>
  <c r="E525" i="3"/>
  <c r="G520" i="1"/>
  <c r="H519" i="1"/>
  <c r="AS520" i="1"/>
  <c r="AR519" i="1"/>
  <c r="S131" i="3" l="1"/>
  <c r="T131" i="3" s="1"/>
  <c r="R132" i="3"/>
  <c r="AS525" i="3"/>
  <c r="AR524" i="3"/>
  <c r="G523" i="3"/>
  <c r="H521" i="3"/>
  <c r="E526" i="3"/>
  <c r="U130" i="3"/>
  <c r="G521" i="1"/>
  <c r="H520" i="1"/>
  <c r="AS521" i="1"/>
  <c r="AR520" i="1"/>
  <c r="S132" i="3" l="1"/>
  <c r="T132" i="3" s="1"/>
  <c r="R133" i="3"/>
  <c r="U131" i="3"/>
  <c r="H522" i="3"/>
  <c r="AR525" i="3"/>
  <c r="AS526" i="3"/>
  <c r="G524" i="3"/>
  <c r="E527" i="3"/>
  <c r="G522" i="1"/>
  <c r="H521" i="1"/>
  <c r="AS522" i="1"/>
  <c r="AR521" i="1"/>
  <c r="H523" i="3" l="1"/>
  <c r="U132" i="3"/>
  <c r="S133" i="3"/>
  <c r="T133" i="3" s="1"/>
  <c r="R134" i="3"/>
  <c r="E528" i="3"/>
  <c r="G525" i="3"/>
  <c r="AS527" i="3"/>
  <c r="AR526" i="3"/>
  <c r="G523" i="1"/>
  <c r="H522" i="1"/>
  <c r="AS523" i="1"/>
  <c r="AR522" i="1"/>
  <c r="E529" i="3" l="1"/>
  <c r="U133" i="3"/>
  <c r="S134" i="3"/>
  <c r="T134" i="3" s="1"/>
  <c r="R135" i="3"/>
  <c r="H524" i="3"/>
  <c r="AR527" i="3"/>
  <c r="AS528" i="3"/>
  <c r="G526" i="3"/>
  <c r="G524" i="1"/>
  <c r="H523" i="1"/>
  <c r="AS524" i="1"/>
  <c r="AR523" i="1"/>
  <c r="R136" i="3" l="1"/>
  <c r="S135" i="3"/>
  <c r="T135" i="3" s="1"/>
  <c r="AS529" i="3"/>
  <c r="AR528" i="3"/>
  <c r="E530" i="3"/>
  <c r="G527" i="3"/>
  <c r="U134" i="3"/>
  <c r="H525" i="3"/>
  <c r="G525" i="1"/>
  <c r="H524" i="1"/>
  <c r="AS525" i="1"/>
  <c r="AR524" i="1"/>
  <c r="G528" i="3" l="1"/>
  <c r="H526" i="3"/>
  <c r="H527" i="3" s="1"/>
  <c r="U135" i="3"/>
  <c r="R137" i="3"/>
  <c r="S136" i="3"/>
  <c r="T136" i="3" s="1"/>
  <c r="E531" i="3"/>
  <c r="AR529" i="3"/>
  <c r="AS530" i="3"/>
  <c r="G526" i="1"/>
  <c r="H525" i="1"/>
  <c r="AS526" i="1"/>
  <c r="AR525" i="1"/>
  <c r="AR530" i="3" l="1"/>
  <c r="AS531" i="3"/>
  <c r="U136" i="3"/>
  <c r="G529" i="3"/>
  <c r="E532" i="3"/>
  <c r="R138" i="3"/>
  <c r="S137" i="3"/>
  <c r="T137" i="3" s="1"/>
  <c r="G527" i="1"/>
  <c r="H526" i="1"/>
  <c r="AS527" i="1"/>
  <c r="AR526" i="1"/>
  <c r="H528" i="3" l="1"/>
  <c r="E533" i="3"/>
  <c r="U137" i="3"/>
  <c r="AR531" i="3"/>
  <c r="AS532" i="3"/>
  <c r="S138" i="3"/>
  <c r="T138" i="3" s="1"/>
  <c r="R139" i="3"/>
  <c r="G530" i="3"/>
  <c r="G528" i="1"/>
  <c r="H527" i="1"/>
  <c r="AS528" i="1"/>
  <c r="AR527" i="1"/>
  <c r="S139" i="3" l="1"/>
  <c r="T139" i="3" s="1"/>
  <c r="R140" i="3"/>
  <c r="H529" i="3"/>
  <c r="AS533" i="3"/>
  <c r="AR532" i="3"/>
  <c r="E534" i="3"/>
  <c r="G531" i="3"/>
  <c r="U138" i="3"/>
  <c r="G529" i="1"/>
  <c r="H528" i="1"/>
  <c r="AS529" i="1"/>
  <c r="AR528" i="1"/>
  <c r="S140" i="3" l="1"/>
  <c r="T140" i="3" s="1"/>
  <c r="R141" i="3"/>
  <c r="AS534" i="3"/>
  <c r="AR533" i="3"/>
  <c r="E535" i="3"/>
  <c r="U139" i="3"/>
  <c r="H530" i="3"/>
  <c r="G532" i="3"/>
  <c r="G530" i="1"/>
  <c r="H529" i="1"/>
  <c r="AS530" i="1"/>
  <c r="AR529" i="1"/>
  <c r="G533" i="3" l="1"/>
  <c r="S141" i="3"/>
  <c r="T141" i="3" s="1"/>
  <c r="R142" i="3"/>
  <c r="U140" i="3"/>
  <c r="H531" i="3"/>
  <c r="H532" i="3" s="1"/>
  <c r="AR534" i="3"/>
  <c r="AS535" i="3"/>
  <c r="E536" i="3"/>
  <c r="G531" i="1"/>
  <c r="H530" i="1"/>
  <c r="AS531" i="1"/>
  <c r="AR530" i="1"/>
  <c r="S142" i="3" l="1"/>
  <c r="T142" i="3" s="1"/>
  <c r="R143" i="3"/>
  <c r="H533" i="3"/>
  <c r="U141" i="3"/>
  <c r="G534" i="3"/>
  <c r="E537" i="3"/>
  <c r="AR535" i="3"/>
  <c r="AS536" i="3"/>
  <c r="G532" i="1"/>
  <c r="H531" i="1"/>
  <c r="AS532" i="1"/>
  <c r="AR531" i="1"/>
  <c r="S143" i="3" l="1"/>
  <c r="T143" i="3" s="1"/>
  <c r="R144" i="3"/>
  <c r="U142" i="3"/>
  <c r="E538" i="3"/>
  <c r="AS537" i="3"/>
  <c r="AR536" i="3"/>
  <c r="H534" i="3"/>
  <c r="G535" i="3"/>
  <c r="G533" i="1"/>
  <c r="H532" i="1"/>
  <c r="AS533" i="1"/>
  <c r="AR532" i="1"/>
  <c r="R145" i="3" l="1"/>
  <c r="S144" i="3"/>
  <c r="T144" i="3" s="1"/>
  <c r="G536" i="3"/>
  <c r="U143" i="3"/>
  <c r="AR537" i="3"/>
  <c r="AS538" i="3"/>
  <c r="E539" i="3"/>
  <c r="G534" i="1"/>
  <c r="H533" i="1"/>
  <c r="AS534" i="1"/>
  <c r="AR533" i="1"/>
  <c r="AS539" i="3" l="1"/>
  <c r="AR538" i="3"/>
  <c r="R146" i="3"/>
  <c r="S145" i="3"/>
  <c r="T145" i="3" s="1"/>
  <c r="G537" i="3"/>
  <c r="U144" i="3"/>
  <c r="E540" i="3"/>
  <c r="H535" i="3"/>
  <c r="G535" i="1"/>
  <c r="H534" i="1"/>
  <c r="AS535" i="1"/>
  <c r="AR534" i="1"/>
  <c r="U145" i="3" l="1"/>
  <c r="G538" i="3"/>
  <c r="AR539" i="3"/>
  <c r="AS540" i="3"/>
  <c r="S146" i="3"/>
  <c r="T146" i="3" s="1"/>
  <c r="R147" i="3"/>
  <c r="H536" i="3"/>
  <c r="E541" i="3"/>
  <c r="G536" i="1"/>
  <c r="H535" i="1"/>
  <c r="AS536" i="1"/>
  <c r="AR535" i="1"/>
  <c r="H537" i="3" l="1"/>
  <c r="E542" i="3"/>
  <c r="G539" i="3"/>
  <c r="S147" i="3"/>
  <c r="T147" i="3" s="1"/>
  <c r="R148" i="3"/>
  <c r="U146" i="3"/>
  <c r="AS541" i="3"/>
  <c r="AR540" i="3"/>
  <c r="G537" i="1"/>
  <c r="H536" i="1"/>
  <c r="AS537" i="1"/>
  <c r="AR536" i="1"/>
  <c r="G540" i="3" l="1"/>
  <c r="E543" i="3"/>
  <c r="AS542" i="3"/>
  <c r="AR541" i="3"/>
  <c r="H538" i="3"/>
  <c r="U147" i="3"/>
  <c r="S148" i="3"/>
  <c r="T148" i="3" s="1"/>
  <c r="R149" i="3"/>
  <c r="G538" i="1"/>
  <c r="H537" i="1"/>
  <c r="AS538" i="1"/>
  <c r="AR537" i="1"/>
  <c r="H539" i="3" l="1"/>
  <c r="G541" i="3"/>
  <c r="AR542" i="3"/>
  <c r="AS543" i="3"/>
  <c r="U148" i="3"/>
  <c r="S149" i="3"/>
  <c r="T149" i="3" s="1"/>
  <c r="R150" i="3"/>
  <c r="E544" i="3"/>
  <c r="G539" i="1"/>
  <c r="H538" i="1"/>
  <c r="AS539" i="1"/>
  <c r="AR538" i="1"/>
  <c r="AR543" i="3" l="1"/>
  <c r="AS544" i="3"/>
  <c r="G542" i="3"/>
  <c r="U149" i="3"/>
  <c r="S150" i="3"/>
  <c r="T150" i="3" s="1"/>
  <c r="R151" i="3"/>
  <c r="E545" i="3"/>
  <c r="H540" i="3"/>
  <c r="G540" i="1"/>
  <c r="H539" i="1"/>
  <c r="AS540" i="1"/>
  <c r="AR539" i="1"/>
  <c r="R152" i="3" l="1"/>
  <c r="S151" i="3"/>
  <c r="T151" i="3" s="1"/>
  <c r="U150" i="3"/>
  <c r="AR544" i="3"/>
  <c r="AS545" i="3"/>
  <c r="H541" i="3"/>
  <c r="E546" i="3"/>
  <c r="G543" i="3"/>
  <c r="G541" i="1"/>
  <c r="H540" i="1"/>
  <c r="AS541" i="1"/>
  <c r="AR540" i="1"/>
  <c r="U151" i="3" l="1"/>
  <c r="R153" i="3"/>
  <c r="S152" i="3"/>
  <c r="T152" i="3" s="1"/>
  <c r="E547" i="3"/>
  <c r="G544" i="3"/>
  <c r="H542" i="3"/>
  <c r="AS546" i="3"/>
  <c r="AR545" i="3"/>
  <c r="G542" i="1"/>
  <c r="H541" i="1"/>
  <c r="AS542" i="1"/>
  <c r="AR541" i="1"/>
  <c r="G545" i="3" l="1"/>
  <c r="U152" i="3"/>
  <c r="E548" i="3"/>
  <c r="AS547" i="3"/>
  <c r="AR546" i="3"/>
  <c r="H543" i="3"/>
  <c r="H544" i="3" s="1"/>
  <c r="R154" i="3"/>
  <c r="S153" i="3"/>
  <c r="T153" i="3" s="1"/>
  <c r="G543" i="1"/>
  <c r="H542" i="1"/>
  <c r="AS543" i="1"/>
  <c r="AR542" i="1"/>
  <c r="E549" i="3" l="1"/>
  <c r="U153" i="3"/>
  <c r="R155" i="3"/>
  <c r="S154" i="3"/>
  <c r="T154" i="3" s="1"/>
  <c r="AR547" i="3"/>
  <c r="AS548" i="3"/>
  <c r="G546" i="3"/>
  <c r="G544" i="1"/>
  <c r="H543" i="1"/>
  <c r="AS544" i="1"/>
  <c r="AR543" i="1"/>
  <c r="AS549" i="3" l="1"/>
  <c r="AR548" i="3"/>
  <c r="E550" i="3"/>
  <c r="H545" i="3"/>
  <c r="U154" i="3"/>
  <c r="R156" i="3"/>
  <c r="S155" i="3"/>
  <c r="T155" i="3" s="1"/>
  <c r="G547" i="3"/>
  <c r="G545" i="1"/>
  <c r="H544" i="1"/>
  <c r="AS545" i="1"/>
  <c r="AR544" i="1"/>
  <c r="E551" i="3" l="1"/>
  <c r="R157" i="3"/>
  <c r="S156" i="3"/>
  <c r="T156" i="3" s="1"/>
  <c r="G548" i="3"/>
  <c r="AS550" i="3"/>
  <c r="AR549" i="3"/>
  <c r="U155" i="3"/>
  <c r="H546" i="3"/>
  <c r="G546" i="1"/>
  <c r="H545" i="1"/>
  <c r="AS546" i="1"/>
  <c r="AR545" i="1"/>
  <c r="R158" i="3" l="1"/>
  <c r="S157" i="3"/>
  <c r="T157" i="3" s="1"/>
  <c r="E552" i="3"/>
  <c r="AS551" i="3"/>
  <c r="AR550" i="3"/>
  <c r="H547" i="3"/>
  <c r="U156" i="3"/>
  <c r="G549" i="3"/>
  <c r="G547" i="1"/>
  <c r="H546" i="1"/>
  <c r="AS547" i="1"/>
  <c r="AR546" i="1"/>
  <c r="AR551" i="3" l="1"/>
  <c r="AS552" i="3"/>
  <c r="E553" i="3"/>
  <c r="G550" i="3"/>
  <c r="U157" i="3"/>
  <c r="R159" i="3"/>
  <c r="S158" i="3"/>
  <c r="T158" i="3" s="1"/>
  <c r="H548" i="3"/>
  <c r="H549" i="3" s="1"/>
  <c r="G548" i="1"/>
  <c r="H547" i="1"/>
  <c r="AS548" i="1"/>
  <c r="AR547" i="1"/>
  <c r="G551" i="3" l="1"/>
  <c r="U158" i="3"/>
  <c r="E554" i="3"/>
  <c r="S159" i="3"/>
  <c r="T159" i="3" s="1"/>
  <c r="R160" i="3"/>
  <c r="AR552" i="3"/>
  <c r="AS553" i="3"/>
  <c r="G549" i="1"/>
  <c r="H548" i="1"/>
  <c r="AS549" i="1"/>
  <c r="AR548" i="1"/>
  <c r="AR553" i="3" l="1"/>
  <c r="AS554" i="3"/>
  <c r="U159" i="3"/>
  <c r="S160" i="3"/>
  <c r="T160" i="3" s="1"/>
  <c r="R161" i="3"/>
  <c r="E555" i="3"/>
  <c r="H550" i="3"/>
  <c r="H551" i="3" s="1"/>
  <c r="G552" i="3"/>
  <c r="G550" i="1"/>
  <c r="H549" i="1"/>
  <c r="AS550" i="1"/>
  <c r="AR549" i="1"/>
  <c r="E556" i="3" l="1"/>
  <c r="U160" i="3"/>
  <c r="S161" i="3"/>
  <c r="T161" i="3" s="1"/>
  <c r="R162" i="3"/>
  <c r="AR554" i="3"/>
  <c r="AS555" i="3"/>
  <c r="G553" i="3"/>
  <c r="G551" i="1"/>
  <c r="H550" i="1"/>
  <c r="AS551" i="1"/>
  <c r="AR550" i="1"/>
  <c r="AR555" i="3" l="1"/>
  <c r="AS556" i="3"/>
  <c r="U161" i="3"/>
  <c r="S162" i="3"/>
  <c r="T162" i="3" s="1"/>
  <c r="R163" i="3"/>
  <c r="E557" i="3"/>
  <c r="G554" i="3"/>
  <c r="H552" i="3"/>
  <c r="G552" i="1"/>
  <c r="H551" i="1"/>
  <c r="AS552" i="1"/>
  <c r="AR551" i="1"/>
  <c r="U162" i="3" l="1"/>
  <c r="AR556" i="3"/>
  <c r="AS557" i="3"/>
  <c r="G555" i="3"/>
  <c r="E558" i="3"/>
  <c r="H553" i="3"/>
  <c r="H554" i="3" s="1"/>
  <c r="S163" i="3"/>
  <c r="T163" i="3" s="1"/>
  <c r="R164" i="3"/>
  <c r="G553" i="1"/>
  <c r="H552" i="1"/>
  <c r="AS553" i="1"/>
  <c r="AR552" i="1"/>
  <c r="E559" i="3" l="1"/>
  <c r="AR557" i="3"/>
  <c r="AS558" i="3"/>
  <c r="S164" i="3"/>
  <c r="T164" i="3" s="1"/>
  <c r="R165" i="3"/>
  <c r="G556" i="3"/>
  <c r="U163" i="3"/>
  <c r="G554" i="1"/>
  <c r="H553" i="1"/>
  <c r="AS554" i="1"/>
  <c r="AR553" i="1"/>
  <c r="S165" i="3" l="1"/>
  <c r="T165" i="3" s="1"/>
  <c r="R166" i="3"/>
  <c r="AS559" i="3"/>
  <c r="AR558" i="3"/>
  <c r="E560" i="3"/>
  <c r="U164" i="3"/>
  <c r="G557" i="3"/>
  <c r="H555" i="3"/>
  <c r="H556" i="3" s="1"/>
  <c r="G555" i="1"/>
  <c r="H554" i="1"/>
  <c r="AS555" i="1"/>
  <c r="AR554" i="1"/>
  <c r="S166" i="3" l="1"/>
  <c r="T166" i="3" s="1"/>
  <c r="R167" i="3"/>
  <c r="H557" i="3"/>
  <c r="U165" i="3"/>
  <c r="AR559" i="3"/>
  <c r="AS560" i="3"/>
  <c r="G558" i="3"/>
  <c r="E561" i="3"/>
  <c r="G556" i="1"/>
  <c r="H555" i="1"/>
  <c r="AS556" i="1"/>
  <c r="AR555" i="1"/>
  <c r="AR560" i="3" l="1"/>
  <c r="AS561" i="3"/>
  <c r="S167" i="3"/>
  <c r="T167" i="3" s="1"/>
  <c r="R168" i="3"/>
  <c r="U166" i="3"/>
  <c r="E562" i="3"/>
  <c r="H558" i="3"/>
  <c r="G559" i="3"/>
  <c r="G557" i="1"/>
  <c r="H556" i="1"/>
  <c r="AS557" i="1"/>
  <c r="AR556" i="1"/>
  <c r="E563" i="3" l="1"/>
  <c r="U167" i="3"/>
  <c r="S168" i="3"/>
  <c r="T168" i="3" s="1"/>
  <c r="R169" i="3"/>
  <c r="G560" i="3"/>
  <c r="AS562" i="3"/>
  <c r="AR561" i="3"/>
  <c r="G558" i="1"/>
  <c r="H557" i="1"/>
  <c r="AS558" i="1"/>
  <c r="AR557" i="1"/>
  <c r="U168" i="3" l="1"/>
  <c r="S169" i="3"/>
  <c r="T169" i="3" s="1"/>
  <c r="R170" i="3"/>
  <c r="AS563" i="3"/>
  <c r="AR562" i="3"/>
  <c r="E564" i="3"/>
  <c r="G561" i="3"/>
  <c r="H559" i="3"/>
  <c r="H560" i="3" s="1"/>
  <c r="G559" i="1"/>
  <c r="H558" i="1"/>
  <c r="AS559" i="1"/>
  <c r="AR558" i="1"/>
  <c r="U169" i="3" l="1"/>
  <c r="AR563" i="3"/>
  <c r="AS564" i="3"/>
  <c r="E565" i="3"/>
  <c r="G562" i="3"/>
  <c r="R171" i="3"/>
  <c r="S170" i="3"/>
  <c r="T170" i="3" s="1"/>
  <c r="G560" i="1"/>
  <c r="H559" i="1"/>
  <c r="AS560" i="1"/>
  <c r="AR559" i="1"/>
  <c r="R172" i="3" l="1"/>
  <c r="S171" i="3"/>
  <c r="T171" i="3" s="1"/>
  <c r="E566" i="3"/>
  <c r="U170" i="3"/>
  <c r="G563" i="3"/>
  <c r="H561" i="3"/>
  <c r="AR564" i="3"/>
  <c r="AS565" i="3"/>
  <c r="G561" i="1"/>
  <c r="H560" i="1"/>
  <c r="AS561" i="1"/>
  <c r="AR560" i="1"/>
  <c r="G564" i="3" l="1"/>
  <c r="E567" i="3"/>
  <c r="AR565" i="3"/>
  <c r="AS566" i="3"/>
  <c r="U171" i="3"/>
  <c r="S172" i="3"/>
  <c r="T172" i="3" s="1"/>
  <c r="R173" i="3"/>
  <c r="H562" i="3"/>
  <c r="G562" i="1"/>
  <c r="H561" i="1"/>
  <c r="AS562" i="1"/>
  <c r="AR561" i="1"/>
  <c r="S173" i="3" l="1"/>
  <c r="T173" i="3" s="1"/>
  <c r="R174" i="3"/>
  <c r="G565" i="3"/>
  <c r="U172" i="3"/>
  <c r="AS567" i="3"/>
  <c r="AR566" i="3"/>
  <c r="E568" i="3"/>
  <c r="H563" i="3"/>
  <c r="H564" i="3" s="1"/>
  <c r="G563" i="1"/>
  <c r="H562" i="1"/>
  <c r="AS563" i="1"/>
  <c r="AR562" i="1"/>
  <c r="U173" i="3" l="1"/>
  <c r="R175" i="3"/>
  <c r="S174" i="3"/>
  <c r="T174" i="3" s="1"/>
  <c r="E569" i="3"/>
  <c r="AR567" i="3"/>
  <c r="AS568" i="3"/>
  <c r="G566" i="3"/>
  <c r="G564" i="1"/>
  <c r="H563" i="1"/>
  <c r="AS564" i="1"/>
  <c r="AR563" i="1"/>
  <c r="G567" i="3" l="1"/>
  <c r="U174" i="3"/>
  <c r="R176" i="3"/>
  <c r="S175" i="3"/>
  <c r="T175" i="3" s="1"/>
  <c r="E570" i="3"/>
  <c r="AR568" i="3"/>
  <c r="AS569" i="3"/>
  <c r="H565" i="3"/>
  <c r="G565" i="1"/>
  <c r="H564" i="1"/>
  <c r="AS565" i="1"/>
  <c r="AR564" i="1"/>
  <c r="AS570" i="3" l="1"/>
  <c r="AR569" i="3"/>
  <c r="U175" i="3"/>
  <c r="E571" i="3"/>
  <c r="H566" i="3"/>
  <c r="S176" i="3"/>
  <c r="T176" i="3" s="1"/>
  <c r="R177" i="3"/>
  <c r="G568" i="3"/>
  <c r="G566" i="1"/>
  <c r="H565" i="1"/>
  <c r="AS566" i="1"/>
  <c r="AR565" i="1"/>
  <c r="U176" i="3" l="1"/>
  <c r="H567" i="3"/>
  <c r="H568" i="3" s="1"/>
  <c r="E572" i="3"/>
  <c r="S177" i="3"/>
  <c r="T177" i="3" s="1"/>
  <c r="R178" i="3"/>
  <c r="G569" i="3"/>
  <c r="AS571" i="3"/>
  <c r="AR570" i="3"/>
  <c r="G567" i="1"/>
  <c r="H566" i="1"/>
  <c r="AS567" i="1"/>
  <c r="AR566" i="1"/>
  <c r="R179" i="3" l="1"/>
  <c r="S178" i="3"/>
  <c r="T178" i="3" s="1"/>
  <c r="U177" i="3"/>
  <c r="AR571" i="3"/>
  <c r="AS572" i="3"/>
  <c r="E573" i="3"/>
  <c r="G570" i="3"/>
  <c r="G568" i="1"/>
  <c r="H567" i="1"/>
  <c r="AS568" i="1"/>
  <c r="AR567" i="1"/>
  <c r="AR572" i="3" l="1"/>
  <c r="AS573" i="3"/>
  <c r="U178" i="3"/>
  <c r="E574" i="3"/>
  <c r="G571" i="3"/>
  <c r="H569" i="3"/>
  <c r="R180" i="3"/>
  <c r="S179" i="3"/>
  <c r="T179" i="3" s="1"/>
  <c r="G569" i="1"/>
  <c r="H568" i="1"/>
  <c r="AS569" i="1"/>
  <c r="AR568" i="1"/>
  <c r="AR573" i="3" l="1"/>
  <c r="AS574" i="3"/>
  <c r="S180" i="3"/>
  <c r="T180" i="3" s="1"/>
  <c r="R181" i="3"/>
  <c r="U179" i="3"/>
  <c r="G572" i="3"/>
  <c r="H570" i="3"/>
  <c r="H571" i="3" s="1"/>
  <c r="E575" i="3"/>
  <c r="G570" i="1"/>
  <c r="H569" i="1"/>
  <c r="AS570" i="1"/>
  <c r="AR569" i="1"/>
  <c r="E576" i="3" l="1"/>
  <c r="G573" i="3"/>
  <c r="H572" i="3"/>
  <c r="AS575" i="3"/>
  <c r="AR574" i="3"/>
  <c r="S181" i="3"/>
  <c r="T181" i="3" s="1"/>
  <c r="R182" i="3"/>
  <c r="U180" i="3"/>
  <c r="G571" i="1"/>
  <c r="H570" i="1"/>
  <c r="AS571" i="1"/>
  <c r="AR570" i="1"/>
  <c r="G574" i="3" l="1"/>
  <c r="AS576" i="3"/>
  <c r="AR575" i="3"/>
  <c r="E577" i="3"/>
  <c r="U181" i="3"/>
  <c r="R183" i="3"/>
  <c r="S182" i="3"/>
  <c r="T182" i="3" s="1"/>
  <c r="G572" i="1"/>
  <c r="H571" i="1"/>
  <c r="AS572" i="1"/>
  <c r="AR571" i="1"/>
  <c r="R184" i="3" l="1"/>
  <c r="S183" i="3"/>
  <c r="T183" i="3" s="1"/>
  <c r="AR576" i="3"/>
  <c r="AS577" i="3"/>
  <c r="U182" i="3"/>
  <c r="G575" i="3"/>
  <c r="E578" i="3"/>
  <c r="H573" i="3"/>
  <c r="G573" i="1"/>
  <c r="H572" i="1"/>
  <c r="AS573" i="1"/>
  <c r="AR572" i="1"/>
  <c r="H574" i="3" l="1"/>
  <c r="E579" i="3"/>
  <c r="U183" i="3"/>
  <c r="AR577" i="3"/>
  <c r="AS578" i="3"/>
  <c r="G576" i="3"/>
  <c r="S184" i="3"/>
  <c r="T184" i="3" s="1"/>
  <c r="R185" i="3"/>
  <c r="G574" i="1"/>
  <c r="H573" i="1"/>
  <c r="AS574" i="1"/>
  <c r="AR573" i="1"/>
  <c r="H575" i="3" l="1"/>
  <c r="G577" i="3"/>
  <c r="AS579" i="3"/>
  <c r="AR578" i="3"/>
  <c r="R186" i="3"/>
  <c r="S185" i="3"/>
  <c r="T185" i="3" s="1"/>
  <c r="U184" i="3"/>
  <c r="E580" i="3"/>
  <c r="G575" i="1"/>
  <c r="H574" i="1"/>
  <c r="AS575" i="1"/>
  <c r="AR574" i="1"/>
  <c r="G578" i="3" l="1"/>
  <c r="U185" i="3"/>
  <c r="S186" i="3"/>
  <c r="T186" i="3" s="1"/>
  <c r="R187" i="3"/>
  <c r="E581" i="3"/>
  <c r="AS580" i="3"/>
  <c r="AR579" i="3"/>
  <c r="H576" i="3"/>
  <c r="G576" i="1"/>
  <c r="H575" i="1"/>
  <c r="AS576" i="1"/>
  <c r="AR575" i="1"/>
  <c r="E582" i="3" l="1"/>
  <c r="R188" i="3"/>
  <c r="S187" i="3"/>
  <c r="T187" i="3" s="1"/>
  <c r="G579" i="3"/>
  <c r="H577" i="3"/>
  <c r="H578" i="3" s="1"/>
  <c r="AR580" i="3"/>
  <c r="AS581" i="3"/>
  <c r="U186" i="3"/>
  <c r="G577" i="1"/>
  <c r="H576" i="1"/>
  <c r="AS577" i="1"/>
  <c r="AR576" i="1"/>
  <c r="E583" i="3" l="1"/>
  <c r="U187" i="3"/>
  <c r="G580" i="3"/>
  <c r="H579" i="3"/>
  <c r="S188" i="3"/>
  <c r="T188" i="3" s="1"/>
  <c r="R189" i="3"/>
  <c r="AS582" i="3"/>
  <c r="AR581" i="3"/>
  <c r="G578" i="1"/>
  <c r="H577" i="1"/>
  <c r="AS578" i="1"/>
  <c r="AR577" i="1"/>
  <c r="AR582" i="3" l="1"/>
  <c r="AS583" i="3"/>
  <c r="E584" i="3"/>
  <c r="U188" i="3"/>
  <c r="R190" i="3"/>
  <c r="S189" i="3"/>
  <c r="T189" i="3" s="1"/>
  <c r="G581" i="3"/>
  <c r="G579" i="1"/>
  <c r="H578" i="1"/>
  <c r="AS579" i="1"/>
  <c r="AR578" i="1"/>
  <c r="E585" i="3" l="1"/>
  <c r="AS584" i="3"/>
  <c r="AR583" i="3"/>
  <c r="H580" i="3"/>
  <c r="S190" i="3"/>
  <c r="T190" i="3" s="1"/>
  <c r="R191" i="3"/>
  <c r="U189" i="3"/>
  <c r="G582" i="3"/>
  <c r="G580" i="1"/>
  <c r="H579" i="1"/>
  <c r="AS580" i="1"/>
  <c r="AR579" i="1"/>
  <c r="AR584" i="3" l="1"/>
  <c r="AS585" i="3"/>
  <c r="R192" i="3"/>
  <c r="S191" i="3"/>
  <c r="T191" i="3" s="1"/>
  <c r="E586" i="3"/>
  <c r="U190" i="3"/>
  <c r="G583" i="3"/>
  <c r="H581" i="3"/>
  <c r="G581" i="1"/>
  <c r="H580" i="1"/>
  <c r="AS581" i="1"/>
  <c r="AR580" i="1"/>
  <c r="G584" i="3" l="1"/>
  <c r="AR585" i="3"/>
  <c r="AS586" i="3"/>
  <c r="H582" i="3"/>
  <c r="H583" i="3" s="1"/>
  <c r="E587" i="3"/>
  <c r="U191" i="3"/>
  <c r="S192" i="3"/>
  <c r="T192" i="3" s="1"/>
  <c r="R193" i="3"/>
  <c r="G582" i="1"/>
  <c r="H581" i="1"/>
  <c r="AS582" i="1"/>
  <c r="AR581" i="1"/>
  <c r="E588" i="3" l="1"/>
  <c r="R194" i="3"/>
  <c r="S193" i="3"/>
  <c r="T193" i="3" s="1"/>
  <c r="G585" i="3"/>
  <c r="AS587" i="3"/>
  <c r="AR586" i="3"/>
  <c r="U192" i="3"/>
  <c r="G583" i="1"/>
  <c r="H582" i="1"/>
  <c r="AS583" i="1"/>
  <c r="AR582" i="1"/>
  <c r="AR587" i="3" l="1"/>
  <c r="AS588" i="3"/>
  <c r="G586" i="3"/>
  <c r="H584" i="3"/>
  <c r="U193" i="3"/>
  <c r="E589" i="3"/>
  <c r="S194" i="3"/>
  <c r="T194" i="3" s="1"/>
  <c r="R195" i="3"/>
  <c r="G584" i="1"/>
  <c r="H583" i="1"/>
  <c r="AS584" i="1"/>
  <c r="AR583" i="1"/>
  <c r="E590" i="3" l="1"/>
  <c r="AR588" i="3"/>
  <c r="AS589" i="3"/>
  <c r="R196" i="3"/>
  <c r="S195" i="3"/>
  <c r="T195" i="3" s="1"/>
  <c r="U194" i="3"/>
  <c r="G587" i="3"/>
  <c r="H585" i="3"/>
  <c r="G585" i="1"/>
  <c r="H584" i="1"/>
  <c r="AS585" i="1"/>
  <c r="AR584" i="1"/>
  <c r="AR589" i="3" l="1"/>
  <c r="AS590" i="3"/>
  <c r="U195" i="3"/>
  <c r="E591" i="3"/>
  <c r="G588" i="3"/>
  <c r="H586" i="3"/>
  <c r="H587" i="3" s="1"/>
  <c r="S196" i="3"/>
  <c r="T196" i="3" s="1"/>
  <c r="R197" i="3"/>
  <c r="G586" i="1"/>
  <c r="H585" i="1"/>
  <c r="AS586" i="1"/>
  <c r="AR585" i="1"/>
  <c r="R198" i="3" l="1"/>
  <c r="S197" i="3"/>
  <c r="T197" i="3" s="1"/>
  <c r="E592" i="3"/>
  <c r="U196" i="3"/>
  <c r="AR590" i="3"/>
  <c r="AS591" i="3"/>
  <c r="G589" i="3"/>
  <c r="H588" i="3"/>
  <c r="G587" i="1"/>
  <c r="H586" i="1"/>
  <c r="AS587" i="1"/>
  <c r="AR586" i="1"/>
  <c r="U197" i="3" l="1"/>
  <c r="E593" i="3"/>
  <c r="G590" i="3"/>
  <c r="S198" i="3"/>
  <c r="T198" i="3" s="1"/>
  <c r="R199" i="3"/>
  <c r="AR591" i="3"/>
  <c r="AS592" i="3"/>
  <c r="G588" i="1"/>
  <c r="H587" i="1"/>
  <c r="AS588" i="1"/>
  <c r="AR587" i="1"/>
  <c r="E594" i="3" l="1"/>
  <c r="U198" i="3"/>
  <c r="G591" i="3"/>
  <c r="R200" i="3"/>
  <c r="S199" i="3"/>
  <c r="T199" i="3" s="1"/>
  <c r="AR592" i="3"/>
  <c r="AS593" i="3"/>
  <c r="H589" i="3"/>
  <c r="G589" i="1"/>
  <c r="H588" i="1"/>
  <c r="AS589" i="1"/>
  <c r="AR588" i="1"/>
  <c r="E595" i="3" l="1"/>
  <c r="S200" i="3"/>
  <c r="T200" i="3" s="1"/>
  <c r="R201" i="3"/>
  <c r="U199" i="3"/>
  <c r="H590" i="3"/>
  <c r="G592" i="3"/>
  <c r="AR593" i="3"/>
  <c r="AS594" i="3"/>
  <c r="G590" i="1"/>
  <c r="H589" i="1"/>
  <c r="AS590" i="1"/>
  <c r="AR589" i="1"/>
  <c r="R202" i="3" l="1"/>
  <c r="S201" i="3"/>
  <c r="T201" i="3" s="1"/>
  <c r="AS595" i="3"/>
  <c r="AR594" i="3"/>
  <c r="U200" i="3"/>
  <c r="E596" i="3"/>
  <c r="G593" i="3"/>
  <c r="H591" i="3"/>
  <c r="G591" i="1"/>
  <c r="H590" i="1"/>
  <c r="AS591" i="1"/>
  <c r="AR590" i="1"/>
  <c r="AR595" i="3" l="1"/>
  <c r="AS596" i="3"/>
  <c r="E597" i="3"/>
  <c r="S202" i="3"/>
  <c r="T202" i="3" s="1"/>
  <c r="R203" i="3"/>
  <c r="H592" i="3"/>
  <c r="H593" i="3" s="1"/>
  <c r="G594" i="3"/>
  <c r="U201" i="3"/>
  <c r="G592" i="1"/>
  <c r="H591" i="1"/>
  <c r="AS592" i="1"/>
  <c r="AR591" i="1"/>
  <c r="U202" i="3" l="1"/>
  <c r="E598" i="3"/>
  <c r="G595" i="3"/>
  <c r="AR596" i="3"/>
  <c r="AS597" i="3"/>
  <c r="H594" i="3"/>
  <c r="R204" i="3"/>
  <c r="S203" i="3"/>
  <c r="T203" i="3" s="1"/>
  <c r="G593" i="1"/>
  <c r="H592" i="1"/>
  <c r="AS593" i="1"/>
  <c r="AR592" i="1"/>
  <c r="H595" i="3" l="1"/>
  <c r="AR597" i="3"/>
  <c r="AS598" i="3"/>
  <c r="U203" i="3"/>
  <c r="G596" i="3"/>
  <c r="S204" i="3"/>
  <c r="T204" i="3" s="1"/>
  <c r="R205" i="3"/>
  <c r="E599" i="3"/>
  <c r="G594" i="1"/>
  <c r="H593" i="1"/>
  <c r="AS594" i="1"/>
  <c r="AR593" i="1"/>
  <c r="AR598" i="3" l="1"/>
  <c r="AS599" i="3"/>
  <c r="H596" i="3"/>
  <c r="G597" i="3"/>
  <c r="E600" i="3"/>
  <c r="U204" i="3"/>
  <c r="R206" i="3"/>
  <c r="S205" i="3"/>
  <c r="T205" i="3" s="1"/>
  <c r="G595" i="1"/>
  <c r="H594" i="1"/>
  <c r="AS595" i="1"/>
  <c r="AR594" i="1"/>
  <c r="U205" i="3" l="1"/>
  <c r="AR599" i="3"/>
  <c r="AS600" i="3"/>
  <c r="G598" i="3"/>
  <c r="E601" i="3"/>
  <c r="S206" i="3"/>
  <c r="T206" i="3" s="1"/>
  <c r="R207" i="3"/>
  <c r="G596" i="1"/>
  <c r="H595" i="1"/>
  <c r="AS596" i="1"/>
  <c r="AR595" i="1"/>
  <c r="R208" i="3" l="1"/>
  <c r="S207" i="3"/>
  <c r="T207" i="3" s="1"/>
  <c r="H597" i="3"/>
  <c r="AR600" i="3"/>
  <c r="AS601" i="3"/>
  <c r="U206" i="3"/>
  <c r="E602" i="3"/>
  <c r="G599" i="3"/>
  <c r="G597" i="1"/>
  <c r="H596" i="1"/>
  <c r="AS597" i="1"/>
  <c r="AR596" i="1"/>
  <c r="U207" i="3" l="1"/>
  <c r="G600" i="3"/>
  <c r="S208" i="3"/>
  <c r="T208" i="3" s="1"/>
  <c r="R209" i="3"/>
  <c r="AR601" i="3"/>
  <c r="AS602" i="3"/>
  <c r="E603" i="3"/>
  <c r="H598" i="3"/>
  <c r="H599" i="3" s="1"/>
  <c r="G598" i="1"/>
  <c r="H597" i="1"/>
  <c r="AS598" i="1"/>
  <c r="AR597" i="1"/>
  <c r="U208" i="3" l="1"/>
  <c r="E604" i="3"/>
  <c r="R210" i="3"/>
  <c r="S209" i="3"/>
  <c r="T209" i="3" s="1"/>
  <c r="G601" i="3"/>
  <c r="AR602" i="3"/>
  <c r="AS603" i="3"/>
  <c r="G599" i="1"/>
  <c r="H598" i="1"/>
  <c r="AS599" i="1"/>
  <c r="AR598" i="1"/>
  <c r="E605" i="3" l="1"/>
  <c r="U209" i="3"/>
  <c r="S210" i="3"/>
  <c r="T210" i="3" s="1"/>
  <c r="R211" i="3"/>
  <c r="G602" i="3"/>
  <c r="AR603" i="3"/>
  <c r="AS604" i="3"/>
  <c r="H600" i="3"/>
  <c r="G600" i="1"/>
  <c r="H599" i="1"/>
  <c r="AS600" i="1"/>
  <c r="AR599" i="1"/>
  <c r="AR604" i="3" l="1"/>
  <c r="AS605" i="3"/>
  <c r="H601" i="3"/>
  <c r="U210" i="3"/>
  <c r="E606" i="3"/>
  <c r="R212" i="3"/>
  <c r="S211" i="3"/>
  <c r="T211" i="3" s="1"/>
  <c r="G603" i="3"/>
  <c r="G601" i="1"/>
  <c r="H600" i="1"/>
  <c r="AS601" i="1"/>
  <c r="AR600" i="1"/>
  <c r="E607" i="3" l="1"/>
  <c r="G604" i="3"/>
  <c r="AR605" i="3"/>
  <c r="AS606" i="3"/>
  <c r="U211" i="3"/>
  <c r="H602" i="3"/>
  <c r="H603" i="3" s="1"/>
  <c r="S212" i="3"/>
  <c r="T212" i="3" s="1"/>
  <c r="R213" i="3"/>
  <c r="G602" i="1"/>
  <c r="H601" i="1"/>
  <c r="AS602" i="1"/>
  <c r="AR601" i="1"/>
  <c r="U212" i="3" l="1"/>
  <c r="R214" i="3"/>
  <c r="S213" i="3"/>
  <c r="T213" i="3" s="1"/>
  <c r="G605" i="3"/>
  <c r="AR606" i="3"/>
  <c r="AS607" i="3"/>
  <c r="H604" i="3"/>
  <c r="E608" i="3"/>
  <c r="G603" i="1"/>
  <c r="H602" i="1"/>
  <c r="AS603" i="1"/>
  <c r="AR602" i="1"/>
  <c r="E609" i="3" l="1"/>
  <c r="U213" i="3"/>
  <c r="AR607" i="3"/>
  <c r="AS608" i="3"/>
  <c r="S214" i="3"/>
  <c r="T214" i="3" s="1"/>
  <c r="R215" i="3"/>
  <c r="G606" i="3"/>
  <c r="G604" i="1"/>
  <c r="H603" i="1"/>
  <c r="AS604" i="1"/>
  <c r="AR603" i="1"/>
  <c r="G607" i="3" l="1"/>
  <c r="E610" i="3"/>
  <c r="H605" i="3"/>
  <c r="H606" i="3" s="1"/>
  <c r="U214" i="3"/>
  <c r="R216" i="3"/>
  <c r="S215" i="3"/>
  <c r="T215" i="3" s="1"/>
  <c r="AR608" i="3"/>
  <c r="AS609" i="3"/>
  <c r="G605" i="1"/>
  <c r="H604" i="1"/>
  <c r="AS605" i="1"/>
  <c r="AR604" i="1"/>
  <c r="AR609" i="3" l="1"/>
  <c r="AS610" i="3"/>
  <c r="U215" i="3"/>
  <c r="S216" i="3"/>
  <c r="T216" i="3" s="1"/>
  <c r="R217" i="3"/>
  <c r="E611" i="3"/>
  <c r="H607" i="3"/>
  <c r="G608" i="3"/>
  <c r="G606" i="1"/>
  <c r="H605" i="1"/>
  <c r="AS606" i="1"/>
  <c r="AR605" i="1"/>
  <c r="H608" i="3" l="1"/>
  <c r="G609" i="3"/>
  <c r="U216" i="3"/>
  <c r="AS611" i="3"/>
  <c r="AR610" i="3"/>
  <c r="E612" i="3"/>
  <c r="R218" i="3"/>
  <c r="S217" i="3"/>
  <c r="T217" i="3" s="1"/>
  <c r="G607" i="1"/>
  <c r="H606" i="1"/>
  <c r="AS607" i="1"/>
  <c r="AR606" i="1"/>
  <c r="G610" i="3" l="1"/>
  <c r="U217" i="3"/>
  <c r="E613" i="3"/>
  <c r="AR611" i="3"/>
  <c r="AS612" i="3"/>
  <c r="S218" i="3"/>
  <c r="T218" i="3" s="1"/>
  <c r="R219" i="3"/>
  <c r="G608" i="1"/>
  <c r="H607" i="1"/>
  <c r="AS608" i="1"/>
  <c r="AR607" i="1"/>
  <c r="U218" i="3" l="1"/>
  <c r="G611" i="3"/>
  <c r="AR612" i="3"/>
  <c r="AS613" i="3"/>
  <c r="R220" i="3"/>
  <c r="S219" i="3"/>
  <c r="T219" i="3" s="1"/>
  <c r="E614" i="3"/>
  <c r="H609" i="3"/>
  <c r="H610" i="3" s="1"/>
  <c r="G609" i="1"/>
  <c r="H608" i="1"/>
  <c r="AS609" i="1"/>
  <c r="AR608" i="1"/>
  <c r="AR613" i="3" l="1"/>
  <c r="AS614" i="3"/>
  <c r="H611" i="3"/>
  <c r="G612" i="3"/>
  <c r="E615" i="3"/>
  <c r="U219" i="3"/>
  <c r="S220" i="3"/>
  <c r="T220" i="3" s="1"/>
  <c r="R221" i="3"/>
  <c r="G610" i="1"/>
  <c r="H609" i="1"/>
  <c r="AS610" i="1"/>
  <c r="AR609" i="1"/>
  <c r="G613" i="3" l="1"/>
  <c r="AR614" i="3"/>
  <c r="AS615" i="3"/>
  <c r="E616" i="3"/>
  <c r="R222" i="3"/>
  <c r="S221" i="3"/>
  <c r="T221" i="3" s="1"/>
  <c r="U220" i="3"/>
  <c r="G611" i="1"/>
  <c r="H610" i="1"/>
  <c r="AS611" i="1"/>
  <c r="AR610" i="1"/>
  <c r="E617" i="3" l="1"/>
  <c r="AS616" i="3"/>
  <c r="AR615" i="3"/>
  <c r="S222" i="3"/>
  <c r="T222" i="3" s="1"/>
  <c r="R223" i="3"/>
  <c r="G614" i="3"/>
  <c r="U221" i="3"/>
  <c r="H612" i="3"/>
  <c r="H613" i="3" s="1"/>
  <c r="G612" i="1"/>
  <c r="H611" i="1"/>
  <c r="AS612" i="1"/>
  <c r="AR611" i="1"/>
  <c r="U222" i="3" l="1"/>
  <c r="H614" i="3"/>
  <c r="G615" i="3"/>
  <c r="AR616" i="3"/>
  <c r="AS617" i="3"/>
  <c r="E618" i="3"/>
  <c r="R224" i="3"/>
  <c r="S223" i="3"/>
  <c r="T223" i="3" s="1"/>
  <c r="G613" i="1"/>
  <c r="H612" i="1"/>
  <c r="AS613" i="1"/>
  <c r="AR612" i="1"/>
  <c r="G616" i="3" l="1"/>
  <c r="S224" i="3"/>
  <c r="T224" i="3" s="1"/>
  <c r="R225" i="3"/>
  <c r="E619" i="3"/>
  <c r="AR617" i="3"/>
  <c r="AS618" i="3"/>
  <c r="U223" i="3"/>
  <c r="G614" i="1"/>
  <c r="H613" i="1"/>
  <c r="AS614" i="1"/>
  <c r="AR613" i="1"/>
  <c r="E620" i="3" l="1"/>
  <c r="R226" i="3"/>
  <c r="S225" i="3"/>
  <c r="T225" i="3" s="1"/>
  <c r="G617" i="3"/>
  <c r="H615" i="3"/>
  <c r="U224" i="3"/>
  <c r="AR618" i="3"/>
  <c r="AS619" i="3"/>
  <c r="G615" i="1"/>
  <c r="H614" i="1"/>
  <c r="AS615" i="1"/>
  <c r="AR614" i="1"/>
  <c r="S226" i="3" l="1"/>
  <c r="T226" i="3" s="1"/>
  <c r="R227" i="3"/>
  <c r="AR619" i="3"/>
  <c r="AS620" i="3"/>
  <c r="U225" i="3"/>
  <c r="H616" i="3"/>
  <c r="G618" i="3"/>
  <c r="E621" i="3"/>
  <c r="G616" i="1"/>
  <c r="H615" i="1"/>
  <c r="AS616" i="1"/>
  <c r="AR615" i="1"/>
  <c r="G619" i="3" l="1"/>
  <c r="R228" i="3"/>
  <c r="S227" i="3"/>
  <c r="T227" i="3" s="1"/>
  <c r="U226" i="3"/>
  <c r="H617" i="3"/>
  <c r="H618" i="3" s="1"/>
  <c r="E622" i="3"/>
  <c r="AR620" i="3"/>
  <c r="AS621" i="3"/>
  <c r="G617" i="1"/>
  <c r="H616" i="1"/>
  <c r="AS617" i="1"/>
  <c r="AR616" i="1"/>
  <c r="S228" i="3" l="1"/>
  <c r="T228" i="3" s="1"/>
  <c r="R229" i="3"/>
  <c r="U227" i="3"/>
  <c r="G620" i="3"/>
  <c r="AR621" i="3"/>
  <c r="AS622" i="3"/>
  <c r="E623" i="3"/>
  <c r="G618" i="1"/>
  <c r="H617" i="1"/>
  <c r="AS618" i="1"/>
  <c r="AR617" i="1"/>
  <c r="AR622" i="3" l="1"/>
  <c r="AS623" i="3"/>
  <c r="R230" i="3"/>
  <c r="S229" i="3"/>
  <c r="T229" i="3" s="1"/>
  <c r="U228" i="3"/>
  <c r="G621" i="3"/>
  <c r="H619" i="3"/>
  <c r="H620" i="3" s="1"/>
  <c r="E624" i="3"/>
  <c r="G619" i="1"/>
  <c r="H618" i="1"/>
  <c r="AS619" i="1"/>
  <c r="AR618" i="1"/>
  <c r="H621" i="3" l="1"/>
  <c r="S230" i="3"/>
  <c r="T230" i="3" s="1"/>
  <c r="R231" i="3"/>
  <c r="G622" i="3"/>
  <c r="U229" i="3"/>
  <c r="E625" i="3"/>
  <c r="AR623" i="3"/>
  <c r="AS624" i="3"/>
  <c r="G620" i="1"/>
  <c r="H619" i="1"/>
  <c r="AS620" i="1"/>
  <c r="AR619" i="1"/>
  <c r="H622" i="3" l="1"/>
  <c r="AR624" i="3"/>
  <c r="AS625" i="3"/>
  <c r="G623" i="3"/>
  <c r="R232" i="3"/>
  <c r="S231" i="3"/>
  <c r="T231" i="3" s="1"/>
  <c r="U230" i="3"/>
  <c r="E626" i="3"/>
  <c r="G621" i="1"/>
  <c r="H620" i="1"/>
  <c r="AS621" i="1"/>
  <c r="AR620" i="1"/>
  <c r="S232" i="3" l="1"/>
  <c r="T232" i="3" s="1"/>
  <c r="R233" i="3"/>
  <c r="E627" i="3"/>
  <c r="G624" i="3"/>
  <c r="H623" i="3"/>
  <c r="AR625" i="3"/>
  <c r="AS626" i="3"/>
  <c r="U231" i="3"/>
  <c r="G622" i="1"/>
  <c r="H621" i="1"/>
  <c r="AS622" i="1"/>
  <c r="AR621" i="1"/>
  <c r="R234" i="3" l="1"/>
  <c r="S233" i="3"/>
  <c r="T233" i="3" s="1"/>
  <c r="E628" i="3"/>
  <c r="AS627" i="3"/>
  <c r="AR626" i="3"/>
  <c r="G625" i="3"/>
  <c r="U232" i="3"/>
  <c r="G623" i="1"/>
  <c r="H622" i="1"/>
  <c r="AS623" i="1"/>
  <c r="AR622" i="1"/>
  <c r="AR627" i="3" l="1"/>
  <c r="AS628" i="3"/>
  <c r="E629" i="3"/>
  <c r="G626" i="3"/>
  <c r="S234" i="3"/>
  <c r="T234" i="3" s="1"/>
  <c r="R235" i="3"/>
  <c r="U233" i="3"/>
  <c r="H624" i="3"/>
  <c r="H625" i="3" s="1"/>
  <c r="G624" i="1"/>
  <c r="H623" i="1"/>
  <c r="AS624" i="1"/>
  <c r="AR623" i="1"/>
  <c r="G627" i="3" l="1"/>
  <c r="U234" i="3"/>
  <c r="E630" i="3"/>
  <c r="R236" i="3"/>
  <c r="S235" i="3"/>
  <c r="T235" i="3" s="1"/>
  <c r="H626" i="3"/>
  <c r="AR628" i="3"/>
  <c r="AS629" i="3"/>
  <c r="G625" i="1"/>
  <c r="H624" i="1"/>
  <c r="AS625" i="1"/>
  <c r="AR624" i="1"/>
  <c r="U235" i="3" l="1"/>
  <c r="S236" i="3"/>
  <c r="T236" i="3" s="1"/>
  <c r="R237" i="3"/>
  <c r="AR629" i="3"/>
  <c r="AS630" i="3"/>
  <c r="E631" i="3"/>
  <c r="G628" i="3"/>
  <c r="G626" i="1"/>
  <c r="H625" i="1"/>
  <c r="AS626" i="1"/>
  <c r="AR625" i="1"/>
  <c r="G629" i="3" l="1"/>
  <c r="AS631" i="3"/>
  <c r="AR630" i="3"/>
  <c r="R238" i="3"/>
  <c r="S237" i="3"/>
  <c r="T237" i="3" s="1"/>
  <c r="H627" i="3"/>
  <c r="H628" i="3" s="1"/>
  <c r="E632" i="3"/>
  <c r="U236" i="3"/>
  <c r="G627" i="1"/>
  <c r="H626" i="1"/>
  <c r="AS627" i="1"/>
  <c r="AR626" i="1"/>
  <c r="AR631" i="3" l="1"/>
  <c r="AS632" i="3"/>
  <c r="U237" i="3"/>
  <c r="G630" i="3"/>
  <c r="E633" i="3"/>
  <c r="S238" i="3"/>
  <c r="T238" i="3" s="1"/>
  <c r="R239" i="3"/>
  <c r="G628" i="1"/>
  <c r="H627" i="1"/>
  <c r="AS628" i="1"/>
  <c r="AR627" i="1"/>
  <c r="G631" i="3" l="1"/>
  <c r="R240" i="3"/>
  <c r="S239" i="3"/>
  <c r="T239" i="3" s="1"/>
  <c r="H629" i="3"/>
  <c r="H630" i="3" s="1"/>
  <c r="U238" i="3"/>
  <c r="AR632" i="3"/>
  <c r="AS633" i="3"/>
  <c r="E634" i="3"/>
  <c r="G629" i="1"/>
  <c r="H628" i="1"/>
  <c r="AS629" i="1"/>
  <c r="AR628" i="1"/>
  <c r="U239" i="3" l="1"/>
  <c r="E635" i="3"/>
  <c r="G632" i="3"/>
  <c r="AR633" i="3"/>
  <c r="AS634" i="3"/>
  <c r="S240" i="3"/>
  <c r="T240" i="3" s="1"/>
  <c r="R241" i="3"/>
  <c r="G630" i="1"/>
  <c r="H629" i="1"/>
  <c r="AS630" i="1"/>
  <c r="AR629" i="1"/>
  <c r="G633" i="3" l="1"/>
  <c r="E636" i="3"/>
  <c r="U240" i="3"/>
  <c r="R242" i="3"/>
  <c r="S241" i="3"/>
  <c r="T241" i="3" s="1"/>
  <c r="AS635" i="3"/>
  <c r="AR634" i="3"/>
  <c r="H631" i="3"/>
  <c r="H632" i="3" s="1"/>
  <c r="G631" i="1"/>
  <c r="H630" i="1"/>
  <c r="AS631" i="1"/>
  <c r="AR630" i="1"/>
  <c r="E637" i="3" l="1"/>
  <c r="U241" i="3"/>
  <c r="H633" i="3"/>
  <c r="G634" i="3"/>
  <c r="AR635" i="3"/>
  <c r="AS636" i="3"/>
  <c r="S242" i="3"/>
  <c r="T242" i="3" s="1"/>
  <c r="R243" i="3"/>
  <c r="G632" i="1"/>
  <c r="H631" i="1"/>
  <c r="AS632" i="1"/>
  <c r="AR631" i="1"/>
  <c r="AR636" i="3" l="1"/>
  <c r="AS637" i="3"/>
  <c r="U242" i="3"/>
  <c r="R244" i="3"/>
  <c r="S243" i="3"/>
  <c r="T243" i="3" s="1"/>
  <c r="G635" i="3"/>
  <c r="E638" i="3"/>
  <c r="G633" i="1"/>
  <c r="H632" i="1"/>
  <c r="AS633" i="1"/>
  <c r="AR632" i="1"/>
  <c r="H634" i="3" l="1"/>
  <c r="S244" i="3"/>
  <c r="T244" i="3" s="1"/>
  <c r="R245" i="3"/>
  <c r="E639" i="3"/>
  <c r="AR637" i="3"/>
  <c r="AS638" i="3"/>
  <c r="G636" i="3"/>
  <c r="U243" i="3"/>
  <c r="G634" i="1"/>
  <c r="H633" i="1"/>
  <c r="AS634" i="1"/>
  <c r="AR633" i="1"/>
  <c r="H635" i="3" l="1"/>
  <c r="U244" i="3"/>
  <c r="R246" i="3"/>
  <c r="S245" i="3"/>
  <c r="T245" i="3" s="1"/>
  <c r="E640" i="3"/>
  <c r="AS639" i="3"/>
  <c r="AR638" i="3"/>
  <c r="G637" i="3"/>
  <c r="G635" i="1"/>
  <c r="H634" i="1"/>
  <c r="AS635" i="1"/>
  <c r="AR634" i="1"/>
  <c r="AS640" i="3" l="1"/>
  <c r="AR639" i="3"/>
  <c r="U245" i="3"/>
  <c r="G638" i="3"/>
  <c r="S246" i="3"/>
  <c r="T246" i="3" s="1"/>
  <c r="R247" i="3"/>
  <c r="E641" i="3"/>
  <c r="H636" i="3"/>
  <c r="H637" i="3" s="1"/>
  <c r="G636" i="1"/>
  <c r="H635" i="1"/>
  <c r="AS636" i="1"/>
  <c r="AR635" i="1"/>
  <c r="R248" i="3" l="1"/>
  <c r="S247" i="3"/>
  <c r="T247" i="3" s="1"/>
  <c r="AR640" i="3"/>
  <c r="AS641" i="3"/>
  <c r="U246" i="3"/>
  <c r="G639" i="3"/>
  <c r="H638" i="3"/>
  <c r="E642" i="3"/>
  <c r="G637" i="1"/>
  <c r="H636" i="1"/>
  <c r="AS637" i="1"/>
  <c r="AR636" i="1"/>
  <c r="AR641" i="3" l="1"/>
  <c r="AS642" i="3"/>
  <c r="U247" i="3"/>
  <c r="G640" i="3"/>
  <c r="E643" i="3"/>
  <c r="S248" i="3"/>
  <c r="T248" i="3" s="1"/>
  <c r="R249" i="3"/>
  <c r="G638" i="1"/>
  <c r="H637" i="1"/>
  <c r="AS638" i="1"/>
  <c r="AR637" i="1"/>
  <c r="AS643" i="3" l="1"/>
  <c r="AR642" i="3"/>
  <c r="R250" i="3"/>
  <c r="S249" i="3"/>
  <c r="T249" i="3" s="1"/>
  <c r="H639" i="3"/>
  <c r="E644" i="3"/>
  <c r="G641" i="3"/>
  <c r="U248" i="3"/>
  <c r="G639" i="1"/>
  <c r="H638" i="1"/>
  <c r="AS639" i="1"/>
  <c r="AR638" i="1"/>
  <c r="S250" i="3" l="1"/>
  <c r="T250" i="3" s="1"/>
  <c r="R251" i="3"/>
  <c r="E645" i="3"/>
  <c r="U249" i="3"/>
  <c r="G642" i="3"/>
  <c r="H640" i="3"/>
  <c r="AR643" i="3"/>
  <c r="AS644" i="3"/>
  <c r="G640" i="1"/>
  <c r="H639" i="1"/>
  <c r="AS640" i="1"/>
  <c r="AR639" i="1"/>
  <c r="G643" i="3" l="1"/>
  <c r="R252" i="3"/>
  <c r="S251" i="3"/>
  <c r="T251" i="3" s="1"/>
  <c r="AS645" i="3"/>
  <c r="AR644" i="3"/>
  <c r="E646" i="3"/>
  <c r="U250" i="3"/>
  <c r="H641" i="3"/>
  <c r="H642" i="3" s="1"/>
  <c r="G641" i="1"/>
  <c r="H640" i="1"/>
  <c r="AS641" i="1"/>
  <c r="AR640" i="1"/>
  <c r="H643" i="3" l="1"/>
  <c r="S252" i="3"/>
  <c r="T252" i="3" s="1"/>
  <c r="R253" i="3"/>
  <c r="U251" i="3"/>
  <c r="E647" i="3"/>
  <c r="AS646" i="3"/>
  <c r="AR645" i="3"/>
  <c r="G644" i="3"/>
  <c r="G642" i="1"/>
  <c r="H641" i="1"/>
  <c r="AS642" i="1"/>
  <c r="AR641" i="1"/>
  <c r="R254" i="3" l="1"/>
  <c r="S253" i="3"/>
  <c r="T253" i="3" s="1"/>
  <c r="E648" i="3"/>
  <c r="AS647" i="3"/>
  <c r="AR646" i="3"/>
  <c r="G645" i="3"/>
  <c r="U252" i="3"/>
  <c r="G643" i="1"/>
  <c r="H642" i="1"/>
  <c r="AS643" i="1"/>
  <c r="AR642" i="1"/>
  <c r="U253" i="3" l="1"/>
  <c r="E649" i="3"/>
  <c r="H644" i="3"/>
  <c r="AS648" i="3"/>
  <c r="AR647" i="3"/>
  <c r="G646" i="3"/>
  <c r="S254" i="3"/>
  <c r="T254" i="3" s="1"/>
  <c r="R255" i="3"/>
  <c r="G644" i="1"/>
  <c r="H643" i="1"/>
  <c r="AS644" i="1"/>
  <c r="AR643" i="1"/>
  <c r="E650" i="3" l="1"/>
  <c r="G647" i="3"/>
  <c r="R256" i="3"/>
  <c r="S255" i="3"/>
  <c r="T255" i="3" s="1"/>
  <c r="U254" i="3"/>
  <c r="AS649" i="3"/>
  <c r="AR648" i="3"/>
  <c r="H645" i="3"/>
  <c r="H646" i="3" s="1"/>
  <c r="G645" i="1"/>
  <c r="H644" i="1"/>
  <c r="AS645" i="1"/>
  <c r="AR644" i="1"/>
  <c r="S256" i="3" l="1"/>
  <c r="T256" i="3" s="1"/>
  <c r="R257" i="3"/>
  <c r="G648" i="3"/>
  <c r="U255" i="3"/>
  <c r="AR649" i="3"/>
  <c r="AS650" i="3"/>
  <c r="E651" i="3"/>
  <c r="G646" i="1"/>
  <c r="H645" i="1"/>
  <c r="AS646" i="1"/>
  <c r="AR645" i="1"/>
  <c r="G649" i="3" l="1"/>
  <c r="H647" i="3"/>
  <c r="H648" i="3" s="1"/>
  <c r="E652" i="3"/>
  <c r="R258" i="3"/>
  <c r="S257" i="3"/>
  <c r="T257" i="3" s="1"/>
  <c r="U256" i="3"/>
  <c r="AS651" i="3"/>
  <c r="AR650" i="3"/>
  <c r="G647" i="1"/>
  <c r="H646" i="1"/>
  <c r="AS647" i="1"/>
  <c r="AR646" i="1"/>
  <c r="E653" i="3" l="1"/>
  <c r="AR651" i="3"/>
  <c r="AS652" i="3"/>
  <c r="U257" i="3"/>
  <c r="R259" i="3"/>
  <c r="S258" i="3"/>
  <c r="T258" i="3" s="1"/>
  <c r="G650" i="3"/>
  <c r="G648" i="1"/>
  <c r="H647" i="1"/>
  <c r="AS648" i="1"/>
  <c r="AR647" i="1"/>
  <c r="S259" i="3" l="1"/>
  <c r="T259" i="3" s="1"/>
  <c r="R260" i="3"/>
  <c r="U258" i="3"/>
  <c r="H649" i="3"/>
  <c r="AS653" i="3"/>
  <c r="AR652" i="3"/>
  <c r="E654" i="3"/>
  <c r="G651" i="3"/>
  <c r="G649" i="1"/>
  <c r="H648" i="1"/>
  <c r="AS649" i="1"/>
  <c r="AR648" i="1"/>
  <c r="U259" i="3" l="1"/>
  <c r="G652" i="3"/>
  <c r="S260" i="3"/>
  <c r="T260" i="3" s="1"/>
  <c r="R261" i="3"/>
  <c r="E655" i="3"/>
  <c r="AR653" i="3"/>
  <c r="AS654" i="3"/>
  <c r="H650" i="3"/>
  <c r="H651" i="3" s="1"/>
  <c r="G650" i="1"/>
  <c r="H649" i="1"/>
  <c r="AS650" i="1"/>
  <c r="AR649" i="1"/>
  <c r="U260" i="3" l="1"/>
  <c r="S261" i="3"/>
  <c r="T261" i="3" s="1"/>
  <c r="R262" i="3"/>
  <c r="G653" i="3"/>
  <c r="H652" i="3"/>
  <c r="AS655" i="3"/>
  <c r="AR654" i="3"/>
  <c r="E656" i="3"/>
  <c r="G651" i="1"/>
  <c r="H650" i="1"/>
  <c r="AS651" i="1"/>
  <c r="AR650" i="1"/>
  <c r="E657" i="3" l="1"/>
  <c r="U261" i="3"/>
  <c r="H653" i="3"/>
  <c r="S262" i="3"/>
  <c r="T262" i="3" s="1"/>
  <c r="R263" i="3"/>
  <c r="G654" i="3"/>
  <c r="AS656" i="3"/>
  <c r="AR655" i="3"/>
  <c r="G652" i="1"/>
  <c r="H651" i="1"/>
  <c r="AS652" i="1"/>
  <c r="AR651" i="1"/>
  <c r="AS657" i="3" l="1"/>
  <c r="AR656" i="3"/>
  <c r="G655" i="3"/>
  <c r="U262" i="3"/>
  <c r="S263" i="3"/>
  <c r="T263" i="3" s="1"/>
  <c r="R264" i="3"/>
  <c r="E658" i="3"/>
  <c r="G653" i="1"/>
  <c r="H652" i="1"/>
  <c r="AS653" i="1"/>
  <c r="AR652" i="1"/>
  <c r="U263" i="3" l="1"/>
  <c r="AR657" i="3"/>
  <c r="AS658" i="3"/>
  <c r="E659" i="3"/>
  <c r="G656" i="3"/>
  <c r="S264" i="3"/>
  <c r="T264" i="3" s="1"/>
  <c r="R265" i="3"/>
  <c r="H654" i="3"/>
  <c r="G654" i="1"/>
  <c r="H653" i="1"/>
  <c r="AS654" i="1"/>
  <c r="AR653" i="1"/>
  <c r="H655" i="3" l="1"/>
  <c r="H656" i="3" s="1"/>
  <c r="E660" i="3"/>
  <c r="AS659" i="3"/>
  <c r="AR658" i="3"/>
  <c r="G657" i="3"/>
  <c r="S265" i="3"/>
  <c r="T265" i="3" s="1"/>
  <c r="R266" i="3"/>
  <c r="U264" i="3"/>
  <c r="G655" i="1"/>
  <c r="H654" i="1"/>
  <c r="AS655" i="1"/>
  <c r="AR654" i="1"/>
  <c r="G658" i="3" l="1"/>
  <c r="AS660" i="3"/>
  <c r="AR659" i="3"/>
  <c r="S266" i="3"/>
  <c r="T266" i="3" s="1"/>
  <c r="R267" i="3"/>
  <c r="U265" i="3"/>
  <c r="H657" i="3"/>
  <c r="E661" i="3"/>
  <c r="G656" i="1"/>
  <c r="H655" i="1"/>
  <c r="AS656" i="1"/>
  <c r="AR655" i="1"/>
  <c r="AS661" i="3" l="1"/>
  <c r="AR660" i="3"/>
  <c r="G659" i="3"/>
  <c r="H658" i="3"/>
  <c r="U266" i="3"/>
  <c r="E662" i="3"/>
  <c r="S267" i="3"/>
  <c r="T267" i="3" s="1"/>
  <c r="R268" i="3"/>
  <c r="G657" i="1"/>
  <c r="H656" i="1"/>
  <c r="AS657" i="1"/>
  <c r="AR656" i="1"/>
  <c r="U267" i="3" l="1"/>
  <c r="AR661" i="3"/>
  <c r="AS662" i="3"/>
  <c r="S268" i="3"/>
  <c r="T268" i="3" s="1"/>
  <c r="R269" i="3"/>
  <c r="G660" i="3"/>
  <c r="E663" i="3"/>
  <c r="G658" i="1"/>
  <c r="H657" i="1"/>
  <c r="AS658" i="1"/>
  <c r="AR657" i="1"/>
  <c r="U268" i="3" l="1"/>
  <c r="G661" i="3"/>
  <c r="AS663" i="3"/>
  <c r="AR662" i="3"/>
  <c r="S269" i="3"/>
  <c r="T269" i="3" s="1"/>
  <c r="R270" i="3"/>
  <c r="H659" i="3"/>
  <c r="H660" i="3" s="1"/>
  <c r="E664" i="3"/>
  <c r="G659" i="1"/>
  <c r="H658" i="1"/>
  <c r="AS659" i="1"/>
  <c r="AR658" i="1"/>
  <c r="U269" i="3" l="1"/>
  <c r="AR663" i="3"/>
  <c r="AS664" i="3"/>
  <c r="S270" i="3"/>
  <c r="T270" i="3" s="1"/>
  <c r="R271" i="3"/>
  <c r="H661" i="3"/>
  <c r="G662" i="3"/>
  <c r="E665" i="3"/>
  <c r="G660" i="1"/>
  <c r="H659" i="1"/>
  <c r="AS660" i="1"/>
  <c r="AR659" i="1"/>
  <c r="E666" i="3" l="1"/>
  <c r="AS665" i="3"/>
  <c r="AR664" i="3"/>
  <c r="U270" i="3"/>
  <c r="S271" i="3"/>
  <c r="T271" i="3" s="1"/>
  <c r="R272" i="3"/>
  <c r="G663" i="3"/>
  <c r="G661" i="1"/>
  <c r="H660" i="1"/>
  <c r="AS661" i="1"/>
  <c r="AR660" i="1"/>
  <c r="E667" i="3" l="1"/>
  <c r="S272" i="3"/>
  <c r="T272" i="3" s="1"/>
  <c r="R273" i="3"/>
  <c r="G664" i="3"/>
  <c r="AR665" i="3"/>
  <c r="AS666" i="3"/>
  <c r="U271" i="3"/>
  <c r="H662" i="3"/>
  <c r="H663" i="3" s="1"/>
  <c r="G662" i="1"/>
  <c r="H661" i="1"/>
  <c r="AS662" i="1"/>
  <c r="AR661" i="1"/>
  <c r="AR666" i="3" l="1"/>
  <c r="AS667" i="3"/>
  <c r="U272" i="3"/>
  <c r="G665" i="3"/>
  <c r="E668" i="3"/>
  <c r="S273" i="3"/>
  <c r="T273" i="3" s="1"/>
  <c r="R274" i="3"/>
  <c r="G663" i="1"/>
  <c r="H662" i="1"/>
  <c r="AS663" i="1"/>
  <c r="AR662" i="1"/>
  <c r="U273" i="3" l="1"/>
  <c r="G666" i="3"/>
  <c r="S274" i="3"/>
  <c r="T274" i="3" s="1"/>
  <c r="R275" i="3"/>
  <c r="E669" i="3"/>
  <c r="AR667" i="3"/>
  <c r="AS668" i="3"/>
  <c r="H664" i="3"/>
  <c r="H665" i="3" s="1"/>
  <c r="G664" i="1"/>
  <c r="H663" i="1"/>
  <c r="AS664" i="1"/>
  <c r="AR663" i="1"/>
  <c r="G667" i="3" l="1"/>
  <c r="H666" i="3"/>
  <c r="AS669" i="3"/>
  <c r="AR668" i="3"/>
  <c r="E670" i="3"/>
  <c r="S275" i="3"/>
  <c r="T275" i="3" s="1"/>
  <c r="R276" i="3"/>
  <c r="U274" i="3"/>
  <c r="G665" i="1"/>
  <c r="H664" i="1"/>
  <c r="AS665" i="1"/>
  <c r="AR664" i="1"/>
  <c r="E671" i="3" l="1"/>
  <c r="H667" i="3"/>
  <c r="G668" i="3"/>
  <c r="U275" i="3"/>
  <c r="S276" i="3"/>
  <c r="T276" i="3" s="1"/>
  <c r="R277" i="3"/>
  <c r="AR669" i="3"/>
  <c r="AS670" i="3"/>
  <c r="G666" i="1"/>
  <c r="H665" i="1"/>
  <c r="AS666" i="1"/>
  <c r="AR665" i="1"/>
  <c r="G669" i="3" l="1"/>
  <c r="AS671" i="3"/>
  <c r="AR670" i="3"/>
  <c r="U276" i="3"/>
  <c r="S277" i="3"/>
  <c r="T277" i="3" s="1"/>
  <c r="R278" i="3"/>
  <c r="E672" i="3"/>
  <c r="G667" i="1"/>
  <c r="H666" i="1"/>
  <c r="AS667" i="1"/>
  <c r="AR666" i="1"/>
  <c r="AR671" i="3" l="1"/>
  <c r="AS672" i="3"/>
  <c r="G670" i="3"/>
  <c r="S278" i="3"/>
  <c r="T278" i="3" s="1"/>
  <c r="R279" i="3"/>
  <c r="U277" i="3"/>
  <c r="H668" i="3"/>
  <c r="H669" i="3" s="1"/>
  <c r="E673" i="3"/>
  <c r="G668" i="1"/>
  <c r="H667" i="1"/>
  <c r="AS668" i="1"/>
  <c r="AR667" i="1"/>
  <c r="H670" i="3" l="1"/>
  <c r="G671" i="3"/>
  <c r="E674" i="3"/>
  <c r="AS673" i="3"/>
  <c r="AR672" i="3"/>
  <c r="U278" i="3"/>
  <c r="S279" i="3"/>
  <c r="T279" i="3" s="1"/>
  <c r="R280" i="3"/>
  <c r="G669" i="1"/>
  <c r="H668" i="1"/>
  <c r="AS669" i="1"/>
  <c r="AR668" i="1"/>
  <c r="E675" i="3" l="1"/>
  <c r="S280" i="3"/>
  <c r="T280" i="3" s="1"/>
  <c r="R281" i="3"/>
  <c r="G672" i="3"/>
  <c r="U279" i="3"/>
  <c r="AR673" i="3"/>
  <c r="AS674" i="3"/>
  <c r="G670" i="1"/>
  <c r="H669" i="1"/>
  <c r="AS670" i="1"/>
  <c r="AR669" i="1"/>
  <c r="U280" i="3" l="1"/>
  <c r="G673" i="3"/>
  <c r="S281" i="3"/>
  <c r="T281" i="3" s="1"/>
  <c r="R282" i="3"/>
  <c r="E676" i="3"/>
  <c r="AR674" i="3"/>
  <c r="AS675" i="3"/>
  <c r="H671" i="3"/>
  <c r="G671" i="1"/>
  <c r="H670" i="1"/>
  <c r="AS671" i="1"/>
  <c r="AR670" i="1"/>
  <c r="H672" i="3" l="1"/>
  <c r="G674" i="3"/>
  <c r="E677" i="3"/>
  <c r="AR675" i="3"/>
  <c r="AS676" i="3"/>
  <c r="S282" i="3"/>
  <c r="T282" i="3" s="1"/>
  <c r="R283" i="3"/>
  <c r="U281" i="3"/>
  <c r="G672" i="1"/>
  <c r="H671" i="1"/>
  <c r="AS672" i="1"/>
  <c r="AR671" i="1"/>
  <c r="E678" i="3" l="1"/>
  <c r="AS677" i="3"/>
  <c r="AR676" i="3"/>
  <c r="S283" i="3"/>
  <c r="T283" i="3" s="1"/>
  <c r="R284" i="3"/>
  <c r="G675" i="3"/>
  <c r="U282" i="3"/>
  <c r="H673" i="3"/>
  <c r="G673" i="1"/>
  <c r="H672" i="1"/>
  <c r="AS673" i="1"/>
  <c r="AR672" i="1"/>
  <c r="G676" i="3" l="1"/>
  <c r="E679" i="3"/>
  <c r="AR677" i="3"/>
  <c r="AS678" i="3"/>
  <c r="S284" i="3"/>
  <c r="T284" i="3" s="1"/>
  <c r="R285" i="3"/>
  <c r="H674" i="3"/>
  <c r="H675" i="3" s="1"/>
  <c r="U283" i="3"/>
  <c r="G674" i="1"/>
  <c r="H673" i="1"/>
  <c r="AS674" i="1"/>
  <c r="AR673" i="1"/>
  <c r="AR678" i="3" l="1"/>
  <c r="AS679" i="3"/>
  <c r="E680" i="3"/>
  <c r="S285" i="3"/>
  <c r="T285" i="3" s="1"/>
  <c r="R286" i="3"/>
  <c r="G677" i="3"/>
  <c r="U284" i="3"/>
  <c r="G675" i="1"/>
  <c r="H674" i="1"/>
  <c r="AS675" i="1"/>
  <c r="AR674" i="1"/>
  <c r="G678" i="3" l="1"/>
  <c r="S286" i="3"/>
  <c r="T286" i="3" s="1"/>
  <c r="R287" i="3"/>
  <c r="E681" i="3"/>
  <c r="AS680" i="3"/>
  <c r="AR679" i="3"/>
  <c r="U285" i="3"/>
  <c r="H676" i="3"/>
  <c r="H677" i="3" s="1"/>
  <c r="G676" i="1"/>
  <c r="H675" i="1"/>
  <c r="AS676" i="1"/>
  <c r="AR675" i="1"/>
  <c r="U286" i="3" l="1"/>
  <c r="G679" i="3"/>
  <c r="S287" i="3"/>
  <c r="T287" i="3" s="1"/>
  <c r="R288" i="3"/>
  <c r="AS681" i="3"/>
  <c r="AR680" i="3"/>
  <c r="E682" i="3"/>
  <c r="G677" i="1"/>
  <c r="H676" i="1"/>
  <c r="AS677" i="1"/>
  <c r="AR676" i="1"/>
  <c r="H678" i="3" l="1"/>
  <c r="AR681" i="3"/>
  <c r="AS682" i="3"/>
  <c r="S288" i="3"/>
  <c r="T288" i="3" s="1"/>
  <c r="R289" i="3"/>
  <c r="U287" i="3"/>
  <c r="G680" i="3"/>
  <c r="E683" i="3"/>
  <c r="G678" i="1"/>
  <c r="H677" i="1"/>
  <c r="AS678" i="1"/>
  <c r="AR677" i="1"/>
  <c r="E684" i="3" l="1"/>
  <c r="S289" i="3"/>
  <c r="T289" i="3" s="1"/>
  <c r="R290" i="3"/>
  <c r="AS683" i="3"/>
  <c r="AR682" i="3"/>
  <c r="G681" i="3"/>
  <c r="U288" i="3"/>
  <c r="H679" i="3"/>
  <c r="H680" i="3" s="1"/>
  <c r="G679" i="1"/>
  <c r="H678" i="1"/>
  <c r="AS679" i="1"/>
  <c r="AR678" i="1"/>
  <c r="H681" i="3" l="1"/>
  <c r="G682" i="3"/>
  <c r="AR683" i="3"/>
  <c r="AS684" i="3"/>
  <c r="E685" i="3"/>
  <c r="U289" i="3"/>
  <c r="S290" i="3"/>
  <c r="T290" i="3" s="1"/>
  <c r="R291" i="3"/>
  <c r="G680" i="1"/>
  <c r="H679" i="1"/>
  <c r="AS680" i="1"/>
  <c r="AR679" i="1"/>
  <c r="U290" i="3" l="1"/>
  <c r="S291" i="3"/>
  <c r="T291" i="3" s="1"/>
  <c r="R292" i="3"/>
  <c r="E686" i="3"/>
  <c r="AS685" i="3"/>
  <c r="AR684" i="3"/>
  <c r="G683" i="3"/>
  <c r="G681" i="1"/>
  <c r="H680" i="1"/>
  <c r="AS681" i="1"/>
  <c r="AR680" i="1"/>
  <c r="AR685" i="3" l="1"/>
  <c r="AS686" i="3"/>
  <c r="E687" i="3"/>
  <c r="G684" i="3"/>
  <c r="S292" i="3"/>
  <c r="T292" i="3" s="1"/>
  <c r="R293" i="3"/>
  <c r="U291" i="3"/>
  <c r="H682" i="3"/>
  <c r="H683" i="3" s="1"/>
  <c r="G682" i="1"/>
  <c r="H681" i="1"/>
  <c r="AS682" i="1"/>
  <c r="AR681" i="1"/>
  <c r="G685" i="3" l="1"/>
  <c r="U292" i="3"/>
  <c r="S293" i="3"/>
  <c r="T293" i="3" s="1"/>
  <c r="R294" i="3"/>
  <c r="E688" i="3"/>
  <c r="AS687" i="3"/>
  <c r="AR686" i="3"/>
  <c r="G683" i="1"/>
  <c r="H682" i="1"/>
  <c r="AS683" i="1"/>
  <c r="AR682" i="1"/>
  <c r="U293" i="3" l="1"/>
  <c r="E689" i="3"/>
  <c r="AS688" i="3"/>
  <c r="AR687" i="3"/>
  <c r="S294" i="3"/>
  <c r="T294" i="3" s="1"/>
  <c r="R295" i="3"/>
  <c r="G686" i="3"/>
  <c r="H684" i="3"/>
  <c r="G684" i="1"/>
  <c r="H683" i="1"/>
  <c r="AS684" i="1"/>
  <c r="AR683" i="1"/>
  <c r="G687" i="3" l="1"/>
  <c r="H685" i="3"/>
  <c r="H686" i="3" s="1"/>
  <c r="U294" i="3"/>
  <c r="S295" i="3"/>
  <c r="T295" i="3" s="1"/>
  <c r="R296" i="3"/>
  <c r="E690" i="3"/>
  <c r="AR688" i="3"/>
  <c r="AS689" i="3"/>
  <c r="G685" i="1"/>
  <c r="H684" i="1"/>
  <c r="AS685" i="1"/>
  <c r="AR684" i="1"/>
  <c r="G688" i="3" l="1"/>
  <c r="U295" i="3"/>
  <c r="H687" i="3"/>
  <c r="AR689" i="3"/>
  <c r="AS690" i="3"/>
  <c r="E691" i="3"/>
  <c r="S296" i="3"/>
  <c r="T296" i="3" s="1"/>
  <c r="R297" i="3"/>
  <c r="G686" i="1"/>
  <c r="H685" i="1"/>
  <c r="AS686" i="1"/>
  <c r="AR685" i="1"/>
  <c r="S297" i="3" l="1"/>
  <c r="T297" i="3" s="1"/>
  <c r="R298" i="3"/>
  <c r="H688" i="3"/>
  <c r="U296" i="3"/>
  <c r="E692" i="3"/>
  <c r="AS691" i="3"/>
  <c r="AR690" i="3"/>
  <c r="G689" i="3"/>
  <c r="G687" i="1"/>
  <c r="H686" i="1"/>
  <c r="AS687" i="1"/>
  <c r="AR686" i="1"/>
  <c r="AS692" i="3" l="1"/>
  <c r="AR691" i="3"/>
  <c r="S298" i="3"/>
  <c r="T298" i="3" s="1"/>
  <c r="R299" i="3"/>
  <c r="H689" i="3"/>
  <c r="G690" i="3"/>
  <c r="E693" i="3"/>
  <c r="U297" i="3"/>
  <c r="G688" i="1"/>
  <c r="H687" i="1"/>
  <c r="AS688" i="1"/>
  <c r="AR687" i="1"/>
  <c r="S299" i="3" l="1"/>
  <c r="T299" i="3" s="1"/>
  <c r="R300" i="3"/>
  <c r="E694" i="3"/>
  <c r="AS693" i="3"/>
  <c r="AR692" i="3"/>
  <c r="U298" i="3"/>
  <c r="G691" i="3"/>
  <c r="G689" i="1"/>
  <c r="H688" i="1"/>
  <c r="AS689" i="1"/>
  <c r="AR688" i="1"/>
  <c r="U299" i="3" l="1"/>
  <c r="E695" i="3"/>
  <c r="H690" i="3"/>
  <c r="G692" i="3"/>
  <c r="S300" i="3"/>
  <c r="T300" i="3" s="1"/>
  <c r="R301" i="3"/>
  <c r="AS694" i="3"/>
  <c r="AR693" i="3"/>
  <c r="G690" i="1"/>
  <c r="H689" i="1"/>
  <c r="AS690" i="1"/>
  <c r="AR689" i="1"/>
  <c r="AS695" i="3" l="1"/>
  <c r="AR694" i="3"/>
  <c r="E696" i="3"/>
  <c r="H691" i="3"/>
  <c r="U300" i="3"/>
  <c r="S301" i="3"/>
  <c r="T301" i="3" s="1"/>
  <c r="R302" i="3"/>
  <c r="G693" i="3"/>
  <c r="G691" i="1"/>
  <c r="H690" i="1"/>
  <c r="AS691" i="1"/>
  <c r="AR690" i="1"/>
  <c r="G694" i="3" l="1"/>
  <c r="U301" i="3"/>
  <c r="AS696" i="3"/>
  <c r="AR695" i="3"/>
  <c r="S302" i="3"/>
  <c r="T302" i="3" s="1"/>
  <c r="R303" i="3"/>
  <c r="E697" i="3"/>
  <c r="H692" i="3"/>
  <c r="H693" i="3" s="1"/>
  <c r="G692" i="1"/>
  <c r="H691" i="1"/>
  <c r="AS692" i="1"/>
  <c r="AR691" i="1"/>
  <c r="G695" i="3" l="1"/>
  <c r="E698" i="3"/>
  <c r="AS697" i="3"/>
  <c r="AR696" i="3"/>
  <c r="U302" i="3"/>
  <c r="S303" i="3"/>
  <c r="T303" i="3" s="1"/>
  <c r="R304" i="3"/>
  <c r="G693" i="1"/>
  <c r="H692" i="1"/>
  <c r="AS693" i="1"/>
  <c r="AR692" i="1"/>
  <c r="AS698" i="3" l="1"/>
  <c r="AR697" i="3"/>
  <c r="U303" i="3"/>
  <c r="E699" i="3"/>
  <c r="H694" i="3"/>
  <c r="H695" i="3" s="1"/>
  <c r="S304" i="3"/>
  <c r="T304" i="3" s="1"/>
  <c r="R305" i="3"/>
  <c r="G696" i="3"/>
  <c r="G694" i="1"/>
  <c r="H693" i="1"/>
  <c r="AS694" i="1"/>
  <c r="AR693" i="1"/>
  <c r="AS699" i="3" l="1"/>
  <c r="AR698" i="3"/>
  <c r="E700" i="3"/>
  <c r="H696" i="3"/>
  <c r="G697" i="3"/>
  <c r="U304" i="3"/>
  <c r="S305" i="3"/>
  <c r="T305" i="3" s="1"/>
  <c r="R306" i="3"/>
  <c r="G695" i="1"/>
  <c r="H694" i="1"/>
  <c r="AS695" i="1"/>
  <c r="AR694" i="1"/>
  <c r="S306" i="3" l="1"/>
  <c r="T306" i="3" s="1"/>
  <c r="R307" i="3"/>
  <c r="E701" i="3"/>
  <c r="U305" i="3"/>
  <c r="G698" i="3"/>
  <c r="AS700" i="3"/>
  <c r="AR699" i="3"/>
  <c r="G696" i="1"/>
  <c r="H695" i="1"/>
  <c r="AS696" i="1"/>
  <c r="AR695" i="1"/>
  <c r="E702" i="3" l="1"/>
  <c r="S307" i="3"/>
  <c r="T307" i="3" s="1"/>
  <c r="R308" i="3"/>
  <c r="U306" i="3"/>
  <c r="G699" i="3"/>
  <c r="AS701" i="3"/>
  <c r="AR700" i="3"/>
  <c r="H697" i="3"/>
  <c r="H698" i="3" s="1"/>
  <c r="G697" i="1"/>
  <c r="H696" i="1"/>
  <c r="AS697" i="1"/>
  <c r="AR696" i="1"/>
  <c r="U307" i="3" l="1"/>
  <c r="E703" i="3"/>
  <c r="H699" i="3"/>
  <c r="AS702" i="3"/>
  <c r="AR701" i="3"/>
  <c r="S308" i="3"/>
  <c r="T308" i="3" s="1"/>
  <c r="R309" i="3"/>
  <c r="G700" i="3"/>
  <c r="G698" i="1"/>
  <c r="H697" i="1"/>
  <c r="AS698" i="1"/>
  <c r="AR697" i="1"/>
  <c r="E704" i="3" l="1"/>
  <c r="AS703" i="3"/>
  <c r="AR702" i="3"/>
  <c r="G701" i="3"/>
  <c r="U308" i="3"/>
  <c r="S309" i="3"/>
  <c r="T309" i="3" s="1"/>
  <c r="R310" i="3"/>
  <c r="G699" i="1"/>
  <c r="H698" i="1"/>
  <c r="AS699" i="1"/>
  <c r="AR698" i="1"/>
  <c r="AS704" i="3" l="1"/>
  <c r="AR703" i="3"/>
  <c r="G702" i="3"/>
  <c r="H700" i="3"/>
  <c r="H701" i="3" s="1"/>
  <c r="S310" i="3"/>
  <c r="T310" i="3" s="1"/>
  <c r="R311" i="3"/>
  <c r="E705" i="3"/>
  <c r="U309" i="3"/>
  <c r="G700" i="1"/>
  <c r="H699" i="1"/>
  <c r="AS700" i="1"/>
  <c r="AR699" i="1"/>
  <c r="AS705" i="3" l="1"/>
  <c r="AR704" i="3"/>
  <c r="E706" i="3"/>
  <c r="S311" i="3"/>
  <c r="T311" i="3" s="1"/>
  <c r="R312" i="3"/>
  <c r="U310" i="3"/>
  <c r="H702" i="3"/>
  <c r="G703" i="3"/>
  <c r="G701" i="1"/>
  <c r="H700" i="1"/>
  <c r="AS701" i="1"/>
  <c r="AR700" i="1"/>
  <c r="G704" i="3" l="1"/>
  <c r="E707" i="3"/>
  <c r="U311" i="3"/>
  <c r="S312" i="3"/>
  <c r="T312" i="3" s="1"/>
  <c r="R313" i="3"/>
  <c r="AS706" i="3"/>
  <c r="AR705" i="3"/>
  <c r="G702" i="1"/>
  <c r="H701" i="1"/>
  <c r="AS702" i="1"/>
  <c r="AR701" i="1"/>
  <c r="S313" i="3" l="1"/>
  <c r="T313" i="3" s="1"/>
  <c r="R314" i="3"/>
  <c r="G705" i="3"/>
  <c r="U312" i="3"/>
  <c r="AS707" i="3"/>
  <c r="AR706" i="3"/>
  <c r="E708" i="3"/>
  <c r="H703" i="3"/>
  <c r="H704" i="3" s="1"/>
  <c r="G703" i="1"/>
  <c r="H702" i="1"/>
  <c r="AS703" i="1"/>
  <c r="AR702" i="1"/>
  <c r="U313" i="3" l="1"/>
  <c r="G706" i="3"/>
  <c r="E709" i="3"/>
  <c r="AS708" i="3"/>
  <c r="AR707" i="3"/>
  <c r="S314" i="3"/>
  <c r="T314" i="3" s="1"/>
  <c r="R315" i="3"/>
  <c r="G704" i="1"/>
  <c r="H703" i="1"/>
  <c r="AS704" i="1"/>
  <c r="AR703" i="1"/>
  <c r="AS709" i="3" l="1"/>
  <c r="AR708" i="3"/>
  <c r="E710" i="3"/>
  <c r="G707" i="3"/>
  <c r="H705" i="3"/>
  <c r="S315" i="3"/>
  <c r="T315" i="3" s="1"/>
  <c r="R316" i="3"/>
  <c r="U314" i="3"/>
  <c r="G705" i="1"/>
  <c r="H704" i="1"/>
  <c r="AS705" i="1"/>
  <c r="AR704" i="1"/>
  <c r="U315" i="3" l="1"/>
  <c r="E711" i="3"/>
  <c r="G708" i="3"/>
  <c r="S316" i="3"/>
  <c r="T316" i="3" s="1"/>
  <c r="R317" i="3"/>
  <c r="AS710" i="3"/>
  <c r="AR709" i="3"/>
  <c r="H706" i="3"/>
  <c r="H707" i="3" s="1"/>
  <c r="G706" i="1"/>
  <c r="H705" i="1"/>
  <c r="AS706" i="1"/>
  <c r="AR705" i="1"/>
  <c r="E712" i="3" l="1"/>
  <c r="U316" i="3"/>
  <c r="AS711" i="3"/>
  <c r="AR710" i="3"/>
  <c r="H708" i="3"/>
  <c r="G709" i="3"/>
  <c r="S317" i="3"/>
  <c r="T317" i="3" s="1"/>
  <c r="R318" i="3"/>
  <c r="G707" i="1"/>
  <c r="H706" i="1"/>
  <c r="AS707" i="1"/>
  <c r="AR706" i="1"/>
  <c r="AS712" i="3" l="1"/>
  <c r="AR711" i="3"/>
  <c r="U317" i="3"/>
  <c r="S318" i="3"/>
  <c r="T318" i="3" s="1"/>
  <c r="R319" i="3"/>
  <c r="G710" i="3"/>
  <c r="H709" i="3"/>
  <c r="E713" i="3"/>
  <c r="G708" i="1"/>
  <c r="H707" i="1"/>
  <c r="AS708" i="1"/>
  <c r="AR707" i="1"/>
  <c r="U318" i="3" l="1"/>
  <c r="E714" i="3"/>
  <c r="S319" i="3"/>
  <c r="T319" i="3" s="1"/>
  <c r="R320" i="3"/>
  <c r="AS713" i="3"/>
  <c r="AR712" i="3"/>
  <c r="H710" i="3"/>
  <c r="G711" i="3"/>
  <c r="G709" i="1"/>
  <c r="H708" i="1"/>
  <c r="AS709" i="1"/>
  <c r="AR708" i="1"/>
  <c r="G712" i="3" l="1"/>
  <c r="E715" i="3"/>
  <c r="AS714" i="3"/>
  <c r="AR713" i="3"/>
  <c r="S320" i="3"/>
  <c r="T320" i="3" s="1"/>
  <c r="R321" i="3"/>
  <c r="U319" i="3"/>
  <c r="G710" i="1"/>
  <c r="H709" i="1"/>
  <c r="AS710" i="1"/>
  <c r="AR709" i="1"/>
  <c r="E716" i="3" l="1"/>
  <c r="AR714" i="3"/>
  <c r="AS715" i="3"/>
  <c r="U320" i="3"/>
  <c r="S321" i="3"/>
  <c r="T321" i="3" s="1"/>
  <c r="R322" i="3"/>
  <c r="G713" i="3"/>
  <c r="H711" i="3"/>
  <c r="G711" i="1"/>
  <c r="H710" i="1"/>
  <c r="AS711" i="1"/>
  <c r="AR710" i="1"/>
  <c r="AS716" i="3" l="1"/>
  <c r="AR715" i="3"/>
  <c r="H712" i="3"/>
  <c r="H713" i="3" s="1"/>
  <c r="E717" i="3"/>
  <c r="G714" i="3"/>
  <c r="S322" i="3"/>
  <c r="T322" i="3" s="1"/>
  <c r="R323" i="3"/>
  <c r="U321" i="3"/>
  <c r="G712" i="1"/>
  <c r="H711" i="1"/>
  <c r="AS712" i="1"/>
  <c r="AR711" i="1"/>
  <c r="U322" i="3" l="1"/>
  <c r="S323" i="3"/>
  <c r="T323" i="3" s="1"/>
  <c r="R324" i="3"/>
  <c r="G715" i="3"/>
  <c r="E718" i="3"/>
  <c r="AS717" i="3"/>
  <c r="AR716" i="3"/>
  <c r="G713" i="1"/>
  <c r="H712" i="1"/>
  <c r="AS713" i="1"/>
  <c r="AR712" i="1"/>
  <c r="H714" i="3" l="1"/>
  <c r="G716" i="3"/>
  <c r="AS718" i="3"/>
  <c r="AR717" i="3"/>
  <c r="S324" i="3"/>
  <c r="T324" i="3" s="1"/>
  <c r="R325" i="3"/>
  <c r="U323" i="3"/>
  <c r="E719" i="3"/>
  <c r="G714" i="1"/>
  <c r="H713" i="1"/>
  <c r="AS714" i="1"/>
  <c r="AR713" i="1"/>
  <c r="G717" i="3" l="1"/>
  <c r="U324" i="3"/>
  <c r="H715" i="3"/>
  <c r="H716" i="3" s="1"/>
  <c r="E720" i="3"/>
  <c r="AS719" i="3"/>
  <c r="AR718" i="3"/>
  <c r="S325" i="3"/>
  <c r="T325" i="3" s="1"/>
  <c r="R326" i="3"/>
  <c r="G715" i="1"/>
  <c r="H714" i="1"/>
  <c r="AS715" i="1"/>
  <c r="AR714" i="1"/>
  <c r="U325" i="3" l="1"/>
  <c r="AS720" i="3"/>
  <c r="AR719" i="3"/>
  <c r="E721" i="3"/>
  <c r="S326" i="3"/>
  <c r="T326" i="3" s="1"/>
  <c r="R327" i="3"/>
  <c r="G718" i="3"/>
  <c r="H717" i="3"/>
  <c r="G716" i="1"/>
  <c r="H715" i="1"/>
  <c r="AS716" i="1"/>
  <c r="AR715" i="1"/>
  <c r="U326" i="3" l="1"/>
  <c r="E722" i="3"/>
  <c r="G719" i="3"/>
  <c r="AS721" i="3"/>
  <c r="AR720" i="3"/>
  <c r="S327" i="3"/>
  <c r="T327" i="3" s="1"/>
  <c r="R328" i="3"/>
  <c r="G717" i="1"/>
  <c r="H716" i="1"/>
  <c r="AS717" i="1"/>
  <c r="AR716" i="1"/>
  <c r="E723" i="3" l="1"/>
  <c r="AS722" i="3"/>
  <c r="AR721" i="3"/>
  <c r="U327" i="3"/>
  <c r="S328" i="3"/>
  <c r="T328" i="3" s="1"/>
  <c r="R329" i="3"/>
  <c r="G720" i="3"/>
  <c r="H718" i="3"/>
  <c r="G718" i="1"/>
  <c r="H717" i="1"/>
  <c r="AS718" i="1"/>
  <c r="AR717" i="1"/>
  <c r="AS723" i="3" l="1"/>
  <c r="AR722" i="3"/>
  <c r="E724" i="3"/>
  <c r="U328" i="3"/>
  <c r="S329" i="3"/>
  <c r="T329" i="3" s="1"/>
  <c r="R330" i="3"/>
  <c r="G721" i="3"/>
  <c r="H719" i="3"/>
  <c r="G719" i="1"/>
  <c r="H718" i="1"/>
  <c r="AS719" i="1"/>
  <c r="AR718" i="1"/>
  <c r="G722" i="3" l="1"/>
  <c r="U329" i="3"/>
  <c r="E725" i="3"/>
  <c r="S330" i="3"/>
  <c r="T330" i="3" s="1"/>
  <c r="R331" i="3"/>
  <c r="H720" i="3"/>
  <c r="H721" i="3" s="1"/>
  <c r="AS724" i="3"/>
  <c r="AR723" i="3"/>
  <c r="G720" i="1"/>
  <c r="H719" i="1"/>
  <c r="AS720" i="1"/>
  <c r="AR719" i="1"/>
  <c r="E726" i="3" l="1"/>
  <c r="AS725" i="3"/>
  <c r="AR724" i="3"/>
  <c r="U330" i="3"/>
  <c r="S331" i="3"/>
  <c r="T331" i="3" s="1"/>
  <c r="R332" i="3"/>
  <c r="G723" i="3"/>
  <c r="G721" i="1"/>
  <c r="H720" i="1"/>
  <c r="AS721" i="1"/>
  <c r="AR720" i="1"/>
  <c r="E727" i="3" l="1"/>
  <c r="U331" i="3"/>
  <c r="H722" i="3"/>
  <c r="G724" i="3"/>
  <c r="S332" i="3"/>
  <c r="T332" i="3" s="1"/>
  <c r="R333" i="3"/>
  <c r="AS726" i="3"/>
  <c r="AR725" i="3"/>
  <c r="G722" i="1"/>
  <c r="H721" i="1"/>
  <c r="AS722" i="1"/>
  <c r="AR721" i="1"/>
  <c r="G725" i="3" l="1"/>
  <c r="E728" i="3"/>
  <c r="AS727" i="3"/>
  <c r="AR726" i="3"/>
  <c r="S333" i="3"/>
  <c r="T333" i="3" s="1"/>
  <c r="R334" i="3"/>
  <c r="U332" i="3"/>
  <c r="H723" i="3"/>
  <c r="H724" i="3" s="1"/>
  <c r="G723" i="1"/>
  <c r="H722" i="1"/>
  <c r="AS723" i="1"/>
  <c r="AR722" i="1"/>
  <c r="E729" i="3" l="1"/>
  <c r="H725" i="3"/>
  <c r="G726" i="3"/>
  <c r="AS728" i="3"/>
  <c r="AR727" i="3"/>
  <c r="U333" i="3"/>
  <c r="S334" i="3"/>
  <c r="T334" i="3" s="1"/>
  <c r="R335" i="3"/>
  <c r="G724" i="1"/>
  <c r="H723" i="1"/>
  <c r="AS724" i="1"/>
  <c r="AR723" i="1"/>
  <c r="U334" i="3" l="1"/>
  <c r="E730" i="3"/>
  <c r="AS729" i="3"/>
  <c r="AR728" i="3"/>
  <c r="S335" i="3"/>
  <c r="T335" i="3" s="1"/>
  <c r="R336" i="3"/>
  <c r="H726" i="3"/>
  <c r="G727" i="3"/>
  <c r="G725" i="1"/>
  <c r="H724" i="1"/>
  <c r="AS725" i="1"/>
  <c r="AR724" i="1"/>
  <c r="H727" i="3" l="1"/>
  <c r="AS730" i="3"/>
  <c r="AR729" i="3"/>
  <c r="G728" i="3"/>
  <c r="U335" i="3"/>
  <c r="E731" i="3"/>
  <c r="S336" i="3"/>
  <c r="T336" i="3" s="1"/>
  <c r="R337" i="3"/>
  <c r="G726" i="1"/>
  <c r="H725" i="1"/>
  <c r="AS726" i="1"/>
  <c r="AR725" i="1"/>
  <c r="U336" i="3" l="1"/>
  <c r="G729" i="3"/>
  <c r="H728" i="3"/>
  <c r="S337" i="3"/>
  <c r="T337" i="3" s="1"/>
  <c r="R338" i="3"/>
  <c r="E732" i="3"/>
  <c r="AS731" i="3"/>
  <c r="AR730" i="3"/>
  <c r="G727" i="1"/>
  <c r="H726" i="1"/>
  <c r="AS727" i="1"/>
  <c r="AR726" i="1"/>
  <c r="U337" i="3" l="1"/>
  <c r="AR731" i="3"/>
  <c r="AS732" i="3"/>
  <c r="G730" i="3"/>
  <c r="E733" i="3"/>
  <c r="S338" i="3"/>
  <c r="T338" i="3" s="1"/>
  <c r="R339" i="3"/>
  <c r="G728" i="1"/>
  <c r="H727" i="1"/>
  <c r="AS728" i="1"/>
  <c r="AR727" i="1"/>
  <c r="G731" i="3" l="1"/>
  <c r="H729" i="3"/>
  <c r="H730" i="3" s="1"/>
  <c r="U338" i="3"/>
  <c r="S339" i="3"/>
  <c r="T339" i="3" s="1"/>
  <c r="R340" i="3"/>
  <c r="E734" i="3"/>
  <c r="AR732" i="3"/>
  <c r="AS733" i="3"/>
  <c r="G729" i="1"/>
  <c r="H728" i="1"/>
  <c r="AS729" i="1"/>
  <c r="AR728" i="1"/>
  <c r="AS734" i="3" l="1"/>
  <c r="AR733" i="3"/>
  <c r="G732" i="3"/>
  <c r="U339" i="3"/>
  <c r="E735" i="3"/>
  <c r="S340" i="3"/>
  <c r="T340" i="3" s="1"/>
  <c r="R341" i="3"/>
  <c r="G730" i="1"/>
  <c r="H729" i="1"/>
  <c r="AS730" i="1"/>
  <c r="AR729" i="1"/>
  <c r="E736" i="3" l="1"/>
  <c r="H731" i="3"/>
  <c r="AR734" i="3"/>
  <c r="AS735" i="3"/>
  <c r="U340" i="3"/>
  <c r="G733" i="3"/>
  <c r="S341" i="3"/>
  <c r="T341" i="3" s="1"/>
  <c r="R342" i="3"/>
  <c r="G731" i="1"/>
  <c r="H730" i="1"/>
  <c r="AS731" i="1"/>
  <c r="AR730" i="1"/>
  <c r="G734" i="3" l="1"/>
  <c r="AR735" i="3"/>
  <c r="AS736" i="3"/>
  <c r="U341" i="3"/>
  <c r="S342" i="3"/>
  <c r="T342" i="3" s="1"/>
  <c r="R343" i="3"/>
  <c r="H732" i="3"/>
  <c r="E737" i="3"/>
  <c r="G732" i="1"/>
  <c r="H731" i="1"/>
  <c r="AS732" i="1"/>
  <c r="AR731" i="1"/>
  <c r="G735" i="3" l="1"/>
  <c r="S343" i="3"/>
  <c r="T343" i="3" s="1"/>
  <c r="R344" i="3"/>
  <c r="E738" i="3"/>
  <c r="U342" i="3"/>
  <c r="AR736" i="3"/>
  <c r="AS737" i="3"/>
  <c r="H733" i="3"/>
  <c r="H734" i="3" s="1"/>
  <c r="G733" i="1"/>
  <c r="H732" i="1"/>
  <c r="AS733" i="1"/>
  <c r="AR732" i="1"/>
  <c r="S344" i="3" l="1"/>
  <c r="T344" i="3" s="1"/>
  <c r="R345" i="3"/>
  <c r="E739" i="3"/>
  <c r="AR737" i="3"/>
  <c r="AS738" i="3"/>
  <c r="H735" i="3"/>
  <c r="G736" i="3"/>
  <c r="U343" i="3"/>
  <c r="G734" i="1"/>
  <c r="H733" i="1"/>
  <c r="AS734" i="1"/>
  <c r="AR733" i="1"/>
  <c r="S345" i="3" l="1"/>
  <c r="T345" i="3" s="1"/>
  <c r="R346" i="3"/>
  <c r="G737" i="3"/>
  <c r="AS739" i="3"/>
  <c r="AR738" i="3"/>
  <c r="U344" i="3"/>
  <c r="E740" i="3"/>
  <c r="G735" i="1"/>
  <c r="H734" i="1"/>
  <c r="AS735" i="1"/>
  <c r="AR734" i="1"/>
  <c r="S346" i="3" l="1"/>
  <c r="T346" i="3" s="1"/>
  <c r="R347" i="3"/>
  <c r="G738" i="3"/>
  <c r="E741" i="3"/>
  <c r="U345" i="3"/>
  <c r="AR739" i="3"/>
  <c r="AS740" i="3"/>
  <c r="H736" i="3"/>
  <c r="H737" i="3" s="1"/>
  <c r="G736" i="1"/>
  <c r="H735" i="1"/>
  <c r="AS736" i="1"/>
  <c r="AR735" i="1"/>
  <c r="G739" i="3" l="1"/>
  <c r="S347" i="3"/>
  <c r="T347" i="3" s="1"/>
  <c r="R348" i="3"/>
  <c r="E742" i="3"/>
  <c r="AR740" i="3"/>
  <c r="AS741" i="3"/>
  <c r="U346" i="3"/>
  <c r="G737" i="1"/>
  <c r="H736" i="1"/>
  <c r="AS737" i="1"/>
  <c r="AR736" i="1"/>
  <c r="U347" i="3" l="1"/>
  <c r="G740" i="3"/>
  <c r="E743" i="3"/>
  <c r="H738" i="3"/>
  <c r="AR741" i="3"/>
  <c r="AS742" i="3"/>
  <c r="S348" i="3"/>
  <c r="T348" i="3" s="1"/>
  <c r="R349" i="3"/>
  <c r="G738" i="1"/>
  <c r="H737" i="1"/>
  <c r="AS738" i="1"/>
  <c r="AR737" i="1"/>
  <c r="AS743" i="3" l="1"/>
  <c r="AR742" i="3"/>
  <c r="H739" i="3"/>
  <c r="U348" i="3"/>
  <c r="G741" i="3"/>
  <c r="S349" i="3"/>
  <c r="T349" i="3" s="1"/>
  <c r="R350" i="3"/>
  <c r="E744" i="3"/>
  <c r="G739" i="1"/>
  <c r="H738" i="1"/>
  <c r="AS739" i="1"/>
  <c r="AR738" i="1"/>
  <c r="U349" i="3" l="1"/>
  <c r="H740" i="3"/>
  <c r="G742" i="3"/>
  <c r="E745" i="3"/>
  <c r="S350" i="3"/>
  <c r="T350" i="3" s="1"/>
  <c r="R351" i="3"/>
  <c r="AR743" i="3"/>
  <c r="AS744" i="3"/>
  <c r="G740" i="1"/>
  <c r="H739" i="1"/>
  <c r="AS740" i="1"/>
  <c r="AR739" i="1"/>
  <c r="U350" i="3" l="1"/>
  <c r="E746" i="3"/>
  <c r="H741" i="3"/>
  <c r="AR744" i="3"/>
  <c r="AS745" i="3"/>
  <c r="S351" i="3"/>
  <c r="T351" i="3" s="1"/>
  <c r="R352" i="3"/>
  <c r="G743" i="3"/>
  <c r="G741" i="1"/>
  <c r="H740" i="1"/>
  <c r="AS741" i="1"/>
  <c r="AR740" i="1"/>
  <c r="G744" i="3" l="1"/>
  <c r="E747" i="3"/>
  <c r="S352" i="3"/>
  <c r="T352" i="3" s="1"/>
  <c r="R353" i="3"/>
  <c r="U351" i="3"/>
  <c r="H742" i="3"/>
  <c r="H743" i="3" s="1"/>
  <c r="AR745" i="3"/>
  <c r="AS746" i="3"/>
  <c r="G742" i="1"/>
  <c r="H741" i="1"/>
  <c r="AS742" i="1"/>
  <c r="AR741" i="1"/>
  <c r="E748" i="3" l="1"/>
  <c r="S353" i="3"/>
  <c r="T353" i="3" s="1"/>
  <c r="R354" i="3"/>
  <c r="G745" i="3"/>
  <c r="AR746" i="3"/>
  <c r="AS747" i="3"/>
  <c r="U352" i="3"/>
  <c r="G743" i="1"/>
  <c r="H742" i="1"/>
  <c r="AS743" i="1"/>
  <c r="AR742" i="1"/>
  <c r="U353" i="3" l="1"/>
  <c r="H744" i="3"/>
  <c r="G746" i="3"/>
  <c r="S354" i="3"/>
  <c r="T354" i="3" s="1"/>
  <c r="R355" i="3"/>
  <c r="AR747" i="3"/>
  <c r="AS748" i="3"/>
  <c r="E749" i="3"/>
  <c r="G744" i="1"/>
  <c r="H743" i="1"/>
  <c r="AS744" i="1"/>
  <c r="AR743" i="1"/>
  <c r="G747" i="3" l="1"/>
  <c r="E750" i="3"/>
  <c r="AR748" i="3"/>
  <c r="AS749" i="3"/>
  <c r="U354" i="3"/>
  <c r="H745" i="3"/>
  <c r="S355" i="3"/>
  <c r="T355" i="3" s="1"/>
  <c r="R356" i="3"/>
  <c r="G745" i="1"/>
  <c r="H744" i="1"/>
  <c r="AS745" i="1"/>
  <c r="AR744" i="1"/>
  <c r="E751" i="3" l="1"/>
  <c r="AR749" i="3"/>
  <c r="AS750" i="3"/>
  <c r="G748" i="3"/>
  <c r="U355" i="3"/>
  <c r="S356" i="3"/>
  <c r="T356" i="3" s="1"/>
  <c r="R357" i="3"/>
  <c r="H746" i="3"/>
  <c r="G746" i="1"/>
  <c r="H745" i="1"/>
  <c r="AS746" i="1"/>
  <c r="AR745" i="1"/>
  <c r="H747" i="3" l="1"/>
  <c r="H748" i="3" s="1"/>
  <c r="E752" i="3"/>
  <c r="S357" i="3"/>
  <c r="T357" i="3" s="1"/>
  <c r="R358" i="3"/>
  <c r="AR750" i="3"/>
  <c r="AS751" i="3"/>
  <c r="G749" i="3"/>
  <c r="U356" i="3"/>
  <c r="G747" i="1"/>
  <c r="H746" i="1"/>
  <c r="AS747" i="1"/>
  <c r="AR746" i="1"/>
  <c r="AR751" i="3" l="1"/>
  <c r="AS752" i="3"/>
  <c r="E753" i="3"/>
  <c r="U357" i="3"/>
  <c r="G750" i="3"/>
  <c r="H749" i="3"/>
  <c r="S358" i="3"/>
  <c r="T358" i="3" s="1"/>
  <c r="R359" i="3"/>
  <c r="G748" i="1"/>
  <c r="H747" i="1"/>
  <c r="AS748" i="1"/>
  <c r="AR747" i="1"/>
  <c r="U358" i="3" l="1"/>
  <c r="E754" i="3"/>
  <c r="H750" i="3"/>
  <c r="G751" i="3"/>
  <c r="AR752" i="3"/>
  <c r="AS753" i="3"/>
  <c r="S359" i="3"/>
  <c r="T359" i="3" s="1"/>
  <c r="R360" i="3"/>
  <c r="G749" i="1"/>
  <c r="H748" i="1"/>
  <c r="AS749" i="1"/>
  <c r="AR748" i="1"/>
  <c r="S360" i="3" l="1"/>
  <c r="T360" i="3" s="1"/>
  <c r="R361" i="3"/>
  <c r="AS754" i="3"/>
  <c r="AR753" i="3"/>
  <c r="E755" i="3"/>
  <c r="G752" i="3"/>
  <c r="U359" i="3"/>
  <c r="G750" i="1"/>
  <c r="H749" i="1"/>
  <c r="AS750" i="1"/>
  <c r="AR749" i="1"/>
  <c r="S361" i="3" l="1"/>
  <c r="T361" i="3" s="1"/>
  <c r="R362" i="3"/>
  <c r="G753" i="3"/>
  <c r="E756" i="3"/>
  <c r="U360" i="3"/>
  <c r="AR754" i="3"/>
  <c r="AS755" i="3"/>
  <c r="H751" i="3"/>
  <c r="H752" i="3" s="1"/>
  <c r="G751" i="1"/>
  <c r="H750" i="1"/>
  <c r="AS751" i="1"/>
  <c r="AR750" i="1"/>
  <c r="AR755" i="3" l="1"/>
  <c r="AS756" i="3"/>
  <c r="S362" i="3"/>
  <c r="T362" i="3" s="1"/>
  <c r="R363" i="3"/>
  <c r="U361" i="3"/>
  <c r="H753" i="3"/>
  <c r="G754" i="3"/>
  <c r="E757" i="3"/>
  <c r="G752" i="1"/>
  <c r="H751" i="1"/>
  <c r="AS752" i="1"/>
  <c r="AR751" i="1"/>
  <c r="U362" i="3" l="1"/>
  <c r="E758" i="3"/>
  <c r="S363" i="3"/>
  <c r="T363" i="3" s="1"/>
  <c r="R364" i="3"/>
  <c r="G755" i="3"/>
  <c r="AR756" i="3"/>
  <c r="AS757" i="3"/>
  <c r="G753" i="1"/>
  <c r="H752" i="1"/>
  <c r="AS753" i="1"/>
  <c r="AR752" i="1"/>
  <c r="E759" i="3" l="1"/>
  <c r="G756" i="3"/>
  <c r="U363" i="3"/>
  <c r="S364" i="3"/>
  <c r="T364" i="3" s="1"/>
  <c r="R365" i="3"/>
  <c r="AR757" i="3"/>
  <c r="AS758" i="3"/>
  <c r="H754" i="3"/>
  <c r="G754" i="1"/>
  <c r="H753" i="1"/>
  <c r="AS754" i="1"/>
  <c r="AR753" i="1"/>
  <c r="G757" i="3" l="1"/>
  <c r="AS759" i="3"/>
  <c r="AR758" i="3"/>
  <c r="R366" i="3"/>
  <c r="S365" i="3"/>
  <c r="T365" i="3" s="1"/>
  <c r="H755" i="3"/>
  <c r="H756" i="3" s="1"/>
  <c r="U364" i="3"/>
  <c r="E760" i="3"/>
  <c r="G755" i="1"/>
  <c r="H754" i="1"/>
  <c r="AS755" i="1"/>
  <c r="AR754" i="1"/>
  <c r="E761" i="3" l="1"/>
  <c r="U365" i="3"/>
  <c r="AR759" i="3"/>
  <c r="AS760" i="3"/>
  <c r="G758" i="3"/>
  <c r="S366" i="3"/>
  <c r="T366" i="3" s="1"/>
  <c r="R367" i="3"/>
  <c r="H757" i="3"/>
  <c r="G756" i="1"/>
  <c r="H755" i="1"/>
  <c r="AS756" i="1"/>
  <c r="AR755" i="1"/>
  <c r="AR760" i="3" l="1"/>
  <c r="AS761" i="3"/>
  <c r="U366" i="3"/>
  <c r="G759" i="3"/>
  <c r="E762" i="3"/>
  <c r="R368" i="3"/>
  <c r="S367" i="3"/>
  <c r="T367" i="3" s="1"/>
  <c r="G757" i="1"/>
  <c r="H756" i="1"/>
  <c r="AS757" i="1"/>
  <c r="AR756" i="1"/>
  <c r="AR761" i="3" l="1"/>
  <c r="AS762" i="3"/>
  <c r="U367" i="3"/>
  <c r="E763" i="3"/>
  <c r="H758" i="3"/>
  <c r="S368" i="3"/>
  <c r="T368" i="3" s="1"/>
  <c r="R369" i="3"/>
  <c r="G760" i="3"/>
  <c r="G758" i="1"/>
  <c r="H757" i="1"/>
  <c r="AS758" i="1"/>
  <c r="AR757" i="1"/>
  <c r="E764" i="3" l="1"/>
  <c r="U368" i="3"/>
  <c r="G761" i="3"/>
  <c r="S369" i="3"/>
  <c r="T369" i="3" s="1"/>
  <c r="R370" i="3"/>
  <c r="AR762" i="3"/>
  <c r="AS763" i="3"/>
  <c r="H759" i="3"/>
  <c r="H760" i="3" s="1"/>
  <c r="G759" i="1"/>
  <c r="H758" i="1"/>
  <c r="AS759" i="1"/>
  <c r="AR758" i="1"/>
  <c r="S370" i="3" l="1"/>
  <c r="T370" i="3" s="1"/>
  <c r="R371" i="3"/>
  <c r="U369" i="3"/>
  <c r="AR763" i="3"/>
  <c r="AS764" i="3"/>
  <c r="G762" i="3"/>
  <c r="E765" i="3"/>
  <c r="G760" i="1"/>
  <c r="H759" i="1"/>
  <c r="AS760" i="1"/>
  <c r="AR759" i="1"/>
  <c r="S371" i="3" l="1"/>
  <c r="T371" i="3" s="1"/>
  <c r="R372" i="3"/>
  <c r="U370" i="3"/>
  <c r="E766" i="3"/>
  <c r="G763" i="3"/>
  <c r="AR764" i="3"/>
  <c r="AS765" i="3"/>
  <c r="H761" i="3"/>
  <c r="H762" i="3" s="1"/>
  <c r="G761" i="1"/>
  <c r="H760" i="1"/>
  <c r="AS761" i="1"/>
  <c r="AR760" i="1"/>
  <c r="AR765" i="3" l="1"/>
  <c r="AS766" i="3"/>
  <c r="U371" i="3"/>
  <c r="E767" i="3"/>
  <c r="S372" i="3"/>
  <c r="T372" i="3" s="1"/>
  <c r="R373" i="3"/>
  <c r="G764" i="3"/>
  <c r="G762" i="1"/>
  <c r="H761" i="1"/>
  <c r="AS762" i="1"/>
  <c r="AR761" i="1"/>
  <c r="AR766" i="3" l="1"/>
  <c r="AS767" i="3"/>
  <c r="E768" i="3"/>
  <c r="S373" i="3"/>
  <c r="T373" i="3" s="1"/>
  <c r="R374" i="3"/>
  <c r="U372" i="3"/>
  <c r="G765" i="3"/>
  <c r="H763" i="3"/>
  <c r="H764" i="3" s="1"/>
  <c r="G763" i="1"/>
  <c r="H762" i="1"/>
  <c r="AS763" i="1"/>
  <c r="AR762" i="1"/>
  <c r="G766" i="3" l="1"/>
  <c r="U373" i="3"/>
  <c r="E769" i="3"/>
  <c r="AR767" i="3"/>
  <c r="AS768" i="3"/>
  <c r="H765" i="3"/>
  <c r="S374" i="3"/>
  <c r="T374" i="3" s="1"/>
  <c r="R375" i="3"/>
  <c r="G764" i="1"/>
  <c r="H763" i="1"/>
  <c r="AS764" i="1"/>
  <c r="AR763" i="1"/>
  <c r="E770" i="3" l="1"/>
  <c r="U374" i="3"/>
  <c r="AR768" i="3"/>
  <c r="AS769" i="3"/>
  <c r="G767" i="3"/>
  <c r="H766" i="3"/>
  <c r="R376" i="3"/>
  <c r="S375" i="3"/>
  <c r="T375" i="3" s="1"/>
  <c r="G765" i="1"/>
  <c r="H764" i="1"/>
  <c r="AS765" i="1"/>
  <c r="AR764" i="1"/>
  <c r="AS770" i="3" l="1"/>
  <c r="AR769" i="3"/>
  <c r="U375" i="3"/>
  <c r="H767" i="3"/>
  <c r="E771" i="3"/>
  <c r="S376" i="3"/>
  <c r="T376" i="3" s="1"/>
  <c r="R377" i="3"/>
  <c r="G768" i="3"/>
  <c r="G766" i="1"/>
  <c r="H765" i="1"/>
  <c r="AS766" i="1"/>
  <c r="AR765" i="1"/>
  <c r="E772" i="3" l="1"/>
  <c r="U376" i="3"/>
  <c r="G769" i="3"/>
  <c r="S377" i="3"/>
  <c r="T377" i="3" s="1"/>
  <c r="R378" i="3"/>
  <c r="AR770" i="3"/>
  <c r="AS771" i="3"/>
  <c r="G767" i="1"/>
  <c r="H766" i="1"/>
  <c r="AS767" i="1"/>
  <c r="AR766" i="1"/>
  <c r="G770" i="3" l="1"/>
  <c r="AR771" i="3"/>
  <c r="AS772" i="3"/>
  <c r="E773" i="3"/>
  <c r="H768" i="3"/>
  <c r="H769" i="3" s="1"/>
  <c r="U377" i="3"/>
  <c r="R379" i="3"/>
  <c r="S378" i="3"/>
  <c r="T378" i="3" s="1"/>
  <c r="G768" i="1"/>
  <c r="H767" i="1"/>
  <c r="AS768" i="1"/>
  <c r="AR767" i="1"/>
  <c r="S379" i="3" l="1"/>
  <c r="T379" i="3" s="1"/>
  <c r="R380" i="3"/>
  <c r="G771" i="3"/>
  <c r="AR772" i="3"/>
  <c r="AS773" i="3"/>
  <c r="U378" i="3"/>
  <c r="E774" i="3"/>
  <c r="G769" i="1"/>
  <c r="H768" i="1"/>
  <c r="AS769" i="1"/>
  <c r="AR768" i="1"/>
  <c r="G772" i="3" l="1"/>
  <c r="E775" i="3"/>
  <c r="AR773" i="3"/>
  <c r="AS774" i="3"/>
  <c r="R381" i="3"/>
  <c r="S380" i="3"/>
  <c r="T380" i="3" s="1"/>
  <c r="H770" i="3"/>
  <c r="H771" i="3" s="1"/>
  <c r="U379" i="3"/>
  <c r="G770" i="1"/>
  <c r="H769" i="1"/>
  <c r="AS770" i="1"/>
  <c r="AR769" i="1"/>
  <c r="S381" i="3" l="1"/>
  <c r="T381" i="3" s="1"/>
  <c r="R382" i="3"/>
  <c r="E776" i="3"/>
  <c r="G773" i="3"/>
  <c r="AS775" i="3"/>
  <c r="AR774" i="3"/>
  <c r="U380" i="3"/>
  <c r="G771" i="1"/>
  <c r="H770" i="1"/>
  <c r="AS771" i="1"/>
  <c r="AR770" i="1"/>
  <c r="U381" i="3" l="1"/>
  <c r="R383" i="3"/>
  <c r="S382" i="3"/>
  <c r="T382" i="3" s="1"/>
  <c r="E777" i="3"/>
  <c r="H772" i="3"/>
  <c r="H773" i="3" s="1"/>
  <c r="AR775" i="3"/>
  <c r="AS776" i="3"/>
  <c r="G774" i="3"/>
  <c r="G772" i="1"/>
  <c r="H771" i="1"/>
  <c r="AS772" i="1"/>
  <c r="AR771" i="1"/>
  <c r="R384" i="3" l="1"/>
  <c r="S383" i="3"/>
  <c r="T383" i="3" s="1"/>
  <c r="AR776" i="3"/>
  <c r="AS777" i="3"/>
  <c r="U382" i="3"/>
  <c r="G775" i="3"/>
  <c r="E778" i="3"/>
  <c r="G773" i="1"/>
  <c r="H772" i="1"/>
  <c r="AS773" i="1"/>
  <c r="AR772" i="1"/>
  <c r="E779" i="3" l="1"/>
  <c r="H774" i="3"/>
  <c r="R385" i="3"/>
  <c r="S384" i="3"/>
  <c r="T384" i="3" s="1"/>
  <c r="AR777" i="3"/>
  <c r="AS778" i="3"/>
  <c r="G776" i="3"/>
  <c r="U383" i="3"/>
  <c r="G774" i="1"/>
  <c r="H773" i="1"/>
  <c r="AS774" i="1"/>
  <c r="AR773" i="1"/>
  <c r="E780" i="3" l="1"/>
  <c r="U384" i="3"/>
  <c r="H775" i="3"/>
  <c r="G777" i="3"/>
  <c r="AR778" i="3"/>
  <c r="AS779" i="3"/>
  <c r="R386" i="3"/>
  <c r="S385" i="3"/>
  <c r="T385" i="3" s="1"/>
  <c r="G775" i="1"/>
  <c r="H774" i="1"/>
  <c r="AS775" i="1"/>
  <c r="AR774" i="1"/>
  <c r="U385" i="3" l="1"/>
  <c r="AR779" i="3"/>
  <c r="AS780" i="3"/>
  <c r="G778" i="3"/>
  <c r="H776" i="3"/>
  <c r="E781" i="3"/>
  <c r="R387" i="3"/>
  <c r="S386" i="3"/>
  <c r="T386" i="3" s="1"/>
  <c r="G776" i="1"/>
  <c r="H775" i="1"/>
  <c r="AS776" i="1"/>
  <c r="AR775" i="1"/>
  <c r="E782" i="3" l="1"/>
  <c r="H777" i="3"/>
  <c r="U386" i="3"/>
  <c r="AR780" i="3"/>
  <c r="AS781" i="3"/>
  <c r="R388" i="3"/>
  <c r="S387" i="3"/>
  <c r="T387" i="3" s="1"/>
  <c r="G779" i="3"/>
  <c r="G777" i="1"/>
  <c r="H776" i="1"/>
  <c r="AS777" i="1"/>
  <c r="AR776" i="1"/>
  <c r="AR781" i="3" l="1"/>
  <c r="AS782" i="3"/>
  <c r="E783" i="3"/>
  <c r="U387" i="3"/>
  <c r="G780" i="3"/>
  <c r="R389" i="3"/>
  <c r="S388" i="3"/>
  <c r="T388" i="3" s="1"/>
  <c r="H778" i="3"/>
  <c r="H779" i="3" s="1"/>
  <c r="G778" i="1"/>
  <c r="H777" i="1"/>
  <c r="AS778" i="1"/>
  <c r="AR777" i="1"/>
  <c r="H780" i="3" l="1"/>
  <c r="U388" i="3"/>
  <c r="S389" i="3"/>
  <c r="T389" i="3" s="1"/>
  <c r="R390" i="3"/>
  <c r="E784" i="3"/>
  <c r="AS783" i="3"/>
  <c r="AR782" i="3"/>
  <c r="G781" i="3"/>
  <c r="G779" i="1"/>
  <c r="H778" i="1"/>
  <c r="AS779" i="1"/>
  <c r="AR778" i="1"/>
  <c r="AS784" i="3" l="1"/>
  <c r="AR783" i="3"/>
  <c r="R391" i="3"/>
  <c r="S390" i="3"/>
  <c r="T390" i="3" s="1"/>
  <c r="H781" i="3"/>
  <c r="G782" i="3"/>
  <c r="U389" i="3"/>
  <c r="G780" i="1"/>
  <c r="H779" i="1"/>
  <c r="AS780" i="1"/>
  <c r="AR779" i="1"/>
  <c r="H782" i="3" l="1"/>
  <c r="G783" i="3"/>
  <c r="R392" i="3"/>
  <c r="S391" i="3"/>
  <c r="T391" i="3" s="1"/>
  <c r="AR784" i="3"/>
  <c r="AS785" i="3"/>
  <c r="U390" i="3"/>
  <c r="G781" i="1"/>
  <c r="H780" i="1"/>
  <c r="AS781" i="1"/>
  <c r="AR780" i="1"/>
  <c r="R393" i="3" l="1"/>
  <c r="S392" i="3"/>
  <c r="T392" i="3" s="1"/>
  <c r="U391" i="3"/>
  <c r="G784" i="3"/>
  <c r="AR785" i="3"/>
  <c r="AS786" i="3"/>
  <c r="G782" i="1"/>
  <c r="H781" i="1"/>
  <c r="AS782" i="1"/>
  <c r="AR781" i="1"/>
  <c r="S393" i="3" l="1"/>
  <c r="T393" i="3" s="1"/>
  <c r="R394" i="3"/>
  <c r="U392" i="3"/>
  <c r="H783" i="3"/>
  <c r="AS787" i="3"/>
  <c r="AR786" i="3"/>
  <c r="G783" i="1"/>
  <c r="H782" i="1"/>
  <c r="AS783" i="1"/>
  <c r="AR782" i="1"/>
  <c r="AS788" i="3" l="1"/>
  <c r="AR787" i="3"/>
  <c r="H784" i="3"/>
  <c r="U393" i="3"/>
  <c r="R395" i="3"/>
  <c r="S394" i="3"/>
  <c r="G784" i="1"/>
  <c r="H783" i="1"/>
  <c r="AS784" i="1"/>
  <c r="AR783" i="1"/>
  <c r="R396" i="3" l="1"/>
  <c r="S395" i="3"/>
  <c r="T395" i="3" s="1"/>
  <c r="T394" i="3"/>
  <c r="U394" i="3" s="1"/>
  <c r="AR788" i="3"/>
  <c r="AS789" i="3"/>
  <c r="H784" i="1"/>
  <c r="AS785" i="1"/>
  <c r="AR784" i="1"/>
  <c r="U395" i="3" l="1"/>
  <c r="AR789" i="3"/>
  <c r="AS790" i="3"/>
  <c r="R397" i="3"/>
  <c r="S396" i="3"/>
  <c r="T396" i="3" s="1"/>
  <c r="R5" i="1"/>
  <c r="AS786" i="1"/>
  <c r="AR785" i="1"/>
  <c r="S397" i="3" l="1"/>
  <c r="T397" i="3" s="1"/>
  <c r="R398" i="3"/>
  <c r="AR790" i="3"/>
  <c r="AS791" i="3"/>
  <c r="U396" i="3"/>
  <c r="S5" i="1"/>
  <c r="R6" i="1"/>
  <c r="AS787" i="1"/>
  <c r="AR786" i="1"/>
  <c r="U397" i="3" l="1"/>
  <c r="AS792" i="3"/>
  <c r="AR791" i="3"/>
  <c r="R399" i="3"/>
  <c r="S398" i="3"/>
  <c r="T398" i="3" s="1"/>
  <c r="T5" i="1"/>
  <c r="R7" i="1"/>
  <c r="S6" i="1"/>
  <c r="T6" i="1" s="1"/>
  <c r="AS788" i="1"/>
  <c r="AR787" i="1"/>
  <c r="AR792" i="3" l="1"/>
  <c r="AS793" i="3"/>
  <c r="S399" i="3"/>
  <c r="T399" i="3" s="1"/>
  <c r="R400" i="3"/>
  <c r="U398" i="3"/>
  <c r="R8" i="1"/>
  <c r="U5" i="1"/>
  <c r="U6" i="1" s="1"/>
  <c r="S7" i="1"/>
  <c r="T7" i="1" s="1"/>
  <c r="AS789" i="1"/>
  <c r="AR788" i="1"/>
  <c r="R9" i="1" l="1"/>
  <c r="R10" i="1" s="1"/>
  <c r="U399" i="3"/>
  <c r="S400" i="3"/>
  <c r="T400" i="3" s="1"/>
  <c r="R401" i="3"/>
  <c r="AR793" i="3"/>
  <c r="AS794" i="3"/>
  <c r="U7" i="1"/>
  <c r="S8" i="1"/>
  <c r="T8" i="1" s="1"/>
  <c r="AS790" i="1"/>
  <c r="AR789" i="1"/>
  <c r="AS795" i="3" l="1"/>
  <c r="AR794" i="3"/>
  <c r="S401" i="3"/>
  <c r="T401" i="3" s="1"/>
  <c r="R402" i="3"/>
  <c r="U400" i="3"/>
  <c r="U8" i="1"/>
  <c r="S9" i="1"/>
  <c r="T9" i="1" s="1"/>
  <c r="R11" i="1"/>
  <c r="AS791" i="1"/>
  <c r="AR790" i="1"/>
  <c r="S402" i="3" l="1"/>
  <c r="T402" i="3" s="1"/>
  <c r="R403" i="3"/>
  <c r="AR795" i="3"/>
  <c r="AS796" i="3"/>
  <c r="U401" i="3"/>
  <c r="U9" i="1"/>
  <c r="S10" i="1"/>
  <c r="T10" i="1" s="1"/>
  <c r="R12" i="1"/>
  <c r="AS792" i="1"/>
  <c r="AR791" i="1"/>
  <c r="U402" i="3" l="1"/>
  <c r="S403" i="3"/>
  <c r="T403" i="3" s="1"/>
  <c r="R404" i="3"/>
  <c r="AR796" i="3"/>
  <c r="AS797" i="3"/>
  <c r="U10" i="1"/>
  <c r="R13" i="1"/>
  <c r="S11" i="1"/>
  <c r="T11" i="1" s="1"/>
  <c r="AS793" i="1"/>
  <c r="AR792" i="1"/>
  <c r="AR797" i="3" l="1"/>
  <c r="AS798" i="3"/>
  <c r="U403" i="3"/>
  <c r="S404" i="3"/>
  <c r="T404" i="3" s="1"/>
  <c r="R405" i="3"/>
  <c r="R14" i="1"/>
  <c r="U11" i="1"/>
  <c r="S12" i="1"/>
  <c r="T12" i="1" s="1"/>
  <c r="AS794" i="1"/>
  <c r="AR793" i="1"/>
  <c r="R15" i="1" l="1"/>
  <c r="R16" i="1" s="1"/>
  <c r="S405" i="3"/>
  <c r="T405" i="3" s="1"/>
  <c r="R406" i="3"/>
  <c r="U404" i="3"/>
  <c r="AR798" i="3"/>
  <c r="AS799" i="3"/>
  <c r="U12" i="1"/>
  <c r="S13" i="1"/>
  <c r="T13" i="1" s="1"/>
  <c r="AS795" i="1"/>
  <c r="AR794" i="1"/>
  <c r="U405" i="3" l="1"/>
  <c r="S406" i="3"/>
  <c r="T406" i="3" s="1"/>
  <c r="R407" i="3"/>
  <c r="AR799" i="3"/>
  <c r="AS800" i="3"/>
  <c r="U13" i="1"/>
  <c r="S14" i="1"/>
  <c r="T14" i="1" s="1"/>
  <c r="R17" i="1"/>
  <c r="AS796" i="1"/>
  <c r="AR795" i="1"/>
  <c r="U406" i="3" l="1"/>
  <c r="S407" i="3"/>
  <c r="T407" i="3" s="1"/>
  <c r="R408" i="3"/>
  <c r="AS801" i="3"/>
  <c r="AR800" i="3"/>
  <c r="U14" i="1"/>
  <c r="S15" i="1"/>
  <c r="T15" i="1" s="1"/>
  <c r="R18" i="1"/>
  <c r="AS797" i="1"/>
  <c r="AR796" i="1"/>
  <c r="S408" i="3" l="1"/>
  <c r="T408" i="3" s="1"/>
  <c r="R409" i="3"/>
  <c r="AR801" i="3"/>
  <c r="AS802" i="3"/>
  <c r="U407" i="3"/>
  <c r="U15" i="1"/>
  <c r="S16" i="1"/>
  <c r="T16" i="1" s="1"/>
  <c r="R19" i="1"/>
  <c r="AS798" i="1"/>
  <c r="AR797" i="1"/>
  <c r="S409" i="3" l="1"/>
  <c r="T409" i="3" s="1"/>
  <c r="R410" i="3"/>
  <c r="U408" i="3"/>
  <c r="AR802" i="3"/>
  <c r="AS803" i="3"/>
  <c r="U16" i="1"/>
  <c r="S17" i="1"/>
  <c r="T17" i="1" s="1"/>
  <c r="R20" i="1"/>
  <c r="AS799" i="1"/>
  <c r="AR798" i="1"/>
  <c r="AS804" i="3" l="1"/>
  <c r="AR803" i="3"/>
  <c r="U409" i="3"/>
  <c r="S410" i="3"/>
  <c r="T410" i="3" s="1"/>
  <c r="R411" i="3"/>
  <c r="U17" i="1"/>
  <c r="S18" i="1"/>
  <c r="T18" i="1" s="1"/>
  <c r="R21" i="1"/>
  <c r="AS800" i="1"/>
  <c r="AR799" i="1"/>
  <c r="U410" i="3" l="1"/>
  <c r="S411" i="3"/>
  <c r="T411" i="3" s="1"/>
  <c r="R412" i="3"/>
  <c r="AR804" i="3"/>
  <c r="AS805" i="3"/>
  <c r="U18" i="1"/>
  <c r="S19" i="1"/>
  <c r="T19" i="1" s="1"/>
  <c r="R22" i="1"/>
  <c r="AS801" i="1"/>
  <c r="AR800" i="1"/>
  <c r="U411" i="3" l="1"/>
  <c r="AR805" i="3"/>
  <c r="AS806" i="3"/>
  <c r="S412" i="3"/>
  <c r="T412" i="3" s="1"/>
  <c r="R413" i="3"/>
  <c r="U19" i="1"/>
  <c r="S20" i="1"/>
  <c r="T20" i="1" s="1"/>
  <c r="R23" i="1"/>
  <c r="AS802" i="1"/>
  <c r="AR801" i="1"/>
  <c r="U412" i="3" l="1"/>
  <c r="AS807" i="3"/>
  <c r="AR806" i="3"/>
  <c r="S413" i="3"/>
  <c r="T413" i="3" s="1"/>
  <c r="R414" i="3"/>
  <c r="U20" i="1"/>
  <c r="S21" i="1"/>
  <c r="T21" i="1" s="1"/>
  <c r="R24" i="1"/>
  <c r="AS803" i="1"/>
  <c r="AR802" i="1"/>
  <c r="AR807" i="3" l="1"/>
  <c r="AS808" i="3"/>
  <c r="S414" i="3"/>
  <c r="T414" i="3" s="1"/>
  <c r="R415" i="3"/>
  <c r="U413" i="3"/>
  <c r="U21" i="1"/>
  <c r="S22" i="1"/>
  <c r="T22" i="1" s="1"/>
  <c r="R25" i="1"/>
  <c r="AS804" i="1"/>
  <c r="AR803" i="1"/>
  <c r="S415" i="3" l="1"/>
  <c r="T415" i="3" s="1"/>
  <c r="R416" i="3"/>
  <c r="U414" i="3"/>
  <c r="AS809" i="3"/>
  <c r="AR808" i="3"/>
  <c r="U22" i="1"/>
  <c r="S23" i="1"/>
  <c r="T23" i="1" s="1"/>
  <c r="R26" i="1"/>
  <c r="AS805" i="1"/>
  <c r="AR804" i="1"/>
  <c r="U415" i="3" l="1"/>
  <c r="S416" i="3"/>
  <c r="T416" i="3" s="1"/>
  <c r="R417" i="3"/>
  <c r="AR809" i="3"/>
  <c r="AS810" i="3"/>
  <c r="U23" i="1"/>
  <c r="S24" i="1"/>
  <c r="T24" i="1" s="1"/>
  <c r="R27" i="1"/>
  <c r="AS806" i="1"/>
  <c r="AR805" i="1"/>
  <c r="AR810" i="3" l="1"/>
  <c r="AS811" i="3"/>
  <c r="S417" i="3"/>
  <c r="T417" i="3" s="1"/>
  <c r="R418" i="3"/>
  <c r="U416" i="3"/>
  <c r="U24" i="1"/>
  <c r="S25" i="1"/>
  <c r="T25" i="1" s="1"/>
  <c r="R28" i="1"/>
  <c r="AS807" i="1"/>
  <c r="AR806" i="1"/>
  <c r="U417" i="3" l="1"/>
  <c r="S418" i="3"/>
  <c r="T418" i="3" s="1"/>
  <c r="R419" i="3"/>
  <c r="AS812" i="3"/>
  <c r="AR811" i="3"/>
  <c r="U25" i="1"/>
  <c r="S26" i="1"/>
  <c r="T26" i="1" s="1"/>
  <c r="R29" i="1"/>
  <c r="AS808" i="1"/>
  <c r="AR807" i="1"/>
  <c r="AR812" i="3" l="1"/>
  <c r="AS813" i="3"/>
  <c r="U418" i="3"/>
  <c r="S419" i="3"/>
  <c r="T419" i="3" s="1"/>
  <c r="R420" i="3"/>
  <c r="U26" i="1"/>
  <c r="S27" i="1"/>
  <c r="T27" i="1" s="1"/>
  <c r="R30" i="1"/>
  <c r="AS809" i="1"/>
  <c r="AR808" i="1"/>
  <c r="U419" i="3" l="1"/>
  <c r="S420" i="3"/>
  <c r="T420" i="3" s="1"/>
  <c r="R421" i="3"/>
  <c r="AR813" i="3"/>
  <c r="AS814" i="3"/>
  <c r="U27" i="1"/>
  <c r="S28" i="1"/>
  <c r="T28" i="1" s="1"/>
  <c r="R31" i="1"/>
  <c r="AS810" i="1"/>
  <c r="AR809" i="1"/>
  <c r="U420" i="3" l="1"/>
  <c r="AS815" i="3"/>
  <c r="AR814" i="3"/>
  <c r="S421" i="3"/>
  <c r="T421" i="3" s="1"/>
  <c r="R422" i="3"/>
  <c r="U28" i="1"/>
  <c r="S29" i="1"/>
  <c r="T29" i="1" s="1"/>
  <c r="R32" i="1"/>
  <c r="AS811" i="1"/>
  <c r="AR810" i="1"/>
  <c r="AR815" i="3" l="1"/>
  <c r="AS816" i="3"/>
  <c r="U421" i="3"/>
  <c r="S422" i="3"/>
  <c r="T422" i="3" s="1"/>
  <c r="R423" i="3"/>
  <c r="U29" i="1"/>
  <c r="S30" i="1"/>
  <c r="T30" i="1" s="1"/>
  <c r="R33" i="1"/>
  <c r="AS812" i="1"/>
  <c r="AR811" i="1"/>
  <c r="U422" i="3" l="1"/>
  <c r="S423" i="3"/>
  <c r="T423" i="3" s="1"/>
  <c r="R424" i="3"/>
  <c r="AR816" i="3"/>
  <c r="AS817" i="3"/>
  <c r="U30" i="1"/>
  <c r="S31" i="1"/>
  <c r="T31" i="1" s="1"/>
  <c r="R34" i="1"/>
  <c r="AS813" i="1"/>
  <c r="AR812" i="1"/>
  <c r="AR817" i="3" l="1"/>
  <c r="AS818" i="3"/>
  <c r="S424" i="3"/>
  <c r="T424" i="3" s="1"/>
  <c r="R425" i="3"/>
  <c r="U423" i="3"/>
  <c r="U31" i="1"/>
  <c r="S32" i="1"/>
  <c r="T32" i="1" s="1"/>
  <c r="R35" i="1"/>
  <c r="AS814" i="1"/>
  <c r="AR813" i="1"/>
  <c r="S425" i="3" l="1"/>
  <c r="T425" i="3" s="1"/>
  <c r="R426" i="3"/>
  <c r="AR818" i="3"/>
  <c r="AS819" i="3"/>
  <c r="U424" i="3"/>
  <c r="U32" i="1"/>
  <c r="S33" i="1"/>
  <c r="T33" i="1" s="1"/>
  <c r="R36" i="1"/>
  <c r="AS815" i="1"/>
  <c r="AR814" i="1"/>
  <c r="AR819" i="3" l="1"/>
  <c r="AS820" i="3"/>
  <c r="U425" i="3"/>
  <c r="S426" i="3"/>
  <c r="T426" i="3" s="1"/>
  <c r="R427" i="3"/>
  <c r="U33" i="1"/>
  <c r="S34" i="1"/>
  <c r="T34" i="1" s="1"/>
  <c r="R37" i="1"/>
  <c r="AS816" i="1"/>
  <c r="AR815" i="1"/>
  <c r="U426" i="3" l="1"/>
  <c r="AS821" i="3"/>
  <c r="AR820" i="3"/>
  <c r="S427" i="3"/>
  <c r="T427" i="3" s="1"/>
  <c r="R428" i="3"/>
  <c r="U34" i="1"/>
  <c r="S35" i="1"/>
  <c r="T35" i="1" s="1"/>
  <c r="R38" i="1"/>
  <c r="AS817" i="1"/>
  <c r="AR816" i="1"/>
  <c r="U427" i="3" l="1"/>
  <c r="S428" i="3"/>
  <c r="T428" i="3" s="1"/>
  <c r="R429" i="3"/>
  <c r="AR821" i="3"/>
  <c r="AS822" i="3"/>
  <c r="U35" i="1"/>
  <c r="S36" i="1"/>
  <c r="T36" i="1" s="1"/>
  <c r="R39" i="1"/>
  <c r="AS818" i="1"/>
  <c r="AR817" i="1"/>
  <c r="S429" i="3" l="1"/>
  <c r="T429" i="3" s="1"/>
  <c r="R430" i="3"/>
  <c r="AR822" i="3"/>
  <c r="AS823" i="3"/>
  <c r="U428" i="3"/>
  <c r="U36" i="1"/>
  <c r="S37" i="1"/>
  <c r="T37" i="1" s="1"/>
  <c r="R40" i="1"/>
  <c r="AS819" i="1"/>
  <c r="AR818" i="1"/>
  <c r="AS824" i="3" l="1"/>
  <c r="AR823" i="3"/>
  <c r="U429" i="3"/>
  <c r="S430" i="3"/>
  <c r="T430" i="3" s="1"/>
  <c r="R431" i="3"/>
  <c r="U37" i="1"/>
  <c r="S38" i="1"/>
  <c r="T38" i="1" s="1"/>
  <c r="R41" i="1"/>
  <c r="AS820" i="1"/>
  <c r="AR819" i="1"/>
  <c r="AR824" i="3" l="1"/>
  <c r="AS825" i="3"/>
  <c r="U430" i="3"/>
  <c r="S431" i="3"/>
  <c r="T431" i="3" s="1"/>
  <c r="R432" i="3"/>
  <c r="U38" i="1"/>
  <c r="S39" i="1"/>
  <c r="T39" i="1" s="1"/>
  <c r="R42" i="1"/>
  <c r="AS821" i="1"/>
  <c r="AR820" i="1"/>
  <c r="U431" i="3" l="1"/>
  <c r="AR825" i="3"/>
  <c r="AS826" i="3"/>
  <c r="S432" i="3"/>
  <c r="T432" i="3" s="1"/>
  <c r="R433" i="3"/>
  <c r="U39" i="1"/>
  <c r="S40" i="1"/>
  <c r="T40" i="1" s="1"/>
  <c r="R43" i="1"/>
  <c r="AS822" i="1"/>
  <c r="AR821" i="1"/>
  <c r="U432" i="3" l="1"/>
  <c r="AS827" i="3"/>
  <c r="AR826" i="3"/>
  <c r="S433" i="3"/>
  <c r="T433" i="3" s="1"/>
  <c r="R434" i="3"/>
  <c r="U40" i="1"/>
  <c r="S41" i="1"/>
  <c r="T41" i="1" s="1"/>
  <c r="R44" i="1"/>
  <c r="AS823" i="1"/>
  <c r="AR822" i="1"/>
  <c r="AR827" i="3" l="1"/>
  <c r="AS828" i="3"/>
  <c r="U433" i="3"/>
  <c r="S434" i="3"/>
  <c r="T434" i="3" s="1"/>
  <c r="R435" i="3"/>
  <c r="U41" i="1"/>
  <c r="S42" i="1"/>
  <c r="T42" i="1" s="1"/>
  <c r="R45" i="1"/>
  <c r="AS824" i="1"/>
  <c r="AR823" i="1"/>
  <c r="U434" i="3" l="1"/>
  <c r="S435" i="3"/>
  <c r="T435" i="3" s="1"/>
  <c r="R436" i="3"/>
  <c r="AR828" i="3"/>
  <c r="AS829" i="3"/>
  <c r="U42" i="1"/>
  <c r="S43" i="1"/>
  <c r="T43" i="1" s="1"/>
  <c r="R46" i="1"/>
  <c r="AS825" i="1"/>
  <c r="AR824" i="1"/>
  <c r="S436" i="3" l="1"/>
  <c r="T436" i="3" s="1"/>
  <c r="R437" i="3"/>
  <c r="AR829" i="3"/>
  <c r="AS830" i="3"/>
  <c r="U435" i="3"/>
  <c r="U43" i="1"/>
  <c r="S44" i="1"/>
  <c r="T44" i="1" s="1"/>
  <c r="R47" i="1"/>
  <c r="AS826" i="1"/>
  <c r="AR825" i="1"/>
  <c r="U436" i="3" l="1"/>
  <c r="S437" i="3"/>
  <c r="T437" i="3" s="1"/>
  <c r="R438" i="3"/>
  <c r="AR830" i="3"/>
  <c r="AS831" i="3"/>
  <c r="U44" i="1"/>
  <c r="S45" i="1"/>
  <c r="T45" i="1" s="1"/>
  <c r="R48" i="1"/>
  <c r="AS827" i="1"/>
  <c r="AR826" i="1"/>
  <c r="S438" i="3" l="1"/>
  <c r="T438" i="3" s="1"/>
  <c r="R439" i="3"/>
  <c r="U437" i="3"/>
  <c r="AR831" i="3"/>
  <c r="AS832" i="3"/>
  <c r="U45" i="1"/>
  <c r="S46" i="1"/>
  <c r="T46" i="1" s="1"/>
  <c r="R49" i="1"/>
  <c r="AS828" i="1"/>
  <c r="AR827" i="1"/>
  <c r="AR832" i="3" l="1"/>
  <c r="AS833" i="3"/>
  <c r="U438" i="3"/>
  <c r="S439" i="3"/>
  <c r="T439" i="3" s="1"/>
  <c r="R440" i="3"/>
  <c r="U46" i="1"/>
  <c r="S47" i="1"/>
  <c r="T47" i="1" s="1"/>
  <c r="R50" i="1"/>
  <c r="AS829" i="1"/>
  <c r="AR828" i="1"/>
  <c r="U439" i="3" l="1"/>
  <c r="AR833" i="3"/>
  <c r="AS834" i="3"/>
  <c r="S440" i="3"/>
  <c r="T440" i="3" s="1"/>
  <c r="R441" i="3"/>
  <c r="U47" i="1"/>
  <c r="S48" i="1"/>
  <c r="T48" i="1" s="1"/>
  <c r="R51" i="1"/>
  <c r="AS830" i="1"/>
  <c r="AR829" i="1"/>
  <c r="AR834" i="3" l="1"/>
  <c r="AS835" i="3"/>
  <c r="U440" i="3"/>
  <c r="S441" i="3"/>
  <c r="T441" i="3" s="1"/>
  <c r="R442" i="3"/>
  <c r="U48" i="1"/>
  <c r="S49" i="1"/>
  <c r="T49" i="1" s="1"/>
  <c r="R52" i="1"/>
  <c r="AS831" i="1"/>
  <c r="AR830" i="1"/>
  <c r="AR835" i="3" l="1"/>
  <c r="AS836" i="3"/>
  <c r="S442" i="3"/>
  <c r="T442" i="3" s="1"/>
  <c r="R443" i="3"/>
  <c r="U441" i="3"/>
  <c r="U49" i="1"/>
  <c r="S50" i="1"/>
  <c r="T50" i="1" s="1"/>
  <c r="R53" i="1"/>
  <c r="AS832" i="1"/>
  <c r="AR831" i="1"/>
  <c r="U442" i="3" l="1"/>
  <c r="S443" i="3"/>
  <c r="T443" i="3" s="1"/>
  <c r="R444" i="3"/>
  <c r="AR836" i="3"/>
  <c r="AS837" i="3"/>
  <c r="U50" i="1"/>
  <c r="S51" i="1"/>
  <c r="T51" i="1" s="1"/>
  <c r="R54" i="1"/>
  <c r="AS833" i="1"/>
  <c r="AR832" i="1"/>
  <c r="U443" i="3" l="1"/>
  <c r="S444" i="3"/>
  <c r="T444" i="3" s="1"/>
  <c r="R445" i="3"/>
  <c r="AR837" i="3"/>
  <c r="AS838" i="3"/>
  <c r="U51" i="1"/>
  <c r="S52" i="1"/>
  <c r="T52" i="1" s="1"/>
  <c r="R55" i="1"/>
  <c r="AS834" i="1"/>
  <c r="AR833" i="1"/>
  <c r="U444" i="3" l="1"/>
  <c r="S445" i="3"/>
  <c r="T445" i="3" s="1"/>
  <c r="R446" i="3"/>
  <c r="AR838" i="3"/>
  <c r="AS839" i="3"/>
  <c r="U52" i="1"/>
  <c r="S53" i="1"/>
  <c r="T53" i="1" s="1"/>
  <c r="R56" i="1"/>
  <c r="AS835" i="1"/>
  <c r="AR834" i="1"/>
  <c r="S446" i="3" l="1"/>
  <c r="T446" i="3" s="1"/>
  <c r="R447" i="3"/>
  <c r="AR839" i="3"/>
  <c r="AS840" i="3"/>
  <c r="U445" i="3"/>
  <c r="U53" i="1"/>
  <c r="S54" i="1"/>
  <c r="T54" i="1" s="1"/>
  <c r="R57" i="1"/>
  <c r="AS836" i="1"/>
  <c r="AR835" i="1"/>
  <c r="S447" i="3" l="1"/>
  <c r="T447" i="3" s="1"/>
  <c r="R448" i="3"/>
  <c r="U446" i="3"/>
  <c r="AS841" i="3"/>
  <c r="AR840" i="3"/>
  <c r="U54" i="1"/>
  <c r="S55" i="1"/>
  <c r="T55" i="1" s="1"/>
  <c r="R58" i="1"/>
  <c r="AS837" i="1"/>
  <c r="AR836" i="1"/>
  <c r="AR841" i="3" l="1"/>
  <c r="AS842" i="3"/>
  <c r="U447" i="3"/>
  <c r="S448" i="3"/>
  <c r="T448" i="3" s="1"/>
  <c r="R449" i="3"/>
  <c r="U55" i="1"/>
  <c r="S56" i="1"/>
  <c r="T56" i="1" s="1"/>
  <c r="R59" i="1"/>
  <c r="AS838" i="1"/>
  <c r="AR837" i="1"/>
  <c r="S449" i="3" l="1"/>
  <c r="T449" i="3" s="1"/>
  <c r="R450" i="3"/>
  <c r="U448" i="3"/>
  <c r="AR842" i="3"/>
  <c r="AS843" i="3"/>
  <c r="U56" i="1"/>
  <c r="S57" i="1"/>
  <c r="T57" i="1" s="1"/>
  <c r="R60" i="1"/>
  <c r="AS839" i="1"/>
  <c r="AR838" i="1"/>
  <c r="AS844" i="3" l="1"/>
  <c r="AR843" i="3"/>
  <c r="U449" i="3"/>
  <c r="S450" i="3"/>
  <c r="T450" i="3" s="1"/>
  <c r="R451" i="3"/>
  <c r="U57" i="1"/>
  <c r="S58" i="1"/>
  <c r="T58" i="1" s="1"/>
  <c r="R61" i="1"/>
  <c r="AS840" i="1"/>
  <c r="AR839" i="1"/>
  <c r="AR844" i="3" l="1"/>
  <c r="AS845" i="3"/>
  <c r="S451" i="3"/>
  <c r="T451" i="3" s="1"/>
  <c r="R452" i="3"/>
  <c r="U450" i="3"/>
  <c r="U58" i="1"/>
  <c r="S59" i="1"/>
  <c r="T59" i="1" s="1"/>
  <c r="R62" i="1"/>
  <c r="AS841" i="1"/>
  <c r="AR840" i="1"/>
  <c r="AR845" i="3" l="1"/>
  <c r="AS846" i="3"/>
  <c r="U451" i="3"/>
  <c r="R453" i="3"/>
  <c r="S452" i="3"/>
  <c r="T452" i="3" s="1"/>
  <c r="U59" i="1"/>
  <c r="S60" i="1"/>
  <c r="T60" i="1" s="1"/>
  <c r="R63" i="1"/>
  <c r="AS842" i="1"/>
  <c r="AR841" i="1"/>
  <c r="S453" i="3" l="1"/>
  <c r="T453" i="3" s="1"/>
  <c r="R454" i="3"/>
  <c r="U452" i="3"/>
  <c r="AS847" i="3"/>
  <c r="AR846" i="3"/>
  <c r="U60" i="1"/>
  <c r="S61" i="1"/>
  <c r="T61" i="1" s="1"/>
  <c r="R64" i="1"/>
  <c r="AS843" i="1"/>
  <c r="AR842" i="1"/>
  <c r="U453" i="3" l="1"/>
  <c r="R455" i="3"/>
  <c r="S454" i="3"/>
  <c r="T454" i="3" s="1"/>
  <c r="AR847" i="3"/>
  <c r="AS848" i="3"/>
  <c r="U61" i="1"/>
  <c r="S62" i="1"/>
  <c r="T62" i="1" s="1"/>
  <c r="R65" i="1"/>
  <c r="AS844" i="1"/>
  <c r="AR843" i="1"/>
  <c r="S455" i="3" l="1"/>
  <c r="T455" i="3" s="1"/>
  <c r="R456" i="3"/>
  <c r="AR848" i="3"/>
  <c r="AS849" i="3"/>
  <c r="U454" i="3"/>
  <c r="U62" i="1"/>
  <c r="S63" i="1"/>
  <c r="T63" i="1" s="1"/>
  <c r="R66" i="1"/>
  <c r="AS845" i="1"/>
  <c r="AR844" i="1"/>
  <c r="R457" i="3" l="1"/>
  <c r="S456" i="3"/>
  <c r="T456" i="3" s="1"/>
  <c r="U455" i="3"/>
  <c r="AR849" i="3"/>
  <c r="AS850" i="3"/>
  <c r="U63" i="1"/>
  <c r="S64" i="1"/>
  <c r="T64" i="1" s="1"/>
  <c r="R67" i="1"/>
  <c r="AS846" i="1"/>
  <c r="AR845" i="1"/>
  <c r="U456" i="3" l="1"/>
  <c r="AR850" i="3"/>
  <c r="AS851" i="3"/>
  <c r="S457" i="3"/>
  <c r="T457" i="3" s="1"/>
  <c r="R458" i="3"/>
  <c r="U64" i="1"/>
  <c r="S65" i="1"/>
  <c r="T65" i="1" s="1"/>
  <c r="R68" i="1"/>
  <c r="AS847" i="1"/>
  <c r="AR846" i="1"/>
  <c r="S458" i="3" l="1"/>
  <c r="T458" i="3" s="1"/>
  <c r="R459" i="3"/>
  <c r="AR851" i="3"/>
  <c r="AS852" i="3"/>
  <c r="U457" i="3"/>
  <c r="U65" i="1"/>
  <c r="S66" i="1"/>
  <c r="T66" i="1" s="1"/>
  <c r="R69" i="1"/>
  <c r="AS848" i="1"/>
  <c r="AR847" i="1"/>
  <c r="AS853" i="3" l="1"/>
  <c r="AR852" i="3"/>
  <c r="S459" i="3"/>
  <c r="T459" i="3" s="1"/>
  <c r="R460" i="3"/>
  <c r="U458" i="3"/>
  <c r="U66" i="1"/>
  <c r="S67" i="1"/>
  <c r="T67" i="1" s="1"/>
  <c r="R70" i="1"/>
  <c r="AS849" i="1"/>
  <c r="AR848" i="1"/>
  <c r="S460" i="3" l="1"/>
  <c r="T460" i="3" s="1"/>
  <c r="R461" i="3"/>
  <c r="AR853" i="3"/>
  <c r="AS854" i="3"/>
  <c r="U459" i="3"/>
  <c r="U67" i="1"/>
  <c r="S68" i="1"/>
  <c r="T68" i="1" s="1"/>
  <c r="R71" i="1"/>
  <c r="AS850" i="1"/>
  <c r="AR849" i="1"/>
  <c r="S461" i="3" l="1"/>
  <c r="T461" i="3" s="1"/>
  <c r="R462" i="3"/>
  <c r="U460" i="3"/>
  <c r="AS855" i="3"/>
  <c r="AR854" i="3"/>
  <c r="U68" i="1"/>
  <c r="S69" i="1"/>
  <c r="T69" i="1" s="1"/>
  <c r="R72" i="1"/>
  <c r="AS851" i="1"/>
  <c r="AR850" i="1"/>
  <c r="U461" i="3" l="1"/>
  <c r="S462" i="3"/>
  <c r="T462" i="3" s="1"/>
  <c r="R463" i="3"/>
  <c r="AR855" i="3"/>
  <c r="AS856" i="3"/>
  <c r="U69" i="1"/>
  <c r="S70" i="1"/>
  <c r="T70" i="1" s="1"/>
  <c r="R73" i="1"/>
  <c r="AS852" i="1"/>
  <c r="AR851" i="1"/>
  <c r="AS857" i="3" l="1"/>
  <c r="AR856" i="3"/>
  <c r="U462" i="3"/>
  <c r="S463" i="3"/>
  <c r="T463" i="3" s="1"/>
  <c r="R464" i="3"/>
  <c r="U70" i="1"/>
  <c r="S71" i="1"/>
  <c r="T71" i="1" s="1"/>
  <c r="R74" i="1"/>
  <c r="AS853" i="1"/>
  <c r="AR852" i="1"/>
  <c r="S464" i="3" l="1"/>
  <c r="T464" i="3" s="1"/>
  <c r="R465" i="3"/>
  <c r="U463" i="3"/>
  <c r="AR857" i="3"/>
  <c r="AS858" i="3"/>
  <c r="U71" i="1"/>
  <c r="S72" i="1"/>
  <c r="T72" i="1" s="1"/>
  <c r="R75" i="1"/>
  <c r="AS854" i="1"/>
  <c r="AR853" i="1"/>
  <c r="U464" i="3" l="1"/>
  <c r="S465" i="3"/>
  <c r="T465" i="3" s="1"/>
  <c r="R466" i="3"/>
  <c r="AR858" i="3"/>
  <c r="AS859" i="3"/>
  <c r="U72" i="1"/>
  <c r="S73" i="1"/>
  <c r="T73" i="1" s="1"/>
  <c r="R76" i="1"/>
  <c r="AS855" i="1"/>
  <c r="AR854" i="1"/>
  <c r="S466" i="3" l="1"/>
  <c r="T466" i="3" s="1"/>
  <c r="R467" i="3"/>
  <c r="AS860" i="3"/>
  <c r="AR859" i="3"/>
  <c r="U465" i="3"/>
  <c r="U73" i="1"/>
  <c r="S74" i="1"/>
  <c r="T74" i="1" s="1"/>
  <c r="R77" i="1"/>
  <c r="AS856" i="1"/>
  <c r="AR855" i="1"/>
  <c r="S467" i="3" l="1"/>
  <c r="T467" i="3" s="1"/>
  <c r="R468" i="3"/>
  <c r="U466" i="3"/>
  <c r="AS861" i="3"/>
  <c r="AR860" i="3"/>
  <c r="U74" i="1"/>
  <c r="S75" i="1"/>
  <c r="T75" i="1" s="1"/>
  <c r="R78" i="1"/>
  <c r="AS857" i="1"/>
  <c r="AR856" i="1"/>
  <c r="AR861" i="3" l="1"/>
  <c r="AS862" i="3"/>
  <c r="U467" i="3"/>
  <c r="S468" i="3"/>
  <c r="T468" i="3" s="1"/>
  <c r="R469" i="3"/>
  <c r="U75" i="1"/>
  <c r="S76" i="1"/>
  <c r="T76" i="1" s="1"/>
  <c r="R79" i="1"/>
  <c r="AS858" i="1"/>
  <c r="AR857" i="1"/>
  <c r="S469" i="3" l="1"/>
  <c r="T469" i="3" s="1"/>
  <c r="R470" i="3"/>
  <c r="U468" i="3"/>
  <c r="AR862" i="3"/>
  <c r="AS863" i="3"/>
  <c r="U76" i="1"/>
  <c r="S77" i="1"/>
  <c r="T77" i="1" s="1"/>
  <c r="R80" i="1"/>
  <c r="AS859" i="1"/>
  <c r="AR858" i="1"/>
  <c r="AR863" i="3" l="1"/>
  <c r="AS864" i="3"/>
  <c r="U469" i="3"/>
  <c r="S470" i="3"/>
  <c r="T470" i="3" s="1"/>
  <c r="R471" i="3"/>
  <c r="U77" i="1"/>
  <c r="S78" i="1"/>
  <c r="T78" i="1" s="1"/>
  <c r="R81" i="1"/>
  <c r="AS860" i="1"/>
  <c r="AR859" i="1"/>
  <c r="U470" i="3" l="1"/>
  <c r="AS865" i="3"/>
  <c r="AR864" i="3"/>
  <c r="S471" i="3"/>
  <c r="T471" i="3" s="1"/>
  <c r="R472" i="3"/>
  <c r="U78" i="1"/>
  <c r="S79" i="1"/>
  <c r="T79" i="1" s="1"/>
  <c r="R82" i="1"/>
  <c r="AS861" i="1"/>
  <c r="AR860" i="1"/>
  <c r="AR865" i="3" l="1"/>
  <c r="AS866" i="3"/>
  <c r="S472" i="3"/>
  <c r="T472" i="3" s="1"/>
  <c r="R473" i="3"/>
  <c r="U471" i="3"/>
  <c r="U79" i="1"/>
  <c r="S80" i="1"/>
  <c r="T80" i="1" s="1"/>
  <c r="R83" i="1"/>
  <c r="AS862" i="1"/>
  <c r="AR861" i="1"/>
  <c r="U472" i="3" l="1"/>
  <c r="AR866" i="3"/>
  <c r="AS867" i="3"/>
  <c r="S473" i="3"/>
  <c r="T473" i="3" s="1"/>
  <c r="R474" i="3"/>
  <c r="U80" i="1"/>
  <c r="S81" i="1"/>
  <c r="T81" i="1" s="1"/>
  <c r="R84" i="1"/>
  <c r="AS863" i="1"/>
  <c r="AR862" i="1"/>
  <c r="AR867" i="3" l="1"/>
  <c r="AS868" i="3"/>
  <c r="S474" i="3"/>
  <c r="T474" i="3" s="1"/>
  <c r="R475" i="3"/>
  <c r="U473" i="3"/>
  <c r="U81" i="1"/>
  <c r="S82" i="1"/>
  <c r="T82" i="1" s="1"/>
  <c r="R85" i="1"/>
  <c r="AS864" i="1"/>
  <c r="AR863" i="1"/>
  <c r="U474" i="3" l="1"/>
  <c r="S475" i="3"/>
  <c r="T475" i="3" s="1"/>
  <c r="R476" i="3"/>
  <c r="AS869" i="3"/>
  <c r="AR868" i="3"/>
  <c r="U82" i="1"/>
  <c r="S83" i="1"/>
  <c r="T83" i="1" s="1"/>
  <c r="R86" i="1"/>
  <c r="AS865" i="1"/>
  <c r="AR864" i="1"/>
  <c r="AR869" i="3" l="1"/>
  <c r="AS870" i="3"/>
  <c r="S476" i="3"/>
  <c r="T476" i="3" s="1"/>
  <c r="R477" i="3"/>
  <c r="U475" i="3"/>
  <c r="U83" i="1"/>
  <c r="S84" i="1"/>
  <c r="T84" i="1" s="1"/>
  <c r="R87" i="1"/>
  <c r="AS866" i="1"/>
  <c r="AR865" i="1"/>
  <c r="S477" i="3" l="1"/>
  <c r="T477" i="3" s="1"/>
  <c r="R478" i="3"/>
  <c r="U476" i="3"/>
  <c r="AR870" i="3"/>
  <c r="AS871" i="3"/>
  <c r="U84" i="1"/>
  <c r="S85" i="1"/>
  <c r="T85" i="1" s="1"/>
  <c r="R88" i="1"/>
  <c r="AS867" i="1"/>
  <c r="AR866" i="1"/>
  <c r="U477" i="3" l="1"/>
  <c r="S478" i="3"/>
  <c r="T478" i="3" s="1"/>
  <c r="R479" i="3"/>
  <c r="AS872" i="3"/>
  <c r="AR871" i="3"/>
  <c r="U85" i="1"/>
  <c r="S86" i="1"/>
  <c r="T86" i="1" s="1"/>
  <c r="R89" i="1"/>
  <c r="AS868" i="1"/>
  <c r="AR867" i="1"/>
  <c r="AS873" i="3" l="1"/>
  <c r="AR872" i="3"/>
  <c r="S479" i="3"/>
  <c r="T479" i="3" s="1"/>
  <c r="R480" i="3"/>
  <c r="U478" i="3"/>
  <c r="U86" i="1"/>
  <c r="S87" i="1"/>
  <c r="T87" i="1" s="1"/>
  <c r="R90" i="1"/>
  <c r="AS869" i="1"/>
  <c r="AR868" i="1"/>
  <c r="AR873" i="3" l="1"/>
  <c r="AS874" i="3"/>
  <c r="U479" i="3"/>
  <c r="S480" i="3"/>
  <c r="T480" i="3" s="1"/>
  <c r="R481" i="3"/>
  <c r="U87" i="1"/>
  <c r="S88" i="1"/>
  <c r="T88" i="1" s="1"/>
  <c r="R91" i="1"/>
  <c r="AS870" i="1"/>
  <c r="AR869" i="1"/>
  <c r="S481" i="3" l="1"/>
  <c r="T481" i="3" s="1"/>
  <c r="R482" i="3"/>
  <c r="U480" i="3"/>
  <c r="AS875" i="3"/>
  <c r="AR874" i="3"/>
  <c r="U88" i="1"/>
  <c r="S89" i="1"/>
  <c r="T89" i="1" s="1"/>
  <c r="R92" i="1"/>
  <c r="AS871" i="1"/>
  <c r="AR870" i="1"/>
  <c r="AR875" i="3" l="1"/>
  <c r="AS876" i="3"/>
  <c r="S482" i="3"/>
  <c r="T482" i="3" s="1"/>
  <c r="R483" i="3"/>
  <c r="U481" i="3"/>
  <c r="U89" i="1"/>
  <c r="S90" i="1"/>
  <c r="T90" i="1" s="1"/>
  <c r="R93" i="1"/>
  <c r="AS872" i="1"/>
  <c r="AR871" i="1"/>
  <c r="U482" i="3" l="1"/>
  <c r="S483" i="3"/>
  <c r="T483" i="3" s="1"/>
  <c r="R484" i="3"/>
  <c r="AS877" i="3"/>
  <c r="AR876" i="3"/>
  <c r="U90" i="1"/>
  <c r="S91" i="1"/>
  <c r="T91" i="1" s="1"/>
  <c r="R94" i="1"/>
  <c r="AS873" i="1"/>
  <c r="AR872" i="1"/>
  <c r="AR877" i="3" l="1"/>
  <c r="AS878" i="3"/>
  <c r="U483" i="3"/>
  <c r="S484" i="3"/>
  <c r="T484" i="3" s="1"/>
  <c r="R485" i="3"/>
  <c r="U91" i="1"/>
  <c r="S92" i="1"/>
  <c r="T92" i="1" s="1"/>
  <c r="R95" i="1"/>
  <c r="AS874" i="1"/>
  <c r="AR873" i="1"/>
  <c r="U484" i="3" l="1"/>
  <c r="S485" i="3"/>
  <c r="T485" i="3" s="1"/>
  <c r="R486" i="3"/>
  <c r="AR878" i="3"/>
  <c r="AS879" i="3"/>
  <c r="U92" i="1"/>
  <c r="S93" i="1"/>
  <c r="T93" i="1" s="1"/>
  <c r="R96" i="1"/>
  <c r="AS875" i="1"/>
  <c r="AR874" i="1"/>
  <c r="U485" i="3" l="1"/>
  <c r="AS880" i="3"/>
  <c r="AR879" i="3"/>
  <c r="S486" i="3"/>
  <c r="T486" i="3" s="1"/>
  <c r="R487" i="3"/>
  <c r="U93" i="1"/>
  <c r="S94" i="1"/>
  <c r="T94" i="1" s="1"/>
  <c r="R97" i="1"/>
  <c r="AS876" i="1"/>
  <c r="AR875" i="1"/>
  <c r="S487" i="3" l="1"/>
  <c r="T487" i="3" s="1"/>
  <c r="R488" i="3"/>
  <c r="AS881" i="3"/>
  <c r="AR880" i="3"/>
  <c r="U486" i="3"/>
  <c r="U94" i="1"/>
  <c r="S95" i="1"/>
  <c r="T95" i="1" s="1"/>
  <c r="R98" i="1"/>
  <c r="AS877" i="1"/>
  <c r="AR876" i="1"/>
  <c r="AR881" i="3" l="1"/>
  <c r="AS882" i="3"/>
  <c r="S488" i="3"/>
  <c r="T488" i="3" s="1"/>
  <c r="R489" i="3"/>
  <c r="U487" i="3"/>
  <c r="U95" i="1"/>
  <c r="S96" i="1"/>
  <c r="T96" i="1" s="1"/>
  <c r="R99" i="1"/>
  <c r="AS878" i="1"/>
  <c r="AR877" i="1"/>
  <c r="S489" i="3" l="1"/>
  <c r="T489" i="3" s="1"/>
  <c r="R490" i="3"/>
  <c r="U488" i="3"/>
  <c r="AR882" i="3"/>
  <c r="AS883" i="3"/>
  <c r="U96" i="1"/>
  <c r="S97" i="1"/>
  <c r="T97" i="1" s="1"/>
  <c r="R100" i="1"/>
  <c r="AS879" i="1"/>
  <c r="AR878" i="1"/>
  <c r="S490" i="3" l="1"/>
  <c r="T490" i="3" s="1"/>
  <c r="R491" i="3"/>
  <c r="AR883" i="3"/>
  <c r="AS884" i="3"/>
  <c r="U489" i="3"/>
  <c r="U97" i="1"/>
  <c r="S98" i="1"/>
  <c r="T98" i="1" s="1"/>
  <c r="R101" i="1"/>
  <c r="AS880" i="1"/>
  <c r="AR879" i="1"/>
  <c r="U490" i="3" l="1"/>
  <c r="AS885" i="3"/>
  <c r="AR884" i="3"/>
  <c r="S491" i="3"/>
  <c r="T491" i="3" s="1"/>
  <c r="R492" i="3"/>
  <c r="U98" i="1"/>
  <c r="S99" i="1"/>
  <c r="T99" i="1" s="1"/>
  <c r="R102" i="1"/>
  <c r="AS881" i="1"/>
  <c r="AR880" i="1"/>
  <c r="AR885" i="3" l="1"/>
  <c r="AS886" i="3"/>
  <c r="U491" i="3"/>
  <c r="S492" i="3"/>
  <c r="T492" i="3" s="1"/>
  <c r="R493" i="3"/>
  <c r="U99" i="1"/>
  <c r="S100" i="1"/>
  <c r="T100" i="1" s="1"/>
  <c r="R103" i="1"/>
  <c r="AS882" i="1"/>
  <c r="AR881" i="1"/>
  <c r="S493" i="3" l="1"/>
  <c r="T493" i="3" s="1"/>
  <c r="R494" i="3"/>
  <c r="U492" i="3"/>
  <c r="AS887" i="3"/>
  <c r="AR886" i="3"/>
  <c r="U100" i="1"/>
  <c r="S101" i="1"/>
  <c r="T101" i="1" s="1"/>
  <c r="R104" i="1"/>
  <c r="AS883" i="1"/>
  <c r="AR882" i="1"/>
  <c r="U493" i="3" l="1"/>
  <c r="S494" i="3"/>
  <c r="T494" i="3" s="1"/>
  <c r="R495" i="3"/>
  <c r="AR887" i="3"/>
  <c r="AS888" i="3"/>
  <c r="U101" i="1"/>
  <c r="S102" i="1"/>
  <c r="T102" i="1" s="1"/>
  <c r="R105" i="1"/>
  <c r="AS884" i="1"/>
  <c r="AR883" i="1"/>
  <c r="S495" i="3" l="1"/>
  <c r="T495" i="3" s="1"/>
  <c r="R496" i="3"/>
  <c r="AS889" i="3"/>
  <c r="AR888" i="3"/>
  <c r="U494" i="3"/>
  <c r="U102" i="1"/>
  <c r="S103" i="1"/>
  <c r="T103" i="1" s="1"/>
  <c r="R106" i="1"/>
  <c r="AS885" i="1"/>
  <c r="AR884" i="1"/>
  <c r="S496" i="3" l="1"/>
  <c r="T496" i="3" s="1"/>
  <c r="R497" i="3"/>
  <c r="U495" i="3"/>
  <c r="AR889" i="3"/>
  <c r="AS890" i="3"/>
  <c r="U103" i="1"/>
  <c r="S104" i="1"/>
  <c r="T104" i="1" s="1"/>
  <c r="R107" i="1"/>
  <c r="AS886" i="1"/>
  <c r="AR885" i="1"/>
  <c r="AR890" i="3" l="1"/>
  <c r="AS891" i="3"/>
  <c r="U496" i="3"/>
  <c r="S497" i="3"/>
  <c r="T497" i="3" s="1"/>
  <c r="R498" i="3"/>
  <c r="U104" i="1"/>
  <c r="S105" i="1"/>
  <c r="T105" i="1" s="1"/>
  <c r="R108" i="1"/>
  <c r="AS887" i="1"/>
  <c r="AR886" i="1"/>
  <c r="S498" i="3" l="1"/>
  <c r="T498" i="3" s="1"/>
  <c r="R499" i="3"/>
  <c r="U497" i="3"/>
  <c r="AS892" i="3"/>
  <c r="AR891" i="3"/>
  <c r="U105" i="1"/>
  <c r="S106" i="1"/>
  <c r="T106" i="1" s="1"/>
  <c r="R109" i="1"/>
  <c r="AS888" i="1"/>
  <c r="AR887" i="1"/>
  <c r="U498" i="3" l="1"/>
  <c r="S499" i="3"/>
  <c r="T499" i="3" s="1"/>
  <c r="R500" i="3"/>
  <c r="AS893" i="3"/>
  <c r="AR892" i="3"/>
  <c r="U106" i="1"/>
  <c r="S107" i="1"/>
  <c r="T107" i="1" s="1"/>
  <c r="R110" i="1"/>
  <c r="AS889" i="1"/>
  <c r="AR888" i="1"/>
  <c r="AR893" i="3" l="1"/>
  <c r="AS894" i="3"/>
  <c r="S500" i="3"/>
  <c r="T500" i="3" s="1"/>
  <c r="R501" i="3"/>
  <c r="U499" i="3"/>
  <c r="U107" i="1"/>
  <c r="S108" i="1"/>
  <c r="T108" i="1" s="1"/>
  <c r="R111" i="1"/>
  <c r="AS890" i="1"/>
  <c r="AR889" i="1"/>
  <c r="U500" i="3" l="1"/>
  <c r="S501" i="3"/>
  <c r="T501" i="3" s="1"/>
  <c r="R502" i="3"/>
  <c r="AR894" i="3"/>
  <c r="AS895" i="3"/>
  <c r="U108" i="1"/>
  <c r="S109" i="1"/>
  <c r="T109" i="1" s="1"/>
  <c r="R112" i="1"/>
  <c r="AS891" i="1"/>
  <c r="AR890" i="1"/>
  <c r="S502" i="3" l="1"/>
  <c r="T502" i="3" s="1"/>
  <c r="R503" i="3"/>
  <c r="U501" i="3"/>
  <c r="AR895" i="3"/>
  <c r="AS896" i="3"/>
  <c r="U109" i="1"/>
  <c r="S110" i="1"/>
  <c r="T110" i="1" s="1"/>
  <c r="R113" i="1"/>
  <c r="AS892" i="1"/>
  <c r="AR891" i="1"/>
  <c r="AS897" i="3" l="1"/>
  <c r="AR896" i="3"/>
  <c r="U502" i="3"/>
  <c r="S503" i="3"/>
  <c r="T503" i="3" s="1"/>
  <c r="R504" i="3"/>
  <c r="U110" i="1"/>
  <c r="S111" i="1"/>
  <c r="T111" i="1" s="1"/>
  <c r="R114" i="1"/>
  <c r="AS893" i="1"/>
  <c r="AR892" i="1"/>
  <c r="U503" i="3" l="1"/>
  <c r="AR897" i="3"/>
  <c r="AS898" i="3"/>
  <c r="R505" i="3"/>
  <c r="S504" i="3"/>
  <c r="T504" i="3" s="1"/>
  <c r="U111" i="1"/>
  <c r="S112" i="1"/>
  <c r="T112" i="1" s="1"/>
  <c r="R115" i="1"/>
  <c r="AS894" i="1"/>
  <c r="AR893" i="1"/>
  <c r="AR898" i="3" l="1"/>
  <c r="AS899" i="3"/>
  <c r="S505" i="3"/>
  <c r="T505" i="3" s="1"/>
  <c r="R506" i="3"/>
  <c r="U504" i="3"/>
  <c r="U112" i="1"/>
  <c r="S113" i="1"/>
  <c r="T113" i="1" s="1"/>
  <c r="R116" i="1"/>
  <c r="AS895" i="1"/>
  <c r="AR894" i="1"/>
  <c r="S506" i="3" l="1"/>
  <c r="T506" i="3" s="1"/>
  <c r="R507" i="3"/>
  <c r="AR899" i="3"/>
  <c r="AS900" i="3"/>
  <c r="U505" i="3"/>
  <c r="U113" i="1"/>
  <c r="S114" i="1"/>
  <c r="T114" i="1" s="1"/>
  <c r="R117" i="1"/>
  <c r="AS896" i="1"/>
  <c r="AR895" i="1"/>
  <c r="S507" i="3" l="1"/>
  <c r="T507" i="3" s="1"/>
  <c r="R508" i="3"/>
  <c r="U506" i="3"/>
  <c r="AS901" i="3"/>
  <c r="AR900" i="3"/>
  <c r="U114" i="1"/>
  <c r="S115" i="1"/>
  <c r="T115" i="1" s="1"/>
  <c r="R118" i="1"/>
  <c r="AS897" i="1"/>
  <c r="AR896" i="1"/>
  <c r="R509" i="3" l="1"/>
  <c r="S508" i="3"/>
  <c r="T508" i="3" s="1"/>
  <c r="AR901" i="3"/>
  <c r="AS902" i="3"/>
  <c r="U507" i="3"/>
  <c r="U115" i="1"/>
  <c r="S116" i="1"/>
  <c r="T116" i="1" s="1"/>
  <c r="R119" i="1"/>
  <c r="AS898" i="1"/>
  <c r="AR897" i="1"/>
  <c r="U508" i="3" l="1"/>
  <c r="AR902" i="3"/>
  <c r="AS903" i="3"/>
  <c r="S509" i="3"/>
  <c r="T509" i="3" s="1"/>
  <c r="R510" i="3"/>
  <c r="U116" i="1"/>
  <c r="S117" i="1"/>
  <c r="T117" i="1" s="1"/>
  <c r="R120" i="1"/>
  <c r="AS899" i="1"/>
  <c r="AR898" i="1"/>
  <c r="AS904" i="3" l="1"/>
  <c r="AR903" i="3"/>
  <c r="U509" i="3"/>
  <c r="S510" i="3"/>
  <c r="T510" i="3" s="1"/>
  <c r="R511" i="3"/>
  <c r="U117" i="1"/>
  <c r="S118" i="1"/>
  <c r="T118" i="1" s="1"/>
  <c r="R121" i="1"/>
  <c r="AS900" i="1"/>
  <c r="AR899" i="1"/>
  <c r="U510" i="3" l="1"/>
  <c r="S511" i="3"/>
  <c r="T511" i="3" s="1"/>
  <c r="R512" i="3"/>
  <c r="AS905" i="3"/>
  <c r="AR904" i="3"/>
  <c r="U118" i="1"/>
  <c r="S119" i="1"/>
  <c r="T119" i="1" s="1"/>
  <c r="R122" i="1"/>
  <c r="AS901" i="1"/>
  <c r="AR900" i="1"/>
  <c r="U511" i="3" l="1"/>
  <c r="AR905" i="3"/>
  <c r="AS906" i="3"/>
  <c r="R513" i="3"/>
  <c r="S512" i="3"/>
  <c r="T512" i="3" s="1"/>
  <c r="U119" i="1"/>
  <c r="S120" i="1"/>
  <c r="T120" i="1" s="1"/>
  <c r="R123" i="1"/>
  <c r="AS902" i="1"/>
  <c r="AR901" i="1"/>
  <c r="R514" i="3" l="1"/>
  <c r="S513" i="3"/>
  <c r="T513" i="3" s="1"/>
  <c r="AS907" i="3"/>
  <c r="AR906" i="3"/>
  <c r="U512" i="3"/>
  <c r="U120" i="1"/>
  <c r="S121" i="1"/>
  <c r="T121" i="1" s="1"/>
  <c r="R124" i="1"/>
  <c r="AS903" i="1"/>
  <c r="AR902" i="1"/>
  <c r="U513" i="3" l="1"/>
  <c r="AR907" i="3"/>
  <c r="AS908" i="3"/>
  <c r="S514" i="3"/>
  <c r="T514" i="3" s="1"/>
  <c r="R515" i="3"/>
  <c r="U121" i="1"/>
  <c r="S122" i="1"/>
  <c r="T122" i="1" s="1"/>
  <c r="R125" i="1"/>
  <c r="AS904" i="1"/>
  <c r="AR903" i="1"/>
  <c r="AS909" i="3" l="1"/>
  <c r="AR908" i="3"/>
  <c r="S515" i="3"/>
  <c r="T515" i="3" s="1"/>
  <c r="R516" i="3"/>
  <c r="U514" i="3"/>
  <c r="U122" i="1"/>
  <c r="S123" i="1"/>
  <c r="T123" i="1" s="1"/>
  <c r="R126" i="1"/>
  <c r="AS905" i="1"/>
  <c r="AR904" i="1"/>
  <c r="U515" i="3" l="1"/>
  <c r="R517" i="3"/>
  <c r="S516" i="3"/>
  <c r="T516" i="3" s="1"/>
  <c r="AR909" i="3"/>
  <c r="AS910" i="3"/>
  <c r="U123" i="1"/>
  <c r="S124" i="1"/>
  <c r="T124" i="1" s="1"/>
  <c r="R127" i="1"/>
  <c r="AS906" i="1"/>
  <c r="AR905" i="1"/>
  <c r="AR910" i="3" l="1"/>
  <c r="AS911" i="3"/>
  <c r="S517" i="3"/>
  <c r="T517" i="3" s="1"/>
  <c r="R518" i="3"/>
  <c r="U516" i="3"/>
  <c r="U124" i="1"/>
  <c r="S125" i="1"/>
  <c r="T125" i="1" s="1"/>
  <c r="R128" i="1"/>
  <c r="AS907" i="1"/>
  <c r="AR906" i="1"/>
  <c r="U517" i="3" l="1"/>
  <c r="AS912" i="3"/>
  <c r="AR911" i="3"/>
  <c r="R519" i="3"/>
  <c r="S518" i="3"/>
  <c r="T518" i="3" s="1"/>
  <c r="U125" i="1"/>
  <c r="S126" i="1"/>
  <c r="T126" i="1" s="1"/>
  <c r="R129" i="1"/>
  <c r="AS908" i="1"/>
  <c r="AR907" i="1"/>
  <c r="U518" i="3" l="1"/>
  <c r="AR912" i="3"/>
  <c r="AS913" i="3"/>
  <c r="S519" i="3"/>
  <c r="T519" i="3" s="1"/>
  <c r="R520" i="3"/>
  <c r="U126" i="1"/>
  <c r="S127" i="1"/>
  <c r="T127" i="1" s="1"/>
  <c r="R130" i="1"/>
  <c r="AS909" i="1"/>
  <c r="AR908" i="1"/>
  <c r="AR913" i="3" l="1"/>
  <c r="AS914" i="3"/>
  <c r="R521" i="3"/>
  <c r="S520" i="3"/>
  <c r="T520" i="3" s="1"/>
  <c r="U519" i="3"/>
  <c r="U127" i="1"/>
  <c r="S128" i="1"/>
  <c r="T128" i="1" s="1"/>
  <c r="R131" i="1"/>
  <c r="AS910" i="1"/>
  <c r="AR909" i="1"/>
  <c r="AR914" i="3" l="1"/>
  <c r="AS915" i="3"/>
  <c r="S521" i="3"/>
  <c r="T521" i="3" s="1"/>
  <c r="R522" i="3"/>
  <c r="U520" i="3"/>
  <c r="U128" i="1"/>
  <c r="S129" i="1"/>
  <c r="T129" i="1" s="1"/>
  <c r="R132" i="1"/>
  <c r="AS911" i="1"/>
  <c r="AR910" i="1"/>
  <c r="S522" i="3" l="1"/>
  <c r="T522" i="3" s="1"/>
  <c r="R523" i="3"/>
  <c r="AR915" i="3"/>
  <c r="AS916" i="3"/>
  <c r="U521" i="3"/>
  <c r="U129" i="1"/>
  <c r="S130" i="1"/>
  <c r="T130" i="1" s="1"/>
  <c r="R133" i="1"/>
  <c r="AS912" i="1"/>
  <c r="AR911" i="1"/>
  <c r="AS917" i="3" l="1"/>
  <c r="AR916" i="3"/>
  <c r="S523" i="3"/>
  <c r="T523" i="3" s="1"/>
  <c r="R524" i="3"/>
  <c r="U522" i="3"/>
  <c r="U130" i="1"/>
  <c r="S131" i="1"/>
  <c r="T131" i="1" s="1"/>
  <c r="R134" i="1"/>
  <c r="AS913" i="1"/>
  <c r="AR912" i="1"/>
  <c r="U523" i="3" l="1"/>
  <c r="R525" i="3"/>
  <c r="S524" i="3"/>
  <c r="T524" i="3" s="1"/>
  <c r="AR917" i="3"/>
  <c r="AS918" i="3"/>
  <c r="U131" i="1"/>
  <c r="S132" i="1"/>
  <c r="T132" i="1" s="1"/>
  <c r="R135" i="1"/>
  <c r="AS914" i="1"/>
  <c r="AR913" i="1"/>
  <c r="S525" i="3" l="1"/>
  <c r="T525" i="3" s="1"/>
  <c r="R526" i="3"/>
  <c r="U524" i="3"/>
  <c r="AR918" i="3"/>
  <c r="AS919" i="3"/>
  <c r="U132" i="1"/>
  <c r="S133" i="1"/>
  <c r="T133" i="1" s="1"/>
  <c r="R136" i="1"/>
  <c r="AS915" i="1"/>
  <c r="AR914" i="1"/>
  <c r="AR919" i="3" l="1"/>
  <c r="AS920" i="3"/>
  <c r="U525" i="3"/>
  <c r="S526" i="3"/>
  <c r="T526" i="3" s="1"/>
  <c r="R527" i="3"/>
  <c r="U133" i="1"/>
  <c r="S134" i="1"/>
  <c r="T134" i="1" s="1"/>
  <c r="R137" i="1"/>
  <c r="AS916" i="1"/>
  <c r="AR915" i="1"/>
  <c r="S527" i="3" l="1"/>
  <c r="T527" i="3" s="1"/>
  <c r="R528" i="3"/>
  <c r="U526" i="3"/>
  <c r="AS921" i="3"/>
  <c r="AR920" i="3"/>
  <c r="U134" i="1"/>
  <c r="S135" i="1"/>
  <c r="T135" i="1" s="1"/>
  <c r="R138" i="1"/>
  <c r="AS917" i="1"/>
  <c r="AR916" i="1"/>
  <c r="U527" i="3" l="1"/>
  <c r="AR921" i="3"/>
  <c r="AS922" i="3"/>
  <c r="R529" i="3"/>
  <c r="S528" i="3"/>
  <c r="T528" i="3" s="1"/>
  <c r="U135" i="1"/>
  <c r="S136" i="1"/>
  <c r="T136" i="1" s="1"/>
  <c r="R139" i="1"/>
  <c r="AS918" i="1"/>
  <c r="AR917" i="1"/>
  <c r="U528" i="3" l="1"/>
  <c r="AR922" i="3"/>
  <c r="AS923" i="3"/>
  <c r="S529" i="3"/>
  <c r="T529" i="3" s="1"/>
  <c r="R530" i="3"/>
  <c r="U136" i="1"/>
  <c r="S137" i="1"/>
  <c r="T137" i="1" s="1"/>
  <c r="R140" i="1"/>
  <c r="AS919" i="1"/>
  <c r="AR918" i="1"/>
  <c r="AS924" i="3" l="1"/>
  <c r="AR923" i="3"/>
  <c r="S530" i="3"/>
  <c r="T530" i="3" s="1"/>
  <c r="R531" i="3"/>
  <c r="U529" i="3"/>
  <c r="U137" i="1"/>
  <c r="S138" i="1"/>
  <c r="T138" i="1" s="1"/>
  <c r="R141" i="1"/>
  <c r="AS920" i="1"/>
  <c r="AR919" i="1"/>
  <c r="AR924" i="3" l="1"/>
  <c r="AS925" i="3"/>
  <c r="S531" i="3"/>
  <c r="T531" i="3" s="1"/>
  <c r="R532" i="3"/>
  <c r="U530" i="3"/>
  <c r="U138" i="1"/>
  <c r="S139" i="1"/>
  <c r="T139" i="1" s="1"/>
  <c r="R142" i="1"/>
  <c r="AS921" i="1"/>
  <c r="AR920" i="1"/>
  <c r="R533" i="3" l="1"/>
  <c r="S532" i="3"/>
  <c r="T532" i="3" s="1"/>
  <c r="AR925" i="3"/>
  <c r="AS926" i="3"/>
  <c r="U531" i="3"/>
  <c r="U139" i="1"/>
  <c r="S140" i="1"/>
  <c r="T140" i="1" s="1"/>
  <c r="R143" i="1"/>
  <c r="AS922" i="1"/>
  <c r="AR921" i="1"/>
  <c r="AR926" i="3" l="1"/>
  <c r="AS927" i="3"/>
  <c r="R534" i="3"/>
  <c r="S533" i="3"/>
  <c r="T533" i="3" s="1"/>
  <c r="U532" i="3"/>
  <c r="U140" i="1"/>
  <c r="S141" i="1"/>
  <c r="T141" i="1" s="1"/>
  <c r="R144" i="1"/>
  <c r="AS923" i="1"/>
  <c r="AR922" i="1"/>
  <c r="U533" i="3" l="1"/>
  <c r="S534" i="3"/>
  <c r="T534" i="3" s="1"/>
  <c r="R535" i="3"/>
  <c r="AS928" i="3"/>
  <c r="AR927" i="3"/>
  <c r="U141" i="1"/>
  <c r="S142" i="1"/>
  <c r="T142" i="1" s="1"/>
  <c r="R145" i="1"/>
  <c r="AS924" i="1"/>
  <c r="AR923" i="1"/>
  <c r="S535" i="3" l="1"/>
  <c r="T535" i="3" s="1"/>
  <c r="R536" i="3"/>
  <c r="AR928" i="3"/>
  <c r="AS929" i="3"/>
  <c r="U534" i="3"/>
  <c r="U142" i="1"/>
  <c r="S143" i="1"/>
  <c r="T143" i="1" s="1"/>
  <c r="R146" i="1"/>
  <c r="AS925" i="1"/>
  <c r="AR924" i="1"/>
  <c r="AR929" i="3" l="1"/>
  <c r="AS930" i="3"/>
  <c r="U535" i="3"/>
  <c r="R537" i="3"/>
  <c r="S536" i="3"/>
  <c r="T536" i="3" s="1"/>
  <c r="U143" i="1"/>
  <c r="S144" i="1"/>
  <c r="T144" i="1" s="1"/>
  <c r="R147" i="1"/>
  <c r="AS926" i="1"/>
  <c r="AR925" i="1"/>
  <c r="U536" i="3" l="1"/>
  <c r="AR930" i="3"/>
  <c r="AS931" i="3"/>
  <c r="S537" i="3"/>
  <c r="T537" i="3" s="1"/>
  <c r="R538" i="3"/>
  <c r="U144" i="1"/>
  <c r="S145" i="1"/>
  <c r="T145" i="1" s="1"/>
  <c r="R148" i="1"/>
  <c r="AS927" i="1"/>
  <c r="AR926" i="1"/>
  <c r="AS932" i="3" l="1"/>
  <c r="AR931" i="3"/>
  <c r="S538" i="3"/>
  <c r="T538" i="3" s="1"/>
  <c r="R539" i="3"/>
  <c r="U537" i="3"/>
  <c r="U145" i="1"/>
  <c r="S146" i="1"/>
  <c r="T146" i="1" s="1"/>
  <c r="R149" i="1"/>
  <c r="AS928" i="1"/>
  <c r="AR927" i="1"/>
  <c r="AR932" i="3" l="1"/>
  <c r="AS933" i="3"/>
  <c r="U538" i="3"/>
  <c r="S539" i="3"/>
  <c r="T539" i="3" s="1"/>
  <c r="R540" i="3"/>
  <c r="U146" i="1"/>
  <c r="S147" i="1"/>
  <c r="T147" i="1" s="1"/>
  <c r="R150" i="1"/>
  <c r="AS929" i="1"/>
  <c r="AR928" i="1"/>
  <c r="U539" i="3" l="1"/>
  <c r="R541" i="3"/>
  <c r="S540" i="3"/>
  <c r="T540" i="3" s="1"/>
  <c r="AR933" i="3"/>
  <c r="AS934" i="3"/>
  <c r="U147" i="1"/>
  <c r="S148" i="1"/>
  <c r="T148" i="1" s="1"/>
  <c r="R151" i="1"/>
  <c r="AS930" i="1"/>
  <c r="AR929" i="1"/>
  <c r="R542" i="3" l="1"/>
  <c r="S541" i="3"/>
  <c r="T541" i="3" s="1"/>
  <c r="AR934" i="3"/>
  <c r="AS935" i="3"/>
  <c r="U540" i="3"/>
  <c r="U148" i="1"/>
  <c r="S149" i="1"/>
  <c r="T149" i="1" s="1"/>
  <c r="R152" i="1"/>
  <c r="AS931" i="1"/>
  <c r="AR930" i="1"/>
  <c r="AR935" i="3" l="1"/>
  <c r="AS936" i="3"/>
  <c r="U541" i="3"/>
  <c r="S542" i="3"/>
  <c r="T542" i="3" s="1"/>
  <c r="R543" i="3"/>
  <c r="U149" i="1"/>
  <c r="S150" i="1"/>
  <c r="T150" i="1" s="1"/>
  <c r="R153" i="1"/>
  <c r="AS932" i="1"/>
  <c r="AR931" i="1"/>
  <c r="AS937" i="3" l="1"/>
  <c r="AR936" i="3"/>
  <c r="S543" i="3"/>
  <c r="T543" i="3" s="1"/>
  <c r="R544" i="3"/>
  <c r="U542" i="3"/>
  <c r="U150" i="1"/>
  <c r="S151" i="1"/>
  <c r="T151" i="1" s="1"/>
  <c r="R154" i="1"/>
  <c r="AS933" i="1"/>
  <c r="AR932" i="1"/>
  <c r="U543" i="3" l="1"/>
  <c r="R545" i="3"/>
  <c r="S544" i="3"/>
  <c r="T544" i="3" s="1"/>
  <c r="AR937" i="3"/>
  <c r="AS938" i="3"/>
  <c r="U151" i="1"/>
  <c r="S152" i="1"/>
  <c r="T152" i="1" s="1"/>
  <c r="R155" i="1"/>
  <c r="AS934" i="1"/>
  <c r="AR933" i="1"/>
  <c r="R546" i="3" l="1"/>
  <c r="S545" i="3"/>
  <c r="T545" i="3" s="1"/>
  <c r="AR938" i="3"/>
  <c r="AS939" i="3"/>
  <c r="U544" i="3"/>
  <c r="U152" i="1"/>
  <c r="S153" i="1"/>
  <c r="T153" i="1" s="1"/>
  <c r="R156" i="1"/>
  <c r="AS935" i="1"/>
  <c r="AR934" i="1"/>
  <c r="U545" i="3" l="1"/>
  <c r="AR939" i="3"/>
  <c r="AS940" i="3"/>
  <c r="S546" i="3"/>
  <c r="T546" i="3" s="1"/>
  <c r="R547" i="3"/>
  <c r="U153" i="1"/>
  <c r="S154" i="1"/>
  <c r="T154" i="1" s="1"/>
  <c r="R157" i="1"/>
  <c r="AS936" i="1"/>
  <c r="AR935" i="1"/>
  <c r="S547" i="3" l="1"/>
  <c r="T547" i="3" s="1"/>
  <c r="R548" i="3"/>
  <c r="AS941" i="3"/>
  <c r="AR940" i="3"/>
  <c r="U546" i="3"/>
  <c r="U154" i="1"/>
  <c r="S155" i="1"/>
  <c r="T155" i="1" s="1"/>
  <c r="R158" i="1"/>
  <c r="AS937" i="1"/>
  <c r="AR936" i="1"/>
  <c r="U547" i="3" l="1"/>
  <c r="AR941" i="3"/>
  <c r="AS942" i="3"/>
  <c r="R549" i="3"/>
  <c r="S548" i="3"/>
  <c r="T548" i="3" s="1"/>
  <c r="U155" i="1"/>
  <c r="S156" i="1"/>
  <c r="T156" i="1" s="1"/>
  <c r="R159" i="1"/>
  <c r="AS938" i="1"/>
  <c r="AR937" i="1"/>
  <c r="AR942" i="3" l="1"/>
  <c r="AS943" i="3"/>
  <c r="R550" i="3"/>
  <c r="S549" i="3"/>
  <c r="T549" i="3" s="1"/>
  <c r="U548" i="3"/>
  <c r="U156" i="1"/>
  <c r="S157" i="1"/>
  <c r="T157" i="1" s="1"/>
  <c r="R160" i="1"/>
  <c r="AS939" i="1"/>
  <c r="AR938" i="1"/>
  <c r="U549" i="3" l="1"/>
  <c r="R551" i="3"/>
  <c r="S550" i="3"/>
  <c r="T550" i="3" s="1"/>
  <c r="AS944" i="3"/>
  <c r="AR943" i="3"/>
  <c r="U157" i="1"/>
  <c r="S158" i="1"/>
  <c r="T158" i="1" s="1"/>
  <c r="R161" i="1"/>
  <c r="AS940" i="1"/>
  <c r="AR939" i="1"/>
  <c r="U550" i="3" l="1"/>
  <c r="AR944" i="3"/>
  <c r="AS945" i="3"/>
  <c r="S551" i="3"/>
  <c r="T551" i="3" s="1"/>
  <c r="R552" i="3"/>
  <c r="U158" i="1"/>
  <c r="S159" i="1"/>
  <c r="T159" i="1" s="1"/>
  <c r="R162" i="1"/>
  <c r="AS941" i="1"/>
  <c r="AR940" i="1"/>
  <c r="S552" i="3" l="1"/>
  <c r="T552" i="3" s="1"/>
  <c r="R553" i="3"/>
  <c r="AR945" i="3"/>
  <c r="AS946" i="3"/>
  <c r="U551" i="3"/>
  <c r="U159" i="1"/>
  <c r="S160" i="1"/>
  <c r="T160" i="1" s="1"/>
  <c r="R163" i="1"/>
  <c r="AS942" i="1"/>
  <c r="AR941" i="1"/>
  <c r="AR946" i="3" l="1"/>
  <c r="AS947" i="3"/>
  <c r="R554" i="3"/>
  <c r="S553" i="3"/>
  <c r="T553" i="3" s="1"/>
  <c r="U552" i="3"/>
  <c r="U160" i="1"/>
  <c r="S161" i="1"/>
  <c r="T161" i="1" s="1"/>
  <c r="R164" i="1"/>
  <c r="AS943" i="1"/>
  <c r="AR942" i="1"/>
  <c r="U553" i="3" l="1"/>
  <c r="R555" i="3"/>
  <c r="S554" i="3"/>
  <c r="T554" i="3" s="1"/>
  <c r="AS948" i="3"/>
  <c r="AR947" i="3"/>
  <c r="U161" i="1"/>
  <c r="S162" i="1"/>
  <c r="T162" i="1" s="1"/>
  <c r="R165" i="1"/>
  <c r="AS944" i="1"/>
  <c r="AR943" i="1"/>
  <c r="U554" i="3" l="1"/>
  <c r="S555" i="3"/>
  <c r="T555" i="3" s="1"/>
  <c r="R556" i="3"/>
  <c r="AR948" i="3"/>
  <c r="AS949" i="3"/>
  <c r="U162" i="1"/>
  <c r="S163" i="1"/>
  <c r="T163" i="1" s="1"/>
  <c r="R166" i="1"/>
  <c r="AS945" i="1"/>
  <c r="AR944" i="1"/>
  <c r="AR949" i="3" l="1"/>
  <c r="AS950" i="3"/>
  <c r="R557" i="3"/>
  <c r="S556" i="3"/>
  <c r="T556" i="3" s="1"/>
  <c r="U555" i="3"/>
  <c r="U163" i="1"/>
  <c r="S164" i="1"/>
  <c r="T164" i="1" s="1"/>
  <c r="R167" i="1"/>
  <c r="AS946" i="1"/>
  <c r="AR945" i="1"/>
  <c r="R558" i="3" l="1"/>
  <c r="S557" i="3"/>
  <c r="T557" i="3" s="1"/>
  <c r="AR950" i="3"/>
  <c r="AS951" i="3"/>
  <c r="U556" i="3"/>
  <c r="U164" i="1"/>
  <c r="S165" i="1"/>
  <c r="T165" i="1" s="1"/>
  <c r="R168" i="1"/>
  <c r="AS947" i="1"/>
  <c r="AR946" i="1"/>
  <c r="AR951" i="3" l="1"/>
  <c r="AS952" i="3"/>
  <c r="U557" i="3"/>
  <c r="R559" i="3"/>
  <c r="S558" i="3"/>
  <c r="T558" i="3" s="1"/>
  <c r="U165" i="1"/>
  <c r="S166" i="1"/>
  <c r="T166" i="1" s="1"/>
  <c r="R169" i="1"/>
  <c r="AS948" i="1"/>
  <c r="AR947" i="1"/>
  <c r="S559" i="3" l="1"/>
  <c r="T559" i="3" s="1"/>
  <c r="R560" i="3"/>
  <c r="U558" i="3"/>
  <c r="AS953" i="3"/>
  <c r="AR952" i="3"/>
  <c r="U166" i="1"/>
  <c r="S167" i="1"/>
  <c r="T167" i="1" s="1"/>
  <c r="R170" i="1"/>
  <c r="AS949" i="1"/>
  <c r="AR948" i="1"/>
  <c r="U559" i="3" l="1"/>
  <c r="S560" i="3"/>
  <c r="T560" i="3" s="1"/>
  <c r="R561" i="3"/>
  <c r="AR953" i="3"/>
  <c r="AS954" i="3"/>
  <c r="U167" i="1"/>
  <c r="S168" i="1"/>
  <c r="T168" i="1" s="1"/>
  <c r="R171" i="1"/>
  <c r="AS950" i="1"/>
  <c r="AR949" i="1"/>
  <c r="R562" i="3" l="1"/>
  <c r="S561" i="3"/>
  <c r="T561" i="3" s="1"/>
  <c r="U560" i="3"/>
  <c r="AR954" i="3"/>
  <c r="AS955" i="3"/>
  <c r="U168" i="1"/>
  <c r="S169" i="1"/>
  <c r="T169" i="1" s="1"/>
  <c r="R172" i="1"/>
  <c r="AS951" i="1"/>
  <c r="AR950" i="1"/>
  <c r="U561" i="3" l="1"/>
  <c r="AR955" i="3"/>
  <c r="AS956" i="3"/>
  <c r="R563" i="3"/>
  <c r="S562" i="3"/>
  <c r="T562" i="3" s="1"/>
  <c r="U169" i="1"/>
  <c r="S170" i="1"/>
  <c r="T170" i="1" s="1"/>
  <c r="R173" i="1"/>
  <c r="AS952" i="1"/>
  <c r="AR951" i="1"/>
  <c r="S563" i="3" l="1"/>
  <c r="T563" i="3" s="1"/>
  <c r="R564" i="3"/>
  <c r="U562" i="3"/>
  <c r="AS957" i="3"/>
  <c r="AR956" i="3"/>
  <c r="U170" i="1"/>
  <c r="S171" i="1"/>
  <c r="T171" i="1" s="1"/>
  <c r="R174" i="1"/>
  <c r="AS953" i="1"/>
  <c r="AR952" i="1"/>
  <c r="AR957" i="3" l="1"/>
  <c r="AS958" i="3"/>
  <c r="U563" i="3"/>
  <c r="S564" i="3"/>
  <c r="T564" i="3" s="1"/>
  <c r="R565" i="3"/>
  <c r="U171" i="1"/>
  <c r="S172" i="1"/>
  <c r="T172" i="1" s="1"/>
  <c r="R175" i="1"/>
  <c r="AS954" i="1"/>
  <c r="AR953" i="1"/>
  <c r="U564" i="3" l="1"/>
  <c r="AR958" i="3"/>
  <c r="AS959" i="3"/>
  <c r="R566" i="3"/>
  <c r="S565" i="3"/>
  <c r="T565" i="3" s="1"/>
  <c r="U172" i="1"/>
  <c r="S173" i="1"/>
  <c r="T173" i="1" s="1"/>
  <c r="R176" i="1"/>
  <c r="AS955" i="1"/>
  <c r="AR954" i="1"/>
  <c r="AS960" i="3" l="1"/>
  <c r="AR959" i="3"/>
  <c r="R567" i="3"/>
  <c r="S566" i="3"/>
  <c r="T566" i="3" s="1"/>
  <c r="U565" i="3"/>
  <c r="U173" i="1"/>
  <c r="S174" i="1"/>
  <c r="T174" i="1" s="1"/>
  <c r="R177" i="1"/>
  <c r="AS956" i="1"/>
  <c r="AR955" i="1"/>
  <c r="S567" i="3" l="1"/>
  <c r="T567" i="3" s="1"/>
  <c r="R568" i="3"/>
  <c r="AR960" i="3"/>
  <c r="AS961" i="3"/>
  <c r="U566" i="3"/>
  <c r="U174" i="1"/>
  <c r="S175" i="1"/>
  <c r="T175" i="1" s="1"/>
  <c r="R178" i="1"/>
  <c r="AS957" i="1"/>
  <c r="AR956" i="1"/>
  <c r="U567" i="3" l="1"/>
  <c r="AR961" i="3"/>
  <c r="AS962" i="3"/>
  <c r="R569" i="3"/>
  <c r="S568" i="3"/>
  <c r="T568" i="3" s="1"/>
  <c r="U175" i="1"/>
  <c r="S176" i="1"/>
  <c r="T176" i="1" s="1"/>
  <c r="R179" i="1"/>
  <c r="AS958" i="1"/>
  <c r="AR957" i="1"/>
  <c r="R570" i="3" l="1"/>
  <c r="S569" i="3"/>
  <c r="T569" i="3" s="1"/>
  <c r="U568" i="3"/>
  <c r="AR962" i="3"/>
  <c r="AS963" i="3"/>
  <c r="U176" i="1"/>
  <c r="S177" i="1"/>
  <c r="T177" i="1" s="1"/>
  <c r="R180" i="1"/>
  <c r="AS959" i="1"/>
  <c r="AR958" i="1"/>
  <c r="AR963" i="3" l="1"/>
  <c r="AS964" i="3"/>
  <c r="U569" i="3"/>
  <c r="R571" i="3"/>
  <c r="S570" i="3"/>
  <c r="T570" i="3" s="1"/>
  <c r="U177" i="1"/>
  <c r="S178" i="1"/>
  <c r="T178" i="1" s="1"/>
  <c r="R181" i="1"/>
  <c r="AS960" i="1"/>
  <c r="AR959" i="1"/>
  <c r="U570" i="3" l="1"/>
  <c r="AR964" i="3"/>
  <c r="AS965" i="3"/>
  <c r="S571" i="3"/>
  <c r="T571" i="3" s="1"/>
  <c r="R572" i="3"/>
  <c r="U178" i="1"/>
  <c r="S179" i="1"/>
  <c r="T179" i="1" s="1"/>
  <c r="R182" i="1"/>
  <c r="AS961" i="1"/>
  <c r="AR960" i="1"/>
  <c r="AR965" i="3" l="1"/>
  <c r="AS966" i="3"/>
  <c r="S572" i="3"/>
  <c r="T572" i="3" s="1"/>
  <c r="R573" i="3"/>
  <c r="U571" i="3"/>
  <c r="U179" i="1"/>
  <c r="S180" i="1"/>
  <c r="T180" i="1" s="1"/>
  <c r="R183" i="1"/>
  <c r="AS962" i="1"/>
  <c r="AR961" i="1"/>
  <c r="AR966" i="3" l="1"/>
  <c r="AS967" i="3"/>
  <c r="U572" i="3"/>
  <c r="R574" i="3"/>
  <c r="S573" i="3"/>
  <c r="T573" i="3" s="1"/>
  <c r="U180" i="1"/>
  <c r="S181" i="1"/>
  <c r="T181" i="1" s="1"/>
  <c r="R184" i="1"/>
  <c r="AS963" i="1"/>
  <c r="AR962" i="1"/>
  <c r="U573" i="3" l="1"/>
  <c r="AR967" i="3"/>
  <c r="AS968" i="3"/>
  <c r="S574" i="3"/>
  <c r="T574" i="3" s="1"/>
  <c r="R575" i="3"/>
  <c r="U181" i="1"/>
  <c r="S182" i="1"/>
  <c r="T182" i="1" s="1"/>
  <c r="R185" i="1"/>
  <c r="AS964" i="1"/>
  <c r="AR963" i="1"/>
  <c r="U574" i="3" l="1"/>
  <c r="S575" i="3"/>
  <c r="T575" i="3" s="1"/>
  <c r="R576" i="3"/>
  <c r="AS969" i="3"/>
  <c r="AR968" i="3"/>
  <c r="U182" i="1"/>
  <c r="S183" i="1"/>
  <c r="T183" i="1" s="1"/>
  <c r="R186" i="1"/>
  <c r="AS965" i="1"/>
  <c r="AR964" i="1"/>
  <c r="S576" i="3" l="1"/>
  <c r="T576" i="3" s="1"/>
  <c r="R577" i="3"/>
  <c r="AR969" i="3"/>
  <c r="AS970" i="3"/>
  <c r="U575" i="3"/>
  <c r="U183" i="1"/>
  <c r="S184" i="1"/>
  <c r="T184" i="1" s="1"/>
  <c r="R187" i="1"/>
  <c r="AS966" i="1"/>
  <c r="AR965" i="1"/>
  <c r="AR970" i="3" l="1"/>
  <c r="AS971" i="3"/>
  <c r="R578" i="3"/>
  <c r="S577" i="3"/>
  <c r="T577" i="3" s="1"/>
  <c r="U576" i="3"/>
  <c r="U184" i="1"/>
  <c r="S185" i="1"/>
  <c r="T185" i="1" s="1"/>
  <c r="R188" i="1"/>
  <c r="AS967" i="1"/>
  <c r="AR966" i="1"/>
  <c r="U577" i="3" l="1"/>
  <c r="AS972" i="3"/>
  <c r="AR971" i="3"/>
  <c r="R579" i="3"/>
  <c r="S578" i="3"/>
  <c r="T578" i="3" s="1"/>
  <c r="U185" i="1"/>
  <c r="S186" i="1"/>
  <c r="T186" i="1" s="1"/>
  <c r="R189" i="1"/>
  <c r="AS968" i="1"/>
  <c r="AR967" i="1"/>
  <c r="U578" i="3" l="1"/>
  <c r="S579" i="3"/>
  <c r="T579" i="3" s="1"/>
  <c r="R580" i="3"/>
  <c r="AR972" i="3"/>
  <c r="AS973" i="3"/>
  <c r="U186" i="1"/>
  <c r="S187" i="1"/>
  <c r="T187" i="1" s="1"/>
  <c r="R190" i="1"/>
  <c r="AS969" i="1"/>
  <c r="AR968" i="1"/>
  <c r="R581" i="3" l="1"/>
  <c r="S580" i="3"/>
  <c r="T580" i="3" s="1"/>
  <c r="AR973" i="3"/>
  <c r="AS974" i="3"/>
  <c r="U579" i="3"/>
  <c r="U187" i="1"/>
  <c r="S188" i="1"/>
  <c r="T188" i="1" s="1"/>
  <c r="R191" i="1"/>
  <c r="AS970" i="1"/>
  <c r="AR969" i="1"/>
  <c r="AR974" i="3" l="1"/>
  <c r="AS975" i="3"/>
  <c r="R582" i="3"/>
  <c r="S581" i="3"/>
  <c r="T581" i="3" s="1"/>
  <c r="U580" i="3"/>
  <c r="U188" i="1"/>
  <c r="S189" i="1"/>
  <c r="T189" i="1" s="1"/>
  <c r="R192" i="1"/>
  <c r="AS971" i="1"/>
  <c r="AR970" i="1"/>
  <c r="AS976" i="3" l="1"/>
  <c r="AR975" i="3"/>
  <c r="S582" i="3"/>
  <c r="T582" i="3" s="1"/>
  <c r="R583" i="3"/>
  <c r="U581" i="3"/>
  <c r="U189" i="1"/>
  <c r="S190" i="1"/>
  <c r="T190" i="1" s="1"/>
  <c r="R193" i="1"/>
  <c r="AS972" i="1"/>
  <c r="AR971" i="1"/>
  <c r="U582" i="3" l="1"/>
  <c r="AR976" i="3"/>
  <c r="AS977" i="3"/>
  <c r="S583" i="3"/>
  <c r="T583" i="3" s="1"/>
  <c r="R584" i="3"/>
  <c r="U190" i="1"/>
  <c r="S191" i="1"/>
  <c r="T191" i="1" s="1"/>
  <c r="R194" i="1"/>
  <c r="AS973" i="1"/>
  <c r="AR972" i="1"/>
  <c r="R585" i="3" l="1"/>
  <c r="S584" i="3"/>
  <c r="T584" i="3" s="1"/>
  <c r="AR977" i="3"/>
  <c r="AS978" i="3"/>
  <c r="U583" i="3"/>
  <c r="U191" i="1"/>
  <c r="S192" i="1"/>
  <c r="T192" i="1" s="1"/>
  <c r="R195" i="1"/>
  <c r="AS974" i="1"/>
  <c r="AR973" i="1"/>
  <c r="U584" i="3" l="1"/>
  <c r="AR978" i="3"/>
  <c r="AS979" i="3"/>
  <c r="R586" i="3"/>
  <c r="S585" i="3"/>
  <c r="T585" i="3" s="1"/>
  <c r="U192" i="1"/>
  <c r="S193" i="1"/>
  <c r="T193" i="1" s="1"/>
  <c r="R196" i="1"/>
  <c r="AS975" i="1"/>
  <c r="AR974" i="1"/>
  <c r="AR979" i="3" l="1"/>
  <c r="AS980" i="3"/>
  <c r="S586" i="3"/>
  <c r="T586" i="3" s="1"/>
  <c r="R587" i="3"/>
  <c r="U585" i="3"/>
  <c r="U193" i="1"/>
  <c r="S194" i="1"/>
  <c r="T194" i="1" s="1"/>
  <c r="R197" i="1"/>
  <c r="AS976" i="1"/>
  <c r="AR975" i="1"/>
  <c r="S587" i="3" l="1"/>
  <c r="T587" i="3" s="1"/>
  <c r="R588" i="3"/>
  <c r="AS981" i="3"/>
  <c r="AR980" i="3"/>
  <c r="U586" i="3"/>
  <c r="U194" i="1"/>
  <c r="S195" i="1"/>
  <c r="T195" i="1" s="1"/>
  <c r="R198" i="1"/>
  <c r="AS977" i="1"/>
  <c r="AR976" i="1"/>
  <c r="U587" i="3" l="1"/>
  <c r="AR981" i="3"/>
  <c r="AS982" i="3"/>
  <c r="R589" i="3"/>
  <c r="S588" i="3"/>
  <c r="T588" i="3" s="1"/>
  <c r="U195" i="1"/>
  <c r="S196" i="1"/>
  <c r="T196" i="1" s="1"/>
  <c r="R199" i="1"/>
  <c r="AS978" i="1"/>
  <c r="AR977" i="1"/>
  <c r="R590" i="3" l="1"/>
  <c r="S589" i="3"/>
  <c r="AR982" i="3"/>
  <c r="AS983" i="3"/>
  <c r="U588" i="3"/>
  <c r="U196" i="1"/>
  <c r="S197" i="1"/>
  <c r="T197" i="1" s="1"/>
  <c r="R200" i="1"/>
  <c r="AS979" i="1"/>
  <c r="AR978" i="1"/>
  <c r="T589" i="3" l="1"/>
  <c r="U589" i="3" s="1"/>
  <c r="AR983" i="3"/>
  <c r="AS984" i="3"/>
  <c r="R591" i="3"/>
  <c r="S590" i="3"/>
  <c r="T590" i="3" s="1"/>
  <c r="U197" i="1"/>
  <c r="S198" i="1"/>
  <c r="T198" i="1" s="1"/>
  <c r="R201" i="1"/>
  <c r="AS980" i="1"/>
  <c r="AR979" i="1"/>
  <c r="AS985" i="3" l="1"/>
  <c r="AR984" i="3"/>
  <c r="U590" i="3"/>
  <c r="S591" i="3"/>
  <c r="R592" i="3"/>
  <c r="U198" i="1"/>
  <c r="S199" i="1"/>
  <c r="T199" i="1" s="1"/>
  <c r="R202" i="1"/>
  <c r="AS981" i="1"/>
  <c r="AR980" i="1"/>
  <c r="T591" i="3" l="1"/>
  <c r="U591" i="3" s="1"/>
  <c r="S592" i="3"/>
  <c r="T592" i="3" s="1"/>
  <c r="R593" i="3"/>
  <c r="AR985" i="3"/>
  <c r="AS986" i="3"/>
  <c r="U199" i="1"/>
  <c r="S200" i="1"/>
  <c r="T200" i="1" s="1"/>
  <c r="R203" i="1"/>
  <c r="AS982" i="1"/>
  <c r="AR981" i="1"/>
  <c r="AR986" i="3" l="1"/>
  <c r="AS987" i="3"/>
  <c r="U592" i="3"/>
  <c r="R594" i="3"/>
  <c r="S593" i="3"/>
  <c r="U200" i="1"/>
  <c r="S201" i="1"/>
  <c r="T201" i="1" s="1"/>
  <c r="R204" i="1"/>
  <c r="AS983" i="1"/>
  <c r="AR982" i="1"/>
  <c r="T593" i="3" l="1"/>
  <c r="U593" i="3" s="1"/>
  <c r="R595" i="3"/>
  <c r="S594" i="3"/>
  <c r="T594" i="3" s="1"/>
  <c r="AS988" i="3"/>
  <c r="AR987" i="3"/>
  <c r="U201" i="1"/>
  <c r="S202" i="1"/>
  <c r="T202" i="1" s="1"/>
  <c r="R205" i="1"/>
  <c r="AS984" i="1"/>
  <c r="AR983" i="1"/>
  <c r="U594" i="3" l="1"/>
  <c r="S595" i="3"/>
  <c r="R596" i="3"/>
  <c r="AR988" i="3"/>
  <c r="AS989" i="3"/>
  <c r="U202" i="1"/>
  <c r="S203" i="1"/>
  <c r="T203" i="1" s="1"/>
  <c r="R206" i="1"/>
  <c r="AS985" i="1"/>
  <c r="AR984" i="1"/>
  <c r="T595" i="3" l="1"/>
  <c r="U595" i="3" s="1"/>
  <c r="S596" i="3"/>
  <c r="T596" i="3" s="1"/>
  <c r="R597" i="3"/>
  <c r="AR989" i="3"/>
  <c r="AS990" i="3"/>
  <c r="U203" i="1"/>
  <c r="S204" i="1"/>
  <c r="T204" i="1" s="1"/>
  <c r="R207" i="1"/>
  <c r="AS986" i="1"/>
  <c r="AR985" i="1"/>
  <c r="R598" i="3" l="1"/>
  <c r="S597" i="3"/>
  <c r="AR990" i="3"/>
  <c r="AS991" i="3"/>
  <c r="U596" i="3"/>
  <c r="U204" i="1"/>
  <c r="S205" i="1"/>
  <c r="T205" i="1" s="1"/>
  <c r="R208" i="1"/>
  <c r="AS987" i="1"/>
  <c r="AR986" i="1"/>
  <c r="T597" i="3" l="1"/>
  <c r="U597" i="3" s="1"/>
  <c r="AS992" i="3"/>
  <c r="AR991" i="3"/>
  <c r="R599" i="3"/>
  <c r="S598" i="3"/>
  <c r="T598" i="3" s="1"/>
  <c r="U205" i="1"/>
  <c r="S206" i="1"/>
  <c r="T206" i="1" s="1"/>
  <c r="R209" i="1"/>
  <c r="AS988" i="1"/>
  <c r="AR987" i="1"/>
  <c r="U598" i="3" l="1"/>
  <c r="R600" i="3"/>
  <c r="S599" i="3"/>
  <c r="AR992" i="3"/>
  <c r="AS993" i="3"/>
  <c r="U206" i="1"/>
  <c r="S207" i="1"/>
  <c r="T207" i="1" s="1"/>
  <c r="R210" i="1"/>
  <c r="AS989" i="1"/>
  <c r="AR988" i="1"/>
  <c r="T599" i="3" l="1"/>
  <c r="U599" i="3" s="1"/>
  <c r="R601" i="3"/>
  <c r="S600" i="3"/>
  <c r="T600" i="3" s="1"/>
  <c r="AR993" i="3"/>
  <c r="AS994" i="3"/>
  <c r="U207" i="1"/>
  <c r="S208" i="1"/>
  <c r="T208" i="1" s="1"/>
  <c r="R211" i="1"/>
  <c r="AS990" i="1"/>
  <c r="AR989" i="1"/>
  <c r="AR994" i="3" l="1"/>
  <c r="AS995" i="3"/>
  <c r="R602" i="3"/>
  <c r="S601" i="3"/>
  <c r="T601" i="3" s="1"/>
  <c r="U600" i="3"/>
  <c r="U208" i="1"/>
  <c r="S209" i="1"/>
  <c r="T209" i="1" s="1"/>
  <c r="R212" i="1"/>
  <c r="AS991" i="1"/>
  <c r="AR990" i="1"/>
  <c r="U601" i="3" l="1"/>
  <c r="R603" i="3"/>
  <c r="S602" i="3"/>
  <c r="T602" i="3" s="1"/>
  <c r="AS996" i="3"/>
  <c r="AR995" i="3"/>
  <c r="U209" i="1"/>
  <c r="S210" i="1"/>
  <c r="T210" i="1" s="1"/>
  <c r="R213" i="1"/>
  <c r="AS992" i="1"/>
  <c r="AR991" i="1"/>
  <c r="S603" i="3" l="1"/>
  <c r="T603" i="3" s="1"/>
  <c r="R604" i="3"/>
  <c r="AR996" i="3"/>
  <c r="AS997" i="3"/>
  <c r="U602" i="3"/>
  <c r="U210" i="1"/>
  <c r="S211" i="1"/>
  <c r="T211" i="1" s="1"/>
  <c r="R214" i="1"/>
  <c r="AS993" i="1"/>
  <c r="AR992" i="1"/>
  <c r="U603" i="3" l="1"/>
  <c r="AR997" i="3"/>
  <c r="AS998" i="3"/>
  <c r="R605" i="3"/>
  <c r="S604" i="3"/>
  <c r="T604" i="3" s="1"/>
  <c r="U211" i="1"/>
  <c r="S212" i="1"/>
  <c r="T212" i="1" s="1"/>
  <c r="R215" i="1"/>
  <c r="AS994" i="1"/>
  <c r="AR993" i="1"/>
  <c r="R606" i="3" l="1"/>
  <c r="S605" i="3"/>
  <c r="T605" i="3" s="1"/>
  <c r="U604" i="3"/>
  <c r="AR998" i="3"/>
  <c r="AS999" i="3"/>
  <c r="U212" i="1"/>
  <c r="S213" i="1"/>
  <c r="T213" i="1" s="1"/>
  <c r="R216" i="1"/>
  <c r="AS995" i="1"/>
  <c r="AR994" i="1"/>
  <c r="U605" i="3" l="1"/>
  <c r="AR999" i="3"/>
  <c r="AS1000" i="3"/>
  <c r="R607" i="3"/>
  <c r="S606" i="3"/>
  <c r="T606" i="3" s="1"/>
  <c r="U213" i="1"/>
  <c r="S214" i="1"/>
  <c r="T214" i="1" s="1"/>
  <c r="R217" i="1"/>
  <c r="AS996" i="1"/>
  <c r="AR995" i="1"/>
  <c r="AS1001" i="3" l="1"/>
  <c r="AR1000" i="3"/>
  <c r="U606" i="3"/>
  <c r="S607" i="3"/>
  <c r="T607" i="3" s="1"/>
  <c r="R608" i="3"/>
  <c r="U214" i="1"/>
  <c r="S215" i="1"/>
  <c r="T215" i="1" s="1"/>
  <c r="R218" i="1"/>
  <c r="AS997" i="1"/>
  <c r="AR996" i="1"/>
  <c r="U607" i="3" l="1"/>
  <c r="S608" i="3"/>
  <c r="T608" i="3" s="1"/>
  <c r="R609" i="3"/>
  <c r="AR1001" i="3"/>
  <c r="AS1002" i="3"/>
  <c r="U215" i="1"/>
  <c r="S216" i="1"/>
  <c r="T216" i="1" s="1"/>
  <c r="R219" i="1"/>
  <c r="AS998" i="1"/>
  <c r="AR997" i="1"/>
  <c r="R610" i="3" l="1"/>
  <c r="S609" i="3"/>
  <c r="T609" i="3" s="1"/>
  <c r="AR1002" i="3"/>
  <c r="AS1003" i="3"/>
  <c r="U608" i="3"/>
  <c r="U216" i="1"/>
  <c r="S217" i="1"/>
  <c r="T217" i="1" s="1"/>
  <c r="R220" i="1"/>
  <c r="AS999" i="1"/>
  <c r="AR998" i="1"/>
  <c r="AR1003" i="3" l="1"/>
  <c r="AS1004" i="3"/>
  <c r="R611" i="3"/>
  <c r="S610" i="3"/>
  <c r="T610" i="3" s="1"/>
  <c r="U609" i="3"/>
  <c r="U217" i="1"/>
  <c r="S218" i="1"/>
  <c r="T218" i="1" s="1"/>
  <c r="R221" i="1"/>
  <c r="AS1000" i="1"/>
  <c r="AR999" i="1"/>
  <c r="S611" i="3" l="1"/>
  <c r="T611" i="3" s="1"/>
  <c r="R612" i="3"/>
  <c r="AS1005" i="3"/>
  <c r="AR1004" i="3"/>
  <c r="U610" i="3"/>
  <c r="U218" i="1"/>
  <c r="S219" i="1"/>
  <c r="T219" i="1" s="1"/>
  <c r="R222" i="1"/>
  <c r="AS1001" i="1"/>
  <c r="AR1000" i="1"/>
  <c r="U611" i="3" l="1"/>
  <c r="AR1005" i="3"/>
  <c r="AS1006" i="3"/>
  <c r="S612" i="3"/>
  <c r="T612" i="3" s="1"/>
  <c r="R613" i="3"/>
  <c r="U219" i="1"/>
  <c r="S220" i="1"/>
  <c r="T220" i="1" s="1"/>
  <c r="R223" i="1"/>
  <c r="AS1002" i="1"/>
  <c r="AR1001" i="1"/>
  <c r="AR1006" i="3" l="1"/>
  <c r="AS1007" i="3"/>
  <c r="U612" i="3"/>
  <c r="R614" i="3"/>
  <c r="S613" i="3"/>
  <c r="T613" i="3" s="1"/>
  <c r="U220" i="1"/>
  <c r="S221" i="1"/>
  <c r="T221" i="1" s="1"/>
  <c r="R224" i="1"/>
  <c r="AS1003" i="1"/>
  <c r="AR1002" i="1"/>
  <c r="AS1008" i="3" l="1"/>
  <c r="AR1007" i="3"/>
  <c r="R615" i="3"/>
  <c r="S614" i="3"/>
  <c r="T614" i="3" s="1"/>
  <c r="U613" i="3"/>
  <c r="U221" i="1"/>
  <c r="S222" i="1"/>
  <c r="T222" i="1" s="1"/>
  <c r="R225" i="1"/>
  <c r="AS1004" i="1"/>
  <c r="AR1003" i="1"/>
  <c r="R616" i="3" l="1"/>
  <c r="S615" i="3"/>
  <c r="T615" i="3" s="1"/>
  <c r="AR1008" i="3"/>
  <c r="AS1009" i="3"/>
  <c r="U614" i="3"/>
  <c r="U222" i="1"/>
  <c r="S223" i="1"/>
  <c r="T223" i="1" s="1"/>
  <c r="R226" i="1"/>
  <c r="AS1005" i="1"/>
  <c r="AR1004" i="1"/>
  <c r="AR1009" i="3" l="1"/>
  <c r="AS1010" i="3"/>
  <c r="R617" i="3"/>
  <c r="S616" i="3"/>
  <c r="T616" i="3" s="1"/>
  <c r="U615" i="3"/>
  <c r="U223" i="1"/>
  <c r="S224" i="1"/>
  <c r="T224" i="1" s="1"/>
  <c r="R227" i="1"/>
  <c r="AS1006" i="1"/>
  <c r="AR1005" i="1"/>
  <c r="R618" i="3" l="1"/>
  <c r="S617" i="3"/>
  <c r="T617" i="3" s="1"/>
  <c r="AR1010" i="3"/>
  <c r="AS1011" i="3"/>
  <c r="U616" i="3"/>
  <c r="U224" i="1"/>
  <c r="S225" i="1"/>
  <c r="T225" i="1" s="1"/>
  <c r="R228" i="1"/>
  <c r="AS1007" i="1"/>
  <c r="AR1006" i="1"/>
  <c r="U617" i="3" l="1"/>
  <c r="AS1012" i="3"/>
  <c r="AR1011" i="3"/>
  <c r="R619" i="3"/>
  <c r="S618" i="3"/>
  <c r="T618" i="3" s="1"/>
  <c r="U225" i="1"/>
  <c r="S226" i="1"/>
  <c r="T226" i="1" s="1"/>
  <c r="R229" i="1"/>
  <c r="AS1008" i="1"/>
  <c r="AR1007" i="1"/>
  <c r="AR1012" i="3" l="1"/>
  <c r="AS1013" i="3"/>
  <c r="S619" i="3"/>
  <c r="T619" i="3" s="1"/>
  <c r="R620" i="3"/>
  <c r="U618" i="3"/>
  <c r="U226" i="1"/>
  <c r="S227" i="1"/>
  <c r="T227" i="1" s="1"/>
  <c r="R230" i="1"/>
  <c r="AS1009" i="1"/>
  <c r="AR1008" i="1"/>
  <c r="U619" i="3" l="1"/>
  <c r="R621" i="3"/>
  <c r="S620" i="3"/>
  <c r="T620" i="3" s="1"/>
  <c r="AR1013" i="3"/>
  <c r="AS1014" i="3"/>
  <c r="U227" i="1"/>
  <c r="S228" i="1"/>
  <c r="T228" i="1" s="1"/>
  <c r="R231" i="1"/>
  <c r="AS1010" i="1"/>
  <c r="AR1009" i="1"/>
  <c r="AR1014" i="3" l="1"/>
  <c r="AS1015" i="3"/>
  <c r="U620" i="3"/>
  <c r="R622" i="3"/>
  <c r="S621" i="3"/>
  <c r="T621" i="3" s="1"/>
  <c r="U228" i="1"/>
  <c r="S229" i="1"/>
  <c r="T229" i="1" s="1"/>
  <c r="R232" i="1"/>
  <c r="AS1011" i="1"/>
  <c r="AR1010" i="1"/>
  <c r="R623" i="3" l="1"/>
  <c r="S622" i="3"/>
  <c r="T622" i="3" s="1"/>
  <c r="U621" i="3"/>
  <c r="AR1015" i="3"/>
  <c r="AS1016" i="3"/>
  <c r="U229" i="1"/>
  <c r="S230" i="1"/>
  <c r="T230" i="1" s="1"/>
  <c r="R233" i="1"/>
  <c r="AS1012" i="1"/>
  <c r="AR1011" i="1"/>
  <c r="U622" i="3" l="1"/>
  <c r="S623" i="3"/>
  <c r="T623" i="3" s="1"/>
  <c r="R624" i="3"/>
  <c r="AS1017" i="3"/>
  <c r="AR1016" i="3"/>
  <c r="U230" i="1"/>
  <c r="S231" i="1"/>
  <c r="T231" i="1" s="1"/>
  <c r="R234" i="1"/>
  <c r="AS1013" i="1"/>
  <c r="AR1012" i="1"/>
  <c r="S624" i="3" l="1"/>
  <c r="T624" i="3" s="1"/>
  <c r="R625" i="3"/>
  <c r="AR1017" i="3"/>
  <c r="AS1018" i="3"/>
  <c r="U623" i="3"/>
  <c r="U231" i="1"/>
  <c r="S232" i="1"/>
  <c r="T232" i="1" s="1"/>
  <c r="R235" i="1"/>
  <c r="AS1014" i="1"/>
  <c r="AR1013" i="1"/>
  <c r="AR1018" i="3" l="1"/>
  <c r="AS1019" i="3"/>
  <c r="R626" i="3"/>
  <c r="S625" i="3"/>
  <c r="T625" i="3" s="1"/>
  <c r="U624" i="3"/>
  <c r="U232" i="1"/>
  <c r="S233" i="1"/>
  <c r="T233" i="1" s="1"/>
  <c r="R236" i="1"/>
  <c r="AS1015" i="1"/>
  <c r="AR1014" i="1"/>
  <c r="AR1019" i="3" l="1"/>
  <c r="AS1020" i="3"/>
  <c r="U625" i="3"/>
  <c r="R627" i="3"/>
  <c r="S626" i="3"/>
  <c r="T626" i="3" s="1"/>
  <c r="U233" i="1"/>
  <c r="S234" i="1"/>
  <c r="T234" i="1" s="1"/>
  <c r="R237" i="1"/>
  <c r="AS1016" i="1"/>
  <c r="AR1015" i="1"/>
  <c r="S627" i="3" l="1"/>
  <c r="T627" i="3" s="1"/>
  <c r="R628" i="3"/>
  <c r="U626" i="3"/>
  <c r="AS1021" i="3"/>
  <c r="AR1020" i="3"/>
  <c r="U234" i="1"/>
  <c r="S235" i="1"/>
  <c r="T235" i="1" s="1"/>
  <c r="R238" i="1"/>
  <c r="AS1017" i="1"/>
  <c r="AR1016" i="1"/>
  <c r="U627" i="3" l="1"/>
  <c r="R629" i="3"/>
  <c r="S628" i="3"/>
  <c r="T628" i="3" s="1"/>
  <c r="AR1021" i="3"/>
  <c r="AS1022" i="3"/>
  <c r="U235" i="1"/>
  <c r="S236" i="1"/>
  <c r="T236" i="1" s="1"/>
  <c r="R239" i="1"/>
  <c r="AS1018" i="1"/>
  <c r="AR1017" i="1"/>
  <c r="S629" i="3" l="1"/>
  <c r="T629" i="3" s="1"/>
  <c r="R630" i="3"/>
  <c r="AR1022" i="3"/>
  <c r="AS1023" i="3"/>
  <c r="U628" i="3"/>
  <c r="U236" i="1"/>
  <c r="S237" i="1"/>
  <c r="T237" i="1" s="1"/>
  <c r="R240" i="1"/>
  <c r="AS1019" i="1"/>
  <c r="AR1018" i="1"/>
  <c r="R631" i="3" l="1"/>
  <c r="S630" i="3"/>
  <c r="T630" i="3" s="1"/>
  <c r="U629" i="3"/>
  <c r="AS1024" i="3"/>
  <c r="AR1023" i="3"/>
  <c r="U237" i="1"/>
  <c r="S238" i="1"/>
  <c r="T238" i="1" s="1"/>
  <c r="R241" i="1"/>
  <c r="AS1020" i="1"/>
  <c r="AR1019" i="1"/>
  <c r="U630" i="3" l="1"/>
  <c r="AR1024" i="3"/>
  <c r="AS1025" i="3"/>
  <c r="S631" i="3"/>
  <c r="T631" i="3" s="1"/>
  <c r="R632" i="3"/>
  <c r="U238" i="1"/>
  <c r="S239" i="1"/>
  <c r="T239" i="1" s="1"/>
  <c r="R242" i="1"/>
  <c r="AS1021" i="1"/>
  <c r="AR1020" i="1"/>
  <c r="AR1025" i="3" l="1"/>
  <c r="AS1026" i="3"/>
  <c r="S632" i="3"/>
  <c r="T632" i="3" s="1"/>
  <c r="R633" i="3"/>
  <c r="U631" i="3"/>
  <c r="U239" i="1"/>
  <c r="S240" i="1"/>
  <c r="T240" i="1" s="1"/>
  <c r="R243" i="1"/>
  <c r="AS1022" i="1"/>
  <c r="AR1021" i="1"/>
  <c r="U632" i="3" l="1"/>
  <c r="S633" i="3"/>
  <c r="T633" i="3" s="1"/>
  <c r="R634" i="3"/>
  <c r="AR1026" i="3"/>
  <c r="AS1027" i="3"/>
  <c r="U240" i="1"/>
  <c r="S241" i="1"/>
  <c r="T241" i="1" s="1"/>
  <c r="R244" i="1"/>
  <c r="AS1023" i="1"/>
  <c r="AR1022" i="1"/>
  <c r="R635" i="3" l="1"/>
  <c r="S634" i="3"/>
  <c r="T634" i="3" s="1"/>
  <c r="AR1027" i="3"/>
  <c r="AS1028" i="3"/>
  <c r="U633" i="3"/>
  <c r="U241" i="1"/>
  <c r="S242" i="1"/>
  <c r="T242" i="1" s="1"/>
  <c r="R245" i="1"/>
  <c r="AS1024" i="1"/>
  <c r="AR1023" i="1"/>
  <c r="U634" i="3" l="1"/>
  <c r="AR1028" i="3"/>
  <c r="AS1029" i="3"/>
  <c r="S635" i="3"/>
  <c r="T635" i="3" s="1"/>
  <c r="R636" i="3"/>
  <c r="U242" i="1"/>
  <c r="S243" i="1"/>
  <c r="T243" i="1" s="1"/>
  <c r="R246" i="1"/>
  <c r="AS1025" i="1"/>
  <c r="AR1024" i="1"/>
  <c r="S636" i="3" l="1"/>
  <c r="T636" i="3" s="1"/>
  <c r="R637" i="3"/>
  <c r="AR1029" i="3"/>
  <c r="AS1030" i="3"/>
  <c r="U635" i="3"/>
  <c r="U243" i="1"/>
  <c r="S244" i="1"/>
  <c r="T244" i="1" s="1"/>
  <c r="R247" i="1"/>
  <c r="AS1026" i="1"/>
  <c r="AR1025" i="1"/>
  <c r="U636" i="3" l="1"/>
  <c r="AR1030" i="3"/>
  <c r="AS1031" i="3"/>
  <c r="S637" i="3"/>
  <c r="T637" i="3" s="1"/>
  <c r="R638" i="3"/>
  <c r="U244" i="1"/>
  <c r="S245" i="1"/>
  <c r="T245" i="1" s="1"/>
  <c r="R248" i="1"/>
  <c r="AS1027" i="1"/>
  <c r="AR1026" i="1"/>
  <c r="AR1031" i="3" l="1"/>
  <c r="AS1032" i="3"/>
  <c r="U637" i="3"/>
  <c r="R639" i="3"/>
  <c r="S638" i="3"/>
  <c r="T638" i="3" s="1"/>
  <c r="U245" i="1"/>
  <c r="S246" i="1"/>
  <c r="T246" i="1" s="1"/>
  <c r="R249" i="1"/>
  <c r="AS1028" i="1"/>
  <c r="AR1027" i="1"/>
  <c r="S639" i="3" l="1"/>
  <c r="T639" i="3" s="1"/>
  <c r="R640" i="3"/>
  <c r="U638" i="3"/>
  <c r="AS1033" i="3"/>
  <c r="AR1032" i="3"/>
  <c r="U246" i="1"/>
  <c r="S247" i="1"/>
  <c r="T247" i="1" s="1"/>
  <c r="R250" i="1"/>
  <c r="AS1029" i="1"/>
  <c r="AR1028" i="1"/>
  <c r="AR1033" i="3" l="1"/>
  <c r="AS1034" i="3"/>
  <c r="R641" i="3"/>
  <c r="S640" i="3"/>
  <c r="T640" i="3" s="1"/>
  <c r="U639" i="3"/>
  <c r="U247" i="1"/>
  <c r="S248" i="1"/>
  <c r="T248" i="1" s="1"/>
  <c r="R251" i="1"/>
  <c r="AS1030" i="1"/>
  <c r="AR1029" i="1"/>
  <c r="S641" i="3" l="1"/>
  <c r="T641" i="3" s="1"/>
  <c r="R642" i="3"/>
  <c r="U640" i="3"/>
  <c r="AR1034" i="3"/>
  <c r="AS1035" i="3"/>
  <c r="U248" i="1"/>
  <c r="S249" i="1"/>
  <c r="T249" i="1" s="1"/>
  <c r="R252" i="1"/>
  <c r="AS1031" i="1"/>
  <c r="AR1030" i="1"/>
  <c r="AS1036" i="3" l="1"/>
  <c r="AR1035" i="3"/>
  <c r="R643" i="3"/>
  <c r="S642" i="3"/>
  <c r="T642" i="3" s="1"/>
  <c r="U641" i="3"/>
  <c r="U249" i="1"/>
  <c r="S250" i="1"/>
  <c r="T250" i="1" s="1"/>
  <c r="R253" i="1"/>
  <c r="AS1032" i="1"/>
  <c r="AR1031" i="1"/>
  <c r="S643" i="3" l="1"/>
  <c r="T643" i="3" s="1"/>
  <c r="R644" i="3"/>
  <c r="U642" i="3"/>
  <c r="AR1036" i="3"/>
  <c r="AS1037" i="3"/>
  <c r="U250" i="1"/>
  <c r="S251" i="1"/>
  <c r="T251" i="1" s="1"/>
  <c r="R254" i="1"/>
  <c r="AS1033" i="1"/>
  <c r="AR1032" i="1"/>
  <c r="AR1037" i="3" l="1"/>
  <c r="AS1038" i="3"/>
  <c r="R645" i="3"/>
  <c r="S644" i="3"/>
  <c r="T644" i="3" s="1"/>
  <c r="U643" i="3"/>
  <c r="U251" i="1"/>
  <c r="S252" i="1"/>
  <c r="T252" i="1" s="1"/>
  <c r="R255" i="1"/>
  <c r="AS1034" i="1"/>
  <c r="AR1033" i="1"/>
  <c r="R646" i="3" l="1"/>
  <c r="S645" i="3"/>
  <c r="T645" i="3" s="1"/>
  <c r="U644" i="3"/>
  <c r="AR1038" i="3"/>
  <c r="AS1039" i="3"/>
  <c r="U252" i="1"/>
  <c r="S253" i="1"/>
  <c r="T253" i="1" s="1"/>
  <c r="R256" i="1"/>
  <c r="AS1035" i="1"/>
  <c r="AR1034" i="1"/>
  <c r="U645" i="3" l="1"/>
  <c r="R647" i="3"/>
  <c r="S646" i="3"/>
  <c r="T646" i="3" s="1"/>
  <c r="AS1040" i="3"/>
  <c r="AR1039" i="3"/>
  <c r="U253" i="1"/>
  <c r="S254" i="1"/>
  <c r="T254" i="1" s="1"/>
  <c r="R257" i="1"/>
  <c r="AS1036" i="1"/>
  <c r="AR1035" i="1"/>
  <c r="S647" i="3" l="1"/>
  <c r="T647" i="3" s="1"/>
  <c r="R648" i="3"/>
  <c r="AR1040" i="3"/>
  <c r="AS1041" i="3"/>
  <c r="U646" i="3"/>
  <c r="U254" i="1"/>
  <c r="S255" i="1"/>
  <c r="T255" i="1" s="1"/>
  <c r="R258" i="1"/>
  <c r="AS1037" i="1"/>
  <c r="AR1036" i="1"/>
  <c r="AR1041" i="3" l="1"/>
  <c r="AS1042" i="3"/>
  <c r="S648" i="3"/>
  <c r="T648" i="3" s="1"/>
  <c r="R649" i="3"/>
  <c r="U647" i="3"/>
  <c r="U255" i="1"/>
  <c r="S256" i="1"/>
  <c r="T256" i="1" s="1"/>
  <c r="R259" i="1"/>
  <c r="AS1038" i="1"/>
  <c r="AR1037" i="1"/>
  <c r="S649" i="3" l="1"/>
  <c r="T649" i="3" s="1"/>
  <c r="R650" i="3"/>
  <c r="AR1042" i="3"/>
  <c r="AS1043" i="3"/>
  <c r="U648" i="3"/>
  <c r="U256" i="1"/>
  <c r="S257" i="1"/>
  <c r="T257" i="1" s="1"/>
  <c r="R260" i="1"/>
  <c r="AS1039" i="1"/>
  <c r="AR1038" i="1"/>
  <c r="R651" i="3" l="1"/>
  <c r="S650" i="3"/>
  <c r="T650" i="3" s="1"/>
  <c r="AR1043" i="3"/>
  <c r="AS1044" i="3"/>
  <c r="U649" i="3"/>
  <c r="U257" i="1"/>
  <c r="S258" i="1"/>
  <c r="T258" i="1" s="1"/>
  <c r="R261" i="1"/>
  <c r="AS1040" i="1"/>
  <c r="AR1039" i="1"/>
  <c r="AS1045" i="3" l="1"/>
  <c r="AR1044" i="3"/>
  <c r="U650" i="3"/>
  <c r="S651" i="3"/>
  <c r="T651" i="3" s="1"/>
  <c r="R652" i="3"/>
  <c r="U258" i="1"/>
  <c r="S259" i="1"/>
  <c r="T259" i="1" s="1"/>
  <c r="R262" i="1"/>
  <c r="AS1041" i="1"/>
  <c r="AR1040" i="1"/>
  <c r="R653" i="3" l="1"/>
  <c r="S652" i="3"/>
  <c r="T652" i="3" s="1"/>
  <c r="U651" i="3"/>
  <c r="AR1045" i="3"/>
  <c r="AS1046" i="3"/>
  <c r="U259" i="1"/>
  <c r="S260" i="1"/>
  <c r="T260" i="1" s="1"/>
  <c r="R263" i="1"/>
  <c r="AS1042" i="1"/>
  <c r="AR1041" i="1"/>
  <c r="R654" i="3" l="1"/>
  <c r="S653" i="3"/>
  <c r="T653" i="3" s="1"/>
  <c r="U652" i="3"/>
  <c r="AR1046" i="3"/>
  <c r="AS1047" i="3"/>
  <c r="U260" i="1"/>
  <c r="S261" i="1"/>
  <c r="T261" i="1" s="1"/>
  <c r="R264" i="1"/>
  <c r="AS1043" i="1"/>
  <c r="AR1042" i="1"/>
  <c r="AR1047" i="3" l="1"/>
  <c r="AS1048" i="3"/>
  <c r="U653" i="3"/>
  <c r="R655" i="3"/>
  <c r="S654" i="3"/>
  <c r="T654" i="3" s="1"/>
  <c r="U261" i="1"/>
  <c r="S262" i="1"/>
  <c r="T262" i="1" s="1"/>
  <c r="R265" i="1"/>
  <c r="AS1044" i="1"/>
  <c r="AR1043" i="1"/>
  <c r="U654" i="3" l="1"/>
  <c r="AS1049" i="3"/>
  <c r="AR1048" i="3"/>
  <c r="S655" i="3"/>
  <c r="T655" i="3" s="1"/>
  <c r="R656" i="3"/>
  <c r="U262" i="1"/>
  <c r="S263" i="1"/>
  <c r="T263" i="1" s="1"/>
  <c r="R266" i="1"/>
  <c r="AS1045" i="1"/>
  <c r="AR1044" i="1"/>
  <c r="AR1049" i="3" l="1"/>
  <c r="AS1050" i="3"/>
  <c r="S656" i="3"/>
  <c r="T656" i="3" s="1"/>
  <c r="R657" i="3"/>
  <c r="U655" i="3"/>
  <c r="U263" i="1"/>
  <c r="S264" i="1"/>
  <c r="T264" i="1" s="1"/>
  <c r="R267" i="1"/>
  <c r="AS1046" i="1"/>
  <c r="AR1045" i="1"/>
  <c r="S657" i="3" l="1"/>
  <c r="T657" i="3" s="1"/>
  <c r="R658" i="3"/>
  <c r="AR1050" i="3"/>
  <c r="AS1051" i="3"/>
  <c r="U656" i="3"/>
  <c r="U264" i="1"/>
  <c r="S265" i="1"/>
  <c r="T265" i="1" s="1"/>
  <c r="R268" i="1"/>
  <c r="AS1047" i="1"/>
  <c r="AR1046" i="1"/>
  <c r="AS1052" i="3" l="1"/>
  <c r="AR1051" i="3"/>
  <c r="R659" i="3"/>
  <c r="S658" i="3"/>
  <c r="T658" i="3" s="1"/>
  <c r="U657" i="3"/>
  <c r="U265" i="1"/>
  <c r="S266" i="1"/>
  <c r="T266" i="1" s="1"/>
  <c r="R269" i="1"/>
  <c r="AS1048" i="1"/>
  <c r="AR1047" i="1"/>
  <c r="S659" i="3" l="1"/>
  <c r="T659" i="3" s="1"/>
  <c r="R660" i="3"/>
  <c r="U658" i="3"/>
  <c r="AR1052" i="3"/>
  <c r="AS1053" i="3"/>
  <c r="U266" i="1"/>
  <c r="S267" i="1"/>
  <c r="T267" i="1" s="1"/>
  <c r="R270" i="1"/>
  <c r="AS1049" i="1"/>
  <c r="AR1048" i="1"/>
  <c r="U659" i="3" l="1"/>
  <c r="R661" i="3"/>
  <c r="S660" i="3"/>
  <c r="T660" i="3" s="1"/>
  <c r="AR1053" i="3"/>
  <c r="AS1054" i="3"/>
  <c r="U267" i="1"/>
  <c r="S268" i="1"/>
  <c r="T268" i="1" s="1"/>
  <c r="R271" i="1"/>
  <c r="AS1050" i="1"/>
  <c r="AR1049" i="1"/>
  <c r="R662" i="3" l="1"/>
  <c r="S661" i="3"/>
  <c r="T661" i="3" s="1"/>
  <c r="AR1054" i="3"/>
  <c r="AS1055" i="3"/>
  <c r="U660" i="3"/>
  <c r="U268" i="1"/>
  <c r="S269" i="1"/>
  <c r="T269" i="1" s="1"/>
  <c r="R272" i="1"/>
  <c r="AS1051" i="1"/>
  <c r="AR1050" i="1"/>
  <c r="R663" i="3" l="1"/>
  <c r="S662" i="3"/>
  <c r="T662" i="3" s="1"/>
  <c r="AS1056" i="3"/>
  <c r="AR1055" i="3"/>
  <c r="U661" i="3"/>
  <c r="U269" i="1"/>
  <c r="S270" i="1"/>
  <c r="T270" i="1" s="1"/>
  <c r="R273" i="1"/>
  <c r="AS1052" i="1"/>
  <c r="AR1051" i="1"/>
  <c r="AR1056" i="3" l="1"/>
  <c r="AS1057" i="3"/>
  <c r="U662" i="3"/>
  <c r="S663" i="3"/>
  <c r="T663" i="3" s="1"/>
  <c r="R664" i="3"/>
  <c r="U270" i="1"/>
  <c r="S271" i="1"/>
  <c r="T271" i="1" s="1"/>
  <c r="R274" i="1"/>
  <c r="AS1053" i="1"/>
  <c r="AR1052" i="1"/>
  <c r="U663" i="3" l="1"/>
  <c r="S664" i="3"/>
  <c r="T664" i="3" s="1"/>
  <c r="R665" i="3"/>
  <c r="AR1057" i="3"/>
  <c r="AS1058" i="3"/>
  <c r="U271" i="1"/>
  <c r="S272" i="1"/>
  <c r="T272" i="1" s="1"/>
  <c r="R275" i="1"/>
  <c r="AS1054" i="1"/>
  <c r="AR1053" i="1"/>
  <c r="AR1058" i="3" l="1"/>
  <c r="AS1059" i="3"/>
  <c r="R666" i="3"/>
  <c r="S665" i="3"/>
  <c r="T665" i="3" s="1"/>
  <c r="U664" i="3"/>
  <c r="U272" i="1"/>
  <c r="S273" i="1"/>
  <c r="T273" i="1" s="1"/>
  <c r="R276" i="1"/>
  <c r="AS1055" i="1"/>
  <c r="AR1054" i="1"/>
  <c r="R667" i="3" l="1"/>
  <c r="S666" i="3"/>
  <c r="T666" i="3" s="1"/>
  <c r="AS1060" i="3"/>
  <c r="AR1059" i="3"/>
  <c r="U665" i="3"/>
  <c r="U273" i="1"/>
  <c r="S274" i="1"/>
  <c r="T274" i="1" s="1"/>
  <c r="R277" i="1"/>
  <c r="AS1056" i="1"/>
  <c r="AR1055" i="1"/>
  <c r="AR1060" i="3" l="1"/>
  <c r="AS1061" i="3"/>
  <c r="S667" i="3"/>
  <c r="T667" i="3" s="1"/>
  <c r="R668" i="3"/>
  <c r="U666" i="3"/>
  <c r="U274" i="1"/>
  <c r="S275" i="1"/>
  <c r="T275" i="1" s="1"/>
  <c r="R278" i="1"/>
  <c r="AS1057" i="1"/>
  <c r="AR1056" i="1"/>
  <c r="R669" i="3" l="1"/>
  <c r="S668" i="3"/>
  <c r="T668" i="3" s="1"/>
  <c r="AR1061" i="3"/>
  <c r="AS1062" i="3"/>
  <c r="U667" i="3"/>
  <c r="U275" i="1"/>
  <c r="S276" i="1"/>
  <c r="T276" i="1" s="1"/>
  <c r="R279" i="1"/>
  <c r="AS1058" i="1"/>
  <c r="AR1057" i="1"/>
  <c r="AR1062" i="3" l="1"/>
  <c r="AS1063" i="3"/>
  <c r="U668" i="3"/>
  <c r="S669" i="3"/>
  <c r="T669" i="3" s="1"/>
  <c r="R670" i="3"/>
  <c r="U276" i="1"/>
  <c r="S277" i="1"/>
  <c r="T277" i="1" s="1"/>
  <c r="R280" i="1"/>
  <c r="AS1059" i="1"/>
  <c r="AR1058" i="1"/>
  <c r="U669" i="3" l="1"/>
  <c r="AR1063" i="3"/>
  <c r="AS1064" i="3"/>
  <c r="R671" i="3"/>
  <c r="S670" i="3"/>
  <c r="T670" i="3" s="1"/>
  <c r="U277" i="1"/>
  <c r="S278" i="1"/>
  <c r="T278" i="1" s="1"/>
  <c r="R281" i="1"/>
  <c r="AS1060" i="1"/>
  <c r="AR1059" i="1"/>
  <c r="S671" i="3" l="1"/>
  <c r="T671" i="3" s="1"/>
  <c r="R672" i="3"/>
  <c r="AS1065" i="3"/>
  <c r="AR1064" i="3"/>
  <c r="U670" i="3"/>
  <c r="U278" i="1"/>
  <c r="S279" i="1"/>
  <c r="T279" i="1" s="1"/>
  <c r="R282" i="1"/>
  <c r="AS1061" i="1"/>
  <c r="AR1060" i="1"/>
  <c r="AR1065" i="3" l="1"/>
  <c r="AS1066" i="3"/>
  <c r="R673" i="3"/>
  <c r="S672" i="3"/>
  <c r="T672" i="3" s="1"/>
  <c r="U671" i="3"/>
  <c r="U279" i="1"/>
  <c r="S280" i="1"/>
  <c r="T280" i="1" s="1"/>
  <c r="R283" i="1"/>
  <c r="AS1062" i="1"/>
  <c r="AR1061" i="1"/>
  <c r="AR1066" i="3" l="1"/>
  <c r="AS1067" i="3"/>
  <c r="U672" i="3"/>
  <c r="S673" i="3"/>
  <c r="T673" i="3" s="1"/>
  <c r="R674" i="3"/>
  <c r="U280" i="1"/>
  <c r="S281" i="1"/>
  <c r="T281" i="1" s="1"/>
  <c r="R284" i="1"/>
  <c r="AS1063" i="1"/>
  <c r="AR1062" i="1"/>
  <c r="AR1067" i="3" l="1"/>
  <c r="AS1068" i="3"/>
  <c r="U673" i="3"/>
  <c r="R675" i="3"/>
  <c r="S674" i="3"/>
  <c r="T674" i="3" s="1"/>
  <c r="U281" i="1"/>
  <c r="S282" i="1"/>
  <c r="T282" i="1" s="1"/>
  <c r="R285" i="1"/>
  <c r="AS1064" i="1"/>
  <c r="AR1063" i="1"/>
  <c r="U674" i="3" l="1"/>
  <c r="S675" i="3"/>
  <c r="T675" i="3" s="1"/>
  <c r="R676" i="3"/>
  <c r="AS1069" i="3"/>
  <c r="AR1068" i="3"/>
  <c r="U282" i="1"/>
  <c r="S283" i="1"/>
  <c r="T283" i="1" s="1"/>
  <c r="R286" i="1"/>
  <c r="AS1065" i="1"/>
  <c r="AR1064" i="1"/>
  <c r="S676" i="3" l="1"/>
  <c r="T676" i="3" s="1"/>
  <c r="R677" i="3"/>
  <c r="U675" i="3"/>
  <c r="AR1069" i="3"/>
  <c r="AS1070" i="3"/>
  <c r="U283" i="1"/>
  <c r="S284" i="1"/>
  <c r="T284" i="1" s="1"/>
  <c r="R287" i="1"/>
  <c r="AS1066" i="1"/>
  <c r="AR1065" i="1"/>
  <c r="U676" i="3" l="1"/>
  <c r="R678" i="3"/>
  <c r="S677" i="3"/>
  <c r="T677" i="3" s="1"/>
  <c r="AR1070" i="3"/>
  <c r="AS1071" i="3"/>
  <c r="U284" i="1"/>
  <c r="S285" i="1"/>
  <c r="T285" i="1" s="1"/>
  <c r="R288" i="1"/>
  <c r="AS1067" i="1"/>
  <c r="AR1066" i="1"/>
  <c r="R679" i="3" l="1"/>
  <c r="S678" i="3"/>
  <c r="T678" i="3" s="1"/>
  <c r="U677" i="3"/>
  <c r="AS1072" i="3"/>
  <c r="AR1071" i="3"/>
  <c r="U285" i="1"/>
  <c r="S286" i="1"/>
  <c r="T286" i="1" s="1"/>
  <c r="R289" i="1"/>
  <c r="AS1068" i="1"/>
  <c r="AR1067" i="1"/>
  <c r="U678" i="3" l="1"/>
  <c r="S679" i="3"/>
  <c r="T679" i="3" s="1"/>
  <c r="R680" i="3"/>
  <c r="AR1072" i="3"/>
  <c r="AS1073" i="3"/>
  <c r="U286" i="1"/>
  <c r="S287" i="1"/>
  <c r="T287" i="1" s="1"/>
  <c r="R290" i="1"/>
  <c r="AS1069" i="1"/>
  <c r="AR1068" i="1"/>
  <c r="S680" i="3" l="1"/>
  <c r="T680" i="3" s="1"/>
  <c r="R681" i="3"/>
  <c r="AR1073" i="3"/>
  <c r="AS1074" i="3"/>
  <c r="U679" i="3"/>
  <c r="U287" i="1"/>
  <c r="S288" i="1"/>
  <c r="T288" i="1" s="1"/>
  <c r="R291" i="1"/>
  <c r="AS1070" i="1"/>
  <c r="AR1069" i="1"/>
  <c r="AR1074" i="3" l="1"/>
  <c r="AS1075" i="3"/>
  <c r="U680" i="3"/>
  <c r="S681" i="3"/>
  <c r="T681" i="3" s="1"/>
  <c r="R682" i="3"/>
  <c r="U288" i="1"/>
  <c r="S289" i="1"/>
  <c r="T289" i="1" s="1"/>
  <c r="R292" i="1"/>
  <c r="AS1071" i="1"/>
  <c r="AR1070" i="1"/>
  <c r="U681" i="3" l="1"/>
  <c r="AS1076" i="3"/>
  <c r="AR1075" i="3"/>
  <c r="R683" i="3"/>
  <c r="S682" i="3"/>
  <c r="T682" i="3" s="1"/>
  <c r="U289" i="1"/>
  <c r="S290" i="1"/>
  <c r="T290" i="1" s="1"/>
  <c r="R293" i="1"/>
  <c r="AS1072" i="1"/>
  <c r="AR1071" i="1"/>
  <c r="AR1076" i="3" l="1"/>
  <c r="AS1077" i="3"/>
  <c r="S683" i="3"/>
  <c r="T683" i="3" s="1"/>
  <c r="R684" i="3"/>
  <c r="U682" i="3"/>
  <c r="U290" i="1"/>
  <c r="S291" i="1"/>
  <c r="T291" i="1" s="1"/>
  <c r="R294" i="1"/>
  <c r="AS1073" i="1"/>
  <c r="AR1072" i="1"/>
  <c r="S684" i="3" l="1"/>
  <c r="T684" i="3" s="1"/>
  <c r="R685" i="3"/>
  <c r="U683" i="3"/>
  <c r="AR1077" i="3"/>
  <c r="AS1078" i="3"/>
  <c r="U291" i="1"/>
  <c r="S292" i="1"/>
  <c r="T292" i="1" s="1"/>
  <c r="R295" i="1"/>
  <c r="AS1074" i="1"/>
  <c r="AR1073" i="1"/>
  <c r="AR1078" i="3" l="1"/>
  <c r="AS1079" i="3"/>
  <c r="U684" i="3"/>
  <c r="R686" i="3"/>
  <c r="S685" i="3"/>
  <c r="T685" i="3" s="1"/>
  <c r="U292" i="1"/>
  <c r="S293" i="1"/>
  <c r="T293" i="1" s="1"/>
  <c r="R296" i="1"/>
  <c r="AS1075" i="1"/>
  <c r="AR1074" i="1"/>
  <c r="R687" i="3" l="1"/>
  <c r="S686" i="3"/>
  <c r="T686" i="3" s="1"/>
  <c r="AR1079" i="3"/>
  <c r="AS1080" i="3"/>
  <c r="U685" i="3"/>
  <c r="U293" i="1"/>
  <c r="S294" i="1"/>
  <c r="T294" i="1" s="1"/>
  <c r="R297" i="1"/>
  <c r="AS1076" i="1"/>
  <c r="AR1075" i="1"/>
  <c r="U686" i="3" l="1"/>
  <c r="S687" i="3"/>
  <c r="T687" i="3" s="1"/>
  <c r="R688" i="3"/>
  <c r="AS1081" i="3"/>
  <c r="AR1080" i="3"/>
  <c r="U294" i="1"/>
  <c r="S295" i="1"/>
  <c r="T295" i="1" s="1"/>
  <c r="R298" i="1"/>
  <c r="AS1077" i="1"/>
  <c r="AR1076" i="1"/>
  <c r="S688" i="3" l="1"/>
  <c r="T688" i="3" s="1"/>
  <c r="R689" i="3"/>
  <c r="AR1081" i="3"/>
  <c r="AS1082" i="3"/>
  <c r="U687" i="3"/>
  <c r="U295" i="1"/>
  <c r="S296" i="1"/>
  <c r="T296" i="1" s="1"/>
  <c r="R299" i="1"/>
  <c r="AS1078" i="1"/>
  <c r="AR1077" i="1"/>
  <c r="AR1082" i="3" l="1"/>
  <c r="AS1083" i="3"/>
  <c r="S689" i="3"/>
  <c r="T689" i="3" s="1"/>
  <c r="R690" i="3"/>
  <c r="U688" i="3"/>
  <c r="U296" i="1"/>
  <c r="S297" i="1"/>
  <c r="T297" i="1" s="1"/>
  <c r="R300" i="1"/>
  <c r="AS1079" i="1"/>
  <c r="AR1078" i="1"/>
  <c r="U689" i="3" l="1"/>
  <c r="R691" i="3"/>
  <c r="S690" i="3"/>
  <c r="T690" i="3" s="1"/>
  <c r="AR1083" i="3"/>
  <c r="AS1084" i="3"/>
  <c r="U297" i="1"/>
  <c r="S298" i="1"/>
  <c r="T298" i="1" s="1"/>
  <c r="R301" i="1"/>
  <c r="AS1080" i="1"/>
  <c r="AR1079" i="1"/>
  <c r="AS1085" i="3" l="1"/>
  <c r="AR1084" i="3"/>
  <c r="U690" i="3"/>
  <c r="S691" i="3"/>
  <c r="T691" i="3" s="1"/>
  <c r="R692" i="3"/>
  <c r="U298" i="1"/>
  <c r="S299" i="1"/>
  <c r="T299" i="1" s="1"/>
  <c r="R302" i="1"/>
  <c r="AS1081" i="1"/>
  <c r="AR1080" i="1"/>
  <c r="U691" i="3" l="1"/>
  <c r="AR1085" i="3"/>
  <c r="AS1086" i="3"/>
  <c r="R693" i="3"/>
  <c r="S692" i="3"/>
  <c r="T692" i="3" s="1"/>
  <c r="U299" i="1"/>
  <c r="S300" i="1"/>
  <c r="T300" i="1" s="1"/>
  <c r="R303" i="1"/>
  <c r="AS1082" i="1"/>
  <c r="AR1081" i="1"/>
  <c r="U692" i="3" l="1"/>
  <c r="R694" i="3"/>
  <c r="S693" i="3"/>
  <c r="T693" i="3" s="1"/>
  <c r="AR1086" i="3"/>
  <c r="AS1087" i="3"/>
  <c r="U300" i="1"/>
  <c r="S301" i="1"/>
  <c r="T301" i="1" s="1"/>
  <c r="R304" i="1"/>
  <c r="AS1083" i="1"/>
  <c r="AR1082" i="1"/>
  <c r="S694" i="3" l="1"/>
  <c r="T694" i="3" s="1"/>
  <c r="R695" i="3"/>
  <c r="AR1087" i="3"/>
  <c r="AS1088" i="3"/>
  <c r="U693" i="3"/>
  <c r="U301" i="1"/>
  <c r="S302" i="1"/>
  <c r="T302" i="1" s="1"/>
  <c r="R305" i="1"/>
  <c r="AS1084" i="1"/>
  <c r="AR1083" i="1"/>
  <c r="S695" i="3" l="1"/>
  <c r="T695" i="3" s="1"/>
  <c r="R696" i="3"/>
  <c r="U694" i="3"/>
  <c r="AR1088" i="3"/>
  <c r="AS1089" i="3"/>
  <c r="U302" i="1"/>
  <c r="S303" i="1"/>
  <c r="T303" i="1" s="1"/>
  <c r="R306" i="1"/>
  <c r="AS1085" i="1"/>
  <c r="AR1084" i="1"/>
  <c r="AR1089" i="3" l="1"/>
  <c r="AS1090" i="3"/>
  <c r="U695" i="3"/>
  <c r="S696" i="3"/>
  <c r="T696" i="3" s="1"/>
  <c r="R697" i="3"/>
  <c r="U303" i="1"/>
  <c r="S304" i="1"/>
  <c r="T304" i="1" s="1"/>
  <c r="R307" i="1"/>
  <c r="AS1086" i="1"/>
  <c r="AR1085" i="1"/>
  <c r="U696" i="3" l="1"/>
  <c r="AR1090" i="3"/>
  <c r="AS1091" i="3"/>
  <c r="S697" i="3"/>
  <c r="T697" i="3" s="1"/>
  <c r="R698" i="3"/>
  <c r="U304" i="1"/>
  <c r="S305" i="1"/>
  <c r="T305" i="1" s="1"/>
  <c r="R308" i="1"/>
  <c r="AS1087" i="1"/>
  <c r="AR1086" i="1"/>
  <c r="S698" i="3" l="1"/>
  <c r="T698" i="3" s="1"/>
  <c r="R699" i="3"/>
  <c r="AS1092" i="3"/>
  <c r="AR1091" i="3"/>
  <c r="U697" i="3"/>
  <c r="U305" i="1"/>
  <c r="S306" i="1"/>
  <c r="T306" i="1" s="1"/>
  <c r="R309" i="1"/>
  <c r="AS1088" i="1"/>
  <c r="AR1087" i="1"/>
  <c r="AS1093" i="3" l="1"/>
  <c r="AR1092" i="3"/>
  <c r="U698" i="3"/>
  <c r="S699" i="3"/>
  <c r="T699" i="3" s="1"/>
  <c r="R700" i="3"/>
  <c r="U306" i="1"/>
  <c r="S307" i="1"/>
  <c r="T307" i="1" s="1"/>
  <c r="R310" i="1"/>
  <c r="AS1089" i="1"/>
  <c r="AR1088" i="1"/>
  <c r="U699" i="3" l="1"/>
  <c r="S700" i="3"/>
  <c r="T700" i="3" s="1"/>
  <c r="R701" i="3"/>
  <c r="AR1093" i="3"/>
  <c r="AS1094" i="3"/>
  <c r="U307" i="1"/>
  <c r="S308" i="1"/>
  <c r="T308" i="1" s="1"/>
  <c r="R311" i="1"/>
  <c r="AS1090" i="1"/>
  <c r="AR1089" i="1"/>
  <c r="AR1094" i="3" l="1"/>
  <c r="AS1095" i="3"/>
  <c r="U700" i="3"/>
  <c r="S701" i="3"/>
  <c r="T701" i="3" s="1"/>
  <c r="R702" i="3"/>
  <c r="U308" i="1"/>
  <c r="S309" i="1"/>
  <c r="T309" i="1" s="1"/>
  <c r="R312" i="1"/>
  <c r="AS1091" i="1"/>
  <c r="AR1090" i="1"/>
  <c r="S702" i="3" l="1"/>
  <c r="T702" i="3" s="1"/>
  <c r="R703" i="3"/>
  <c r="U701" i="3"/>
  <c r="AR1095" i="3"/>
  <c r="AS1096" i="3"/>
  <c r="U309" i="1"/>
  <c r="S310" i="1"/>
  <c r="T310" i="1" s="1"/>
  <c r="R313" i="1"/>
  <c r="AS1092" i="1"/>
  <c r="AR1091" i="1"/>
  <c r="U702" i="3" l="1"/>
  <c r="S703" i="3"/>
  <c r="T703" i="3" s="1"/>
  <c r="R704" i="3"/>
  <c r="AR1096" i="3"/>
  <c r="AS1097" i="3"/>
  <c r="U310" i="1"/>
  <c r="S311" i="1"/>
  <c r="T311" i="1" s="1"/>
  <c r="R314" i="1"/>
  <c r="AS1093" i="1"/>
  <c r="AR1092" i="1"/>
  <c r="S704" i="3" l="1"/>
  <c r="T704" i="3" s="1"/>
  <c r="R705" i="3"/>
  <c r="AR1097" i="3"/>
  <c r="AS1098" i="3"/>
  <c r="U703" i="3"/>
  <c r="U311" i="1"/>
  <c r="S312" i="1"/>
  <c r="T312" i="1" s="1"/>
  <c r="R315" i="1"/>
  <c r="AS1094" i="1"/>
  <c r="AR1093" i="1"/>
  <c r="AR1098" i="3" l="1"/>
  <c r="AS1099" i="3"/>
  <c r="R706" i="3"/>
  <c r="S705" i="3"/>
  <c r="T705" i="3" s="1"/>
  <c r="U704" i="3"/>
  <c r="U312" i="1"/>
  <c r="S313" i="1"/>
  <c r="T313" i="1" s="1"/>
  <c r="R316" i="1"/>
  <c r="AS1095" i="1"/>
  <c r="AR1094" i="1"/>
  <c r="AR1099" i="3" l="1"/>
  <c r="AS1100" i="3"/>
  <c r="U705" i="3"/>
  <c r="S706" i="3"/>
  <c r="T706" i="3" s="1"/>
  <c r="R707" i="3"/>
  <c r="U313" i="1"/>
  <c r="S314" i="1"/>
  <c r="T314" i="1" s="1"/>
  <c r="R317" i="1"/>
  <c r="AS1096" i="1"/>
  <c r="AR1095" i="1"/>
  <c r="U706" i="3" l="1"/>
  <c r="AS1101" i="3"/>
  <c r="AR1100" i="3"/>
  <c r="S707" i="3"/>
  <c r="T707" i="3" s="1"/>
  <c r="R708" i="3"/>
  <c r="U314" i="1"/>
  <c r="S315" i="1"/>
  <c r="T315" i="1" s="1"/>
  <c r="R318" i="1"/>
  <c r="AS1097" i="1"/>
  <c r="AR1096" i="1"/>
  <c r="AR1101" i="3" l="1"/>
  <c r="AS1102" i="3"/>
  <c r="S708" i="3"/>
  <c r="T708" i="3" s="1"/>
  <c r="R709" i="3"/>
  <c r="U707" i="3"/>
  <c r="U315" i="1"/>
  <c r="S316" i="1"/>
  <c r="T316" i="1" s="1"/>
  <c r="R319" i="1"/>
  <c r="AS1098" i="1"/>
  <c r="AR1097" i="1"/>
  <c r="S709" i="3" l="1"/>
  <c r="T709" i="3" s="1"/>
  <c r="R710" i="3"/>
  <c r="AR1102" i="3"/>
  <c r="AS1103" i="3"/>
  <c r="U708" i="3"/>
  <c r="U316" i="1"/>
  <c r="S317" i="1"/>
  <c r="T317" i="1" s="1"/>
  <c r="R320" i="1"/>
  <c r="AS1099" i="1"/>
  <c r="AR1098" i="1"/>
  <c r="AR1103" i="3" l="1"/>
  <c r="AS1104" i="3"/>
  <c r="S710" i="3"/>
  <c r="T710" i="3" s="1"/>
  <c r="R711" i="3"/>
  <c r="U709" i="3"/>
  <c r="U317" i="1"/>
  <c r="S318" i="1"/>
  <c r="T318" i="1" s="1"/>
  <c r="R321" i="1"/>
  <c r="AS1100" i="1"/>
  <c r="AR1099" i="1"/>
  <c r="S711" i="3" l="1"/>
  <c r="T711" i="3" s="1"/>
  <c r="R712" i="3"/>
  <c r="AR1104" i="3"/>
  <c r="AS1105" i="3"/>
  <c r="U710" i="3"/>
  <c r="U318" i="1"/>
  <c r="S319" i="1"/>
  <c r="T319" i="1" s="1"/>
  <c r="R322" i="1"/>
  <c r="AS1101" i="1"/>
  <c r="AR1100" i="1"/>
  <c r="AR1105" i="3" l="1"/>
  <c r="AS1106" i="3"/>
  <c r="U711" i="3"/>
  <c r="S712" i="3"/>
  <c r="T712" i="3" s="1"/>
  <c r="R713" i="3"/>
  <c r="U319" i="1"/>
  <c r="S320" i="1"/>
  <c r="T320" i="1" s="1"/>
  <c r="R323" i="1"/>
  <c r="AS1102" i="1"/>
  <c r="AR1101" i="1"/>
  <c r="U712" i="3" l="1"/>
  <c r="AR1106" i="3"/>
  <c r="AS1107" i="3"/>
  <c r="R714" i="3"/>
  <c r="S713" i="3"/>
  <c r="T713" i="3" s="1"/>
  <c r="U320" i="1"/>
  <c r="S321" i="1"/>
  <c r="T321" i="1" s="1"/>
  <c r="R324" i="1"/>
  <c r="AS1103" i="1"/>
  <c r="AR1102" i="1"/>
  <c r="AS1108" i="3" l="1"/>
  <c r="AR1107" i="3"/>
  <c r="S714" i="3"/>
  <c r="T714" i="3" s="1"/>
  <c r="R715" i="3"/>
  <c r="U713" i="3"/>
  <c r="U321" i="1"/>
  <c r="S322" i="1"/>
  <c r="T322" i="1" s="1"/>
  <c r="R325" i="1"/>
  <c r="AS1104" i="1"/>
  <c r="AR1103" i="1"/>
  <c r="S715" i="3" l="1"/>
  <c r="T715" i="3" s="1"/>
  <c r="R716" i="3"/>
  <c r="U714" i="3"/>
  <c r="AR1108" i="3"/>
  <c r="AS1109" i="3"/>
  <c r="U322" i="1"/>
  <c r="S323" i="1"/>
  <c r="T323" i="1" s="1"/>
  <c r="R326" i="1"/>
  <c r="AS1105" i="1"/>
  <c r="AR1104" i="1"/>
  <c r="AR1109" i="3" l="1"/>
  <c r="AS1110" i="3"/>
  <c r="U715" i="3"/>
  <c r="S716" i="3"/>
  <c r="T716" i="3" s="1"/>
  <c r="R717" i="3"/>
  <c r="U323" i="1"/>
  <c r="S324" i="1"/>
  <c r="T324" i="1" s="1"/>
  <c r="R327" i="1"/>
  <c r="AS1106" i="1"/>
  <c r="AR1105" i="1"/>
  <c r="S717" i="3" l="1"/>
  <c r="T717" i="3" s="1"/>
  <c r="R718" i="3"/>
  <c r="U716" i="3"/>
  <c r="AR1110" i="3"/>
  <c r="AS1111" i="3"/>
  <c r="U324" i="1"/>
  <c r="S325" i="1"/>
  <c r="T325" i="1" s="1"/>
  <c r="R328" i="1"/>
  <c r="AS1107" i="1"/>
  <c r="AR1106" i="1"/>
  <c r="U717" i="3" l="1"/>
  <c r="AR1111" i="3"/>
  <c r="AS1112" i="3"/>
  <c r="S718" i="3"/>
  <c r="T718" i="3" s="1"/>
  <c r="R719" i="3"/>
  <c r="U325" i="1"/>
  <c r="S326" i="1"/>
  <c r="T326" i="1" s="1"/>
  <c r="R329" i="1"/>
  <c r="AS1108" i="1"/>
  <c r="AR1107" i="1"/>
  <c r="S719" i="3" l="1"/>
  <c r="T719" i="3" s="1"/>
  <c r="R720" i="3"/>
  <c r="AR1112" i="3"/>
  <c r="AS1113" i="3"/>
  <c r="U718" i="3"/>
  <c r="U326" i="1"/>
  <c r="S327" i="1"/>
  <c r="T327" i="1" s="1"/>
  <c r="R330" i="1"/>
  <c r="AS1109" i="1"/>
  <c r="AR1108" i="1"/>
  <c r="AR1113" i="3" l="1"/>
  <c r="AS1114" i="3"/>
  <c r="U719" i="3"/>
  <c r="S720" i="3"/>
  <c r="T720" i="3" s="1"/>
  <c r="R721" i="3"/>
  <c r="U327" i="1"/>
  <c r="S328" i="1"/>
  <c r="T328" i="1" s="1"/>
  <c r="R331" i="1"/>
  <c r="AS1110" i="1"/>
  <c r="AR1109" i="1"/>
  <c r="R722" i="3" l="1"/>
  <c r="S721" i="3"/>
  <c r="T721" i="3" s="1"/>
  <c r="U720" i="3"/>
  <c r="AR1114" i="3"/>
  <c r="AS1115" i="3"/>
  <c r="U328" i="1"/>
  <c r="S329" i="1"/>
  <c r="T329" i="1" s="1"/>
  <c r="R332" i="1"/>
  <c r="AS1111" i="1"/>
  <c r="AR1110" i="1"/>
  <c r="U721" i="3" l="1"/>
  <c r="AR1115" i="3"/>
  <c r="AS1116" i="3"/>
  <c r="S722" i="3"/>
  <c r="T722" i="3" s="1"/>
  <c r="R723" i="3"/>
  <c r="U329" i="1"/>
  <c r="S330" i="1"/>
  <c r="T330" i="1" s="1"/>
  <c r="R333" i="1"/>
  <c r="AS1112" i="1"/>
  <c r="AR1111" i="1"/>
  <c r="AS1117" i="3" l="1"/>
  <c r="AR1116" i="3"/>
  <c r="S723" i="3"/>
  <c r="T723" i="3" s="1"/>
  <c r="R724" i="3"/>
  <c r="U722" i="3"/>
  <c r="U330" i="1"/>
  <c r="S331" i="1"/>
  <c r="T331" i="1" s="1"/>
  <c r="R334" i="1"/>
  <c r="AS1113" i="1"/>
  <c r="AR1112" i="1"/>
  <c r="S724" i="3" l="1"/>
  <c r="T724" i="3" s="1"/>
  <c r="R725" i="3"/>
  <c r="AR1117" i="3"/>
  <c r="AS1118" i="3"/>
  <c r="U723" i="3"/>
  <c r="U331" i="1"/>
  <c r="S332" i="1"/>
  <c r="T332" i="1" s="1"/>
  <c r="R335" i="1"/>
  <c r="AS1114" i="1"/>
  <c r="AR1113" i="1"/>
  <c r="AR1118" i="3" l="1"/>
  <c r="AS1119" i="3"/>
  <c r="S725" i="3"/>
  <c r="T725" i="3" s="1"/>
  <c r="R726" i="3"/>
  <c r="U724" i="3"/>
  <c r="U332" i="1"/>
  <c r="S333" i="1"/>
  <c r="T333" i="1" s="1"/>
  <c r="R336" i="1"/>
  <c r="AS1115" i="1"/>
  <c r="AR1114" i="1"/>
  <c r="S726" i="3" l="1"/>
  <c r="T726" i="3" s="1"/>
  <c r="R727" i="3"/>
  <c r="U725" i="3"/>
  <c r="AR1119" i="3"/>
  <c r="AS1120" i="3"/>
  <c r="U333" i="1"/>
  <c r="S334" i="1"/>
  <c r="T334" i="1" s="1"/>
  <c r="R337" i="1"/>
  <c r="AS1116" i="1"/>
  <c r="AR1115" i="1"/>
  <c r="AS1121" i="3" l="1"/>
  <c r="AR1120" i="3"/>
  <c r="S727" i="3"/>
  <c r="T727" i="3" s="1"/>
  <c r="R728" i="3"/>
  <c r="U726" i="3"/>
  <c r="U334" i="1"/>
  <c r="S335" i="1"/>
  <c r="T335" i="1" s="1"/>
  <c r="R338" i="1"/>
  <c r="AS1117" i="1"/>
  <c r="AR1116" i="1"/>
  <c r="U727" i="3" l="1"/>
  <c r="AR1121" i="3"/>
  <c r="AS1122" i="3"/>
  <c r="S728" i="3"/>
  <c r="T728" i="3" s="1"/>
  <c r="R729" i="3"/>
  <c r="U335" i="1"/>
  <c r="S336" i="1"/>
  <c r="T336" i="1" s="1"/>
  <c r="R339" i="1"/>
  <c r="AS1118" i="1"/>
  <c r="AR1117" i="1"/>
  <c r="R730" i="3" l="1"/>
  <c r="S729" i="3"/>
  <c r="T729" i="3" s="1"/>
  <c r="AR1122" i="3"/>
  <c r="AS1123" i="3"/>
  <c r="U728" i="3"/>
  <c r="U336" i="1"/>
  <c r="S337" i="1"/>
  <c r="T337" i="1" s="1"/>
  <c r="R340" i="1"/>
  <c r="AS1119" i="1"/>
  <c r="AR1118" i="1"/>
  <c r="AS1124" i="3" l="1"/>
  <c r="AR1123" i="3"/>
  <c r="U729" i="3"/>
  <c r="S730" i="3"/>
  <c r="T730" i="3" s="1"/>
  <c r="R731" i="3"/>
  <c r="U337" i="1"/>
  <c r="S338" i="1"/>
  <c r="T338" i="1" s="1"/>
  <c r="R341" i="1"/>
  <c r="AS1120" i="1"/>
  <c r="AR1119" i="1"/>
  <c r="S731" i="3" l="1"/>
  <c r="T731" i="3" s="1"/>
  <c r="R732" i="3"/>
  <c r="U730" i="3"/>
  <c r="AR1124" i="3"/>
  <c r="AS1125" i="3"/>
  <c r="U338" i="1"/>
  <c r="S339" i="1"/>
  <c r="T339" i="1" s="1"/>
  <c r="R342" i="1"/>
  <c r="AS1121" i="1"/>
  <c r="AR1120" i="1"/>
  <c r="U731" i="3" l="1"/>
  <c r="R733" i="3"/>
  <c r="S732" i="3"/>
  <c r="T732" i="3" s="1"/>
  <c r="AR1125" i="3"/>
  <c r="AS1126" i="3"/>
  <c r="U339" i="1"/>
  <c r="S340" i="1"/>
  <c r="T340" i="1" s="1"/>
  <c r="R343" i="1"/>
  <c r="AS1122" i="1"/>
  <c r="AR1121" i="1"/>
  <c r="R734" i="3" l="1"/>
  <c r="S733" i="3"/>
  <c r="T733" i="3" s="1"/>
  <c r="AR1126" i="3"/>
  <c r="AS1127" i="3"/>
  <c r="U732" i="3"/>
  <c r="U340" i="1"/>
  <c r="S341" i="1"/>
  <c r="T341" i="1" s="1"/>
  <c r="R344" i="1"/>
  <c r="AS1123" i="1"/>
  <c r="AR1122" i="1"/>
  <c r="U733" i="3" l="1"/>
  <c r="AS1128" i="3"/>
  <c r="AR1127" i="3"/>
  <c r="S734" i="3"/>
  <c r="T734" i="3" s="1"/>
  <c r="R735" i="3"/>
  <c r="U341" i="1"/>
  <c r="S342" i="1"/>
  <c r="T342" i="1" s="1"/>
  <c r="R345" i="1"/>
  <c r="AS1124" i="1"/>
  <c r="AR1123" i="1"/>
  <c r="S735" i="3" l="1"/>
  <c r="T735" i="3" s="1"/>
  <c r="R736" i="3"/>
  <c r="AR1128" i="3"/>
  <c r="AS1129" i="3"/>
  <c r="U734" i="3"/>
  <c r="U342" i="1"/>
  <c r="S343" i="1"/>
  <c r="T343" i="1" s="1"/>
  <c r="R346" i="1"/>
  <c r="AS1125" i="1"/>
  <c r="AR1124" i="1"/>
  <c r="U735" i="3" l="1"/>
  <c r="AR1129" i="3"/>
  <c r="AS1130" i="3"/>
  <c r="R737" i="3"/>
  <c r="S736" i="3"/>
  <c r="T736" i="3" s="1"/>
  <c r="U343" i="1"/>
  <c r="S344" i="1"/>
  <c r="T344" i="1" s="1"/>
  <c r="R347" i="1"/>
  <c r="AS1126" i="1"/>
  <c r="AR1125" i="1"/>
  <c r="R738" i="3" l="1"/>
  <c r="S737" i="3"/>
  <c r="T737" i="3" s="1"/>
  <c r="AR1130" i="3"/>
  <c r="AS1131" i="3"/>
  <c r="U736" i="3"/>
  <c r="U344" i="1"/>
  <c r="S345" i="1"/>
  <c r="T345" i="1" s="1"/>
  <c r="R348" i="1"/>
  <c r="AS1127" i="1"/>
  <c r="AR1126" i="1"/>
  <c r="U737" i="3" l="1"/>
  <c r="AR1131" i="3"/>
  <c r="AS1132" i="3"/>
  <c r="R739" i="3"/>
  <c r="S738" i="3"/>
  <c r="T738" i="3" s="1"/>
  <c r="U345" i="1"/>
  <c r="S346" i="1"/>
  <c r="T346" i="1" s="1"/>
  <c r="R349" i="1"/>
  <c r="AS1128" i="1"/>
  <c r="AR1127" i="1"/>
  <c r="U738" i="3" l="1"/>
  <c r="AS1133" i="3"/>
  <c r="AR1132" i="3"/>
  <c r="S739" i="3"/>
  <c r="T739" i="3" s="1"/>
  <c r="R740" i="3"/>
  <c r="U346" i="1"/>
  <c r="S347" i="1"/>
  <c r="T347" i="1" s="1"/>
  <c r="R350" i="1"/>
  <c r="AS1129" i="1"/>
  <c r="AR1128" i="1"/>
  <c r="R741" i="3" l="1"/>
  <c r="S740" i="3"/>
  <c r="T740" i="3" s="1"/>
  <c r="AR1133" i="3"/>
  <c r="AS1134" i="3"/>
  <c r="U739" i="3"/>
  <c r="U347" i="1"/>
  <c r="S348" i="1"/>
  <c r="T348" i="1" s="1"/>
  <c r="R351" i="1"/>
  <c r="AS1130" i="1"/>
  <c r="AR1129" i="1"/>
  <c r="AR1134" i="3" l="1"/>
  <c r="AS1135" i="3"/>
  <c r="U740" i="3"/>
  <c r="R742" i="3"/>
  <c r="S741" i="3"/>
  <c r="T741" i="3" s="1"/>
  <c r="U348" i="1"/>
  <c r="S349" i="1"/>
  <c r="T349" i="1" s="1"/>
  <c r="R352" i="1"/>
  <c r="AS1131" i="1"/>
  <c r="AR1130" i="1"/>
  <c r="U741" i="3" l="1"/>
  <c r="R743" i="3"/>
  <c r="S742" i="3"/>
  <c r="T742" i="3" s="1"/>
  <c r="AR1135" i="3"/>
  <c r="AS1136" i="3"/>
  <c r="U349" i="1"/>
  <c r="S350" i="1"/>
  <c r="T350" i="1" s="1"/>
  <c r="R353" i="1"/>
  <c r="AS1132" i="1"/>
  <c r="AR1131" i="1"/>
  <c r="S743" i="3" l="1"/>
  <c r="T743" i="3" s="1"/>
  <c r="R744" i="3"/>
  <c r="U742" i="3"/>
  <c r="AS1137" i="3"/>
  <c r="AR1136" i="3"/>
  <c r="U350" i="1"/>
  <c r="S351" i="1"/>
  <c r="T351" i="1" s="1"/>
  <c r="R354" i="1"/>
  <c r="AS1133" i="1"/>
  <c r="AR1132" i="1"/>
  <c r="AR1137" i="3" l="1"/>
  <c r="AS1138" i="3"/>
  <c r="U743" i="3"/>
  <c r="R745" i="3"/>
  <c r="S744" i="3"/>
  <c r="T744" i="3" s="1"/>
  <c r="U351" i="1"/>
  <c r="S352" i="1"/>
  <c r="T352" i="1" s="1"/>
  <c r="R355" i="1"/>
  <c r="AS1134" i="1"/>
  <c r="AR1133" i="1"/>
  <c r="R746" i="3" l="1"/>
  <c r="S745" i="3"/>
  <c r="T745" i="3" s="1"/>
  <c r="U744" i="3"/>
  <c r="AR1138" i="3"/>
  <c r="AS1139" i="3"/>
  <c r="U352" i="1"/>
  <c r="S353" i="1"/>
  <c r="T353" i="1" s="1"/>
  <c r="R356" i="1"/>
  <c r="AS1135" i="1"/>
  <c r="AR1134" i="1"/>
  <c r="AS1140" i="3" l="1"/>
  <c r="AR1139" i="3"/>
  <c r="U745" i="3"/>
  <c r="S746" i="3"/>
  <c r="T746" i="3" s="1"/>
  <c r="R747" i="3"/>
  <c r="U353" i="1"/>
  <c r="S354" i="1"/>
  <c r="T354" i="1" s="1"/>
  <c r="R357" i="1"/>
  <c r="AS1136" i="1"/>
  <c r="AR1135" i="1"/>
  <c r="U746" i="3" l="1"/>
  <c r="R748" i="3"/>
  <c r="S747" i="3"/>
  <c r="T747" i="3" s="1"/>
  <c r="AR1140" i="3"/>
  <c r="AS1141" i="3"/>
  <c r="U354" i="1"/>
  <c r="S355" i="1"/>
  <c r="T355" i="1" s="1"/>
  <c r="R358" i="1"/>
  <c r="AS1137" i="1"/>
  <c r="AR1136" i="1"/>
  <c r="R749" i="3" l="1"/>
  <c r="S748" i="3"/>
  <c r="T748" i="3" s="1"/>
  <c r="AR1141" i="3"/>
  <c r="AS1142" i="3"/>
  <c r="U747" i="3"/>
  <c r="U355" i="1"/>
  <c r="S356" i="1"/>
  <c r="T356" i="1" s="1"/>
  <c r="R359" i="1"/>
  <c r="AS1138" i="1"/>
  <c r="AR1137" i="1"/>
  <c r="R750" i="3" l="1"/>
  <c r="S749" i="3"/>
  <c r="T749" i="3" s="1"/>
  <c r="U748" i="3"/>
  <c r="AR1142" i="3"/>
  <c r="AS1143" i="3"/>
  <c r="U356" i="1"/>
  <c r="S357" i="1"/>
  <c r="T357" i="1" s="1"/>
  <c r="R360" i="1"/>
  <c r="AS1139" i="1"/>
  <c r="AR1138" i="1"/>
  <c r="U749" i="3" l="1"/>
  <c r="AS1144" i="3"/>
  <c r="AR1143" i="3"/>
  <c r="S750" i="3"/>
  <c r="T750" i="3" s="1"/>
  <c r="R751" i="3"/>
  <c r="U357" i="1"/>
  <c r="S358" i="1"/>
  <c r="T358" i="1" s="1"/>
  <c r="R361" i="1"/>
  <c r="AS1140" i="1"/>
  <c r="AR1139" i="1"/>
  <c r="AR1144" i="3" l="1"/>
  <c r="AS1145" i="3"/>
  <c r="S751" i="3"/>
  <c r="T751" i="3" s="1"/>
  <c r="R752" i="3"/>
  <c r="U750" i="3"/>
  <c r="U358" i="1"/>
  <c r="S359" i="1"/>
  <c r="T359" i="1" s="1"/>
  <c r="R362" i="1"/>
  <c r="AS1141" i="1"/>
  <c r="AR1140" i="1"/>
  <c r="R753" i="3" l="1"/>
  <c r="S752" i="3"/>
  <c r="T752" i="3" s="1"/>
  <c r="AR1145" i="3"/>
  <c r="AS1146" i="3"/>
  <c r="U751" i="3"/>
  <c r="U359" i="1"/>
  <c r="S360" i="1"/>
  <c r="T360" i="1" s="1"/>
  <c r="R363" i="1"/>
  <c r="AS1142" i="1"/>
  <c r="AR1141" i="1"/>
  <c r="AR1146" i="3" l="1"/>
  <c r="AS1147" i="3"/>
  <c r="U752" i="3"/>
  <c r="R754" i="3"/>
  <c r="S753" i="3"/>
  <c r="T753" i="3" s="1"/>
  <c r="U360" i="1"/>
  <c r="S361" i="1"/>
  <c r="T361" i="1" s="1"/>
  <c r="R364" i="1"/>
  <c r="AS1143" i="1"/>
  <c r="AR1142" i="1"/>
  <c r="S754" i="3" l="1"/>
  <c r="T754" i="3" s="1"/>
  <c r="R755" i="3"/>
  <c r="U753" i="3"/>
  <c r="AR1147" i="3"/>
  <c r="AS1148" i="3"/>
  <c r="U361" i="1"/>
  <c r="S362" i="1"/>
  <c r="T362" i="1" s="1"/>
  <c r="R365" i="1"/>
  <c r="AS1144" i="1"/>
  <c r="AR1143" i="1"/>
  <c r="AS1149" i="3" l="1"/>
  <c r="AR1148" i="3"/>
  <c r="U754" i="3"/>
  <c r="S755" i="3"/>
  <c r="T755" i="3" s="1"/>
  <c r="R756" i="3"/>
  <c r="U362" i="1"/>
  <c r="S363" i="1"/>
  <c r="T363" i="1" s="1"/>
  <c r="R366" i="1"/>
  <c r="AS1145" i="1"/>
  <c r="AR1144" i="1"/>
  <c r="U755" i="3" l="1"/>
  <c r="AR1149" i="3"/>
  <c r="AS1150" i="3"/>
  <c r="R757" i="3"/>
  <c r="S756" i="3"/>
  <c r="T756" i="3" s="1"/>
  <c r="U363" i="1"/>
  <c r="S364" i="1"/>
  <c r="T364" i="1" s="1"/>
  <c r="R367" i="1"/>
  <c r="AS1146" i="1"/>
  <c r="AR1145" i="1"/>
  <c r="AS1151" i="3" l="1"/>
  <c r="AR1150" i="3"/>
  <c r="U756" i="3"/>
  <c r="R758" i="3"/>
  <c r="S757" i="3"/>
  <c r="T757" i="3" s="1"/>
  <c r="U364" i="1"/>
  <c r="S365" i="1"/>
  <c r="T365" i="1" s="1"/>
  <c r="R368" i="1"/>
  <c r="AS1147" i="1"/>
  <c r="AR1146" i="1"/>
  <c r="U757" i="3" l="1"/>
  <c r="R759" i="3"/>
  <c r="S758" i="3"/>
  <c r="T758" i="3" s="1"/>
  <c r="AR1151" i="3"/>
  <c r="AS1152" i="3"/>
  <c r="U365" i="1"/>
  <c r="S366" i="1"/>
  <c r="T366" i="1" s="1"/>
  <c r="R369" i="1"/>
  <c r="AS1148" i="1"/>
  <c r="AR1147" i="1"/>
  <c r="AR1152" i="3" l="1"/>
  <c r="AS1153" i="3"/>
  <c r="S759" i="3"/>
  <c r="T759" i="3" s="1"/>
  <c r="R760" i="3"/>
  <c r="U758" i="3"/>
  <c r="U366" i="1"/>
  <c r="S367" i="1"/>
  <c r="T367" i="1" s="1"/>
  <c r="R370" i="1"/>
  <c r="AS1149" i="1"/>
  <c r="AR1148" i="1"/>
  <c r="AR1153" i="3" l="1"/>
  <c r="AS1154" i="3"/>
  <c r="U759" i="3"/>
  <c r="R761" i="3"/>
  <c r="S760" i="3"/>
  <c r="T760" i="3" s="1"/>
  <c r="U367" i="1"/>
  <c r="S368" i="1"/>
  <c r="T368" i="1" s="1"/>
  <c r="R371" i="1"/>
  <c r="AS1150" i="1"/>
  <c r="AR1149" i="1"/>
  <c r="R762" i="3" l="1"/>
  <c r="S761" i="3"/>
  <c r="T761" i="3" s="1"/>
  <c r="U760" i="3"/>
  <c r="AR1154" i="3"/>
  <c r="AS1155" i="3"/>
  <c r="U368" i="1"/>
  <c r="S369" i="1"/>
  <c r="T369" i="1" s="1"/>
  <c r="R372" i="1"/>
  <c r="AS1151" i="1"/>
  <c r="AR1150" i="1"/>
  <c r="U761" i="3" l="1"/>
  <c r="S762" i="3"/>
  <c r="T762" i="3" s="1"/>
  <c r="R763" i="3"/>
  <c r="AS1156" i="3"/>
  <c r="AR1155" i="3"/>
  <c r="U369" i="1"/>
  <c r="S370" i="1"/>
  <c r="T370" i="1" s="1"/>
  <c r="R373" i="1"/>
  <c r="AS1152" i="1"/>
  <c r="AR1151" i="1"/>
  <c r="R764" i="3" l="1"/>
  <c r="S763" i="3"/>
  <c r="T763" i="3" s="1"/>
  <c r="AR1156" i="3"/>
  <c r="AS1157" i="3"/>
  <c r="U762" i="3"/>
  <c r="U370" i="1"/>
  <c r="S371" i="1"/>
  <c r="T371" i="1" s="1"/>
  <c r="R374" i="1"/>
  <c r="AS1153" i="1"/>
  <c r="AR1152" i="1"/>
  <c r="AR1157" i="3" l="1"/>
  <c r="AS1158" i="3"/>
  <c r="R765" i="3"/>
  <c r="S764" i="3"/>
  <c r="T764" i="3" s="1"/>
  <c r="U763" i="3"/>
  <c r="U371" i="1"/>
  <c r="S372" i="1"/>
  <c r="T372" i="1" s="1"/>
  <c r="R375" i="1"/>
  <c r="AS1154" i="1"/>
  <c r="AR1153" i="1"/>
  <c r="R766" i="3" l="1"/>
  <c r="S765" i="3"/>
  <c r="T765" i="3" s="1"/>
  <c r="U764" i="3"/>
  <c r="AR1158" i="3"/>
  <c r="AS1159" i="3"/>
  <c r="U372" i="1"/>
  <c r="S373" i="1"/>
  <c r="T373" i="1" s="1"/>
  <c r="R376" i="1"/>
  <c r="AS1155" i="1"/>
  <c r="AR1154" i="1"/>
  <c r="U765" i="3" l="1"/>
  <c r="AR1159" i="3"/>
  <c r="AS1160" i="3"/>
  <c r="S766" i="3"/>
  <c r="T766" i="3" s="1"/>
  <c r="R767" i="3"/>
  <c r="U373" i="1"/>
  <c r="S374" i="1"/>
  <c r="T374" i="1" s="1"/>
  <c r="R377" i="1"/>
  <c r="AS1156" i="1"/>
  <c r="AR1155" i="1"/>
  <c r="AR1160" i="3" l="1"/>
  <c r="AS1161" i="3"/>
  <c r="S767" i="3"/>
  <c r="T767" i="3" s="1"/>
  <c r="R768" i="3"/>
  <c r="U766" i="3"/>
  <c r="U374" i="1"/>
  <c r="S375" i="1"/>
  <c r="T375" i="1" s="1"/>
  <c r="R378" i="1"/>
  <c r="AS1157" i="1"/>
  <c r="AR1156" i="1"/>
  <c r="AR1161" i="3" l="1"/>
  <c r="AS1162" i="3"/>
  <c r="U767" i="3"/>
  <c r="R769" i="3"/>
  <c r="S768" i="3"/>
  <c r="T768" i="3" s="1"/>
  <c r="U375" i="1"/>
  <c r="S376" i="1"/>
  <c r="T376" i="1" s="1"/>
  <c r="R379" i="1"/>
  <c r="AS1158" i="1"/>
  <c r="AR1157" i="1"/>
  <c r="R770" i="3" l="1"/>
  <c r="S769" i="3"/>
  <c r="T769" i="3" s="1"/>
  <c r="U768" i="3"/>
  <c r="AS1163" i="3"/>
  <c r="AR1162" i="3"/>
  <c r="U376" i="1"/>
  <c r="S377" i="1"/>
  <c r="T377" i="1" s="1"/>
  <c r="R380" i="1"/>
  <c r="AS1159" i="1"/>
  <c r="AR1158" i="1"/>
  <c r="S770" i="3" l="1"/>
  <c r="T770" i="3" s="1"/>
  <c r="R771" i="3"/>
  <c r="U769" i="3"/>
  <c r="AR1163" i="3"/>
  <c r="AS1164" i="3"/>
  <c r="U377" i="1"/>
  <c r="S378" i="1"/>
  <c r="T378" i="1" s="1"/>
  <c r="R381" i="1"/>
  <c r="AS1160" i="1"/>
  <c r="AR1159" i="1"/>
  <c r="U770" i="3" l="1"/>
  <c r="AS1165" i="3"/>
  <c r="AR1164" i="3"/>
  <c r="S771" i="3"/>
  <c r="T771" i="3" s="1"/>
  <c r="R772" i="3"/>
  <c r="U378" i="1"/>
  <c r="S379" i="1"/>
  <c r="T379" i="1" s="1"/>
  <c r="R382" i="1"/>
  <c r="AS1161" i="1"/>
  <c r="AR1160" i="1"/>
  <c r="AR1165" i="3" l="1"/>
  <c r="AS1166" i="3"/>
  <c r="U771" i="3"/>
  <c r="R773" i="3"/>
  <c r="S772" i="3"/>
  <c r="T772" i="3" s="1"/>
  <c r="U379" i="1"/>
  <c r="S380" i="1"/>
  <c r="T380" i="1" s="1"/>
  <c r="R383" i="1"/>
  <c r="AS1162" i="1"/>
  <c r="AR1161" i="1"/>
  <c r="U772" i="3" l="1"/>
  <c r="R774" i="3"/>
  <c r="S773" i="3"/>
  <c r="T773" i="3" s="1"/>
  <c r="AR1166" i="3"/>
  <c r="AS1167" i="3"/>
  <c r="U380" i="1"/>
  <c r="S381" i="1"/>
  <c r="T381" i="1" s="1"/>
  <c r="R384" i="1"/>
  <c r="AS1163" i="1"/>
  <c r="AR1162" i="1"/>
  <c r="R775" i="3" l="1"/>
  <c r="S774" i="3"/>
  <c r="T774" i="3" s="1"/>
  <c r="U773" i="3"/>
  <c r="AS1168" i="3"/>
  <c r="AR1167" i="3"/>
  <c r="U381" i="1"/>
  <c r="S382" i="1"/>
  <c r="T382" i="1" s="1"/>
  <c r="R385" i="1"/>
  <c r="AS1164" i="1"/>
  <c r="AR1163" i="1"/>
  <c r="U774" i="3" l="1"/>
  <c r="AR1168" i="3"/>
  <c r="AS1169" i="3"/>
  <c r="S775" i="3"/>
  <c r="T775" i="3" s="1"/>
  <c r="R776" i="3"/>
  <c r="U382" i="1"/>
  <c r="S383" i="1"/>
  <c r="T383" i="1" s="1"/>
  <c r="R386" i="1"/>
  <c r="AS1165" i="1"/>
  <c r="AR1164" i="1"/>
  <c r="AR1169" i="3" l="1"/>
  <c r="AS1170" i="3"/>
  <c r="R777" i="3"/>
  <c r="S776" i="3"/>
  <c r="T776" i="3" s="1"/>
  <c r="U775" i="3"/>
  <c r="U383" i="1"/>
  <c r="S384" i="1"/>
  <c r="T384" i="1" s="1"/>
  <c r="R387" i="1"/>
  <c r="AS1166" i="1"/>
  <c r="AR1165" i="1"/>
  <c r="U776" i="3" l="1"/>
  <c r="R778" i="3"/>
  <c r="S777" i="3"/>
  <c r="T777" i="3" s="1"/>
  <c r="AR1170" i="3"/>
  <c r="AS1171" i="3"/>
  <c r="U384" i="1"/>
  <c r="S385" i="1"/>
  <c r="T385" i="1" s="1"/>
  <c r="R388" i="1"/>
  <c r="AS1167" i="1"/>
  <c r="AR1166" i="1"/>
  <c r="S778" i="3" l="1"/>
  <c r="T778" i="3" s="1"/>
  <c r="R779" i="3"/>
  <c r="AR1171" i="3"/>
  <c r="AS1172" i="3"/>
  <c r="U777" i="3"/>
  <c r="U385" i="1"/>
  <c r="S386" i="1"/>
  <c r="T386" i="1" s="1"/>
  <c r="R389" i="1"/>
  <c r="AS1168" i="1"/>
  <c r="AR1167" i="1"/>
  <c r="U778" i="3" l="1"/>
  <c r="AS1173" i="3"/>
  <c r="AR1172" i="3"/>
  <c r="R780" i="3"/>
  <c r="S779" i="3"/>
  <c r="T779" i="3" s="1"/>
  <c r="U386" i="1"/>
  <c r="S387" i="1"/>
  <c r="T387" i="1" s="1"/>
  <c r="R390" i="1"/>
  <c r="AS1169" i="1"/>
  <c r="AR1168" i="1"/>
  <c r="AR1173" i="3" l="1"/>
  <c r="AS1174" i="3"/>
  <c r="U779" i="3"/>
  <c r="R781" i="3"/>
  <c r="S780" i="3"/>
  <c r="T780" i="3" s="1"/>
  <c r="U387" i="1"/>
  <c r="S388" i="1"/>
  <c r="T388" i="1" s="1"/>
  <c r="R391" i="1"/>
  <c r="AS1170" i="1"/>
  <c r="AR1169" i="1"/>
  <c r="R782" i="3" l="1"/>
  <c r="S781" i="3"/>
  <c r="T781" i="3" s="1"/>
  <c r="U780" i="3"/>
  <c r="AS1175" i="3"/>
  <c r="AR1174" i="3"/>
  <c r="U388" i="1"/>
  <c r="S389" i="1"/>
  <c r="T389" i="1" s="1"/>
  <c r="R392" i="1"/>
  <c r="AS1171" i="1"/>
  <c r="AR1170" i="1"/>
  <c r="U781" i="3" l="1"/>
  <c r="R783" i="3"/>
  <c r="S782" i="3"/>
  <c r="T782" i="3" s="1"/>
  <c r="AR1175" i="3"/>
  <c r="AS1176" i="3"/>
  <c r="U389" i="1"/>
  <c r="S390" i="1"/>
  <c r="T390" i="1" s="1"/>
  <c r="R393" i="1"/>
  <c r="AS1172" i="1"/>
  <c r="AR1171" i="1"/>
  <c r="AR1176" i="3" l="1"/>
  <c r="AS1177" i="3"/>
  <c r="R784" i="3"/>
  <c r="S783" i="3"/>
  <c r="T783" i="3" s="1"/>
  <c r="U782" i="3"/>
  <c r="U390" i="1"/>
  <c r="S391" i="1"/>
  <c r="T391" i="1" s="1"/>
  <c r="R394" i="1"/>
  <c r="AS1173" i="1"/>
  <c r="AR1172" i="1"/>
  <c r="U783" i="3" l="1"/>
  <c r="S784" i="3"/>
  <c r="AR1177" i="3"/>
  <c r="AS1178" i="3"/>
  <c r="U391" i="1"/>
  <c r="S392" i="1"/>
  <c r="T392" i="1" s="1"/>
  <c r="R395" i="1"/>
  <c r="AS1174" i="1"/>
  <c r="AR1173" i="1"/>
  <c r="T784" i="3" l="1"/>
  <c r="U784" i="3" s="1"/>
  <c r="C30" i="3"/>
  <c r="AR1178" i="3"/>
  <c r="AS1179" i="3"/>
  <c r="U392" i="1"/>
  <c r="S393" i="1"/>
  <c r="T393" i="1" s="1"/>
  <c r="R396" i="1"/>
  <c r="AS1175" i="1"/>
  <c r="AR1174" i="1"/>
  <c r="AS1180" i="3" l="1"/>
  <c r="AR1179" i="3"/>
  <c r="U393" i="1"/>
  <c r="S394" i="1"/>
  <c r="R397" i="1"/>
  <c r="AS1176" i="1"/>
  <c r="AR1175" i="1"/>
  <c r="AR1180" i="3" l="1"/>
  <c r="AS1181" i="3"/>
  <c r="T394" i="1"/>
  <c r="U394" i="1" s="1"/>
  <c r="S395" i="1"/>
  <c r="T395" i="1" s="1"/>
  <c r="R398" i="1"/>
  <c r="AS1177" i="1"/>
  <c r="AR1176" i="1"/>
  <c r="AR1181" i="3" l="1"/>
  <c r="AS1182" i="3"/>
  <c r="U395" i="1"/>
  <c r="S396" i="1"/>
  <c r="T396" i="1" s="1"/>
  <c r="R399" i="1"/>
  <c r="AS1178" i="1"/>
  <c r="AR1177" i="1"/>
  <c r="AS1183" i="3" l="1"/>
  <c r="AR1182" i="3"/>
  <c r="U396" i="1"/>
  <c r="S397" i="1"/>
  <c r="T397" i="1" s="1"/>
  <c r="R400" i="1"/>
  <c r="AS1179" i="1"/>
  <c r="AR1178" i="1"/>
  <c r="AR1183" i="3" l="1"/>
  <c r="AS1184" i="3"/>
  <c r="U397" i="1"/>
  <c r="S398" i="1"/>
  <c r="T398" i="1" s="1"/>
  <c r="R401" i="1"/>
  <c r="AS1180" i="1"/>
  <c r="AR1179" i="1"/>
  <c r="AS1185" i="3" l="1"/>
  <c r="AR1184" i="3"/>
  <c r="U398" i="1"/>
  <c r="S399" i="1"/>
  <c r="T399" i="1" s="1"/>
  <c r="R402" i="1"/>
  <c r="AS1181" i="1"/>
  <c r="AR1180" i="1"/>
  <c r="AR1185" i="3" l="1"/>
  <c r="AS1186" i="3"/>
  <c r="U399" i="1"/>
  <c r="S400" i="1"/>
  <c r="T400" i="1" s="1"/>
  <c r="R403" i="1"/>
  <c r="AS1182" i="1"/>
  <c r="AR1181" i="1"/>
  <c r="AR1186" i="3" l="1"/>
  <c r="AS1187" i="3"/>
  <c r="U400" i="1"/>
  <c r="S401" i="1"/>
  <c r="T401" i="1" s="1"/>
  <c r="R404" i="1"/>
  <c r="AS1183" i="1"/>
  <c r="AR1182" i="1"/>
  <c r="AR1187" i="3" l="1"/>
  <c r="AS1188" i="3"/>
  <c r="U401" i="1"/>
  <c r="S402" i="1"/>
  <c r="T402" i="1" s="1"/>
  <c r="R405" i="1"/>
  <c r="AS1184" i="1"/>
  <c r="AR1183" i="1"/>
  <c r="AS1189" i="3" l="1"/>
  <c r="AR1188" i="3"/>
  <c r="U402" i="1"/>
  <c r="S403" i="1"/>
  <c r="T403" i="1" s="1"/>
  <c r="R406" i="1"/>
  <c r="AS1185" i="1"/>
  <c r="AR1184" i="1"/>
  <c r="AR1189" i="3" l="1"/>
  <c r="AS1190" i="3"/>
  <c r="U403" i="1"/>
  <c r="S404" i="1"/>
  <c r="T404" i="1" s="1"/>
  <c r="R407" i="1"/>
  <c r="AS1186" i="1"/>
  <c r="AR1185" i="1"/>
  <c r="AR1190" i="3" l="1"/>
  <c r="AS1191" i="3"/>
  <c r="U404" i="1"/>
  <c r="S405" i="1"/>
  <c r="T405" i="1" s="1"/>
  <c r="R408" i="1"/>
  <c r="AS1187" i="1"/>
  <c r="AR1186" i="1"/>
  <c r="AS1192" i="3" l="1"/>
  <c r="AR1191" i="3"/>
  <c r="U405" i="1"/>
  <c r="S406" i="1"/>
  <c r="T406" i="1" s="1"/>
  <c r="R409" i="1"/>
  <c r="AS1188" i="1"/>
  <c r="AR1187" i="1"/>
  <c r="AR1192" i="3" l="1"/>
  <c r="AS1193" i="3"/>
  <c r="U406" i="1"/>
  <c r="S407" i="1"/>
  <c r="T407" i="1" s="1"/>
  <c r="R410" i="1"/>
  <c r="AS1189" i="1"/>
  <c r="AR1188" i="1"/>
  <c r="AR1193" i="3" l="1"/>
  <c r="AS1194" i="3"/>
  <c r="U407" i="1"/>
  <c r="S408" i="1"/>
  <c r="T408" i="1" s="1"/>
  <c r="R411" i="1"/>
  <c r="AS1190" i="1"/>
  <c r="AR1189" i="1"/>
  <c r="AS1195" i="3" l="1"/>
  <c r="AR1194" i="3"/>
  <c r="U408" i="1"/>
  <c r="S409" i="1"/>
  <c r="T409" i="1" s="1"/>
  <c r="R412" i="1"/>
  <c r="AS1191" i="1"/>
  <c r="AR1190" i="1"/>
  <c r="AR1195" i="3" l="1"/>
  <c r="AS1196" i="3"/>
  <c r="U409" i="1"/>
  <c r="S410" i="1"/>
  <c r="T410" i="1" s="1"/>
  <c r="R413" i="1"/>
  <c r="AS1192" i="1"/>
  <c r="AR1191" i="1"/>
  <c r="AS1197" i="3" l="1"/>
  <c r="AR1196" i="3"/>
  <c r="U410" i="1"/>
  <c r="S411" i="1"/>
  <c r="T411" i="1" s="1"/>
  <c r="R414" i="1"/>
  <c r="AS1193" i="1"/>
  <c r="AR1192" i="1"/>
  <c r="AR1197" i="3" l="1"/>
  <c r="AS1198" i="3"/>
  <c r="U411" i="1"/>
  <c r="S412" i="1"/>
  <c r="T412" i="1" s="1"/>
  <c r="R415" i="1"/>
  <c r="AS1194" i="1"/>
  <c r="AR1193" i="1"/>
  <c r="AR1198" i="3" l="1"/>
  <c r="AS1199" i="3"/>
  <c r="U412" i="1"/>
  <c r="S413" i="1"/>
  <c r="T413" i="1" s="1"/>
  <c r="R416" i="1"/>
  <c r="AS1195" i="1"/>
  <c r="AR1194" i="1"/>
  <c r="AR1199" i="3" l="1"/>
  <c r="AS1200" i="3"/>
  <c r="U413" i="1"/>
  <c r="S414" i="1"/>
  <c r="T414" i="1" s="1"/>
  <c r="R417" i="1"/>
  <c r="AS1196" i="1"/>
  <c r="AR1195" i="1"/>
  <c r="AR1200" i="3" l="1"/>
  <c r="AS1201" i="3"/>
  <c r="U414" i="1"/>
  <c r="S415" i="1"/>
  <c r="T415" i="1" s="1"/>
  <c r="R418" i="1"/>
  <c r="AS1197" i="1"/>
  <c r="AR1196" i="1"/>
  <c r="AR1201" i="3" l="1"/>
  <c r="AS1202" i="3"/>
  <c r="U415" i="1"/>
  <c r="S416" i="1"/>
  <c r="T416" i="1" s="1"/>
  <c r="R419" i="1"/>
  <c r="AS1198" i="1"/>
  <c r="AR1197" i="1"/>
  <c r="AR1202" i="3" l="1"/>
  <c r="AS1203" i="3"/>
  <c r="U416" i="1"/>
  <c r="S417" i="1"/>
  <c r="T417" i="1" s="1"/>
  <c r="R420" i="1"/>
  <c r="AS1199" i="1"/>
  <c r="AR1198" i="1"/>
  <c r="AR1203" i="3" l="1"/>
  <c r="AS1204" i="3"/>
  <c r="U417" i="1"/>
  <c r="S418" i="1"/>
  <c r="T418" i="1" s="1"/>
  <c r="R421" i="1"/>
  <c r="AS1200" i="1"/>
  <c r="AR1199" i="1"/>
  <c r="AR1204" i="3" l="1"/>
  <c r="AS1205" i="3"/>
  <c r="U418" i="1"/>
  <c r="S419" i="1"/>
  <c r="T419" i="1" s="1"/>
  <c r="R422" i="1"/>
  <c r="AS1201" i="1"/>
  <c r="AR1200" i="1"/>
  <c r="AR1205" i="3" l="1"/>
  <c r="AS1206" i="3"/>
  <c r="U419" i="1"/>
  <c r="S420" i="1"/>
  <c r="T420" i="1" s="1"/>
  <c r="R423" i="1"/>
  <c r="AS1202" i="1"/>
  <c r="AR1201" i="1"/>
  <c r="AS1207" i="3" l="1"/>
  <c r="AR1206" i="3"/>
  <c r="U420" i="1"/>
  <c r="S421" i="1"/>
  <c r="T421" i="1" s="1"/>
  <c r="R424" i="1"/>
  <c r="AS1203" i="1"/>
  <c r="AR1202" i="1"/>
  <c r="AR1207" i="3" l="1"/>
  <c r="AS1208" i="3"/>
  <c r="U421" i="1"/>
  <c r="S422" i="1"/>
  <c r="T422" i="1" s="1"/>
  <c r="R425" i="1"/>
  <c r="AS1204" i="1"/>
  <c r="AR1203" i="1"/>
  <c r="AS1209" i="3" l="1"/>
  <c r="AR1208" i="3"/>
  <c r="U422" i="1"/>
  <c r="S423" i="1"/>
  <c r="T423" i="1" s="1"/>
  <c r="R426" i="1"/>
  <c r="AS1205" i="1"/>
  <c r="AR1204" i="1"/>
  <c r="AR1209" i="3" l="1"/>
  <c r="AS1210" i="3"/>
  <c r="U423" i="1"/>
  <c r="S424" i="1"/>
  <c r="T424" i="1" s="1"/>
  <c r="R427" i="1"/>
  <c r="AS1206" i="1"/>
  <c r="AR1205" i="1"/>
  <c r="AR1210" i="3" l="1"/>
  <c r="AS1211" i="3"/>
  <c r="U424" i="1"/>
  <c r="S425" i="1"/>
  <c r="T425" i="1" s="1"/>
  <c r="R428" i="1"/>
  <c r="AS1207" i="1"/>
  <c r="AR1206" i="1"/>
  <c r="AS1212" i="3" l="1"/>
  <c r="AR1211" i="3"/>
  <c r="U425" i="1"/>
  <c r="S426" i="1"/>
  <c r="T426" i="1" s="1"/>
  <c r="R429" i="1"/>
  <c r="AS1208" i="1"/>
  <c r="AR1207" i="1"/>
  <c r="AR1212" i="3" l="1"/>
  <c r="AS1213" i="3"/>
  <c r="U426" i="1"/>
  <c r="S427" i="1"/>
  <c r="T427" i="1" s="1"/>
  <c r="R430" i="1"/>
  <c r="AS1209" i="1"/>
  <c r="AR1208" i="1"/>
  <c r="AR1213" i="3" l="1"/>
  <c r="AS1214" i="3"/>
  <c r="U427" i="1"/>
  <c r="S428" i="1"/>
  <c r="T428" i="1" s="1"/>
  <c r="R431" i="1"/>
  <c r="AS1210" i="1"/>
  <c r="AR1209" i="1"/>
  <c r="AR1214" i="3" l="1"/>
  <c r="AS1215" i="3"/>
  <c r="U428" i="1"/>
  <c r="S429" i="1"/>
  <c r="T429" i="1" s="1"/>
  <c r="R432" i="1"/>
  <c r="AS1211" i="1"/>
  <c r="AR1210" i="1"/>
  <c r="AR1215" i="3" l="1"/>
  <c r="AS1216" i="3"/>
  <c r="U429" i="1"/>
  <c r="S430" i="1"/>
  <c r="T430" i="1" s="1"/>
  <c r="R433" i="1"/>
  <c r="AS1212" i="1"/>
  <c r="AR1211" i="1"/>
  <c r="AS1217" i="3" l="1"/>
  <c r="AR1216" i="3"/>
  <c r="U430" i="1"/>
  <c r="S431" i="1"/>
  <c r="T431" i="1" s="1"/>
  <c r="R434" i="1"/>
  <c r="AS1213" i="1"/>
  <c r="AR1212" i="1"/>
  <c r="AR1217" i="3" l="1"/>
  <c r="AS1218" i="3"/>
  <c r="U431" i="1"/>
  <c r="S432" i="1"/>
  <c r="T432" i="1" s="1"/>
  <c r="R435" i="1"/>
  <c r="AS1214" i="1"/>
  <c r="AR1213" i="1"/>
  <c r="AS1219" i="3" l="1"/>
  <c r="AR1218" i="3"/>
  <c r="U432" i="1"/>
  <c r="S433" i="1"/>
  <c r="T433" i="1" s="1"/>
  <c r="R436" i="1"/>
  <c r="AS1215" i="1"/>
  <c r="AR1214" i="1"/>
  <c r="AR1219" i="3" l="1"/>
  <c r="AS1220" i="3"/>
  <c r="U433" i="1"/>
  <c r="S434" i="1"/>
  <c r="T434" i="1" s="1"/>
  <c r="R437" i="1"/>
  <c r="AS1216" i="1"/>
  <c r="AR1215" i="1"/>
  <c r="AR1220" i="3" l="1"/>
  <c r="AS1221" i="3"/>
  <c r="U434" i="1"/>
  <c r="S435" i="1"/>
  <c r="T435" i="1" s="1"/>
  <c r="R438" i="1"/>
  <c r="AS1217" i="1"/>
  <c r="AR1216" i="1"/>
  <c r="AR1221" i="3" l="1"/>
  <c r="AS1222" i="3"/>
  <c r="U435" i="1"/>
  <c r="S436" i="1"/>
  <c r="T436" i="1" s="1"/>
  <c r="R439" i="1"/>
  <c r="AS1218" i="1"/>
  <c r="AR1217" i="1"/>
  <c r="AR1222" i="3" l="1"/>
  <c r="AS1223" i="3"/>
  <c r="U436" i="1"/>
  <c r="S437" i="1"/>
  <c r="T437" i="1" s="1"/>
  <c r="R440" i="1"/>
  <c r="AS1219" i="1"/>
  <c r="AR1218" i="1"/>
  <c r="AS1224" i="3" l="1"/>
  <c r="AR1223" i="3"/>
  <c r="U437" i="1"/>
  <c r="S438" i="1"/>
  <c r="T438" i="1" s="1"/>
  <c r="R441" i="1"/>
  <c r="AS1220" i="1"/>
  <c r="AR1219" i="1"/>
  <c r="AR1224" i="3" l="1"/>
  <c r="AS1225" i="3"/>
  <c r="U438" i="1"/>
  <c r="S439" i="1"/>
  <c r="T439" i="1" s="1"/>
  <c r="R442" i="1"/>
  <c r="AS1221" i="1"/>
  <c r="AR1220" i="1"/>
  <c r="AR1225" i="3" l="1"/>
  <c r="AS1226" i="3"/>
  <c r="U439" i="1"/>
  <c r="S440" i="1"/>
  <c r="T440" i="1" s="1"/>
  <c r="R443" i="1"/>
  <c r="AS1222" i="1"/>
  <c r="AR1221" i="1"/>
  <c r="AS1227" i="3" l="1"/>
  <c r="AR1226" i="3"/>
  <c r="U440" i="1"/>
  <c r="S441" i="1"/>
  <c r="T441" i="1" s="1"/>
  <c r="R444" i="1"/>
  <c r="AS1223" i="1"/>
  <c r="AR1222" i="1"/>
  <c r="AR1227" i="3" l="1"/>
  <c r="AS1228" i="3"/>
  <c r="U441" i="1"/>
  <c r="S442" i="1"/>
  <c r="T442" i="1" s="1"/>
  <c r="R445" i="1"/>
  <c r="AS1224" i="1"/>
  <c r="AR1223" i="1"/>
  <c r="AS1229" i="3" l="1"/>
  <c r="AR1228" i="3"/>
  <c r="U442" i="1"/>
  <c r="S443" i="1"/>
  <c r="T443" i="1" s="1"/>
  <c r="R446" i="1"/>
  <c r="AS1225" i="1"/>
  <c r="AR1224" i="1"/>
  <c r="AR1229" i="3" l="1"/>
  <c r="AS1230" i="3"/>
  <c r="U443" i="1"/>
  <c r="S444" i="1"/>
  <c r="T444" i="1" s="1"/>
  <c r="R447" i="1"/>
  <c r="AS1226" i="1"/>
  <c r="AR1225" i="1"/>
  <c r="AR1230" i="3" l="1"/>
  <c r="AS1231" i="3"/>
  <c r="U444" i="1"/>
  <c r="S445" i="1"/>
  <c r="T445" i="1" s="1"/>
  <c r="R448" i="1"/>
  <c r="AS1227" i="1"/>
  <c r="AR1226" i="1"/>
  <c r="AR1231" i="3" l="1"/>
  <c r="AS1232" i="3"/>
  <c r="U445" i="1"/>
  <c r="S446" i="1"/>
  <c r="T446" i="1" s="1"/>
  <c r="R449" i="1"/>
  <c r="AS1228" i="1"/>
  <c r="AR1227" i="1"/>
  <c r="AR1232" i="3" l="1"/>
  <c r="AS1233" i="3"/>
  <c r="U446" i="1"/>
  <c r="S447" i="1"/>
  <c r="T447" i="1" s="1"/>
  <c r="R450" i="1"/>
  <c r="AS1229" i="1"/>
  <c r="AR1228" i="1"/>
  <c r="AR1233" i="3" l="1"/>
  <c r="AS1234" i="3"/>
  <c r="U447" i="1"/>
  <c r="S448" i="1"/>
  <c r="T448" i="1" s="1"/>
  <c r="R451" i="1"/>
  <c r="AS1230" i="1"/>
  <c r="AR1229" i="1"/>
  <c r="AR1234" i="3" l="1"/>
  <c r="AS1235" i="3"/>
  <c r="U448" i="1"/>
  <c r="S449" i="1"/>
  <c r="T449" i="1" s="1"/>
  <c r="R452" i="1"/>
  <c r="AS1231" i="1"/>
  <c r="AR1230" i="1"/>
  <c r="AR1235" i="3" l="1"/>
  <c r="AS1236" i="3"/>
  <c r="U449" i="1"/>
  <c r="S450" i="1"/>
  <c r="T450" i="1" s="1"/>
  <c r="R453" i="1"/>
  <c r="AS1232" i="1"/>
  <c r="AR1231" i="1"/>
  <c r="AS1237" i="3" l="1"/>
  <c r="AR1236" i="3"/>
  <c r="U450" i="1"/>
  <c r="S451" i="1"/>
  <c r="T451" i="1" s="1"/>
  <c r="R454" i="1"/>
  <c r="AS1233" i="1"/>
  <c r="AR1232" i="1"/>
  <c r="AR1237" i="3" l="1"/>
  <c r="AS1238" i="3"/>
  <c r="U451" i="1"/>
  <c r="S452" i="1"/>
  <c r="T452" i="1" s="1"/>
  <c r="R455" i="1"/>
  <c r="AS1234" i="1"/>
  <c r="AR1233" i="1"/>
  <c r="AS1239" i="3" l="1"/>
  <c r="AR1238" i="3"/>
  <c r="U452" i="1"/>
  <c r="S453" i="1"/>
  <c r="T453" i="1" s="1"/>
  <c r="R456" i="1"/>
  <c r="AS1235" i="1"/>
  <c r="AR1234" i="1"/>
  <c r="AR1239" i="3" l="1"/>
  <c r="AS1240" i="3"/>
  <c r="U453" i="1"/>
  <c r="S454" i="1"/>
  <c r="T454" i="1" s="1"/>
  <c r="R457" i="1"/>
  <c r="AS1236" i="1"/>
  <c r="AR1235" i="1"/>
  <c r="AR1240" i="3" l="1"/>
  <c r="AS1241" i="3"/>
  <c r="U454" i="1"/>
  <c r="S455" i="1"/>
  <c r="T455" i="1" s="1"/>
  <c r="R458" i="1"/>
  <c r="AS1237" i="1"/>
  <c r="AR1236" i="1"/>
  <c r="AR1241" i="3" l="1"/>
  <c r="AS1242" i="3"/>
  <c r="U455" i="1"/>
  <c r="S456" i="1"/>
  <c r="T456" i="1" s="1"/>
  <c r="R459" i="1"/>
  <c r="AS1238" i="1"/>
  <c r="AR1237" i="1"/>
  <c r="AR1242" i="3" l="1"/>
  <c r="AS1243" i="3"/>
  <c r="U456" i="1"/>
  <c r="S457" i="1"/>
  <c r="T457" i="1" s="1"/>
  <c r="R460" i="1"/>
  <c r="AS1239" i="1"/>
  <c r="AR1238" i="1"/>
  <c r="AR1243" i="3" l="1"/>
  <c r="AS1244" i="3"/>
  <c r="U457" i="1"/>
  <c r="S458" i="1"/>
  <c r="T458" i="1" s="1"/>
  <c r="R461" i="1"/>
  <c r="AS1240" i="1"/>
  <c r="AR1239" i="1"/>
  <c r="AS1245" i="3" l="1"/>
  <c r="AR1244" i="3"/>
  <c r="U458" i="1"/>
  <c r="S459" i="1"/>
  <c r="T459" i="1" s="1"/>
  <c r="R462" i="1"/>
  <c r="AS1241" i="1"/>
  <c r="AR1240" i="1"/>
  <c r="AR1245" i="3" l="1"/>
  <c r="AS1246" i="3"/>
  <c r="U459" i="1"/>
  <c r="S460" i="1"/>
  <c r="T460" i="1" s="1"/>
  <c r="R463" i="1"/>
  <c r="AS1242" i="1"/>
  <c r="AR1241" i="1"/>
  <c r="AS1247" i="3" l="1"/>
  <c r="AR1246" i="3"/>
  <c r="U460" i="1"/>
  <c r="S461" i="1"/>
  <c r="T461" i="1" s="1"/>
  <c r="R464" i="1"/>
  <c r="AS1243" i="1"/>
  <c r="AR1242" i="1"/>
  <c r="AR1247" i="3" l="1"/>
  <c r="AS1248" i="3"/>
  <c r="U461" i="1"/>
  <c r="S462" i="1"/>
  <c r="T462" i="1" s="1"/>
  <c r="R465" i="1"/>
  <c r="AS1244" i="1"/>
  <c r="AR1243" i="1"/>
  <c r="AR1248" i="3" l="1"/>
  <c r="AS1249" i="3"/>
  <c r="U462" i="1"/>
  <c r="S463" i="1"/>
  <c r="T463" i="1" s="1"/>
  <c r="R466" i="1"/>
  <c r="AS1245" i="1"/>
  <c r="AR1244" i="1"/>
  <c r="AR1249" i="3" l="1"/>
  <c r="AS1250" i="3"/>
  <c r="U463" i="1"/>
  <c r="S464" i="1"/>
  <c r="T464" i="1" s="1"/>
  <c r="R467" i="1"/>
  <c r="AS1246" i="1"/>
  <c r="AR1245" i="1"/>
  <c r="AR1250" i="3" l="1"/>
  <c r="AS1251" i="3"/>
  <c r="U464" i="1"/>
  <c r="S465" i="1"/>
  <c r="T465" i="1" s="1"/>
  <c r="R468" i="1"/>
  <c r="AS1247" i="1"/>
  <c r="AR1246" i="1"/>
  <c r="AR1251" i="3" l="1"/>
  <c r="AS1252" i="3"/>
  <c r="U465" i="1"/>
  <c r="S466" i="1"/>
  <c r="T466" i="1" s="1"/>
  <c r="R469" i="1"/>
  <c r="AS1248" i="1"/>
  <c r="AR1247" i="1"/>
  <c r="AS1253" i="3" l="1"/>
  <c r="AR1252" i="3"/>
  <c r="U466" i="1"/>
  <c r="S467" i="1"/>
  <c r="T467" i="1" s="1"/>
  <c r="R470" i="1"/>
  <c r="AS1249" i="1"/>
  <c r="AR1248" i="1"/>
  <c r="AR1253" i="3" l="1"/>
  <c r="AS1254" i="3"/>
  <c r="U467" i="1"/>
  <c r="S468" i="1"/>
  <c r="T468" i="1" s="1"/>
  <c r="R471" i="1"/>
  <c r="AS1250" i="1"/>
  <c r="AR1249" i="1"/>
  <c r="AS1255" i="3" l="1"/>
  <c r="AR1254" i="3"/>
  <c r="U468" i="1"/>
  <c r="S469" i="1"/>
  <c r="T469" i="1" s="1"/>
  <c r="R472" i="1"/>
  <c r="AS1251" i="1"/>
  <c r="AR1250" i="1"/>
  <c r="AR1255" i="3" l="1"/>
  <c r="AS1256" i="3"/>
  <c r="U469" i="1"/>
  <c r="S470" i="1"/>
  <c r="T470" i="1" s="1"/>
  <c r="R473" i="1"/>
  <c r="AS1252" i="1"/>
  <c r="AR1251" i="1"/>
  <c r="AR1256" i="3" l="1"/>
  <c r="AS1257" i="3"/>
  <c r="U470" i="1"/>
  <c r="S471" i="1"/>
  <c r="T471" i="1" s="1"/>
  <c r="R474" i="1"/>
  <c r="AS1253" i="1"/>
  <c r="AR1252" i="1"/>
  <c r="AR1257" i="3" l="1"/>
  <c r="AS1258" i="3"/>
  <c r="U471" i="1"/>
  <c r="S472" i="1"/>
  <c r="T472" i="1" s="1"/>
  <c r="R475" i="1"/>
  <c r="AS1254" i="1"/>
  <c r="AR1253" i="1"/>
  <c r="AR1258" i="3" l="1"/>
  <c r="AS1259" i="3"/>
  <c r="U472" i="1"/>
  <c r="S473" i="1"/>
  <c r="T473" i="1" s="1"/>
  <c r="R476" i="1"/>
  <c r="AS1255" i="1"/>
  <c r="AR1254" i="1"/>
  <c r="AR1259" i="3" l="1"/>
  <c r="AS1260" i="3"/>
  <c r="U473" i="1"/>
  <c r="S474" i="1"/>
  <c r="T474" i="1" s="1"/>
  <c r="R477" i="1"/>
  <c r="AS1256" i="1"/>
  <c r="AR1255" i="1"/>
  <c r="AS1261" i="3" l="1"/>
  <c r="AR1260" i="3"/>
  <c r="U474" i="1"/>
  <c r="S475" i="1"/>
  <c r="T475" i="1" s="1"/>
  <c r="R478" i="1"/>
  <c r="AS1257" i="1"/>
  <c r="AR1256" i="1"/>
  <c r="AR1261" i="3" l="1"/>
  <c r="AS1262" i="3"/>
  <c r="U475" i="1"/>
  <c r="S476" i="1"/>
  <c r="T476" i="1" s="1"/>
  <c r="R479" i="1"/>
  <c r="AS1258" i="1"/>
  <c r="AR1257" i="1"/>
  <c r="AS1263" i="3" l="1"/>
  <c r="AR1262" i="3"/>
  <c r="U476" i="1"/>
  <c r="S477" i="1"/>
  <c r="T477" i="1" s="1"/>
  <c r="R480" i="1"/>
  <c r="AS1259" i="1"/>
  <c r="AR1258" i="1"/>
  <c r="AR1263" i="3" l="1"/>
  <c r="AS1264" i="3"/>
  <c r="U477" i="1"/>
  <c r="S478" i="1"/>
  <c r="T478" i="1" s="1"/>
  <c r="R481" i="1"/>
  <c r="AS1260" i="1"/>
  <c r="AR1259" i="1"/>
  <c r="AR1264" i="3" l="1"/>
  <c r="AS1265" i="3"/>
  <c r="U478" i="1"/>
  <c r="S479" i="1"/>
  <c r="T479" i="1" s="1"/>
  <c r="R482" i="1"/>
  <c r="AS1261" i="1"/>
  <c r="AR1260" i="1"/>
  <c r="AR1265" i="3" l="1"/>
  <c r="AS1266" i="3"/>
  <c r="U479" i="1"/>
  <c r="S480" i="1"/>
  <c r="T480" i="1" s="1"/>
  <c r="R483" i="1"/>
  <c r="AS1262" i="1"/>
  <c r="AR1261" i="1"/>
  <c r="AR1266" i="3" l="1"/>
  <c r="AS1267" i="3"/>
  <c r="U480" i="1"/>
  <c r="S481" i="1"/>
  <c r="T481" i="1" s="1"/>
  <c r="R484" i="1"/>
  <c r="AS1263" i="1"/>
  <c r="AR1262" i="1"/>
  <c r="AR1267" i="3" l="1"/>
  <c r="AS1268" i="3"/>
  <c r="U481" i="1"/>
  <c r="S482" i="1"/>
  <c r="T482" i="1" s="1"/>
  <c r="R485" i="1"/>
  <c r="AS1264" i="1"/>
  <c r="AR1263" i="1"/>
  <c r="AS1269" i="3" l="1"/>
  <c r="AR1268" i="3"/>
  <c r="U482" i="1"/>
  <c r="S483" i="1"/>
  <c r="T483" i="1" s="1"/>
  <c r="R486" i="1"/>
  <c r="AS1265" i="1"/>
  <c r="AR1264" i="1"/>
  <c r="AR1269" i="3" l="1"/>
  <c r="AS1270" i="3"/>
  <c r="U483" i="1"/>
  <c r="S484" i="1"/>
  <c r="T484" i="1" s="1"/>
  <c r="R487" i="1"/>
  <c r="AS1266" i="1"/>
  <c r="AR1265" i="1"/>
  <c r="AS1271" i="3" l="1"/>
  <c r="AR1270" i="3"/>
  <c r="U484" i="1"/>
  <c r="S485" i="1"/>
  <c r="T485" i="1" s="1"/>
  <c r="R488" i="1"/>
  <c r="AS1267" i="1"/>
  <c r="AR1266" i="1"/>
  <c r="AR1271" i="3" l="1"/>
  <c r="AS1272" i="3"/>
  <c r="U485" i="1"/>
  <c r="S486" i="1"/>
  <c r="T486" i="1" s="1"/>
  <c r="R489" i="1"/>
  <c r="AS1268" i="1"/>
  <c r="AR1267" i="1"/>
  <c r="AR1272" i="3" l="1"/>
  <c r="AS1273" i="3"/>
  <c r="U486" i="1"/>
  <c r="S487" i="1"/>
  <c r="T487" i="1" s="1"/>
  <c r="R490" i="1"/>
  <c r="AS1269" i="1"/>
  <c r="AR1268" i="1"/>
  <c r="AR1273" i="3" l="1"/>
  <c r="AS1274" i="3"/>
  <c r="U487" i="1"/>
  <c r="S488" i="1"/>
  <c r="T488" i="1" s="1"/>
  <c r="R491" i="1"/>
  <c r="AS1270" i="1"/>
  <c r="AR1269" i="1"/>
  <c r="AR1274" i="3" l="1"/>
  <c r="AS1275" i="3"/>
  <c r="U488" i="1"/>
  <c r="S489" i="1"/>
  <c r="T489" i="1" s="1"/>
  <c r="R492" i="1"/>
  <c r="AS1271" i="1"/>
  <c r="AR1270" i="1"/>
  <c r="AR1275" i="3" l="1"/>
  <c r="AS1276" i="3"/>
  <c r="U489" i="1"/>
  <c r="S490" i="1"/>
  <c r="T490" i="1" s="1"/>
  <c r="R493" i="1"/>
  <c r="AS1272" i="1"/>
  <c r="AR1271" i="1"/>
  <c r="AS1277" i="3" l="1"/>
  <c r="AR1276" i="3"/>
  <c r="U490" i="1"/>
  <c r="S491" i="1"/>
  <c r="T491" i="1" s="1"/>
  <c r="R494" i="1"/>
  <c r="AS1273" i="1"/>
  <c r="AR1272" i="1"/>
  <c r="AR1277" i="3" l="1"/>
  <c r="AS1278" i="3"/>
  <c r="U491" i="1"/>
  <c r="S492" i="1"/>
  <c r="T492" i="1" s="1"/>
  <c r="R495" i="1"/>
  <c r="AS1274" i="1"/>
  <c r="AR1273" i="1"/>
  <c r="AS1279" i="3" l="1"/>
  <c r="AR1278" i="3"/>
  <c r="U492" i="1"/>
  <c r="S493" i="1"/>
  <c r="T493" i="1" s="1"/>
  <c r="R496" i="1"/>
  <c r="AS1275" i="1"/>
  <c r="AR1274" i="1"/>
  <c r="AR1279" i="3" l="1"/>
  <c r="AS1280" i="3"/>
  <c r="U493" i="1"/>
  <c r="S494" i="1"/>
  <c r="T494" i="1" s="1"/>
  <c r="R497" i="1"/>
  <c r="AS1276" i="1"/>
  <c r="AR1275" i="1"/>
  <c r="AR1280" i="3" l="1"/>
  <c r="AS1281" i="3"/>
  <c r="U494" i="1"/>
  <c r="S495" i="1"/>
  <c r="T495" i="1" s="1"/>
  <c r="R498" i="1"/>
  <c r="AS1277" i="1"/>
  <c r="AR1276" i="1"/>
  <c r="AR1281" i="3" l="1"/>
  <c r="AS1282" i="3"/>
  <c r="U495" i="1"/>
  <c r="S496" i="1"/>
  <c r="T496" i="1" s="1"/>
  <c r="R499" i="1"/>
  <c r="AS1278" i="1"/>
  <c r="AR1277" i="1"/>
  <c r="AR1282" i="3" l="1"/>
  <c r="AS1283" i="3"/>
  <c r="U496" i="1"/>
  <c r="S497" i="1"/>
  <c r="T497" i="1" s="1"/>
  <c r="R500" i="1"/>
  <c r="AS1279" i="1"/>
  <c r="AR1278" i="1"/>
  <c r="AR1283" i="3" l="1"/>
  <c r="AS1284" i="3"/>
  <c r="U497" i="1"/>
  <c r="S498" i="1"/>
  <c r="T498" i="1" s="1"/>
  <c r="R501" i="1"/>
  <c r="AS1280" i="1"/>
  <c r="AR1279" i="1"/>
  <c r="AS1285" i="3" l="1"/>
  <c r="AR1284" i="3"/>
  <c r="U498" i="1"/>
  <c r="S499" i="1"/>
  <c r="T499" i="1" s="1"/>
  <c r="R502" i="1"/>
  <c r="AS1281" i="1"/>
  <c r="AR1280" i="1"/>
  <c r="AR1285" i="3" l="1"/>
  <c r="AS1286" i="3"/>
  <c r="U499" i="1"/>
  <c r="S500" i="1"/>
  <c r="T500" i="1" s="1"/>
  <c r="R503" i="1"/>
  <c r="AS1282" i="1"/>
  <c r="AR1281" i="1"/>
  <c r="AS1287" i="3" l="1"/>
  <c r="AR1286" i="3"/>
  <c r="U500" i="1"/>
  <c r="S501" i="1"/>
  <c r="T501" i="1" s="1"/>
  <c r="R504" i="1"/>
  <c r="AS1283" i="1"/>
  <c r="AR1282" i="1"/>
  <c r="AR1287" i="3" l="1"/>
  <c r="AS1288" i="3"/>
  <c r="U501" i="1"/>
  <c r="S502" i="1"/>
  <c r="T502" i="1" s="1"/>
  <c r="R505" i="1"/>
  <c r="AS1284" i="1"/>
  <c r="AR1283" i="1"/>
  <c r="AR1288" i="3" l="1"/>
  <c r="AS1289" i="3"/>
  <c r="U502" i="1"/>
  <c r="S503" i="1"/>
  <c r="T503" i="1" s="1"/>
  <c r="R506" i="1"/>
  <c r="AS1285" i="1"/>
  <c r="AR1284" i="1"/>
  <c r="AR1289" i="3" l="1"/>
  <c r="AS1290" i="3"/>
  <c r="U503" i="1"/>
  <c r="S504" i="1"/>
  <c r="T504" i="1" s="1"/>
  <c r="R507" i="1"/>
  <c r="AS1286" i="1"/>
  <c r="AR1285" i="1"/>
  <c r="AS1291" i="3" l="1"/>
  <c r="AR1290" i="3"/>
  <c r="U504" i="1"/>
  <c r="S505" i="1"/>
  <c r="T505" i="1" s="1"/>
  <c r="R508" i="1"/>
  <c r="AS1287" i="1"/>
  <c r="AR1286" i="1"/>
  <c r="AS1292" i="3" l="1"/>
  <c r="AR1291" i="3"/>
  <c r="U505" i="1"/>
  <c r="S506" i="1"/>
  <c r="T506" i="1" s="1"/>
  <c r="R509" i="1"/>
  <c r="AS1288" i="1"/>
  <c r="AR1287" i="1"/>
  <c r="AR1292" i="3" l="1"/>
  <c r="AS1293" i="3"/>
  <c r="U506" i="1"/>
  <c r="S507" i="1"/>
  <c r="T507" i="1" s="1"/>
  <c r="R510" i="1"/>
  <c r="AS1289" i="1"/>
  <c r="AR1288" i="1"/>
  <c r="AS1294" i="3" l="1"/>
  <c r="AR1293" i="3"/>
  <c r="U507" i="1"/>
  <c r="S508" i="1"/>
  <c r="T508" i="1" s="1"/>
  <c r="R511" i="1"/>
  <c r="AS1290" i="1"/>
  <c r="AR1289" i="1"/>
  <c r="AS1295" i="3" l="1"/>
  <c r="AR1294" i="3"/>
  <c r="U508" i="1"/>
  <c r="S509" i="1"/>
  <c r="T509" i="1" s="1"/>
  <c r="R512" i="1"/>
  <c r="AS1291" i="1"/>
  <c r="AR1290" i="1"/>
  <c r="AS1296" i="3" l="1"/>
  <c r="AR1295" i="3"/>
  <c r="U509" i="1"/>
  <c r="S510" i="1"/>
  <c r="T510" i="1" s="1"/>
  <c r="R513" i="1"/>
  <c r="AS1292" i="1"/>
  <c r="AR1291" i="1"/>
  <c r="AR1296" i="3" l="1"/>
  <c r="AS1297" i="3"/>
  <c r="U510" i="1"/>
  <c r="S511" i="1"/>
  <c r="T511" i="1" s="1"/>
  <c r="R514" i="1"/>
  <c r="AS1293" i="1"/>
  <c r="AR1292" i="1"/>
  <c r="AR1297" i="3" l="1"/>
  <c r="AS1298" i="3"/>
  <c r="U511" i="1"/>
  <c r="S512" i="1"/>
  <c r="T512" i="1" s="1"/>
  <c r="R515" i="1"/>
  <c r="AS1294" i="1"/>
  <c r="AR1293" i="1"/>
  <c r="AS1299" i="3" l="1"/>
  <c r="AR1298" i="3"/>
  <c r="U512" i="1"/>
  <c r="S513" i="1"/>
  <c r="T513" i="1" s="1"/>
  <c r="R516" i="1"/>
  <c r="AS1295" i="1"/>
  <c r="AR1294" i="1"/>
  <c r="AS1300" i="3" l="1"/>
  <c r="AR1299" i="3"/>
  <c r="U513" i="1"/>
  <c r="S514" i="1"/>
  <c r="T514" i="1" s="1"/>
  <c r="R517" i="1"/>
  <c r="AS1296" i="1"/>
  <c r="AR1295" i="1"/>
  <c r="AR1300" i="3" l="1"/>
  <c r="AS1301" i="3"/>
  <c r="U514" i="1"/>
  <c r="S515" i="1"/>
  <c r="T515" i="1" s="1"/>
  <c r="R518" i="1"/>
  <c r="AS1297" i="1"/>
  <c r="AR1296" i="1"/>
  <c r="AR1301" i="3" l="1"/>
  <c r="AS1302" i="3"/>
  <c r="U515" i="1"/>
  <c r="S516" i="1"/>
  <c r="T516" i="1" s="1"/>
  <c r="R519" i="1"/>
  <c r="AS1298" i="1"/>
  <c r="AR1297" i="1"/>
  <c r="AS1303" i="3" l="1"/>
  <c r="AR1302" i="3"/>
  <c r="U516" i="1"/>
  <c r="S517" i="1"/>
  <c r="T517" i="1" s="1"/>
  <c r="R520" i="1"/>
  <c r="AS1299" i="1"/>
  <c r="AR1298" i="1"/>
  <c r="AS1304" i="3" l="1"/>
  <c r="AR1303" i="3"/>
  <c r="U517" i="1"/>
  <c r="S518" i="1"/>
  <c r="T518" i="1" s="1"/>
  <c r="R521" i="1"/>
  <c r="AS1300" i="1"/>
  <c r="AR1299" i="1"/>
  <c r="AS1305" i="3" l="1"/>
  <c r="AR1304" i="3"/>
  <c r="U518" i="1"/>
  <c r="S519" i="1"/>
  <c r="T519" i="1" s="1"/>
  <c r="R522" i="1"/>
  <c r="AS1301" i="1"/>
  <c r="AR1300" i="1"/>
  <c r="AR1305" i="3" l="1"/>
  <c r="AS1306" i="3"/>
  <c r="U519" i="1"/>
  <c r="S520" i="1"/>
  <c r="T520" i="1" s="1"/>
  <c r="R523" i="1"/>
  <c r="AS1302" i="1"/>
  <c r="AR1301" i="1"/>
  <c r="AS1307" i="3" l="1"/>
  <c r="AR1306" i="3"/>
  <c r="U520" i="1"/>
  <c r="S521" i="1"/>
  <c r="T521" i="1" s="1"/>
  <c r="R524" i="1"/>
  <c r="AS1303" i="1"/>
  <c r="AR1302" i="1"/>
  <c r="AS1308" i="3" l="1"/>
  <c r="AR1307" i="3"/>
  <c r="U521" i="1"/>
  <c r="S522" i="1"/>
  <c r="T522" i="1" s="1"/>
  <c r="R525" i="1"/>
  <c r="AS1304" i="1"/>
  <c r="AR1303" i="1"/>
  <c r="AR1308" i="3" l="1"/>
  <c r="AS1309" i="3"/>
  <c r="U522" i="1"/>
  <c r="S523" i="1"/>
  <c r="T523" i="1" s="1"/>
  <c r="R526" i="1"/>
  <c r="AS1305" i="1"/>
  <c r="AR1304" i="1"/>
  <c r="AR1309" i="3" l="1"/>
  <c r="AS1310" i="3"/>
  <c r="U523" i="1"/>
  <c r="S524" i="1"/>
  <c r="T524" i="1" s="1"/>
  <c r="R527" i="1"/>
  <c r="AS1306" i="1"/>
  <c r="AR1305" i="1"/>
  <c r="AS1311" i="3" l="1"/>
  <c r="AR1310" i="3"/>
  <c r="U524" i="1"/>
  <c r="S525" i="1"/>
  <c r="T525" i="1" s="1"/>
  <c r="R528" i="1"/>
  <c r="AS1307" i="1"/>
  <c r="AR1306" i="1"/>
  <c r="AS1312" i="3" l="1"/>
  <c r="AR1311" i="3"/>
  <c r="U525" i="1"/>
  <c r="S526" i="1"/>
  <c r="T526" i="1" s="1"/>
  <c r="R529" i="1"/>
  <c r="AS1308" i="1"/>
  <c r="AR1307" i="1"/>
  <c r="AS1313" i="3" l="1"/>
  <c r="AR1312" i="3"/>
  <c r="U526" i="1"/>
  <c r="S527" i="1"/>
  <c r="T527" i="1" s="1"/>
  <c r="R530" i="1"/>
  <c r="AS1309" i="1"/>
  <c r="AR1308" i="1"/>
  <c r="AR1313" i="3" l="1"/>
  <c r="AS1314" i="3"/>
  <c r="U527" i="1"/>
  <c r="S528" i="1"/>
  <c r="T528" i="1" s="1"/>
  <c r="R531" i="1"/>
  <c r="AS1310" i="1"/>
  <c r="AR1309" i="1"/>
  <c r="AS1315" i="3" l="1"/>
  <c r="AR1314" i="3"/>
  <c r="U528" i="1"/>
  <c r="S529" i="1"/>
  <c r="T529" i="1" s="1"/>
  <c r="R532" i="1"/>
  <c r="AS1311" i="1"/>
  <c r="AR1310" i="1"/>
  <c r="AS1316" i="3" l="1"/>
  <c r="AR1315" i="3"/>
  <c r="U529" i="1"/>
  <c r="S530" i="1"/>
  <c r="T530" i="1" s="1"/>
  <c r="R533" i="1"/>
  <c r="AS1312" i="1"/>
  <c r="AR1311" i="1"/>
  <c r="AR1316" i="3" l="1"/>
  <c r="AS1317" i="3"/>
  <c r="U530" i="1"/>
  <c r="S531" i="1"/>
  <c r="T531" i="1" s="1"/>
  <c r="R534" i="1"/>
  <c r="AS1313" i="1"/>
  <c r="AR1312" i="1"/>
  <c r="AR1317" i="3" l="1"/>
  <c r="AS1318" i="3"/>
  <c r="U531" i="1"/>
  <c r="S532" i="1"/>
  <c r="T532" i="1" s="1"/>
  <c r="R535" i="1"/>
  <c r="AS1314" i="1"/>
  <c r="AR1313" i="1"/>
  <c r="AS1319" i="3" l="1"/>
  <c r="AR1318" i="3"/>
  <c r="U532" i="1"/>
  <c r="S533" i="1"/>
  <c r="T533" i="1" s="1"/>
  <c r="R536" i="1"/>
  <c r="AS1315" i="1"/>
  <c r="AR1314" i="1"/>
  <c r="AS1320" i="3" l="1"/>
  <c r="AR1319" i="3"/>
  <c r="U533" i="1"/>
  <c r="S534" i="1"/>
  <c r="T534" i="1" s="1"/>
  <c r="R537" i="1"/>
  <c r="AS1316" i="1"/>
  <c r="AR1315" i="1"/>
  <c r="AR1320" i="3" l="1"/>
  <c r="AS1321" i="3"/>
  <c r="U534" i="1"/>
  <c r="S535" i="1"/>
  <c r="T535" i="1" s="1"/>
  <c r="R538" i="1"/>
  <c r="AS1317" i="1"/>
  <c r="AR1316" i="1"/>
  <c r="AR1321" i="3" l="1"/>
  <c r="AS1322" i="3"/>
  <c r="U535" i="1"/>
  <c r="S536" i="1"/>
  <c r="T536" i="1" s="1"/>
  <c r="R539" i="1"/>
  <c r="AS1318" i="1"/>
  <c r="AR1317" i="1"/>
  <c r="AS1323" i="3" l="1"/>
  <c r="AR1322" i="3"/>
  <c r="U536" i="1"/>
  <c r="S537" i="1"/>
  <c r="T537" i="1" s="1"/>
  <c r="R540" i="1"/>
  <c r="AS1319" i="1"/>
  <c r="AR1318" i="1"/>
  <c r="AS1324" i="3" l="1"/>
  <c r="AR1323" i="3"/>
  <c r="U537" i="1"/>
  <c r="S538" i="1"/>
  <c r="T538" i="1" s="1"/>
  <c r="R541" i="1"/>
  <c r="AS1320" i="1"/>
  <c r="AR1319" i="1"/>
  <c r="AR1324" i="3" l="1"/>
  <c r="AS1325" i="3"/>
  <c r="U538" i="1"/>
  <c r="S539" i="1"/>
  <c r="T539" i="1" s="1"/>
  <c r="R542" i="1"/>
  <c r="AS1321" i="1"/>
  <c r="AR1320" i="1"/>
  <c r="AS1326" i="3" l="1"/>
  <c r="AR1325" i="3"/>
  <c r="U539" i="1"/>
  <c r="S540" i="1"/>
  <c r="T540" i="1" s="1"/>
  <c r="R543" i="1"/>
  <c r="AS1322" i="1"/>
  <c r="AR1321" i="1"/>
  <c r="AS1327" i="3" l="1"/>
  <c r="AR1326" i="3"/>
  <c r="U540" i="1"/>
  <c r="S541" i="1"/>
  <c r="T541" i="1" s="1"/>
  <c r="R544" i="1"/>
  <c r="AS1323" i="1"/>
  <c r="AR1322" i="1"/>
  <c r="AS1328" i="3" l="1"/>
  <c r="AR1327" i="3"/>
  <c r="U541" i="1"/>
  <c r="S542" i="1"/>
  <c r="T542" i="1" s="1"/>
  <c r="R545" i="1"/>
  <c r="AS1324" i="1"/>
  <c r="AR1323" i="1"/>
  <c r="AS1329" i="3" l="1"/>
  <c r="AR1328" i="3"/>
  <c r="U542" i="1"/>
  <c r="S543" i="1"/>
  <c r="T543" i="1" s="1"/>
  <c r="R546" i="1"/>
  <c r="AS1325" i="1"/>
  <c r="AR1324" i="1"/>
  <c r="AR1329" i="3" l="1"/>
  <c r="AS1330" i="3"/>
  <c r="U543" i="1"/>
  <c r="S544" i="1"/>
  <c r="T544" i="1" s="1"/>
  <c r="R547" i="1"/>
  <c r="AS1326" i="1"/>
  <c r="AR1325" i="1"/>
  <c r="AS1331" i="3" l="1"/>
  <c r="AR1330" i="3"/>
  <c r="U544" i="1"/>
  <c r="S545" i="1"/>
  <c r="T545" i="1" s="1"/>
  <c r="R548" i="1"/>
  <c r="AS1327" i="1"/>
  <c r="AR1326" i="1"/>
  <c r="AS1332" i="3" l="1"/>
  <c r="AR1331" i="3"/>
  <c r="U545" i="1"/>
  <c r="S546" i="1"/>
  <c r="T546" i="1" s="1"/>
  <c r="R549" i="1"/>
  <c r="AS1328" i="1"/>
  <c r="AR1327" i="1"/>
  <c r="AR1332" i="3" l="1"/>
  <c r="AS1333" i="3"/>
  <c r="U546" i="1"/>
  <c r="S547" i="1"/>
  <c r="T547" i="1" s="1"/>
  <c r="R550" i="1"/>
  <c r="AS1329" i="1"/>
  <c r="AR1328" i="1"/>
  <c r="AS1334" i="3" l="1"/>
  <c r="AR1333" i="3"/>
  <c r="U547" i="1"/>
  <c r="S548" i="1"/>
  <c r="T548" i="1" s="1"/>
  <c r="R551" i="1"/>
  <c r="AS1330" i="1"/>
  <c r="AR1329" i="1"/>
  <c r="AS1335" i="3" l="1"/>
  <c r="AR1334" i="3"/>
  <c r="U548" i="1"/>
  <c r="S549" i="1"/>
  <c r="T549" i="1" s="1"/>
  <c r="R552" i="1"/>
  <c r="AS1331" i="1"/>
  <c r="AR1330" i="1"/>
  <c r="AS1336" i="3" l="1"/>
  <c r="AR1335" i="3"/>
  <c r="U549" i="1"/>
  <c r="S550" i="1"/>
  <c r="T550" i="1" s="1"/>
  <c r="R553" i="1"/>
  <c r="AS1332" i="1"/>
  <c r="AR1331" i="1"/>
  <c r="AS1337" i="3" l="1"/>
  <c r="AR1336" i="3"/>
  <c r="U550" i="1"/>
  <c r="S551" i="1"/>
  <c r="T551" i="1" s="1"/>
  <c r="R554" i="1"/>
  <c r="AS1333" i="1"/>
  <c r="AR1332" i="1"/>
  <c r="AR1337" i="3" l="1"/>
  <c r="AS1338" i="3"/>
  <c r="U551" i="1"/>
  <c r="S552" i="1"/>
  <c r="T552" i="1" s="1"/>
  <c r="R555" i="1"/>
  <c r="AS1334" i="1"/>
  <c r="AR1333" i="1"/>
  <c r="AS1339" i="3" l="1"/>
  <c r="AR1338" i="3"/>
  <c r="U552" i="1"/>
  <c r="S553" i="1"/>
  <c r="T553" i="1" s="1"/>
  <c r="R556" i="1"/>
  <c r="AS1335" i="1"/>
  <c r="AR1334" i="1"/>
  <c r="AS1340" i="3" l="1"/>
  <c r="AR1339" i="3"/>
  <c r="U553" i="1"/>
  <c r="S554" i="1"/>
  <c r="T554" i="1" s="1"/>
  <c r="R557" i="1"/>
  <c r="AS1336" i="1"/>
  <c r="AR1335" i="1"/>
  <c r="AR1340" i="3" l="1"/>
  <c r="AS1341" i="3"/>
  <c r="U554" i="1"/>
  <c r="S555" i="1"/>
  <c r="T555" i="1" s="1"/>
  <c r="R558" i="1"/>
  <c r="AS1337" i="1"/>
  <c r="AR1336" i="1"/>
  <c r="AS1342" i="3" l="1"/>
  <c r="AR1341" i="3"/>
  <c r="U555" i="1"/>
  <c r="S556" i="1"/>
  <c r="T556" i="1" s="1"/>
  <c r="R559" i="1"/>
  <c r="AS1338" i="1"/>
  <c r="AR1337" i="1"/>
  <c r="AS1343" i="3" l="1"/>
  <c r="AR1342" i="3"/>
  <c r="U556" i="1"/>
  <c r="S557" i="1"/>
  <c r="T557" i="1" s="1"/>
  <c r="R560" i="1"/>
  <c r="AS1339" i="1"/>
  <c r="AR1338" i="1"/>
  <c r="AS1344" i="3" l="1"/>
  <c r="AR1343" i="3"/>
  <c r="U557" i="1"/>
  <c r="S558" i="1"/>
  <c r="T558" i="1" s="1"/>
  <c r="R561" i="1"/>
  <c r="AS1340" i="1"/>
  <c r="AR1339" i="1"/>
  <c r="AR1344" i="3" l="1"/>
  <c r="AS1345" i="3"/>
  <c r="U558" i="1"/>
  <c r="S559" i="1"/>
  <c r="T559" i="1" s="1"/>
  <c r="R562" i="1"/>
  <c r="AS1341" i="1"/>
  <c r="AR1340" i="1"/>
  <c r="AR1345" i="3" l="1"/>
  <c r="AS1346" i="3"/>
  <c r="U559" i="1"/>
  <c r="S560" i="1"/>
  <c r="T560" i="1" s="1"/>
  <c r="R563" i="1"/>
  <c r="AS1342" i="1"/>
  <c r="AR1341" i="1"/>
  <c r="AS1347" i="3" l="1"/>
  <c r="AR1346" i="3"/>
  <c r="U560" i="1"/>
  <c r="S561" i="1"/>
  <c r="T561" i="1" s="1"/>
  <c r="R564" i="1"/>
  <c r="AS1343" i="1"/>
  <c r="AR1342" i="1"/>
  <c r="AS1348" i="3" l="1"/>
  <c r="AR1347" i="3"/>
  <c r="U561" i="1"/>
  <c r="S562" i="1"/>
  <c r="T562" i="1" s="1"/>
  <c r="R565" i="1"/>
  <c r="AS1344" i="1"/>
  <c r="AR1343" i="1"/>
  <c r="AR1348" i="3" l="1"/>
  <c r="AS1349" i="3"/>
  <c r="U562" i="1"/>
  <c r="S563" i="1"/>
  <c r="T563" i="1" s="1"/>
  <c r="R566" i="1"/>
  <c r="AS1345" i="1"/>
  <c r="AR1344" i="1"/>
  <c r="AR1349" i="3" l="1"/>
  <c r="AS1350" i="3"/>
  <c r="U563" i="1"/>
  <c r="S564" i="1"/>
  <c r="T564" i="1" s="1"/>
  <c r="R567" i="1"/>
  <c r="AS1346" i="1"/>
  <c r="AR1345" i="1"/>
  <c r="AS1351" i="3" l="1"/>
  <c r="AR1350" i="3"/>
  <c r="U564" i="1"/>
  <c r="S565" i="1"/>
  <c r="T565" i="1" s="1"/>
  <c r="R568" i="1"/>
  <c r="AS1347" i="1"/>
  <c r="AR1346" i="1"/>
  <c r="AS1352" i="3" l="1"/>
  <c r="AR1351" i="3"/>
  <c r="U565" i="1"/>
  <c r="S566" i="1"/>
  <c r="T566" i="1" s="1"/>
  <c r="R569" i="1"/>
  <c r="AS1348" i="1"/>
  <c r="AR1347" i="1"/>
  <c r="AR1352" i="3" l="1"/>
  <c r="AS1353" i="3"/>
  <c r="U566" i="1"/>
  <c r="S567" i="1"/>
  <c r="T567" i="1" s="1"/>
  <c r="R570" i="1"/>
  <c r="AS1349" i="1"/>
  <c r="AR1348" i="1"/>
  <c r="AR1353" i="3" l="1"/>
  <c r="AS1354" i="3"/>
  <c r="U567" i="1"/>
  <c r="S568" i="1"/>
  <c r="T568" i="1" s="1"/>
  <c r="R571" i="1"/>
  <c r="AS1350" i="1"/>
  <c r="AR1349" i="1"/>
  <c r="AS1355" i="3" l="1"/>
  <c r="AR1354" i="3"/>
  <c r="U568" i="1"/>
  <c r="S569" i="1"/>
  <c r="T569" i="1" s="1"/>
  <c r="R572" i="1"/>
  <c r="AS1351" i="1"/>
  <c r="AR1350" i="1"/>
  <c r="AS1356" i="3" l="1"/>
  <c r="AR1355" i="3"/>
  <c r="U569" i="1"/>
  <c r="S570" i="1"/>
  <c r="T570" i="1" s="1"/>
  <c r="R573" i="1"/>
  <c r="AS1352" i="1"/>
  <c r="AR1351" i="1"/>
  <c r="AR1356" i="3" l="1"/>
  <c r="AS1357" i="3"/>
  <c r="U570" i="1"/>
  <c r="S571" i="1"/>
  <c r="T571" i="1" s="1"/>
  <c r="R574" i="1"/>
  <c r="AS1353" i="1"/>
  <c r="AR1352" i="1"/>
  <c r="AS1358" i="3" l="1"/>
  <c r="AR1357" i="3"/>
  <c r="U571" i="1"/>
  <c r="S572" i="1"/>
  <c r="T572" i="1" s="1"/>
  <c r="R575" i="1"/>
  <c r="AS1354" i="1"/>
  <c r="AR1353" i="1"/>
  <c r="AS1359" i="3" l="1"/>
  <c r="AR1358" i="3"/>
  <c r="U572" i="1"/>
  <c r="S573" i="1"/>
  <c r="T573" i="1" s="1"/>
  <c r="R576" i="1"/>
  <c r="AS1355" i="1"/>
  <c r="AR1354" i="1"/>
  <c r="AS1360" i="3" l="1"/>
  <c r="AR1359" i="3"/>
  <c r="U573" i="1"/>
  <c r="S574" i="1"/>
  <c r="T574" i="1" s="1"/>
  <c r="R577" i="1"/>
  <c r="AS1356" i="1"/>
  <c r="AR1355" i="1"/>
  <c r="AR1360" i="3" l="1"/>
  <c r="AS1361" i="3"/>
  <c r="U574" i="1"/>
  <c r="S575" i="1"/>
  <c r="T575" i="1" s="1"/>
  <c r="R578" i="1"/>
  <c r="AS1357" i="1"/>
  <c r="AR1356" i="1"/>
  <c r="AR1361" i="3" l="1"/>
  <c r="AS1362" i="3"/>
  <c r="U575" i="1"/>
  <c r="S576" i="1"/>
  <c r="T576" i="1" s="1"/>
  <c r="R579" i="1"/>
  <c r="AS1358" i="1"/>
  <c r="AR1357" i="1"/>
  <c r="AS1363" i="3" l="1"/>
  <c r="AR1362" i="3"/>
  <c r="U576" i="1"/>
  <c r="S577" i="1"/>
  <c r="T577" i="1" s="1"/>
  <c r="R580" i="1"/>
  <c r="AS1359" i="1"/>
  <c r="AR1358" i="1"/>
  <c r="AS1364" i="3" l="1"/>
  <c r="AR1363" i="3"/>
  <c r="U577" i="1"/>
  <c r="S578" i="1"/>
  <c r="T578" i="1" s="1"/>
  <c r="R581" i="1"/>
  <c r="AS1360" i="1"/>
  <c r="AR1359" i="1"/>
  <c r="AR1364" i="3" l="1"/>
  <c r="AS1365" i="3"/>
  <c r="U578" i="1"/>
  <c r="S579" i="1"/>
  <c r="T579" i="1" s="1"/>
  <c r="R582" i="1"/>
  <c r="AS1361" i="1"/>
  <c r="AR1360" i="1"/>
  <c r="AS1366" i="3" l="1"/>
  <c r="AR1365" i="3"/>
  <c r="U579" i="1"/>
  <c r="S580" i="1"/>
  <c r="T580" i="1" s="1"/>
  <c r="R583" i="1"/>
  <c r="AS1362" i="1"/>
  <c r="AR1361" i="1"/>
  <c r="AS1367" i="3" l="1"/>
  <c r="AR1366" i="3"/>
  <c r="U580" i="1"/>
  <c r="S581" i="1"/>
  <c r="T581" i="1" s="1"/>
  <c r="R584" i="1"/>
  <c r="AS1363" i="1"/>
  <c r="AR1362" i="1"/>
  <c r="AS1368" i="3" l="1"/>
  <c r="AR1367" i="3"/>
  <c r="U581" i="1"/>
  <c r="S582" i="1"/>
  <c r="T582" i="1" s="1"/>
  <c r="R585" i="1"/>
  <c r="AS1364" i="1"/>
  <c r="AR1363" i="1"/>
  <c r="AR1368" i="3" l="1"/>
  <c r="AS1369" i="3"/>
  <c r="U582" i="1"/>
  <c r="S583" i="1"/>
  <c r="T583" i="1" s="1"/>
  <c r="R586" i="1"/>
  <c r="AS1365" i="1"/>
  <c r="AR1364" i="1"/>
  <c r="AR1369" i="3" l="1"/>
  <c r="AS1370" i="3"/>
  <c r="U583" i="1"/>
  <c r="S584" i="1"/>
  <c r="T584" i="1" s="1"/>
  <c r="R587" i="1"/>
  <c r="AS1366" i="1"/>
  <c r="AR1365" i="1"/>
  <c r="AS1371" i="3" l="1"/>
  <c r="AR1370" i="3"/>
  <c r="U584" i="1"/>
  <c r="S585" i="1"/>
  <c r="T585" i="1" s="1"/>
  <c r="R588" i="1"/>
  <c r="AS1367" i="1"/>
  <c r="AR1366" i="1"/>
  <c r="AS1372" i="3" l="1"/>
  <c r="AR1371" i="3"/>
  <c r="U585" i="1"/>
  <c r="S586" i="1"/>
  <c r="T586" i="1" s="1"/>
  <c r="R589" i="1"/>
  <c r="AS1368" i="1"/>
  <c r="AR1367" i="1"/>
  <c r="AR1372" i="3" l="1"/>
  <c r="AS1373" i="3"/>
  <c r="U586" i="1"/>
  <c r="S587" i="1"/>
  <c r="T587" i="1" s="1"/>
  <c r="R590" i="1"/>
  <c r="AS1369" i="1"/>
  <c r="AR1368" i="1"/>
  <c r="AS1374" i="3" l="1"/>
  <c r="AR1373" i="3"/>
  <c r="U587" i="1"/>
  <c r="S588" i="1"/>
  <c r="T588" i="1" s="1"/>
  <c r="R591" i="1"/>
  <c r="AS1370" i="1"/>
  <c r="AR1369" i="1"/>
  <c r="AS1375" i="3" l="1"/>
  <c r="AR1374" i="3"/>
  <c r="U588" i="1"/>
  <c r="S589" i="1"/>
  <c r="T589" i="1" s="1"/>
  <c r="R592" i="1"/>
  <c r="AS1371" i="1"/>
  <c r="AR1370" i="1"/>
  <c r="AS1376" i="3" l="1"/>
  <c r="AR1375" i="3"/>
  <c r="U589" i="1"/>
  <c r="S590" i="1"/>
  <c r="T590" i="1" s="1"/>
  <c r="R593" i="1"/>
  <c r="AS1372" i="1"/>
  <c r="AR1371" i="1"/>
  <c r="AR1376" i="3" l="1"/>
  <c r="AS1377" i="3"/>
  <c r="U590" i="1"/>
  <c r="S591" i="1"/>
  <c r="T591" i="1" s="1"/>
  <c r="R594" i="1"/>
  <c r="AS1373" i="1"/>
  <c r="AR1372" i="1"/>
  <c r="AR1377" i="3" l="1"/>
  <c r="AS1378" i="3"/>
  <c r="U591" i="1"/>
  <c r="S592" i="1"/>
  <c r="T592" i="1" s="1"/>
  <c r="R595" i="1"/>
  <c r="AS1374" i="1"/>
  <c r="AR1373" i="1"/>
  <c r="AS1379" i="3" l="1"/>
  <c r="AR1378" i="3"/>
  <c r="U592" i="1"/>
  <c r="S593" i="1"/>
  <c r="T593" i="1" s="1"/>
  <c r="R596" i="1"/>
  <c r="AS1375" i="1"/>
  <c r="AR1374" i="1"/>
  <c r="AS1380" i="3" l="1"/>
  <c r="AR1379" i="3"/>
  <c r="U593" i="1"/>
  <c r="S594" i="1"/>
  <c r="T594" i="1" s="1"/>
  <c r="R597" i="1"/>
  <c r="AS1376" i="1"/>
  <c r="AR1375" i="1"/>
  <c r="AR1380" i="3" l="1"/>
  <c r="AS1381" i="3"/>
  <c r="U594" i="1"/>
  <c r="S595" i="1"/>
  <c r="T595" i="1" s="1"/>
  <c r="R598" i="1"/>
  <c r="AS1377" i="1"/>
  <c r="AR1376" i="1"/>
  <c r="AS1382" i="3" l="1"/>
  <c r="AR1381" i="3"/>
  <c r="U595" i="1"/>
  <c r="S596" i="1"/>
  <c r="T596" i="1" s="1"/>
  <c r="R599" i="1"/>
  <c r="AS1378" i="1"/>
  <c r="AR1377" i="1"/>
  <c r="AS1383" i="3" l="1"/>
  <c r="AR1382" i="3"/>
  <c r="U596" i="1"/>
  <c r="S597" i="1"/>
  <c r="T597" i="1" s="1"/>
  <c r="R600" i="1"/>
  <c r="AS1379" i="1"/>
  <c r="AR1378" i="1"/>
  <c r="AS1384" i="3" l="1"/>
  <c r="AR1383" i="3"/>
  <c r="U597" i="1"/>
  <c r="S598" i="1"/>
  <c r="T598" i="1" s="1"/>
  <c r="R601" i="1"/>
  <c r="AS1380" i="1"/>
  <c r="AR1379" i="1"/>
  <c r="AR1384" i="3" l="1"/>
  <c r="AS1385" i="3"/>
  <c r="U598" i="1"/>
  <c r="S599" i="1"/>
  <c r="T599" i="1" s="1"/>
  <c r="R602" i="1"/>
  <c r="AS1381" i="1"/>
  <c r="AR1380" i="1"/>
  <c r="AR1385" i="3" l="1"/>
  <c r="AS1386" i="3"/>
  <c r="U599" i="1"/>
  <c r="S600" i="1"/>
  <c r="T600" i="1" s="1"/>
  <c r="R603" i="1"/>
  <c r="AS1382" i="1"/>
  <c r="AR1381" i="1"/>
  <c r="AS1387" i="3" l="1"/>
  <c r="AR1386" i="3"/>
  <c r="U600" i="1"/>
  <c r="S601" i="1"/>
  <c r="T601" i="1" s="1"/>
  <c r="R604" i="1"/>
  <c r="AS1383" i="1"/>
  <c r="AR1382" i="1"/>
  <c r="AS1388" i="3" l="1"/>
  <c r="AR1387" i="3"/>
  <c r="U601" i="1"/>
  <c r="S602" i="1"/>
  <c r="T602" i="1" s="1"/>
  <c r="R605" i="1"/>
  <c r="AS1384" i="1"/>
  <c r="AR1383" i="1"/>
  <c r="AR1388" i="3" l="1"/>
  <c r="AS1389" i="3"/>
  <c r="U602" i="1"/>
  <c r="S603" i="1"/>
  <c r="T603" i="1" s="1"/>
  <c r="R606" i="1"/>
  <c r="AS1385" i="1"/>
  <c r="AR1384" i="1"/>
  <c r="AS1390" i="3" l="1"/>
  <c r="AR1389" i="3"/>
  <c r="U603" i="1"/>
  <c r="S604" i="1"/>
  <c r="T604" i="1" s="1"/>
  <c r="R607" i="1"/>
  <c r="AS1386" i="1"/>
  <c r="AR1385" i="1"/>
  <c r="AS1391" i="3" l="1"/>
  <c r="AR1390" i="3"/>
  <c r="U604" i="1"/>
  <c r="S605" i="1"/>
  <c r="T605" i="1" s="1"/>
  <c r="R608" i="1"/>
  <c r="AS1387" i="1"/>
  <c r="AR1386" i="1"/>
  <c r="AS1392" i="3" l="1"/>
  <c r="AR1391" i="3"/>
  <c r="U605" i="1"/>
  <c r="S606" i="1"/>
  <c r="T606" i="1" s="1"/>
  <c r="R609" i="1"/>
  <c r="AS1388" i="1"/>
  <c r="AR1387" i="1"/>
  <c r="AR1392" i="3" l="1"/>
  <c r="AS1393" i="3"/>
  <c r="U606" i="1"/>
  <c r="S607" i="1"/>
  <c r="T607" i="1" s="1"/>
  <c r="R610" i="1"/>
  <c r="AS1389" i="1"/>
  <c r="AR1388" i="1"/>
  <c r="AR1393" i="3" l="1"/>
  <c r="AS1394" i="3"/>
  <c r="U607" i="1"/>
  <c r="S608" i="1"/>
  <c r="T608" i="1" s="1"/>
  <c r="R611" i="1"/>
  <c r="AS1390" i="1"/>
  <c r="AR1389" i="1"/>
  <c r="AS1395" i="3" l="1"/>
  <c r="AR1394" i="3"/>
  <c r="U608" i="1"/>
  <c r="S609" i="1"/>
  <c r="T609" i="1" s="1"/>
  <c r="R612" i="1"/>
  <c r="AS1391" i="1"/>
  <c r="AR1390" i="1"/>
  <c r="AS1396" i="3" l="1"/>
  <c r="AR1395" i="3"/>
  <c r="U609" i="1"/>
  <c r="S610" i="1"/>
  <c r="T610" i="1" s="1"/>
  <c r="R613" i="1"/>
  <c r="AS1392" i="1"/>
  <c r="AR1391" i="1"/>
  <c r="AR1396" i="3" l="1"/>
  <c r="AS1397" i="3"/>
  <c r="U610" i="1"/>
  <c r="S611" i="1"/>
  <c r="T611" i="1" s="1"/>
  <c r="R614" i="1"/>
  <c r="AS1393" i="1"/>
  <c r="AR1392" i="1"/>
  <c r="AS1398" i="3" l="1"/>
  <c r="AR1397" i="3"/>
  <c r="U611" i="1"/>
  <c r="S612" i="1"/>
  <c r="T612" i="1" s="1"/>
  <c r="R615" i="1"/>
  <c r="AS1394" i="1"/>
  <c r="AR1393" i="1"/>
  <c r="AS1399" i="3" l="1"/>
  <c r="AR1398" i="3"/>
  <c r="U612" i="1"/>
  <c r="S613" i="1"/>
  <c r="T613" i="1" s="1"/>
  <c r="R616" i="1"/>
  <c r="AS1395" i="1"/>
  <c r="AR1394" i="1"/>
  <c r="AS1400" i="3" l="1"/>
  <c r="AR1399" i="3"/>
  <c r="U613" i="1"/>
  <c r="S614" i="1"/>
  <c r="T614" i="1" s="1"/>
  <c r="R617" i="1"/>
  <c r="AS1396" i="1"/>
  <c r="AR1395" i="1"/>
  <c r="AR1400" i="3" l="1"/>
  <c r="AS1401" i="3"/>
  <c r="U614" i="1"/>
  <c r="S615" i="1"/>
  <c r="T615" i="1" s="1"/>
  <c r="R618" i="1"/>
  <c r="AS1397" i="1"/>
  <c r="AR1396" i="1"/>
  <c r="AR1401" i="3" l="1"/>
  <c r="AS1402" i="3"/>
  <c r="U615" i="1"/>
  <c r="S616" i="1"/>
  <c r="T616" i="1" s="1"/>
  <c r="R619" i="1"/>
  <c r="AS1398" i="1"/>
  <c r="AR1397" i="1"/>
  <c r="AS1403" i="3" l="1"/>
  <c r="AR1402" i="3"/>
  <c r="U616" i="1"/>
  <c r="S617" i="1"/>
  <c r="T617" i="1" s="1"/>
  <c r="R620" i="1"/>
  <c r="AS1399" i="1"/>
  <c r="AR1398" i="1"/>
  <c r="AS1404" i="3" l="1"/>
  <c r="AR1403" i="3"/>
  <c r="U617" i="1"/>
  <c r="S618" i="1"/>
  <c r="T618" i="1" s="1"/>
  <c r="R621" i="1"/>
  <c r="AS1400" i="1"/>
  <c r="AR1399" i="1"/>
  <c r="AR1404" i="3" l="1"/>
  <c r="AS1405" i="3"/>
  <c r="U618" i="1"/>
  <c r="S619" i="1"/>
  <c r="T619" i="1" s="1"/>
  <c r="R622" i="1"/>
  <c r="AS1401" i="1"/>
  <c r="AR1400" i="1"/>
  <c r="AR1405" i="3" l="1"/>
  <c r="AS1406" i="3"/>
  <c r="U619" i="1"/>
  <c r="S620" i="1"/>
  <c r="T620" i="1" s="1"/>
  <c r="R623" i="1"/>
  <c r="AS1402" i="1"/>
  <c r="AR1401" i="1"/>
  <c r="AS1407" i="3" l="1"/>
  <c r="AR1406" i="3"/>
  <c r="U620" i="1"/>
  <c r="S621" i="1"/>
  <c r="T621" i="1" s="1"/>
  <c r="R624" i="1"/>
  <c r="AS1403" i="1"/>
  <c r="AR1402" i="1"/>
  <c r="AS1408" i="3" l="1"/>
  <c r="AR1407" i="3"/>
  <c r="U621" i="1"/>
  <c r="S622" i="1"/>
  <c r="T622" i="1" s="1"/>
  <c r="R625" i="1"/>
  <c r="AS1404" i="1"/>
  <c r="AR1403" i="1"/>
  <c r="AR1408" i="3" l="1"/>
  <c r="AS1409" i="3"/>
  <c r="U622" i="1"/>
  <c r="S623" i="1"/>
  <c r="T623" i="1" s="1"/>
  <c r="R626" i="1"/>
  <c r="AS1405" i="1"/>
  <c r="AR1404" i="1"/>
  <c r="AR1409" i="3" l="1"/>
  <c r="AS1410" i="3"/>
  <c r="U623" i="1"/>
  <c r="S624" i="1"/>
  <c r="T624" i="1" s="1"/>
  <c r="R627" i="1"/>
  <c r="AS1406" i="1"/>
  <c r="AR1405" i="1"/>
  <c r="AS1411" i="3" l="1"/>
  <c r="AR1410" i="3"/>
  <c r="U624" i="1"/>
  <c r="S625" i="1"/>
  <c r="T625" i="1" s="1"/>
  <c r="R628" i="1"/>
  <c r="AS1407" i="1"/>
  <c r="AR1406" i="1"/>
  <c r="AS1412" i="3" l="1"/>
  <c r="AR1411" i="3"/>
  <c r="U625" i="1"/>
  <c r="S626" i="1"/>
  <c r="T626" i="1" s="1"/>
  <c r="R629" i="1"/>
  <c r="AS1408" i="1"/>
  <c r="AR1407" i="1"/>
  <c r="AR1412" i="3" l="1"/>
  <c r="AS1413" i="3"/>
  <c r="U626" i="1"/>
  <c r="S627" i="1"/>
  <c r="T627" i="1" s="1"/>
  <c r="R630" i="1"/>
  <c r="AS1409" i="1"/>
  <c r="AR1408" i="1"/>
  <c r="AR1413" i="3" l="1"/>
  <c r="AS1414" i="3"/>
  <c r="U627" i="1"/>
  <c r="S628" i="1"/>
  <c r="T628" i="1" s="1"/>
  <c r="R631" i="1"/>
  <c r="AS1410" i="1"/>
  <c r="AR1409" i="1"/>
  <c r="AS1415" i="3" l="1"/>
  <c r="AR1414" i="3"/>
  <c r="U628" i="1"/>
  <c r="S629" i="1"/>
  <c r="T629" i="1" s="1"/>
  <c r="R632" i="1"/>
  <c r="AS1411" i="1"/>
  <c r="AR1410" i="1"/>
  <c r="AS1416" i="3" l="1"/>
  <c r="AR1415" i="3"/>
  <c r="U629" i="1"/>
  <c r="S630" i="1"/>
  <c r="T630" i="1" s="1"/>
  <c r="R633" i="1"/>
  <c r="AS1412" i="1"/>
  <c r="AR1411" i="1"/>
  <c r="AR1416" i="3" l="1"/>
  <c r="AS1417" i="3"/>
  <c r="U630" i="1"/>
  <c r="S631" i="1"/>
  <c r="T631" i="1" s="1"/>
  <c r="R634" i="1"/>
  <c r="AS1413" i="1"/>
  <c r="AR1412" i="1"/>
  <c r="AR1417" i="3" l="1"/>
  <c r="AS1418" i="3"/>
  <c r="U631" i="1"/>
  <c r="S632" i="1"/>
  <c r="T632" i="1" s="1"/>
  <c r="R635" i="1"/>
  <c r="AS1414" i="1"/>
  <c r="AR1413" i="1"/>
  <c r="AS1419" i="3" l="1"/>
  <c r="AR1418" i="3"/>
  <c r="U632" i="1"/>
  <c r="S633" i="1"/>
  <c r="T633" i="1" s="1"/>
  <c r="R636" i="1"/>
  <c r="AS1415" i="1"/>
  <c r="AR1414" i="1"/>
  <c r="AS1420" i="3" l="1"/>
  <c r="AR1419" i="3"/>
  <c r="U633" i="1"/>
  <c r="S634" i="1"/>
  <c r="T634" i="1" s="1"/>
  <c r="R637" i="1"/>
  <c r="AS1416" i="1"/>
  <c r="AR1415" i="1"/>
  <c r="AR1420" i="3" l="1"/>
  <c r="AS1421" i="3"/>
  <c r="U634" i="1"/>
  <c r="S635" i="1"/>
  <c r="T635" i="1" s="1"/>
  <c r="R638" i="1"/>
  <c r="AS1417" i="1"/>
  <c r="AR1416" i="1"/>
  <c r="AR1421" i="3" l="1"/>
  <c r="AS1422" i="3"/>
  <c r="U635" i="1"/>
  <c r="S636" i="1"/>
  <c r="T636" i="1" s="1"/>
  <c r="R639" i="1"/>
  <c r="AS1418" i="1"/>
  <c r="AR1417" i="1"/>
  <c r="AS1423" i="3" l="1"/>
  <c r="AR1422" i="3"/>
  <c r="U636" i="1"/>
  <c r="S637" i="1"/>
  <c r="T637" i="1" s="1"/>
  <c r="R640" i="1"/>
  <c r="AS1419" i="1"/>
  <c r="AR1418" i="1"/>
  <c r="AS1424" i="3" l="1"/>
  <c r="AR1423" i="3"/>
  <c r="U637" i="1"/>
  <c r="S638" i="1"/>
  <c r="T638" i="1" s="1"/>
  <c r="R641" i="1"/>
  <c r="AS1420" i="1"/>
  <c r="AR1419" i="1"/>
  <c r="AR1424" i="3" l="1"/>
  <c r="AS1425" i="3"/>
  <c r="U638" i="1"/>
  <c r="S639" i="1"/>
  <c r="T639" i="1" s="1"/>
  <c r="R642" i="1"/>
  <c r="AS1421" i="1"/>
  <c r="AR1420" i="1"/>
  <c r="AR1425" i="3" l="1"/>
  <c r="AS1426" i="3"/>
  <c r="U639" i="1"/>
  <c r="S640" i="1"/>
  <c r="T640" i="1" s="1"/>
  <c r="R643" i="1"/>
  <c r="AS1422" i="1"/>
  <c r="AR1421" i="1"/>
  <c r="AS1427" i="3" l="1"/>
  <c r="AR1426" i="3"/>
  <c r="U640" i="1"/>
  <c r="S641" i="1"/>
  <c r="T641" i="1" s="1"/>
  <c r="R644" i="1"/>
  <c r="AS1423" i="1"/>
  <c r="AR1422" i="1"/>
  <c r="AS1428" i="3" l="1"/>
  <c r="AR1427" i="3"/>
  <c r="U641" i="1"/>
  <c r="S642" i="1"/>
  <c r="T642" i="1" s="1"/>
  <c r="R645" i="1"/>
  <c r="AS1424" i="1"/>
  <c r="AR1423" i="1"/>
  <c r="AR1428" i="3" l="1"/>
  <c r="AS1429" i="3"/>
  <c r="U642" i="1"/>
  <c r="S643" i="1"/>
  <c r="T643" i="1" s="1"/>
  <c r="R646" i="1"/>
  <c r="AS1425" i="1"/>
  <c r="AR1424" i="1"/>
  <c r="AR1429" i="3" l="1"/>
  <c r="AS1430" i="3"/>
  <c r="U643" i="1"/>
  <c r="S644" i="1"/>
  <c r="T644" i="1" s="1"/>
  <c r="R647" i="1"/>
  <c r="AS1426" i="1"/>
  <c r="AR1425" i="1"/>
  <c r="AS1431" i="3" l="1"/>
  <c r="AR1430" i="3"/>
  <c r="U644" i="1"/>
  <c r="S645" i="1"/>
  <c r="T645" i="1" s="1"/>
  <c r="R648" i="1"/>
  <c r="AS1427" i="1"/>
  <c r="AR1426" i="1"/>
  <c r="AS1432" i="3" l="1"/>
  <c r="AR1431" i="3"/>
  <c r="U645" i="1"/>
  <c r="S646" i="1"/>
  <c r="T646" i="1" s="1"/>
  <c r="R649" i="1"/>
  <c r="AS1428" i="1"/>
  <c r="AR1427" i="1"/>
  <c r="AR1432" i="3" l="1"/>
  <c r="AS1433" i="3"/>
  <c r="U646" i="1"/>
  <c r="S647" i="1"/>
  <c r="T647" i="1" s="1"/>
  <c r="R650" i="1"/>
  <c r="AS1429" i="1"/>
  <c r="AR1428" i="1"/>
  <c r="AR1433" i="3" l="1"/>
  <c r="AS1434" i="3"/>
  <c r="U647" i="1"/>
  <c r="S648" i="1"/>
  <c r="T648" i="1" s="1"/>
  <c r="R651" i="1"/>
  <c r="AS1430" i="1"/>
  <c r="AR1429" i="1"/>
  <c r="AS1435" i="3" l="1"/>
  <c r="AR1434" i="3"/>
  <c r="U648" i="1"/>
  <c r="S649" i="1"/>
  <c r="T649" i="1" s="1"/>
  <c r="R652" i="1"/>
  <c r="AS1431" i="1"/>
  <c r="AR1430" i="1"/>
  <c r="AS1436" i="3" l="1"/>
  <c r="AR1435" i="3"/>
  <c r="U649" i="1"/>
  <c r="S650" i="1"/>
  <c r="T650" i="1" s="1"/>
  <c r="R653" i="1"/>
  <c r="AS1432" i="1"/>
  <c r="AR1431" i="1"/>
  <c r="AR1436" i="3" l="1"/>
  <c r="AS1437" i="3"/>
  <c r="U650" i="1"/>
  <c r="S651" i="1"/>
  <c r="T651" i="1" s="1"/>
  <c r="R654" i="1"/>
  <c r="AS1433" i="1"/>
  <c r="AR1432" i="1"/>
  <c r="AR1437" i="3" l="1"/>
  <c r="AS1438" i="3"/>
  <c r="U651" i="1"/>
  <c r="S652" i="1"/>
  <c r="T652" i="1" s="1"/>
  <c r="R655" i="1"/>
  <c r="AS1434" i="1"/>
  <c r="AR1433" i="1"/>
  <c r="AS1439" i="3" l="1"/>
  <c r="AR1438" i="3"/>
  <c r="U652" i="1"/>
  <c r="S653" i="1"/>
  <c r="T653" i="1" s="1"/>
  <c r="R656" i="1"/>
  <c r="AS1435" i="1"/>
  <c r="AR1434" i="1"/>
  <c r="AS1440" i="3" l="1"/>
  <c r="AR1439" i="3"/>
  <c r="U653" i="1"/>
  <c r="S654" i="1"/>
  <c r="T654" i="1" s="1"/>
  <c r="R657" i="1"/>
  <c r="AS1436" i="1"/>
  <c r="AR1435" i="1"/>
  <c r="AR1440" i="3" l="1"/>
  <c r="AS1441" i="3"/>
  <c r="U654" i="1"/>
  <c r="S655" i="1"/>
  <c r="T655" i="1" s="1"/>
  <c r="R658" i="1"/>
  <c r="AS1437" i="1"/>
  <c r="AR1436" i="1"/>
  <c r="AR1441" i="3" l="1"/>
  <c r="AS1442" i="3"/>
  <c r="U655" i="1"/>
  <c r="S656" i="1"/>
  <c r="T656" i="1" s="1"/>
  <c r="R659" i="1"/>
  <c r="AS1438" i="1"/>
  <c r="AR1437" i="1"/>
  <c r="AS1443" i="3" l="1"/>
  <c r="AR1442" i="3"/>
  <c r="U656" i="1"/>
  <c r="S657" i="1"/>
  <c r="T657" i="1" s="1"/>
  <c r="R660" i="1"/>
  <c r="AS1439" i="1"/>
  <c r="AR1438" i="1"/>
  <c r="AS1444" i="3" l="1"/>
  <c r="AR1443" i="3"/>
  <c r="U657" i="1"/>
  <c r="S658" i="1"/>
  <c r="T658" i="1" s="1"/>
  <c r="R661" i="1"/>
  <c r="AS1440" i="1"/>
  <c r="AR1439" i="1"/>
  <c r="AR1444" i="3" l="1"/>
  <c r="AS1445" i="3"/>
  <c r="U658" i="1"/>
  <c r="S659" i="1"/>
  <c r="T659" i="1" s="1"/>
  <c r="R662" i="1"/>
  <c r="AS1441" i="1"/>
  <c r="AR1440" i="1"/>
  <c r="AR1445" i="3" l="1"/>
  <c r="AS1446" i="3"/>
  <c r="U659" i="1"/>
  <c r="S660" i="1"/>
  <c r="T660" i="1" s="1"/>
  <c r="R663" i="1"/>
  <c r="AS1442" i="1"/>
  <c r="AR1441" i="1"/>
  <c r="AS1447" i="3" l="1"/>
  <c r="AR1446" i="3"/>
  <c r="U660" i="1"/>
  <c r="S661" i="1"/>
  <c r="T661" i="1" s="1"/>
  <c r="R664" i="1"/>
  <c r="AS1443" i="1"/>
  <c r="AR1442" i="1"/>
  <c r="AS1448" i="3" l="1"/>
  <c r="AR1447" i="3"/>
  <c r="U661" i="1"/>
  <c r="S662" i="1"/>
  <c r="T662" i="1" s="1"/>
  <c r="R665" i="1"/>
  <c r="AS1444" i="1"/>
  <c r="AR1443" i="1"/>
  <c r="AR1448" i="3" l="1"/>
  <c r="AS1449" i="3"/>
  <c r="U662" i="1"/>
  <c r="S663" i="1"/>
  <c r="T663" i="1" s="1"/>
  <c r="R666" i="1"/>
  <c r="AS1445" i="1"/>
  <c r="AR1444" i="1"/>
  <c r="AR1449" i="3" l="1"/>
  <c r="AS1450" i="3"/>
  <c r="U663" i="1"/>
  <c r="S664" i="1"/>
  <c r="T664" i="1" s="1"/>
  <c r="R667" i="1"/>
  <c r="AS1446" i="1"/>
  <c r="AR1445" i="1"/>
  <c r="AS1451" i="3" l="1"/>
  <c r="AR1450" i="3"/>
  <c r="U664" i="1"/>
  <c r="S665" i="1"/>
  <c r="T665" i="1" s="1"/>
  <c r="R668" i="1"/>
  <c r="AS1447" i="1"/>
  <c r="AR1446" i="1"/>
  <c r="AS1452" i="3" l="1"/>
  <c r="AR1451" i="3"/>
  <c r="U665" i="1"/>
  <c r="S666" i="1"/>
  <c r="T666" i="1" s="1"/>
  <c r="R669" i="1"/>
  <c r="AS1448" i="1"/>
  <c r="AR1447" i="1"/>
  <c r="AR1452" i="3" l="1"/>
  <c r="AS1453" i="3"/>
  <c r="U666" i="1"/>
  <c r="S667" i="1"/>
  <c r="T667" i="1" s="1"/>
  <c r="R670" i="1"/>
  <c r="AS1449" i="1"/>
  <c r="AR1448" i="1"/>
  <c r="AR1453" i="3" l="1"/>
  <c r="AS1454" i="3"/>
  <c r="U667" i="1"/>
  <c r="S668" i="1"/>
  <c r="T668" i="1" s="1"/>
  <c r="R671" i="1"/>
  <c r="AS1450" i="1"/>
  <c r="AR1449" i="1"/>
  <c r="AS1455" i="3" l="1"/>
  <c r="AR1454" i="3"/>
  <c r="U668" i="1"/>
  <c r="S669" i="1"/>
  <c r="T669" i="1" s="1"/>
  <c r="R672" i="1"/>
  <c r="AS1451" i="1"/>
  <c r="AR1450" i="1"/>
  <c r="AS1456" i="3" l="1"/>
  <c r="AR1455" i="3"/>
  <c r="U669" i="1"/>
  <c r="S670" i="1"/>
  <c r="T670" i="1" s="1"/>
  <c r="R673" i="1"/>
  <c r="AS1452" i="1"/>
  <c r="AR1451" i="1"/>
  <c r="AR1456" i="3" l="1"/>
  <c r="AS1457" i="3"/>
  <c r="U670" i="1"/>
  <c r="S671" i="1"/>
  <c r="T671" i="1" s="1"/>
  <c r="R674" i="1"/>
  <c r="AS1453" i="1"/>
  <c r="AR1452" i="1"/>
  <c r="AR1457" i="3" l="1"/>
  <c r="AS1458" i="3"/>
  <c r="U671" i="1"/>
  <c r="S672" i="1"/>
  <c r="T672" i="1" s="1"/>
  <c r="R675" i="1"/>
  <c r="AS1454" i="1"/>
  <c r="AR1453" i="1"/>
  <c r="AS1459" i="3" l="1"/>
  <c r="AR1458" i="3"/>
  <c r="U672" i="1"/>
  <c r="S673" i="1"/>
  <c r="T673" i="1" s="1"/>
  <c r="R676" i="1"/>
  <c r="AS1455" i="1"/>
  <c r="AR1454" i="1"/>
  <c r="AS1460" i="3" l="1"/>
  <c r="AR1459" i="3"/>
  <c r="U673" i="1"/>
  <c r="S674" i="1"/>
  <c r="T674" i="1" s="1"/>
  <c r="R677" i="1"/>
  <c r="AS1456" i="1"/>
  <c r="AR1455" i="1"/>
  <c r="AR1460" i="3" l="1"/>
  <c r="AS1461" i="3"/>
  <c r="U674" i="1"/>
  <c r="S675" i="1"/>
  <c r="T675" i="1" s="1"/>
  <c r="R678" i="1"/>
  <c r="AS1457" i="1"/>
  <c r="AR1456" i="1"/>
  <c r="AR1461" i="3" l="1"/>
  <c r="AS1462" i="3"/>
  <c r="U675" i="1"/>
  <c r="S676" i="1"/>
  <c r="T676" i="1" s="1"/>
  <c r="R679" i="1"/>
  <c r="AS1458" i="1"/>
  <c r="AR1457" i="1"/>
  <c r="AS1463" i="3" l="1"/>
  <c r="AR1462" i="3"/>
  <c r="U676" i="1"/>
  <c r="S677" i="1"/>
  <c r="T677" i="1" s="1"/>
  <c r="R680" i="1"/>
  <c r="AS1459" i="1"/>
  <c r="AR1458" i="1"/>
  <c r="AS1464" i="3" l="1"/>
  <c r="AR1463" i="3"/>
  <c r="U677" i="1"/>
  <c r="S678" i="1"/>
  <c r="T678" i="1" s="1"/>
  <c r="R681" i="1"/>
  <c r="AS1460" i="1"/>
  <c r="AR1459" i="1"/>
  <c r="AR1464" i="3" l="1"/>
  <c r="AS1465" i="3"/>
  <c r="U678" i="1"/>
  <c r="S679" i="1"/>
  <c r="T679" i="1" s="1"/>
  <c r="R682" i="1"/>
  <c r="AS1461" i="1"/>
  <c r="AR1460" i="1"/>
  <c r="AR1465" i="3" l="1"/>
  <c r="AS1466" i="3"/>
  <c r="U679" i="1"/>
  <c r="S680" i="1"/>
  <c r="T680" i="1" s="1"/>
  <c r="R683" i="1"/>
  <c r="AS1462" i="1"/>
  <c r="AR1461" i="1"/>
  <c r="AS1467" i="3" l="1"/>
  <c r="AR1466" i="3"/>
  <c r="U680" i="1"/>
  <c r="S681" i="1"/>
  <c r="T681" i="1" s="1"/>
  <c r="R684" i="1"/>
  <c r="AS1463" i="1"/>
  <c r="AR1462" i="1"/>
  <c r="AS1468" i="3" l="1"/>
  <c r="AR1467" i="3"/>
  <c r="U681" i="1"/>
  <c r="S682" i="1"/>
  <c r="T682" i="1" s="1"/>
  <c r="R685" i="1"/>
  <c r="AS1464" i="1"/>
  <c r="AR1463" i="1"/>
  <c r="AR1468" i="3" l="1"/>
  <c r="AS1469" i="3"/>
  <c r="U682" i="1"/>
  <c r="S683" i="1"/>
  <c r="T683" i="1" s="1"/>
  <c r="R686" i="1"/>
  <c r="AS1465" i="1"/>
  <c r="AR1464" i="1"/>
  <c r="AR1469" i="3" l="1"/>
  <c r="AS1470" i="3"/>
  <c r="U683" i="1"/>
  <c r="S684" i="1"/>
  <c r="T684" i="1" s="1"/>
  <c r="R687" i="1"/>
  <c r="AS1466" i="1"/>
  <c r="AR1465" i="1"/>
  <c r="AS1471" i="3" l="1"/>
  <c r="AR1470" i="3"/>
  <c r="U684" i="1"/>
  <c r="S685" i="1"/>
  <c r="T685" i="1" s="1"/>
  <c r="R688" i="1"/>
  <c r="AS1467" i="1"/>
  <c r="AR1466" i="1"/>
  <c r="AS1472" i="3" l="1"/>
  <c r="AR1471" i="3"/>
  <c r="U685" i="1"/>
  <c r="S686" i="1"/>
  <c r="T686" i="1" s="1"/>
  <c r="R689" i="1"/>
  <c r="AS1468" i="1"/>
  <c r="AR1467" i="1"/>
  <c r="AR1472" i="3" l="1"/>
  <c r="AS1473" i="3"/>
  <c r="U686" i="1"/>
  <c r="S687" i="1"/>
  <c r="T687" i="1" s="1"/>
  <c r="R690" i="1"/>
  <c r="AS1469" i="1"/>
  <c r="AR1468" i="1"/>
  <c r="AR1473" i="3" l="1"/>
  <c r="AS1474" i="3"/>
  <c r="U687" i="1"/>
  <c r="S688" i="1"/>
  <c r="T688" i="1" s="1"/>
  <c r="R691" i="1"/>
  <c r="AS1470" i="1"/>
  <c r="AR1469" i="1"/>
  <c r="AS1475" i="3" l="1"/>
  <c r="AR1474" i="3"/>
  <c r="U688" i="1"/>
  <c r="S689" i="1"/>
  <c r="T689" i="1" s="1"/>
  <c r="R692" i="1"/>
  <c r="AS1471" i="1"/>
  <c r="AR1470" i="1"/>
  <c r="AS1476" i="3" l="1"/>
  <c r="AR1475" i="3"/>
  <c r="U689" i="1"/>
  <c r="S690" i="1"/>
  <c r="T690" i="1" s="1"/>
  <c r="R693" i="1"/>
  <c r="AS1472" i="1"/>
  <c r="AR1471" i="1"/>
  <c r="AR1476" i="3" l="1"/>
  <c r="AS1477" i="3"/>
  <c r="U690" i="1"/>
  <c r="S691" i="1"/>
  <c r="T691" i="1" s="1"/>
  <c r="R694" i="1"/>
  <c r="AS1473" i="1"/>
  <c r="AR1472" i="1"/>
  <c r="AR1477" i="3" l="1"/>
  <c r="AS1478" i="3"/>
  <c r="U691" i="1"/>
  <c r="S692" i="1"/>
  <c r="T692" i="1" s="1"/>
  <c r="R695" i="1"/>
  <c r="AS1474" i="1"/>
  <c r="AR1473" i="1"/>
  <c r="AS1479" i="3" l="1"/>
  <c r="AR1478" i="3"/>
  <c r="U692" i="1"/>
  <c r="S693" i="1"/>
  <c r="T693" i="1" s="1"/>
  <c r="R696" i="1"/>
  <c r="AS1475" i="1"/>
  <c r="AR1474" i="1"/>
  <c r="AS1480" i="3" l="1"/>
  <c r="AR1479" i="3"/>
  <c r="U693" i="1"/>
  <c r="S694" i="1"/>
  <c r="T694" i="1" s="1"/>
  <c r="R697" i="1"/>
  <c r="AS1476" i="1"/>
  <c r="AR1475" i="1"/>
  <c r="AR1480" i="3" l="1"/>
  <c r="AS1481" i="3"/>
  <c r="U694" i="1"/>
  <c r="S695" i="1"/>
  <c r="T695" i="1" s="1"/>
  <c r="R698" i="1"/>
  <c r="AS1477" i="1"/>
  <c r="AR1476" i="1"/>
  <c r="AR1481" i="3" l="1"/>
  <c r="AS1482" i="3"/>
  <c r="U695" i="1"/>
  <c r="S696" i="1"/>
  <c r="T696" i="1" s="1"/>
  <c r="R699" i="1"/>
  <c r="AS1478" i="1"/>
  <c r="AR1477" i="1"/>
  <c r="AS1483" i="3" l="1"/>
  <c r="AR1482" i="3"/>
  <c r="U696" i="1"/>
  <c r="S697" i="1"/>
  <c r="T697" i="1" s="1"/>
  <c r="R700" i="1"/>
  <c r="AS1479" i="1"/>
  <c r="AR1478" i="1"/>
  <c r="AS1484" i="3" l="1"/>
  <c r="AR1483" i="3"/>
  <c r="U697" i="1"/>
  <c r="S698" i="1"/>
  <c r="T698" i="1" s="1"/>
  <c r="R701" i="1"/>
  <c r="AS1480" i="1"/>
  <c r="AR1479" i="1"/>
  <c r="AS1485" i="3" l="1"/>
  <c r="AR1484" i="3"/>
  <c r="U698" i="1"/>
  <c r="S699" i="1"/>
  <c r="T699" i="1" s="1"/>
  <c r="R702" i="1"/>
  <c r="AS1481" i="1"/>
  <c r="AR1480" i="1"/>
  <c r="AS1486" i="3" l="1"/>
  <c r="AR1485" i="3"/>
  <c r="U699" i="1"/>
  <c r="S700" i="1"/>
  <c r="T700" i="1" s="1"/>
  <c r="R703" i="1"/>
  <c r="AS1482" i="1"/>
  <c r="AR1481" i="1"/>
  <c r="AS1487" i="3" l="1"/>
  <c r="AR1486" i="3"/>
  <c r="U700" i="1"/>
  <c r="S701" i="1"/>
  <c r="T701" i="1" s="1"/>
  <c r="R704" i="1"/>
  <c r="AS1483" i="1"/>
  <c r="AR1482" i="1"/>
  <c r="AS1488" i="3" l="1"/>
  <c r="AR1487" i="3"/>
  <c r="U701" i="1"/>
  <c r="S702" i="1"/>
  <c r="T702" i="1" s="1"/>
  <c r="R705" i="1"/>
  <c r="AS1484" i="1"/>
  <c r="AR1483" i="1"/>
  <c r="AR1488" i="3" l="1"/>
  <c r="AS1489" i="3"/>
  <c r="U702" i="1"/>
  <c r="S703" i="1"/>
  <c r="T703" i="1" s="1"/>
  <c r="R706" i="1"/>
  <c r="AS1485" i="1"/>
  <c r="AR1484" i="1"/>
  <c r="AS1490" i="3" l="1"/>
  <c r="AR1489" i="3"/>
  <c r="U703" i="1"/>
  <c r="S704" i="1"/>
  <c r="T704" i="1" s="1"/>
  <c r="R707" i="1"/>
  <c r="AS1486" i="1"/>
  <c r="AR1485" i="1"/>
  <c r="AS1491" i="3" l="1"/>
  <c r="AR1490" i="3"/>
  <c r="U704" i="1"/>
  <c r="S705" i="1"/>
  <c r="T705" i="1" s="1"/>
  <c r="R708" i="1"/>
  <c r="AS1487" i="1"/>
  <c r="AR1486" i="1"/>
  <c r="AS1492" i="3" l="1"/>
  <c r="AR1491" i="3"/>
  <c r="U705" i="1"/>
  <c r="S706" i="1"/>
  <c r="T706" i="1" s="1"/>
  <c r="R709" i="1"/>
  <c r="AS1488" i="1"/>
  <c r="AR1487" i="1"/>
  <c r="AR1492" i="3" l="1"/>
  <c r="AS1493" i="3"/>
  <c r="U706" i="1"/>
  <c r="S707" i="1"/>
  <c r="T707" i="1" s="1"/>
  <c r="R710" i="1"/>
  <c r="AS1489" i="1"/>
  <c r="AR1488" i="1"/>
  <c r="AS1494" i="3" l="1"/>
  <c r="AR1493" i="3"/>
  <c r="U707" i="1"/>
  <c r="S708" i="1"/>
  <c r="T708" i="1" s="1"/>
  <c r="R711" i="1"/>
  <c r="AS1490" i="1"/>
  <c r="AR1489" i="1"/>
  <c r="AR1494" i="3" l="1"/>
  <c r="AS1495" i="3"/>
  <c r="U708" i="1"/>
  <c r="S709" i="1"/>
  <c r="T709" i="1" s="1"/>
  <c r="R712" i="1"/>
  <c r="AS1491" i="1"/>
  <c r="AR1490" i="1"/>
  <c r="AR1495" i="3" l="1"/>
  <c r="AS1496" i="3"/>
  <c r="U709" i="1"/>
  <c r="S710" i="1"/>
  <c r="T710" i="1" s="1"/>
  <c r="R713" i="1"/>
  <c r="AS1492" i="1"/>
  <c r="AR1491" i="1"/>
  <c r="AS1497" i="3" l="1"/>
  <c r="AR1496" i="3"/>
  <c r="U710" i="1"/>
  <c r="S711" i="1"/>
  <c r="T711" i="1" s="1"/>
  <c r="R714" i="1"/>
  <c r="AS1493" i="1"/>
  <c r="AR1492" i="1"/>
  <c r="AR1497" i="3" l="1"/>
  <c r="AS1498" i="3"/>
  <c r="U711" i="1"/>
  <c r="S712" i="1"/>
  <c r="T712" i="1" s="1"/>
  <c r="R715" i="1"/>
  <c r="AS1494" i="1"/>
  <c r="AR1493" i="1"/>
  <c r="AR1498" i="3" l="1"/>
  <c r="AS1499" i="3"/>
  <c r="U712" i="1"/>
  <c r="S713" i="1"/>
  <c r="T713" i="1" s="1"/>
  <c r="R716" i="1"/>
  <c r="AS1495" i="1"/>
  <c r="AR1494" i="1"/>
  <c r="AS1500" i="3" l="1"/>
  <c r="AR1499" i="3"/>
  <c r="U713" i="1"/>
  <c r="S714" i="1"/>
  <c r="T714" i="1" s="1"/>
  <c r="R717" i="1"/>
  <c r="AS1496" i="1"/>
  <c r="AR1495" i="1"/>
  <c r="AR1500" i="3" l="1"/>
  <c r="AS1501" i="3"/>
  <c r="U714" i="1"/>
  <c r="S715" i="1"/>
  <c r="T715" i="1" s="1"/>
  <c r="R718" i="1"/>
  <c r="AS1497" i="1"/>
  <c r="AR1496" i="1"/>
  <c r="AR1501" i="3" l="1"/>
  <c r="AS1502" i="3"/>
  <c r="U715" i="1"/>
  <c r="S716" i="1"/>
  <c r="T716" i="1" s="1"/>
  <c r="R719" i="1"/>
  <c r="AS1498" i="1"/>
  <c r="AR1497" i="1"/>
  <c r="AS1503" i="3" l="1"/>
  <c r="AR1502" i="3"/>
  <c r="U716" i="1"/>
  <c r="S717" i="1"/>
  <c r="T717" i="1" s="1"/>
  <c r="R720" i="1"/>
  <c r="AS1499" i="1"/>
  <c r="AR1498" i="1"/>
  <c r="AR1503" i="3" l="1"/>
  <c r="AS1504" i="3"/>
  <c r="U717" i="1"/>
  <c r="S718" i="1"/>
  <c r="T718" i="1" s="1"/>
  <c r="R721" i="1"/>
  <c r="AS1500" i="1"/>
  <c r="AR1499" i="1"/>
  <c r="AR1504" i="3" l="1"/>
  <c r="AS1505" i="3"/>
  <c r="U718" i="1"/>
  <c r="S719" i="1"/>
  <c r="T719" i="1" s="1"/>
  <c r="R722" i="1"/>
  <c r="AS1501" i="1"/>
  <c r="AR1500" i="1"/>
  <c r="AS1506" i="3" l="1"/>
  <c r="AR1505" i="3"/>
  <c r="U719" i="1"/>
  <c r="S720" i="1"/>
  <c r="T720" i="1" s="1"/>
  <c r="R723" i="1"/>
  <c r="AS1502" i="1"/>
  <c r="AR1501" i="1"/>
  <c r="AR1506" i="3" l="1"/>
  <c r="AS1507" i="3"/>
  <c r="U720" i="1"/>
  <c r="S721" i="1"/>
  <c r="T721" i="1" s="1"/>
  <c r="R724" i="1"/>
  <c r="AS1503" i="1"/>
  <c r="AR1502" i="1"/>
  <c r="AR1507" i="3" l="1"/>
  <c r="AS1508" i="3"/>
  <c r="U721" i="1"/>
  <c r="S722" i="1"/>
  <c r="T722" i="1" s="1"/>
  <c r="R725" i="1"/>
  <c r="AS1504" i="1"/>
  <c r="AR1503" i="1"/>
  <c r="AR1508" i="3" l="1"/>
  <c r="AS1509" i="3"/>
  <c r="U722" i="1"/>
  <c r="S723" i="1"/>
  <c r="T723" i="1" s="1"/>
  <c r="R726" i="1"/>
  <c r="AS1505" i="1"/>
  <c r="AR1504" i="1"/>
  <c r="AR1509" i="3" l="1"/>
  <c r="AS1510" i="3"/>
  <c r="U723" i="1"/>
  <c r="S724" i="1"/>
  <c r="T724" i="1" s="1"/>
  <c r="R727" i="1"/>
  <c r="AS1506" i="1"/>
  <c r="AR1505" i="1"/>
  <c r="AR1510" i="3" l="1"/>
  <c r="AS1511" i="3"/>
  <c r="U724" i="1"/>
  <c r="S725" i="1"/>
  <c r="T725" i="1" s="1"/>
  <c r="R728" i="1"/>
  <c r="AS1507" i="1"/>
  <c r="AR1506" i="1"/>
  <c r="AS1512" i="3" l="1"/>
  <c r="AR1511" i="3"/>
  <c r="U725" i="1"/>
  <c r="S726" i="1"/>
  <c r="T726" i="1" s="1"/>
  <c r="R729" i="1"/>
  <c r="AS1508" i="1"/>
  <c r="AR1507" i="1"/>
  <c r="AR1512" i="3" l="1"/>
  <c r="AS1513" i="3"/>
  <c r="U726" i="1"/>
  <c r="S727" i="1"/>
  <c r="T727" i="1" s="1"/>
  <c r="R730" i="1"/>
  <c r="AS1509" i="1"/>
  <c r="AR1508" i="1"/>
  <c r="AR1513" i="3" l="1"/>
  <c r="AS1514" i="3"/>
  <c r="U727" i="1"/>
  <c r="S728" i="1"/>
  <c r="T728" i="1" s="1"/>
  <c r="R731" i="1"/>
  <c r="AS1510" i="1"/>
  <c r="AR1509" i="1"/>
  <c r="AS1515" i="3" l="1"/>
  <c r="AR1514" i="3"/>
  <c r="U728" i="1"/>
  <c r="S729" i="1"/>
  <c r="T729" i="1" s="1"/>
  <c r="R732" i="1"/>
  <c r="AS1511" i="1"/>
  <c r="AR1510" i="1"/>
  <c r="AR1515" i="3" l="1"/>
  <c r="AS1516" i="3"/>
  <c r="U729" i="1"/>
  <c r="S730" i="1"/>
  <c r="T730" i="1" s="1"/>
  <c r="R733" i="1"/>
  <c r="AS1512" i="1"/>
  <c r="AR1511" i="1"/>
  <c r="AR1516" i="3" l="1"/>
  <c r="AS1517" i="3"/>
  <c r="U730" i="1"/>
  <c r="S731" i="1"/>
  <c r="T731" i="1" s="1"/>
  <c r="R734" i="1"/>
  <c r="AS1513" i="1"/>
  <c r="AR1512" i="1"/>
  <c r="AS1518" i="3" l="1"/>
  <c r="AR1517" i="3"/>
  <c r="U731" i="1"/>
  <c r="S732" i="1"/>
  <c r="T732" i="1" s="1"/>
  <c r="R735" i="1"/>
  <c r="AS1514" i="1"/>
  <c r="AR1513" i="1"/>
  <c r="AR1518" i="3" l="1"/>
  <c r="AS1519" i="3"/>
  <c r="U732" i="1"/>
  <c r="S733" i="1"/>
  <c r="T733" i="1" s="1"/>
  <c r="R736" i="1"/>
  <c r="AS1515" i="1"/>
  <c r="AR1514" i="1"/>
  <c r="AR1519" i="3" l="1"/>
  <c r="AS1520" i="3"/>
  <c r="U733" i="1"/>
  <c r="S734" i="1"/>
  <c r="T734" i="1" s="1"/>
  <c r="R737" i="1"/>
  <c r="AS1516" i="1"/>
  <c r="AR1515" i="1"/>
  <c r="AR1520" i="3" l="1"/>
  <c r="AS1521" i="3"/>
  <c r="U734" i="1"/>
  <c r="S735" i="1"/>
  <c r="T735" i="1" s="1"/>
  <c r="R738" i="1"/>
  <c r="AS1517" i="1"/>
  <c r="AR1516" i="1"/>
  <c r="AR1521" i="3" l="1"/>
  <c r="AS1522" i="3"/>
  <c r="U735" i="1"/>
  <c r="S736" i="1"/>
  <c r="T736" i="1" s="1"/>
  <c r="R739" i="1"/>
  <c r="AS1518" i="1"/>
  <c r="AR1517" i="1"/>
  <c r="AR1522" i="3" l="1"/>
  <c r="AS1523" i="3"/>
  <c r="U736" i="1"/>
  <c r="S737" i="1"/>
  <c r="T737" i="1" s="1"/>
  <c r="R740" i="1"/>
  <c r="AS1519" i="1"/>
  <c r="AR1518" i="1"/>
  <c r="AR1523" i="3" l="1"/>
  <c r="AS1524" i="3"/>
  <c r="U737" i="1"/>
  <c r="S738" i="1"/>
  <c r="T738" i="1" s="1"/>
  <c r="R741" i="1"/>
  <c r="AS1520" i="1"/>
  <c r="AR1519" i="1"/>
  <c r="AR1524" i="3" l="1"/>
  <c r="AS1525" i="3"/>
  <c r="U738" i="1"/>
  <c r="S739" i="1"/>
  <c r="T739" i="1" s="1"/>
  <c r="R742" i="1"/>
  <c r="AS1521" i="1"/>
  <c r="AR1520" i="1"/>
  <c r="AR1525" i="3" l="1"/>
  <c r="AS1526" i="3"/>
  <c r="U739" i="1"/>
  <c r="S740" i="1"/>
  <c r="T740" i="1" s="1"/>
  <c r="R743" i="1"/>
  <c r="AS1522" i="1"/>
  <c r="AR1521" i="1"/>
  <c r="AR1526" i="3" l="1"/>
  <c r="AS1527" i="3"/>
  <c r="U740" i="1"/>
  <c r="S741" i="1"/>
  <c r="T741" i="1" s="1"/>
  <c r="R744" i="1"/>
  <c r="AS1523" i="1"/>
  <c r="AR1522" i="1"/>
  <c r="AR1527" i="3" l="1"/>
  <c r="AS1528" i="3"/>
  <c r="U741" i="1"/>
  <c r="S742" i="1"/>
  <c r="T742" i="1" s="1"/>
  <c r="R745" i="1"/>
  <c r="AS1524" i="1"/>
  <c r="AR1523" i="1"/>
  <c r="AR1528" i="3" l="1"/>
  <c r="AS1529" i="3"/>
  <c r="U742" i="1"/>
  <c r="S743" i="1"/>
  <c r="T743" i="1" s="1"/>
  <c r="R746" i="1"/>
  <c r="AS1525" i="1"/>
  <c r="AR1524" i="1"/>
  <c r="AR1529" i="3" l="1"/>
  <c r="AS1530" i="3"/>
  <c r="U743" i="1"/>
  <c r="S744" i="1"/>
  <c r="T744" i="1" s="1"/>
  <c r="R747" i="1"/>
  <c r="AS1526" i="1"/>
  <c r="AR1525" i="1"/>
  <c r="AR1530" i="3" l="1"/>
  <c r="AS1531" i="3"/>
  <c r="U744" i="1"/>
  <c r="S745" i="1"/>
  <c r="T745" i="1" s="1"/>
  <c r="R748" i="1"/>
  <c r="AS1527" i="1"/>
  <c r="AR1526" i="1"/>
  <c r="AS1532" i="3" l="1"/>
  <c r="AR1531" i="3"/>
  <c r="U745" i="1"/>
  <c r="S746" i="1"/>
  <c r="T746" i="1" s="1"/>
  <c r="R749" i="1"/>
  <c r="AS1528" i="1"/>
  <c r="AR1527" i="1"/>
  <c r="AR1532" i="3" l="1"/>
  <c r="AS1533" i="3"/>
  <c r="U746" i="1"/>
  <c r="S747" i="1"/>
  <c r="T747" i="1" s="1"/>
  <c r="R750" i="1"/>
  <c r="AS1529" i="1"/>
  <c r="AR1528" i="1"/>
  <c r="AR1533" i="3" l="1"/>
  <c r="AS1534" i="3"/>
  <c r="U747" i="1"/>
  <c r="S748" i="1"/>
  <c r="T748" i="1" s="1"/>
  <c r="R751" i="1"/>
  <c r="AS1530" i="1"/>
  <c r="AR1529" i="1"/>
  <c r="AS1535" i="3" l="1"/>
  <c r="AR1534" i="3"/>
  <c r="U748" i="1"/>
  <c r="S749" i="1"/>
  <c r="T749" i="1" s="1"/>
  <c r="R752" i="1"/>
  <c r="AS1531" i="1"/>
  <c r="AR1530" i="1"/>
  <c r="AS1536" i="3" l="1"/>
  <c r="AR1535" i="3"/>
  <c r="U749" i="1"/>
  <c r="S750" i="1"/>
  <c r="T750" i="1" s="1"/>
  <c r="R753" i="1"/>
  <c r="AS1532" i="1"/>
  <c r="AR1531" i="1"/>
  <c r="AR1536" i="3" l="1"/>
  <c r="AS1537" i="3"/>
  <c r="U750" i="1"/>
  <c r="S751" i="1"/>
  <c r="T751" i="1" s="1"/>
  <c r="R754" i="1"/>
  <c r="AS1533" i="1"/>
  <c r="AR1532" i="1"/>
  <c r="AS1538" i="3" l="1"/>
  <c r="AR1537" i="3"/>
  <c r="U751" i="1"/>
  <c r="S752" i="1"/>
  <c r="T752" i="1" s="1"/>
  <c r="R755" i="1"/>
  <c r="AS1534" i="1"/>
  <c r="AR1533" i="1"/>
  <c r="AR1538" i="3" l="1"/>
  <c r="AS1539" i="3"/>
  <c r="U752" i="1"/>
  <c r="S753" i="1"/>
  <c r="T753" i="1" s="1"/>
  <c r="R756" i="1"/>
  <c r="AS1535" i="1"/>
  <c r="AR1534" i="1"/>
  <c r="AS1540" i="3" l="1"/>
  <c r="AR1539" i="3"/>
  <c r="U753" i="1"/>
  <c r="S754" i="1"/>
  <c r="T754" i="1" s="1"/>
  <c r="R757" i="1"/>
  <c r="AS1536" i="1"/>
  <c r="AR1535" i="1"/>
  <c r="AR1540" i="3" l="1"/>
  <c r="AS1541" i="3"/>
  <c r="U754" i="1"/>
  <c r="S755" i="1"/>
  <c r="T755" i="1" s="1"/>
  <c r="R758" i="1"/>
  <c r="AS1537" i="1"/>
  <c r="AR1536" i="1"/>
  <c r="AR1541" i="3" l="1"/>
  <c r="AS1542" i="3"/>
  <c r="U755" i="1"/>
  <c r="S756" i="1"/>
  <c r="T756" i="1" s="1"/>
  <c r="R759" i="1"/>
  <c r="AS1538" i="1"/>
  <c r="AR1537" i="1"/>
  <c r="AS1543" i="3" l="1"/>
  <c r="AR1542" i="3"/>
  <c r="U756" i="1"/>
  <c r="S757" i="1"/>
  <c r="T757" i="1" s="1"/>
  <c r="R760" i="1"/>
  <c r="AS1539" i="1"/>
  <c r="AR1538" i="1"/>
  <c r="AR1543" i="3" l="1"/>
  <c r="AS1544" i="3"/>
  <c r="U757" i="1"/>
  <c r="S758" i="1"/>
  <c r="T758" i="1" s="1"/>
  <c r="R761" i="1"/>
  <c r="AS1540" i="1"/>
  <c r="AR1539" i="1"/>
  <c r="AR1544" i="3" l="1"/>
  <c r="AS1545" i="3"/>
  <c r="U758" i="1"/>
  <c r="S759" i="1"/>
  <c r="T759" i="1" s="1"/>
  <c r="R762" i="1"/>
  <c r="AS1541" i="1"/>
  <c r="AR1540" i="1"/>
  <c r="AS1546" i="3" l="1"/>
  <c r="AR1545" i="3"/>
  <c r="U759" i="1"/>
  <c r="S760" i="1"/>
  <c r="T760" i="1" s="1"/>
  <c r="R763" i="1"/>
  <c r="AS1542" i="1"/>
  <c r="AR1541" i="1"/>
  <c r="AR1546" i="3" l="1"/>
  <c r="AS1547" i="3"/>
  <c r="U760" i="1"/>
  <c r="S761" i="1"/>
  <c r="T761" i="1" s="1"/>
  <c r="R764" i="1"/>
  <c r="AS1543" i="1"/>
  <c r="AR1542" i="1"/>
  <c r="AR1547" i="3" l="1"/>
  <c r="AS1548" i="3"/>
  <c r="U761" i="1"/>
  <c r="S762" i="1"/>
  <c r="T762" i="1" s="1"/>
  <c r="R765" i="1"/>
  <c r="AS1544" i="1"/>
  <c r="AR1543" i="1"/>
  <c r="AR1548" i="3" l="1"/>
  <c r="AS1549" i="3"/>
  <c r="U762" i="1"/>
  <c r="S763" i="1"/>
  <c r="T763" i="1" s="1"/>
  <c r="R766" i="1"/>
  <c r="AS1545" i="1"/>
  <c r="AR1544" i="1"/>
  <c r="AS1550" i="3" l="1"/>
  <c r="AR1549" i="3"/>
  <c r="U763" i="1"/>
  <c r="S764" i="1"/>
  <c r="T764" i="1" s="1"/>
  <c r="R767" i="1"/>
  <c r="AS1546" i="1"/>
  <c r="AR1545" i="1"/>
  <c r="AR1550" i="3" l="1"/>
  <c r="AS1551" i="3"/>
  <c r="U764" i="1"/>
  <c r="S765" i="1"/>
  <c r="T765" i="1" s="1"/>
  <c r="R768" i="1"/>
  <c r="AS1547" i="1"/>
  <c r="AR1546" i="1"/>
  <c r="AR1551" i="3" l="1"/>
  <c r="AS1552" i="3"/>
  <c r="U765" i="1"/>
  <c r="S766" i="1"/>
  <c r="T766" i="1" s="1"/>
  <c r="R769" i="1"/>
  <c r="AS1548" i="1"/>
  <c r="AR1547" i="1"/>
  <c r="AR1552" i="3" l="1"/>
  <c r="AS1553" i="3"/>
  <c r="U766" i="1"/>
  <c r="S767" i="1"/>
  <c r="T767" i="1" s="1"/>
  <c r="R770" i="1"/>
  <c r="AS1549" i="1"/>
  <c r="AR1548" i="1"/>
  <c r="AS1554" i="3" l="1"/>
  <c r="AR1553" i="3"/>
  <c r="U767" i="1"/>
  <c r="S768" i="1"/>
  <c r="T768" i="1" s="1"/>
  <c r="R771" i="1"/>
  <c r="AS1550" i="1"/>
  <c r="AR1549" i="1"/>
  <c r="AR1554" i="3" l="1"/>
  <c r="AS1555" i="3"/>
  <c r="U768" i="1"/>
  <c r="S769" i="1"/>
  <c r="T769" i="1" s="1"/>
  <c r="R772" i="1"/>
  <c r="AS1551" i="1"/>
  <c r="AR1550" i="1"/>
  <c r="AR1555" i="3" l="1"/>
  <c r="AS1556" i="3"/>
  <c r="U769" i="1"/>
  <c r="S770" i="1"/>
  <c r="T770" i="1" s="1"/>
  <c r="R773" i="1"/>
  <c r="AS1552" i="1"/>
  <c r="AR1551" i="1"/>
  <c r="AR1556" i="3" l="1"/>
  <c r="AS1557" i="3"/>
  <c r="U770" i="1"/>
  <c r="S771" i="1"/>
  <c r="T771" i="1" s="1"/>
  <c r="R774" i="1"/>
  <c r="AS1553" i="1"/>
  <c r="AR1552" i="1"/>
  <c r="AR1557" i="3" l="1"/>
  <c r="AS1558" i="3"/>
  <c r="U771" i="1"/>
  <c r="S772" i="1"/>
  <c r="T772" i="1" s="1"/>
  <c r="R775" i="1"/>
  <c r="AS1554" i="1"/>
  <c r="AR1553" i="1"/>
  <c r="AS1559" i="3" l="1"/>
  <c r="AR1558" i="3"/>
  <c r="U772" i="1"/>
  <c r="S773" i="1"/>
  <c r="T773" i="1" s="1"/>
  <c r="R776" i="1"/>
  <c r="AS1555" i="1"/>
  <c r="AR1554" i="1"/>
  <c r="AR1559" i="3" l="1"/>
  <c r="AS1560" i="3"/>
  <c r="U773" i="1"/>
  <c r="S774" i="1"/>
  <c r="T774" i="1" s="1"/>
  <c r="R777" i="1"/>
  <c r="AS1556" i="1"/>
  <c r="AR1555" i="1"/>
  <c r="AR1560" i="3" l="1"/>
  <c r="AS1561" i="3"/>
  <c r="U774" i="1"/>
  <c r="S775" i="1"/>
  <c r="T775" i="1" s="1"/>
  <c r="R778" i="1"/>
  <c r="AS1557" i="1"/>
  <c r="AR1556" i="1"/>
  <c r="AR1561" i="3" l="1"/>
  <c r="AS1562" i="3"/>
  <c r="U775" i="1"/>
  <c r="S776" i="1"/>
  <c r="T776" i="1" s="1"/>
  <c r="R779" i="1"/>
  <c r="AS1558" i="1"/>
  <c r="AR1557" i="1"/>
  <c r="AS1563" i="3" l="1"/>
  <c r="AR1562" i="3"/>
  <c r="U776" i="1"/>
  <c r="S777" i="1"/>
  <c r="T777" i="1" s="1"/>
  <c r="R780" i="1"/>
  <c r="AS1559" i="1"/>
  <c r="AR1558" i="1"/>
  <c r="AR1563" i="3" l="1"/>
  <c r="AS1564" i="3"/>
  <c r="U777" i="1"/>
  <c r="S778" i="1"/>
  <c r="T778" i="1" s="1"/>
  <c r="R781" i="1"/>
  <c r="AS1560" i="1"/>
  <c r="AR1559" i="1"/>
  <c r="AR1564" i="3" l="1"/>
  <c r="AS1565" i="3"/>
  <c r="U778" i="1"/>
  <c r="S779" i="1"/>
  <c r="T779" i="1" s="1"/>
  <c r="R782" i="1"/>
  <c r="AS1561" i="1"/>
  <c r="AR1560" i="1"/>
  <c r="AS1566" i="3" l="1"/>
  <c r="AR1565" i="3"/>
  <c r="U779" i="1"/>
  <c r="S780" i="1"/>
  <c r="T780" i="1" s="1"/>
  <c r="R783" i="1"/>
  <c r="AS1562" i="1"/>
  <c r="AR1561" i="1"/>
  <c r="AR1566" i="3" l="1"/>
  <c r="AS1567" i="3"/>
  <c r="U780" i="1"/>
  <c r="S781" i="1"/>
  <c r="T781" i="1" s="1"/>
  <c r="R784" i="1"/>
  <c r="AS1563" i="1"/>
  <c r="AR1562" i="1"/>
  <c r="AR1567" i="3" l="1"/>
  <c r="AS1568" i="3"/>
  <c r="U781" i="1"/>
  <c r="S782" i="1"/>
  <c r="T782" i="1" s="1"/>
  <c r="AS1564" i="1"/>
  <c r="AR1563" i="1"/>
  <c r="AR1568" i="3" l="1"/>
  <c r="AS1569" i="3"/>
  <c r="U782" i="1"/>
  <c r="S783" i="1"/>
  <c r="T783" i="1" s="1"/>
  <c r="AS1565" i="1"/>
  <c r="AR1564" i="1"/>
  <c r="AS1570" i="3" l="1"/>
  <c r="AR1569" i="3"/>
  <c r="U783" i="1"/>
  <c r="S784" i="1"/>
  <c r="T784" i="1" s="1"/>
  <c r="AS1566" i="1"/>
  <c r="AR1565" i="1"/>
  <c r="AR1570" i="3" l="1"/>
  <c r="AS1571" i="3"/>
  <c r="U784" i="1"/>
  <c r="C36" i="1"/>
  <c r="AS1567" i="1"/>
  <c r="AR1566" i="1"/>
  <c r="AR1571" i="3" l="1"/>
  <c r="AS1572" i="3"/>
  <c r="AS1568" i="1"/>
  <c r="AR1567" i="1"/>
  <c r="AR1572" i="3" l="1"/>
  <c r="AS1573" i="3"/>
  <c r="AS1569" i="1"/>
  <c r="AR1568" i="1"/>
  <c r="AR1573" i="3" l="1"/>
  <c r="AS1574" i="3"/>
  <c r="AS1570" i="1"/>
  <c r="AR1569" i="1"/>
  <c r="AS1575" i="3" l="1"/>
  <c r="AR1574" i="3"/>
  <c r="AS1571" i="1"/>
  <c r="AR1570" i="1"/>
  <c r="AR1575" i="3" l="1"/>
  <c r="AS1576" i="3"/>
  <c r="AS1572" i="1"/>
  <c r="AR1571" i="1"/>
  <c r="AR1576" i="3" l="1"/>
  <c r="AS1577" i="3"/>
  <c r="AS1573" i="1"/>
  <c r="AR1572" i="1"/>
  <c r="AR1577" i="3" l="1"/>
  <c r="AS1578" i="3"/>
  <c r="AS1574" i="1"/>
  <c r="AR1573" i="1"/>
  <c r="AS1579" i="3" l="1"/>
  <c r="AR1578" i="3"/>
  <c r="AS1575" i="1"/>
  <c r="AR1574" i="1"/>
  <c r="AR1579" i="3" l="1"/>
  <c r="AS1580" i="3"/>
  <c r="AS1576" i="1"/>
  <c r="AR1575" i="1"/>
  <c r="AR1580" i="3" l="1"/>
  <c r="AS1581" i="3"/>
  <c r="AS1577" i="1"/>
  <c r="AR1576" i="1"/>
  <c r="AS1582" i="3" l="1"/>
  <c r="AR1581" i="3"/>
  <c r="AS1578" i="1"/>
  <c r="AR1577" i="1"/>
  <c r="AR1582" i="3" l="1"/>
  <c r="AS1583" i="3"/>
  <c r="AS1579" i="1"/>
  <c r="AR1578" i="1"/>
  <c r="AR1583" i="3" l="1"/>
  <c r="AS1584" i="3"/>
  <c r="AS1580" i="1"/>
  <c r="AR1579" i="1"/>
  <c r="AR1584" i="3" l="1"/>
  <c r="AS1585" i="3"/>
  <c r="AS1581" i="1"/>
  <c r="AR1580" i="1"/>
  <c r="AR1585" i="3" l="1"/>
  <c r="AS1586" i="3"/>
  <c r="AS1582" i="1"/>
  <c r="AR1581" i="1"/>
  <c r="AR1586" i="3" l="1"/>
  <c r="AS1587" i="3"/>
  <c r="AS1583" i="1"/>
  <c r="AR1582" i="1"/>
  <c r="AR1587" i="3" l="1"/>
  <c r="AS1588" i="3"/>
  <c r="AS1584" i="1"/>
  <c r="AR1583" i="1"/>
  <c r="AR1588" i="3" l="1"/>
  <c r="AS1589" i="3"/>
  <c r="AS1585" i="1"/>
  <c r="AR1584" i="1"/>
  <c r="AR1589" i="3" l="1"/>
  <c r="AS1590" i="3"/>
  <c r="AS1586" i="1"/>
  <c r="AR1585" i="1"/>
  <c r="AS1591" i="3" l="1"/>
  <c r="AR1590" i="3"/>
  <c r="AS1587" i="1"/>
  <c r="AR1586" i="1"/>
  <c r="AR1591" i="3" l="1"/>
  <c r="AS1592" i="3"/>
  <c r="AS1588" i="1"/>
  <c r="AR1587" i="1"/>
  <c r="AR1592" i="3" l="1"/>
  <c r="AS1593" i="3"/>
  <c r="AS1589" i="1"/>
  <c r="AR1588" i="1"/>
  <c r="AS1594" i="3" l="1"/>
  <c r="AR1593" i="3"/>
  <c r="AS1590" i="1"/>
  <c r="AR1589" i="1"/>
  <c r="AR1594" i="3" l="1"/>
  <c r="AS1595" i="3"/>
  <c r="AS1591" i="1"/>
  <c r="AR1590" i="1"/>
  <c r="AR1595" i="3" l="1"/>
  <c r="AS1596" i="3"/>
  <c r="AS1592" i="1"/>
  <c r="AR1591" i="1"/>
  <c r="AR1596" i="3" l="1"/>
  <c r="AS1597" i="3"/>
  <c r="AS1593" i="1"/>
  <c r="AR1592" i="1"/>
  <c r="AS1598" i="3" l="1"/>
  <c r="AR1597" i="3"/>
  <c r="AS1594" i="1"/>
  <c r="AR1593" i="1"/>
  <c r="AR1598" i="3" l="1"/>
  <c r="AS1599" i="3"/>
  <c r="AS1595" i="1"/>
  <c r="AR1594" i="1"/>
  <c r="AR1599" i="3" l="1"/>
  <c r="AS1600" i="3"/>
  <c r="AS1596" i="1"/>
  <c r="AR1595" i="1"/>
  <c r="AR1600" i="3" l="1"/>
  <c r="AS1601" i="3"/>
  <c r="AS1597" i="1"/>
  <c r="AR1596" i="1"/>
  <c r="AR1601" i="3" l="1"/>
  <c r="AS1602" i="3"/>
  <c r="AS1598" i="1"/>
  <c r="AR1597" i="1"/>
  <c r="AS1603" i="3" l="1"/>
  <c r="AR1602" i="3"/>
  <c r="AS1599" i="1"/>
  <c r="AR1598" i="1"/>
  <c r="AR1603" i="3" l="1"/>
  <c r="AS1604" i="3"/>
  <c r="AS1600" i="1"/>
  <c r="AR1599" i="1"/>
  <c r="AR1604" i="3" l="1"/>
  <c r="AS1605" i="3"/>
  <c r="AS1601" i="1"/>
  <c r="AR1600" i="1"/>
  <c r="AR1605" i="3" l="1"/>
  <c r="AS1606" i="3"/>
  <c r="AS1602" i="1"/>
  <c r="AR1601" i="1"/>
  <c r="AS1607" i="3" l="1"/>
  <c r="AR1606" i="3"/>
  <c r="AS1603" i="1"/>
  <c r="AR1602" i="1"/>
  <c r="AR1607" i="3" l="1"/>
  <c r="AS1608" i="3"/>
  <c r="AS1604" i="1"/>
  <c r="AR1603" i="1"/>
  <c r="AR1608" i="3" l="1"/>
  <c r="AS1609" i="3"/>
  <c r="AS1605" i="1"/>
  <c r="AR1604" i="1"/>
  <c r="AS1610" i="3" l="1"/>
  <c r="AR1609" i="3"/>
  <c r="AS1606" i="1"/>
  <c r="AR1605" i="1"/>
  <c r="AR1610" i="3" l="1"/>
  <c r="AS1611" i="3"/>
  <c r="AS1607" i="1"/>
  <c r="AR1606" i="1"/>
  <c r="AR1611" i="3" l="1"/>
  <c r="AS1612" i="3"/>
  <c r="AS1608" i="1"/>
  <c r="AR1607" i="1"/>
  <c r="AR1612" i="3" l="1"/>
  <c r="AS1613" i="3"/>
  <c r="AS1609" i="1"/>
  <c r="AR1608" i="1"/>
  <c r="AS1614" i="3" l="1"/>
  <c r="AR1613" i="3"/>
  <c r="AS1610" i="1"/>
  <c r="AR1609" i="1"/>
  <c r="AR1614" i="3" l="1"/>
  <c r="AS1615" i="3"/>
  <c r="AS1611" i="1"/>
  <c r="AR1610" i="1"/>
  <c r="AR1615" i="3" l="1"/>
  <c r="AS1616" i="3"/>
  <c r="AS1612" i="1"/>
  <c r="AR1611" i="1"/>
  <c r="AR1616" i="3" l="1"/>
  <c r="AS1617" i="3"/>
  <c r="AS1613" i="1"/>
  <c r="AR1612" i="1"/>
  <c r="AS1618" i="3" l="1"/>
  <c r="AR1617" i="3"/>
  <c r="AS1614" i="1"/>
  <c r="AR1613" i="1"/>
  <c r="AR1618" i="3" l="1"/>
  <c r="AS1619" i="3"/>
  <c r="AS1615" i="1"/>
  <c r="AR1614" i="1"/>
  <c r="AR1619" i="3" l="1"/>
  <c r="AS1620" i="3"/>
  <c r="AS1616" i="1"/>
  <c r="AR1615" i="1"/>
  <c r="AR1620" i="3" l="1"/>
  <c r="AS1621" i="3"/>
  <c r="AS1617" i="1"/>
  <c r="AR1616" i="1"/>
  <c r="AR1621" i="3" l="1"/>
  <c r="AS1622" i="3"/>
  <c r="AS1618" i="1"/>
  <c r="AR1617" i="1"/>
  <c r="AS1623" i="3" l="1"/>
  <c r="AR1622" i="3"/>
  <c r="AS1619" i="1"/>
  <c r="AR1618" i="1"/>
  <c r="AR1623" i="3" l="1"/>
  <c r="AS1624" i="3"/>
  <c r="AS1620" i="1"/>
  <c r="AR1619" i="1"/>
  <c r="AR1624" i="3" l="1"/>
  <c r="AS1625" i="3"/>
  <c r="AS1621" i="1"/>
  <c r="AR1620" i="1"/>
  <c r="AR1625" i="3" l="1"/>
  <c r="AS1626" i="3"/>
  <c r="AS1622" i="1"/>
  <c r="AR1621" i="1"/>
  <c r="AS1627" i="3" l="1"/>
  <c r="AR1626" i="3"/>
  <c r="AS1623" i="1"/>
  <c r="AR1622" i="1"/>
  <c r="AR1627" i="3" l="1"/>
  <c r="AS1628" i="3"/>
  <c r="AS1624" i="1"/>
  <c r="AR1623" i="1"/>
  <c r="AR1628" i="3" l="1"/>
  <c r="AS1629" i="3"/>
  <c r="AS1625" i="1"/>
  <c r="AR1624" i="1"/>
  <c r="AS1630" i="3" l="1"/>
  <c r="AR1629" i="3"/>
  <c r="AS1626" i="1"/>
  <c r="AR1625" i="1"/>
  <c r="AR1630" i="3" l="1"/>
  <c r="AS1631" i="3"/>
  <c r="AS1627" i="1"/>
  <c r="AR1626" i="1"/>
  <c r="AR1631" i="3" l="1"/>
  <c r="AS1632" i="3"/>
  <c r="AS1628" i="1"/>
  <c r="AR1627" i="1"/>
  <c r="AR1632" i="3" l="1"/>
  <c r="AS1633" i="3"/>
  <c r="AS1629" i="1"/>
  <c r="AR1628" i="1"/>
  <c r="AS1634" i="3" l="1"/>
  <c r="AR1633" i="3"/>
  <c r="AS1630" i="1"/>
  <c r="AR1629" i="1"/>
  <c r="AR1634" i="3" l="1"/>
  <c r="AS1635" i="3"/>
  <c r="AS1631" i="1"/>
  <c r="AR1630" i="1"/>
  <c r="AR1635" i="3" l="1"/>
  <c r="AS1636" i="3"/>
  <c r="AS1632" i="1"/>
  <c r="AR1631" i="1"/>
  <c r="AR1636" i="3" l="1"/>
  <c r="AS1637" i="3"/>
  <c r="AS1633" i="1"/>
  <c r="AR1632" i="1"/>
  <c r="AR1637" i="3" l="1"/>
  <c r="AS1638" i="3"/>
  <c r="AS1634" i="1"/>
  <c r="AR1633" i="1"/>
  <c r="AS1639" i="3" l="1"/>
  <c r="AR1638" i="3"/>
  <c r="AS1635" i="1"/>
  <c r="AR1634" i="1"/>
  <c r="AR1639" i="3" l="1"/>
  <c r="AS1640" i="3"/>
  <c r="AS1636" i="1"/>
  <c r="AR1635" i="1"/>
  <c r="AR1640" i="3" l="1"/>
  <c r="AS1641" i="3"/>
  <c r="AS1637" i="1"/>
  <c r="AR1636" i="1"/>
  <c r="AR1641" i="3" l="1"/>
  <c r="AS1642" i="3"/>
  <c r="AS1638" i="1"/>
  <c r="AR1637" i="1"/>
  <c r="AS1643" i="3" l="1"/>
  <c r="AR1642" i="3"/>
  <c r="AS1639" i="1"/>
  <c r="AR1638" i="1"/>
  <c r="AR1643" i="3" l="1"/>
  <c r="AS1644" i="3"/>
  <c r="AS1640" i="1"/>
  <c r="AR1639" i="1"/>
  <c r="AR1644" i="3" l="1"/>
  <c r="AS1645" i="3"/>
  <c r="AS1641" i="1"/>
  <c r="AR1640" i="1"/>
  <c r="AS1646" i="3" l="1"/>
  <c r="AR1645" i="3"/>
  <c r="AS1642" i="1"/>
  <c r="AR1641" i="1"/>
  <c r="AR1646" i="3" l="1"/>
  <c r="AS1647" i="3"/>
  <c r="AS1643" i="1"/>
  <c r="AR1642" i="1"/>
  <c r="AR1647" i="3" l="1"/>
  <c r="AS1648" i="3"/>
  <c r="AS1644" i="1"/>
  <c r="AR1643" i="1"/>
  <c r="AR1648" i="3" l="1"/>
  <c r="AS1649" i="3"/>
  <c r="AS1645" i="1"/>
  <c r="AR1644" i="1"/>
  <c r="AR1649" i="3" l="1"/>
  <c r="AS1650" i="3"/>
  <c r="AS1646" i="1"/>
  <c r="AR1645" i="1"/>
  <c r="AR1650" i="3" l="1"/>
  <c r="AS1651" i="3"/>
  <c r="AS1647" i="1"/>
  <c r="AR1646" i="1"/>
  <c r="AR1651" i="3" l="1"/>
  <c r="AS1652" i="3"/>
  <c r="AS1648" i="1"/>
  <c r="AR1647" i="1"/>
  <c r="AR1652" i="3" l="1"/>
  <c r="AS1653" i="3"/>
  <c r="AS1649" i="1"/>
  <c r="AR1648" i="1"/>
  <c r="AR1653" i="3" l="1"/>
  <c r="AS1654" i="3"/>
  <c r="AS1650" i="1"/>
  <c r="AR1649" i="1"/>
  <c r="AS1655" i="3" l="1"/>
  <c r="AR1654" i="3"/>
  <c r="AS1651" i="1"/>
  <c r="AR1650" i="1"/>
  <c r="AR1655" i="3" l="1"/>
  <c r="AS1656" i="3"/>
  <c r="AS1652" i="1"/>
  <c r="AR1651" i="1"/>
  <c r="AR1656" i="3" l="1"/>
  <c r="AS1657" i="3"/>
  <c r="AS1653" i="1"/>
  <c r="AR1652" i="1"/>
  <c r="AS1658" i="3" l="1"/>
  <c r="AR1657" i="3"/>
  <c r="AS1654" i="1"/>
  <c r="AR1653" i="1"/>
  <c r="AR1658" i="3" l="1"/>
  <c r="AS1659" i="3"/>
  <c r="AS1655" i="1"/>
  <c r="AR1654" i="1"/>
  <c r="AR1659" i="3" l="1"/>
  <c r="AS1660" i="3"/>
  <c r="AS1656" i="1"/>
  <c r="AR1655" i="1"/>
  <c r="AR1660" i="3" l="1"/>
  <c r="AS1661" i="3"/>
  <c r="AS1657" i="1"/>
  <c r="AR1656" i="1"/>
  <c r="AS1662" i="3" l="1"/>
  <c r="AR1661" i="3"/>
  <c r="AS1658" i="1"/>
  <c r="AR1657" i="1"/>
  <c r="AR1662" i="3" l="1"/>
  <c r="AS1663" i="3"/>
  <c r="AS1659" i="1"/>
  <c r="AR1658" i="1"/>
  <c r="AR1663" i="3" l="1"/>
  <c r="AS1664" i="3"/>
  <c r="AS1660" i="1"/>
  <c r="AR1659" i="1"/>
  <c r="AR1664" i="3" l="1"/>
  <c r="AS1665" i="3"/>
  <c r="AS1661" i="1"/>
  <c r="AR1660" i="1"/>
  <c r="AR1665" i="3" l="1"/>
  <c r="AS1666" i="3"/>
  <c r="AS1662" i="1"/>
  <c r="AR1661" i="1"/>
  <c r="AS1667" i="3" l="1"/>
  <c r="AR1666" i="3"/>
  <c r="AS1663" i="1"/>
  <c r="AR1662" i="1"/>
  <c r="AR1667" i="3" l="1"/>
  <c r="AS1668" i="3"/>
  <c r="AS1664" i="1"/>
  <c r="AR1663" i="1"/>
  <c r="AR1668" i="3" l="1"/>
  <c r="AS1669" i="3"/>
  <c r="AS1665" i="1"/>
  <c r="AR1664" i="1"/>
  <c r="AR1669" i="3" l="1"/>
  <c r="AS1670" i="3"/>
  <c r="AS1666" i="1"/>
  <c r="AR1665" i="1"/>
  <c r="AS1671" i="3" l="1"/>
  <c r="AR1670" i="3"/>
  <c r="AS1667" i="1"/>
  <c r="AR1666" i="1"/>
  <c r="AR1671" i="3" l="1"/>
  <c r="AS1672" i="3"/>
  <c r="AS1668" i="1"/>
  <c r="AR1667" i="1"/>
  <c r="AR1672" i="3" l="1"/>
  <c r="AS1673" i="3"/>
  <c r="AS1669" i="1"/>
  <c r="AR1668" i="1"/>
  <c r="AS1674" i="3" l="1"/>
  <c r="AR1673" i="3"/>
  <c r="AS1670" i="1"/>
  <c r="AR1669" i="1"/>
  <c r="AR1674" i="3" l="1"/>
  <c r="AS1675" i="3"/>
  <c r="AS1671" i="1"/>
  <c r="AR1670" i="1"/>
  <c r="AR1675" i="3" l="1"/>
  <c r="AS1676" i="3"/>
  <c r="AS1672" i="1"/>
  <c r="AR1671" i="1"/>
  <c r="AR1676" i="3" l="1"/>
  <c r="AS1677" i="3"/>
  <c r="AS1673" i="1"/>
  <c r="AR1672" i="1"/>
  <c r="AS1678" i="3" l="1"/>
  <c r="AR1677" i="3"/>
  <c r="AS1674" i="1"/>
  <c r="AR1673" i="1"/>
  <c r="AR1678" i="3" l="1"/>
  <c r="AS1679" i="3"/>
  <c r="AS1675" i="1"/>
  <c r="AR1674" i="1"/>
  <c r="AR1679" i="3" l="1"/>
  <c r="AS1680" i="3"/>
  <c r="AS1676" i="1"/>
  <c r="AR1675" i="1"/>
  <c r="AR1680" i="3" l="1"/>
  <c r="AS1681" i="3"/>
  <c r="AS1677" i="1"/>
  <c r="AR1676" i="1"/>
  <c r="AS1682" i="3" l="1"/>
  <c r="AR1681" i="3"/>
  <c r="AS1678" i="1"/>
  <c r="AR1677" i="1"/>
  <c r="AR1682" i="3" l="1"/>
  <c r="AS1683" i="3"/>
  <c r="AS1679" i="1"/>
  <c r="AR1678" i="1"/>
  <c r="AR1683" i="3" l="1"/>
  <c r="AS1684" i="3"/>
  <c r="AS1680" i="1"/>
  <c r="AR1679" i="1"/>
  <c r="AR1684" i="3" l="1"/>
  <c r="AS1685" i="3"/>
  <c r="AS1681" i="1"/>
  <c r="AR1680" i="1"/>
  <c r="AR1685" i="3" l="1"/>
  <c r="AS1686" i="3"/>
  <c r="AS1682" i="1"/>
  <c r="AR1681" i="1"/>
  <c r="AS1687" i="3" l="1"/>
  <c r="AR1686" i="3"/>
  <c r="AS1683" i="1"/>
  <c r="AR1682" i="1"/>
  <c r="AR1687" i="3" l="1"/>
  <c r="AS1688" i="3"/>
  <c r="AS1684" i="1"/>
  <c r="AR1683" i="1"/>
  <c r="AR1688" i="3" l="1"/>
  <c r="AS1689" i="3"/>
  <c r="AS1685" i="1"/>
  <c r="AR1684" i="1"/>
  <c r="AR1689" i="3" l="1"/>
  <c r="AS1690" i="3"/>
  <c r="AS1686" i="1"/>
  <c r="AR1685" i="1"/>
  <c r="AR1690" i="3" l="1"/>
  <c r="AS1691" i="3"/>
  <c r="AS1687" i="1"/>
  <c r="AR1686" i="1"/>
  <c r="AR1691" i="3" l="1"/>
  <c r="AS1692" i="3"/>
  <c r="AS1688" i="1"/>
  <c r="AR1687" i="1"/>
  <c r="AR1692" i="3" l="1"/>
  <c r="AS1693" i="3"/>
  <c r="AS1689" i="1"/>
  <c r="AR1688" i="1"/>
  <c r="AR1693" i="3" l="1"/>
  <c r="AS1694" i="3"/>
  <c r="AS1690" i="1"/>
  <c r="AR1689" i="1"/>
  <c r="AR1694" i="3" l="1"/>
  <c r="AS1695" i="3"/>
  <c r="AS1691" i="1"/>
  <c r="AR1690" i="1"/>
  <c r="AR1695" i="3" l="1"/>
  <c r="AS1696" i="3"/>
  <c r="AS1692" i="1"/>
  <c r="AR1691" i="1"/>
  <c r="AR1696" i="3" l="1"/>
  <c r="AS1697" i="3"/>
  <c r="AS1693" i="1"/>
  <c r="AR1692" i="1"/>
  <c r="AR1697" i="3" l="1"/>
  <c r="AS1698" i="3"/>
  <c r="AS1694" i="1"/>
  <c r="AR1693" i="1"/>
  <c r="AR1698" i="3" l="1"/>
  <c r="AS1699" i="3"/>
  <c r="AS1695" i="1"/>
  <c r="AR1694" i="1"/>
  <c r="AR1699" i="3" l="1"/>
  <c r="AS1700" i="3"/>
  <c r="AS1696" i="1"/>
  <c r="AR1695" i="1"/>
  <c r="AR1700" i="3" l="1"/>
  <c r="AS1701" i="3"/>
  <c r="AS1697" i="1"/>
  <c r="AR1696" i="1"/>
  <c r="AS1702" i="3" l="1"/>
  <c r="AR1701" i="3"/>
  <c r="AS1698" i="1"/>
  <c r="AR1697" i="1"/>
  <c r="AR1702" i="3" l="1"/>
  <c r="AS1703" i="3"/>
  <c r="AS1699" i="1"/>
  <c r="AR1698" i="1"/>
  <c r="AR1703" i="3" l="1"/>
  <c r="AS1704" i="3"/>
  <c r="AS1700" i="1"/>
  <c r="AR1699" i="1"/>
  <c r="AR1704" i="3" l="1"/>
  <c r="AS1705" i="3"/>
  <c r="AS1701" i="1"/>
  <c r="AR1700" i="1"/>
  <c r="AR1705" i="3" l="1"/>
  <c r="AS1706" i="3"/>
  <c r="AS1702" i="1"/>
  <c r="AR1701" i="1"/>
  <c r="AR1706" i="3" l="1"/>
  <c r="AS1707" i="3"/>
  <c r="AS1703" i="1"/>
  <c r="AR1702" i="1"/>
  <c r="AR1707" i="3" l="1"/>
  <c r="AS1708" i="3"/>
  <c r="AS1704" i="1"/>
  <c r="AR1703" i="1"/>
  <c r="AS1709" i="3" l="1"/>
  <c r="AR1708" i="3"/>
  <c r="AS1705" i="1"/>
  <c r="AR1704" i="1"/>
  <c r="AR1709" i="3" l="1"/>
  <c r="AS1710" i="3"/>
  <c r="AS1706" i="1"/>
  <c r="AR1705" i="1"/>
  <c r="AR1710" i="3" l="1"/>
  <c r="AS1711" i="3"/>
  <c r="AS1707" i="1"/>
  <c r="AR1706" i="1"/>
  <c r="AR1711" i="3" l="1"/>
  <c r="AS1712" i="3"/>
  <c r="AS1708" i="1"/>
  <c r="AR1707" i="1"/>
  <c r="AR1712" i="3" l="1"/>
  <c r="AS1713" i="3"/>
  <c r="AS1709" i="1"/>
  <c r="AR1708" i="1"/>
  <c r="AR1713" i="3" l="1"/>
  <c r="AS1714" i="3"/>
  <c r="AS1710" i="1"/>
  <c r="AR1709" i="1"/>
  <c r="AR1714" i="3" l="1"/>
  <c r="AS1715" i="3"/>
  <c r="AS1711" i="1"/>
  <c r="AR1710" i="1"/>
  <c r="AR1715" i="3" l="1"/>
  <c r="AS1716" i="3"/>
  <c r="AS1712" i="1"/>
  <c r="AR1711" i="1"/>
  <c r="AR1716" i="3" l="1"/>
  <c r="AS1717" i="3"/>
  <c r="AS1713" i="1"/>
  <c r="AR1712" i="1"/>
  <c r="AS1718" i="3" l="1"/>
  <c r="AR1717" i="3"/>
  <c r="AS1714" i="1"/>
  <c r="AR1713" i="1"/>
  <c r="AR1718" i="3" l="1"/>
  <c r="AS1719" i="3"/>
  <c r="AS1715" i="1"/>
  <c r="AR1714" i="1"/>
  <c r="AR1719" i="3" l="1"/>
  <c r="AS1720" i="3"/>
  <c r="AS1716" i="1"/>
  <c r="AR1715" i="1"/>
  <c r="AR1720" i="3" l="1"/>
  <c r="AS1721" i="3"/>
  <c r="AS1717" i="1"/>
  <c r="AR1716" i="1"/>
  <c r="AS1722" i="3" l="1"/>
  <c r="AR1721" i="3"/>
  <c r="AS1718" i="1"/>
  <c r="AR1717" i="1"/>
  <c r="AR1722" i="3" l="1"/>
  <c r="AS1723" i="3"/>
  <c r="AS1719" i="1"/>
  <c r="AR1718" i="1"/>
  <c r="AR1723" i="3" l="1"/>
  <c r="AS1724" i="3"/>
  <c r="AS1720" i="1"/>
  <c r="AR1719" i="1"/>
  <c r="AS1725" i="3" l="1"/>
  <c r="AR1724" i="3"/>
  <c r="AS1721" i="1"/>
  <c r="AR1720" i="1"/>
  <c r="AR1725" i="3" l="1"/>
  <c r="AS1726" i="3"/>
  <c r="AS1722" i="1"/>
  <c r="AR1721" i="1"/>
  <c r="AR1726" i="3" l="1"/>
  <c r="AS1727" i="3"/>
  <c r="AS1723" i="1"/>
  <c r="AR1722" i="1"/>
  <c r="AR1727" i="3" l="1"/>
  <c r="AS1728" i="3"/>
  <c r="AS1724" i="1"/>
  <c r="AR1723" i="1"/>
  <c r="AS1729" i="3" l="1"/>
  <c r="AR1728" i="3"/>
  <c r="AS1725" i="1"/>
  <c r="AR1724" i="1"/>
  <c r="AR1729" i="3" l="1"/>
  <c r="AS1730" i="3"/>
  <c r="AS1726" i="1"/>
  <c r="AR1725" i="1"/>
  <c r="AR1730" i="3" l="1"/>
  <c r="AS1731" i="3"/>
  <c r="AS1727" i="1"/>
  <c r="AR1726" i="1"/>
  <c r="AR1731" i="3" l="1"/>
  <c r="AS1732" i="3"/>
  <c r="AS1728" i="1"/>
  <c r="AR1727" i="1"/>
  <c r="AR1732" i="3" l="1"/>
  <c r="AS1733" i="3"/>
  <c r="AS1729" i="1"/>
  <c r="AR1728" i="1"/>
  <c r="AS1734" i="3" l="1"/>
  <c r="AR1733" i="3"/>
  <c r="AS1730" i="1"/>
  <c r="AR1729" i="1"/>
  <c r="AR1734" i="3" l="1"/>
  <c r="AS1735" i="3"/>
  <c r="AS1731" i="1"/>
  <c r="AR1730" i="1"/>
  <c r="AR1735" i="3" l="1"/>
  <c r="AS1736" i="3"/>
  <c r="AS1732" i="1"/>
  <c r="AR1731" i="1"/>
  <c r="AR1736" i="3" l="1"/>
  <c r="AS1737" i="3"/>
  <c r="AS1733" i="1"/>
  <c r="AR1732" i="1"/>
  <c r="AS1738" i="3" l="1"/>
  <c r="AR1737" i="3"/>
  <c r="AS1734" i="1"/>
  <c r="AR1733" i="1"/>
  <c r="AR1738" i="3" l="1"/>
  <c r="AS1739" i="3"/>
  <c r="AS1735" i="1"/>
  <c r="AR1734" i="1"/>
  <c r="AR1739" i="3" l="1"/>
  <c r="AS1740" i="3"/>
  <c r="AS1736" i="1"/>
  <c r="AR1735" i="1"/>
  <c r="AS1741" i="3" l="1"/>
  <c r="AR1740" i="3"/>
  <c r="AS1737" i="1"/>
  <c r="AR1736" i="1"/>
  <c r="AR1741" i="3" l="1"/>
  <c r="AS1742" i="3"/>
  <c r="AS1738" i="1"/>
  <c r="AR1737" i="1"/>
  <c r="AR1742" i="3" l="1"/>
  <c r="AS1743" i="3"/>
  <c r="AS1739" i="1"/>
  <c r="AR1738" i="1"/>
  <c r="AR1743" i="3" l="1"/>
  <c r="AS1744" i="3"/>
  <c r="AS1740" i="1"/>
  <c r="AR1739" i="1"/>
  <c r="AS1745" i="3" l="1"/>
  <c r="AR1744" i="3"/>
  <c r="AS1741" i="1"/>
  <c r="AR1740" i="1"/>
  <c r="AR1745" i="3" l="1"/>
  <c r="AS1746" i="3"/>
  <c r="AS1742" i="1"/>
  <c r="AR1741" i="1"/>
  <c r="AR1746" i="3" l="1"/>
  <c r="AS1747" i="3"/>
  <c r="AS1743" i="1"/>
  <c r="AR1742" i="1"/>
  <c r="AR1747" i="3" l="1"/>
  <c r="AS1748" i="3"/>
  <c r="AS1744" i="1"/>
  <c r="AR1743" i="1"/>
  <c r="AR1748" i="3" l="1"/>
  <c r="AS1749" i="3"/>
  <c r="AS1745" i="1"/>
  <c r="AR1744" i="1"/>
  <c r="AS1750" i="3" l="1"/>
  <c r="AR1749" i="3"/>
  <c r="AS1746" i="1"/>
  <c r="AR1745" i="1"/>
  <c r="AR1750" i="3" l="1"/>
  <c r="AS1751" i="3"/>
  <c r="AS1747" i="1"/>
  <c r="AR1746" i="1"/>
  <c r="AR1751" i="3" l="1"/>
  <c r="AS1752" i="3"/>
  <c r="AS1748" i="1"/>
  <c r="AR1747" i="1"/>
  <c r="AR1752" i="3" l="1"/>
  <c r="AS1753" i="3"/>
  <c r="AS1749" i="1"/>
  <c r="AR1748" i="1"/>
  <c r="AS1754" i="3" l="1"/>
  <c r="AR1753" i="3"/>
  <c r="AS1750" i="1"/>
  <c r="AR1749" i="1"/>
  <c r="AR1754" i="3" l="1"/>
  <c r="AS1755" i="3"/>
  <c r="AS1751" i="1"/>
  <c r="AR1750" i="1"/>
  <c r="AR1755" i="3" l="1"/>
  <c r="AS1756" i="3"/>
  <c r="AS1752" i="1"/>
  <c r="AR1751" i="1"/>
  <c r="AS1757" i="3" l="1"/>
  <c r="AR1756" i="3"/>
  <c r="AS1753" i="1"/>
  <c r="AR1752" i="1"/>
  <c r="AR1757" i="3" l="1"/>
  <c r="AS1758" i="3"/>
  <c r="AS1754" i="1"/>
  <c r="AR1753" i="1"/>
  <c r="AR1758" i="3" l="1"/>
  <c r="AS1759" i="3"/>
  <c r="AS1755" i="1"/>
  <c r="AR1754" i="1"/>
  <c r="AR1759" i="3" l="1"/>
  <c r="AS1760" i="3"/>
  <c r="AS1756" i="1"/>
  <c r="AR1755" i="1"/>
  <c r="AS1761" i="3" l="1"/>
  <c r="AR1760" i="3"/>
  <c r="AS1757" i="1"/>
  <c r="AR1756" i="1"/>
  <c r="AR1761" i="3" l="1"/>
  <c r="AS1762" i="3"/>
  <c r="AS1758" i="1"/>
  <c r="AR1757" i="1"/>
  <c r="AR1762" i="3" l="1"/>
  <c r="AS1763" i="3"/>
  <c r="AS1759" i="1"/>
  <c r="AR1758" i="1"/>
  <c r="AR1763" i="3" l="1"/>
  <c r="AS1764" i="3"/>
  <c r="AS1760" i="1"/>
  <c r="AR1759" i="1"/>
  <c r="AR1764" i="3" l="1"/>
  <c r="AS1765" i="3"/>
  <c r="AS1761" i="1"/>
  <c r="AR1760" i="1"/>
  <c r="AS1766" i="3" l="1"/>
  <c r="AR1765" i="3"/>
  <c r="AS1762" i="1"/>
  <c r="AR1761" i="1"/>
  <c r="AR1766" i="3" l="1"/>
  <c r="AS1767" i="3"/>
  <c r="AS1763" i="1"/>
  <c r="AR1762" i="1"/>
  <c r="AR1767" i="3" l="1"/>
  <c r="AS1768" i="3"/>
  <c r="AS1764" i="1"/>
  <c r="AR1763" i="1"/>
  <c r="AR1768" i="3" l="1"/>
  <c r="AS1769" i="3"/>
  <c r="AS1765" i="1"/>
  <c r="AR1764" i="1"/>
  <c r="AS1770" i="3" l="1"/>
  <c r="AR1769" i="3"/>
  <c r="AS1766" i="1"/>
  <c r="AR1765" i="1"/>
  <c r="AR1770" i="3" l="1"/>
  <c r="AS1771" i="3"/>
  <c r="AS1767" i="1"/>
  <c r="AR1766" i="1"/>
  <c r="AR1771" i="3" l="1"/>
  <c r="AS1772" i="3"/>
  <c r="AS1768" i="1"/>
  <c r="AR1767" i="1"/>
  <c r="AS1773" i="3" l="1"/>
  <c r="AR1772" i="3"/>
  <c r="AS1769" i="1"/>
  <c r="AR1768" i="1"/>
  <c r="AR1773" i="3" l="1"/>
  <c r="AS1774" i="3"/>
  <c r="AS1770" i="1"/>
  <c r="AR1769" i="1"/>
  <c r="AR1774" i="3" l="1"/>
  <c r="AS1775" i="3"/>
  <c r="AS1771" i="1"/>
  <c r="AR1770" i="1"/>
  <c r="AR1775" i="3" l="1"/>
  <c r="AS1776" i="3"/>
  <c r="AS1772" i="1"/>
  <c r="AR1771" i="1"/>
  <c r="AS1777" i="3" l="1"/>
  <c r="AR1776" i="3"/>
  <c r="AS1773" i="1"/>
  <c r="AR1772" i="1"/>
  <c r="AR1777" i="3" l="1"/>
  <c r="AS1778" i="3"/>
  <c r="AS1774" i="1"/>
  <c r="AR1773" i="1"/>
  <c r="AR1778" i="3" l="1"/>
  <c r="AS1779" i="3"/>
  <c r="AS1775" i="1"/>
  <c r="AR1774" i="1"/>
  <c r="AR1779" i="3" l="1"/>
  <c r="AS1780" i="3"/>
  <c r="AS1776" i="1"/>
  <c r="AR1775" i="1"/>
  <c r="AR1780" i="3" l="1"/>
  <c r="AS1781" i="3"/>
  <c r="AS1777" i="1"/>
  <c r="AR1776" i="1"/>
  <c r="AS1782" i="3" l="1"/>
  <c r="AR1781" i="3"/>
  <c r="AS1778" i="1"/>
  <c r="AR1777" i="1"/>
  <c r="AR1782" i="3" l="1"/>
  <c r="AS1783" i="3"/>
  <c r="AS1779" i="1"/>
  <c r="AR1778" i="1"/>
  <c r="AR1783" i="3" l="1"/>
  <c r="AS1784" i="3"/>
  <c r="AS1780" i="1"/>
  <c r="AR1779" i="1"/>
  <c r="AR1784" i="3" l="1"/>
  <c r="AS1785" i="3"/>
  <c r="AS1781" i="1"/>
  <c r="AR1780" i="1"/>
  <c r="AS1786" i="3" l="1"/>
  <c r="AR1785" i="3"/>
  <c r="AS1782" i="1"/>
  <c r="AR1781" i="1"/>
  <c r="AR1786" i="3" l="1"/>
  <c r="AS1787" i="3"/>
  <c r="AS1783" i="1"/>
  <c r="AR1782" i="1"/>
  <c r="AR1787" i="3" l="1"/>
  <c r="AS1788" i="3"/>
  <c r="AS1784" i="1"/>
  <c r="AR1783" i="1"/>
  <c r="AS1789" i="3" l="1"/>
  <c r="AR1788" i="3"/>
  <c r="AS1785" i="1"/>
  <c r="AR1784" i="1"/>
  <c r="AR1789" i="3" l="1"/>
  <c r="AS1790" i="3"/>
  <c r="AS1786" i="1"/>
  <c r="AR1785" i="1"/>
  <c r="AR1790" i="3" l="1"/>
  <c r="AS1791" i="3"/>
  <c r="AS1787" i="1"/>
  <c r="AR1786" i="1"/>
  <c r="AR1791" i="3" l="1"/>
  <c r="AS1792" i="3"/>
  <c r="AS1788" i="1"/>
  <c r="AR1787" i="1"/>
  <c r="AS1793" i="3" l="1"/>
  <c r="AR1792" i="3"/>
  <c r="AS1789" i="1"/>
  <c r="AR1788" i="1"/>
  <c r="AR1793" i="3" l="1"/>
  <c r="AS1794" i="3"/>
  <c r="AS1790" i="1"/>
  <c r="AR1789" i="1"/>
  <c r="AR1794" i="3" l="1"/>
  <c r="AS1795" i="3"/>
  <c r="AS1791" i="1"/>
  <c r="AR1790" i="1"/>
  <c r="AR1795" i="3" l="1"/>
  <c r="AS1796" i="3"/>
  <c r="AS1792" i="1"/>
  <c r="AR1791" i="1"/>
  <c r="AR1796" i="3" l="1"/>
  <c r="AS1797" i="3"/>
  <c r="AS1793" i="1"/>
  <c r="AR1792" i="1"/>
  <c r="AS1798" i="3" l="1"/>
  <c r="AR1797" i="3"/>
  <c r="AS1794" i="1"/>
  <c r="AR1793" i="1"/>
  <c r="AR1798" i="3" l="1"/>
  <c r="AS1799" i="3"/>
  <c r="AS1795" i="1"/>
  <c r="AR1794" i="1"/>
  <c r="AR1799" i="3" l="1"/>
  <c r="AS1800" i="3"/>
  <c r="AS1796" i="1"/>
  <c r="AR1795" i="1"/>
  <c r="AR1800" i="3" l="1"/>
  <c r="AS1801" i="3"/>
  <c r="AS1797" i="1"/>
  <c r="AR1796" i="1"/>
  <c r="AS1802" i="3" l="1"/>
  <c r="AR1801" i="3"/>
  <c r="AS1798" i="1"/>
  <c r="AR1797" i="1"/>
  <c r="AR1802" i="3" l="1"/>
  <c r="AS1803" i="3"/>
  <c r="AR1803" i="3" s="1"/>
  <c r="AS1799" i="1"/>
  <c r="AR1798" i="1"/>
  <c r="AS1800" i="1" l="1"/>
  <c r="AR1799" i="1"/>
  <c r="AS1801" i="1" l="1"/>
  <c r="AR1800" i="1"/>
  <c r="AS1802" i="1" l="1"/>
  <c r="AR1801" i="1"/>
  <c r="AS1803" i="1" l="1"/>
  <c r="AR1803" i="1" s="1"/>
  <c r="AR1802" i="1"/>
  <c r="AV597" i="1" l="1"/>
  <c r="BE53" i="1" s="1"/>
  <c r="AV596" i="1"/>
  <c r="BD53" i="1" s="1"/>
  <c r="AV595" i="1"/>
  <c r="BC53" i="1" s="1"/>
  <c r="AV593" i="1"/>
  <c r="BA53" i="1" s="1"/>
  <c r="AV592" i="1"/>
  <c r="AZ53" i="1" s="1"/>
  <c r="AV591" i="1"/>
  <c r="BK52" i="1" s="1"/>
  <c r="AV589" i="1"/>
  <c r="BI52" i="1" s="1"/>
  <c r="AV588" i="1"/>
  <c r="BH52" i="1" s="1"/>
  <c r="AV587" i="1"/>
  <c r="BG52" i="1" s="1"/>
  <c r="AV585" i="1"/>
  <c r="BE52" i="1" s="1"/>
  <c r="AV584" i="1"/>
  <c r="BD52" i="1" s="1"/>
  <c r="AV583" i="1"/>
  <c r="BC52" i="1" s="1"/>
  <c r="AV581" i="1"/>
  <c r="BA52" i="1" s="1"/>
  <c r="AV580" i="1"/>
  <c r="AZ52" i="1" s="1"/>
  <c r="AV579" i="1"/>
  <c r="BK51" i="1" s="1"/>
  <c r="AV577" i="1"/>
  <c r="BI51" i="1" s="1"/>
  <c r="AV576" i="1"/>
  <c r="BH51" i="1" s="1"/>
  <c r="AV575" i="1"/>
  <c r="BG51" i="1" s="1"/>
  <c r="AV573" i="1"/>
  <c r="BE51" i="1" s="1"/>
  <c r="AV572" i="1"/>
  <c r="BD51" i="1" s="1"/>
  <c r="AV571" i="1"/>
  <c r="BC51" i="1" s="1"/>
  <c r="AV569" i="1"/>
  <c r="BA51" i="1" s="1"/>
  <c r="AV568" i="1"/>
  <c r="AZ51" i="1" s="1"/>
  <c r="AV567" i="1"/>
  <c r="BK50" i="1" s="1"/>
  <c r="AV566" i="1"/>
  <c r="BJ50" i="1" s="1"/>
  <c r="AV565" i="1"/>
  <c r="BI50" i="1" s="1"/>
  <c r="AV564" i="1"/>
  <c r="BH50" i="1" s="1"/>
  <c r="AV563" i="1"/>
  <c r="BG50" i="1" s="1"/>
  <c r="AV562" i="1"/>
  <c r="BF50" i="1" s="1"/>
  <c r="AV561" i="1"/>
  <c r="BE50" i="1" s="1"/>
  <c r="AV560" i="1"/>
  <c r="BD50" i="1" s="1"/>
  <c r="AV559" i="1"/>
  <c r="BC50" i="1" s="1"/>
  <c r="AV557" i="1"/>
  <c r="BA50" i="1" s="1"/>
  <c r="AV556" i="1"/>
  <c r="AZ50" i="1" s="1"/>
  <c r="AV555" i="1"/>
  <c r="BK49" i="1" s="1"/>
  <c r="AV553" i="1"/>
  <c r="BI49" i="1" s="1"/>
  <c r="AV552" i="1"/>
  <c r="BH49" i="1" s="1"/>
  <c r="AV551" i="1"/>
  <c r="BG49" i="1" s="1"/>
  <c r="AV549" i="1"/>
  <c r="BE49" i="1" s="1"/>
  <c r="AV548" i="1"/>
  <c r="BD49" i="1" s="1"/>
  <c r="AV547" i="1"/>
  <c r="BC49" i="1" s="1"/>
  <c r="AV545" i="1"/>
  <c r="BA49" i="1" s="1"/>
  <c r="AV544" i="1"/>
  <c r="AZ49" i="1" s="1"/>
  <c r="AV543" i="1"/>
  <c r="BK48" i="1" s="1"/>
  <c r="AV541" i="1"/>
  <c r="BI48" i="1" s="1"/>
  <c r="AV540" i="1"/>
  <c r="BH48" i="1" s="1"/>
  <c r="AV539" i="1"/>
  <c r="BG48" i="1" s="1"/>
  <c r="AV537" i="1"/>
  <c r="BE48" i="1" s="1"/>
  <c r="AV536" i="1"/>
  <c r="BD48" i="1" s="1"/>
  <c r="AV535" i="1"/>
  <c r="BC48" i="1" s="1"/>
  <c r="AV534" i="1"/>
  <c r="BB48" i="1" s="1"/>
  <c r="AV533" i="1"/>
  <c r="BA48" i="1" s="1"/>
  <c r="AV532" i="1"/>
  <c r="AZ48" i="1" s="1"/>
  <c r="AV531" i="1"/>
  <c r="BK47" i="1" s="1"/>
  <c r="AV530" i="1"/>
  <c r="BJ47" i="1" s="1"/>
  <c r="AV529" i="1"/>
  <c r="BI47" i="1" s="1"/>
  <c r="AV528" i="1"/>
  <c r="BH47" i="1" s="1"/>
  <c r="AV527" i="1"/>
  <c r="BG47" i="1" s="1"/>
  <c r="AV525" i="1"/>
  <c r="BE47" i="1" s="1"/>
  <c r="AV524" i="1"/>
  <c r="BD47" i="1" s="1"/>
  <c r="AV523" i="1"/>
  <c r="BC47" i="1" s="1"/>
  <c r="AV522" i="1"/>
  <c r="BB47" i="1" s="1"/>
  <c r="AV521" i="1"/>
  <c r="BA47" i="1" s="1"/>
  <c r="AV520" i="1"/>
  <c r="AZ47" i="1" s="1"/>
  <c r="AV519" i="1"/>
  <c r="BK46" i="1" s="1"/>
  <c r="AV517" i="1"/>
  <c r="BI46" i="1" s="1"/>
  <c r="AV516" i="1"/>
  <c r="BH46" i="1" s="1"/>
  <c r="AV515" i="1"/>
  <c r="BG46" i="1" s="1"/>
  <c r="AV513" i="1"/>
  <c r="BE46" i="1" s="1"/>
  <c r="AV512" i="1"/>
  <c r="BD46" i="1" s="1"/>
  <c r="AV511" i="1"/>
  <c r="BC46" i="1" s="1"/>
  <c r="AV509" i="1"/>
  <c r="BA46" i="1" s="1"/>
  <c r="AV508" i="1"/>
  <c r="AZ46" i="1" s="1"/>
  <c r="AV507" i="1"/>
  <c r="BK45" i="1" s="1"/>
  <c r="AV505" i="1"/>
  <c r="BI45" i="1" s="1"/>
  <c r="AV504" i="1"/>
  <c r="BH45" i="1" s="1"/>
  <c r="AV503" i="1"/>
  <c r="BG45" i="1" s="1"/>
  <c r="AV502" i="1"/>
  <c r="BF45" i="1" s="1"/>
  <c r="AV501" i="1"/>
  <c r="BE45" i="1" s="1"/>
  <c r="AV500" i="1"/>
  <c r="BD45" i="1" s="1"/>
  <c r="AV499" i="1"/>
  <c r="BC45" i="1" s="1"/>
  <c r="AV498" i="1"/>
  <c r="BB45" i="1" s="1"/>
  <c r="AV497" i="1"/>
  <c r="BA45" i="1" s="1"/>
  <c r="AV496" i="1"/>
  <c r="AZ45" i="1" s="1"/>
  <c r="AV495" i="1"/>
  <c r="BK44" i="1" s="1"/>
  <c r="AV493" i="1"/>
  <c r="BI44" i="1" s="1"/>
  <c r="AV492" i="1"/>
  <c r="BH44" i="1" s="1"/>
  <c r="AV491" i="1"/>
  <c r="BG44" i="1" s="1"/>
  <c r="AV490" i="1"/>
  <c r="BF44" i="1" s="1"/>
  <c r="AV489" i="1"/>
  <c r="BE44" i="1" s="1"/>
  <c r="AV488" i="1"/>
  <c r="BD44" i="1" s="1"/>
  <c r="AV487" i="1"/>
  <c r="BC44" i="1" s="1"/>
  <c r="AV485" i="1"/>
  <c r="BA44" i="1" s="1"/>
  <c r="AV484" i="1"/>
  <c r="AZ44" i="1" s="1"/>
  <c r="AV483" i="1"/>
  <c r="BK43" i="1" s="1"/>
  <c r="AV481" i="1"/>
  <c r="BI43" i="1" s="1"/>
  <c r="AV480" i="1"/>
  <c r="BH43" i="1" s="1"/>
  <c r="AV479" i="1"/>
  <c r="BG43" i="1" s="1"/>
  <c r="AV477" i="1"/>
  <c r="BE43" i="1" s="1"/>
  <c r="AV476" i="1"/>
  <c r="BD43" i="1" s="1"/>
  <c r="AV475" i="1"/>
  <c r="BC43" i="1" s="1"/>
  <c r="AV473" i="1"/>
  <c r="BA43" i="1" s="1"/>
  <c r="AV472" i="1"/>
  <c r="AZ43" i="1" s="1"/>
  <c r="AV471" i="1"/>
  <c r="BK42" i="1" s="1"/>
  <c r="AV470" i="1"/>
  <c r="BJ42" i="1" s="1"/>
  <c r="AV469" i="1"/>
  <c r="BI42" i="1" s="1"/>
  <c r="AV468" i="1"/>
  <c r="BH42" i="1" s="1"/>
  <c r="AV467" i="1"/>
  <c r="BG42" i="1" s="1"/>
  <c r="AV466" i="1"/>
  <c r="BF42" i="1" s="1"/>
  <c r="AV465" i="1"/>
  <c r="BE42" i="1" s="1"/>
  <c r="AV464" i="1"/>
  <c r="BD42" i="1" s="1"/>
  <c r="AV463" i="1"/>
  <c r="BC42" i="1" s="1"/>
  <c r="AV461" i="1"/>
  <c r="BA42" i="1" s="1"/>
  <c r="AV460" i="1"/>
  <c r="AZ42" i="1" s="1"/>
  <c r="AV459" i="1"/>
  <c r="BK41" i="1" s="1"/>
  <c r="AV457" i="1"/>
  <c r="BI41" i="1" s="1"/>
  <c r="AV456" i="1"/>
  <c r="BH41" i="1" s="1"/>
  <c r="AV455" i="1"/>
  <c r="BG41" i="1" s="1"/>
  <c r="AV453" i="1"/>
  <c r="BE41" i="1" s="1"/>
  <c r="AV452" i="1"/>
  <c r="BD41" i="1" s="1"/>
  <c r="AV451" i="1"/>
  <c r="BC41" i="1" s="1"/>
  <c r="AV449" i="1"/>
  <c r="BA41" i="1" s="1"/>
  <c r="AV448" i="1"/>
  <c r="AZ41" i="1" s="1"/>
  <c r="AV447" i="1"/>
  <c r="BK40" i="1" s="1"/>
  <c r="AV445" i="1"/>
  <c r="BI40" i="1" s="1"/>
  <c r="AV444" i="1"/>
  <c r="BH40" i="1" s="1"/>
  <c r="AV443" i="1"/>
  <c r="BG40" i="1" s="1"/>
  <c r="AV442" i="1"/>
  <c r="BF40" i="1" s="1"/>
  <c r="AV441" i="1"/>
  <c r="BE40" i="1" s="1"/>
  <c r="AV440" i="1"/>
  <c r="BD40" i="1" s="1"/>
  <c r="AV439" i="1"/>
  <c r="BC40" i="1" s="1"/>
  <c r="AV438" i="1"/>
  <c r="BB40" i="1" s="1"/>
  <c r="AV437" i="1"/>
  <c r="BA40" i="1" s="1"/>
  <c r="AV436" i="1"/>
  <c r="AZ40" i="1" s="1"/>
  <c r="AV435" i="1"/>
  <c r="BK39" i="1" s="1"/>
  <c r="AV433" i="1"/>
  <c r="BI39" i="1" s="1"/>
  <c r="AV432" i="1"/>
  <c r="BH39" i="1" s="1"/>
  <c r="AV431" i="1"/>
  <c r="BG39" i="1" s="1"/>
  <c r="AV429" i="1"/>
  <c r="BE39" i="1" s="1"/>
  <c r="AV428" i="1"/>
  <c r="BD39" i="1" s="1"/>
  <c r="AV427" i="1"/>
  <c r="BC39" i="1" s="1"/>
  <c r="AV426" i="1"/>
  <c r="BB39" i="1" s="1"/>
  <c r="AV425" i="1"/>
  <c r="BA39" i="1" s="1"/>
  <c r="AV424" i="1"/>
  <c r="AZ39" i="1" s="1"/>
  <c r="AV423" i="1"/>
  <c r="BK38" i="1" s="1"/>
  <c r="AV422" i="1"/>
  <c r="BJ38" i="1" s="1"/>
  <c r="AV421" i="1"/>
  <c r="BI38" i="1" s="1"/>
  <c r="AV420" i="1"/>
  <c r="BH38" i="1" s="1"/>
  <c r="AV419" i="1"/>
  <c r="BG38" i="1" s="1"/>
  <c r="AV417" i="1"/>
  <c r="BE38" i="1" s="1"/>
  <c r="AV416" i="1"/>
  <c r="BD38" i="1" s="1"/>
  <c r="AV415" i="1"/>
  <c r="BC38" i="1" s="1"/>
  <c r="AV413" i="1"/>
  <c r="BA38" i="1" s="1"/>
  <c r="AV412" i="1"/>
  <c r="AZ38" i="1" s="1"/>
  <c r="AV411" i="1"/>
  <c r="BK37" i="1" s="1"/>
  <c r="AV410" i="1"/>
  <c r="BJ37" i="1" s="1"/>
  <c r="AV409" i="1"/>
  <c r="BI37" i="1" s="1"/>
  <c r="AV408" i="1"/>
  <c r="BH37" i="1" s="1"/>
  <c r="AV407" i="1"/>
  <c r="BG37" i="1" s="1"/>
  <c r="AV405" i="1"/>
  <c r="BE37" i="1" s="1"/>
  <c r="AV404" i="1"/>
  <c r="BD37" i="1" s="1"/>
  <c r="AV403" i="1"/>
  <c r="BC37" i="1" s="1"/>
  <c r="AV401" i="1"/>
  <c r="BA37" i="1" s="1"/>
  <c r="AV400" i="1"/>
  <c r="AZ37" i="1" s="1"/>
  <c r="AV399" i="1"/>
  <c r="BK36" i="1" s="1"/>
  <c r="AV397" i="1"/>
  <c r="BI36" i="1" s="1"/>
  <c r="AV396" i="1"/>
  <c r="BH36" i="1" s="1"/>
  <c r="AV395" i="1"/>
  <c r="BG36" i="1" s="1"/>
  <c r="AV394" i="1"/>
  <c r="BF36" i="1" s="1"/>
  <c r="AV393" i="1"/>
  <c r="BE36" i="1" s="1"/>
  <c r="AV392" i="1"/>
  <c r="BD36" i="1" s="1"/>
  <c r="AV391" i="1"/>
  <c r="BC36" i="1" s="1"/>
  <c r="AV389" i="1"/>
  <c r="BA36" i="1" s="1"/>
  <c r="AV388" i="1"/>
  <c r="AZ36" i="1" s="1"/>
  <c r="AV387" i="1"/>
  <c r="BK35" i="1" s="1"/>
  <c r="AV385" i="1"/>
  <c r="BI35" i="1" s="1"/>
  <c r="AV384" i="1"/>
  <c r="BH35" i="1" s="1"/>
  <c r="AV383" i="1"/>
  <c r="BG35" i="1" s="1"/>
  <c r="AV381" i="1"/>
  <c r="BE35" i="1" s="1"/>
  <c r="AV380" i="1"/>
  <c r="BD35" i="1" s="1"/>
  <c r="AV379" i="1"/>
  <c r="BC35" i="1" s="1"/>
  <c r="AV378" i="1"/>
  <c r="BB35" i="1" s="1"/>
  <c r="AV377" i="1"/>
  <c r="BA35" i="1" s="1"/>
  <c r="AV376" i="1"/>
  <c r="AZ35" i="1" s="1"/>
  <c r="AV375" i="1"/>
  <c r="BK34" i="1" s="1"/>
  <c r="AV373" i="1"/>
  <c r="BI34" i="1" s="1"/>
  <c r="AV372" i="1"/>
  <c r="BH34" i="1" s="1"/>
  <c r="AV371" i="1"/>
  <c r="BG34" i="1" s="1"/>
  <c r="AV369" i="1"/>
  <c r="BE34" i="1" s="1"/>
  <c r="AV368" i="1"/>
  <c r="BD34" i="1" s="1"/>
  <c r="AV367" i="1"/>
  <c r="BC34" i="1" s="1"/>
  <c r="AV365" i="1"/>
  <c r="BA34" i="1" s="1"/>
  <c r="AV364" i="1"/>
  <c r="AZ34" i="1" s="1"/>
  <c r="AV363" i="1"/>
  <c r="BK33" i="1" s="1"/>
  <c r="AV362" i="1"/>
  <c r="BJ33" i="1" s="1"/>
  <c r="AV361" i="1"/>
  <c r="BI33" i="1" s="1"/>
  <c r="AV360" i="1"/>
  <c r="BH33" i="1" s="1"/>
  <c r="AV359" i="1"/>
  <c r="BG33" i="1" s="1"/>
  <c r="AV357" i="1"/>
  <c r="BE33" i="1" s="1"/>
  <c r="AV356" i="1"/>
  <c r="BD33" i="1" s="1"/>
  <c r="AV355" i="1"/>
  <c r="BC33" i="1" s="1"/>
  <c r="AV353" i="1"/>
  <c r="BA33" i="1" s="1"/>
  <c r="AV352" i="1"/>
  <c r="AZ33" i="1" s="1"/>
  <c r="AV351" i="1"/>
  <c r="BK32" i="1" s="1"/>
  <c r="AV349" i="1"/>
  <c r="BI32" i="1" s="1"/>
  <c r="AV348" i="1"/>
  <c r="BH32" i="1" s="1"/>
  <c r="AV347" i="1"/>
  <c r="BG32" i="1" s="1"/>
  <c r="AV346" i="1"/>
  <c r="BF32" i="1" s="1"/>
  <c r="AV345" i="1"/>
  <c r="BE32" i="1" s="1"/>
  <c r="AV344" i="1"/>
  <c r="BD32" i="1" s="1"/>
  <c r="AV343" i="1"/>
  <c r="BC32" i="1" s="1"/>
  <c r="AV341" i="1"/>
  <c r="BA32" i="1" s="1"/>
  <c r="AV340" i="1"/>
  <c r="AZ32" i="1" s="1"/>
  <c r="AV339" i="1"/>
  <c r="BK31" i="1" s="1"/>
  <c r="AV337" i="1"/>
  <c r="BI31" i="1" s="1"/>
  <c r="AV336" i="1"/>
  <c r="BH31" i="1" s="1"/>
  <c r="AV335" i="1"/>
  <c r="BG31" i="1" s="1"/>
  <c r="AV333" i="1"/>
  <c r="BE31" i="1" s="1"/>
  <c r="AV332" i="1"/>
  <c r="BD31" i="1" s="1"/>
  <c r="AV331" i="1"/>
  <c r="BC31" i="1" s="1"/>
  <c r="AV330" i="1"/>
  <c r="BB31" i="1" s="1"/>
  <c r="AV329" i="1"/>
  <c r="BA31" i="1" s="1"/>
  <c r="AV328" i="1"/>
  <c r="AZ31" i="1" s="1"/>
  <c r="AV327" i="1"/>
  <c r="BK30" i="1" s="1"/>
  <c r="AV326" i="1"/>
  <c r="BJ30" i="1" s="1"/>
  <c r="AV324" i="1"/>
  <c r="BH30" i="1" s="1"/>
  <c r="AV323" i="1"/>
  <c r="BG30" i="1" s="1"/>
  <c r="AV321" i="1"/>
  <c r="BE30" i="1" s="1"/>
  <c r="AV320" i="1"/>
  <c r="BD30" i="1" s="1"/>
  <c r="AV319" i="1"/>
  <c r="BC30" i="1" s="1"/>
  <c r="AV317" i="1"/>
  <c r="BA30" i="1" s="1"/>
  <c r="AV316" i="1"/>
  <c r="AZ30" i="1" s="1"/>
  <c r="AV315" i="1"/>
  <c r="BK29" i="1" s="1"/>
  <c r="AV314" i="1"/>
  <c r="BJ29" i="1" s="1"/>
  <c r="AV313" i="1"/>
  <c r="BI29" i="1" s="1"/>
  <c r="AV312" i="1"/>
  <c r="BH29" i="1" s="1"/>
  <c r="AV311" i="1"/>
  <c r="BG29" i="1" s="1"/>
  <c r="AV308" i="1"/>
  <c r="BD29" i="1" s="1"/>
  <c r="AV307" i="1"/>
  <c r="BC29" i="1" s="1"/>
  <c r="AV306" i="1"/>
  <c r="BB29" i="1" s="1"/>
  <c r="AV305" i="1"/>
  <c r="BA29" i="1" s="1"/>
  <c r="AV304" i="1"/>
  <c r="AZ29" i="1" s="1"/>
  <c r="AV303" i="1"/>
  <c r="BK28" i="1" s="1"/>
  <c r="AV301" i="1"/>
  <c r="BI28" i="1" s="1"/>
  <c r="AV300" i="1"/>
  <c r="BH28" i="1" s="1"/>
  <c r="AV299" i="1"/>
  <c r="BG28" i="1" s="1"/>
  <c r="AV298" i="1"/>
  <c r="BF28" i="1" s="1"/>
  <c r="AV297" i="1"/>
  <c r="BE28" i="1" s="1"/>
  <c r="AV296" i="1"/>
  <c r="BD28" i="1" s="1"/>
  <c r="AV295" i="1"/>
  <c r="BC28" i="1" s="1"/>
  <c r="AV294" i="1"/>
  <c r="BB28" i="1" s="1"/>
  <c r="AV292" i="1"/>
  <c r="AZ28" i="1" s="1"/>
  <c r="AV291" i="1"/>
  <c r="BK27" i="1" s="1"/>
  <c r="AV290" i="1"/>
  <c r="BJ27" i="1" s="1"/>
  <c r="AV289" i="1"/>
  <c r="BI27" i="1" s="1"/>
  <c r="AV288" i="1"/>
  <c r="BH27" i="1" s="1"/>
  <c r="AV287" i="1"/>
  <c r="BG27" i="1" s="1"/>
  <c r="AV285" i="1"/>
  <c r="BE27" i="1" s="1"/>
  <c r="AV284" i="1"/>
  <c r="BD27" i="1" s="1"/>
  <c r="AV283" i="1"/>
  <c r="BC27" i="1" s="1"/>
  <c r="AV282" i="1"/>
  <c r="BB27" i="1" s="1"/>
  <c r="AV280" i="1"/>
  <c r="AZ27" i="1" s="1"/>
  <c r="AV279" i="1"/>
  <c r="BK26" i="1" s="1"/>
  <c r="AV278" i="1"/>
  <c r="BJ26" i="1" s="1"/>
  <c r="AV277" i="1"/>
  <c r="BI26" i="1" s="1"/>
  <c r="AV276" i="1"/>
  <c r="BH26" i="1" s="1"/>
  <c r="AV275" i="1"/>
  <c r="BG26" i="1" s="1"/>
  <c r="AV274" i="1"/>
  <c r="BF26" i="1" s="1"/>
  <c r="AV272" i="1"/>
  <c r="BD26" i="1" s="1"/>
  <c r="AV271" i="1"/>
  <c r="BC26" i="1" s="1"/>
  <c r="AV270" i="1"/>
  <c r="BB26" i="1" s="1"/>
  <c r="AV269" i="1"/>
  <c r="BA26" i="1" s="1"/>
  <c r="AV268" i="1"/>
  <c r="AZ26" i="1" s="1"/>
  <c r="AV267" i="1"/>
  <c r="BK25" i="1" s="1"/>
  <c r="AV266" i="1"/>
  <c r="BJ25" i="1" s="1"/>
  <c r="AV264" i="1"/>
  <c r="BH25" i="1" s="1"/>
  <c r="AV263" i="1"/>
  <c r="BG25" i="1" s="1"/>
  <c r="AV262" i="1"/>
  <c r="BF25" i="1" s="1"/>
  <c r="AV261" i="1"/>
  <c r="BE25" i="1" s="1"/>
  <c r="AV260" i="1"/>
  <c r="BD25" i="1" s="1"/>
  <c r="AV259" i="1"/>
  <c r="BC25" i="1" s="1"/>
  <c r="AV258" i="1"/>
  <c r="BB25" i="1" s="1"/>
  <c r="AV256" i="1"/>
  <c r="AZ25" i="1" s="1"/>
  <c r="AV255" i="1"/>
  <c r="BK24" i="1" s="1"/>
  <c r="AV254" i="1"/>
  <c r="BJ24" i="1" s="1"/>
  <c r="AV253" i="1"/>
  <c r="BI24" i="1" s="1"/>
  <c r="AV252" i="1"/>
  <c r="BH24" i="1" s="1"/>
  <c r="AV251" i="1"/>
  <c r="BG24" i="1" s="1"/>
  <c r="AV250" i="1"/>
  <c r="BF24" i="1" s="1"/>
  <c r="AV248" i="1"/>
  <c r="BD24" i="1" s="1"/>
  <c r="AV247" i="1"/>
  <c r="BC24" i="1" s="1"/>
  <c r="AV246" i="1"/>
  <c r="BB24" i="1" s="1"/>
  <c r="AV245" i="1"/>
  <c r="BA24" i="1" s="1"/>
  <c r="AV244" i="1"/>
  <c r="AZ24" i="1" s="1"/>
  <c r="AV243" i="1"/>
  <c r="BK23" i="1" s="1"/>
  <c r="AV242" i="1"/>
  <c r="BJ23" i="1" s="1"/>
  <c r="AV240" i="1"/>
  <c r="BH23" i="1" s="1"/>
  <c r="AV239" i="1"/>
  <c r="BG23" i="1" s="1"/>
  <c r="AV238" i="1"/>
  <c r="BF23" i="1" s="1"/>
  <c r="AV237" i="1"/>
  <c r="BE23" i="1" s="1"/>
  <c r="AV236" i="1"/>
  <c r="BD23" i="1" s="1"/>
  <c r="AV235" i="1"/>
  <c r="BC23" i="1" s="1"/>
  <c r="AV234" i="1"/>
  <c r="BB23" i="1" s="1"/>
  <c r="AV232" i="1"/>
  <c r="AZ23" i="1" s="1"/>
  <c r="AV231" i="1"/>
  <c r="BK22" i="1" s="1"/>
  <c r="AV230" i="1"/>
  <c r="BJ22" i="1" s="1"/>
  <c r="AV229" i="1"/>
  <c r="BI22" i="1" s="1"/>
  <c r="AV228" i="1"/>
  <c r="BH22" i="1" s="1"/>
  <c r="AV227" i="1"/>
  <c r="BG22" i="1" s="1"/>
  <c r="AV226" i="1"/>
  <c r="BF22" i="1" s="1"/>
  <c r="AV224" i="1"/>
  <c r="BD22" i="1" s="1"/>
  <c r="AV223" i="1"/>
  <c r="BC22" i="1" s="1"/>
  <c r="AV222" i="1"/>
  <c r="BB22" i="1" s="1"/>
  <c r="AV221" i="1"/>
  <c r="BA22" i="1" s="1"/>
  <c r="AV220" i="1"/>
  <c r="AZ22" i="1" s="1"/>
  <c r="AV219" i="1"/>
  <c r="BK21" i="1" s="1"/>
  <c r="AV218" i="1"/>
  <c r="BJ21" i="1" s="1"/>
  <c r="AV216" i="1"/>
  <c r="BH21" i="1" s="1"/>
  <c r="AV215" i="1"/>
  <c r="BG21" i="1" s="1"/>
  <c r="AV214" i="1"/>
  <c r="BF21" i="1" s="1"/>
  <c r="AV213" i="1"/>
  <c r="BE21" i="1" s="1"/>
  <c r="AV212" i="1"/>
  <c r="BD21" i="1" s="1"/>
  <c r="AV211" i="1"/>
  <c r="BC21" i="1" s="1"/>
  <c r="AV210" i="1"/>
  <c r="BB21" i="1" s="1"/>
  <c r="AV208" i="1"/>
  <c r="AZ21" i="1" s="1"/>
  <c r="AV207" i="1"/>
  <c r="BK20" i="1" s="1"/>
  <c r="AV206" i="1"/>
  <c r="BJ20" i="1" s="1"/>
  <c r="AV205" i="1"/>
  <c r="BI20" i="1" s="1"/>
  <c r="AV204" i="1"/>
  <c r="BH20" i="1" s="1"/>
  <c r="AV203" i="1"/>
  <c r="BG20" i="1" s="1"/>
  <c r="AV202" i="1"/>
  <c r="BF20" i="1" s="1"/>
  <c r="AV200" i="1"/>
  <c r="BD20" i="1" s="1"/>
  <c r="AV199" i="1"/>
  <c r="BC20" i="1" s="1"/>
  <c r="AV198" i="1"/>
  <c r="BB20" i="1" s="1"/>
  <c r="AV197" i="1"/>
  <c r="BA20" i="1" s="1"/>
  <c r="AV196" i="1"/>
  <c r="AZ20" i="1" s="1"/>
  <c r="AV195" i="1"/>
  <c r="BK19" i="1" s="1"/>
  <c r="AV194" i="1"/>
  <c r="BJ19" i="1" s="1"/>
  <c r="AV192" i="1"/>
  <c r="BH19" i="1" s="1"/>
  <c r="AV191" i="1"/>
  <c r="BG19" i="1" s="1"/>
  <c r="AV190" i="1"/>
  <c r="BF19" i="1" s="1"/>
  <c r="AV189" i="1"/>
  <c r="BE19" i="1" s="1"/>
  <c r="AV188" i="1"/>
  <c r="BD19" i="1" s="1"/>
  <c r="AV187" i="1"/>
  <c r="BC19" i="1" s="1"/>
  <c r="AV186" i="1"/>
  <c r="BB19" i="1" s="1"/>
  <c r="AV184" i="1"/>
  <c r="AZ19" i="1" s="1"/>
  <c r="AV183" i="1"/>
  <c r="BK18" i="1" s="1"/>
  <c r="AV182" i="1"/>
  <c r="BJ18" i="1" s="1"/>
  <c r="AV181" i="1"/>
  <c r="BI18" i="1" s="1"/>
  <c r="AV180" i="1"/>
  <c r="BH18" i="1" s="1"/>
  <c r="AV179" i="1"/>
  <c r="BG18" i="1" s="1"/>
  <c r="AV178" i="1"/>
  <c r="BF18" i="1" s="1"/>
  <c r="AV176" i="1"/>
  <c r="BD18" i="1" s="1"/>
  <c r="AV175" i="1"/>
  <c r="BC18" i="1" s="1"/>
  <c r="AV174" i="1"/>
  <c r="BB18" i="1" s="1"/>
  <c r="AV173" i="1"/>
  <c r="BA18" i="1" s="1"/>
  <c r="AV172" i="1"/>
  <c r="AZ18" i="1" s="1"/>
  <c r="AV171" i="1"/>
  <c r="BK17" i="1" s="1"/>
  <c r="AV170" i="1"/>
  <c r="BJ17" i="1" s="1"/>
  <c r="AV168" i="1"/>
  <c r="BH17" i="1" s="1"/>
  <c r="AV167" i="1"/>
  <c r="BG17" i="1" s="1"/>
  <c r="AV166" i="1"/>
  <c r="BF17" i="1" s="1"/>
  <c r="AV165" i="1"/>
  <c r="BE17" i="1" s="1"/>
  <c r="AV164" i="1"/>
  <c r="BD17" i="1" s="1"/>
  <c r="AV163" i="1"/>
  <c r="BC17" i="1" s="1"/>
  <c r="AV162" i="1"/>
  <c r="BB17" i="1" s="1"/>
  <c r="AV160" i="1"/>
  <c r="AZ17" i="1" s="1"/>
  <c r="AV159" i="1"/>
  <c r="BK16" i="1" s="1"/>
  <c r="AV158" i="1"/>
  <c r="BJ16" i="1" s="1"/>
  <c r="AV157" i="1"/>
  <c r="BI16" i="1" s="1"/>
  <c r="AV156" i="1"/>
  <c r="BH16" i="1" s="1"/>
  <c r="AV155" i="1"/>
  <c r="BG16" i="1" s="1"/>
  <c r="AV154" i="1"/>
  <c r="BF16" i="1" s="1"/>
  <c r="AV152" i="1"/>
  <c r="BD16" i="1" s="1"/>
  <c r="AV151" i="1"/>
  <c r="BC16" i="1" s="1"/>
  <c r="AV150" i="1"/>
  <c r="BB16" i="1" s="1"/>
  <c r="AV149" i="1"/>
  <c r="BA16" i="1" s="1"/>
  <c r="AV148" i="1"/>
  <c r="AZ16" i="1" s="1"/>
  <c r="AV147" i="1"/>
  <c r="BK15" i="1" s="1"/>
  <c r="AV146" i="1"/>
  <c r="BJ15" i="1" s="1"/>
  <c r="AV144" i="1"/>
  <c r="BH15" i="1" s="1"/>
  <c r="AV293" i="1" l="1"/>
  <c r="BA28" i="1" s="1"/>
  <c r="AV309" i="1"/>
  <c r="BE29" i="1" s="1"/>
  <c r="AV322" i="1"/>
  <c r="BF30" i="1" s="1"/>
  <c r="AV325" i="1"/>
  <c r="BI30" i="1" s="1"/>
  <c r="AV338" i="1"/>
  <c r="BJ31" i="1" s="1"/>
  <c r="AV354" i="1"/>
  <c r="BB33" i="1" s="1"/>
  <c r="AV370" i="1"/>
  <c r="BF34" i="1" s="1"/>
  <c r="AV386" i="1"/>
  <c r="BJ35" i="1" s="1"/>
  <c r="AV402" i="1"/>
  <c r="BB37" i="1" s="1"/>
  <c r="AV418" i="1"/>
  <c r="BF38" i="1" s="1"/>
  <c r="AV434" i="1"/>
  <c r="BJ39" i="1" s="1"/>
  <c r="AV450" i="1"/>
  <c r="BB41" i="1" s="1"/>
  <c r="AV454" i="1"/>
  <c r="BF41" i="1" s="1"/>
  <c r="AV482" i="1"/>
  <c r="BJ43" i="1" s="1"/>
  <c r="AV486" i="1"/>
  <c r="BB44" i="1" s="1"/>
  <c r="AV514" i="1"/>
  <c r="BF46" i="1" s="1"/>
  <c r="AV518" i="1"/>
  <c r="BJ46" i="1" s="1"/>
  <c r="AV546" i="1"/>
  <c r="BB49" i="1" s="1"/>
  <c r="AV550" i="1"/>
  <c r="BF49" i="1" s="1"/>
  <c r="AV310" i="1"/>
  <c r="BF29" i="1" s="1"/>
  <c r="AV342" i="1"/>
  <c r="BB32" i="1" s="1"/>
  <c r="AV358" i="1"/>
  <c r="BF33" i="1" s="1"/>
  <c r="AV374" i="1"/>
  <c r="BJ34" i="1" s="1"/>
  <c r="AV390" i="1"/>
  <c r="BB36" i="1" s="1"/>
  <c r="AV406" i="1"/>
  <c r="BF37" i="1" s="1"/>
  <c r="AV458" i="1"/>
  <c r="BJ41" i="1" s="1"/>
  <c r="AV462" i="1"/>
  <c r="BB42" i="1" s="1"/>
  <c r="BL42" i="1" s="1"/>
  <c r="AV494" i="1"/>
  <c r="BJ44" i="1" s="1"/>
  <c r="AV526" i="1"/>
  <c r="BF47" i="1" s="1"/>
  <c r="BL47" i="1" s="1"/>
  <c r="AV554" i="1"/>
  <c r="BJ49" i="1" s="1"/>
  <c r="AV558" i="1"/>
  <c r="BB50" i="1" s="1"/>
  <c r="BL50" i="1" s="1"/>
  <c r="AV286" i="1"/>
  <c r="BF27" i="1" s="1"/>
  <c r="AV302" i="1"/>
  <c r="BJ28" i="1" s="1"/>
  <c r="AV318" i="1"/>
  <c r="BB30" i="1" s="1"/>
  <c r="AV334" i="1"/>
  <c r="BF31" i="1" s="1"/>
  <c r="AV350" i="1"/>
  <c r="BJ32" i="1" s="1"/>
  <c r="AV366" i="1"/>
  <c r="BB34" i="1" s="1"/>
  <c r="AV382" i="1"/>
  <c r="BF35" i="1" s="1"/>
  <c r="AV398" i="1"/>
  <c r="BJ36" i="1" s="1"/>
  <c r="AV414" i="1"/>
  <c r="BB38" i="1" s="1"/>
  <c r="AV430" i="1"/>
  <c r="BF39" i="1" s="1"/>
  <c r="AV446" i="1"/>
  <c r="BJ40" i="1" s="1"/>
  <c r="BL40" i="1" s="1"/>
  <c r="AV474" i="1"/>
  <c r="BB43" i="1" s="1"/>
  <c r="AV478" i="1"/>
  <c r="BF43" i="1" s="1"/>
  <c r="AV506" i="1"/>
  <c r="BJ45" i="1" s="1"/>
  <c r="BL45" i="1" s="1"/>
  <c r="AV510" i="1"/>
  <c r="BB46" i="1" s="1"/>
  <c r="AV538" i="1"/>
  <c r="BF48" i="1" s="1"/>
  <c r="AV542" i="1"/>
  <c r="BJ48" i="1" s="1"/>
  <c r="AV570" i="1"/>
  <c r="BB51" i="1" s="1"/>
  <c r="AV574" i="1"/>
  <c r="BF51" i="1" s="1"/>
  <c r="AV578" i="1"/>
  <c r="BJ51" i="1" s="1"/>
  <c r="AV582" i="1"/>
  <c r="BB52" i="1" s="1"/>
  <c r="AV586" i="1"/>
  <c r="BF52" i="1" s="1"/>
  <c r="AV590" i="1"/>
  <c r="BJ52" i="1" s="1"/>
  <c r="AV594" i="1"/>
  <c r="BB53" i="1" s="1"/>
  <c r="AV598" i="1"/>
  <c r="BF53" i="1" s="1"/>
  <c r="AV145" i="1"/>
  <c r="BI15" i="1" s="1"/>
  <c r="AV153" i="1"/>
  <c r="BE16" i="1" s="1"/>
  <c r="BL16" i="1" s="1"/>
  <c r="AV161" i="1"/>
  <c r="BA17" i="1" s="1"/>
  <c r="AV169" i="1"/>
  <c r="BI17" i="1" s="1"/>
  <c r="AV177" i="1"/>
  <c r="BE18" i="1" s="1"/>
  <c r="BL18" i="1" s="1"/>
  <c r="AV185" i="1"/>
  <c r="BA19" i="1" s="1"/>
  <c r="AV193" i="1"/>
  <c r="BI19" i="1" s="1"/>
  <c r="AV201" i="1"/>
  <c r="BE20" i="1" s="1"/>
  <c r="BL20" i="1" s="1"/>
  <c r="AV209" i="1"/>
  <c r="BA21" i="1" s="1"/>
  <c r="AV217" i="1"/>
  <c r="BI21" i="1" s="1"/>
  <c r="AV225" i="1"/>
  <c r="BE22" i="1" s="1"/>
  <c r="BL22" i="1" s="1"/>
  <c r="AV233" i="1"/>
  <c r="BA23" i="1" s="1"/>
  <c r="AV241" i="1"/>
  <c r="BI23" i="1" s="1"/>
  <c r="AV249" i="1"/>
  <c r="BE24" i="1" s="1"/>
  <c r="BL24" i="1" s="1"/>
  <c r="AV257" i="1"/>
  <c r="BA25" i="1" s="1"/>
  <c r="AV265" i="1"/>
  <c r="BI25" i="1" s="1"/>
  <c r="AV273" i="1"/>
  <c r="BE26" i="1" s="1"/>
  <c r="BL26" i="1" s="1"/>
  <c r="AV281" i="1"/>
  <c r="BA27" i="1" s="1"/>
  <c r="BL38" i="1" l="1"/>
  <c r="BL30" i="1"/>
  <c r="BL39" i="1"/>
  <c r="BL41" i="1"/>
  <c r="BL31" i="1"/>
  <c r="BL34" i="1"/>
  <c r="BL17" i="1"/>
  <c r="BL48" i="1"/>
  <c r="BL43" i="1"/>
  <c r="BL33" i="1"/>
  <c r="BL32" i="1"/>
  <c r="BL49" i="1"/>
  <c r="BL21" i="1"/>
  <c r="BL51" i="1"/>
  <c r="BL36" i="1"/>
  <c r="BL29" i="1"/>
  <c r="BL37" i="1"/>
  <c r="BL28" i="1"/>
  <c r="BL25" i="1"/>
  <c r="BL53" i="1"/>
  <c r="BL44" i="1"/>
  <c r="BL19" i="1"/>
  <c r="BL46" i="1"/>
  <c r="BL35" i="1"/>
  <c r="BL27" i="1"/>
  <c r="BL23" i="1"/>
  <c r="BL52" i="1"/>
  <c r="AT4" i="1"/>
  <c r="AV4" i="1"/>
  <c r="AV5" i="1"/>
  <c r="AZ4" i="1" l="1"/>
  <c r="AW4" i="1"/>
  <c r="AW5" i="1"/>
  <c r="BA4" i="1"/>
  <c r="AT5" i="1"/>
  <c r="AV6" i="1"/>
  <c r="O5" i="1" l="1"/>
  <c r="K5" i="1"/>
  <c r="J5" i="1"/>
  <c r="L5" i="1"/>
  <c r="N5" i="1"/>
  <c r="AW6" i="1"/>
  <c r="BB4" i="1"/>
  <c r="AT6" i="1"/>
  <c r="AV7" i="1"/>
  <c r="P5" i="1" l="1"/>
  <c r="BC4" i="1"/>
  <c r="AW7" i="1"/>
  <c r="AT7" i="1"/>
  <c r="AV8" i="1"/>
  <c r="I6" i="1" l="1"/>
  <c r="BD4" i="1"/>
  <c r="AW8" i="1"/>
  <c r="AT8" i="1"/>
  <c r="AV9" i="1"/>
  <c r="M6" i="1" l="1"/>
  <c r="O6" i="1"/>
  <c r="K6" i="1"/>
  <c r="BE4" i="1"/>
  <c r="AW9" i="1"/>
  <c r="AT9" i="1"/>
  <c r="AV10" i="1"/>
  <c r="L6" i="1" l="1"/>
  <c r="N6" i="1"/>
  <c r="J6" i="1"/>
  <c r="AW10" i="1"/>
  <c r="BF4" i="1"/>
  <c r="AT10" i="1"/>
  <c r="AV11" i="1"/>
  <c r="P6" i="1" l="1"/>
  <c r="I7" i="1" s="1"/>
  <c r="BG4" i="1"/>
  <c r="AW11" i="1"/>
  <c r="AT11" i="1"/>
  <c r="AV12" i="1"/>
  <c r="M7" i="1" l="1"/>
  <c r="O7" i="1"/>
  <c r="K7" i="1"/>
  <c r="BH4" i="1"/>
  <c r="AW12" i="1"/>
  <c r="AT12" i="1"/>
  <c r="AV13" i="1"/>
  <c r="J7" i="1" l="1"/>
  <c r="N7" i="1"/>
  <c r="L7" i="1"/>
  <c r="BI4" i="1"/>
  <c r="AW13" i="1"/>
  <c r="AT13" i="1"/>
  <c r="AV14" i="1"/>
  <c r="P7" i="1" l="1"/>
  <c r="BJ4" i="1"/>
  <c r="AW14" i="1"/>
  <c r="AT14" i="1"/>
  <c r="AV15" i="1"/>
  <c r="AW15" i="1" s="1"/>
  <c r="BK4" i="1" l="1"/>
  <c r="AT15" i="1"/>
  <c r="AV16" i="1"/>
  <c r="AZ5" i="1" l="1"/>
  <c r="AW16" i="1"/>
  <c r="BL4" i="1"/>
  <c r="BM4" i="1"/>
  <c r="AT16" i="1"/>
  <c r="AV17" i="1"/>
  <c r="BA5" i="1" l="1"/>
  <c r="AW17" i="1"/>
  <c r="AT17" i="1"/>
  <c r="AV18" i="1"/>
  <c r="BB5" i="1" l="1"/>
  <c r="AW18" i="1"/>
  <c r="AT18" i="1"/>
  <c r="AV19" i="1"/>
  <c r="BC5" i="1" l="1"/>
  <c r="AW19" i="1"/>
  <c r="AT19" i="1"/>
  <c r="AV20" i="1"/>
  <c r="BD5" i="1" l="1"/>
  <c r="AW20" i="1"/>
  <c r="AT20" i="1"/>
  <c r="AV21" i="1"/>
  <c r="BE5" i="1" l="1"/>
  <c r="AW21" i="1"/>
  <c r="AT21" i="1"/>
  <c r="AV22" i="1"/>
  <c r="BF5" i="1" l="1"/>
  <c r="AW22" i="1"/>
  <c r="AT22" i="1"/>
  <c r="AV23" i="1"/>
  <c r="BG5" i="1" l="1"/>
  <c r="AW23" i="1"/>
  <c r="AT23" i="1"/>
  <c r="AV24" i="1"/>
  <c r="BH5" i="1" l="1"/>
  <c r="AW24" i="1"/>
  <c r="AT24" i="1"/>
  <c r="AV25" i="1"/>
  <c r="BI5" i="1" l="1"/>
  <c r="AW25" i="1"/>
  <c r="AT25" i="1"/>
  <c r="AV26" i="1"/>
  <c r="BJ5" i="1" l="1"/>
  <c r="AW26" i="1"/>
  <c r="AT26" i="1"/>
  <c r="AV27" i="1"/>
  <c r="BK5" i="1" l="1"/>
  <c r="BM5" i="1" s="1"/>
  <c r="AW27" i="1"/>
  <c r="AT27" i="1"/>
  <c r="AV28" i="1"/>
  <c r="BL5" i="1" l="1"/>
  <c r="AZ6" i="1"/>
  <c r="AW28" i="1"/>
  <c r="AT28" i="1"/>
  <c r="AV29" i="1"/>
  <c r="BA6" i="1" l="1"/>
  <c r="AW29" i="1"/>
  <c r="AT29" i="1"/>
  <c r="AV30" i="1"/>
  <c r="BB6" i="1" l="1"/>
  <c r="AW30" i="1"/>
  <c r="AT30" i="1"/>
  <c r="AV31" i="1"/>
  <c r="BC6" i="1" l="1"/>
  <c r="AW31" i="1"/>
  <c r="AT31" i="1"/>
  <c r="AV32" i="1"/>
  <c r="BD6" i="1" l="1"/>
  <c r="AW32" i="1"/>
  <c r="AT32" i="1"/>
  <c r="AV33" i="1"/>
  <c r="BE6" i="1" l="1"/>
  <c r="AW33" i="1"/>
  <c r="AT33" i="1"/>
  <c r="AV34" i="1"/>
  <c r="BF6" i="1" l="1"/>
  <c r="AW34" i="1"/>
  <c r="AT34" i="1"/>
  <c r="AV35" i="1"/>
  <c r="BG6" i="1" l="1"/>
  <c r="AW35" i="1"/>
  <c r="AT35" i="1"/>
  <c r="AV36" i="1"/>
  <c r="BH6" i="1" l="1"/>
  <c r="AW36" i="1"/>
  <c r="AT36" i="1"/>
  <c r="AV37" i="1"/>
  <c r="BI6" i="1" l="1"/>
  <c r="AW37" i="1"/>
  <c r="AT37" i="1"/>
  <c r="AV38" i="1"/>
  <c r="BJ6" i="1" l="1"/>
  <c r="AW38" i="1"/>
  <c r="AT38" i="1"/>
  <c r="AV39" i="1"/>
  <c r="BK6" i="1" l="1"/>
  <c r="BM6" i="1" s="1"/>
  <c r="AW39" i="1"/>
  <c r="AT39" i="1"/>
  <c r="AV40" i="1"/>
  <c r="BL6" i="1" l="1"/>
  <c r="AZ7" i="1"/>
  <c r="AW40" i="1"/>
  <c r="AT40" i="1"/>
  <c r="AV41" i="1"/>
  <c r="BA7" i="1" l="1"/>
  <c r="AW41" i="1"/>
  <c r="AT41" i="1"/>
  <c r="AV42" i="1"/>
  <c r="BB7" i="1" l="1"/>
  <c r="AW42" i="1"/>
  <c r="AT42" i="1"/>
  <c r="AV43" i="1"/>
  <c r="BC7" i="1" l="1"/>
  <c r="AW43" i="1"/>
  <c r="AT43" i="1"/>
  <c r="AV44" i="1"/>
  <c r="BD7" i="1" l="1"/>
  <c r="AW44" i="1"/>
  <c r="AT44" i="1"/>
  <c r="AV45" i="1"/>
  <c r="BE7" i="1" l="1"/>
  <c r="AW45" i="1"/>
  <c r="AT45" i="1"/>
  <c r="AV46" i="1"/>
  <c r="BF7" i="1" l="1"/>
  <c r="AW46" i="1"/>
  <c r="AT46" i="1"/>
  <c r="AV47" i="1"/>
  <c r="BG7" i="1" l="1"/>
  <c r="AW47" i="1"/>
  <c r="AT47" i="1"/>
  <c r="AV48" i="1"/>
  <c r="BH7" i="1" l="1"/>
  <c r="AW48" i="1"/>
  <c r="AT48" i="1"/>
  <c r="AV49" i="1"/>
  <c r="BI7" i="1" l="1"/>
  <c r="AW49" i="1"/>
  <c r="AT49" i="1"/>
  <c r="AV50" i="1"/>
  <c r="BJ7" i="1" l="1"/>
  <c r="AW50" i="1"/>
  <c r="AT50" i="1"/>
  <c r="AV51" i="1"/>
  <c r="BK7" i="1" l="1"/>
  <c r="BM7" i="1" s="1"/>
  <c r="AW51" i="1"/>
  <c r="AT51" i="1"/>
  <c r="AV52" i="1"/>
  <c r="BL7" i="1" l="1"/>
  <c r="AZ8" i="1"/>
  <c r="AW52" i="1"/>
  <c r="AT52" i="1"/>
  <c r="AV53" i="1"/>
  <c r="BA8" i="1" l="1"/>
  <c r="AW53" i="1"/>
  <c r="AT53" i="1"/>
  <c r="AV54" i="1"/>
  <c r="BB8" i="1" l="1"/>
  <c r="AW54" i="1"/>
  <c r="AT54" i="1"/>
  <c r="AV55" i="1"/>
  <c r="BC8" i="1" l="1"/>
  <c r="AW55" i="1"/>
  <c r="AT55" i="1"/>
  <c r="AV56" i="1"/>
  <c r="BD8" i="1" l="1"/>
  <c r="AW56" i="1"/>
  <c r="AT56" i="1"/>
  <c r="AV57" i="1"/>
  <c r="BE8" i="1" l="1"/>
  <c r="AW57" i="1"/>
  <c r="AT57" i="1"/>
  <c r="AV58" i="1"/>
  <c r="BF8" i="1" l="1"/>
  <c r="AW58" i="1"/>
  <c r="AT58" i="1"/>
  <c r="AV59" i="1"/>
  <c r="BG8" i="1" l="1"/>
  <c r="AW59" i="1"/>
  <c r="AT59" i="1"/>
  <c r="AV60" i="1"/>
  <c r="BH8" i="1" l="1"/>
  <c r="AW60" i="1"/>
  <c r="AT60" i="1"/>
  <c r="AV61" i="1"/>
  <c r="BI8" i="1" l="1"/>
  <c r="AW61" i="1"/>
  <c r="AT61" i="1"/>
  <c r="AV62" i="1"/>
  <c r="BJ8" i="1" l="1"/>
  <c r="AW62" i="1"/>
  <c r="AT62" i="1"/>
  <c r="AV63" i="1"/>
  <c r="BK8" i="1" l="1"/>
  <c r="BM8" i="1" s="1"/>
  <c r="AW63" i="1"/>
  <c r="AT63" i="1"/>
  <c r="AV64" i="1"/>
  <c r="BL8" i="1" l="1"/>
  <c r="AZ9" i="1"/>
  <c r="AW64" i="1"/>
  <c r="AT64" i="1"/>
  <c r="AV65" i="1"/>
  <c r="BA9" i="1" l="1"/>
  <c r="AW65" i="1"/>
  <c r="AT65" i="1"/>
  <c r="AV66" i="1"/>
  <c r="BB9" i="1" l="1"/>
  <c r="AW66" i="1"/>
  <c r="AT66" i="1"/>
  <c r="AV67" i="1"/>
  <c r="BC9" i="1" l="1"/>
  <c r="AW67" i="1"/>
  <c r="AT67" i="1"/>
  <c r="AV68" i="1"/>
  <c r="BD9" i="1" l="1"/>
  <c r="AW68" i="1"/>
  <c r="AT68" i="1"/>
  <c r="AV69" i="1"/>
  <c r="BE9" i="1" l="1"/>
  <c r="AW69" i="1"/>
  <c r="AT69" i="1"/>
  <c r="AV70" i="1"/>
  <c r="BF9" i="1" l="1"/>
  <c r="AW70" i="1"/>
  <c r="AT70" i="1"/>
  <c r="AV71" i="1"/>
  <c r="BG9" i="1" l="1"/>
  <c r="AW71" i="1"/>
  <c r="AT71" i="1"/>
  <c r="AV72" i="1"/>
  <c r="BH9" i="1" l="1"/>
  <c r="AW72" i="1"/>
  <c r="AT72" i="1"/>
  <c r="AV73" i="1"/>
  <c r="BI9" i="1" l="1"/>
  <c r="AW73" i="1"/>
  <c r="AT73" i="1"/>
  <c r="AV74" i="1"/>
  <c r="BJ9" i="1" l="1"/>
  <c r="AW74" i="1"/>
  <c r="AT74" i="1"/>
  <c r="AV75" i="1"/>
  <c r="BK9" i="1" l="1"/>
  <c r="BM9" i="1" s="1"/>
  <c r="AW75" i="1"/>
  <c r="AT75" i="1"/>
  <c r="AV76" i="1"/>
  <c r="BL9" i="1" l="1"/>
  <c r="AZ10" i="1"/>
  <c r="AW76" i="1"/>
  <c r="AT76" i="1"/>
  <c r="AV77" i="1"/>
  <c r="BA10" i="1" l="1"/>
  <c r="AW77" i="1"/>
  <c r="AT77" i="1"/>
  <c r="AV78" i="1"/>
  <c r="BB10" i="1" l="1"/>
  <c r="AW78" i="1"/>
  <c r="AT78" i="1"/>
  <c r="AV79" i="1"/>
  <c r="BC10" i="1" l="1"/>
  <c r="AW79" i="1"/>
  <c r="AT79" i="1"/>
  <c r="AV80" i="1"/>
  <c r="BD10" i="1" l="1"/>
  <c r="AW80" i="1"/>
  <c r="AT80" i="1"/>
  <c r="AV81" i="1"/>
  <c r="BE10" i="1" l="1"/>
  <c r="AW81" i="1"/>
  <c r="AT81" i="1"/>
  <c r="AV82" i="1"/>
  <c r="BF10" i="1" l="1"/>
  <c r="AW82" i="1"/>
  <c r="AT82" i="1"/>
  <c r="AV83" i="1"/>
  <c r="BG10" i="1" l="1"/>
  <c r="AW83" i="1"/>
  <c r="AT83" i="1"/>
  <c r="AV84" i="1"/>
  <c r="BH10" i="1" l="1"/>
  <c r="AW84" i="1"/>
  <c r="AT84" i="1"/>
  <c r="AV85" i="1"/>
  <c r="BI10" i="1" l="1"/>
  <c r="AW85" i="1"/>
  <c r="AT85" i="1"/>
  <c r="AV86" i="1"/>
  <c r="BJ10" i="1" l="1"/>
  <c r="AW86" i="1"/>
  <c r="AT86" i="1"/>
  <c r="AV87" i="1"/>
  <c r="BK10" i="1" l="1"/>
  <c r="BM10" i="1" s="1"/>
  <c r="AW87" i="1"/>
  <c r="AT87" i="1"/>
  <c r="AV88" i="1"/>
  <c r="BL10" i="1" l="1"/>
  <c r="AZ11" i="1"/>
  <c r="AW88" i="1"/>
  <c r="AT88" i="1"/>
  <c r="AV89" i="1"/>
  <c r="BA11" i="1" l="1"/>
  <c r="AW89" i="1"/>
  <c r="AT89" i="1"/>
  <c r="AV90" i="1"/>
  <c r="BB11" i="1" l="1"/>
  <c r="AW90" i="1"/>
  <c r="AT90" i="1"/>
  <c r="AV91" i="1"/>
  <c r="BC11" i="1" l="1"/>
  <c r="AW91" i="1"/>
  <c r="AT91" i="1"/>
  <c r="AV92" i="1"/>
  <c r="BD11" i="1" l="1"/>
  <c r="AW92" i="1"/>
  <c r="AT92" i="1"/>
  <c r="AV93" i="1"/>
  <c r="BE11" i="1" l="1"/>
  <c r="AW93" i="1"/>
  <c r="AT93" i="1"/>
  <c r="AV94" i="1"/>
  <c r="BF11" i="1" l="1"/>
  <c r="AW94" i="1"/>
  <c r="AT94" i="1"/>
  <c r="AV95" i="1"/>
  <c r="BG11" i="1" l="1"/>
  <c r="AW95" i="1"/>
  <c r="AT95" i="1"/>
  <c r="AV96" i="1"/>
  <c r="BH11" i="1" l="1"/>
  <c r="AW96" i="1"/>
  <c r="AT96" i="1"/>
  <c r="AV97" i="1"/>
  <c r="BI11" i="1" l="1"/>
  <c r="AW97" i="1"/>
  <c r="AT97" i="1"/>
  <c r="AV98" i="1"/>
  <c r="BJ11" i="1" l="1"/>
  <c r="AW98" i="1"/>
  <c r="AT98" i="1"/>
  <c r="AV99" i="1"/>
  <c r="BK11" i="1" l="1"/>
  <c r="BM11" i="1" s="1"/>
  <c r="AW99" i="1"/>
  <c r="AT99" i="1"/>
  <c r="AV100" i="1"/>
  <c r="BL11" i="1" l="1"/>
  <c r="AZ12" i="1"/>
  <c r="AW100" i="1"/>
  <c r="AT100" i="1"/>
  <c r="AV101" i="1"/>
  <c r="BA12" i="1" l="1"/>
  <c r="AW101" i="1"/>
  <c r="AT101" i="1"/>
  <c r="AV102" i="1"/>
  <c r="BB12" i="1" l="1"/>
  <c r="AW102" i="1"/>
  <c r="AT102" i="1"/>
  <c r="AV103" i="1"/>
  <c r="BC12" i="1" l="1"/>
  <c r="AW103" i="1"/>
  <c r="AT103" i="1"/>
  <c r="AV104" i="1"/>
  <c r="BD12" i="1" l="1"/>
  <c r="AW104" i="1"/>
  <c r="AT104" i="1"/>
  <c r="AV105" i="1"/>
  <c r="BE12" i="1" l="1"/>
  <c r="AW105" i="1"/>
  <c r="AT105" i="1"/>
  <c r="AV106" i="1"/>
  <c r="BF12" i="1" l="1"/>
  <c r="AW106" i="1"/>
  <c r="AT106" i="1"/>
  <c r="AV107" i="1"/>
  <c r="BG12" i="1" l="1"/>
  <c r="AW107" i="1"/>
  <c r="AT107" i="1"/>
  <c r="AV108" i="1"/>
  <c r="BH12" i="1" l="1"/>
  <c r="AW108" i="1"/>
  <c r="AT108" i="1"/>
  <c r="AV109" i="1"/>
  <c r="BI12" i="1" l="1"/>
  <c r="AW109" i="1"/>
  <c r="AT109" i="1"/>
  <c r="AV110" i="1"/>
  <c r="BJ12" i="1" l="1"/>
  <c r="AW110" i="1"/>
  <c r="AT110" i="1"/>
  <c r="AV111" i="1"/>
  <c r="BK12" i="1" l="1"/>
  <c r="BM12" i="1" s="1"/>
  <c r="AW111" i="1"/>
  <c r="AT111" i="1"/>
  <c r="AV112" i="1"/>
  <c r="BL12" i="1" l="1"/>
  <c r="AZ13" i="1"/>
  <c r="AW112" i="1"/>
  <c r="AT112" i="1"/>
  <c r="AV113" i="1"/>
  <c r="BA13" i="1" l="1"/>
  <c r="AW113" i="1"/>
  <c r="AT113" i="1"/>
  <c r="AV114" i="1"/>
  <c r="BB13" i="1" l="1"/>
  <c r="AW114" i="1"/>
  <c r="AT114" i="1"/>
  <c r="AV115" i="1"/>
  <c r="BC13" i="1" l="1"/>
  <c r="AW115" i="1"/>
  <c r="AT115" i="1"/>
  <c r="AV116" i="1"/>
  <c r="BD13" i="1" l="1"/>
  <c r="AW116" i="1"/>
  <c r="AT116" i="1"/>
  <c r="AV117" i="1"/>
  <c r="BE13" i="1" l="1"/>
  <c r="AW117" i="1"/>
  <c r="AT117" i="1"/>
  <c r="AV118" i="1"/>
  <c r="BF13" i="1" l="1"/>
  <c r="AW118" i="1"/>
  <c r="AT118" i="1"/>
  <c r="AV119" i="1"/>
  <c r="BG13" i="1" l="1"/>
  <c r="AW119" i="1"/>
  <c r="AT119" i="1"/>
  <c r="AV120" i="1"/>
  <c r="BH13" i="1" l="1"/>
  <c r="AW120" i="1"/>
  <c r="AT120" i="1"/>
  <c r="AV121" i="1"/>
  <c r="BI13" i="1" l="1"/>
  <c r="AW121" i="1"/>
  <c r="AT121" i="1"/>
  <c r="AV122" i="1"/>
  <c r="BJ13" i="1" l="1"/>
  <c r="AW122" i="1"/>
  <c r="AT122" i="1"/>
  <c r="AV123" i="1"/>
  <c r="BK13" i="1" l="1"/>
  <c r="BM13" i="1" s="1"/>
  <c r="AW123" i="1"/>
  <c r="AT123" i="1"/>
  <c r="AV124" i="1"/>
  <c r="BL13" i="1" l="1"/>
  <c r="AZ14" i="1"/>
  <c r="AW124" i="1"/>
  <c r="AT124" i="1"/>
  <c r="AV125" i="1"/>
  <c r="BA14" i="1" l="1"/>
  <c r="AW125" i="1"/>
  <c r="AT125" i="1"/>
  <c r="AV126" i="1"/>
  <c r="BB14" i="1" l="1"/>
  <c r="AW126" i="1"/>
  <c r="AT126" i="1"/>
  <c r="AV127" i="1"/>
  <c r="BC14" i="1" l="1"/>
  <c r="AW127" i="1"/>
  <c r="AT127" i="1"/>
  <c r="AV128" i="1"/>
  <c r="BD14" i="1" l="1"/>
  <c r="AW128" i="1"/>
  <c r="AT128" i="1"/>
  <c r="AV129" i="1"/>
  <c r="BE14" i="1" l="1"/>
  <c r="AW129" i="1"/>
  <c r="AT129" i="1"/>
  <c r="AV130" i="1"/>
  <c r="BF14" i="1" l="1"/>
  <c r="AW130" i="1"/>
  <c r="AT130" i="1"/>
  <c r="AV131" i="1"/>
  <c r="BG14" i="1" l="1"/>
  <c r="AW131" i="1"/>
  <c r="AT131" i="1"/>
  <c r="AV132" i="1"/>
  <c r="BH14" i="1" l="1"/>
  <c r="AW132" i="1"/>
  <c r="AT132" i="1"/>
  <c r="AV133" i="1"/>
  <c r="BI14" i="1" l="1"/>
  <c r="AW133" i="1"/>
  <c r="AT133" i="1"/>
  <c r="AV134" i="1"/>
  <c r="BJ14" i="1" l="1"/>
  <c r="AW134" i="1"/>
  <c r="AT134" i="1"/>
  <c r="AV135" i="1"/>
  <c r="BK14" i="1" l="1"/>
  <c r="BM14" i="1" s="1"/>
  <c r="AW135" i="1"/>
  <c r="AT135" i="1"/>
  <c r="AV136" i="1"/>
  <c r="BL14" i="1" l="1"/>
  <c r="AZ15" i="1"/>
  <c r="AW136" i="1"/>
  <c r="AT136" i="1"/>
  <c r="AV137" i="1"/>
  <c r="BA15" i="1" l="1"/>
  <c r="AW137" i="1"/>
  <c r="AT137" i="1"/>
  <c r="AV138" i="1"/>
  <c r="BB15" i="1" l="1"/>
  <c r="AW138" i="1"/>
  <c r="AT138" i="1"/>
  <c r="AV139" i="1"/>
  <c r="BC15" i="1" l="1"/>
  <c r="AW139" i="1"/>
  <c r="AT139" i="1"/>
  <c r="AV140" i="1"/>
  <c r="BD15" i="1" l="1"/>
  <c r="AW140" i="1"/>
  <c r="AT140" i="1"/>
  <c r="AV141" i="1"/>
  <c r="BE15" i="1" l="1"/>
  <c r="AW141" i="1"/>
  <c r="AT141" i="1"/>
  <c r="AV142" i="1"/>
  <c r="BF15" i="1" l="1"/>
  <c r="AW142" i="1"/>
  <c r="AT142" i="1"/>
  <c r="AV143" i="1"/>
  <c r="BG15" i="1" l="1"/>
  <c r="BM15" i="1" s="1"/>
  <c r="BM16" i="1" s="1"/>
  <c r="AW267" i="1"/>
  <c r="AW1558" i="1"/>
  <c r="AW293" i="1"/>
  <c r="AW194" i="1"/>
  <c r="AW418" i="1"/>
  <c r="AW1240" i="1"/>
  <c r="AW225" i="1"/>
  <c r="AW259" i="1"/>
  <c r="AW880" i="1"/>
  <c r="AW1531" i="1"/>
  <c r="AW1320" i="1"/>
  <c r="AW1386" i="1"/>
  <c r="AW374" i="1"/>
  <c r="AW865" i="1"/>
  <c r="AW1236" i="1"/>
  <c r="AW1377" i="1"/>
  <c r="AW898" i="1"/>
  <c r="AW1039" i="1"/>
  <c r="AW967" i="1"/>
  <c r="AW1239" i="1"/>
  <c r="AW1660" i="1"/>
  <c r="AW644" i="1"/>
  <c r="AW1414" i="1"/>
  <c r="AW1061" i="1"/>
  <c r="AW1389" i="1"/>
  <c r="AW646" i="1"/>
  <c r="AW1443" i="1"/>
  <c r="AW361" i="1"/>
  <c r="AW410" i="1"/>
  <c r="AW1025" i="1"/>
  <c r="AW963" i="1"/>
  <c r="AW1481" i="1"/>
  <c r="AW274" i="1"/>
  <c r="AW312" i="1"/>
  <c r="AW174" i="1"/>
  <c r="AW215" i="1"/>
  <c r="AW751" i="1"/>
  <c r="AW365" i="1"/>
  <c r="AW919" i="1"/>
  <c r="AW950" i="1"/>
  <c r="AW618" i="1"/>
  <c r="AW816" i="1"/>
  <c r="AW722" i="1"/>
  <c r="AW256" i="1"/>
  <c r="AW211" i="1"/>
  <c r="AW1563" i="1"/>
  <c r="AW1375" i="1"/>
  <c r="AW400" i="1"/>
  <c r="AW770" i="1"/>
  <c r="AW1796" i="1"/>
  <c r="AW1651" i="1"/>
  <c r="AW784" i="1"/>
  <c r="AW1649" i="1"/>
  <c r="AW1329" i="1"/>
  <c r="AW768" i="1"/>
  <c r="AW145" i="1"/>
  <c r="AW1028" i="1"/>
  <c r="AW1171" i="1"/>
  <c r="AW1304" i="1"/>
  <c r="AW490" i="1"/>
  <c r="AW383" i="1"/>
  <c r="AW1427" i="1"/>
  <c r="AW1461" i="1"/>
  <c r="AW1767" i="1"/>
  <c r="AW450" i="1"/>
  <c r="AW1684" i="1"/>
  <c r="AW912" i="1"/>
  <c r="AW985" i="1"/>
  <c r="AW653" i="1"/>
  <c r="AW1424" i="1"/>
  <c r="AW868" i="1"/>
  <c r="AW547" i="1"/>
  <c r="AW200" i="1"/>
  <c r="AW451" i="1"/>
  <c r="AW304" i="1"/>
  <c r="AW1356" i="1"/>
  <c r="AW1136" i="1"/>
  <c r="AW613" i="1"/>
  <c r="AW1602" i="1"/>
  <c r="AW1415" i="1"/>
  <c r="AW1477" i="1"/>
  <c r="AW1792" i="1"/>
  <c r="AW340" i="1"/>
  <c r="AW314" i="1"/>
  <c r="AW1494" i="1"/>
  <c r="AW1368" i="1"/>
  <c r="AW278" i="1"/>
  <c r="AW261" i="1"/>
  <c r="AW1523" i="1"/>
  <c r="AW177" i="1"/>
  <c r="AW1317" i="1"/>
  <c r="AW1338" i="1"/>
  <c r="AW1148" i="1"/>
  <c r="AW1803" i="1"/>
  <c r="BM154" i="1" s="1"/>
  <c r="AW1435" i="1"/>
  <c r="AW577" i="1"/>
  <c r="AW1330" i="1"/>
  <c r="AW831" i="1"/>
  <c r="AW1614" i="1"/>
  <c r="AW1573" i="1"/>
  <c r="AW526" i="1"/>
  <c r="AW1621" i="1"/>
  <c r="AW1385" i="1"/>
  <c r="AW755" i="1"/>
  <c r="AW1227" i="1"/>
  <c r="AW797" i="1"/>
  <c r="AW320" i="1"/>
  <c r="AW854" i="1"/>
  <c r="AW1300" i="1"/>
  <c r="AW268" i="1"/>
  <c r="AW944" i="1"/>
  <c r="AW1108" i="1"/>
  <c r="AW847" i="1"/>
  <c r="AW508" i="1"/>
  <c r="AW364" i="1"/>
  <c r="AW369" i="1"/>
  <c r="AW1741" i="1"/>
  <c r="AW648" i="1"/>
  <c r="AW1162" i="1"/>
  <c r="AW205" i="1"/>
  <c r="AW1497" i="1"/>
  <c r="AW1701" i="1"/>
  <c r="AW1611" i="1"/>
  <c r="AW684" i="1"/>
  <c r="AW1296" i="1"/>
  <c r="AW1750" i="1"/>
  <c r="AW685" i="1"/>
  <c r="AW270" i="1"/>
  <c r="AW431" i="1"/>
  <c r="AW1418" i="1"/>
  <c r="AW439" i="1"/>
  <c r="AW1762" i="1"/>
  <c r="AW573" i="1"/>
  <c r="AW1336" i="1"/>
  <c r="AW692" i="1"/>
  <c r="AW548" i="1"/>
  <c r="AW1295" i="1"/>
  <c r="AW894" i="1"/>
  <c r="AW442" i="1"/>
  <c r="AW1081" i="1"/>
  <c r="AW1133" i="1"/>
  <c r="AW1749" i="1"/>
  <c r="AW693" i="1"/>
  <c r="AW766" i="1"/>
  <c r="AW1276" i="1"/>
  <c r="AW651" i="1"/>
  <c r="AW403" i="1"/>
  <c r="AW1007" i="1"/>
  <c r="AW1778" i="1"/>
  <c r="AW185" i="1"/>
  <c r="AW743" i="1"/>
  <c r="AW1238" i="1"/>
  <c r="AW1419" i="1"/>
  <c r="AW243" i="1"/>
  <c r="AW195" i="1"/>
  <c r="AW1169" i="1"/>
  <c r="AW310" i="1"/>
  <c r="AW1212" i="1"/>
  <c r="AW515" i="1"/>
  <c r="AW1736" i="1"/>
  <c r="AW639" i="1"/>
  <c r="AW1244" i="1"/>
  <c r="AW1596" i="1"/>
  <c r="AW1605" i="1"/>
  <c r="AW900" i="1"/>
  <c r="AW1657" i="1"/>
  <c r="AW500" i="1"/>
  <c r="AW153" i="1"/>
  <c r="AW1720" i="1"/>
  <c r="AW631" i="1"/>
  <c r="AW530" i="1"/>
  <c r="AW1175" i="1"/>
  <c r="AW301" i="1"/>
  <c r="AW1535" i="1"/>
  <c r="AW1170" i="1"/>
  <c r="AW756" i="1"/>
  <c r="AW566" i="1"/>
  <c r="AW1309" i="1"/>
  <c r="AW939" i="1"/>
  <c r="AW1286" i="1"/>
  <c r="AW1673" i="1"/>
  <c r="AW1346" i="1"/>
  <c r="AW1340" i="1"/>
  <c r="AW1769" i="1"/>
  <c r="AW859" i="1"/>
  <c r="AW1316" i="1"/>
  <c r="AW1553" i="1"/>
  <c r="AW307" i="1"/>
  <c r="AW1404" i="1"/>
  <c r="AW1342" i="1"/>
  <c r="AW716" i="1"/>
  <c r="AW388" i="1"/>
  <c r="AW1594" i="1"/>
  <c r="AW1078" i="1"/>
  <c r="AW965" i="1"/>
  <c r="AW661" i="1"/>
  <c r="AW748" i="1"/>
  <c r="AW447" i="1"/>
  <c r="AW414" i="1"/>
  <c r="AW731" i="1"/>
  <c r="AW322" i="1"/>
  <c r="AW1519" i="1"/>
  <c r="AW1105" i="1"/>
  <c r="AW1393" i="1"/>
  <c r="AW298" i="1"/>
  <c r="AW1087" i="1"/>
  <c r="AW708" i="1"/>
  <c r="AW249" i="1"/>
  <c r="AW806" i="1"/>
  <c r="AW1620" i="1"/>
  <c r="AW896" i="1"/>
  <c r="AW486" i="1"/>
  <c r="AW1268" i="1"/>
  <c r="AW1013" i="1"/>
  <c r="AW695" i="1"/>
  <c r="AW505" i="1"/>
  <c r="AW528" i="1"/>
  <c r="AW893" i="1"/>
  <c r="AW255" i="1"/>
  <c r="AW1280" i="1"/>
  <c r="AW398" i="1"/>
  <c r="AW242" i="1"/>
  <c r="AW1612" i="1"/>
  <c r="AW189" i="1"/>
  <c r="AW1197" i="1"/>
  <c r="AW1527" i="1"/>
  <c r="AW1710" i="1"/>
  <c r="AW1298" i="1"/>
  <c r="AW1646" i="1"/>
  <c r="AW461" i="1"/>
  <c r="AW984" i="1"/>
  <c r="AW397" i="1"/>
  <c r="AW531" i="1"/>
  <c r="AW1383" i="1"/>
  <c r="AW1056" i="1"/>
  <c r="AW885" i="1"/>
  <c r="AW1647" i="1"/>
  <c r="AW1237" i="1"/>
  <c r="AW337" i="1"/>
  <c r="AW1071" i="1"/>
  <c r="AW724" i="1"/>
  <c r="AW949" i="1"/>
  <c r="AW240" i="1"/>
  <c r="AW1475" i="1"/>
  <c r="AW1396" i="1"/>
  <c r="AW1667" i="1"/>
  <c r="AW842" i="1"/>
  <c r="AW1257" i="1"/>
  <c r="AW558" i="1"/>
  <c r="AW1166" i="1"/>
  <c r="AW1722" i="1"/>
  <c r="AW1642" i="1"/>
  <c r="AW744" i="1"/>
  <c r="AW1790" i="1"/>
  <c r="AW569" i="1"/>
  <c r="AW1016" i="1"/>
  <c r="AW1192" i="1"/>
  <c r="AW589" i="1"/>
  <c r="AW444" i="1"/>
  <c r="AW1075" i="1"/>
  <c r="AW1004" i="1"/>
  <c r="AW163" i="1"/>
  <c r="AW1664" i="1"/>
  <c r="AW711" i="1"/>
  <c r="AW482" i="1"/>
  <c r="AW1311" i="1"/>
  <c r="AW953" i="1"/>
  <c r="AW1583" i="1"/>
  <c r="AW1095" i="1"/>
  <c r="AW1459" i="1"/>
  <c r="AW817" i="1"/>
  <c r="AW807" i="1"/>
  <c r="AW276" i="1"/>
  <c r="AW583" i="1"/>
  <c r="AW154" i="1"/>
  <c r="AW455" i="1"/>
  <c r="AW1068" i="1"/>
  <c r="AW1230" i="1"/>
  <c r="AW603" i="1"/>
  <c r="AW676" i="1"/>
  <c r="AW1472" i="1"/>
  <c r="AW156" i="1"/>
  <c r="AW338" i="1"/>
  <c r="AW938" i="1"/>
  <c r="AW1782" i="1"/>
  <c r="AW519" i="1"/>
  <c r="AW1515" i="1"/>
  <c r="AW1315" i="1"/>
  <c r="AW1733" i="1"/>
  <c r="AW594" i="1"/>
  <c r="AW1784" i="1"/>
  <c r="AW1261" i="1"/>
  <c r="AW1549" i="1"/>
  <c r="AW1480" i="1"/>
  <c r="AW643" i="1"/>
  <c r="AW1154" i="1"/>
  <c r="AW585" i="1"/>
  <c r="AW915" i="1"/>
  <c r="AW1766" i="1"/>
  <c r="AW1715" i="1"/>
  <c r="AW1508" i="1"/>
  <c r="AW1076" i="1"/>
  <c r="AW852" i="1"/>
  <c r="AW1765" i="1"/>
  <c r="AW884" i="1"/>
  <c r="AW299" i="1"/>
  <c r="AW219" i="1"/>
  <c r="AW764" i="1"/>
  <c r="AW1272" i="1"/>
  <c r="AW1658" i="1"/>
  <c r="AW1458" i="1"/>
  <c r="AW1577" i="1"/>
  <c r="AW423" i="1"/>
  <c r="AW182" i="1"/>
  <c r="AW546" i="1"/>
  <c r="AW622" i="1"/>
  <c r="AW167" i="1"/>
  <c r="AW1703" i="1"/>
  <c r="AW344" i="1"/>
  <c r="AW209" i="1"/>
  <c r="AW908" i="1"/>
  <c r="AW1417" i="1"/>
  <c r="AW736" i="1"/>
  <c r="AW1373" i="1"/>
  <c r="AW602" i="1"/>
  <c r="AW1447" i="1"/>
  <c r="AW702" i="1"/>
  <c r="AW1627" i="1"/>
  <c r="AW1486" i="1"/>
  <c r="AW1638" i="1"/>
  <c r="AW1566" i="1"/>
  <c r="AW1153" i="1"/>
  <c r="AW929" i="1"/>
  <c r="AW1608" i="1"/>
  <c r="AW1256" i="1"/>
  <c r="AW1122" i="1"/>
  <c r="AW654" i="1"/>
  <c r="AW1467" i="1"/>
  <c r="AW619" i="1"/>
  <c r="AW1258" i="1"/>
  <c r="AW318" i="1"/>
  <c r="AW1371" i="1"/>
  <c r="AW553" i="1"/>
  <c r="AW497" i="1"/>
  <c r="AW1101" i="1"/>
  <c r="AW1675" i="1"/>
  <c r="AW1357" i="1"/>
  <c r="AW1641" i="1"/>
  <c r="AW1520" i="1"/>
  <c r="AW392" i="1"/>
  <c r="AW1613" i="1"/>
  <c r="AW1344" i="1"/>
  <c r="AW1484" i="1"/>
  <c r="AW1470" i="1"/>
  <c r="AW1556" i="1"/>
  <c r="AW960" i="1"/>
  <c r="AW1702" i="1"/>
  <c r="AW1226" i="1"/>
  <c r="AW350" i="1"/>
  <c r="AW994" i="1"/>
  <c r="AW1041" i="1"/>
  <c r="AW875" i="1"/>
  <c r="AW413" i="1"/>
  <c r="AW607" i="1"/>
  <c r="AW754" i="1"/>
  <c r="AW1559" i="1"/>
  <c r="AW1643" i="1"/>
  <c r="AW1129" i="1"/>
  <c r="AW1217" i="1"/>
  <c r="AW425" i="1"/>
  <c r="AW1753" i="1"/>
  <c r="AW198" i="1"/>
  <c r="AW1254" i="1"/>
  <c r="AW1530" i="1"/>
  <c r="AW1578" i="1"/>
  <c r="AW360" i="1"/>
  <c r="AW1215" i="1"/>
  <c r="AW793" i="1"/>
  <c r="AW782" i="1"/>
  <c r="AW592" i="1"/>
  <c r="AW924" i="1"/>
  <c r="AW464" i="1"/>
  <c r="AW974" i="1"/>
  <c r="AW889" i="1"/>
  <c r="AW728" i="1"/>
  <c r="AW1567" i="1"/>
  <c r="AW441" i="1"/>
  <c r="AW170" i="1"/>
  <c r="AW905" i="1"/>
  <c r="AW1331" i="1"/>
  <c r="AW1407" i="1"/>
  <c r="AW633" i="1"/>
  <c r="AW1506" i="1"/>
  <c r="AW1429" i="1"/>
  <c r="AW496" i="1"/>
  <c r="AW1586" i="1"/>
  <c r="AW334" i="1"/>
  <c r="AW1029" i="1"/>
  <c r="AW472" i="1"/>
  <c r="AW845" i="1"/>
  <c r="AW636" i="1"/>
  <c r="AW1462" i="1"/>
  <c r="AW513" i="1"/>
  <c r="AW1206" i="1"/>
  <c r="AW775" i="1"/>
  <c r="AW239" i="1"/>
  <c r="AW864" i="1"/>
  <c r="AW1337" i="1"/>
  <c r="AW1394" i="1"/>
  <c r="AW1130" i="1"/>
  <c r="AW1800" i="1"/>
  <c r="AW581" i="1"/>
  <c r="AW1360" i="1"/>
  <c r="AW935" i="1"/>
  <c r="AW1070" i="1"/>
  <c r="AW1489" i="1"/>
  <c r="AW649" i="1"/>
  <c r="AW1088" i="1"/>
  <c r="AW1540" i="1"/>
  <c r="AW1529" i="1"/>
  <c r="AW1019" i="1"/>
  <c r="AW1465" i="1"/>
  <c r="AW747" i="1"/>
  <c r="AW1468" i="1"/>
  <c r="AW624" i="1"/>
  <c r="AW1574" i="1"/>
  <c r="AW253" i="1"/>
  <c r="AW377" i="1"/>
  <c r="AW1176" i="1"/>
  <c r="AW773" i="1"/>
  <c r="AW1279" i="1"/>
  <c r="AW1478" i="1"/>
  <c r="AW1190" i="1"/>
  <c r="AW850" i="1"/>
  <c r="AW1761" i="1"/>
  <c r="AW1507" i="1"/>
  <c r="AW1066" i="1"/>
  <c r="AW1023" i="1"/>
  <c r="AW155" i="1"/>
  <c r="AW1632" i="1"/>
  <c r="AW1062" i="1"/>
  <c r="AW1629" i="1"/>
  <c r="AW1496" i="1"/>
  <c r="AW1547" i="1"/>
  <c r="AW1144" i="1"/>
  <c r="AW1194" i="1"/>
  <c r="AW667" i="1"/>
  <c r="AW909" i="1"/>
  <c r="AW269" i="1"/>
  <c r="AW706" i="1"/>
  <c r="AW440" i="1"/>
  <c r="AW149" i="1"/>
  <c r="AW146" i="1"/>
  <c r="AW1410" i="1"/>
  <c r="AW542" i="1"/>
  <c r="AW1306" i="1"/>
  <c r="AW1607" i="1"/>
  <c r="AW501" i="1"/>
  <c r="AW401" i="1"/>
  <c r="AW1802" i="1"/>
  <c r="AW1514" i="1"/>
  <c r="AW1399" i="1"/>
  <c r="AW1289" i="1"/>
  <c r="AW456" i="1"/>
  <c r="AW466" i="1"/>
  <c r="AW840" i="1"/>
  <c r="AW681" i="1"/>
  <c r="AW843" i="1"/>
  <c r="AW1307" i="1"/>
  <c r="AW656" i="1"/>
  <c r="AW888" i="1"/>
  <c r="AW1388" i="1"/>
  <c r="AW1402" i="1"/>
  <c r="AW1359" i="1"/>
  <c r="AW504" i="1"/>
  <c r="AW1797" i="1"/>
  <c r="AW871" i="1"/>
  <c r="AW297" i="1"/>
  <c r="AW887" i="1"/>
  <c r="AW1053" i="1"/>
  <c r="AW1183" i="1"/>
  <c r="AW1158" i="1"/>
  <c r="AW556" i="1"/>
  <c r="AW1505" i="1"/>
  <c r="AW615" i="1"/>
  <c r="AW1786" i="1"/>
  <c r="AW1795" i="1"/>
  <c r="AW698" i="1"/>
  <c r="AW1568" i="1"/>
  <c r="AW1092" i="1"/>
  <c r="AW1773" i="1"/>
  <c r="AW998" i="1"/>
  <c r="AW449" i="1"/>
  <c r="AW474" i="1"/>
  <c r="AW246" i="1"/>
  <c r="AW382" i="1"/>
  <c r="AW305" i="1"/>
  <c r="AW514" i="1"/>
  <c r="AW1084" i="1"/>
  <c r="AW937" i="1"/>
  <c r="AW1052" i="1"/>
  <c r="AW700" i="1"/>
  <c r="AW1433" i="1"/>
  <c r="AW1189" i="1"/>
  <c r="AW1501" i="1"/>
  <c r="AW590" i="1"/>
  <c r="AW733" i="1"/>
  <c r="AW1390" i="1"/>
  <c r="AW1259" i="1"/>
  <c r="AW973" i="1"/>
  <c r="AW707" i="1"/>
  <c r="AW659" i="1"/>
  <c r="AW580" i="1"/>
  <c r="AW511" i="1"/>
  <c r="AW1250" i="1"/>
  <c r="AW897" i="1"/>
  <c r="AW1446" i="1"/>
  <c r="AW1246" i="1"/>
  <c r="AW250" i="1"/>
  <c r="AW1232" i="1"/>
  <c r="AW1392" i="1"/>
  <c r="AW1763" i="1"/>
  <c r="AW1270" i="1"/>
  <c r="AW951" i="1"/>
  <c r="AW1294" i="1"/>
  <c r="AW1485" i="1"/>
  <c r="AW971" i="1"/>
  <c r="AW1444" i="1"/>
  <c r="AW1214" i="1"/>
  <c r="AW1440" i="1"/>
  <c r="AW1716" i="1"/>
  <c r="AW1542" i="1"/>
  <c r="AW1777" i="1"/>
  <c r="AW942" i="1"/>
  <c r="AW1640" i="1"/>
  <c r="AW1034" i="1"/>
  <c r="AW1074" i="1"/>
  <c r="AW1714" i="1"/>
  <c r="AW1739" i="1"/>
  <c r="AW518" i="1"/>
  <c r="AW981" i="1"/>
  <c r="AW1049" i="1"/>
  <c r="AW1537" i="1"/>
  <c r="AW1267" i="1"/>
  <c r="AW1137" i="1"/>
  <c r="AW677" i="1"/>
  <c r="AW550" i="1"/>
  <c r="AW549" i="1"/>
  <c r="AW1387" i="1"/>
  <c r="AW867" i="1"/>
  <c r="AW720" i="1"/>
  <c r="AW1785" i="1"/>
  <c r="AW1233" i="1"/>
  <c r="AW351" i="1"/>
  <c r="AW785" i="1"/>
  <c r="AW1222" i="1"/>
  <c r="AW1590" i="1"/>
  <c r="AW1378" i="1"/>
  <c r="AW1679" i="1"/>
  <c r="AW510" i="1"/>
  <c r="AW1436" i="1"/>
  <c r="AW1509" i="1"/>
  <c r="AW543" i="1"/>
  <c r="AW1043" i="1"/>
  <c r="AW879" i="1"/>
  <c r="AW1072" i="1"/>
  <c r="AW1146" i="1"/>
  <c r="AW1671" i="1"/>
  <c r="AW1648" i="1"/>
  <c r="AW1718" i="1"/>
  <c r="AW697" i="1"/>
  <c r="AW1293" i="1"/>
  <c r="AW1193" i="1"/>
  <c r="AW1264" i="1"/>
  <c r="AW420" i="1"/>
  <c r="AW1350" i="1"/>
  <c r="AW213" i="1"/>
  <c r="AW264" i="1"/>
  <c r="AW217" i="1"/>
  <c r="AW245" i="1"/>
  <c r="AW779" i="1"/>
  <c r="AW226" i="1"/>
  <c r="AW1333" i="1"/>
  <c r="AW329" i="1"/>
  <c r="AW1439" i="1"/>
  <c r="AW996" i="1"/>
  <c r="AW811" i="1"/>
  <c r="AW1201" i="1"/>
  <c r="AW230" i="1"/>
  <c r="AW465" i="1"/>
  <c r="AW1727" i="1"/>
  <c r="AW1794" i="1"/>
  <c r="AW1451" i="1"/>
  <c r="AW1198" i="1"/>
  <c r="AW1528" i="1"/>
  <c r="AW162" i="1"/>
  <c r="AW187" i="1"/>
  <c r="AW1454" i="1"/>
  <c r="AW1405" i="1"/>
  <c r="AW1177" i="1"/>
  <c r="AW687" i="1"/>
  <c r="AW647" i="1"/>
  <c r="AW1639" i="1"/>
  <c r="AW1420" i="1"/>
  <c r="AW818" i="1"/>
  <c r="AW1211" i="1"/>
  <c r="AW502" i="1"/>
  <c r="AW1719" i="1"/>
  <c r="AW1452" i="1"/>
  <c r="AW1145" i="1"/>
  <c r="AW600" i="1"/>
  <c r="AW701" i="1"/>
  <c r="AW918" i="1"/>
  <c r="AW1353" i="1"/>
  <c r="AW1186" i="1"/>
  <c r="AW1676" i="1"/>
  <c r="AW931" i="1"/>
  <c r="AW559" i="1"/>
  <c r="AW1125" i="1"/>
  <c r="AW1412" i="1"/>
  <c r="AW359" i="1"/>
  <c r="AW244" i="1"/>
  <c r="AW1619" i="1"/>
  <c r="AW1677" i="1"/>
  <c r="AW1376" i="1"/>
  <c r="AW1425" i="1"/>
  <c r="AW746" i="1"/>
  <c r="AW765" i="1"/>
  <c r="AW375" i="1"/>
  <c r="AW1666" i="1"/>
  <c r="AW1195" i="1"/>
  <c r="AW1274" i="1"/>
  <c r="AW481" i="1"/>
  <c r="AW1288" i="1"/>
  <c r="AW1164" i="1"/>
  <c r="AW1308" i="1"/>
  <c r="AW1582" i="1"/>
  <c r="AW371" i="1"/>
  <c r="AW997" i="1"/>
  <c r="AW1437" i="1"/>
  <c r="AW1369" i="1"/>
  <c r="AW1610" i="1"/>
  <c r="AW1398" i="1"/>
  <c r="AW452" i="1"/>
  <c r="AW1271" i="1"/>
  <c r="AW1303" i="1"/>
  <c r="AW355" i="1"/>
  <c r="AW1438" i="1"/>
  <c r="AW457" i="1"/>
  <c r="AW366" i="1"/>
  <c r="AW729" i="1"/>
  <c r="AW1352" i="1"/>
  <c r="AW1005" i="1"/>
  <c r="AW1474" i="1"/>
  <c r="AW1760" i="1"/>
  <c r="AW1150" i="1"/>
  <c r="AW628" i="1"/>
  <c r="AW1628" i="1"/>
  <c r="AW1724" i="1"/>
  <c r="AW666" i="1"/>
  <c r="AW150" i="1"/>
  <c r="AW1565" i="1"/>
  <c r="AW934" i="1"/>
  <c r="AW1281" i="1"/>
  <c r="AW1532" i="1"/>
  <c r="AW730" i="1"/>
  <c r="AW1269" i="1"/>
  <c r="AW1575" i="1"/>
  <c r="AW180" i="1"/>
  <c r="AW1037" i="1"/>
  <c r="AW477" i="1"/>
  <c r="AW1626" i="1"/>
  <c r="AW1569" i="1"/>
  <c r="AW1205" i="1"/>
  <c r="AW1083" i="1"/>
  <c r="AW902" i="1"/>
  <c r="AW564" i="1"/>
  <c r="AW1725" i="1"/>
  <c r="AW1584" i="1"/>
  <c r="AW810" i="1"/>
  <c r="AW161" i="1"/>
  <c r="AW726" i="1"/>
  <c r="AW1155" i="1"/>
  <c r="AW834" i="1"/>
  <c r="AW1587" i="1"/>
  <c r="AW739" i="1"/>
  <c r="AW536" i="1"/>
  <c r="AW1616" i="1"/>
  <c r="AW1600" i="1"/>
  <c r="AW1165" i="1"/>
  <c r="AW1354" i="1"/>
  <c r="AW1161" i="1"/>
  <c r="AW855" i="1"/>
  <c r="AW1562" i="1"/>
  <c r="AW660" i="1"/>
  <c r="AW273" i="1"/>
  <c r="AW1747" i="1"/>
  <c r="AW1167" i="1"/>
  <c r="AW428" i="1"/>
  <c r="AW394" i="1"/>
  <c r="AW612" i="1"/>
  <c r="AW1713" i="1"/>
  <c r="AW717" i="1"/>
  <c r="AW1128" i="1"/>
  <c r="AW1202" i="1"/>
  <c r="AW1099" i="1"/>
  <c r="AW1260" i="1"/>
  <c r="AW839" i="1"/>
  <c r="AW1395" i="1"/>
  <c r="AW1123" i="1"/>
  <c r="AW489" i="1"/>
  <c r="AW1160" i="1"/>
  <c r="AW1235" i="1"/>
  <c r="AW1700" i="1"/>
  <c r="AW433" i="1"/>
  <c r="AW509" i="1"/>
  <c r="AW1755" i="1"/>
  <c r="AW1653" i="1"/>
  <c r="AW992" i="1"/>
  <c r="AW1228" i="1"/>
  <c r="AW1511" i="1"/>
  <c r="AW1121" i="1"/>
  <c r="AW1247" i="1"/>
  <c r="AW1534" i="1"/>
  <c r="AW658" i="1"/>
  <c r="AW629" i="1"/>
  <c r="AW969" i="1"/>
  <c r="AW579" i="1"/>
  <c r="AW1397" i="1"/>
  <c r="AW229" i="1"/>
  <c r="AW1339" i="1"/>
  <c r="AW1756" i="1"/>
  <c r="AW1579" i="1"/>
  <c r="AW674" i="1"/>
  <c r="AW1363" i="1"/>
  <c r="AW494" i="1"/>
  <c r="AW1525" i="1"/>
  <c r="AW1003" i="1"/>
  <c r="AW339" i="1"/>
  <c r="AW740" i="1"/>
  <c r="AW1696" i="1"/>
  <c r="AW1457" i="1"/>
  <c r="AW1355" i="1"/>
  <c r="AW1035" i="1"/>
  <c r="AW1284" i="1"/>
  <c r="AW1730" i="1"/>
  <c r="AW1518" i="1"/>
  <c r="AW605" i="1"/>
  <c r="AW324" i="1"/>
  <c r="AW1152" i="1"/>
  <c r="AW192" i="1"/>
  <c r="AW1277" i="1"/>
  <c r="AW393" i="1"/>
  <c r="AW620" i="1"/>
  <c r="AW1432" i="1"/>
  <c r="AW328" i="1"/>
  <c r="AW315" i="1"/>
  <c r="AW826" i="1"/>
  <c r="AW1674" i="1"/>
  <c r="AW1448" i="1"/>
  <c r="AW1757" i="1"/>
  <c r="AW1460" i="1"/>
  <c r="AW1599" i="1"/>
  <c r="AW820" i="1"/>
  <c r="AW638" i="1"/>
  <c r="AW1216" i="1"/>
  <c r="AW680" i="1"/>
  <c r="AW478" i="1"/>
  <c r="AW1544" i="1"/>
  <c r="AW1759" i="1"/>
  <c r="AW933" i="1"/>
  <c r="AW1554" i="1"/>
  <c r="AW1650" i="1"/>
  <c r="AW1503" i="1"/>
  <c r="AW216" i="1"/>
  <c r="AW191" i="1"/>
  <c r="AW206" i="1"/>
  <c r="AW1476" i="1"/>
  <c r="AW895" i="1"/>
  <c r="AW1187" i="1"/>
  <c r="AW143" i="1"/>
  <c r="AW169" i="1"/>
  <c r="AW1430" i="1"/>
  <c r="AW1245" i="1"/>
  <c r="AW798" i="1"/>
  <c r="AW356" i="1"/>
  <c r="AW385" i="1"/>
  <c r="AW248" i="1"/>
  <c r="AW916" i="1"/>
  <c r="AW574" i="1"/>
  <c r="AW1374" i="1"/>
  <c r="AW1224" i="1"/>
  <c r="AW404" i="1"/>
  <c r="AW718" i="1"/>
  <c r="AW1196" i="1"/>
  <c r="AW1780" i="1"/>
  <c r="AW1290" i="1"/>
  <c r="AW1681" i="1"/>
  <c r="AW1748" i="1"/>
  <c r="AW1707" i="1"/>
  <c r="AW158" i="1"/>
  <c r="AW282" i="1"/>
  <c r="AW962" i="1"/>
  <c r="AW632" i="1"/>
  <c r="AW484" i="1"/>
  <c r="AW1601" i="1"/>
  <c r="AW251" i="1"/>
  <c r="AW609" i="1"/>
  <c r="AW561" i="1"/>
  <c r="AW228" i="1"/>
  <c r="AW286" i="1"/>
  <c r="AW437" i="1"/>
  <c r="AW1624" i="1"/>
  <c r="AW630" i="1"/>
  <c r="AW943" i="1"/>
  <c r="AW1708" i="1"/>
  <c r="AW650" i="1"/>
  <c r="AW1093" i="1"/>
  <c r="AW892" i="1"/>
  <c r="AW1482" i="1"/>
  <c r="AW1589" i="1"/>
  <c r="AW173" i="1"/>
  <c r="AW438" i="1"/>
  <c r="AW849" i="1"/>
  <c r="AW283" i="1"/>
  <c r="AW1349" i="1"/>
  <c r="AW671" i="1"/>
  <c r="AW1406" i="1"/>
  <c r="AW1208" i="1"/>
  <c r="AW506" i="1"/>
  <c r="AW1292" i="1"/>
  <c r="AW258" i="1"/>
  <c r="AW904" i="1"/>
  <c r="AW1173" i="1"/>
  <c r="AW1142" i="1"/>
  <c r="AW1441" i="1"/>
  <c r="AW906" i="1"/>
  <c r="AW480" i="1"/>
  <c r="AW1126" i="1"/>
  <c r="AW1199" i="1"/>
  <c r="AW1431" i="1"/>
  <c r="AW710" i="1"/>
  <c r="AW572" i="1"/>
  <c r="AW1102" i="1"/>
  <c r="AW1570" i="1"/>
  <c r="AW625" i="1"/>
  <c r="AW1689" i="1"/>
  <c r="AW1234" i="1"/>
  <c r="AW925" i="1"/>
  <c r="AW544" i="1"/>
  <c r="AW803" i="1"/>
  <c r="AW1774" i="1"/>
  <c r="AW284" i="1"/>
  <c r="AW637" i="1"/>
  <c r="AW539" i="1"/>
  <c r="AW1729" i="1"/>
  <c r="AW1001" i="1"/>
  <c r="AW1408" i="1"/>
  <c r="AW144" i="1"/>
  <c r="AW980" i="1"/>
  <c r="AW823" i="1"/>
  <c r="AW166" i="1"/>
  <c r="AW801" i="1"/>
  <c r="AW769" i="1"/>
  <c r="AW1585" i="1"/>
  <c r="AW835" i="1"/>
  <c r="AW672" i="1"/>
  <c r="AW1656" i="1"/>
  <c r="AW662" i="1"/>
  <c r="AW1644" i="1"/>
  <c r="AW387" i="1"/>
  <c r="AW1301" i="1"/>
  <c r="AW1466" i="1"/>
  <c r="AW1473" i="1"/>
  <c r="AW907" i="1"/>
  <c r="AW789" i="1"/>
  <c r="AW1188" i="1"/>
  <c r="AW597" i="1"/>
  <c r="AW977" i="1"/>
  <c r="AW1541" i="1"/>
  <c r="AW421" i="1"/>
  <c r="AW292" i="1"/>
  <c r="AW783" i="1"/>
  <c r="AW946" i="1"/>
  <c r="AW1421" i="1"/>
  <c r="AW844" i="1"/>
  <c r="AW343" i="1"/>
  <c r="AW1550" i="1"/>
  <c r="AW1112" i="1"/>
  <c r="AW462" i="1"/>
  <c r="AW1243" i="1"/>
  <c r="AW1263" i="1"/>
  <c r="AW1310" i="1"/>
  <c r="AW1751" i="1"/>
  <c r="AW1225" i="1"/>
  <c r="AW616" i="1"/>
  <c r="AW395" i="1"/>
  <c r="AW1491" i="1"/>
  <c r="AW790" i="1"/>
  <c r="AW1401" i="1"/>
  <c r="AW317" i="1"/>
  <c r="AW1291" i="1"/>
  <c r="AW1495" i="1"/>
  <c r="AW1680" i="1"/>
  <c r="AW331" i="1"/>
  <c r="AW926" i="1"/>
  <c r="AW1030" i="1"/>
  <c r="AW1094" i="1"/>
  <c r="AW427" i="1"/>
  <c r="AW1517" i="1"/>
  <c r="AW617" i="1"/>
  <c r="AW1526" i="1"/>
  <c r="AW1114" i="1"/>
  <c r="AW836" i="1"/>
  <c r="AW1265" i="1"/>
  <c r="AW471" i="1"/>
  <c r="AW277" i="1"/>
  <c r="AW1341" i="1"/>
  <c r="AW1630" i="1"/>
  <c r="AW233" i="1"/>
  <c r="AW332" i="1"/>
  <c r="AW342" i="1"/>
  <c r="AW1168" i="1"/>
  <c r="AW1434" i="1"/>
  <c r="AW813" i="1"/>
  <c r="AW491" i="1"/>
  <c r="AW1069" i="1"/>
  <c r="AW781" i="1"/>
  <c r="AW1662" i="1"/>
  <c r="AW1510" i="1"/>
  <c r="AW197" i="1"/>
  <c r="AW381" i="1"/>
  <c r="AW1717" i="1"/>
  <c r="AW727" i="1"/>
  <c r="AW1745" i="1"/>
  <c r="AW714" i="1"/>
  <c r="AW970" i="1"/>
  <c r="AW1384" i="1"/>
  <c r="AW1262" i="1"/>
  <c r="AW1543" i="1"/>
  <c r="AW1024" i="1"/>
  <c r="AW416" i="1"/>
  <c r="AW1634" i="1"/>
  <c r="AW525" i="1"/>
  <c r="AW406" i="1"/>
  <c r="AW709" i="1"/>
  <c r="AW453" i="1"/>
  <c r="AW367" i="1"/>
  <c r="AW1046" i="1"/>
  <c r="AW673" i="1"/>
  <c r="AW795" i="1"/>
  <c r="AW1022" i="1"/>
  <c r="AW263" i="1"/>
  <c r="AW1036" i="1"/>
  <c r="AW575" i="1"/>
  <c r="AW402" i="1"/>
  <c r="AW1365" i="1"/>
  <c r="AW1332" i="1"/>
  <c r="AW262" i="1"/>
  <c r="AW1636" i="1"/>
  <c r="AW1348" i="1"/>
  <c r="AW1015" i="1"/>
  <c r="AW1552" i="1"/>
  <c r="AW858" i="1"/>
  <c r="AW947" i="1"/>
  <c r="AW487" i="1"/>
  <c r="AW821" i="1"/>
  <c r="AW917" i="1"/>
  <c r="AW1044" i="1"/>
  <c r="AW1551" i="1"/>
  <c r="AW1775" i="1"/>
  <c r="AW827" i="1"/>
  <c r="AW1659" i="1"/>
  <c r="AW179" i="1"/>
  <c r="AW1669" i="1"/>
  <c r="AW1709" i="1"/>
  <c r="AW829" i="1"/>
  <c r="AW788" i="1"/>
  <c r="AW1370" i="1"/>
  <c r="AW199" i="1"/>
  <c r="AW1783" i="1"/>
  <c r="AW940" i="1"/>
  <c r="AW1139" i="1"/>
  <c r="AW565" i="1"/>
  <c r="AW825" i="1"/>
  <c r="AW160" i="1"/>
  <c r="AW1631" i="1"/>
  <c r="AW872" i="1"/>
  <c r="AW1324" i="1"/>
  <c r="AW1210" i="1"/>
  <c r="AW281" i="1"/>
  <c r="AW1598" i="1"/>
  <c r="AW552" i="1"/>
  <c r="AW862" i="1"/>
  <c r="AW1706" i="1"/>
  <c r="AW873" i="1"/>
  <c r="AW1312" i="1"/>
  <c r="AW989" i="1"/>
  <c r="AW571" i="1"/>
  <c r="AW832" i="1"/>
  <c r="AW1085" i="1"/>
  <c r="AW1273" i="1"/>
  <c r="AW1400" i="1"/>
  <c r="AW959" i="1"/>
  <c r="AW1157" i="1"/>
  <c r="AW809" i="1"/>
  <c r="AW417" i="1"/>
  <c r="AW1456" i="1"/>
  <c r="AW1687" i="1"/>
  <c r="AW759" i="1"/>
  <c r="AW445" i="1"/>
  <c r="AW147" i="1"/>
  <c r="AW771" i="1"/>
  <c r="AW978" i="1"/>
  <c r="AW1513" i="1"/>
  <c r="AW1118" i="1"/>
  <c r="AW1180" i="1"/>
  <c r="AW1361" i="1"/>
  <c r="AW224" i="1"/>
  <c r="AW1422" i="1"/>
  <c r="AW1063" i="1"/>
  <c r="AW1143" i="1"/>
  <c r="AW330" i="1"/>
  <c r="AW488" i="1"/>
  <c r="AW738" i="1"/>
  <c r="AW1423" i="1"/>
  <c r="AW1319" i="1"/>
  <c r="AW1487" i="1"/>
  <c r="AW1266" i="1"/>
  <c r="AW911" i="1"/>
  <c r="AW1064" i="1"/>
  <c r="AW1131" i="1"/>
  <c r="AW1758" i="1"/>
  <c r="AW517" i="1"/>
  <c r="AW869" i="1"/>
  <c r="AW495" i="1"/>
  <c r="AW524" i="1"/>
  <c r="AW1156" i="1"/>
  <c r="AW993" i="1"/>
  <c r="AW1504" i="1"/>
  <c r="AW1737" i="1"/>
  <c r="AW443" i="1"/>
  <c r="AW1141" i="1"/>
  <c r="AW1455" i="1"/>
  <c r="AW679" i="1"/>
  <c r="AW920" i="1"/>
  <c r="AW1698" i="1"/>
  <c r="AW948" i="1"/>
  <c r="AW555" i="1"/>
  <c r="AW188" i="1"/>
  <c r="AW1798" i="1"/>
  <c r="AW214" i="1"/>
  <c r="AW952" i="1"/>
  <c r="AW1711" i="1"/>
  <c r="AW1685" i="1"/>
  <c r="AW1347" i="1"/>
  <c r="AW1089" i="1"/>
  <c r="AW231" i="1"/>
  <c r="AW1672" i="1"/>
  <c r="AW1080" i="1"/>
  <c r="AW1469" i="1"/>
  <c r="AW1096" i="1"/>
  <c r="AW407" i="1"/>
  <c r="AW1734" i="1"/>
  <c r="AW380" i="1"/>
  <c r="AW454" i="1"/>
  <c r="AW1483" i="1"/>
  <c r="AW492" i="1"/>
  <c r="AW260" i="1"/>
  <c r="AW241" i="1"/>
  <c r="AW699" i="1"/>
  <c r="AW1652" i="1"/>
  <c r="AW1050" i="1"/>
  <c r="AW1413" i="1"/>
  <c r="AW663" i="1"/>
  <c r="AW1665" i="1"/>
  <c r="AW792" i="1"/>
  <c r="AW588" i="1"/>
  <c r="AW1322" i="1"/>
  <c r="AW1682" i="1"/>
  <c r="AW311" i="1"/>
  <c r="AW534" i="1"/>
  <c r="AW429" i="1"/>
  <c r="AW237" i="1"/>
  <c r="AW1318" i="1"/>
  <c r="AW560" i="1"/>
  <c r="AW479" i="1"/>
  <c r="AW1251" i="1"/>
  <c r="AW713" i="1"/>
  <c r="AW805" i="1"/>
  <c r="AW1285" i="1"/>
  <c r="AW1699" i="1"/>
  <c r="AW833" i="1"/>
  <c r="AW483" i="1"/>
  <c r="AW1031" i="1"/>
  <c r="AW235" i="1"/>
  <c r="AW1278" i="1"/>
  <c r="AW1490" i="1"/>
  <c r="AW1591" i="1"/>
  <c r="AW210" i="1"/>
  <c r="AW757" i="1"/>
  <c r="AW1327" i="1"/>
  <c r="AW1704" i="1"/>
  <c r="AW1127" i="1"/>
  <c r="AW1772" i="1"/>
  <c r="AW990" i="1"/>
  <c r="AW1115" i="1"/>
  <c r="AW1249" i="1"/>
  <c r="AW1516" i="1"/>
  <c r="AW1693" i="1"/>
  <c r="AW1221" i="1"/>
  <c r="AW1521" i="1"/>
  <c r="AW689" i="1"/>
  <c r="AW870" i="1"/>
  <c r="AW1728" i="1"/>
  <c r="AW828" i="1"/>
  <c r="AW1426" i="1"/>
  <c r="AW1744" i="1"/>
  <c r="AW523" i="1"/>
  <c r="AW1391" i="1"/>
  <c r="AW1555" i="1"/>
  <c r="AW1548" i="1"/>
  <c r="AW1789" i="1"/>
  <c r="AW1742" i="1"/>
  <c r="AW1299" i="1"/>
  <c r="AW721" i="1"/>
  <c r="AW866" i="1"/>
  <c r="AW1428" i="1"/>
  <c r="AW408" i="1"/>
  <c r="AW1536" i="1"/>
  <c r="AW641" i="1"/>
  <c r="AW703" i="1"/>
  <c r="AW1091" i="1"/>
  <c r="AW1098" i="1"/>
  <c r="AW419" i="1"/>
  <c r="AW1633" i="1"/>
  <c r="AW610" i="1"/>
  <c r="AW1498" i="1"/>
  <c r="AW323" i="1"/>
  <c r="AW347" i="1"/>
  <c r="AW913" i="1"/>
  <c r="AW1654" i="1"/>
  <c r="AW1079" i="1"/>
  <c r="AW266" i="1"/>
  <c r="AW1539" i="1"/>
  <c r="AW1241" i="1"/>
  <c r="AW1688" i="1"/>
  <c r="AW1011" i="1"/>
  <c r="AW346" i="1"/>
  <c r="AW1382" i="1"/>
  <c r="AW1140" i="1"/>
  <c r="AW522" i="1"/>
  <c r="AW1499" i="1"/>
  <c r="AW800" i="1"/>
  <c r="AW238" i="1"/>
  <c r="AW1182" i="1"/>
  <c r="AW303" i="1"/>
  <c r="AW767" i="1"/>
  <c r="AW1181" i="1"/>
  <c r="AW467" i="1"/>
  <c r="AW1740" i="1"/>
  <c r="AW1010" i="1"/>
  <c r="AW1683" i="1"/>
  <c r="AW1159" i="1"/>
  <c r="AW165" i="1"/>
  <c r="AW222" i="1"/>
  <c r="AW1038" i="1"/>
  <c r="AW669" i="1"/>
  <c r="AW1770" i="1"/>
  <c r="AW405" i="1"/>
  <c r="AW1109" i="1"/>
  <c r="AW208" i="1"/>
  <c r="AW1623" i="1"/>
  <c r="AW1172" i="1"/>
  <c r="AW903" i="1"/>
  <c r="AW295" i="1"/>
  <c r="AW247" i="1"/>
  <c r="AW723" i="1"/>
  <c r="AW1326" i="1"/>
  <c r="AW415" i="1"/>
  <c r="AW1735" i="1"/>
  <c r="AW955" i="1"/>
  <c r="AW1184" i="1"/>
  <c r="AW319" i="1"/>
  <c r="AW352" i="1"/>
  <c r="AW1204" i="1"/>
  <c r="AW876" i="1"/>
  <c r="AW595" i="1"/>
  <c r="AW1334" i="1"/>
  <c r="AW878" i="1"/>
  <c r="AW202" i="1"/>
  <c r="AW780" i="1"/>
  <c r="AW1252" i="1"/>
  <c r="AW1738" i="1"/>
  <c r="AW475" i="1"/>
  <c r="AW1572" i="1"/>
  <c r="AW313" i="1"/>
  <c r="AW1416" i="1"/>
  <c r="AW794" i="1"/>
  <c r="AW1779" i="1"/>
  <c r="AW1321" i="1"/>
  <c r="AW1335" i="1"/>
  <c r="AW1686" i="1"/>
  <c r="AW570" i="1"/>
  <c r="AW1364" i="1"/>
  <c r="AW1305" i="1"/>
  <c r="AW586" i="1"/>
  <c r="AW778" i="1"/>
  <c r="AW545" i="1"/>
  <c r="AW1362" i="1"/>
  <c r="AW584" i="1"/>
  <c r="AW815" i="1"/>
  <c r="AW1546" i="1"/>
  <c r="AW979" i="1"/>
  <c r="AW1492" i="1"/>
  <c r="AW891" i="1"/>
  <c r="AW1663" i="1"/>
  <c r="AW1040" i="1"/>
  <c r="AW1163" i="1"/>
  <c r="AW725" i="1"/>
  <c r="AW252" i="1"/>
  <c r="AW1132" i="1"/>
  <c r="AW763" i="1"/>
  <c r="AW582" i="1"/>
  <c r="AW1560" i="1"/>
  <c r="AW853" i="1"/>
  <c r="AW837" i="1"/>
  <c r="AW520" i="1"/>
  <c r="AW1185" i="1"/>
  <c r="AW1622" i="1"/>
  <c r="AW1764" i="1"/>
  <c r="AW623" i="1"/>
  <c r="AW1564" i="1"/>
  <c r="AW1743" i="1"/>
  <c r="AW734" i="1"/>
  <c r="AW294" i="1"/>
  <c r="AW1618" i="1"/>
  <c r="AW1697" i="1"/>
  <c r="AW470" i="1"/>
  <c r="AW1328" i="1"/>
  <c r="AW218" i="1"/>
  <c r="AW642" i="1"/>
  <c r="AW1692" i="1"/>
  <c r="AW1209" i="1"/>
  <c r="AW774" i="1"/>
  <c r="AW1592" i="1"/>
  <c r="AW1533" i="1"/>
  <c r="AW568" i="1"/>
  <c r="AW1726" i="1"/>
  <c r="AW1788" i="1"/>
  <c r="AW1179" i="1"/>
  <c r="AW302" i="1"/>
  <c r="AW1545" i="1"/>
  <c r="AW1557" i="1"/>
  <c r="AW890" i="1"/>
  <c r="AW1705" i="1"/>
  <c r="AW1776" i="1"/>
  <c r="AW741" i="1"/>
  <c r="AW196" i="1"/>
  <c r="AW664" i="1"/>
  <c r="AW1581" i="1"/>
  <c r="AW184" i="1"/>
  <c r="AW372" i="1"/>
  <c r="AW1100" i="1"/>
  <c r="AW411" i="1"/>
  <c r="AW183" i="1"/>
  <c r="AW1502" i="1"/>
  <c r="AW1223" i="1"/>
  <c r="AW1314" i="1"/>
  <c r="AW503" i="1"/>
  <c r="AW1297" i="1"/>
  <c r="AW796" i="1"/>
  <c r="AW982" i="1"/>
  <c r="AW704" i="1"/>
  <c r="AW516" i="1"/>
  <c r="AW1255" i="1"/>
  <c r="AW1218" i="1"/>
  <c r="AW941" i="1"/>
  <c r="AW1253" i="1"/>
  <c r="AW1625" i="1"/>
  <c r="AW1009" i="1"/>
  <c r="AW678" i="1"/>
  <c r="AW212" i="1"/>
  <c r="AW434" i="1"/>
  <c r="AW386" i="1"/>
  <c r="AW760" i="1"/>
  <c r="AW567" i="1"/>
  <c r="AW1107" i="1"/>
  <c r="AW376" i="1"/>
  <c r="AW1012" i="1"/>
  <c r="AW1219" i="1"/>
  <c r="AW1200" i="1"/>
  <c r="AW596" i="1"/>
  <c r="AW1065" i="1"/>
  <c r="AW587" i="1"/>
  <c r="AW824" i="1"/>
  <c r="AW1174" i="1"/>
  <c r="AW1655" i="1"/>
  <c r="AW1018" i="1"/>
  <c r="AW690" i="1"/>
  <c r="AW1752" i="1"/>
  <c r="AW1479" i="1"/>
  <c r="AW354" i="1"/>
  <c r="AW1409" i="1"/>
  <c r="AW541" i="1"/>
  <c r="AW175" i="1"/>
  <c r="AW593" i="1"/>
  <c r="AW1445" i="1"/>
  <c r="AW521" i="1"/>
  <c r="AW787" i="1"/>
  <c r="AW665" i="1"/>
  <c r="AW1512" i="1"/>
  <c r="AW621" i="1"/>
  <c r="AW991" i="1"/>
  <c r="AW1351" i="1"/>
  <c r="AW1000" i="1"/>
  <c r="AW1077" i="1"/>
  <c r="AW772" i="1"/>
  <c r="AW507" i="1"/>
  <c r="AW860" i="1"/>
  <c r="AW655" i="1"/>
  <c r="AW424" i="1"/>
  <c r="AW899" i="1"/>
  <c r="AW172" i="1"/>
  <c r="AW176" i="1"/>
  <c r="AW527" i="1"/>
  <c r="AW737" i="1"/>
  <c r="AW975" i="1"/>
  <c r="AW362" i="1"/>
  <c r="AW786" i="1"/>
  <c r="AW557" i="1"/>
  <c r="AW476" i="1"/>
  <c r="AW389" i="1"/>
  <c r="AW1242" i="1"/>
  <c r="AW999" i="1"/>
  <c r="AW563" i="1"/>
  <c r="AW1471" i="1"/>
  <c r="AW608" i="1"/>
  <c r="AW1791" i="1"/>
  <c r="AW691" i="1"/>
  <c r="AW1104" i="1"/>
  <c r="AW220" i="1"/>
  <c r="AW1637" i="1"/>
  <c r="AW1283" i="1"/>
  <c r="AW846" i="1"/>
  <c r="AW1442" i="1"/>
  <c r="AW349" i="1"/>
  <c r="AW750" i="1"/>
  <c r="AW945" i="1"/>
  <c r="AW533" i="1"/>
  <c r="AW851" i="1"/>
  <c r="AW1045" i="1"/>
  <c r="AW1561" i="1"/>
  <c r="AW1111" i="1"/>
  <c r="AW391" i="1"/>
  <c r="AW1571" i="1"/>
  <c r="AW275" i="1"/>
  <c r="AW1493" i="1"/>
  <c r="AW1213" i="1"/>
  <c r="AW688" i="1"/>
  <c r="AW1723" i="1"/>
  <c r="AW961" i="1"/>
  <c r="AW1119" i="1"/>
  <c r="AW432" i="1"/>
  <c r="AW611" i="1"/>
  <c r="AW861" i="1"/>
  <c r="AW1345" i="1"/>
  <c r="AW348" i="1"/>
  <c r="AW485" i="1"/>
  <c r="AW683" i="1"/>
  <c r="AW498" i="1"/>
  <c r="AW1325" i="1"/>
  <c r="AW753" i="1"/>
  <c r="AW1732" i="1"/>
  <c r="AW1116" i="1"/>
  <c r="AW705" i="1"/>
  <c r="AW652" i="1"/>
  <c r="AW1604" i="1"/>
  <c r="AW562" i="1"/>
  <c r="AW598" i="1"/>
  <c r="AW159" i="1"/>
  <c r="AW1090" i="1"/>
  <c r="AW296" i="1"/>
  <c r="AW735" i="1"/>
  <c r="AW335" i="1"/>
  <c r="AW972" i="1"/>
  <c r="AW958" i="1"/>
  <c r="AW927" i="1"/>
  <c r="AW1411" i="1"/>
  <c r="AW1488" i="1"/>
  <c r="AW1117" i="1"/>
  <c r="AW578" i="1"/>
  <c r="AW551" i="1"/>
  <c r="AW1113" i="1"/>
  <c r="AW1138" i="1"/>
  <c r="AW458" i="1"/>
  <c r="AW682" i="1"/>
  <c r="AW1694" i="1"/>
  <c r="AW1048" i="1"/>
  <c r="AW265" i="1"/>
  <c r="AW752" i="1"/>
  <c r="AW1103" i="1"/>
  <c r="AW626" i="1"/>
  <c r="AW1191" i="1"/>
  <c r="AW384" i="1"/>
  <c r="AW291" i="1"/>
  <c r="AW808" i="1"/>
  <c r="AW1358" i="1"/>
  <c r="AW345" i="1"/>
  <c r="AW201" i="1"/>
  <c r="AW1275" i="1"/>
  <c r="AW1606" i="1"/>
  <c r="AW1500" i="1"/>
  <c r="AW604" i="1"/>
  <c r="AW1047" i="1"/>
  <c r="AW1691" i="1"/>
  <c r="AW446" i="1"/>
  <c r="AW1017" i="1"/>
  <c r="AW463" i="1"/>
  <c r="AW761" i="1"/>
  <c r="AW203" i="1"/>
  <c r="AW1014" i="1"/>
  <c r="AW804" i="1"/>
  <c r="AW399" i="1"/>
  <c r="AW430" i="1"/>
  <c r="AW1712" i="1"/>
  <c r="AW1032" i="1"/>
  <c r="AW223" i="1"/>
  <c r="AW207" i="1"/>
  <c r="AW712" i="1"/>
  <c r="AW285" i="1"/>
  <c r="AW634" i="1"/>
  <c r="AW1453" i="1"/>
  <c r="AW353" i="1"/>
  <c r="AW1006" i="1"/>
  <c r="AW1367" i="1"/>
  <c r="AW886" i="1"/>
  <c r="AW157" i="1"/>
  <c r="AW512" i="1"/>
  <c r="AW186" i="1"/>
  <c r="AW554" i="1"/>
  <c r="AW308" i="1"/>
  <c r="AW426" i="1"/>
  <c r="AW1615" i="1"/>
  <c r="AW1026" i="1"/>
  <c r="AW151" i="1"/>
  <c r="AW1220" i="1"/>
  <c r="AW378" i="1"/>
  <c r="AW822" i="1"/>
  <c r="AW1678" i="1"/>
  <c r="AW1027" i="1"/>
  <c r="AW1020" i="1"/>
  <c r="AW1538" i="1"/>
  <c r="AW396" i="1"/>
  <c r="AW1379" i="1"/>
  <c r="AW968" i="1"/>
  <c r="AW719" i="1"/>
  <c r="AW1721" i="1"/>
  <c r="AW321" i="1"/>
  <c r="AW1021" i="1"/>
  <c r="AW957" i="1"/>
  <c r="AW1287" i="1"/>
  <c r="AW696" i="1"/>
  <c r="AW901" i="1"/>
  <c r="AW363" i="1"/>
  <c r="AW306" i="1"/>
  <c r="AW936" i="1"/>
  <c r="AW232" i="1"/>
  <c r="AW1381" i="1"/>
  <c r="AW1522" i="1"/>
  <c r="AW668" i="1"/>
  <c r="AW171" i="1"/>
  <c r="AW1082" i="1"/>
  <c r="AW954" i="1"/>
  <c r="AW830" i="1"/>
  <c r="AW657" i="1"/>
  <c r="AW576" i="1"/>
  <c r="AW627" i="1"/>
  <c r="AW1097" i="1"/>
  <c r="AW1110" i="1"/>
  <c r="AW412" i="1"/>
  <c r="AW838" i="1"/>
  <c r="AW1151" i="1"/>
  <c r="AW1695" i="1"/>
  <c r="AW1231" i="1"/>
  <c r="AW325" i="1"/>
  <c r="AW922" i="1"/>
  <c r="AW227" i="1"/>
  <c r="AW148" i="1"/>
  <c r="AW300" i="1"/>
  <c r="AW614" i="1"/>
  <c r="AW1463" i="1"/>
  <c r="AW390" i="1"/>
  <c r="AW856" i="1"/>
  <c r="AW881" i="1"/>
  <c r="AW606" i="1"/>
  <c r="AW1033" i="1"/>
  <c r="AW1603" i="1"/>
  <c r="AW537" i="1"/>
  <c r="AW1067" i="1"/>
  <c r="AW236" i="1"/>
  <c r="AW535" i="1"/>
  <c r="AW1449" i="1"/>
  <c r="AW373" i="1"/>
  <c r="AW1801" i="1"/>
  <c r="AW152" i="1"/>
  <c r="AW1617" i="1"/>
  <c r="AW599" i="1"/>
  <c r="AW341" i="1"/>
  <c r="AW877" i="1"/>
  <c r="AW271" i="1"/>
  <c r="AW1593" i="1"/>
  <c r="AW164" i="1"/>
  <c r="AW777" i="1"/>
  <c r="AW1580" i="1"/>
  <c r="AW1793" i="1"/>
  <c r="AW1754" i="1"/>
  <c r="AW675" i="1"/>
  <c r="AW732" i="1"/>
  <c r="AW921" i="1"/>
  <c r="AW1661" i="1"/>
  <c r="AW1229" i="1"/>
  <c r="AW745" i="1"/>
  <c r="AW841" i="1"/>
  <c r="AW928" i="1"/>
  <c r="AW370" i="1"/>
  <c r="AW1302" i="1"/>
  <c r="AW1147" i="1"/>
  <c r="AW874" i="1"/>
  <c r="AW279" i="1"/>
  <c r="AW988" i="1"/>
  <c r="AW1313" i="1"/>
  <c r="AW930" i="1"/>
  <c r="AW473" i="1"/>
  <c r="AW254" i="1"/>
  <c r="AW538" i="1"/>
  <c r="AW257" i="1"/>
  <c r="AW1086" i="1"/>
  <c r="AW272" i="1"/>
  <c r="AW601" i="1"/>
  <c r="AW435" i="1"/>
  <c r="AW758" i="1"/>
  <c r="AW964" i="1"/>
  <c r="AW1203" i="1"/>
  <c r="AW1576" i="1"/>
  <c r="AW1588" i="1"/>
  <c r="AW1690" i="1"/>
  <c r="AW1366" i="1"/>
  <c r="AW1106" i="1"/>
  <c r="AW1055" i="1"/>
  <c r="AW540" i="1"/>
  <c r="AW914" i="1"/>
  <c r="AW1781" i="1"/>
  <c r="AW289" i="1"/>
  <c r="AW1372" i="1"/>
  <c r="AW204" i="1"/>
  <c r="AW193" i="1"/>
  <c r="AW1059" i="1"/>
  <c r="AW1380" i="1"/>
  <c r="AW976" i="1"/>
  <c r="AW1248" i="1"/>
  <c r="AW635" i="1"/>
  <c r="AW1057" i="1"/>
  <c r="AW368" i="1"/>
  <c r="AW379" i="1"/>
  <c r="AW1609" i="1"/>
  <c r="AW221" i="1"/>
  <c r="AW814" i="1"/>
  <c r="AW995" i="1"/>
  <c r="AW1731" i="1"/>
  <c r="AW1178" i="1"/>
  <c r="AW1042" i="1"/>
  <c r="AW686" i="1"/>
  <c r="AW1787" i="1"/>
  <c r="AW1054" i="1"/>
  <c r="AW460" i="1"/>
  <c r="AW848" i="1"/>
  <c r="AW1002" i="1"/>
  <c r="AW1403" i="1"/>
  <c r="AW987" i="1"/>
  <c r="AW1134" i="1"/>
  <c r="AW1450" i="1"/>
  <c r="AW1524" i="1"/>
  <c r="AW326" i="1"/>
  <c r="AW1343" i="1"/>
  <c r="AW857" i="1"/>
  <c r="AW802" i="1"/>
  <c r="AW448" i="1"/>
  <c r="AW1135" i="1"/>
  <c r="AW1073" i="1"/>
  <c r="AW532" i="1"/>
  <c r="AW1282" i="1"/>
  <c r="AW468" i="1"/>
  <c r="AW493" i="1"/>
  <c r="AW986" i="1"/>
  <c r="AW357" i="1"/>
  <c r="AW1207" i="1"/>
  <c r="AW1124" i="1"/>
  <c r="AW1464" i="1"/>
  <c r="AW966" i="1"/>
  <c r="AW1149" i="1"/>
  <c r="AW181" i="1"/>
  <c r="AW715" i="1"/>
  <c r="AW819" i="1"/>
  <c r="AW316" i="1"/>
  <c r="AW1768" i="1"/>
  <c r="AW1670" i="1"/>
  <c r="AW1645" i="1"/>
  <c r="AW336" i="1"/>
  <c r="AW1746" i="1"/>
  <c r="AW749" i="1"/>
  <c r="AW923" i="1"/>
  <c r="AW469" i="1"/>
  <c r="AW358" i="1"/>
  <c r="AW1597" i="1"/>
  <c r="AW791" i="1"/>
  <c r="AW529" i="1"/>
  <c r="AW645" i="1"/>
  <c r="AW178" i="1"/>
  <c r="AW288" i="1"/>
  <c r="AW742" i="1"/>
  <c r="AW168" i="1"/>
  <c r="AW234" i="1"/>
  <c r="AW1595" i="1"/>
  <c r="AW956" i="1"/>
  <c r="AW670" i="1"/>
  <c r="AW863" i="1"/>
  <c r="AW459" i="1"/>
  <c r="AW1008" i="1"/>
  <c r="AW499" i="1"/>
  <c r="AW799" i="1"/>
  <c r="AW883" i="1"/>
  <c r="AW1120" i="1"/>
  <c r="AW640" i="1"/>
  <c r="AW436" i="1"/>
  <c r="AW1323" i="1"/>
  <c r="AW762" i="1"/>
  <c r="AW932" i="1"/>
  <c r="AW1668" i="1"/>
  <c r="AW327" i="1"/>
  <c r="AW591" i="1"/>
  <c r="AW882" i="1"/>
  <c r="AW1051" i="1"/>
  <c r="AW1799" i="1"/>
  <c r="AW333" i="1"/>
  <c r="AW910" i="1"/>
  <c r="AW694" i="1"/>
  <c r="AW776" i="1"/>
  <c r="AW280" i="1"/>
  <c r="AW1635" i="1"/>
  <c r="AW287" i="1"/>
  <c r="AW422" i="1"/>
  <c r="AW1060" i="1"/>
  <c r="AW983" i="1"/>
  <c r="AW190" i="1"/>
  <c r="AW290" i="1"/>
  <c r="AW309" i="1"/>
  <c r="AW812" i="1"/>
  <c r="AW409" i="1"/>
  <c r="AW1771" i="1"/>
  <c r="AW1058" i="1"/>
  <c r="AT143" i="1"/>
  <c r="AT144" i="1" s="1"/>
  <c r="AT145" i="1" s="1"/>
  <c r="AT146" i="1" s="1"/>
  <c r="AT147" i="1" s="1"/>
  <c r="AT148" i="1" s="1"/>
  <c r="AT149" i="1" s="1"/>
  <c r="AT150" i="1" s="1"/>
  <c r="AT151" i="1" s="1"/>
  <c r="AT152" i="1" s="1"/>
  <c r="AT153" i="1" s="1"/>
  <c r="AT154" i="1" s="1"/>
  <c r="AT155" i="1" s="1"/>
  <c r="AT156" i="1" s="1"/>
  <c r="AT157" i="1" s="1"/>
  <c r="AT158" i="1" s="1"/>
  <c r="AT159" i="1" s="1"/>
  <c r="AT160" i="1" s="1"/>
  <c r="AT161" i="1" s="1"/>
  <c r="AT162" i="1" s="1"/>
  <c r="AT163" i="1" s="1"/>
  <c r="AT164" i="1" s="1"/>
  <c r="AT165" i="1" s="1"/>
  <c r="AT166" i="1" s="1"/>
  <c r="AT167" i="1" s="1"/>
  <c r="AT168" i="1" s="1"/>
  <c r="AT169" i="1" s="1"/>
  <c r="AT170" i="1" s="1"/>
  <c r="AT171" i="1" s="1"/>
  <c r="AT172" i="1" s="1"/>
  <c r="AT173" i="1" s="1"/>
  <c r="AT174" i="1" s="1"/>
  <c r="AT175" i="1" s="1"/>
  <c r="AT176" i="1" s="1"/>
  <c r="AT177" i="1" s="1"/>
  <c r="AT178" i="1" s="1"/>
  <c r="AT179" i="1" s="1"/>
  <c r="AT180" i="1" s="1"/>
  <c r="AT181" i="1" s="1"/>
  <c r="AT182" i="1" s="1"/>
  <c r="AT183" i="1" s="1"/>
  <c r="AT184" i="1" s="1"/>
  <c r="AT185" i="1" s="1"/>
  <c r="AT186" i="1" s="1"/>
  <c r="AT187" i="1" s="1"/>
  <c r="AT188" i="1" s="1"/>
  <c r="AT189" i="1" s="1"/>
  <c r="AT190" i="1" s="1"/>
  <c r="AT191" i="1" s="1"/>
  <c r="AT192" i="1" s="1"/>
  <c r="AT193" i="1" s="1"/>
  <c r="AT194" i="1" s="1"/>
  <c r="AT195" i="1" s="1"/>
  <c r="AT196" i="1" s="1"/>
  <c r="AT197" i="1" s="1"/>
  <c r="AT198" i="1" s="1"/>
  <c r="AT199" i="1" s="1"/>
  <c r="AT200" i="1" s="1"/>
  <c r="AT201" i="1" s="1"/>
  <c r="AT202" i="1" s="1"/>
  <c r="AT203" i="1" s="1"/>
  <c r="AT204" i="1" s="1"/>
  <c r="AT205" i="1" s="1"/>
  <c r="AT206" i="1" s="1"/>
  <c r="AT207" i="1" s="1"/>
  <c r="AT208" i="1" s="1"/>
  <c r="AT209" i="1" s="1"/>
  <c r="AT210" i="1" s="1"/>
  <c r="AT211" i="1" s="1"/>
  <c r="AT212" i="1" s="1"/>
  <c r="AT213" i="1" s="1"/>
  <c r="AT214" i="1" s="1"/>
  <c r="AT215" i="1" s="1"/>
  <c r="AT216" i="1" s="1"/>
  <c r="AT217" i="1" s="1"/>
  <c r="AT218" i="1" s="1"/>
  <c r="AT219" i="1" s="1"/>
  <c r="AT220" i="1" s="1"/>
  <c r="AT221" i="1" s="1"/>
  <c r="AT222" i="1" s="1"/>
  <c r="AT223" i="1" s="1"/>
  <c r="AT224" i="1" s="1"/>
  <c r="AT225" i="1" s="1"/>
  <c r="AT226" i="1" s="1"/>
  <c r="AT227" i="1" s="1"/>
  <c r="AT228" i="1" s="1"/>
  <c r="AT229" i="1" s="1"/>
  <c r="AT230" i="1" s="1"/>
  <c r="AT231" i="1" s="1"/>
  <c r="AT232" i="1" s="1"/>
  <c r="AT233" i="1" s="1"/>
  <c r="AT234" i="1" s="1"/>
  <c r="AT235" i="1" s="1"/>
  <c r="AT236" i="1" s="1"/>
  <c r="AT237" i="1" s="1"/>
  <c r="AT238" i="1" s="1"/>
  <c r="AT239" i="1" s="1"/>
  <c r="AT240" i="1" s="1"/>
  <c r="AT241" i="1" s="1"/>
  <c r="AT242" i="1" s="1"/>
  <c r="AT243" i="1" s="1"/>
  <c r="AT244" i="1" s="1"/>
  <c r="AT245" i="1" s="1"/>
  <c r="AT246" i="1" s="1"/>
  <c r="AT247" i="1" s="1"/>
  <c r="AT248" i="1" s="1"/>
  <c r="AT249" i="1" s="1"/>
  <c r="AT250" i="1" s="1"/>
  <c r="AT251" i="1" s="1"/>
  <c r="AT252" i="1" s="1"/>
  <c r="AT253" i="1" s="1"/>
  <c r="AT254" i="1" s="1"/>
  <c r="AT255" i="1" s="1"/>
  <c r="AT256" i="1" s="1"/>
  <c r="AT257" i="1" s="1"/>
  <c r="AT258" i="1" s="1"/>
  <c r="AT259" i="1" s="1"/>
  <c r="AT260" i="1" s="1"/>
  <c r="AT261" i="1" s="1"/>
  <c r="AT262" i="1" s="1"/>
  <c r="AT263" i="1" s="1"/>
  <c r="AT264" i="1" s="1"/>
  <c r="AT265" i="1" s="1"/>
  <c r="AT266" i="1" s="1"/>
  <c r="AT267" i="1" s="1"/>
  <c r="AT268" i="1" s="1"/>
  <c r="AT269" i="1" s="1"/>
  <c r="AT270" i="1" s="1"/>
  <c r="AT271" i="1" s="1"/>
  <c r="AT272" i="1" s="1"/>
  <c r="AT273" i="1" s="1"/>
  <c r="AT274" i="1" s="1"/>
  <c r="AT275" i="1" s="1"/>
  <c r="AT276" i="1" s="1"/>
  <c r="AT277" i="1" s="1"/>
  <c r="AT278" i="1" s="1"/>
  <c r="AT279" i="1" s="1"/>
  <c r="AT280" i="1" s="1"/>
  <c r="AT281" i="1" s="1"/>
  <c r="AT282" i="1" s="1"/>
  <c r="AT283" i="1" s="1"/>
  <c r="AT284" i="1" s="1"/>
  <c r="AT285" i="1" s="1"/>
  <c r="AT286" i="1" s="1"/>
  <c r="AT287" i="1" s="1"/>
  <c r="AT288" i="1" s="1"/>
  <c r="AT289" i="1" s="1"/>
  <c r="AT290" i="1" s="1"/>
  <c r="AT291" i="1" s="1"/>
  <c r="AT292" i="1" s="1"/>
  <c r="AT293" i="1" s="1"/>
  <c r="AT294" i="1" s="1"/>
  <c r="AT295" i="1" s="1"/>
  <c r="AT296" i="1" s="1"/>
  <c r="AT297" i="1" s="1"/>
  <c r="AT298" i="1" s="1"/>
  <c r="AT299" i="1" s="1"/>
  <c r="AT300" i="1" s="1"/>
  <c r="AT301" i="1" s="1"/>
  <c r="AT302" i="1" s="1"/>
  <c r="AT303" i="1" s="1"/>
  <c r="AT304" i="1" s="1"/>
  <c r="AT305" i="1" s="1"/>
  <c r="AT306" i="1" s="1"/>
  <c r="AT307" i="1" s="1"/>
  <c r="AT308" i="1" s="1"/>
  <c r="AT309" i="1" s="1"/>
  <c r="AT310" i="1" s="1"/>
  <c r="AT311" i="1" s="1"/>
  <c r="AT312" i="1" s="1"/>
  <c r="AT313" i="1" s="1"/>
  <c r="AT314" i="1" s="1"/>
  <c r="AT315" i="1" s="1"/>
  <c r="AT316" i="1" s="1"/>
  <c r="AT317" i="1" s="1"/>
  <c r="AT318" i="1" s="1"/>
  <c r="AT319" i="1" s="1"/>
  <c r="AT320" i="1" s="1"/>
  <c r="AT321" i="1" s="1"/>
  <c r="AT322" i="1" s="1"/>
  <c r="AT323" i="1" s="1"/>
  <c r="AT324" i="1" s="1"/>
  <c r="AT325" i="1" s="1"/>
  <c r="AT326" i="1" s="1"/>
  <c r="AT327" i="1" s="1"/>
  <c r="AT328" i="1" s="1"/>
  <c r="AT329" i="1" s="1"/>
  <c r="AT330" i="1" s="1"/>
  <c r="AT331" i="1" s="1"/>
  <c r="AT332" i="1" s="1"/>
  <c r="AT333" i="1" s="1"/>
  <c r="AT334" i="1" s="1"/>
  <c r="AT335" i="1" s="1"/>
  <c r="AT336" i="1" s="1"/>
  <c r="AT337" i="1" s="1"/>
  <c r="AT338" i="1" s="1"/>
  <c r="AT339" i="1" s="1"/>
  <c r="AT340" i="1" s="1"/>
  <c r="AT341" i="1" s="1"/>
  <c r="AT342" i="1" s="1"/>
  <c r="AT343" i="1" s="1"/>
  <c r="AT344" i="1" s="1"/>
  <c r="AT345" i="1" s="1"/>
  <c r="AT346" i="1" s="1"/>
  <c r="AT347" i="1" s="1"/>
  <c r="AT348" i="1" s="1"/>
  <c r="AT349" i="1" s="1"/>
  <c r="AT350" i="1" s="1"/>
  <c r="AT351" i="1" s="1"/>
  <c r="AT352" i="1" s="1"/>
  <c r="AT353" i="1" s="1"/>
  <c r="AT354" i="1" s="1"/>
  <c r="AT355" i="1" s="1"/>
  <c r="AT356" i="1" s="1"/>
  <c r="AT357" i="1" s="1"/>
  <c r="AT358" i="1" s="1"/>
  <c r="AT359" i="1" s="1"/>
  <c r="AT360" i="1" s="1"/>
  <c r="AT361" i="1" s="1"/>
  <c r="AT362" i="1" s="1"/>
  <c r="AT363" i="1" s="1"/>
  <c r="AT364" i="1" s="1"/>
  <c r="AT365" i="1" s="1"/>
  <c r="AT366" i="1" s="1"/>
  <c r="AT367" i="1" s="1"/>
  <c r="AT368" i="1" s="1"/>
  <c r="AT369" i="1" s="1"/>
  <c r="AT370" i="1" s="1"/>
  <c r="AT371" i="1" s="1"/>
  <c r="AT372" i="1" s="1"/>
  <c r="AT373" i="1" s="1"/>
  <c r="AT374" i="1" s="1"/>
  <c r="AT375" i="1" s="1"/>
  <c r="AT376" i="1" s="1"/>
  <c r="AT377" i="1" s="1"/>
  <c r="AT378" i="1" s="1"/>
  <c r="AT379" i="1" s="1"/>
  <c r="AT380" i="1" s="1"/>
  <c r="AT381" i="1" s="1"/>
  <c r="AT382" i="1" s="1"/>
  <c r="AT383" i="1" s="1"/>
  <c r="AT384" i="1" s="1"/>
  <c r="AT385" i="1" s="1"/>
  <c r="AT386" i="1" s="1"/>
  <c r="AT387" i="1" s="1"/>
  <c r="AT388" i="1" s="1"/>
  <c r="AT389" i="1" s="1"/>
  <c r="AT390" i="1" s="1"/>
  <c r="AT391" i="1" s="1"/>
  <c r="AT392" i="1" s="1"/>
  <c r="AT393" i="1" s="1"/>
  <c r="AT394" i="1" s="1"/>
  <c r="AT395" i="1" s="1"/>
  <c r="AT396" i="1" s="1"/>
  <c r="AT397" i="1" s="1"/>
  <c r="AT398" i="1" s="1"/>
  <c r="AT399" i="1" s="1"/>
  <c r="AT400" i="1" s="1"/>
  <c r="AT401" i="1" s="1"/>
  <c r="AT402" i="1" s="1"/>
  <c r="AT403" i="1" s="1"/>
  <c r="AT404" i="1" s="1"/>
  <c r="AT405" i="1" s="1"/>
  <c r="AT406" i="1" s="1"/>
  <c r="AT407" i="1" s="1"/>
  <c r="AT408" i="1" s="1"/>
  <c r="AT409" i="1" s="1"/>
  <c r="AT410" i="1" s="1"/>
  <c r="AT411" i="1" s="1"/>
  <c r="AT412" i="1" s="1"/>
  <c r="AT413" i="1" s="1"/>
  <c r="AT414" i="1" s="1"/>
  <c r="AT415" i="1" s="1"/>
  <c r="AT416" i="1" s="1"/>
  <c r="AT417" i="1" s="1"/>
  <c r="AT418" i="1" s="1"/>
  <c r="AT419" i="1" s="1"/>
  <c r="AT420" i="1" s="1"/>
  <c r="AT421" i="1" s="1"/>
  <c r="AT422" i="1" s="1"/>
  <c r="AT423" i="1" s="1"/>
  <c r="AT424" i="1" s="1"/>
  <c r="AT425" i="1" s="1"/>
  <c r="AT426" i="1" s="1"/>
  <c r="AT427" i="1" s="1"/>
  <c r="AT428" i="1" s="1"/>
  <c r="AT429" i="1" s="1"/>
  <c r="AT430" i="1" s="1"/>
  <c r="AT431" i="1" s="1"/>
  <c r="AT432" i="1" s="1"/>
  <c r="AT433" i="1" s="1"/>
  <c r="AT434" i="1" s="1"/>
  <c r="AT435" i="1" s="1"/>
  <c r="AT436" i="1" s="1"/>
  <c r="AT437" i="1" s="1"/>
  <c r="AT438" i="1" s="1"/>
  <c r="AT439" i="1" s="1"/>
  <c r="AT440" i="1" s="1"/>
  <c r="AT441" i="1" s="1"/>
  <c r="AT442" i="1" s="1"/>
  <c r="AT443" i="1" s="1"/>
  <c r="AT444" i="1" s="1"/>
  <c r="AT445" i="1" s="1"/>
  <c r="AT446" i="1" s="1"/>
  <c r="AT447" i="1" s="1"/>
  <c r="AT448" i="1" s="1"/>
  <c r="AT449" i="1" s="1"/>
  <c r="AT450" i="1" s="1"/>
  <c r="AT451" i="1" s="1"/>
  <c r="AT452" i="1" s="1"/>
  <c r="AT453" i="1" s="1"/>
  <c r="AT454" i="1" s="1"/>
  <c r="AT455" i="1" s="1"/>
  <c r="AT456" i="1" s="1"/>
  <c r="AT457" i="1" s="1"/>
  <c r="AT458" i="1" s="1"/>
  <c r="AT459" i="1" s="1"/>
  <c r="AT460" i="1" s="1"/>
  <c r="AT461" i="1" s="1"/>
  <c r="AT462" i="1" s="1"/>
  <c r="AT463" i="1" s="1"/>
  <c r="AT464" i="1" s="1"/>
  <c r="AT465" i="1" s="1"/>
  <c r="AT466" i="1" s="1"/>
  <c r="AT467" i="1" s="1"/>
  <c r="AT468" i="1" s="1"/>
  <c r="AT469" i="1" s="1"/>
  <c r="AT470" i="1" s="1"/>
  <c r="AT471" i="1" s="1"/>
  <c r="AT472" i="1" s="1"/>
  <c r="AT473" i="1" s="1"/>
  <c r="AT474" i="1" s="1"/>
  <c r="AT475" i="1" s="1"/>
  <c r="AT476" i="1" s="1"/>
  <c r="AT477" i="1" s="1"/>
  <c r="AT478" i="1" s="1"/>
  <c r="AT479" i="1" s="1"/>
  <c r="AT480" i="1" s="1"/>
  <c r="AT481" i="1" s="1"/>
  <c r="AT482" i="1" s="1"/>
  <c r="AT483" i="1" s="1"/>
  <c r="AT484" i="1" s="1"/>
  <c r="AT485" i="1" s="1"/>
  <c r="AT486" i="1" s="1"/>
  <c r="AT487" i="1" s="1"/>
  <c r="AT488" i="1" s="1"/>
  <c r="AT489" i="1" s="1"/>
  <c r="AT490" i="1" s="1"/>
  <c r="AT491" i="1" s="1"/>
  <c r="AT492" i="1" s="1"/>
  <c r="AT493" i="1" s="1"/>
  <c r="AT494" i="1" s="1"/>
  <c r="AT495" i="1" s="1"/>
  <c r="AT496" i="1" s="1"/>
  <c r="AT497" i="1" s="1"/>
  <c r="AT498" i="1" s="1"/>
  <c r="AT499" i="1" s="1"/>
  <c r="AT500" i="1" s="1"/>
  <c r="AT501" i="1" s="1"/>
  <c r="AT502" i="1" s="1"/>
  <c r="AT503" i="1" s="1"/>
  <c r="AT504" i="1" s="1"/>
  <c r="AT505" i="1" s="1"/>
  <c r="AT506" i="1" s="1"/>
  <c r="AT507" i="1" s="1"/>
  <c r="AT508" i="1" s="1"/>
  <c r="AT509" i="1" s="1"/>
  <c r="AT510" i="1" s="1"/>
  <c r="AT511" i="1" s="1"/>
  <c r="AT512" i="1" s="1"/>
  <c r="AT513" i="1" s="1"/>
  <c r="AT514" i="1" s="1"/>
  <c r="AT515" i="1" s="1"/>
  <c r="AT516" i="1" s="1"/>
  <c r="AT517" i="1" s="1"/>
  <c r="AT518" i="1" s="1"/>
  <c r="AT519" i="1" s="1"/>
  <c r="AT520" i="1" s="1"/>
  <c r="AT521" i="1" s="1"/>
  <c r="AT522" i="1" s="1"/>
  <c r="AT523" i="1" s="1"/>
  <c r="AT524" i="1" s="1"/>
  <c r="AT525" i="1" s="1"/>
  <c r="AT526" i="1" s="1"/>
  <c r="AT527" i="1" s="1"/>
  <c r="AT528" i="1" s="1"/>
  <c r="AT529" i="1" s="1"/>
  <c r="AT530" i="1" s="1"/>
  <c r="AT531" i="1" s="1"/>
  <c r="AT532" i="1" s="1"/>
  <c r="AT533" i="1" s="1"/>
  <c r="AT534" i="1" s="1"/>
  <c r="AT535" i="1" s="1"/>
  <c r="AT536" i="1" s="1"/>
  <c r="AT537" i="1" s="1"/>
  <c r="AT538" i="1" s="1"/>
  <c r="AT539" i="1" s="1"/>
  <c r="AT540" i="1" s="1"/>
  <c r="AT541" i="1" s="1"/>
  <c r="AT542" i="1" s="1"/>
  <c r="AT543" i="1" s="1"/>
  <c r="AT544" i="1" s="1"/>
  <c r="AT545" i="1" s="1"/>
  <c r="AT546" i="1" s="1"/>
  <c r="AT547" i="1" s="1"/>
  <c r="AT548" i="1" s="1"/>
  <c r="AT549" i="1" s="1"/>
  <c r="AT550" i="1" s="1"/>
  <c r="AT551" i="1" s="1"/>
  <c r="AT552" i="1" s="1"/>
  <c r="AT553" i="1" s="1"/>
  <c r="AT554" i="1" s="1"/>
  <c r="AT555" i="1" s="1"/>
  <c r="AT556" i="1" s="1"/>
  <c r="AT557" i="1" s="1"/>
  <c r="AT558" i="1" s="1"/>
  <c r="AT559" i="1" s="1"/>
  <c r="AT560" i="1" s="1"/>
  <c r="AT561" i="1" s="1"/>
  <c r="AT562" i="1" s="1"/>
  <c r="AT563" i="1" s="1"/>
  <c r="AT564" i="1" s="1"/>
  <c r="AT565" i="1" s="1"/>
  <c r="AT566" i="1" s="1"/>
  <c r="AT567" i="1" s="1"/>
  <c r="AT568" i="1" s="1"/>
  <c r="AT569" i="1" s="1"/>
  <c r="AT570" i="1" s="1"/>
  <c r="AT571" i="1" s="1"/>
  <c r="AT572" i="1" s="1"/>
  <c r="AT573" i="1" s="1"/>
  <c r="AT574" i="1" s="1"/>
  <c r="AT575" i="1" s="1"/>
  <c r="AT576" i="1" s="1"/>
  <c r="AT577" i="1" s="1"/>
  <c r="AT578" i="1" s="1"/>
  <c r="AT579" i="1" s="1"/>
  <c r="AT580" i="1" s="1"/>
  <c r="AT581" i="1" s="1"/>
  <c r="AT582" i="1" s="1"/>
  <c r="AT583" i="1" s="1"/>
  <c r="AT584" i="1" s="1"/>
  <c r="AT585" i="1" s="1"/>
  <c r="AT586" i="1" s="1"/>
  <c r="AT587" i="1" s="1"/>
  <c r="AT588" i="1" s="1"/>
  <c r="AT589" i="1" s="1"/>
  <c r="AT590" i="1" s="1"/>
  <c r="AT591" i="1" s="1"/>
  <c r="AT592" i="1" s="1"/>
  <c r="AT593" i="1" s="1"/>
  <c r="AT594" i="1" s="1"/>
  <c r="AT595" i="1" s="1"/>
  <c r="AT596" i="1" s="1"/>
  <c r="AT597" i="1" s="1"/>
  <c r="AT598" i="1" s="1"/>
  <c r="AT599" i="1" s="1"/>
  <c r="AT600" i="1" s="1"/>
  <c r="AT601" i="1" s="1"/>
  <c r="AT602" i="1" s="1"/>
  <c r="AT603" i="1" s="1"/>
  <c r="AT604" i="1" s="1"/>
  <c r="AT605" i="1" s="1"/>
  <c r="AT606" i="1" s="1"/>
  <c r="AT607" i="1" s="1"/>
  <c r="AT608" i="1" s="1"/>
  <c r="AT609" i="1" s="1"/>
  <c r="AT610" i="1" s="1"/>
  <c r="AT611" i="1" s="1"/>
  <c r="AT612" i="1" s="1"/>
  <c r="AT613" i="1" s="1"/>
  <c r="AT614" i="1" s="1"/>
  <c r="AT615" i="1" s="1"/>
  <c r="AT616" i="1" s="1"/>
  <c r="AT617" i="1" s="1"/>
  <c r="AT618" i="1" s="1"/>
  <c r="AT619" i="1" s="1"/>
  <c r="AT620" i="1" s="1"/>
  <c r="AT621" i="1" s="1"/>
  <c r="AT622" i="1" s="1"/>
  <c r="AT623" i="1" s="1"/>
  <c r="AT624" i="1" s="1"/>
  <c r="AT625" i="1" s="1"/>
  <c r="AT626" i="1" s="1"/>
  <c r="AT627" i="1" s="1"/>
  <c r="AT628" i="1" s="1"/>
  <c r="AT629" i="1" s="1"/>
  <c r="AT630" i="1" s="1"/>
  <c r="AT631" i="1" s="1"/>
  <c r="AT632" i="1" s="1"/>
  <c r="AT633" i="1" s="1"/>
  <c r="AT634" i="1" s="1"/>
  <c r="AT635" i="1" s="1"/>
  <c r="AT636" i="1" s="1"/>
  <c r="AT637" i="1" s="1"/>
  <c r="AT638" i="1" s="1"/>
  <c r="AT639" i="1" s="1"/>
  <c r="AT640" i="1" s="1"/>
  <c r="AT641" i="1" s="1"/>
  <c r="AT642" i="1" s="1"/>
  <c r="AT643" i="1" s="1"/>
  <c r="AT644" i="1" s="1"/>
  <c r="AT645" i="1" s="1"/>
  <c r="AT646" i="1" s="1"/>
  <c r="AT647" i="1" s="1"/>
  <c r="AT648" i="1" s="1"/>
  <c r="AT649" i="1" s="1"/>
  <c r="AT650" i="1" s="1"/>
  <c r="AT651" i="1" s="1"/>
  <c r="AT652" i="1" s="1"/>
  <c r="AT653" i="1" s="1"/>
  <c r="AT654" i="1" s="1"/>
  <c r="AT655" i="1" s="1"/>
  <c r="AT656" i="1" s="1"/>
  <c r="AT657" i="1" s="1"/>
  <c r="AT658" i="1" s="1"/>
  <c r="AT659" i="1" s="1"/>
  <c r="AT660" i="1" s="1"/>
  <c r="AT661" i="1" s="1"/>
  <c r="AT662" i="1" s="1"/>
  <c r="AT663" i="1" s="1"/>
  <c r="AT664" i="1" s="1"/>
  <c r="AT665" i="1" s="1"/>
  <c r="AT666" i="1" s="1"/>
  <c r="AT667" i="1" s="1"/>
  <c r="AT668" i="1" s="1"/>
  <c r="AT669" i="1" s="1"/>
  <c r="AT670" i="1" s="1"/>
  <c r="AT671" i="1" s="1"/>
  <c r="AT672" i="1" s="1"/>
  <c r="AT673" i="1" s="1"/>
  <c r="AT674" i="1" s="1"/>
  <c r="AT675" i="1" s="1"/>
  <c r="AT676" i="1" s="1"/>
  <c r="AT677" i="1" s="1"/>
  <c r="AT678" i="1" s="1"/>
  <c r="AT679" i="1" s="1"/>
  <c r="AT680" i="1" s="1"/>
  <c r="AT681" i="1" s="1"/>
  <c r="AT682" i="1" s="1"/>
  <c r="AT683" i="1" s="1"/>
  <c r="AT684" i="1" s="1"/>
  <c r="AT685" i="1" s="1"/>
  <c r="AT686" i="1" s="1"/>
  <c r="AT687" i="1" s="1"/>
  <c r="AT688" i="1" s="1"/>
  <c r="AT689" i="1" s="1"/>
  <c r="AT690" i="1" s="1"/>
  <c r="AT691" i="1" s="1"/>
  <c r="AT692" i="1" s="1"/>
  <c r="AT693" i="1" s="1"/>
  <c r="AT694" i="1" s="1"/>
  <c r="AT695" i="1" s="1"/>
  <c r="AT696" i="1" s="1"/>
  <c r="AT697" i="1" s="1"/>
  <c r="AT698" i="1" s="1"/>
  <c r="AT699" i="1" s="1"/>
  <c r="AT700" i="1" s="1"/>
  <c r="AT701" i="1" s="1"/>
  <c r="AT702" i="1" s="1"/>
  <c r="AT703" i="1" s="1"/>
  <c r="AT704" i="1" s="1"/>
  <c r="AT705" i="1" s="1"/>
  <c r="AT706" i="1" s="1"/>
  <c r="AT707" i="1" s="1"/>
  <c r="AT708" i="1" s="1"/>
  <c r="AT709" i="1" s="1"/>
  <c r="AT710" i="1" s="1"/>
  <c r="AT711" i="1" s="1"/>
  <c r="AT712" i="1" s="1"/>
  <c r="AT713" i="1" s="1"/>
  <c r="AT714" i="1" s="1"/>
  <c r="AT715" i="1" s="1"/>
  <c r="AT716" i="1" s="1"/>
  <c r="AT717" i="1" s="1"/>
  <c r="AT718" i="1" s="1"/>
  <c r="AT719" i="1" s="1"/>
  <c r="AT720" i="1" s="1"/>
  <c r="AT721" i="1" s="1"/>
  <c r="AT722" i="1" s="1"/>
  <c r="AT723" i="1" s="1"/>
  <c r="AT724" i="1" s="1"/>
  <c r="AT725" i="1" s="1"/>
  <c r="AT726" i="1" s="1"/>
  <c r="AT727" i="1" s="1"/>
  <c r="AT728" i="1" s="1"/>
  <c r="AT729" i="1" s="1"/>
  <c r="AT730" i="1" s="1"/>
  <c r="AT731" i="1" s="1"/>
  <c r="AT732" i="1" s="1"/>
  <c r="AT733" i="1" s="1"/>
  <c r="AT734" i="1" s="1"/>
  <c r="AT735" i="1" s="1"/>
  <c r="AT736" i="1" s="1"/>
  <c r="AT737" i="1" s="1"/>
  <c r="AT738" i="1" s="1"/>
  <c r="AT739" i="1" s="1"/>
  <c r="AT740" i="1" s="1"/>
  <c r="AT741" i="1" s="1"/>
  <c r="AT742" i="1" s="1"/>
  <c r="AT743" i="1" s="1"/>
  <c r="AT744" i="1" s="1"/>
  <c r="AT745" i="1" s="1"/>
  <c r="AT746" i="1" s="1"/>
  <c r="AT747" i="1" s="1"/>
  <c r="AT748" i="1" s="1"/>
  <c r="AT749" i="1" s="1"/>
  <c r="AT750" i="1" s="1"/>
  <c r="AT751" i="1" s="1"/>
  <c r="AT752" i="1" s="1"/>
  <c r="AT753" i="1" s="1"/>
  <c r="AT754" i="1" s="1"/>
  <c r="AT755" i="1" s="1"/>
  <c r="AT756" i="1" s="1"/>
  <c r="AT757" i="1" s="1"/>
  <c r="AT758" i="1" s="1"/>
  <c r="AT759" i="1" s="1"/>
  <c r="AT760" i="1" s="1"/>
  <c r="AT761" i="1" s="1"/>
  <c r="AT762" i="1" s="1"/>
  <c r="AT763" i="1" s="1"/>
  <c r="AT764" i="1" s="1"/>
  <c r="AT765" i="1" s="1"/>
  <c r="AT766" i="1" s="1"/>
  <c r="AT767" i="1" s="1"/>
  <c r="AT768" i="1" s="1"/>
  <c r="AT769" i="1" s="1"/>
  <c r="AT770" i="1" s="1"/>
  <c r="AT771" i="1" s="1"/>
  <c r="AT772" i="1" s="1"/>
  <c r="AT773" i="1" s="1"/>
  <c r="AT774" i="1" s="1"/>
  <c r="AT775" i="1" s="1"/>
  <c r="AT776" i="1" s="1"/>
  <c r="AT777" i="1" s="1"/>
  <c r="AT778" i="1" s="1"/>
  <c r="AT779" i="1" s="1"/>
  <c r="AT780" i="1" s="1"/>
  <c r="AT781" i="1" s="1"/>
  <c r="AT782" i="1" s="1"/>
  <c r="AT783" i="1" s="1"/>
  <c r="AT784" i="1" s="1"/>
  <c r="AT785" i="1" s="1"/>
  <c r="AT786" i="1" s="1"/>
  <c r="AT787" i="1" s="1"/>
  <c r="AT788" i="1" s="1"/>
  <c r="AT789" i="1" s="1"/>
  <c r="AT790" i="1" s="1"/>
  <c r="AT791" i="1" s="1"/>
  <c r="AT792" i="1" s="1"/>
  <c r="AT793" i="1" s="1"/>
  <c r="AT794" i="1" s="1"/>
  <c r="AT795" i="1" s="1"/>
  <c r="AT796" i="1" s="1"/>
  <c r="AT797" i="1" s="1"/>
  <c r="AT798" i="1" s="1"/>
  <c r="AT799" i="1" s="1"/>
  <c r="AT800" i="1" s="1"/>
  <c r="AT801" i="1" s="1"/>
  <c r="AT802" i="1" s="1"/>
  <c r="AT803" i="1" s="1"/>
  <c r="AT804" i="1" s="1"/>
  <c r="AT805" i="1" s="1"/>
  <c r="AT806" i="1" s="1"/>
  <c r="AT807" i="1" s="1"/>
  <c r="AT808" i="1" s="1"/>
  <c r="AT809" i="1" s="1"/>
  <c r="AT810" i="1" s="1"/>
  <c r="AT811" i="1" s="1"/>
  <c r="AT812" i="1" s="1"/>
  <c r="AT813" i="1" s="1"/>
  <c r="AT814" i="1" s="1"/>
  <c r="AT815" i="1" s="1"/>
  <c r="AT816" i="1" s="1"/>
  <c r="AT817" i="1" s="1"/>
  <c r="AT818" i="1" s="1"/>
  <c r="AT819" i="1" s="1"/>
  <c r="AT820" i="1" s="1"/>
  <c r="AT821" i="1" s="1"/>
  <c r="AT822" i="1" s="1"/>
  <c r="AT823" i="1" s="1"/>
  <c r="AT824" i="1" s="1"/>
  <c r="AT825" i="1" s="1"/>
  <c r="AT826" i="1" s="1"/>
  <c r="AT827" i="1" s="1"/>
  <c r="AT828" i="1" s="1"/>
  <c r="AT829" i="1" s="1"/>
  <c r="AT830" i="1" s="1"/>
  <c r="AT831" i="1" s="1"/>
  <c r="AT832" i="1" s="1"/>
  <c r="AT833" i="1" s="1"/>
  <c r="AT834" i="1" s="1"/>
  <c r="AT835" i="1" s="1"/>
  <c r="AT836" i="1" s="1"/>
  <c r="AT837" i="1" s="1"/>
  <c r="AT838" i="1" s="1"/>
  <c r="AT839" i="1" s="1"/>
  <c r="AT840" i="1" s="1"/>
  <c r="AT841" i="1" s="1"/>
  <c r="AT842" i="1" s="1"/>
  <c r="AT843" i="1" s="1"/>
  <c r="AT844" i="1" s="1"/>
  <c r="AT845" i="1" s="1"/>
  <c r="AT846" i="1" s="1"/>
  <c r="AT847" i="1" s="1"/>
  <c r="AT848" i="1" s="1"/>
  <c r="AT849" i="1" s="1"/>
  <c r="AT850" i="1" s="1"/>
  <c r="AT851" i="1" s="1"/>
  <c r="AT852" i="1" s="1"/>
  <c r="AT853" i="1" s="1"/>
  <c r="AT854" i="1" s="1"/>
  <c r="AT855" i="1" s="1"/>
  <c r="AT856" i="1" s="1"/>
  <c r="AT857" i="1" s="1"/>
  <c r="AT858" i="1" s="1"/>
  <c r="AT859" i="1" s="1"/>
  <c r="AT860" i="1" s="1"/>
  <c r="AT861" i="1" s="1"/>
  <c r="AT862" i="1" s="1"/>
  <c r="AT863" i="1" s="1"/>
  <c r="AT864" i="1" s="1"/>
  <c r="AT865" i="1" s="1"/>
  <c r="AT866" i="1" s="1"/>
  <c r="AT867" i="1" s="1"/>
  <c r="AT868" i="1" s="1"/>
  <c r="AT869" i="1" s="1"/>
  <c r="AT870" i="1" s="1"/>
  <c r="AT871" i="1" s="1"/>
  <c r="AT872" i="1" s="1"/>
  <c r="AT873" i="1" s="1"/>
  <c r="AT874" i="1" s="1"/>
  <c r="AT875" i="1" s="1"/>
  <c r="AT876" i="1" s="1"/>
  <c r="AT877" i="1" s="1"/>
  <c r="AT878" i="1" s="1"/>
  <c r="AT879" i="1" s="1"/>
  <c r="AT880" i="1" s="1"/>
  <c r="AT881" i="1" s="1"/>
  <c r="AT882" i="1" s="1"/>
  <c r="AT883" i="1" s="1"/>
  <c r="AT884" i="1" s="1"/>
  <c r="AT885" i="1" s="1"/>
  <c r="AT886" i="1" s="1"/>
  <c r="AT887" i="1" s="1"/>
  <c r="AT888" i="1" s="1"/>
  <c r="AT889" i="1" s="1"/>
  <c r="AT890" i="1" s="1"/>
  <c r="AT891" i="1" s="1"/>
  <c r="AT892" i="1" s="1"/>
  <c r="AT893" i="1" s="1"/>
  <c r="AT894" i="1" s="1"/>
  <c r="AT895" i="1" s="1"/>
  <c r="AT896" i="1" s="1"/>
  <c r="AT897" i="1" s="1"/>
  <c r="AT898" i="1" s="1"/>
  <c r="AT899" i="1" s="1"/>
  <c r="AT900" i="1" s="1"/>
  <c r="AT901" i="1" s="1"/>
  <c r="AT902" i="1" s="1"/>
  <c r="AT903" i="1" s="1"/>
  <c r="AT904" i="1" s="1"/>
  <c r="AT905" i="1" s="1"/>
  <c r="AT906" i="1" s="1"/>
  <c r="AT907" i="1" s="1"/>
  <c r="AT908" i="1" s="1"/>
  <c r="AT909" i="1" s="1"/>
  <c r="AT910" i="1" s="1"/>
  <c r="AT911" i="1" s="1"/>
  <c r="AT912" i="1" s="1"/>
  <c r="AT913" i="1" s="1"/>
  <c r="AT914" i="1" s="1"/>
  <c r="AT915" i="1" s="1"/>
  <c r="AT916" i="1" s="1"/>
  <c r="AT917" i="1" s="1"/>
  <c r="AT918" i="1" s="1"/>
  <c r="AT919" i="1" s="1"/>
  <c r="AT920" i="1" s="1"/>
  <c r="AT921" i="1" s="1"/>
  <c r="AT922" i="1" s="1"/>
  <c r="AT923" i="1" s="1"/>
  <c r="AT924" i="1" s="1"/>
  <c r="AT925" i="1" s="1"/>
  <c r="AT926" i="1" s="1"/>
  <c r="AT927" i="1" s="1"/>
  <c r="AT928" i="1" s="1"/>
  <c r="AT929" i="1" s="1"/>
  <c r="AT930" i="1" s="1"/>
  <c r="AT931" i="1" s="1"/>
  <c r="AT932" i="1" s="1"/>
  <c r="AT933" i="1" s="1"/>
  <c r="AT934" i="1" s="1"/>
  <c r="AT935" i="1" s="1"/>
  <c r="AT936" i="1" s="1"/>
  <c r="AT937" i="1" s="1"/>
  <c r="AT938" i="1" s="1"/>
  <c r="AT939" i="1" s="1"/>
  <c r="AT940" i="1" s="1"/>
  <c r="AT941" i="1" s="1"/>
  <c r="AT942" i="1" s="1"/>
  <c r="AT943" i="1" s="1"/>
  <c r="AT944" i="1" s="1"/>
  <c r="AT945" i="1" s="1"/>
  <c r="AT946" i="1" s="1"/>
  <c r="AT947" i="1" s="1"/>
  <c r="AT948" i="1" s="1"/>
  <c r="AT949" i="1" s="1"/>
  <c r="AT950" i="1" s="1"/>
  <c r="AT951" i="1" s="1"/>
  <c r="AT952" i="1" s="1"/>
  <c r="AT953" i="1" s="1"/>
  <c r="AT954" i="1" s="1"/>
  <c r="AT955" i="1" s="1"/>
  <c r="AT956" i="1" s="1"/>
  <c r="AT957" i="1" s="1"/>
  <c r="AT958" i="1" s="1"/>
  <c r="AT959" i="1" s="1"/>
  <c r="AT960" i="1" s="1"/>
  <c r="AT961" i="1" s="1"/>
  <c r="AT962" i="1" s="1"/>
  <c r="AT963" i="1" s="1"/>
  <c r="AT964" i="1" s="1"/>
  <c r="AT965" i="1" s="1"/>
  <c r="AT966" i="1" s="1"/>
  <c r="AT967" i="1" s="1"/>
  <c r="AT968" i="1" s="1"/>
  <c r="AT969" i="1" s="1"/>
  <c r="AT970" i="1" s="1"/>
  <c r="AT971" i="1" s="1"/>
  <c r="AT972" i="1" s="1"/>
  <c r="AT973" i="1" s="1"/>
  <c r="AT974" i="1" s="1"/>
  <c r="AT975" i="1" s="1"/>
  <c r="AT976" i="1" s="1"/>
  <c r="AT977" i="1" s="1"/>
  <c r="AT978" i="1" s="1"/>
  <c r="AT979" i="1" s="1"/>
  <c r="AT980" i="1" s="1"/>
  <c r="AT981" i="1" s="1"/>
  <c r="AT982" i="1" s="1"/>
  <c r="AT983" i="1" s="1"/>
  <c r="AT984" i="1" s="1"/>
  <c r="AT985" i="1" s="1"/>
  <c r="AT986" i="1" s="1"/>
  <c r="AT987" i="1" s="1"/>
  <c r="AT988" i="1" s="1"/>
  <c r="AT989" i="1" s="1"/>
  <c r="AT990" i="1" s="1"/>
  <c r="AT991" i="1" s="1"/>
  <c r="AT992" i="1" s="1"/>
  <c r="AT993" i="1" s="1"/>
  <c r="AT994" i="1" s="1"/>
  <c r="AT995" i="1" s="1"/>
  <c r="AT996" i="1" s="1"/>
  <c r="AT997" i="1" s="1"/>
  <c r="AT998" i="1" s="1"/>
  <c r="AT999" i="1" s="1"/>
  <c r="AT1000" i="1" s="1"/>
  <c r="AT1001" i="1" s="1"/>
  <c r="AT1002" i="1" s="1"/>
  <c r="AT1003" i="1" s="1"/>
  <c r="AT1004" i="1" s="1"/>
  <c r="AT1005" i="1" s="1"/>
  <c r="AT1006" i="1" s="1"/>
  <c r="AT1007" i="1" s="1"/>
  <c r="AT1008" i="1" s="1"/>
  <c r="AT1009" i="1" s="1"/>
  <c r="AT1010" i="1" s="1"/>
  <c r="AT1011" i="1" s="1"/>
  <c r="AT1012" i="1" s="1"/>
  <c r="AT1013" i="1" s="1"/>
  <c r="AT1014" i="1" s="1"/>
  <c r="AT1015" i="1" s="1"/>
  <c r="AT1016" i="1" s="1"/>
  <c r="AT1017" i="1" s="1"/>
  <c r="AT1018" i="1" s="1"/>
  <c r="AT1019" i="1" s="1"/>
  <c r="AT1020" i="1" s="1"/>
  <c r="AT1021" i="1" s="1"/>
  <c r="AT1022" i="1" s="1"/>
  <c r="AT1023" i="1" s="1"/>
  <c r="AT1024" i="1" s="1"/>
  <c r="AT1025" i="1" s="1"/>
  <c r="AT1026" i="1" s="1"/>
  <c r="AT1027" i="1" s="1"/>
  <c r="AT1028" i="1" s="1"/>
  <c r="AT1029" i="1" s="1"/>
  <c r="AT1030" i="1" s="1"/>
  <c r="AT1031" i="1" s="1"/>
  <c r="AT1032" i="1" s="1"/>
  <c r="AT1033" i="1" s="1"/>
  <c r="AT1034" i="1" s="1"/>
  <c r="AT1035" i="1" s="1"/>
  <c r="AT1036" i="1" s="1"/>
  <c r="AT1037" i="1" s="1"/>
  <c r="AT1038" i="1" s="1"/>
  <c r="AT1039" i="1" s="1"/>
  <c r="AT1040" i="1" s="1"/>
  <c r="AT1041" i="1" s="1"/>
  <c r="AT1042" i="1" s="1"/>
  <c r="AT1043" i="1" s="1"/>
  <c r="AT1044" i="1" s="1"/>
  <c r="AT1045" i="1" s="1"/>
  <c r="AT1046" i="1" s="1"/>
  <c r="AT1047" i="1" s="1"/>
  <c r="AT1048" i="1" s="1"/>
  <c r="AT1049" i="1" s="1"/>
  <c r="AT1050" i="1" s="1"/>
  <c r="AT1051" i="1" s="1"/>
  <c r="AT1052" i="1" s="1"/>
  <c r="AT1053" i="1" s="1"/>
  <c r="AT1054" i="1" s="1"/>
  <c r="AT1055" i="1" s="1"/>
  <c r="AT1056" i="1" s="1"/>
  <c r="AT1057" i="1" s="1"/>
  <c r="AT1058" i="1" s="1"/>
  <c r="AT1059" i="1" s="1"/>
  <c r="AT1060" i="1" s="1"/>
  <c r="AT1061" i="1" s="1"/>
  <c r="AT1062" i="1" s="1"/>
  <c r="AT1063" i="1" s="1"/>
  <c r="AT1064" i="1" s="1"/>
  <c r="AT1065" i="1" s="1"/>
  <c r="AT1066" i="1" s="1"/>
  <c r="AT1067" i="1" s="1"/>
  <c r="AT1068" i="1" s="1"/>
  <c r="AT1069" i="1" s="1"/>
  <c r="AT1070" i="1" s="1"/>
  <c r="AT1071" i="1" s="1"/>
  <c r="AT1072" i="1" s="1"/>
  <c r="AT1073" i="1" s="1"/>
  <c r="AT1074" i="1" s="1"/>
  <c r="AT1075" i="1" s="1"/>
  <c r="AT1076" i="1" s="1"/>
  <c r="AT1077" i="1" s="1"/>
  <c r="AT1078" i="1" s="1"/>
  <c r="AT1079" i="1" s="1"/>
  <c r="AT1080" i="1" s="1"/>
  <c r="AT1081" i="1" s="1"/>
  <c r="AT1082" i="1" s="1"/>
  <c r="AT1083" i="1" s="1"/>
  <c r="AT1084" i="1" s="1"/>
  <c r="AT1085" i="1" s="1"/>
  <c r="AT1086" i="1" s="1"/>
  <c r="AT1087" i="1" s="1"/>
  <c r="AT1088" i="1" s="1"/>
  <c r="AT1089" i="1" s="1"/>
  <c r="AT1090" i="1" s="1"/>
  <c r="AT1091" i="1" s="1"/>
  <c r="AT1092" i="1" s="1"/>
  <c r="AT1093" i="1" s="1"/>
  <c r="AT1094" i="1" s="1"/>
  <c r="AT1095" i="1" s="1"/>
  <c r="AT1096" i="1" s="1"/>
  <c r="AT1097" i="1" s="1"/>
  <c r="AT1098" i="1" s="1"/>
  <c r="AT1099" i="1" s="1"/>
  <c r="AT1100" i="1" s="1"/>
  <c r="AT1101" i="1" s="1"/>
  <c r="AT1102" i="1" s="1"/>
  <c r="AT1103" i="1" s="1"/>
  <c r="AT1104" i="1" s="1"/>
  <c r="AT1105" i="1" s="1"/>
  <c r="AT1106" i="1" s="1"/>
  <c r="AT1107" i="1" s="1"/>
  <c r="AT1108" i="1" s="1"/>
  <c r="AT1109" i="1" s="1"/>
  <c r="AT1110" i="1" s="1"/>
  <c r="AT1111" i="1" s="1"/>
  <c r="AT1112" i="1" s="1"/>
  <c r="AT1113" i="1" s="1"/>
  <c r="AT1114" i="1" s="1"/>
  <c r="AT1115" i="1" s="1"/>
  <c r="AT1116" i="1" s="1"/>
  <c r="AT1117" i="1" s="1"/>
  <c r="AT1118" i="1" s="1"/>
  <c r="AT1119" i="1" s="1"/>
  <c r="AT1120" i="1" s="1"/>
  <c r="AT1121" i="1" s="1"/>
  <c r="AT1122" i="1" s="1"/>
  <c r="AT1123" i="1" s="1"/>
  <c r="AT1124" i="1" s="1"/>
  <c r="AT1125" i="1" s="1"/>
  <c r="AT1126" i="1" s="1"/>
  <c r="AT1127" i="1" s="1"/>
  <c r="AT1128" i="1" s="1"/>
  <c r="AT1129" i="1" s="1"/>
  <c r="AT1130" i="1" s="1"/>
  <c r="AT1131" i="1" s="1"/>
  <c r="AT1132" i="1" s="1"/>
  <c r="AT1133" i="1" s="1"/>
  <c r="AT1134" i="1" s="1"/>
  <c r="AT1135" i="1" s="1"/>
  <c r="AT1136" i="1" s="1"/>
  <c r="AT1137" i="1" s="1"/>
  <c r="AT1138" i="1" s="1"/>
  <c r="AT1139" i="1" s="1"/>
  <c r="AT1140" i="1" s="1"/>
  <c r="AT1141" i="1" s="1"/>
  <c r="AT1142" i="1" s="1"/>
  <c r="AT1143" i="1" s="1"/>
  <c r="AT1144" i="1" s="1"/>
  <c r="AT1145" i="1" s="1"/>
  <c r="AT1146" i="1" s="1"/>
  <c r="AT1147" i="1" s="1"/>
  <c r="AT1148" i="1" s="1"/>
  <c r="AT1149" i="1" s="1"/>
  <c r="AT1150" i="1" s="1"/>
  <c r="AT1151" i="1" s="1"/>
  <c r="AT1152" i="1" s="1"/>
  <c r="AT1153" i="1" s="1"/>
  <c r="AT1154" i="1" s="1"/>
  <c r="AT1155" i="1" s="1"/>
  <c r="AT1156" i="1" s="1"/>
  <c r="AT1157" i="1" s="1"/>
  <c r="AT1158" i="1" s="1"/>
  <c r="AT1159" i="1" s="1"/>
  <c r="AT1160" i="1" s="1"/>
  <c r="AT1161" i="1" s="1"/>
  <c r="AT1162" i="1" s="1"/>
  <c r="AT1163" i="1" s="1"/>
  <c r="AT1164" i="1" s="1"/>
  <c r="AT1165" i="1" s="1"/>
  <c r="AT1166" i="1" s="1"/>
  <c r="AT1167" i="1" s="1"/>
  <c r="AT1168" i="1" s="1"/>
  <c r="AT1169" i="1" s="1"/>
  <c r="AT1170" i="1" s="1"/>
  <c r="AT1171" i="1" s="1"/>
  <c r="AT1172" i="1" s="1"/>
  <c r="AT1173" i="1" s="1"/>
  <c r="AT1174" i="1" s="1"/>
  <c r="AT1175" i="1" s="1"/>
  <c r="AT1176" i="1" s="1"/>
  <c r="AT1177" i="1" s="1"/>
  <c r="AT1178" i="1" s="1"/>
  <c r="AT1179" i="1" s="1"/>
  <c r="AT1180" i="1" s="1"/>
  <c r="AT1181" i="1" s="1"/>
  <c r="AT1182" i="1" s="1"/>
  <c r="AT1183" i="1" s="1"/>
  <c r="AT1184" i="1" s="1"/>
  <c r="AT1185" i="1" s="1"/>
  <c r="AT1186" i="1" s="1"/>
  <c r="AT1187" i="1" s="1"/>
  <c r="AT1188" i="1" s="1"/>
  <c r="AT1189" i="1" s="1"/>
  <c r="AT1190" i="1" s="1"/>
  <c r="AT1191" i="1" s="1"/>
  <c r="AT1192" i="1" s="1"/>
  <c r="AT1193" i="1" s="1"/>
  <c r="AT1194" i="1" s="1"/>
  <c r="AT1195" i="1" s="1"/>
  <c r="AT1196" i="1" s="1"/>
  <c r="AT1197" i="1" s="1"/>
  <c r="AT1198" i="1" s="1"/>
  <c r="AT1199" i="1" s="1"/>
  <c r="AT1200" i="1" s="1"/>
  <c r="AT1201" i="1" s="1"/>
  <c r="AT1202" i="1" s="1"/>
  <c r="AT1203" i="1" s="1"/>
  <c r="AT1204" i="1" s="1"/>
  <c r="AT1205" i="1" s="1"/>
  <c r="AT1206" i="1" s="1"/>
  <c r="AT1207" i="1" s="1"/>
  <c r="AT1208" i="1" s="1"/>
  <c r="AT1209" i="1" s="1"/>
  <c r="AT1210" i="1" s="1"/>
  <c r="AT1211" i="1" s="1"/>
  <c r="AT1212" i="1" s="1"/>
  <c r="AT1213" i="1" s="1"/>
  <c r="AT1214" i="1" s="1"/>
  <c r="AT1215" i="1" s="1"/>
  <c r="AT1216" i="1" s="1"/>
  <c r="AT1217" i="1" s="1"/>
  <c r="AT1218" i="1" s="1"/>
  <c r="AT1219" i="1" s="1"/>
  <c r="AT1220" i="1" s="1"/>
  <c r="AT1221" i="1" s="1"/>
  <c r="AT1222" i="1" s="1"/>
  <c r="AT1223" i="1" s="1"/>
  <c r="AT1224" i="1" s="1"/>
  <c r="AT1225" i="1" s="1"/>
  <c r="AT1226" i="1" s="1"/>
  <c r="AT1227" i="1" s="1"/>
  <c r="AT1228" i="1" s="1"/>
  <c r="AT1229" i="1" s="1"/>
  <c r="AT1230" i="1" s="1"/>
  <c r="AT1231" i="1" s="1"/>
  <c r="AT1232" i="1" s="1"/>
  <c r="AT1233" i="1" s="1"/>
  <c r="AT1234" i="1" s="1"/>
  <c r="AT1235" i="1" s="1"/>
  <c r="AT1236" i="1" s="1"/>
  <c r="AT1237" i="1" s="1"/>
  <c r="AT1238" i="1" s="1"/>
  <c r="AT1239" i="1" s="1"/>
  <c r="AT1240" i="1" s="1"/>
  <c r="AT1241" i="1" s="1"/>
  <c r="AT1242" i="1" s="1"/>
  <c r="AT1243" i="1" s="1"/>
  <c r="AT1244" i="1" s="1"/>
  <c r="AT1245" i="1" s="1"/>
  <c r="AT1246" i="1" s="1"/>
  <c r="AT1247" i="1" s="1"/>
  <c r="AT1248" i="1" s="1"/>
  <c r="AT1249" i="1" s="1"/>
  <c r="AT1250" i="1" s="1"/>
  <c r="AT1251" i="1" s="1"/>
  <c r="AT1252" i="1" s="1"/>
  <c r="AT1253" i="1" s="1"/>
  <c r="AT1254" i="1" s="1"/>
  <c r="AT1255" i="1" s="1"/>
  <c r="AT1256" i="1" s="1"/>
  <c r="AT1257" i="1" s="1"/>
  <c r="AT1258" i="1" s="1"/>
  <c r="AT1259" i="1" s="1"/>
  <c r="AT1260" i="1" s="1"/>
  <c r="AT1261" i="1" s="1"/>
  <c r="AT1262" i="1" s="1"/>
  <c r="AT1263" i="1" s="1"/>
  <c r="AT1264" i="1" s="1"/>
  <c r="AT1265" i="1" s="1"/>
  <c r="AT1266" i="1" s="1"/>
  <c r="AT1267" i="1" s="1"/>
  <c r="AT1268" i="1" s="1"/>
  <c r="AT1269" i="1" s="1"/>
  <c r="AT1270" i="1" s="1"/>
  <c r="AT1271" i="1" s="1"/>
  <c r="AT1272" i="1" s="1"/>
  <c r="AT1273" i="1" s="1"/>
  <c r="AT1274" i="1" s="1"/>
  <c r="AT1275" i="1" s="1"/>
  <c r="AT1276" i="1" s="1"/>
  <c r="AT1277" i="1" s="1"/>
  <c r="AT1278" i="1" s="1"/>
  <c r="AT1279" i="1" s="1"/>
  <c r="AT1280" i="1" s="1"/>
  <c r="AT1281" i="1" s="1"/>
  <c r="AT1282" i="1" s="1"/>
  <c r="AT1283" i="1" s="1"/>
  <c r="AT1284" i="1" s="1"/>
  <c r="AT1285" i="1" s="1"/>
  <c r="AT1286" i="1" s="1"/>
  <c r="AT1287" i="1" s="1"/>
  <c r="AT1288" i="1" s="1"/>
  <c r="AT1289" i="1" s="1"/>
  <c r="AT1290" i="1" s="1"/>
  <c r="AT1291" i="1" s="1"/>
  <c r="AT1292" i="1" s="1"/>
  <c r="AT1293" i="1" s="1"/>
  <c r="AT1294" i="1" s="1"/>
  <c r="AT1295" i="1" s="1"/>
  <c r="AT1296" i="1" s="1"/>
  <c r="AT1297" i="1" s="1"/>
  <c r="AT1298" i="1" s="1"/>
  <c r="AT1299" i="1" s="1"/>
  <c r="AT1300" i="1" s="1"/>
  <c r="AT1301" i="1" s="1"/>
  <c r="AT1302" i="1" s="1"/>
  <c r="AT1303" i="1" s="1"/>
  <c r="AT1304" i="1" s="1"/>
  <c r="AT1305" i="1" s="1"/>
  <c r="AT1306" i="1" s="1"/>
  <c r="AT1307" i="1" s="1"/>
  <c r="AT1308" i="1" s="1"/>
  <c r="AT1309" i="1" s="1"/>
  <c r="AT1310" i="1" s="1"/>
  <c r="AT1311" i="1" s="1"/>
  <c r="AT1312" i="1" s="1"/>
  <c r="AT1313" i="1" s="1"/>
  <c r="AT1314" i="1" s="1"/>
  <c r="AT1315" i="1" s="1"/>
  <c r="AT1316" i="1" s="1"/>
  <c r="AT1317" i="1" s="1"/>
  <c r="AT1318" i="1" s="1"/>
  <c r="AT1319" i="1" s="1"/>
  <c r="AT1320" i="1" s="1"/>
  <c r="AT1321" i="1" s="1"/>
  <c r="AT1322" i="1" s="1"/>
  <c r="AT1323" i="1" s="1"/>
  <c r="AT1324" i="1" s="1"/>
  <c r="AT1325" i="1" s="1"/>
  <c r="AT1326" i="1" s="1"/>
  <c r="AT1327" i="1" s="1"/>
  <c r="AT1328" i="1" s="1"/>
  <c r="AT1329" i="1" s="1"/>
  <c r="AT1330" i="1" s="1"/>
  <c r="AT1331" i="1" s="1"/>
  <c r="AT1332" i="1" s="1"/>
  <c r="AT1333" i="1" s="1"/>
  <c r="AT1334" i="1" s="1"/>
  <c r="AT1335" i="1" s="1"/>
  <c r="AT1336" i="1" s="1"/>
  <c r="AT1337" i="1" s="1"/>
  <c r="AT1338" i="1" s="1"/>
  <c r="AT1339" i="1" s="1"/>
  <c r="AT1340" i="1" s="1"/>
  <c r="AT1341" i="1" s="1"/>
  <c r="AT1342" i="1" s="1"/>
  <c r="AT1343" i="1" s="1"/>
  <c r="AT1344" i="1" s="1"/>
  <c r="AT1345" i="1" s="1"/>
  <c r="AT1346" i="1" s="1"/>
  <c r="AT1347" i="1" s="1"/>
  <c r="AT1348" i="1" s="1"/>
  <c r="AT1349" i="1" s="1"/>
  <c r="AT1350" i="1" s="1"/>
  <c r="AT1351" i="1" s="1"/>
  <c r="AT1352" i="1" s="1"/>
  <c r="AT1353" i="1" s="1"/>
  <c r="AT1354" i="1" s="1"/>
  <c r="AT1355" i="1" s="1"/>
  <c r="AT1356" i="1" s="1"/>
  <c r="AT1357" i="1" s="1"/>
  <c r="AT1358" i="1" s="1"/>
  <c r="AT1359" i="1" s="1"/>
  <c r="AT1360" i="1" s="1"/>
  <c r="AT1361" i="1" s="1"/>
  <c r="AT1362" i="1" s="1"/>
  <c r="AT1363" i="1" s="1"/>
  <c r="AT1364" i="1" s="1"/>
  <c r="AT1365" i="1" s="1"/>
  <c r="AT1366" i="1" s="1"/>
  <c r="AT1367" i="1" s="1"/>
  <c r="AT1368" i="1" s="1"/>
  <c r="AT1369" i="1" s="1"/>
  <c r="AT1370" i="1" s="1"/>
  <c r="AT1371" i="1" s="1"/>
  <c r="AT1372" i="1" s="1"/>
  <c r="AT1373" i="1" s="1"/>
  <c r="AT1374" i="1" s="1"/>
  <c r="AT1375" i="1" s="1"/>
  <c r="AT1376" i="1" s="1"/>
  <c r="AT1377" i="1" s="1"/>
  <c r="AT1378" i="1" s="1"/>
  <c r="AT1379" i="1" s="1"/>
  <c r="AT1380" i="1" s="1"/>
  <c r="AT1381" i="1" s="1"/>
  <c r="AT1382" i="1" s="1"/>
  <c r="AT1383" i="1" s="1"/>
  <c r="AT1384" i="1" s="1"/>
  <c r="AT1385" i="1" s="1"/>
  <c r="AT1386" i="1" s="1"/>
  <c r="AT1387" i="1" s="1"/>
  <c r="AT1388" i="1" s="1"/>
  <c r="AT1389" i="1" s="1"/>
  <c r="AT1390" i="1" s="1"/>
  <c r="AT1391" i="1" s="1"/>
  <c r="AT1392" i="1" s="1"/>
  <c r="AT1393" i="1" s="1"/>
  <c r="AT1394" i="1" s="1"/>
  <c r="AT1395" i="1" s="1"/>
  <c r="AT1396" i="1" s="1"/>
  <c r="AT1397" i="1" s="1"/>
  <c r="AT1398" i="1" s="1"/>
  <c r="AT1399" i="1" s="1"/>
  <c r="AT1400" i="1" s="1"/>
  <c r="AT1401" i="1" s="1"/>
  <c r="AT1402" i="1" s="1"/>
  <c r="AT1403" i="1" s="1"/>
  <c r="AT1404" i="1" s="1"/>
  <c r="AT1405" i="1" s="1"/>
  <c r="AT1406" i="1" s="1"/>
  <c r="AT1407" i="1" s="1"/>
  <c r="AT1408" i="1" s="1"/>
  <c r="AT1409" i="1" s="1"/>
  <c r="AT1410" i="1" s="1"/>
  <c r="AT1411" i="1" s="1"/>
  <c r="AT1412" i="1" s="1"/>
  <c r="AT1413" i="1" s="1"/>
  <c r="AT1414" i="1" s="1"/>
  <c r="AT1415" i="1" s="1"/>
  <c r="AT1416" i="1" s="1"/>
  <c r="AT1417" i="1" s="1"/>
  <c r="AT1418" i="1" s="1"/>
  <c r="AT1419" i="1" s="1"/>
  <c r="AT1420" i="1" s="1"/>
  <c r="AT1421" i="1" s="1"/>
  <c r="AT1422" i="1" s="1"/>
  <c r="AT1423" i="1" s="1"/>
  <c r="AT1424" i="1" s="1"/>
  <c r="AT1425" i="1" s="1"/>
  <c r="AT1426" i="1" s="1"/>
  <c r="AT1427" i="1" s="1"/>
  <c r="AT1428" i="1" s="1"/>
  <c r="AT1429" i="1" s="1"/>
  <c r="AT1430" i="1" s="1"/>
  <c r="AT1431" i="1" s="1"/>
  <c r="AT1432" i="1" s="1"/>
  <c r="AT1433" i="1" s="1"/>
  <c r="AT1434" i="1" s="1"/>
  <c r="AT1435" i="1" s="1"/>
  <c r="AT1436" i="1" s="1"/>
  <c r="AT1437" i="1" s="1"/>
  <c r="AT1438" i="1" s="1"/>
  <c r="AT1439" i="1" s="1"/>
  <c r="AT1440" i="1" s="1"/>
  <c r="AT1441" i="1" s="1"/>
  <c r="AT1442" i="1" s="1"/>
  <c r="AT1443" i="1" s="1"/>
  <c r="AT1444" i="1" s="1"/>
  <c r="AT1445" i="1" s="1"/>
  <c r="AT1446" i="1" s="1"/>
  <c r="AT1447" i="1" s="1"/>
  <c r="AT1448" i="1" s="1"/>
  <c r="AT1449" i="1" s="1"/>
  <c r="AT1450" i="1" s="1"/>
  <c r="AT1451" i="1" s="1"/>
  <c r="AT1452" i="1" s="1"/>
  <c r="AT1453" i="1" s="1"/>
  <c r="AT1454" i="1" s="1"/>
  <c r="AT1455" i="1" s="1"/>
  <c r="AT1456" i="1" s="1"/>
  <c r="AT1457" i="1" s="1"/>
  <c r="AT1458" i="1" s="1"/>
  <c r="AT1459" i="1" s="1"/>
  <c r="AT1460" i="1" s="1"/>
  <c r="AT1461" i="1" s="1"/>
  <c r="AT1462" i="1" s="1"/>
  <c r="AT1463" i="1" s="1"/>
  <c r="AT1464" i="1" s="1"/>
  <c r="AT1465" i="1" s="1"/>
  <c r="AT1466" i="1" s="1"/>
  <c r="AT1467" i="1" s="1"/>
  <c r="AT1468" i="1" s="1"/>
  <c r="AT1469" i="1" s="1"/>
  <c r="AT1470" i="1" s="1"/>
  <c r="AT1471" i="1" s="1"/>
  <c r="AT1472" i="1" s="1"/>
  <c r="AT1473" i="1" s="1"/>
  <c r="AT1474" i="1" s="1"/>
  <c r="AT1475" i="1" s="1"/>
  <c r="AT1476" i="1" s="1"/>
  <c r="AT1477" i="1" s="1"/>
  <c r="AT1478" i="1" s="1"/>
  <c r="AT1479" i="1" s="1"/>
  <c r="AT1480" i="1" s="1"/>
  <c r="AT1481" i="1" s="1"/>
  <c r="AT1482" i="1" s="1"/>
  <c r="AT1483" i="1" s="1"/>
  <c r="AT1484" i="1" s="1"/>
  <c r="AT1485" i="1" s="1"/>
  <c r="AT1486" i="1" s="1"/>
  <c r="AT1487" i="1" s="1"/>
  <c r="AT1488" i="1" s="1"/>
  <c r="AT1489" i="1" s="1"/>
  <c r="AT1490" i="1" s="1"/>
  <c r="AT1491" i="1" s="1"/>
  <c r="AT1492" i="1" s="1"/>
  <c r="AT1493" i="1" s="1"/>
  <c r="AT1494" i="1" s="1"/>
  <c r="AT1495" i="1" s="1"/>
  <c r="AT1496" i="1" s="1"/>
  <c r="AT1497" i="1" s="1"/>
  <c r="AT1498" i="1" s="1"/>
  <c r="AT1499" i="1" s="1"/>
  <c r="AT1500" i="1" s="1"/>
  <c r="AT1501" i="1" s="1"/>
  <c r="AT1502" i="1" s="1"/>
  <c r="AT1503" i="1" s="1"/>
  <c r="AT1504" i="1" s="1"/>
  <c r="AT1505" i="1" s="1"/>
  <c r="AT1506" i="1" s="1"/>
  <c r="AT1507" i="1" s="1"/>
  <c r="AT1508" i="1" s="1"/>
  <c r="AT1509" i="1" s="1"/>
  <c r="AT1510" i="1" s="1"/>
  <c r="AT1511" i="1" s="1"/>
  <c r="AT1512" i="1" s="1"/>
  <c r="AT1513" i="1" s="1"/>
  <c r="AT1514" i="1" s="1"/>
  <c r="AT1515" i="1" s="1"/>
  <c r="AT1516" i="1" s="1"/>
  <c r="AT1517" i="1" s="1"/>
  <c r="AT1518" i="1" s="1"/>
  <c r="AT1519" i="1" s="1"/>
  <c r="AT1520" i="1" s="1"/>
  <c r="AT1521" i="1" s="1"/>
  <c r="AT1522" i="1" s="1"/>
  <c r="AT1523" i="1" s="1"/>
  <c r="AT1524" i="1" s="1"/>
  <c r="AT1525" i="1" s="1"/>
  <c r="AT1526" i="1" s="1"/>
  <c r="AT1527" i="1" s="1"/>
  <c r="AT1528" i="1" s="1"/>
  <c r="AT1529" i="1" s="1"/>
  <c r="AT1530" i="1" s="1"/>
  <c r="AT1531" i="1" s="1"/>
  <c r="AT1532" i="1" s="1"/>
  <c r="AT1533" i="1" s="1"/>
  <c r="AT1534" i="1" s="1"/>
  <c r="AT1535" i="1" s="1"/>
  <c r="AT1536" i="1" s="1"/>
  <c r="AT1537" i="1" s="1"/>
  <c r="AT1538" i="1" s="1"/>
  <c r="AT1539" i="1" s="1"/>
  <c r="AT1540" i="1" s="1"/>
  <c r="AT1541" i="1" s="1"/>
  <c r="AT1542" i="1" s="1"/>
  <c r="AT1543" i="1" s="1"/>
  <c r="AT1544" i="1" s="1"/>
  <c r="AT1545" i="1" s="1"/>
  <c r="AT1546" i="1" s="1"/>
  <c r="AT1547" i="1" s="1"/>
  <c r="AT1548" i="1" s="1"/>
  <c r="AT1549" i="1" s="1"/>
  <c r="AT1550" i="1" s="1"/>
  <c r="AT1551" i="1" s="1"/>
  <c r="AT1552" i="1" s="1"/>
  <c r="AT1553" i="1" s="1"/>
  <c r="AT1554" i="1" s="1"/>
  <c r="AT1555" i="1" s="1"/>
  <c r="AT1556" i="1" s="1"/>
  <c r="AT1557" i="1" s="1"/>
  <c r="AT1558" i="1" s="1"/>
  <c r="AT1559" i="1" s="1"/>
  <c r="AT1560" i="1" s="1"/>
  <c r="AT1561" i="1" s="1"/>
  <c r="AT1562" i="1" s="1"/>
  <c r="AT1563" i="1" s="1"/>
  <c r="AT1564" i="1" s="1"/>
  <c r="AT1565" i="1" s="1"/>
  <c r="AT1566" i="1" s="1"/>
  <c r="AT1567" i="1" s="1"/>
  <c r="AT1568" i="1" s="1"/>
  <c r="AT1569" i="1" s="1"/>
  <c r="AT1570" i="1" s="1"/>
  <c r="AT1571" i="1" s="1"/>
  <c r="AT1572" i="1" s="1"/>
  <c r="AT1573" i="1" s="1"/>
  <c r="AT1574" i="1" s="1"/>
  <c r="AT1575" i="1" s="1"/>
  <c r="AT1576" i="1" s="1"/>
  <c r="AT1577" i="1" s="1"/>
  <c r="AT1578" i="1" s="1"/>
  <c r="AT1579" i="1" s="1"/>
  <c r="AT1580" i="1" s="1"/>
  <c r="AT1581" i="1" s="1"/>
  <c r="AT1582" i="1" s="1"/>
  <c r="AT1583" i="1" s="1"/>
  <c r="AT1584" i="1" s="1"/>
  <c r="AT1585" i="1" s="1"/>
  <c r="AT1586" i="1" s="1"/>
  <c r="AT1587" i="1" s="1"/>
  <c r="AT1588" i="1" s="1"/>
  <c r="AT1589" i="1" s="1"/>
  <c r="AT1590" i="1" s="1"/>
  <c r="AT1591" i="1" s="1"/>
  <c r="AT1592" i="1" s="1"/>
  <c r="AT1593" i="1" s="1"/>
  <c r="AT1594" i="1" s="1"/>
  <c r="AT1595" i="1" s="1"/>
  <c r="AT1596" i="1" s="1"/>
  <c r="AT1597" i="1" s="1"/>
  <c r="AT1598" i="1" s="1"/>
  <c r="AT1599" i="1" s="1"/>
  <c r="AT1600" i="1" s="1"/>
  <c r="AT1601" i="1" s="1"/>
  <c r="AT1602" i="1" s="1"/>
  <c r="AT1603" i="1" s="1"/>
  <c r="AT1604" i="1" s="1"/>
  <c r="AT1605" i="1" s="1"/>
  <c r="AT1606" i="1" s="1"/>
  <c r="AT1607" i="1" s="1"/>
  <c r="AT1608" i="1" s="1"/>
  <c r="AT1609" i="1" s="1"/>
  <c r="AT1610" i="1" s="1"/>
  <c r="AT1611" i="1" s="1"/>
  <c r="AT1612" i="1" s="1"/>
  <c r="AT1613" i="1" s="1"/>
  <c r="AT1614" i="1" s="1"/>
  <c r="AT1615" i="1" s="1"/>
  <c r="AT1616" i="1" s="1"/>
  <c r="AT1617" i="1" s="1"/>
  <c r="AT1618" i="1" s="1"/>
  <c r="AT1619" i="1" s="1"/>
  <c r="AT1620" i="1" s="1"/>
  <c r="AT1621" i="1" s="1"/>
  <c r="AT1622" i="1" s="1"/>
  <c r="AT1623" i="1" s="1"/>
  <c r="AT1624" i="1" s="1"/>
  <c r="AT1625" i="1" s="1"/>
  <c r="AT1626" i="1" s="1"/>
  <c r="AT1627" i="1" s="1"/>
  <c r="AT1628" i="1" s="1"/>
  <c r="AT1629" i="1" s="1"/>
  <c r="AT1630" i="1" s="1"/>
  <c r="AT1631" i="1" s="1"/>
  <c r="AT1632" i="1" s="1"/>
  <c r="AT1633" i="1" s="1"/>
  <c r="AT1634" i="1" s="1"/>
  <c r="AT1635" i="1" s="1"/>
  <c r="AT1636" i="1" s="1"/>
  <c r="AT1637" i="1" s="1"/>
  <c r="AT1638" i="1" s="1"/>
  <c r="AT1639" i="1" s="1"/>
  <c r="AT1640" i="1" s="1"/>
  <c r="AT1641" i="1" s="1"/>
  <c r="AT1642" i="1" s="1"/>
  <c r="AT1643" i="1" s="1"/>
  <c r="AT1644" i="1" s="1"/>
  <c r="AT1645" i="1" s="1"/>
  <c r="AT1646" i="1" s="1"/>
  <c r="AT1647" i="1" s="1"/>
  <c r="AT1648" i="1" s="1"/>
  <c r="AT1649" i="1" s="1"/>
  <c r="AT1650" i="1" s="1"/>
  <c r="AT1651" i="1" s="1"/>
  <c r="AT1652" i="1" s="1"/>
  <c r="AT1653" i="1" s="1"/>
  <c r="AT1654" i="1" s="1"/>
  <c r="AT1655" i="1" s="1"/>
  <c r="AT1656" i="1" s="1"/>
  <c r="AT1657" i="1" s="1"/>
  <c r="AT1658" i="1" s="1"/>
  <c r="AT1659" i="1" s="1"/>
  <c r="AT1660" i="1" s="1"/>
  <c r="AT1661" i="1" s="1"/>
  <c r="AT1662" i="1" s="1"/>
  <c r="AT1663" i="1" s="1"/>
  <c r="AT1664" i="1" s="1"/>
  <c r="AT1665" i="1" s="1"/>
  <c r="AT1666" i="1" s="1"/>
  <c r="AT1667" i="1" s="1"/>
  <c r="AT1668" i="1" s="1"/>
  <c r="AT1669" i="1" s="1"/>
  <c r="AT1670" i="1" s="1"/>
  <c r="AT1671" i="1" s="1"/>
  <c r="AT1672" i="1" s="1"/>
  <c r="AT1673" i="1" s="1"/>
  <c r="AT1674" i="1" s="1"/>
  <c r="AT1675" i="1" s="1"/>
  <c r="AT1676" i="1" s="1"/>
  <c r="AT1677" i="1" s="1"/>
  <c r="AT1678" i="1" s="1"/>
  <c r="AT1679" i="1" s="1"/>
  <c r="AT1680" i="1" s="1"/>
  <c r="AT1681" i="1" s="1"/>
  <c r="AT1682" i="1" s="1"/>
  <c r="AT1683" i="1" s="1"/>
  <c r="AT1684" i="1" s="1"/>
  <c r="AT1685" i="1" s="1"/>
  <c r="AT1686" i="1" s="1"/>
  <c r="AT1687" i="1" s="1"/>
  <c r="AT1688" i="1" s="1"/>
  <c r="AT1689" i="1" s="1"/>
  <c r="AT1690" i="1" s="1"/>
  <c r="AT1691" i="1" s="1"/>
  <c r="AT1692" i="1" s="1"/>
  <c r="AT1693" i="1" s="1"/>
  <c r="AT1694" i="1" s="1"/>
  <c r="AT1695" i="1" s="1"/>
  <c r="AT1696" i="1" s="1"/>
  <c r="AT1697" i="1" s="1"/>
  <c r="AT1698" i="1" s="1"/>
  <c r="AT1699" i="1" s="1"/>
  <c r="AT1700" i="1" s="1"/>
  <c r="AT1701" i="1" s="1"/>
  <c r="AT1702" i="1" s="1"/>
  <c r="AT1703" i="1" s="1"/>
  <c r="AT1704" i="1" s="1"/>
  <c r="AT1705" i="1" s="1"/>
  <c r="AT1706" i="1" s="1"/>
  <c r="AT1707" i="1" s="1"/>
  <c r="AT1708" i="1" s="1"/>
  <c r="AT1709" i="1" s="1"/>
  <c r="AT1710" i="1" s="1"/>
  <c r="AT1711" i="1" s="1"/>
  <c r="AT1712" i="1" s="1"/>
  <c r="AT1713" i="1" s="1"/>
  <c r="AT1714" i="1" s="1"/>
  <c r="AT1715" i="1" s="1"/>
  <c r="AT1716" i="1" s="1"/>
  <c r="AT1717" i="1" s="1"/>
  <c r="AT1718" i="1" s="1"/>
  <c r="AT1719" i="1" s="1"/>
  <c r="AT1720" i="1" s="1"/>
  <c r="AT1721" i="1" s="1"/>
  <c r="AT1722" i="1" s="1"/>
  <c r="AT1723" i="1" s="1"/>
  <c r="AT1724" i="1" s="1"/>
  <c r="AT1725" i="1" s="1"/>
  <c r="AT1726" i="1" s="1"/>
  <c r="AT1727" i="1" s="1"/>
  <c r="AT1728" i="1" s="1"/>
  <c r="AT1729" i="1" s="1"/>
  <c r="AT1730" i="1" s="1"/>
  <c r="AT1731" i="1" s="1"/>
  <c r="AT1732" i="1" s="1"/>
  <c r="AT1733" i="1" s="1"/>
  <c r="AT1734" i="1" s="1"/>
  <c r="AT1735" i="1" s="1"/>
  <c r="AT1736" i="1" s="1"/>
  <c r="AT1737" i="1" s="1"/>
  <c r="AT1738" i="1" s="1"/>
  <c r="AT1739" i="1" s="1"/>
  <c r="AT1740" i="1" s="1"/>
  <c r="AT1741" i="1" s="1"/>
  <c r="AT1742" i="1" s="1"/>
  <c r="AT1743" i="1" s="1"/>
  <c r="AT1744" i="1" s="1"/>
  <c r="AT1745" i="1" s="1"/>
  <c r="AT1746" i="1" s="1"/>
  <c r="AT1747" i="1" s="1"/>
  <c r="AT1748" i="1" s="1"/>
  <c r="AT1749" i="1" s="1"/>
  <c r="AT1750" i="1" s="1"/>
  <c r="AT1751" i="1" s="1"/>
  <c r="AT1752" i="1" s="1"/>
  <c r="AT1753" i="1" s="1"/>
  <c r="AT1754" i="1" s="1"/>
  <c r="AT1755" i="1" s="1"/>
  <c r="AT1756" i="1" s="1"/>
  <c r="AT1757" i="1" s="1"/>
  <c r="AT1758" i="1" s="1"/>
  <c r="AT1759" i="1" s="1"/>
  <c r="AT1760" i="1" s="1"/>
  <c r="AT1761" i="1" s="1"/>
  <c r="AT1762" i="1" s="1"/>
  <c r="AT1763" i="1" s="1"/>
  <c r="AT1764" i="1" s="1"/>
  <c r="AT1765" i="1" s="1"/>
  <c r="AT1766" i="1" s="1"/>
  <c r="AT1767" i="1" s="1"/>
  <c r="AT1768" i="1" s="1"/>
  <c r="AT1769" i="1" s="1"/>
  <c r="AT1770" i="1" s="1"/>
  <c r="AT1771" i="1" s="1"/>
  <c r="AT1772" i="1" s="1"/>
  <c r="AT1773" i="1" s="1"/>
  <c r="AT1774" i="1" s="1"/>
  <c r="AT1775" i="1" s="1"/>
  <c r="AT1776" i="1" s="1"/>
  <c r="AT1777" i="1" s="1"/>
  <c r="AT1778" i="1" s="1"/>
  <c r="AT1779" i="1" s="1"/>
  <c r="AT1780" i="1" s="1"/>
  <c r="AT1781" i="1" s="1"/>
  <c r="AT1782" i="1" s="1"/>
  <c r="AT1783" i="1" s="1"/>
  <c r="AT1784" i="1" s="1"/>
  <c r="AT1785" i="1" s="1"/>
  <c r="AT1786" i="1" s="1"/>
  <c r="AT1787" i="1" s="1"/>
  <c r="AT1788" i="1" s="1"/>
  <c r="AT1789" i="1" s="1"/>
  <c r="AT1790" i="1" s="1"/>
  <c r="AT1791" i="1" s="1"/>
  <c r="AT1792" i="1" s="1"/>
  <c r="AT1793" i="1" s="1"/>
  <c r="AT1794" i="1" s="1"/>
  <c r="AT1795" i="1" s="1"/>
  <c r="AT1796" i="1" s="1"/>
  <c r="AT1797" i="1" s="1"/>
  <c r="AT1798" i="1" s="1"/>
  <c r="AT1799" i="1" s="1"/>
  <c r="AT1800" i="1" s="1"/>
  <c r="AT1801" i="1" s="1"/>
  <c r="AT1802" i="1" s="1"/>
  <c r="AT1803" i="1" s="1"/>
  <c r="BL15" i="1" l="1"/>
  <c r="AO4" i="1"/>
  <c r="BM17" i="1"/>
  <c r="AO5" i="1" l="1"/>
  <c r="AO6" i="1" s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P4" i="1"/>
  <c r="BM18" i="1"/>
  <c r="AH10" i="1" l="1"/>
  <c r="AH23" i="1"/>
  <c r="AP5" i="1"/>
  <c r="BM19" i="1"/>
  <c r="AP6" i="1" l="1"/>
  <c r="AP7" i="1"/>
  <c r="AP8" i="1"/>
  <c r="BM20" i="1"/>
  <c r="AP9" i="1" l="1"/>
  <c r="BM21" i="1"/>
  <c r="AP10" i="1" l="1"/>
  <c r="BM22" i="1"/>
  <c r="AP11" i="1" l="1"/>
  <c r="BM23" i="1"/>
  <c r="AP12" i="1" l="1"/>
  <c r="BM24" i="1"/>
  <c r="AP13" i="1" l="1"/>
  <c r="BM25" i="1"/>
  <c r="AP14" i="1" l="1"/>
  <c r="BM26" i="1"/>
  <c r="AP15" i="1" l="1"/>
  <c r="BM27" i="1"/>
  <c r="AP16" i="1" l="1"/>
  <c r="BM28" i="1"/>
  <c r="AP17" i="1" l="1"/>
  <c r="BM29" i="1"/>
  <c r="AP18" i="1" l="1"/>
  <c r="BM30" i="1"/>
  <c r="AP19" i="1" l="1"/>
  <c r="BM31" i="1"/>
  <c r="AP20" i="1" l="1"/>
  <c r="BM32" i="1"/>
  <c r="AP21" i="1" l="1"/>
  <c r="BM33" i="1"/>
  <c r="AP22" i="1" l="1"/>
  <c r="BM34" i="1"/>
  <c r="AP23" i="1" l="1"/>
  <c r="BM35" i="1"/>
  <c r="AP24" i="1" l="1"/>
  <c r="BM36" i="1"/>
  <c r="AP25" i="1" l="1"/>
  <c r="BM37" i="1"/>
  <c r="AP26" i="1" l="1"/>
  <c r="BM38" i="1"/>
  <c r="AP27" i="1" l="1"/>
  <c r="BM39" i="1"/>
  <c r="AP28" i="1" l="1"/>
  <c r="BM40" i="1"/>
  <c r="AP29" i="1" l="1"/>
  <c r="BM41" i="1"/>
  <c r="AP30" i="1" l="1"/>
  <c r="BM42" i="1"/>
  <c r="AP31" i="1" l="1"/>
  <c r="BM43" i="1"/>
  <c r="AP32" i="1" l="1"/>
  <c r="BM44" i="1"/>
  <c r="AP33" i="1" l="1"/>
  <c r="BM45" i="1"/>
  <c r="AP34" i="1" l="1"/>
  <c r="BM46" i="1"/>
  <c r="AP35" i="1" l="1"/>
  <c r="BM47" i="1"/>
  <c r="AP36" i="1" l="1"/>
  <c r="BM48" i="1"/>
  <c r="AP37" i="1" l="1"/>
  <c r="BM49" i="1"/>
  <c r="AP38" i="1" l="1"/>
  <c r="BM50" i="1"/>
  <c r="AP39" i="1" l="1"/>
  <c r="BM51" i="1"/>
  <c r="AP40" i="1" l="1"/>
  <c r="BM52" i="1"/>
  <c r="AP41" i="1" l="1"/>
  <c r="BM53" i="1"/>
  <c r="AP42" i="1" l="1"/>
  <c r="BM54" i="1"/>
  <c r="AP43" i="1" l="1"/>
  <c r="BM55" i="1"/>
  <c r="AP44" i="1" l="1"/>
  <c r="BM56" i="1"/>
  <c r="AP45" i="1" l="1"/>
  <c r="BM57" i="1"/>
  <c r="AP46" i="1" l="1"/>
  <c r="BM58" i="1"/>
  <c r="AP47" i="1" l="1"/>
  <c r="BM59" i="1"/>
  <c r="AP48" i="1" l="1"/>
  <c r="BM60" i="1"/>
  <c r="AP49" i="1" l="1"/>
  <c r="BM61" i="1"/>
  <c r="AP50" i="1" l="1"/>
  <c r="BM62" i="1"/>
  <c r="AP51" i="1" l="1"/>
  <c r="BM63" i="1"/>
  <c r="AP52" i="1" l="1"/>
  <c r="BM64" i="1"/>
  <c r="AP53" i="1" l="1"/>
  <c r="BM65" i="1"/>
  <c r="AP54" i="1" l="1"/>
  <c r="BM66" i="1"/>
  <c r="AP55" i="1" l="1"/>
  <c r="BM67" i="1"/>
  <c r="AP56" i="1" l="1"/>
  <c r="BM68" i="1"/>
  <c r="AP57" i="1" l="1"/>
  <c r="BM69" i="1"/>
  <c r="AP58" i="1" l="1"/>
  <c r="BM70" i="1"/>
  <c r="AP59" i="1" l="1"/>
  <c r="BM71" i="1"/>
  <c r="AP60" i="1" l="1"/>
  <c r="BM72" i="1"/>
  <c r="AP61" i="1" l="1"/>
  <c r="BM73" i="1"/>
  <c r="AP62" i="1" l="1"/>
  <c r="BM74" i="1"/>
  <c r="AP63" i="1" l="1"/>
  <c r="BM75" i="1"/>
  <c r="AP64" i="1" l="1"/>
  <c r="BM76" i="1"/>
  <c r="AP65" i="1" l="1"/>
  <c r="BM77" i="1"/>
  <c r="AP66" i="1" l="1"/>
  <c r="BM78" i="1"/>
  <c r="AP67" i="1" l="1"/>
  <c r="BM79" i="1"/>
  <c r="AP68" i="1" l="1"/>
  <c r="BM80" i="1"/>
  <c r="AP69" i="1" l="1"/>
  <c r="BM81" i="1"/>
  <c r="AP70" i="1" l="1"/>
  <c r="BM82" i="1"/>
  <c r="AP71" i="1" l="1"/>
  <c r="BM83" i="1"/>
  <c r="AP72" i="1" l="1"/>
  <c r="BM84" i="1"/>
  <c r="AP73" i="1" l="1"/>
  <c r="BM85" i="1"/>
  <c r="AP74" i="1" l="1"/>
  <c r="BM86" i="1"/>
  <c r="AP75" i="1" l="1"/>
  <c r="BM87" i="1"/>
  <c r="AP76" i="1" l="1"/>
  <c r="BM88" i="1"/>
  <c r="AP77" i="1" l="1"/>
  <c r="BM89" i="1"/>
  <c r="AP78" i="1" l="1"/>
  <c r="BM90" i="1"/>
  <c r="BM91" i="1" s="1"/>
  <c r="BM92" i="1" s="1"/>
  <c r="BM93" i="1" s="1"/>
  <c r="BM94" i="1" s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M109" i="1" s="1"/>
  <c r="BM110" i="1" s="1"/>
  <c r="BM111" i="1" s="1"/>
  <c r="BM112" i="1" s="1"/>
  <c r="BM113" i="1" s="1"/>
  <c r="BM114" i="1" s="1"/>
  <c r="BM115" i="1" s="1"/>
  <c r="BM116" i="1" s="1"/>
  <c r="BM117" i="1" s="1"/>
  <c r="BM118" i="1" s="1"/>
  <c r="BM119" i="1" s="1"/>
  <c r="BM120" i="1" s="1"/>
  <c r="BM121" i="1" s="1"/>
  <c r="BM122" i="1" s="1"/>
  <c r="BM123" i="1" s="1"/>
  <c r="BM124" i="1" s="1"/>
  <c r="BM125" i="1" s="1"/>
  <c r="BM126" i="1" s="1"/>
  <c r="BM127" i="1" s="1"/>
  <c r="BM128" i="1" s="1"/>
  <c r="BM129" i="1" s="1"/>
  <c r="BM130" i="1" s="1"/>
  <c r="BM131" i="1" s="1"/>
  <c r="BM132" i="1" s="1"/>
  <c r="BM133" i="1" s="1"/>
  <c r="BM134" i="1" s="1"/>
  <c r="BM135" i="1" s="1"/>
  <c r="BM136" i="1" s="1"/>
  <c r="BM137" i="1" s="1"/>
  <c r="BM138" i="1" s="1"/>
  <c r="BM139" i="1" s="1"/>
  <c r="BM140" i="1" s="1"/>
  <c r="BM141" i="1" s="1"/>
  <c r="BM142" i="1" s="1"/>
  <c r="BM143" i="1" s="1"/>
  <c r="BM144" i="1" s="1"/>
  <c r="BM145" i="1" s="1"/>
  <c r="BM146" i="1" s="1"/>
  <c r="BM147" i="1" s="1"/>
  <c r="BM148" i="1" s="1"/>
  <c r="BM149" i="1" s="1"/>
  <c r="BM150" i="1" s="1"/>
  <c r="BM151" i="1" s="1"/>
  <c r="BM152" i="1" s="1"/>
  <c r="BM153" i="1" s="1"/>
  <c r="AP79" i="1" l="1"/>
  <c r="AP80" i="1" l="1"/>
  <c r="AP81" i="1" l="1"/>
  <c r="AP82" i="1" l="1"/>
  <c r="AP83" i="1" l="1"/>
  <c r="AP84" i="1" l="1"/>
  <c r="AP85" i="1" l="1"/>
  <c r="AP86" i="1" l="1"/>
  <c r="AP87" i="1" l="1"/>
  <c r="AP88" i="1" l="1"/>
  <c r="AP90" i="1" l="1"/>
  <c r="AP89" i="1"/>
  <c r="AH24" i="1" l="1"/>
  <c r="I8" i="1" l="1"/>
  <c r="M8" i="1" l="1"/>
  <c r="K8" i="1"/>
  <c r="J8" i="1"/>
  <c r="L8" i="1"/>
  <c r="O8" i="1"/>
  <c r="N8" i="1"/>
  <c r="P8" i="1" l="1"/>
  <c r="I9" i="1" s="1"/>
  <c r="M9" i="1" l="1"/>
  <c r="K9" i="1"/>
  <c r="J9" i="1"/>
  <c r="O9" i="1"/>
  <c r="L9" i="1"/>
  <c r="N9" i="1"/>
  <c r="P9" i="1" l="1"/>
  <c r="I10" i="1" s="1"/>
  <c r="M10" i="1" l="1"/>
  <c r="O10" i="1"/>
  <c r="J10" i="1"/>
  <c r="K10" i="1"/>
  <c r="L10" i="1"/>
  <c r="N10" i="1"/>
  <c r="P10" i="1" l="1"/>
  <c r="I11" i="1" s="1"/>
  <c r="M11" i="1" l="1"/>
  <c r="K11" i="1"/>
  <c r="J11" i="1"/>
  <c r="O11" i="1"/>
  <c r="L11" i="1"/>
  <c r="N11" i="1"/>
  <c r="P11" i="1" l="1"/>
  <c r="I12" i="1" s="1"/>
  <c r="M12" i="1" l="1"/>
  <c r="L12" i="1"/>
  <c r="J12" i="1"/>
  <c r="K12" i="1"/>
  <c r="O12" i="1"/>
  <c r="N12" i="1"/>
  <c r="P12" i="1" l="1"/>
  <c r="I13" i="1" s="1"/>
  <c r="M13" i="1" l="1"/>
  <c r="L13" i="1"/>
  <c r="O13" i="1"/>
  <c r="K13" i="1"/>
  <c r="J13" i="1"/>
  <c r="N13" i="1"/>
  <c r="P13" i="1" l="1"/>
  <c r="I14" i="1" s="1"/>
  <c r="M14" i="1" l="1"/>
  <c r="L14" i="1"/>
  <c r="N14" i="1"/>
  <c r="J14" i="1"/>
  <c r="O14" i="1"/>
  <c r="K14" i="1"/>
  <c r="P14" i="1" l="1"/>
  <c r="I15" i="1" s="1"/>
  <c r="M15" i="1" l="1"/>
  <c r="N15" i="1"/>
  <c r="O15" i="1"/>
  <c r="J15" i="1"/>
  <c r="K15" i="1"/>
  <c r="L15" i="1"/>
  <c r="P15" i="1" l="1"/>
  <c r="I16" i="1" s="1"/>
  <c r="M16" i="1" l="1"/>
  <c r="J16" i="1"/>
  <c r="N16" i="1"/>
  <c r="K16" i="1"/>
  <c r="L16" i="1"/>
  <c r="O16" i="1"/>
  <c r="P16" i="1" l="1"/>
  <c r="I17" i="1" s="1"/>
  <c r="M17" i="1" l="1"/>
  <c r="L17" i="1"/>
  <c r="K17" i="1"/>
  <c r="O17" i="1"/>
  <c r="N17" i="1"/>
  <c r="J17" i="1"/>
  <c r="P17" i="1" l="1"/>
  <c r="I18" i="1" s="1"/>
  <c r="M18" i="1" l="1"/>
  <c r="J18" i="1"/>
  <c r="O18" i="1"/>
  <c r="K18" i="1"/>
  <c r="N18" i="1"/>
  <c r="L18" i="1"/>
  <c r="P18" i="1" l="1"/>
  <c r="I19" i="1" s="1"/>
  <c r="M19" i="1" l="1"/>
  <c r="J19" i="1"/>
  <c r="K19" i="1"/>
  <c r="N19" i="1"/>
  <c r="O19" i="1"/>
  <c r="L19" i="1"/>
  <c r="P19" i="1" l="1"/>
  <c r="I20" i="1" s="1"/>
  <c r="M20" i="1" l="1"/>
  <c r="O20" i="1"/>
  <c r="N20" i="1"/>
  <c r="J20" i="1"/>
  <c r="K20" i="1"/>
  <c r="L20" i="1"/>
  <c r="P20" i="1" l="1"/>
  <c r="I21" i="1" s="1"/>
  <c r="M21" i="1" l="1"/>
  <c r="K21" i="1"/>
  <c r="J21" i="1"/>
  <c r="N21" i="1"/>
  <c r="L21" i="1"/>
  <c r="O21" i="1"/>
  <c r="P21" i="1" l="1"/>
  <c r="I22" i="1" s="1"/>
  <c r="M22" i="1" l="1"/>
  <c r="J22" i="1"/>
  <c r="L22" i="1"/>
  <c r="N22" i="1"/>
  <c r="K22" i="1"/>
  <c r="O22" i="1"/>
  <c r="P22" i="1" l="1"/>
  <c r="I23" i="1" s="1"/>
  <c r="J23" i="1" l="1"/>
  <c r="M23" i="1"/>
  <c r="N23" i="1"/>
  <c r="K23" i="1"/>
  <c r="L23" i="1"/>
  <c r="O23" i="1"/>
  <c r="P23" i="1" l="1"/>
  <c r="I24" i="1" s="1"/>
  <c r="K24" i="1" l="1"/>
  <c r="M24" i="1"/>
  <c r="O24" i="1"/>
  <c r="N24" i="1"/>
  <c r="J24" i="1"/>
  <c r="L24" i="1"/>
  <c r="P24" i="1" l="1"/>
  <c r="I25" i="1" s="1"/>
  <c r="K25" i="1" s="1"/>
  <c r="O25" i="1" l="1"/>
  <c r="J25" i="1"/>
  <c r="M25" i="1"/>
  <c r="N25" i="1"/>
  <c r="L25" i="1"/>
  <c r="P25" i="1" l="1"/>
  <c r="I26" i="1" s="1"/>
  <c r="L26" i="1" l="1"/>
  <c r="M26" i="1"/>
  <c r="O26" i="1"/>
  <c r="N26" i="1"/>
  <c r="K26" i="1"/>
  <c r="J26" i="1"/>
  <c r="P26" i="1" l="1"/>
  <c r="I27" i="1" s="1"/>
  <c r="L27" i="1" s="1"/>
  <c r="O27" i="1" l="1"/>
  <c r="N27" i="1"/>
  <c r="M27" i="1"/>
  <c r="K27" i="1"/>
  <c r="J27" i="1"/>
  <c r="P27" i="1" l="1"/>
  <c r="I28" i="1" s="1"/>
  <c r="K28" i="1" s="1"/>
  <c r="O28" i="1" l="1"/>
  <c r="M28" i="1"/>
  <c r="J28" i="1"/>
  <c r="N28" i="1"/>
  <c r="L28" i="1"/>
  <c r="P28" i="1" l="1"/>
  <c r="I29" i="1" s="1"/>
  <c r="J29" i="1" s="1"/>
  <c r="O29" i="1" l="1"/>
  <c r="L29" i="1"/>
  <c r="N29" i="1"/>
  <c r="K29" i="1"/>
  <c r="M29" i="1"/>
  <c r="P29" i="1" l="1"/>
  <c r="I30" i="1" s="1"/>
  <c r="L30" i="1" s="1"/>
  <c r="K30" i="1" l="1"/>
  <c r="J30" i="1"/>
  <c r="O30" i="1"/>
  <c r="N30" i="1"/>
  <c r="M30" i="1"/>
  <c r="P30" i="1" l="1"/>
  <c r="I31" i="1" s="1"/>
  <c r="M31" i="1" s="1"/>
  <c r="K31" i="1" l="1"/>
  <c r="O31" i="1"/>
  <c r="N31" i="1"/>
  <c r="J31" i="1"/>
  <c r="L31" i="1"/>
  <c r="P31" i="1" l="1"/>
  <c r="I32" i="1" s="1"/>
  <c r="M32" i="1" s="1"/>
  <c r="K32" i="1" l="1"/>
  <c r="N32" i="1"/>
  <c r="J32" i="1"/>
  <c r="O32" i="1"/>
  <c r="L32" i="1"/>
  <c r="P32" i="1" l="1"/>
  <c r="I33" i="1" s="1"/>
  <c r="L33" i="1" s="1"/>
  <c r="N33" i="1" l="1"/>
  <c r="M33" i="1"/>
  <c r="O33" i="1"/>
  <c r="J33" i="1"/>
  <c r="K33" i="1"/>
  <c r="P33" i="1" l="1"/>
  <c r="I34" i="1" s="1"/>
  <c r="O34" i="1" s="1"/>
  <c r="M34" i="1" l="1"/>
  <c r="N34" i="1"/>
  <c r="L34" i="1"/>
  <c r="J34" i="1"/>
  <c r="K34" i="1"/>
  <c r="P34" i="1" l="1"/>
  <c r="I35" i="1" s="1"/>
  <c r="M35" i="1" s="1"/>
  <c r="O35" i="1" l="1"/>
  <c r="J35" i="1"/>
  <c r="L35" i="1"/>
  <c r="K35" i="1"/>
  <c r="N35" i="1"/>
  <c r="P35" i="1" l="1"/>
  <c r="I36" i="1" s="1"/>
  <c r="M36" i="1" s="1"/>
  <c r="K36" i="1" l="1"/>
  <c r="J36" i="1"/>
  <c r="N36" i="1"/>
  <c r="L36" i="1"/>
  <c r="O36" i="1"/>
  <c r="P36" i="1" l="1"/>
  <c r="I37" i="1" s="1"/>
  <c r="N37" i="1" s="1"/>
  <c r="J37" i="1" l="1"/>
  <c r="K37" i="1"/>
  <c r="L37" i="1"/>
  <c r="M37" i="1"/>
  <c r="O37" i="1"/>
  <c r="P37" i="1" l="1"/>
  <c r="I38" i="1" s="1"/>
  <c r="M38" i="1" s="1"/>
  <c r="L38" i="1" l="1"/>
  <c r="N38" i="1"/>
  <c r="J38" i="1"/>
  <c r="K38" i="1"/>
  <c r="O38" i="1"/>
  <c r="P38" i="1" l="1"/>
  <c r="I39" i="1" s="1"/>
  <c r="K39" i="1" s="1"/>
  <c r="M39" i="1" l="1"/>
  <c r="L39" i="1"/>
  <c r="N39" i="1"/>
  <c r="O39" i="1"/>
  <c r="J39" i="1"/>
  <c r="P39" i="1" l="1"/>
  <c r="I40" i="1" s="1"/>
  <c r="N40" i="1" s="1"/>
  <c r="O40" i="1" l="1"/>
  <c r="L40" i="1"/>
  <c r="K40" i="1"/>
  <c r="J40" i="1"/>
  <c r="M40" i="1"/>
  <c r="P40" i="1" l="1"/>
  <c r="I41" i="1" s="1"/>
  <c r="M41" i="1" s="1"/>
  <c r="O41" i="1" l="1"/>
  <c r="J41" i="1"/>
  <c r="K41" i="1"/>
  <c r="N41" i="1"/>
  <c r="L41" i="1"/>
  <c r="P41" i="1" l="1"/>
  <c r="I42" i="1" s="1"/>
  <c r="K42" i="1" s="1"/>
  <c r="O42" i="1" l="1"/>
  <c r="L42" i="1"/>
  <c r="J42" i="1"/>
  <c r="M42" i="1"/>
  <c r="N42" i="1"/>
  <c r="P42" i="1" l="1"/>
  <c r="I43" i="1" s="1"/>
  <c r="M43" i="1" s="1"/>
  <c r="O43" i="1" l="1"/>
  <c r="N43" i="1"/>
  <c r="K43" i="1"/>
  <c r="J43" i="1"/>
  <c r="L43" i="1"/>
  <c r="P43" i="1" l="1"/>
  <c r="I44" i="1" s="1"/>
  <c r="L44" i="1" s="1"/>
  <c r="M44" i="1"/>
  <c r="J44" i="1" l="1"/>
  <c r="N44" i="1"/>
  <c r="O44" i="1"/>
  <c r="K44" i="1"/>
  <c r="P44" i="1" l="1"/>
  <c r="I45" i="1" s="1"/>
  <c r="O45" i="1" s="1"/>
  <c r="L45" i="1"/>
  <c r="M45" i="1"/>
  <c r="N45" i="1" l="1"/>
  <c r="K45" i="1"/>
  <c r="P45" i="1" s="1"/>
  <c r="I46" i="1" s="1"/>
  <c r="M46" i="1" s="1"/>
  <c r="J45" i="1"/>
  <c r="N46" i="1" l="1"/>
  <c r="K46" i="1"/>
  <c r="J46" i="1"/>
  <c r="L46" i="1"/>
  <c r="O46" i="1"/>
  <c r="P46" i="1" s="1"/>
  <c r="I47" i="1" s="1"/>
  <c r="K47" i="1" s="1"/>
  <c r="L47" i="1" l="1"/>
  <c r="N47" i="1"/>
  <c r="M47" i="1"/>
  <c r="O47" i="1"/>
  <c r="J47" i="1"/>
  <c r="P47" i="1" l="1"/>
  <c r="I48" i="1" s="1"/>
  <c r="M48" i="1" s="1"/>
  <c r="O48" i="1" l="1"/>
  <c r="L48" i="1"/>
  <c r="J48" i="1"/>
  <c r="K48" i="1"/>
  <c r="N48" i="1"/>
  <c r="P48" i="1" l="1"/>
  <c r="I49" i="1" s="1"/>
  <c r="O49" i="1" s="1"/>
  <c r="J49" i="1" l="1"/>
  <c r="K49" i="1"/>
  <c r="N49" i="1"/>
  <c r="M49" i="1"/>
  <c r="L49" i="1"/>
  <c r="P49" i="1" l="1"/>
  <c r="I50" i="1" s="1"/>
  <c r="O50" i="1" s="1"/>
  <c r="M50" i="1" l="1"/>
  <c r="K50" i="1"/>
  <c r="L50" i="1"/>
  <c r="J50" i="1"/>
  <c r="N50" i="1"/>
  <c r="P50" i="1" l="1"/>
  <c r="I51" i="1" s="1"/>
  <c r="L51" i="1" s="1"/>
  <c r="O51" i="1" l="1"/>
  <c r="J51" i="1"/>
  <c r="K51" i="1"/>
  <c r="N51" i="1"/>
  <c r="M51" i="1"/>
  <c r="P51" i="1" l="1"/>
  <c r="I52" i="1" s="1"/>
  <c r="J52" i="1" s="1"/>
  <c r="N52" i="1" l="1"/>
  <c r="M52" i="1"/>
  <c r="L52" i="1"/>
  <c r="O52" i="1"/>
  <c r="K52" i="1"/>
  <c r="P52" i="1" l="1"/>
  <c r="I53" i="1" s="1"/>
  <c r="K53" i="1" s="1"/>
  <c r="M53" i="1" l="1"/>
  <c r="L53" i="1"/>
  <c r="O53" i="1"/>
  <c r="J53" i="1"/>
  <c r="N53" i="1"/>
  <c r="P53" i="1" l="1"/>
  <c r="I54" i="1" s="1"/>
  <c r="M54" i="1" s="1"/>
  <c r="L54" i="1" l="1"/>
  <c r="O54" i="1"/>
  <c r="N54" i="1"/>
  <c r="J54" i="1"/>
  <c r="K54" i="1"/>
  <c r="P54" i="1" l="1"/>
  <c r="I55" i="1" s="1"/>
  <c r="O55" i="1" s="1"/>
  <c r="L55" i="1" l="1"/>
  <c r="J55" i="1"/>
  <c r="N55" i="1"/>
  <c r="M55" i="1"/>
  <c r="K55" i="1"/>
  <c r="P55" i="1" l="1"/>
  <c r="I56" i="1" s="1"/>
  <c r="J56" i="1" s="1"/>
  <c r="O56" i="1"/>
  <c r="L56" i="1"/>
  <c r="K56" i="1"/>
  <c r="N56" i="1"/>
  <c r="M56" i="1" l="1"/>
  <c r="P56" i="1" s="1"/>
  <c r="I57" i="1" s="1"/>
  <c r="N57" i="1" l="1"/>
  <c r="K57" i="1"/>
  <c r="O57" i="1"/>
  <c r="M57" i="1"/>
  <c r="L57" i="1"/>
  <c r="J57" i="1"/>
  <c r="P57" i="1" l="1"/>
  <c r="I58" i="1" s="1"/>
  <c r="M58" i="1" s="1"/>
  <c r="O58" i="1"/>
  <c r="J58" i="1"/>
  <c r="K58" i="1"/>
  <c r="N58" i="1" l="1"/>
  <c r="L58" i="1"/>
  <c r="P58" i="1" s="1"/>
  <c r="I59" i="1" s="1"/>
  <c r="M59" i="1" s="1"/>
  <c r="O59" i="1" l="1"/>
  <c r="N59" i="1"/>
  <c r="K59" i="1"/>
  <c r="J59" i="1"/>
  <c r="L59" i="1"/>
  <c r="P59" i="1" l="1"/>
  <c r="I60" i="1" s="1"/>
  <c r="J60" i="1" s="1"/>
  <c r="M60" i="1"/>
  <c r="O60" i="1" l="1"/>
  <c r="K60" i="1"/>
  <c r="N60" i="1"/>
  <c r="L60" i="1"/>
  <c r="P60" i="1" l="1"/>
  <c r="I61" i="1" s="1"/>
  <c r="N61" i="1" s="1"/>
  <c r="L61" i="1"/>
  <c r="J61" i="1"/>
  <c r="M61" i="1"/>
  <c r="K61" i="1" l="1"/>
  <c r="O61" i="1"/>
  <c r="P61" i="1" s="1"/>
  <c r="I62" i="1" s="1"/>
  <c r="M62" i="1" l="1"/>
  <c r="N62" i="1"/>
  <c r="O62" i="1"/>
  <c r="K62" i="1"/>
  <c r="J62" i="1"/>
  <c r="L62" i="1"/>
  <c r="P62" i="1" l="1"/>
  <c r="I63" i="1" s="1"/>
  <c r="J63" i="1" s="1"/>
  <c r="N63" i="1"/>
  <c r="M63" i="1"/>
  <c r="L63" i="1"/>
  <c r="O63" i="1"/>
  <c r="K63" i="1"/>
  <c r="P63" i="1" l="1"/>
  <c r="I64" i="1" s="1"/>
  <c r="J64" i="1" s="1"/>
  <c r="O64" i="1" l="1"/>
  <c r="M64" i="1"/>
  <c r="L64" i="1"/>
  <c r="K64" i="1"/>
  <c r="N64" i="1"/>
  <c r="P64" i="1" l="1"/>
  <c r="I65" i="1" s="1"/>
  <c r="M65" i="1" s="1"/>
  <c r="K65" i="1" l="1"/>
  <c r="O65" i="1"/>
  <c r="N65" i="1"/>
  <c r="J65" i="1"/>
  <c r="L65" i="1"/>
  <c r="P65" i="1" l="1"/>
  <c r="I66" i="1" s="1"/>
  <c r="N66" i="1" s="1"/>
  <c r="O66" i="1" l="1"/>
  <c r="J66" i="1"/>
  <c r="L66" i="1"/>
  <c r="M66" i="1"/>
  <c r="K66" i="1"/>
  <c r="P66" i="1" l="1"/>
  <c r="I67" i="1" s="1"/>
  <c r="M67" i="1" s="1"/>
  <c r="L67" i="1" l="1"/>
  <c r="O67" i="1"/>
  <c r="N67" i="1"/>
  <c r="J67" i="1"/>
  <c r="K67" i="1"/>
  <c r="P67" i="1" l="1"/>
  <c r="I68" i="1" s="1"/>
  <c r="O68" i="1" s="1"/>
  <c r="M68" i="1"/>
  <c r="J68" i="1"/>
  <c r="K68" i="1"/>
  <c r="L68" i="1" l="1"/>
  <c r="N68" i="1"/>
  <c r="P68" i="1" s="1"/>
  <c r="I69" i="1" s="1"/>
  <c r="M69" i="1" s="1"/>
  <c r="N69" i="1" l="1"/>
  <c r="L69" i="1"/>
  <c r="J69" i="1"/>
  <c r="O69" i="1"/>
  <c r="K69" i="1"/>
  <c r="P69" i="1" l="1"/>
  <c r="I70" i="1" s="1"/>
  <c r="J70" i="1" s="1"/>
  <c r="M70" i="1" l="1"/>
  <c r="N70" i="1"/>
  <c r="O70" i="1"/>
  <c r="K70" i="1"/>
  <c r="L70" i="1"/>
  <c r="P70" i="1" l="1"/>
  <c r="I71" i="1" s="1"/>
  <c r="K71" i="1" s="1"/>
  <c r="M71" i="1"/>
  <c r="O71" i="1" l="1"/>
  <c r="J71" i="1"/>
  <c r="L71" i="1"/>
  <c r="N71" i="1"/>
  <c r="P71" i="1" l="1"/>
  <c r="I72" i="1" s="1"/>
  <c r="J72" i="1"/>
  <c r="O72" i="1"/>
  <c r="L72" i="1"/>
  <c r="N72" i="1"/>
  <c r="K72" i="1"/>
  <c r="M72" i="1"/>
  <c r="P72" i="1" s="1"/>
  <c r="I73" i="1" s="1"/>
  <c r="N73" i="1" s="1"/>
  <c r="M73" i="1" l="1"/>
  <c r="K73" i="1"/>
  <c r="J73" i="1"/>
  <c r="O73" i="1"/>
  <c r="L73" i="1"/>
  <c r="P73" i="1" l="1"/>
  <c r="I74" i="1" s="1"/>
  <c r="M74" i="1" s="1"/>
  <c r="N74" i="1" l="1"/>
  <c r="L74" i="1"/>
  <c r="O74" i="1"/>
  <c r="J74" i="1"/>
  <c r="K74" i="1"/>
  <c r="P74" i="1" l="1"/>
  <c r="I75" i="1" s="1"/>
  <c r="O75" i="1" s="1"/>
  <c r="N75" i="1" l="1"/>
  <c r="M75" i="1"/>
  <c r="L75" i="1"/>
  <c r="J75" i="1"/>
  <c r="K75" i="1"/>
  <c r="P75" i="1" l="1"/>
  <c r="I76" i="1" s="1"/>
  <c r="K76" i="1" s="1"/>
  <c r="M76" i="1" l="1"/>
  <c r="J76" i="1"/>
  <c r="N76" i="1"/>
  <c r="L76" i="1"/>
  <c r="O76" i="1"/>
  <c r="P76" i="1" s="1"/>
  <c r="I77" i="1" s="1"/>
  <c r="L77" i="1" l="1"/>
  <c r="J77" i="1"/>
  <c r="M77" i="1"/>
  <c r="O77" i="1"/>
  <c r="N77" i="1"/>
  <c r="K77" i="1"/>
  <c r="P77" i="1" l="1"/>
  <c r="I78" i="1" s="1"/>
  <c r="N78" i="1" s="1"/>
  <c r="L78" i="1"/>
  <c r="M78" i="1"/>
  <c r="J78" i="1"/>
  <c r="K78" i="1"/>
  <c r="O78" i="1" l="1"/>
  <c r="P78" i="1" s="1"/>
  <c r="I79" i="1" s="1"/>
  <c r="J79" i="1" l="1"/>
  <c r="O79" i="1"/>
  <c r="N79" i="1"/>
  <c r="K79" i="1"/>
  <c r="L79" i="1"/>
  <c r="M79" i="1"/>
  <c r="P79" i="1" s="1"/>
  <c r="I80" i="1" s="1"/>
  <c r="K80" i="1" s="1"/>
  <c r="J80" i="1" l="1"/>
  <c r="M80" i="1"/>
  <c r="O80" i="1"/>
  <c r="N80" i="1"/>
  <c r="L80" i="1"/>
  <c r="P80" i="1" l="1"/>
  <c r="I81" i="1" s="1"/>
  <c r="M81" i="1" s="1"/>
  <c r="O81" i="1" l="1"/>
  <c r="J81" i="1"/>
  <c r="K81" i="1"/>
  <c r="N81" i="1"/>
  <c r="L81" i="1"/>
  <c r="P81" i="1" l="1"/>
  <c r="I82" i="1" s="1"/>
  <c r="M82" i="1" s="1"/>
  <c r="L82" i="1" l="1"/>
  <c r="N82" i="1"/>
  <c r="O82" i="1"/>
  <c r="K82" i="1"/>
  <c r="J82" i="1"/>
  <c r="P82" i="1" l="1"/>
  <c r="I83" i="1" s="1"/>
  <c r="K83" i="1" s="1"/>
  <c r="O83" i="1"/>
  <c r="M83" i="1"/>
  <c r="L83" i="1"/>
  <c r="J83" i="1" l="1"/>
  <c r="N83" i="1"/>
  <c r="P83" i="1" s="1"/>
  <c r="I84" i="1" s="1"/>
  <c r="N84" i="1" l="1"/>
  <c r="L84" i="1"/>
  <c r="O84" i="1"/>
  <c r="K84" i="1"/>
  <c r="J84" i="1"/>
  <c r="M84" i="1"/>
  <c r="P84" i="1" s="1"/>
  <c r="I85" i="1" s="1"/>
  <c r="J85" i="1" s="1"/>
  <c r="N85" i="1" l="1"/>
  <c r="L85" i="1"/>
  <c r="M85" i="1"/>
  <c r="O85" i="1"/>
  <c r="K85" i="1"/>
  <c r="P85" i="1" l="1"/>
  <c r="I86" i="1" s="1"/>
  <c r="N86" i="1" s="1"/>
  <c r="K86" i="1" l="1"/>
  <c r="L86" i="1"/>
  <c r="O86" i="1"/>
  <c r="J86" i="1"/>
  <c r="M86" i="1"/>
  <c r="P86" i="1" l="1"/>
  <c r="I87" i="1" s="1"/>
  <c r="M87" i="1" s="1"/>
  <c r="L87" i="1"/>
  <c r="O87" i="1" l="1"/>
  <c r="N87" i="1"/>
  <c r="J87" i="1"/>
  <c r="K87" i="1"/>
  <c r="P87" i="1" l="1"/>
  <c r="I88" i="1" s="1"/>
  <c r="K88" i="1" s="1"/>
  <c r="M88" i="1"/>
  <c r="O88" i="1"/>
  <c r="J88" i="1"/>
  <c r="N88" i="1" l="1"/>
  <c r="L88" i="1"/>
  <c r="P88" i="1"/>
  <c r="I89" i="1" s="1"/>
  <c r="K89" i="1" s="1"/>
  <c r="L89" i="1" l="1"/>
  <c r="O89" i="1"/>
  <c r="J89" i="1"/>
  <c r="N89" i="1"/>
  <c r="M89" i="1"/>
  <c r="P89" i="1" l="1"/>
  <c r="I90" i="1" s="1"/>
  <c r="J90" i="1" s="1"/>
  <c r="K90" i="1" l="1"/>
  <c r="M90" i="1"/>
  <c r="O90" i="1"/>
  <c r="L90" i="1"/>
  <c r="N90" i="1"/>
  <c r="P90" i="1" l="1"/>
  <c r="I91" i="1" s="1"/>
  <c r="M91" i="1" s="1"/>
  <c r="O91" i="1" l="1"/>
  <c r="K91" i="1"/>
  <c r="J91" i="1"/>
  <c r="N91" i="1"/>
  <c r="L91" i="1"/>
  <c r="P91" i="1" l="1"/>
  <c r="I92" i="1" s="1"/>
  <c r="L92" i="1" s="1"/>
  <c r="M92" i="1" l="1"/>
  <c r="O92" i="1"/>
  <c r="J92" i="1"/>
  <c r="K92" i="1"/>
  <c r="N92" i="1"/>
  <c r="P92" i="1" l="1"/>
  <c r="I93" i="1" s="1"/>
  <c r="J93" i="1" s="1"/>
  <c r="L93" i="1" l="1"/>
  <c r="M93" i="1"/>
  <c r="K93" i="1"/>
  <c r="N93" i="1"/>
  <c r="O93" i="1"/>
  <c r="P93" i="1" s="1"/>
  <c r="I94" i="1" s="1"/>
  <c r="J94" i="1" l="1"/>
  <c r="O94" i="1"/>
  <c r="L94" i="1"/>
  <c r="K94" i="1"/>
  <c r="M94" i="1"/>
  <c r="N94" i="1"/>
  <c r="P94" i="1" l="1"/>
  <c r="I95" i="1" s="1"/>
  <c r="K95" i="1" s="1"/>
  <c r="O95" i="1"/>
  <c r="L95" i="1"/>
  <c r="N95" i="1"/>
  <c r="M95" i="1"/>
  <c r="J95" i="1"/>
  <c r="P95" i="1" l="1"/>
  <c r="I96" i="1" s="1"/>
  <c r="J96" i="1" s="1"/>
  <c r="N96" i="1" l="1"/>
  <c r="L96" i="1"/>
  <c r="K96" i="1"/>
  <c r="M96" i="1"/>
  <c r="O96" i="1"/>
  <c r="P96" i="1" s="1"/>
  <c r="I97" i="1" s="1"/>
  <c r="J97" i="1" s="1"/>
  <c r="O97" i="1" l="1"/>
  <c r="N97" i="1"/>
  <c r="M97" i="1"/>
  <c r="L97" i="1"/>
  <c r="K97" i="1"/>
  <c r="P97" i="1" l="1"/>
  <c r="I98" i="1" s="1"/>
  <c r="K98" i="1" s="1"/>
  <c r="J98" i="1" l="1"/>
  <c r="O98" i="1"/>
  <c r="N98" i="1"/>
  <c r="L98" i="1"/>
  <c r="M98" i="1"/>
  <c r="P98" i="1" l="1"/>
  <c r="I99" i="1" s="1"/>
  <c r="J99" i="1" s="1"/>
  <c r="M99" i="1" l="1"/>
  <c r="K99" i="1"/>
  <c r="L99" i="1"/>
  <c r="O99" i="1"/>
  <c r="N99" i="1"/>
  <c r="P99" i="1" l="1"/>
  <c r="I100" i="1" s="1"/>
  <c r="K100" i="1" s="1"/>
  <c r="N100" i="1" l="1"/>
  <c r="J100" i="1"/>
  <c r="M100" i="1"/>
  <c r="L100" i="1"/>
  <c r="O100" i="1"/>
  <c r="P100" i="1" l="1"/>
  <c r="I101" i="1" s="1"/>
  <c r="L101" i="1" s="1"/>
  <c r="N101" i="1" l="1"/>
  <c r="O101" i="1"/>
  <c r="K101" i="1"/>
  <c r="J101" i="1"/>
  <c r="M101" i="1"/>
  <c r="P101" i="1" l="1"/>
  <c r="I102" i="1" s="1"/>
  <c r="N102" i="1" s="1"/>
  <c r="K102" i="1" l="1"/>
  <c r="O102" i="1"/>
  <c r="J102" i="1"/>
  <c r="M102" i="1"/>
  <c r="L102" i="1"/>
  <c r="P102" i="1" l="1"/>
  <c r="I103" i="1" s="1"/>
  <c r="L103" i="1" s="1"/>
  <c r="O103" i="1" l="1"/>
  <c r="J103" i="1"/>
  <c r="K103" i="1"/>
  <c r="N103" i="1"/>
  <c r="M103" i="1"/>
  <c r="P103" i="1" l="1"/>
  <c r="I104" i="1" s="1"/>
  <c r="L104" i="1" s="1"/>
  <c r="N104" i="1" l="1"/>
  <c r="J104" i="1"/>
  <c r="O104" i="1"/>
  <c r="K104" i="1"/>
  <c r="M104" i="1"/>
  <c r="P104" i="1" l="1"/>
  <c r="I105" i="1" s="1"/>
  <c r="J105" i="1" s="1"/>
  <c r="O105" i="1"/>
  <c r="K105" i="1" l="1"/>
  <c r="N105" i="1"/>
  <c r="L105" i="1"/>
  <c r="M105" i="1"/>
  <c r="P105" i="1" s="1"/>
  <c r="I106" i="1" s="1"/>
  <c r="M106" i="1" l="1"/>
  <c r="O106" i="1"/>
  <c r="N106" i="1"/>
  <c r="J106" i="1"/>
  <c r="K106" i="1"/>
  <c r="L106" i="1"/>
  <c r="P106" i="1" l="1"/>
  <c r="I107" i="1" s="1"/>
  <c r="K107" i="1" s="1"/>
  <c r="N107" i="1"/>
  <c r="M107" i="1"/>
  <c r="J107" i="1"/>
  <c r="O107" i="1" l="1"/>
  <c r="L107" i="1"/>
  <c r="P107" i="1" s="1"/>
  <c r="I108" i="1" s="1"/>
  <c r="K108" i="1" s="1"/>
  <c r="O108" i="1" l="1"/>
  <c r="J108" i="1"/>
  <c r="N108" i="1"/>
  <c r="M108" i="1"/>
  <c r="L108" i="1"/>
  <c r="P108" i="1" l="1"/>
  <c r="I109" i="1" s="1"/>
  <c r="M109" i="1" s="1"/>
  <c r="J109" i="1" l="1"/>
  <c r="O109" i="1"/>
  <c r="K109" i="1"/>
  <c r="L109" i="1"/>
  <c r="N109" i="1"/>
  <c r="P109" i="1" l="1"/>
  <c r="I110" i="1" s="1"/>
  <c r="J110" i="1" s="1"/>
  <c r="M110" i="1" l="1"/>
  <c r="L110" i="1"/>
  <c r="K110" i="1"/>
  <c r="N110" i="1"/>
  <c r="O110" i="1"/>
  <c r="P110" i="1" l="1"/>
  <c r="I111" i="1" s="1"/>
  <c r="K111" i="1" s="1"/>
  <c r="O111" i="1"/>
  <c r="N111" i="1"/>
  <c r="M111" i="1"/>
  <c r="L111" i="1"/>
  <c r="J111" i="1"/>
  <c r="P111" i="1" l="1"/>
  <c r="I112" i="1" s="1"/>
  <c r="K112" i="1" l="1"/>
  <c r="O112" i="1"/>
  <c r="J112" i="1"/>
  <c r="N112" i="1"/>
  <c r="M112" i="1"/>
  <c r="L112" i="1"/>
  <c r="P112" i="1" l="1"/>
  <c r="I113" i="1" s="1"/>
  <c r="M113" i="1" s="1"/>
  <c r="N113" i="1" l="1"/>
  <c r="O113" i="1"/>
  <c r="L113" i="1"/>
  <c r="K113" i="1"/>
  <c r="J113" i="1"/>
  <c r="P113" i="1" l="1"/>
  <c r="I114" i="1" s="1"/>
  <c r="J114" i="1" s="1"/>
  <c r="L114" i="1" l="1"/>
  <c r="M114" i="1"/>
  <c r="K114" i="1"/>
  <c r="O114" i="1"/>
  <c r="N114" i="1"/>
  <c r="P114" i="1" l="1"/>
  <c r="I115" i="1" s="1"/>
  <c r="O115" i="1" s="1"/>
  <c r="K115" i="1" l="1"/>
  <c r="J115" i="1"/>
  <c r="M115" i="1"/>
  <c r="N115" i="1"/>
  <c r="L115" i="1"/>
  <c r="P115" i="1" l="1"/>
  <c r="I116" i="1" s="1"/>
  <c r="L116" i="1" s="1"/>
  <c r="J116" i="1" l="1"/>
  <c r="O116" i="1"/>
  <c r="K116" i="1"/>
  <c r="M116" i="1"/>
  <c r="N116" i="1"/>
  <c r="P116" i="1" l="1"/>
  <c r="I117" i="1" s="1"/>
  <c r="J117" i="1" s="1"/>
  <c r="M117" i="1" l="1"/>
  <c r="N117" i="1"/>
  <c r="L117" i="1"/>
  <c r="K117" i="1"/>
  <c r="O117" i="1"/>
  <c r="P117" i="1" l="1"/>
  <c r="I118" i="1" s="1"/>
  <c r="J118" i="1" s="1"/>
  <c r="N118" i="1" l="1"/>
  <c r="M118" i="1"/>
  <c r="K118" i="1"/>
  <c r="O118" i="1"/>
  <c r="L118" i="1"/>
  <c r="P118" i="1" l="1"/>
  <c r="I119" i="1" s="1"/>
  <c r="J119" i="1" s="1"/>
  <c r="O119" i="1" l="1"/>
  <c r="K119" i="1"/>
  <c r="M119" i="1"/>
  <c r="N119" i="1"/>
  <c r="L119" i="1"/>
  <c r="P119" i="1" l="1"/>
  <c r="I120" i="1" s="1"/>
  <c r="M120" i="1" s="1"/>
  <c r="J120" i="1" l="1"/>
  <c r="L120" i="1"/>
  <c r="O120" i="1"/>
  <c r="N120" i="1"/>
  <c r="K120" i="1"/>
  <c r="P120" i="1" l="1"/>
  <c r="I121" i="1" s="1"/>
  <c r="N121" i="1" s="1"/>
  <c r="O121" i="1" l="1"/>
  <c r="L121" i="1"/>
  <c r="J121" i="1"/>
  <c r="K121" i="1"/>
  <c r="M121" i="1"/>
  <c r="P121" i="1" l="1"/>
  <c r="I122" i="1" s="1"/>
  <c r="N122" i="1" s="1"/>
  <c r="O122" i="1" l="1"/>
  <c r="J122" i="1"/>
  <c r="K122" i="1"/>
  <c r="L122" i="1"/>
  <c r="M122" i="1"/>
  <c r="P122" i="1" l="1"/>
  <c r="I123" i="1" s="1"/>
  <c r="N123" i="1" s="1"/>
  <c r="L123" i="1"/>
  <c r="O123" i="1"/>
  <c r="J123" i="1"/>
  <c r="M123" i="1" l="1"/>
  <c r="K123" i="1"/>
  <c r="P123" i="1" s="1"/>
  <c r="I124" i="1" s="1"/>
  <c r="N124" i="1" s="1"/>
  <c r="M124" i="1" l="1"/>
  <c r="K124" i="1"/>
  <c r="J124" i="1"/>
  <c r="O124" i="1"/>
  <c r="L124" i="1"/>
  <c r="P124" i="1" l="1"/>
  <c r="I125" i="1" s="1"/>
  <c r="O125" i="1" s="1"/>
  <c r="N125" i="1" l="1"/>
  <c r="M125" i="1"/>
  <c r="L125" i="1"/>
  <c r="J125" i="1"/>
  <c r="K125" i="1"/>
  <c r="P125" i="1" l="1"/>
  <c r="I126" i="1" s="1"/>
  <c r="J126" i="1" s="1"/>
  <c r="O126" i="1" l="1"/>
  <c r="K126" i="1"/>
  <c r="L126" i="1"/>
  <c r="M126" i="1"/>
  <c r="N126" i="1"/>
  <c r="P126" i="1" l="1"/>
  <c r="I127" i="1" s="1"/>
  <c r="L127" i="1" s="1"/>
  <c r="O127" i="1" l="1"/>
  <c r="J127" i="1"/>
  <c r="N127" i="1"/>
  <c r="K127" i="1"/>
  <c r="M127" i="1"/>
  <c r="P127" i="1" l="1"/>
  <c r="I128" i="1" s="1"/>
  <c r="M128" i="1" s="1"/>
  <c r="O128" i="1" l="1"/>
  <c r="J128" i="1"/>
  <c r="L128" i="1"/>
  <c r="N128" i="1"/>
  <c r="K128" i="1"/>
  <c r="P128" i="1" l="1"/>
  <c r="I129" i="1" s="1"/>
  <c r="J129" i="1" l="1"/>
  <c r="V4" i="1"/>
  <c r="Z4" i="1" s="1"/>
  <c r="K129" i="1"/>
  <c r="L129" i="1"/>
  <c r="M129" i="1"/>
  <c r="O129" i="1"/>
  <c r="N129" i="1"/>
  <c r="P129" i="1" l="1"/>
  <c r="I130" i="1" s="1"/>
  <c r="M130" i="1" s="1"/>
  <c r="N130" i="1" l="1"/>
  <c r="L130" i="1"/>
  <c r="K130" i="1"/>
  <c r="O130" i="1"/>
  <c r="J130" i="1"/>
  <c r="P130" i="1" l="1"/>
  <c r="I131" i="1" s="1"/>
  <c r="M131" i="1" s="1"/>
  <c r="N131" i="1" l="1"/>
  <c r="O131" i="1"/>
  <c r="J131" i="1"/>
  <c r="K131" i="1"/>
  <c r="L131" i="1"/>
  <c r="P131" i="1" l="1"/>
  <c r="I132" i="1" s="1"/>
  <c r="N132" i="1" s="1"/>
  <c r="O132" i="1"/>
  <c r="L132" i="1"/>
  <c r="J132" i="1"/>
  <c r="K132" i="1" l="1"/>
  <c r="M132" i="1"/>
  <c r="P132" i="1" s="1"/>
  <c r="I133" i="1" s="1"/>
  <c r="J133" i="1" s="1"/>
  <c r="N133" i="1" l="1"/>
  <c r="K133" i="1"/>
  <c r="M133" i="1"/>
  <c r="L133" i="1"/>
  <c r="O133" i="1"/>
  <c r="P133" i="1" l="1"/>
  <c r="I134" i="1" s="1"/>
  <c r="J134" i="1" s="1"/>
  <c r="L134" i="1" l="1"/>
  <c r="M134" i="1"/>
  <c r="K134" i="1"/>
  <c r="O134" i="1"/>
  <c r="N134" i="1"/>
  <c r="P134" i="1" l="1"/>
  <c r="I135" i="1" s="1"/>
  <c r="J135" i="1" s="1"/>
  <c r="O135" i="1"/>
  <c r="M135" i="1"/>
  <c r="N135" i="1"/>
  <c r="L135" i="1"/>
  <c r="K135" i="1"/>
  <c r="P135" i="1" l="1"/>
  <c r="I136" i="1" s="1"/>
  <c r="K136" i="1" s="1"/>
  <c r="N136" i="1" l="1"/>
  <c r="L136" i="1"/>
  <c r="J136" i="1"/>
  <c r="M136" i="1"/>
  <c r="O136" i="1"/>
  <c r="P136" i="1" s="1"/>
  <c r="I137" i="1" s="1"/>
  <c r="M137" i="1" l="1"/>
  <c r="O137" i="1"/>
  <c r="K137" i="1"/>
  <c r="N137" i="1"/>
  <c r="J137" i="1"/>
  <c r="L137" i="1"/>
  <c r="P137" i="1" l="1"/>
  <c r="I138" i="1" s="1"/>
  <c r="N138" i="1" s="1"/>
  <c r="O138" i="1" l="1"/>
  <c r="L138" i="1"/>
  <c r="J138" i="1"/>
  <c r="K138" i="1"/>
  <c r="M138" i="1"/>
  <c r="P138" i="1" s="1"/>
  <c r="I139" i="1" s="1"/>
  <c r="M139" i="1" s="1"/>
  <c r="N139" i="1" l="1"/>
  <c r="L139" i="1"/>
  <c r="O139" i="1"/>
  <c r="J139" i="1"/>
  <c r="K139" i="1"/>
  <c r="P139" i="1" l="1"/>
  <c r="I140" i="1" s="1"/>
  <c r="J140" i="1" s="1"/>
  <c r="K140" i="1" l="1"/>
  <c r="O140" i="1"/>
  <c r="M140" i="1"/>
  <c r="L140" i="1"/>
  <c r="N140" i="1"/>
  <c r="P140" i="1" l="1"/>
  <c r="I141" i="1" s="1"/>
  <c r="M141" i="1" s="1"/>
  <c r="O141" i="1" l="1"/>
  <c r="J141" i="1"/>
  <c r="L141" i="1"/>
  <c r="N141" i="1"/>
  <c r="K141" i="1"/>
  <c r="P141" i="1" l="1"/>
  <c r="I142" i="1" s="1"/>
  <c r="M142" i="1" s="1"/>
  <c r="O142" i="1" l="1"/>
  <c r="L142" i="1"/>
  <c r="K142" i="1"/>
  <c r="J142" i="1"/>
  <c r="N142" i="1"/>
  <c r="P142" i="1" l="1"/>
  <c r="I143" i="1" s="1"/>
  <c r="J143" i="1" s="1"/>
  <c r="M143" i="1" l="1"/>
  <c r="O143" i="1"/>
  <c r="N143" i="1"/>
  <c r="K143" i="1"/>
  <c r="L143" i="1"/>
  <c r="P143" i="1" l="1"/>
  <c r="I144" i="1" s="1"/>
  <c r="N144" i="1" s="1"/>
  <c r="O144" i="1"/>
  <c r="L144" i="1" l="1"/>
  <c r="K144" i="1"/>
  <c r="J144" i="1"/>
  <c r="M144" i="1"/>
  <c r="P144" i="1" s="1"/>
  <c r="I145" i="1" s="1"/>
  <c r="K145" i="1" s="1"/>
  <c r="O145" i="1" l="1"/>
  <c r="J145" i="1"/>
  <c r="N145" i="1"/>
  <c r="L145" i="1"/>
  <c r="M145" i="1"/>
  <c r="P145" i="1" l="1"/>
  <c r="I146" i="1" s="1"/>
  <c r="N146" i="1" s="1"/>
  <c r="J146" i="1" l="1"/>
  <c r="K146" i="1"/>
  <c r="L146" i="1"/>
  <c r="M146" i="1"/>
  <c r="O146" i="1"/>
  <c r="P146" i="1" l="1"/>
  <c r="I147" i="1" s="1"/>
  <c r="M147" i="1" s="1"/>
  <c r="O147" i="1" l="1"/>
  <c r="L147" i="1"/>
  <c r="J147" i="1"/>
  <c r="N147" i="1"/>
  <c r="K147" i="1"/>
  <c r="P147" i="1" l="1"/>
  <c r="I148" i="1" s="1"/>
  <c r="M148" i="1" s="1"/>
  <c r="O148" i="1"/>
  <c r="J148" i="1"/>
  <c r="K148" i="1"/>
  <c r="L148" i="1" l="1"/>
  <c r="N148" i="1"/>
  <c r="P148" i="1" l="1"/>
  <c r="I149" i="1" s="1"/>
  <c r="J149" i="1" s="1"/>
  <c r="L149" i="1"/>
  <c r="M149" i="1" l="1"/>
  <c r="N149" i="1"/>
  <c r="K149" i="1"/>
  <c r="O149" i="1"/>
  <c r="P149" i="1" s="1"/>
  <c r="I150" i="1" s="1"/>
  <c r="N150" i="1" s="1"/>
  <c r="M150" i="1" l="1"/>
  <c r="O150" i="1"/>
  <c r="L150" i="1"/>
  <c r="J150" i="1"/>
  <c r="K150" i="1"/>
  <c r="P150" i="1" l="1"/>
  <c r="I151" i="1" s="1"/>
  <c r="L151" i="1" s="1"/>
  <c r="J151" i="1" l="1"/>
  <c r="O151" i="1"/>
  <c r="K151" i="1"/>
  <c r="M151" i="1"/>
  <c r="N151" i="1"/>
  <c r="P151" i="1" l="1"/>
  <c r="I152" i="1" s="1"/>
  <c r="L152" i="1" s="1"/>
  <c r="M152" i="1" l="1"/>
  <c r="J152" i="1"/>
  <c r="K152" i="1"/>
  <c r="N152" i="1"/>
  <c r="O152" i="1"/>
  <c r="P152" i="1" l="1"/>
  <c r="I153" i="1" s="1"/>
  <c r="K153" i="1" s="1"/>
  <c r="N153" i="1" l="1"/>
  <c r="O153" i="1"/>
  <c r="J153" i="1"/>
  <c r="M153" i="1"/>
  <c r="L153" i="1"/>
  <c r="P153" i="1" l="1"/>
  <c r="I154" i="1" s="1"/>
  <c r="M154" i="1" s="1"/>
  <c r="N154" i="1"/>
  <c r="K154" i="1" l="1"/>
  <c r="O154" i="1"/>
  <c r="J154" i="1"/>
  <c r="L154" i="1"/>
  <c r="P154" i="1" s="1"/>
  <c r="I155" i="1" s="1"/>
  <c r="L155" i="1" s="1"/>
  <c r="O155" i="1" l="1"/>
  <c r="N155" i="1"/>
  <c r="J155" i="1"/>
  <c r="K155" i="1"/>
  <c r="M155" i="1"/>
  <c r="P155" i="1" s="1"/>
  <c r="I156" i="1" s="1"/>
  <c r="K156" i="1" s="1"/>
  <c r="N156" i="1" l="1"/>
  <c r="L156" i="1"/>
  <c r="M156" i="1"/>
  <c r="O156" i="1"/>
  <c r="J156" i="1"/>
  <c r="P156" i="1" l="1"/>
  <c r="I157" i="1" s="1"/>
  <c r="J157" i="1" s="1"/>
  <c r="N157" i="1" l="1"/>
  <c r="O157" i="1"/>
  <c r="K157" i="1"/>
  <c r="M157" i="1"/>
  <c r="L157" i="1"/>
  <c r="P157" i="1" l="1"/>
  <c r="I158" i="1" s="1"/>
  <c r="K158" i="1" s="1"/>
  <c r="M158" i="1"/>
  <c r="N158" i="1"/>
  <c r="O158" i="1" l="1"/>
  <c r="L158" i="1"/>
  <c r="J158" i="1"/>
  <c r="P158" i="1" l="1"/>
  <c r="I159" i="1" s="1"/>
  <c r="K159" i="1" s="1"/>
  <c r="O159" i="1"/>
  <c r="N159" i="1"/>
  <c r="M159" i="1"/>
  <c r="J159" i="1"/>
  <c r="L159" i="1"/>
  <c r="P159" i="1" l="1"/>
  <c r="I160" i="1" s="1"/>
  <c r="M160" i="1" s="1"/>
  <c r="L160" i="1" l="1"/>
  <c r="J160" i="1"/>
  <c r="N160" i="1"/>
  <c r="K160" i="1"/>
  <c r="O160" i="1"/>
  <c r="P160" i="1" s="1"/>
  <c r="I161" i="1" s="1"/>
  <c r="N161" i="1" l="1"/>
  <c r="J161" i="1"/>
  <c r="M161" i="1"/>
  <c r="O161" i="1"/>
  <c r="L161" i="1"/>
  <c r="K161" i="1"/>
  <c r="P161" i="1" l="1"/>
  <c r="I162" i="1" s="1"/>
  <c r="N162" i="1" s="1"/>
  <c r="O162" i="1" l="1"/>
  <c r="J162" i="1"/>
  <c r="L162" i="1"/>
  <c r="M162" i="1"/>
  <c r="K162" i="1"/>
  <c r="P162" i="1" l="1"/>
  <c r="I163" i="1" s="1"/>
  <c r="M163" i="1" s="1"/>
  <c r="O163" i="1"/>
  <c r="N163" i="1" l="1"/>
  <c r="J163" i="1"/>
  <c r="L163" i="1"/>
  <c r="K163" i="1"/>
  <c r="P163" i="1" l="1"/>
  <c r="I164" i="1" s="1"/>
  <c r="L164" i="1" s="1"/>
  <c r="O164" i="1" l="1"/>
  <c r="M164" i="1"/>
  <c r="K164" i="1"/>
  <c r="N164" i="1"/>
  <c r="J164" i="1"/>
  <c r="P164" i="1" l="1"/>
  <c r="I165" i="1" s="1"/>
  <c r="K165" i="1" s="1"/>
  <c r="O165" i="1"/>
  <c r="J165" i="1" l="1"/>
  <c r="L165" i="1"/>
  <c r="N165" i="1"/>
  <c r="M165" i="1"/>
  <c r="P165" i="1" l="1"/>
  <c r="I166" i="1" s="1"/>
  <c r="K166" i="1" s="1"/>
  <c r="O166" i="1"/>
  <c r="L166" i="1" l="1"/>
  <c r="M166" i="1"/>
  <c r="J166" i="1"/>
  <c r="N166" i="1"/>
  <c r="P166" i="1" s="1"/>
  <c r="I167" i="1" s="1"/>
  <c r="K167" i="1" l="1"/>
  <c r="L167" i="1"/>
  <c r="M167" i="1"/>
  <c r="O167" i="1"/>
  <c r="N167" i="1"/>
  <c r="J167" i="1"/>
  <c r="P167" i="1" l="1"/>
  <c r="I168" i="1" s="1"/>
  <c r="K168" i="1" s="1"/>
  <c r="N168" i="1"/>
  <c r="J168" i="1"/>
  <c r="O168" i="1"/>
  <c r="L168" i="1" l="1"/>
  <c r="M168" i="1"/>
  <c r="P168" i="1" s="1"/>
  <c r="I169" i="1" s="1"/>
  <c r="O169" i="1" l="1"/>
  <c r="L169" i="1"/>
  <c r="J169" i="1"/>
  <c r="N169" i="1"/>
  <c r="K169" i="1"/>
  <c r="M169" i="1"/>
  <c r="P169" i="1" s="1"/>
  <c r="I170" i="1" s="1"/>
  <c r="N170" i="1" l="1"/>
  <c r="O170" i="1"/>
  <c r="L170" i="1"/>
  <c r="K170" i="1"/>
  <c r="M170" i="1"/>
  <c r="J170" i="1"/>
  <c r="P170" i="1" l="1"/>
  <c r="I171" i="1" s="1"/>
  <c r="L171" i="1" s="1"/>
  <c r="J171" i="1"/>
  <c r="K171" i="1"/>
  <c r="O171" i="1"/>
  <c r="N171" i="1" l="1"/>
  <c r="M171" i="1"/>
  <c r="P171" i="1"/>
  <c r="I172" i="1" s="1"/>
  <c r="K172" i="1" s="1"/>
  <c r="M172" i="1"/>
  <c r="O172" i="1" l="1"/>
  <c r="N172" i="1"/>
  <c r="L172" i="1"/>
  <c r="J172" i="1"/>
  <c r="P172" i="1" s="1"/>
  <c r="I173" i="1" s="1"/>
  <c r="K173" i="1" l="1"/>
  <c r="O173" i="1"/>
  <c r="J173" i="1"/>
  <c r="L173" i="1"/>
  <c r="M173" i="1"/>
  <c r="N173" i="1"/>
  <c r="P173" i="1" l="1"/>
  <c r="I174" i="1" s="1"/>
  <c r="M174" i="1" s="1"/>
  <c r="L174" i="1" l="1"/>
  <c r="K174" i="1"/>
  <c r="J174" i="1"/>
  <c r="O174" i="1"/>
  <c r="N174" i="1"/>
  <c r="P174" i="1" l="1"/>
  <c r="I175" i="1" s="1"/>
  <c r="L175" i="1" s="1"/>
  <c r="N175" i="1" l="1"/>
  <c r="M175" i="1"/>
  <c r="O175" i="1"/>
  <c r="J175" i="1"/>
  <c r="K175" i="1"/>
  <c r="P175" i="1" l="1"/>
  <c r="I176" i="1" s="1"/>
  <c r="N176" i="1" s="1"/>
  <c r="J176" i="1"/>
  <c r="M176" i="1"/>
  <c r="K176" i="1"/>
  <c r="L176" i="1" l="1"/>
  <c r="O176" i="1"/>
  <c r="P176" i="1" s="1"/>
  <c r="I177" i="1" s="1"/>
  <c r="N177" i="1" s="1"/>
  <c r="L177" i="1" l="1"/>
  <c r="M177" i="1"/>
  <c r="K177" i="1"/>
  <c r="J177" i="1"/>
  <c r="O177" i="1"/>
  <c r="P177" i="1" l="1"/>
  <c r="I178" i="1" s="1"/>
  <c r="L178" i="1" s="1"/>
  <c r="M178" i="1" l="1"/>
  <c r="J178" i="1"/>
  <c r="K178" i="1"/>
  <c r="O178" i="1"/>
  <c r="N178" i="1"/>
  <c r="P178" i="1" l="1"/>
  <c r="I179" i="1" s="1"/>
  <c r="L179" i="1" s="1"/>
  <c r="N179" i="1" l="1"/>
  <c r="K179" i="1"/>
  <c r="J179" i="1"/>
  <c r="O179" i="1"/>
  <c r="M179" i="1"/>
  <c r="P179" i="1" l="1"/>
  <c r="I180" i="1" s="1"/>
  <c r="M180" i="1" s="1"/>
  <c r="K180" i="1" l="1"/>
  <c r="J180" i="1"/>
  <c r="O180" i="1"/>
  <c r="N180" i="1"/>
  <c r="L180" i="1"/>
  <c r="P180" i="1" l="1"/>
  <c r="I181" i="1" s="1"/>
  <c r="M181" i="1" s="1"/>
  <c r="N181" i="1" l="1"/>
  <c r="L181" i="1"/>
  <c r="K181" i="1"/>
  <c r="J181" i="1"/>
  <c r="O181" i="1"/>
  <c r="C11" i="1"/>
  <c r="P181" i="1" l="1"/>
  <c r="I182" i="1" s="1"/>
  <c r="M182" i="1" s="1"/>
  <c r="J182" i="1" l="1"/>
  <c r="O182" i="1"/>
  <c r="K182" i="1"/>
  <c r="L182" i="1"/>
  <c r="N182" i="1"/>
  <c r="P182" i="1" l="1"/>
  <c r="I183" i="1" s="1"/>
  <c r="M183" i="1" s="1"/>
  <c r="N183" i="1" l="1"/>
  <c r="L183" i="1"/>
  <c r="O183" i="1"/>
  <c r="J183" i="1"/>
  <c r="K183" i="1"/>
  <c r="P183" i="1" l="1"/>
  <c r="I184" i="1" s="1"/>
  <c r="M184" i="1" s="1"/>
  <c r="N184" i="1" l="1"/>
  <c r="L184" i="1"/>
  <c r="J184" i="1"/>
  <c r="O184" i="1"/>
  <c r="K184" i="1"/>
  <c r="P184" i="1" l="1"/>
  <c r="I185" i="1" s="1"/>
  <c r="J185" i="1" l="1"/>
  <c r="O185" i="1"/>
  <c r="K185" i="1"/>
  <c r="M185" i="1"/>
  <c r="N185" i="1"/>
  <c r="L185" i="1"/>
  <c r="P185" i="1" l="1"/>
  <c r="I186" i="1" s="1"/>
  <c r="J186" i="1" l="1"/>
  <c r="K186" i="1"/>
  <c r="O186" i="1"/>
  <c r="L186" i="1"/>
  <c r="N186" i="1"/>
  <c r="M186" i="1"/>
  <c r="P186" i="1" l="1"/>
  <c r="I187" i="1" s="1"/>
  <c r="N187" i="1" s="1"/>
  <c r="J187" i="1" l="1"/>
  <c r="K187" i="1"/>
  <c r="L187" i="1"/>
  <c r="O187" i="1"/>
  <c r="M187" i="1"/>
  <c r="P187" i="1" l="1"/>
  <c r="I188" i="1" s="1"/>
  <c r="J188" i="1" s="1"/>
  <c r="O188" i="1" l="1"/>
  <c r="K188" i="1"/>
  <c r="N188" i="1"/>
  <c r="L188" i="1"/>
  <c r="M188" i="1"/>
  <c r="P188" i="1" l="1"/>
  <c r="I189" i="1" s="1"/>
  <c r="K189" i="1" s="1"/>
  <c r="O189" i="1"/>
  <c r="M189" i="1"/>
  <c r="J189" i="1"/>
  <c r="L189" i="1" l="1"/>
  <c r="N189" i="1"/>
  <c r="P189" i="1" l="1"/>
  <c r="I190" i="1" s="1"/>
  <c r="N190" i="1" s="1"/>
  <c r="O190" i="1"/>
  <c r="J190" i="1"/>
  <c r="K190" i="1"/>
  <c r="L190" i="1"/>
  <c r="M190" i="1"/>
  <c r="P190" i="1" l="1"/>
  <c r="I191" i="1" s="1"/>
  <c r="M191" i="1" l="1"/>
  <c r="O191" i="1"/>
  <c r="N191" i="1"/>
  <c r="K191" i="1"/>
  <c r="L191" i="1"/>
  <c r="J191" i="1"/>
  <c r="P191" i="1" l="1"/>
  <c r="I192" i="1" s="1"/>
  <c r="N192" i="1" l="1"/>
  <c r="O192" i="1"/>
  <c r="J192" i="1"/>
  <c r="K192" i="1"/>
  <c r="M192" i="1"/>
  <c r="L192" i="1"/>
  <c r="P192" i="1" l="1"/>
  <c r="I193" i="1" s="1"/>
  <c r="N193" i="1" s="1"/>
  <c r="J193" i="1" l="1"/>
  <c r="K193" i="1"/>
  <c r="O193" i="1"/>
  <c r="L193" i="1"/>
  <c r="M193" i="1"/>
  <c r="P193" i="1" l="1"/>
  <c r="I194" i="1" s="1"/>
  <c r="L194" i="1" s="1"/>
  <c r="M194" i="1" l="1"/>
  <c r="J194" i="1"/>
  <c r="K194" i="1"/>
  <c r="O194" i="1"/>
  <c r="N194" i="1"/>
  <c r="P194" i="1" l="1"/>
  <c r="I195" i="1" s="1"/>
  <c r="K195" i="1" s="1"/>
  <c r="J195" i="1" l="1"/>
  <c r="O195" i="1"/>
  <c r="M195" i="1"/>
  <c r="N195" i="1"/>
  <c r="L195" i="1"/>
  <c r="P195" i="1" l="1"/>
  <c r="I196" i="1" s="1"/>
  <c r="L196" i="1" s="1"/>
  <c r="O196" i="1"/>
  <c r="M196" i="1"/>
  <c r="K196" i="1" l="1"/>
  <c r="N196" i="1"/>
  <c r="J196" i="1"/>
  <c r="P196" i="1"/>
  <c r="I197" i="1" s="1"/>
  <c r="N197" i="1" s="1"/>
  <c r="K197" i="1" l="1"/>
  <c r="J197" i="1"/>
  <c r="O197" i="1"/>
  <c r="L197" i="1"/>
  <c r="M197" i="1"/>
  <c r="P197" i="1" s="1"/>
  <c r="I198" i="1" s="1"/>
  <c r="N198" i="1" s="1"/>
  <c r="J198" i="1" l="1"/>
  <c r="K198" i="1"/>
  <c r="O198" i="1"/>
  <c r="L198" i="1"/>
  <c r="M198" i="1"/>
  <c r="P198" i="1" l="1"/>
  <c r="I199" i="1" s="1"/>
  <c r="M199" i="1" s="1"/>
  <c r="L199" i="1" l="1"/>
  <c r="N199" i="1"/>
  <c r="K199" i="1"/>
  <c r="J199" i="1"/>
  <c r="O199" i="1"/>
  <c r="P199" i="1" s="1"/>
  <c r="I200" i="1" s="1"/>
  <c r="L200" i="1" l="1"/>
  <c r="K200" i="1"/>
  <c r="J200" i="1"/>
  <c r="N200" i="1"/>
  <c r="O200" i="1"/>
  <c r="M200" i="1"/>
  <c r="P200" i="1" l="1"/>
  <c r="I201" i="1" s="1"/>
  <c r="K201" i="1" s="1"/>
  <c r="L201" i="1"/>
  <c r="M201" i="1"/>
  <c r="N201" i="1"/>
  <c r="J201" i="1"/>
  <c r="O201" i="1"/>
  <c r="P201" i="1" s="1"/>
  <c r="I202" i="1" s="1"/>
  <c r="K202" i="1" l="1"/>
  <c r="O202" i="1"/>
  <c r="N202" i="1"/>
  <c r="J202" i="1"/>
  <c r="M202" i="1"/>
  <c r="L202" i="1"/>
  <c r="P202" i="1" l="1"/>
  <c r="I203" i="1" s="1"/>
  <c r="N203" i="1" s="1"/>
  <c r="L203" i="1"/>
  <c r="O203" i="1" l="1"/>
  <c r="K203" i="1"/>
  <c r="J203" i="1"/>
  <c r="M203" i="1"/>
  <c r="P203" i="1" s="1"/>
  <c r="I204" i="1" s="1"/>
  <c r="O204" i="1" l="1"/>
  <c r="J204" i="1"/>
  <c r="M204" i="1"/>
  <c r="K204" i="1"/>
  <c r="N204" i="1"/>
  <c r="L204" i="1"/>
  <c r="P204" i="1" s="1"/>
  <c r="I205" i="1" s="1"/>
  <c r="M205" i="1" l="1"/>
  <c r="N205" i="1"/>
  <c r="L205" i="1"/>
  <c r="K205" i="1"/>
  <c r="J205" i="1"/>
  <c r="O205" i="1"/>
  <c r="P205" i="1" s="1"/>
  <c r="I206" i="1" s="1"/>
  <c r="M206" i="1" s="1"/>
  <c r="L206" i="1" l="1"/>
  <c r="N206" i="1"/>
  <c r="O206" i="1"/>
  <c r="K206" i="1"/>
  <c r="J206" i="1"/>
  <c r="P206" i="1" l="1"/>
  <c r="I207" i="1" s="1"/>
  <c r="K207" i="1" s="1"/>
  <c r="O207" i="1"/>
  <c r="N207" i="1"/>
  <c r="J207" i="1" l="1"/>
  <c r="M207" i="1"/>
  <c r="L207" i="1"/>
  <c r="P207" i="1" s="1"/>
  <c r="I208" i="1" s="1"/>
  <c r="L208" i="1" s="1"/>
  <c r="M208" i="1" l="1"/>
  <c r="K208" i="1"/>
  <c r="J208" i="1"/>
  <c r="O208" i="1"/>
  <c r="N208" i="1"/>
  <c r="P208" i="1" l="1"/>
  <c r="I209" i="1" s="1"/>
  <c r="M209" i="1" l="1"/>
  <c r="J209" i="1"/>
  <c r="N209" i="1"/>
  <c r="O209" i="1"/>
  <c r="L209" i="1"/>
  <c r="K209" i="1"/>
  <c r="P209" i="1" l="1"/>
  <c r="I210" i="1" s="1"/>
  <c r="L210" i="1" s="1"/>
  <c r="N210" i="1" l="1"/>
  <c r="M210" i="1"/>
  <c r="O210" i="1"/>
  <c r="J210" i="1"/>
  <c r="K210" i="1"/>
  <c r="P210" i="1" l="1"/>
  <c r="I211" i="1" s="1"/>
  <c r="M211" i="1" s="1"/>
  <c r="N211" i="1" l="1"/>
  <c r="J211" i="1"/>
  <c r="L211" i="1"/>
  <c r="K211" i="1"/>
  <c r="O211" i="1"/>
  <c r="P211" i="1" l="1"/>
  <c r="I212" i="1" s="1"/>
  <c r="M212" i="1" s="1"/>
  <c r="O212" i="1"/>
  <c r="N212" i="1"/>
  <c r="K212" i="1"/>
  <c r="J212" i="1"/>
  <c r="L212" i="1"/>
  <c r="P212" i="1" l="1"/>
  <c r="I213" i="1" s="1"/>
  <c r="K213" i="1" s="1"/>
  <c r="O213" i="1"/>
  <c r="N213" i="1"/>
  <c r="J213" i="1" l="1"/>
  <c r="L213" i="1"/>
  <c r="M213" i="1"/>
  <c r="P213" i="1"/>
  <c r="I214" i="1" s="1"/>
  <c r="M214" i="1" s="1"/>
  <c r="J214" i="1" l="1"/>
  <c r="K214" i="1"/>
  <c r="L214" i="1"/>
  <c r="N214" i="1"/>
  <c r="O214" i="1"/>
  <c r="P214" i="1" l="1"/>
  <c r="I215" i="1" s="1"/>
  <c r="K215" i="1" l="1"/>
  <c r="O215" i="1"/>
  <c r="J215" i="1"/>
  <c r="N215" i="1"/>
  <c r="L215" i="1"/>
  <c r="M215" i="1"/>
  <c r="P215" i="1" l="1"/>
  <c r="I216" i="1" s="1"/>
  <c r="J216" i="1" s="1"/>
  <c r="N216" i="1" l="1"/>
  <c r="K216" i="1"/>
  <c r="L216" i="1"/>
  <c r="M216" i="1"/>
  <c r="O216" i="1"/>
  <c r="P216" i="1" s="1"/>
  <c r="I217" i="1" s="1"/>
  <c r="J217" i="1" l="1"/>
  <c r="N217" i="1"/>
  <c r="M217" i="1"/>
  <c r="L217" i="1"/>
  <c r="O217" i="1"/>
  <c r="K217" i="1"/>
  <c r="P217" i="1" l="1"/>
  <c r="I218" i="1" s="1"/>
  <c r="N218" i="1" s="1"/>
  <c r="O218" i="1"/>
  <c r="L218" i="1"/>
  <c r="M218" i="1"/>
  <c r="K218" i="1"/>
  <c r="J218" i="1"/>
  <c r="P218" i="1" l="1"/>
  <c r="I219" i="1" s="1"/>
  <c r="N219" i="1" s="1"/>
  <c r="K219" i="1" l="1"/>
  <c r="J219" i="1"/>
  <c r="M219" i="1"/>
  <c r="L219" i="1"/>
  <c r="O219" i="1"/>
  <c r="P219" i="1"/>
  <c r="I220" i="1" s="1"/>
  <c r="K220" i="1" s="1"/>
  <c r="O220" i="1"/>
  <c r="M220" i="1" l="1"/>
  <c r="L220" i="1"/>
  <c r="N220" i="1"/>
  <c r="P220" i="1" s="1"/>
  <c r="I221" i="1" s="1"/>
  <c r="J220" i="1"/>
  <c r="N221" i="1" l="1"/>
  <c r="K221" i="1"/>
  <c r="J221" i="1"/>
  <c r="O221" i="1"/>
  <c r="L221" i="1"/>
  <c r="M221" i="1"/>
  <c r="P221" i="1" l="1"/>
  <c r="I222" i="1" s="1"/>
  <c r="J222" i="1"/>
  <c r="L222" i="1"/>
  <c r="K222" i="1"/>
  <c r="M222" i="1"/>
  <c r="O222" i="1"/>
  <c r="N222" i="1"/>
  <c r="P222" i="1" l="1"/>
  <c r="I223" i="1" s="1"/>
  <c r="M223" i="1" s="1"/>
  <c r="L223" i="1"/>
  <c r="K223" i="1"/>
  <c r="O223" i="1"/>
  <c r="J223" i="1"/>
  <c r="N223" i="1"/>
  <c r="P223" i="1" l="1"/>
  <c r="I224" i="1" s="1"/>
  <c r="L224" i="1" s="1"/>
  <c r="M224" i="1" l="1"/>
  <c r="J224" i="1"/>
  <c r="K224" i="1"/>
  <c r="O224" i="1"/>
  <c r="N224" i="1"/>
  <c r="P224" i="1" l="1"/>
  <c r="I225" i="1" s="1"/>
  <c r="L225" i="1" s="1"/>
  <c r="O225" i="1"/>
  <c r="M225" i="1"/>
  <c r="N225" i="1" l="1"/>
  <c r="J225" i="1"/>
  <c r="K225" i="1"/>
  <c r="P225" i="1" l="1"/>
  <c r="I226" i="1" s="1"/>
  <c r="N226" i="1"/>
  <c r="O226" i="1"/>
  <c r="J226" i="1"/>
  <c r="K226" i="1"/>
  <c r="M226" i="1"/>
  <c r="L226" i="1"/>
  <c r="P226" i="1" l="1"/>
  <c r="I227" i="1" s="1"/>
  <c r="N227" i="1" s="1"/>
  <c r="K227" i="1"/>
  <c r="L227" i="1"/>
  <c r="M227" i="1" l="1"/>
  <c r="J227" i="1"/>
  <c r="O227" i="1"/>
  <c r="P227" i="1" s="1"/>
  <c r="I228" i="1" s="1"/>
  <c r="M228" i="1" l="1"/>
  <c r="O228" i="1"/>
  <c r="N228" i="1"/>
  <c r="J228" i="1"/>
  <c r="K228" i="1"/>
  <c r="L228" i="1"/>
  <c r="P228" i="1" l="1"/>
  <c r="I229" i="1" s="1"/>
  <c r="N229" i="1"/>
  <c r="J229" i="1"/>
  <c r="K229" i="1"/>
  <c r="L229" i="1"/>
  <c r="O229" i="1"/>
  <c r="M229" i="1"/>
  <c r="P229" i="1" l="1"/>
  <c r="I230" i="1" s="1"/>
  <c r="L230" i="1" s="1"/>
  <c r="O230" i="1"/>
  <c r="M230" i="1"/>
  <c r="N230" i="1"/>
  <c r="J230" i="1" l="1"/>
  <c r="K230" i="1"/>
  <c r="P230" i="1" l="1"/>
  <c r="I231" i="1" s="1"/>
  <c r="J231" i="1" l="1"/>
  <c r="O231" i="1"/>
  <c r="L231" i="1"/>
  <c r="N231" i="1"/>
  <c r="K231" i="1"/>
  <c r="M231" i="1"/>
  <c r="P231" i="1" l="1"/>
  <c r="I232" i="1" s="1"/>
  <c r="K232" i="1" l="1"/>
  <c r="O232" i="1"/>
  <c r="M232" i="1"/>
  <c r="J232" i="1"/>
  <c r="N232" i="1"/>
  <c r="L232" i="1"/>
  <c r="P232" i="1" l="1"/>
  <c r="I233" i="1" s="1"/>
  <c r="O233" i="1" s="1"/>
  <c r="J233" i="1"/>
  <c r="N233" i="1"/>
  <c r="L233" i="1"/>
  <c r="M233" i="1"/>
  <c r="K233" i="1"/>
  <c r="Y4" i="1"/>
  <c r="P233" i="1" l="1"/>
  <c r="I234" i="1" s="1"/>
  <c r="L234" i="1" s="1"/>
  <c r="K234" i="1"/>
  <c r="M234" i="1"/>
  <c r="J234" i="1"/>
  <c r="O234" i="1"/>
  <c r="N234" i="1"/>
  <c r="AB4" i="1"/>
  <c r="AE4" i="1" s="1"/>
  <c r="W4" i="1"/>
  <c r="AA4" i="1"/>
  <c r="X4" i="1"/>
  <c r="P234" i="1" l="1"/>
  <c r="I235" i="1" s="1"/>
  <c r="N235" i="1" s="1"/>
  <c r="AC4" i="1"/>
  <c r="V5" i="1" s="1"/>
  <c r="Z5" i="1" s="1"/>
  <c r="L235" i="1" l="1"/>
  <c r="O235" i="1"/>
  <c r="K235" i="1"/>
  <c r="J235" i="1"/>
  <c r="M235" i="1"/>
  <c r="AF4" i="1"/>
  <c r="X5" i="1"/>
  <c r="AB5" i="1"/>
  <c r="AE5" i="1" s="1"/>
  <c r="W5" i="1"/>
  <c r="Y5" i="1"/>
  <c r="AA5" i="1"/>
  <c r="P235" i="1" l="1"/>
  <c r="I236" i="1" s="1"/>
  <c r="L236" i="1" s="1"/>
  <c r="AC5" i="1"/>
  <c r="V6" i="1" s="1"/>
  <c r="Z6" i="1" s="1"/>
  <c r="M236" i="1" l="1"/>
  <c r="O236" i="1"/>
  <c r="K236" i="1"/>
  <c r="N236" i="1"/>
  <c r="J236" i="1"/>
  <c r="AF5" i="1"/>
  <c r="X6" i="1"/>
  <c r="W6" i="1"/>
  <c r="AB6" i="1"/>
  <c r="AE6" i="1" s="1"/>
  <c r="Y6" i="1"/>
  <c r="AA6" i="1"/>
  <c r="P236" i="1" l="1"/>
  <c r="I237" i="1" s="1"/>
  <c r="K237" i="1" s="1"/>
  <c r="AC6" i="1"/>
  <c r="AF6" i="1" s="1"/>
  <c r="N237" i="1" l="1"/>
  <c r="M237" i="1"/>
  <c r="L237" i="1"/>
  <c r="O237" i="1"/>
  <c r="J237" i="1"/>
  <c r="V7" i="1"/>
  <c r="Z7" i="1" s="1"/>
  <c r="P237" i="1" l="1"/>
  <c r="I238" i="1" s="1"/>
  <c r="J238" i="1" s="1"/>
  <c r="Y7" i="1"/>
  <c r="AA7" i="1"/>
  <c r="AB7" i="1"/>
  <c r="AE7" i="1" s="1"/>
  <c r="X7" i="1"/>
  <c r="W7" i="1"/>
  <c r="O238" i="1" l="1"/>
  <c r="K238" i="1"/>
  <c r="M238" i="1"/>
  <c r="N238" i="1"/>
  <c r="L238" i="1"/>
  <c r="P238" i="1" s="1"/>
  <c r="I239" i="1" s="1"/>
  <c r="AC7" i="1"/>
  <c r="AF7" i="1" s="1"/>
  <c r="K239" i="1" l="1"/>
  <c r="O239" i="1"/>
  <c r="J239" i="1"/>
  <c r="N239" i="1"/>
  <c r="M239" i="1"/>
  <c r="L239" i="1"/>
  <c r="V8" i="1"/>
  <c r="Z8" i="1" s="1"/>
  <c r="P239" i="1" l="1"/>
  <c r="I240" i="1" s="1"/>
  <c r="J240" i="1" s="1"/>
  <c r="L240" i="1"/>
  <c r="N240" i="1"/>
  <c r="K240" i="1"/>
  <c r="O240" i="1"/>
  <c r="AA8" i="1"/>
  <c r="AB8" i="1"/>
  <c r="AE8" i="1" s="1"/>
  <c r="W8" i="1"/>
  <c r="Y8" i="1"/>
  <c r="X8" i="1"/>
  <c r="M240" i="1" l="1"/>
  <c r="P240" i="1" s="1"/>
  <c r="I241" i="1" s="1"/>
  <c r="AC8" i="1"/>
  <c r="AF8" i="1" s="1"/>
  <c r="N241" i="1" l="1"/>
  <c r="M241" i="1"/>
  <c r="L241" i="1"/>
  <c r="O241" i="1"/>
  <c r="J241" i="1"/>
  <c r="K241" i="1"/>
  <c r="V9" i="1"/>
  <c r="P241" i="1" l="1"/>
  <c r="I242" i="1" s="1"/>
  <c r="K242" i="1"/>
  <c r="N242" i="1"/>
  <c r="M242" i="1"/>
  <c r="AB9" i="1"/>
  <c r="AE9" i="1" s="1"/>
  <c r="Z9" i="1"/>
  <c r="Y9" i="1"/>
  <c r="W9" i="1"/>
  <c r="AA9" i="1"/>
  <c r="X9" i="1"/>
  <c r="J242" i="1" l="1"/>
  <c r="O242" i="1"/>
  <c r="L242" i="1"/>
  <c r="AC9" i="1"/>
  <c r="V10" i="1" s="1"/>
  <c r="Z10" i="1" s="1"/>
  <c r="P242" i="1" l="1"/>
  <c r="I243" i="1" s="1"/>
  <c r="N243" i="1"/>
  <c r="J243" i="1"/>
  <c r="L243" i="1"/>
  <c r="M243" i="1"/>
  <c r="K243" i="1"/>
  <c r="O243" i="1"/>
  <c r="W10" i="1"/>
  <c r="AB10" i="1"/>
  <c r="AE10" i="1" s="1"/>
  <c r="X10" i="1"/>
  <c r="AA10" i="1"/>
  <c r="AF9" i="1"/>
  <c r="Y10" i="1"/>
  <c r="P243" i="1" l="1"/>
  <c r="I244" i="1" s="1"/>
  <c r="K244" i="1" s="1"/>
  <c r="M244" i="1"/>
  <c r="O244" i="1"/>
  <c r="L244" i="1"/>
  <c r="J244" i="1"/>
  <c r="N244" i="1"/>
  <c r="AC10" i="1"/>
  <c r="AF10" i="1" s="1"/>
  <c r="P244" i="1" l="1"/>
  <c r="I245" i="1" s="1"/>
  <c r="N245" i="1" s="1"/>
  <c r="V11" i="1"/>
  <c r="J245" i="1" l="1"/>
  <c r="K245" i="1"/>
  <c r="L245" i="1"/>
  <c r="M245" i="1"/>
  <c r="O245" i="1"/>
  <c r="W11" i="1"/>
  <c r="Z11" i="1"/>
  <c r="AB11" i="1"/>
  <c r="AE11" i="1" s="1"/>
  <c r="Y11" i="1"/>
  <c r="AA11" i="1"/>
  <c r="X11" i="1"/>
  <c r="P245" i="1" l="1"/>
  <c r="I246" i="1" s="1"/>
  <c r="J246" i="1" s="1"/>
  <c r="O246" i="1"/>
  <c r="M246" i="1"/>
  <c r="N246" i="1"/>
  <c r="AC11" i="1"/>
  <c r="V12" i="1" s="1"/>
  <c r="K246" i="1" l="1"/>
  <c r="L246" i="1"/>
  <c r="P246" i="1"/>
  <c r="I247" i="1" s="1"/>
  <c r="L247" i="1" s="1"/>
  <c r="W12" i="1"/>
  <c r="Z12" i="1"/>
  <c r="AF11" i="1"/>
  <c r="Y12" i="1"/>
  <c r="X12" i="1"/>
  <c r="AA12" i="1"/>
  <c r="AB12" i="1"/>
  <c r="AE12" i="1" s="1"/>
  <c r="K247" i="1" l="1"/>
  <c r="N247" i="1"/>
  <c r="J247" i="1"/>
  <c r="O247" i="1"/>
  <c r="M247" i="1"/>
  <c r="AC12" i="1"/>
  <c r="AF12" i="1" s="1"/>
  <c r="P247" i="1" l="1"/>
  <c r="I248" i="1" s="1"/>
  <c r="V13" i="1"/>
  <c r="M248" i="1" l="1"/>
  <c r="K248" i="1"/>
  <c r="L248" i="1"/>
  <c r="O248" i="1"/>
  <c r="J248" i="1"/>
  <c r="N248" i="1"/>
  <c r="AB13" i="1"/>
  <c r="AE13" i="1" s="1"/>
  <c r="Z13" i="1"/>
  <c r="AA13" i="1"/>
  <c r="W13" i="1"/>
  <c r="Y13" i="1"/>
  <c r="X13" i="1"/>
  <c r="P248" i="1" l="1"/>
  <c r="I249" i="1" s="1"/>
  <c r="J249" i="1" s="1"/>
  <c r="L249" i="1"/>
  <c r="AC13" i="1"/>
  <c r="AF13" i="1" s="1"/>
  <c r="M249" i="1" l="1"/>
  <c r="N249" i="1"/>
  <c r="K249" i="1"/>
  <c r="O249" i="1"/>
  <c r="P249" i="1" s="1"/>
  <c r="I250" i="1" s="1"/>
  <c r="V14" i="1"/>
  <c r="L250" i="1" l="1"/>
  <c r="O250" i="1"/>
  <c r="N250" i="1"/>
  <c r="M250" i="1"/>
  <c r="K250" i="1"/>
  <c r="J250" i="1"/>
  <c r="AA14" i="1"/>
  <c r="Z14" i="1"/>
  <c r="W14" i="1"/>
  <c r="X14" i="1"/>
  <c r="Y14" i="1"/>
  <c r="AB14" i="1"/>
  <c r="AE14" i="1" s="1"/>
  <c r="P250" i="1" l="1"/>
  <c r="I251" i="1" s="1"/>
  <c r="J251" i="1" s="1"/>
  <c r="M251" i="1"/>
  <c r="L251" i="1"/>
  <c r="K251" i="1"/>
  <c r="O251" i="1"/>
  <c r="AC14" i="1"/>
  <c r="N251" i="1" l="1"/>
  <c r="P251" i="1" s="1"/>
  <c r="I252" i="1" s="1"/>
  <c r="AF14" i="1"/>
  <c r="V15" i="1"/>
  <c r="Z15" i="1" s="1"/>
  <c r="O252" i="1" l="1"/>
  <c r="J252" i="1"/>
  <c r="K252" i="1"/>
  <c r="L252" i="1"/>
  <c r="N252" i="1"/>
  <c r="M252" i="1"/>
  <c r="P252" i="1" s="1"/>
  <c r="I253" i="1" s="1"/>
  <c r="AB15" i="1"/>
  <c r="AE15" i="1" s="1"/>
  <c r="AA15" i="1"/>
  <c r="Y15" i="1"/>
  <c r="W15" i="1"/>
  <c r="X15" i="1"/>
  <c r="O253" i="1" l="1"/>
  <c r="N253" i="1"/>
  <c r="J253" i="1"/>
  <c r="K253" i="1"/>
  <c r="M253" i="1"/>
  <c r="L253" i="1"/>
  <c r="AC15" i="1"/>
  <c r="V16" i="1" s="1"/>
  <c r="P253" i="1" l="1"/>
  <c r="I254" i="1" s="1"/>
  <c r="W16" i="1"/>
  <c r="Z16" i="1"/>
  <c r="Y16" i="1"/>
  <c r="AF15" i="1"/>
  <c r="X16" i="1"/>
  <c r="AA16" i="1"/>
  <c r="AB16" i="1"/>
  <c r="AE16" i="1" s="1"/>
  <c r="J254" i="1" l="1"/>
  <c r="O254" i="1"/>
  <c r="K254" i="1"/>
  <c r="M254" i="1"/>
  <c r="L254" i="1"/>
  <c r="N254" i="1"/>
  <c r="AC16" i="1"/>
  <c r="P254" i="1" l="1"/>
  <c r="I255" i="1" s="1"/>
  <c r="N255" i="1" s="1"/>
  <c r="M255" i="1"/>
  <c r="L255" i="1"/>
  <c r="V17" i="1"/>
  <c r="Z17" i="1" s="1"/>
  <c r="AF16" i="1"/>
  <c r="O255" i="1" l="1"/>
  <c r="J255" i="1"/>
  <c r="K255" i="1"/>
  <c r="P255" i="1" s="1"/>
  <c r="I256" i="1" s="1"/>
  <c r="Y17" i="1"/>
  <c r="AB17" i="1"/>
  <c r="AE17" i="1" s="1"/>
  <c r="W17" i="1"/>
  <c r="X17" i="1"/>
  <c r="AA17" i="1"/>
  <c r="L256" i="1" l="1"/>
  <c r="J256" i="1"/>
  <c r="K256" i="1"/>
  <c r="O256" i="1"/>
  <c r="N256" i="1"/>
  <c r="M256" i="1"/>
  <c r="AC17" i="1"/>
  <c r="P256" i="1" l="1"/>
  <c r="I257" i="1" s="1"/>
  <c r="M257" i="1" s="1"/>
  <c r="V18" i="1"/>
  <c r="Z18" i="1" s="1"/>
  <c r="AF17" i="1"/>
  <c r="N257" i="1" l="1"/>
  <c r="L257" i="1"/>
  <c r="K257" i="1"/>
  <c r="J257" i="1"/>
  <c r="O257" i="1"/>
  <c r="Y18" i="1"/>
  <c r="AB18" i="1"/>
  <c r="AE18" i="1" s="1"/>
  <c r="W18" i="1"/>
  <c r="X18" i="1"/>
  <c r="AA18" i="1"/>
  <c r="P257" i="1" l="1"/>
  <c r="I258" i="1" s="1"/>
  <c r="N258" i="1" s="1"/>
  <c r="M258" i="1"/>
  <c r="AC18" i="1"/>
  <c r="V19" i="1" s="1"/>
  <c r="Z19" i="1" s="1"/>
  <c r="O258" i="1" l="1"/>
  <c r="J258" i="1"/>
  <c r="K258" i="1"/>
  <c r="L258" i="1"/>
  <c r="AF18" i="1"/>
  <c r="AB19" i="1"/>
  <c r="AE19" i="1" s="1"/>
  <c r="W19" i="1"/>
  <c r="X19" i="1"/>
  <c r="Y19" i="1"/>
  <c r="AA19" i="1"/>
  <c r="P258" i="1" l="1"/>
  <c r="I259" i="1" s="1"/>
  <c r="J259" i="1"/>
  <c r="O259" i="1"/>
  <c r="M259" i="1"/>
  <c r="N259" i="1"/>
  <c r="K259" i="1"/>
  <c r="L259" i="1"/>
  <c r="AC19" i="1"/>
  <c r="AF19" i="1" s="1"/>
  <c r="P259" i="1" l="1"/>
  <c r="I260" i="1" s="1"/>
  <c r="N260" i="1" s="1"/>
  <c r="M260" i="1"/>
  <c r="K260" i="1"/>
  <c r="V20" i="1"/>
  <c r="L260" i="1" l="1"/>
  <c r="J260" i="1"/>
  <c r="O260" i="1"/>
  <c r="P260" i="1" s="1"/>
  <c r="I261" i="1" s="1"/>
  <c r="L261" i="1" s="1"/>
  <c r="Y20" i="1"/>
  <c r="Z20" i="1"/>
  <c r="AB20" i="1"/>
  <c r="AE20" i="1" s="1"/>
  <c r="W20" i="1"/>
  <c r="AA20" i="1"/>
  <c r="X20" i="1"/>
  <c r="K261" i="1" l="1"/>
  <c r="O261" i="1"/>
  <c r="J261" i="1"/>
  <c r="N261" i="1"/>
  <c r="M261" i="1"/>
  <c r="AC20" i="1"/>
  <c r="AF20" i="1" s="1"/>
  <c r="P261" i="1" l="1"/>
  <c r="I262" i="1" s="1"/>
  <c r="L262" i="1" s="1"/>
  <c r="V21" i="1"/>
  <c r="M262" i="1" l="1"/>
  <c r="O262" i="1"/>
  <c r="J262" i="1"/>
  <c r="N262" i="1"/>
  <c r="K262" i="1"/>
  <c r="AA21" i="1"/>
  <c r="Z21" i="1"/>
  <c r="X21" i="1"/>
  <c r="AB21" i="1"/>
  <c r="AE21" i="1" s="1"/>
  <c r="W21" i="1"/>
  <c r="Y21" i="1"/>
  <c r="P262" i="1" l="1"/>
  <c r="I263" i="1" s="1"/>
  <c r="M263" i="1" s="1"/>
  <c r="O263" i="1"/>
  <c r="K263" i="1"/>
  <c r="N263" i="1"/>
  <c r="AC21" i="1"/>
  <c r="V22" i="1" s="1"/>
  <c r="J263" i="1" l="1"/>
  <c r="L263" i="1"/>
  <c r="P263" i="1"/>
  <c r="I264" i="1" s="1"/>
  <c r="L264" i="1" s="1"/>
  <c r="O264" i="1"/>
  <c r="W22" i="1"/>
  <c r="Z22" i="1"/>
  <c r="Y22" i="1"/>
  <c r="AA22" i="1"/>
  <c r="AB22" i="1"/>
  <c r="AE22" i="1" s="1"/>
  <c r="X22" i="1"/>
  <c r="AF21" i="1"/>
  <c r="K264" i="1" l="1"/>
  <c r="J264" i="1"/>
  <c r="M264" i="1"/>
  <c r="N264" i="1"/>
  <c r="P264" i="1" s="1"/>
  <c r="I265" i="1" s="1"/>
  <c r="K265" i="1" s="1"/>
  <c r="AC22" i="1"/>
  <c r="AF22" i="1" s="1"/>
  <c r="J265" i="1" l="1"/>
  <c r="O265" i="1"/>
  <c r="N265" i="1"/>
  <c r="M265" i="1"/>
  <c r="L265" i="1"/>
  <c r="V23" i="1"/>
  <c r="P265" i="1" l="1"/>
  <c r="I266" i="1" s="1"/>
  <c r="AA23" i="1"/>
  <c r="Z23" i="1"/>
  <c r="AB23" i="1"/>
  <c r="AE23" i="1" s="1"/>
  <c r="X23" i="1"/>
  <c r="Y23" i="1"/>
  <c r="W23" i="1"/>
  <c r="O266" i="1" l="1"/>
  <c r="J266" i="1"/>
  <c r="M266" i="1"/>
  <c r="K266" i="1"/>
  <c r="L266" i="1"/>
  <c r="N266" i="1"/>
  <c r="AC23" i="1"/>
  <c r="AF23" i="1" s="1"/>
  <c r="P266" i="1" l="1"/>
  <c r="I267" i="1" s="1"/>
  <c r="L267" i="1" s="1"/>
  <c r="O267" i="1"/>
  <c r="M267" i="1"/>
  <c r="V24" i="1"/>
  <c r="N267" i="1" l="1"/>
  <c r="J267" i="1"/>
  <c r="K267" i="1"/>
  <c r="Y24" i="1"/>
  <c r="Z24" i="1"/>
  <c r="AB24" i="1"/>
  <c r="AE24" i="1" s="1"/>
  <c r="X24" i="1"/>
  <c r="W24" i="1"/>
  <c r="AA24" i="1"/>
  <c r="P267" i="1" l="1"/>
  <c r="I268" i="1" s="1"/>
  <c r="L268" i="1" s="1"/>
  <c r="M268" i="1"/>
  <c r="N268" i="1"/>
  <c r="K268" i="1"/>
  <c r="J268" i="1"/>
  <c r="O268" i="1"/>
  <c r="P268" i="1" s="1"/>
  <c r="I269" i="1" s="1"/>
  <c r="L269" i="1" s="1"/>
  <c r="AC24" i="1"/>
  <c r="K269" i="1" l="1"/>
  <c r="J269" i="1"/>
  <c r="O269" i="1"/>
  <c r="N269" i="1"/>
  <c r="M269" i="1"/>
  <c r="AF24" i="1"/>
  <c r="V25" i="1"/>
  <c r="Z25" i="1" s="1"/>
  <c r="P269" i="1" l="1"/>
  <c r="I270" i="1" s="1"/>
  <c r="J270" i="1" s="1"/>
  <c r="L270" i="1"/>
  <c r="M270" i="1"/>
  <c r="N270" i="1"/>
  <c r="W25" i="1"/>
  <c r="AB25" i="1"/>
  <c r="AE25" i="1" s="1"/>
  <c r="Y25" i="1"/>
  <c r="X25" i="1"/>
  <c r="AA25" i="1"/>
  <c r="O270" i="1" l="1"/>
  <c r="K270" i="1"/>
  <c r="AC25" i="1"/>
  <c r="P270" i="1" l="1"/>
  <c r="I271" i="1" s="1"/>
  <c r="L271" i="1" s="1"/>
  <c r="N271" i="1"/>
  <c r="K271" i="1"/>
  <c r="O271" i="1"/>
  <c r="M271" i="1"/>
  <c r="J271" i="1"/>
  <c r="AF25" i="1"/>
  <c r="V26" i="1"/>
  <c r="Z26" i="1" s="1"/>
  <c r="P271" i="1" l="1"/>
  <c r="I272" i="1" s="1"/>
  <c r="L272" i="1" s="1"/>
  <c r="AB26" i="1"/>
  <c r="AE26" i="1" s="1"/>
  <c r="X26" i="1"/>
  <c r="W26" i="1"/>
  <c r="AA26" i="1"/>
  <c r="Y26" i="1"/>
  <c r="O272" i="1" l="1"/>
  <c r="K272" i="1"/>
  <c r="J272" i="1"/>
  <c r="N272" i="1"/>
  <c r="M272" i="1"/>
  <c r="AC26" i="1"/>
  <c r="V27" i="1" s="1"/>
  <c r="Z27" i="1" s="1"/>
  <c r="P272" i="1" l="1"/>
  <c r="I273" i="1" s="1"/>
  <c r="L273" i="1" s="1"/>
  <c r="O273" i="1"/>
  <c r="J273" i="1"/>
  <c r="M273" i="1"/>
  <c r="K273" i="1"/>
  <c r="N273" i="1"/>
  <c r="AF26" i="1"/>
  <c r="Y27" i="1"/>
  <c r="X27" i="1"/>
  <c r="AA27" i="1"/>
  <c r="W27" i="1"/>
  <c r="AB27" i="1"/>
  <c r="AE27" i="1" s="1"/>
  <c r="P273" i="1" l="1"/>
  <c r="I274" i="1" s="1"/>
  <c r="N274" i="1" s="1"/>
  <c r="AC27" i="1"/>
  <c r="K274" i="1" l="1"/>
  <c r="J274" i="1"/>
  <c r="L274" i="1"/>
  <c r="M274" i="1"/>
  <c r="O274" i="1"/>
  <c r="AF27" i="1"/>
  <c r="V28" i="1"/>
  <c r="Z28" i="1" s="1"/>
  <c r="P274" i="1" l="1"/>
  <c r="I275" i="1" s="1"/>
  <c r="N275" i="1" s="1"/>
  <c r="O275" i="1"/>
  <c r="M275" i="1"/>
  <c r="L275" i="1"/>
  <c r="X28" i="1"/>
  <c r="AB28" i="1"/>
  <c r="AE28" i="1" s="1"/>
  <c r="W28" i="1"/>
  <c r="Y28" i="1"/>
  <c r="AA28" i="1"/>
  <c r="K275" i="1" l="1"/>
  <c r="J275" i="1"/>
  <c r="P275" i="1"/>
  <c r="I276" i="1" s="1"/>
  <c r="L276" i="1" s="1"/>
  <c r="O276" i="1"/>
  <c r="M276" i="1"/>
  <c r="K276" i="1"/>
  <c r="N276" i="1"/>
  <c r="AC28" i="1"/>
  <c r="V29" i="1" s="1"/>
  <c r="J276" i="1" l="1"/>
  <c r="P276" i="1" s="1"/>
  <c r="I277" i="1" s="1"/>
  <c r="AF28" i="1"/>
  <c r="Z29" i="1"/>
  <c r="AB29" i="1"/>
  <c r="AE29" i="1" s="1"/>
  <c r="X29" i="1"/>
  <c r="Y29" i="1"/>
  <c r="W29" i="1"/>
  <c r="AA29" i="1"/>
  <c r="M277" i="1" l="1"/>
  <c r="O277" i="1"/>
  <c r="L277" i="1"/>
  <c r="K277" i="1"/>
  <c r="N277" i="1"/>
  <c r="J277" i="1"/>
  <c r="AC29" i="1"/>
  <c r="AF29" i="1" s="1"/>
  <c r="P277" i="1" l="1"/>
  <c r="I278" i="1" s="1"/>
  <c r="M278" i="1" s="1"/>
  <c r="O278" i="1"/>
  <c r="L278" i="1"/>
  <c r="N278" i="1"/>
  <c r="K278" i="1"/>
  <c r="V30" i="1"/>
  <c r="Y30" i="1" s="1"/>
  <c r="J278" i="1" l="1"/>
  <c r="P278" i="1" s="1"/>
  <c r="I279" i="1" s="1"/>
  <c r="AA30" i="1"/>
  <c r="W30" i="1"/>
  <c r="X30" i="1"/>
  <c r="AB30" i="1"/>
  <c r="AE30" i="1" s="1"/>
  <c r="Z30" i="1"/>
  <c r="J279" i="1" l="1"/>
  <c r="L279" i="1"/>
  <c r="N279" i="1"/>
  <c r="O279" i="1"/>
  <c r="K279" i="1"/>
  <c r="M279" i="1"/>
  <c r="AC30" i="1"/>
  <c r="AF30" i="1" s="1"/>
  <c r="P279" i="1"/>
  <c r="I280" i="1" s="1"/>
  <c r="J280" i="1" s="1"/>
  <c r="V31" i="1" l="1"/>
  <c r="Z31" i="1" s="1"/>
  <c r="L280" i="1"/>
  <c r="M280" i="1"/>
  <c r="O280" i="1"/>
  <c r="N280" i="1"/>
  <c r="K280" i="1"/>
  <c r="AB31" i="1"/>
  <c r="AE31" i="1" s="1"/>
  <c r="AA31" i="1" l="1"/>
  <c r="Y31" i="1"/>
  <c r="X31" i="1"/>
  <c r="W31" i="1"/>
  <c r="P280" i="1"/>
  <c r="I281" i="1" s="1"/>
  <c r="N281" i="1" s="1"/>
  <c r="O281" i="1" l="1"/>
  <c r="K281" i="1"/>
  <c r="M281" i="1"/>
  <c r="J281" i="1"/>
  <c r="AC31" i="1"/>
  <c r="V32" i="1" s="1"/>
  <c r="Z32" i="1" s="1"/>
  <c r="L281" i="1"/>
  <c r="P281" i="1" s="1"/>
  <c r="I282" i="1" s="1"/>
  <c r="Y32" i="1" l="1"/>
  <c r="AB32" i="1"/>
  <c r="N282" i="1"/>
  <c r="O282" i="1"/>
  <c r="J282" i="1"/>
  <c r="K282" i="1"/>
  <c r="M282" i="1"/>
  <c r="AF31" i="1"/>
  <c r="L282" i="1"/>
  <c r="X32" i="1"/>
  <c r="W32" i="1"/>
  <c r="AA32" i="1"/>
  <c r="AE32" i="1"/>
  <c r="P282" i="1" l="1"/>
  <c r="I283" i="1" s="1"/>
  <c r="N283" i="1" s="1"/>
  <c r="AC32" i="1"/>
  <c r="AF32" i="1" s="1"/>
  <c r="M283" i="1"/>
  <c r="L283" i="1"/>
  <c r="K283" i="1" l="1"/>
  <c r="J283" i="1"/>
  <c r="O283" i="1"/>
  <c r="P283" i="1" s="1"/>
  <c r="I284" i="1" s="1"/>
  <c r="V33" i="1"/>
  <c r="Z33" i="1" s="1"/>
  <c r="L284" i="1" l="1"/>
  <c r="K284" i="1"/>
  <c r="N284" i="1"/>
  <c r="J284" i="1"/>
  <c r="M284" i="1"/>
  <c r="AA33" i="1"/>
  <c r="O284" i="1"/>
  <c r="X33" i="1"/>
  <c r="Y33" i="1"/>
  <c r="W33" i="1"/>
  <c r="AB33" i="1"/>
  <c r="AE33" i="1" s="1"/>
  <c r="P284" i="1" l="1"/>
  <c r="I285" i="1" s="1"/>
  <c r="N285" i="1" s="1"/>
  <c r="AC33" i="1"/>
  <c r="AF33" i="1" s="1"/>
  <c r="O285" i="1"/>
  <c r="J285" i="1"/>
  <c r="M285" i="1"/>
  <c r="L285" i="1"/>
  <c r="V34" i="1"/>
  <c r="Z34" i="1" s="1"/>
  <c r="K285" i="1" l="1"/>
  <c r="P285" i="1"/>
  <c r="I286" i="1" s="1"/>
  <c r="K286" i="1" s="1"/>
  <c r="L286" i="1"/>
  <c r="X34" i="1"/>
  <c r="Y34" i="1"/>
  <c r="AB34" i="1"/>
  <c r="AE34" i="1" s="1"/>
  <c r="W34" i="1"/>
  <c r="AA34" i="1"/>
  <c r="M286" i="1" l="1"/>
  <c r="N286" i="1"/>
  <c r="O286" i="1"/>
  <c r="J286" i="1"/>
  <c r="AC34" i="1"/>
  <c r="AF34" i="1" s="1"/>
  <c r="P286" i="1" l="1"/>
  <c r="I287" i="1" s="1"/>
  <c r="N287" i="1" s="1"/>
  <c r="M287" i="1"/>
  <c r="K287" i="1"/>
  <c r="O287" i="1"/>
  <c r="J287" i="1"/>
  <c r="L287" i="1"/>
  <c r="V35" i="1"/>
  <c r="X35" i="1" s="1"/>
  <c r="P287" i="1" l="1"/>
  <c r="I288" i="1" s="1"/>
  <c r="L288" i="1" s="1"/>
  <c r="O288" i="1"/>
  <c r="N288" i="1"/>
  <c r="M288" i="1"/>
  <c r="J288" i="1"/>
  <c r="K288" i="1"/>
  <c r="Y35" i="1"/>
  <c r="AA35" i="1"/>
  <c r="AB35" i="1"/>
  <c r="AE35" i="1" s="1"/>
  <c r="Z35" i="1"/>
  <c r="W35" i="1"/>
  <c r="P288" i="1" l="1"/>
  <c r="I289" i="1" s="1"/>
  <c r="N289" i="1" s="1"/>
  <c r="M289" i="1"/>
  <c r="L289" i="1"/>
  <c r="O289" i="1"/>
  <c r="K289" i="1"/>
  <c r="J289" i="1"/>
  <c r="AC35" i="1"/>
  <c r="V36" i="1" s="1"/>
  <c r="Z36" i="1" s="1"/>
  <c r="P289" i="1" l="1"/>
  <c r="I290" i="1" s="1"/>
  <c r="J290" i="1" s="1"/>
  <c r="AA36" i="1"/>
  <c r="W36" i="1"/>
  <c r="AB36" i="1"/>
  <c r="AE36" i="1" s="1"/>
  <c r="Y36" i="1"/>
  <c r="N290" i="1"/>
  <c r="O290" i="1"/>
  <c r="X36" i="1"/>
  <c r="AF35" i="1"/>
  <c r="K290" i="1" l="1"/>
  <c r="M290" i="1"/>
  <c r="AC36" i="1"/>
  <c r="V37" i="1" s="1"/>
  <c r="Z37" i="1" s="1"/>
  <c r="L290" i="1"/>
  <c r="P290" i="1" s="1"/>
  <c r="I291" i="1" s="1"/>
  <c r="AF36" i="1" l="1"/>
  <c r="AB37" i="1"/>
  <c r="AE37" i="1" s="1"/>
  <c r="X37" i="1"/>
  <c r="AA37" i="1"/>
  <c r="N291" i="1"/>
  <c r="M291" i="1"/>
  <c r="J291" i="1"/>
  <c r="O291" i="1"/>
  <c r="L291" i="1"/>
  <c r="K291" i="1"/>
  <c r="W37" i="1"/>
  <c r="Y37" i="1"/>
  <c r="AC37" i="1" l="1"/>
  <c r="AF37" i="1" s="1"/>
  <c r="P291" i="1"/>
  <c r="I292" i="1" s="1"/>
  <c r="N292" i="1" s="1"/>
  <c r="O292" i="1"/>
  <c r="J292" i="1"/>
  <c r="L292" i="1"/>
  <c r="K292" i="1" l="1"/>
  <c r="M292" i="1"/>
  <c r="P292" i="1" s="1"/>
  <c r="I293" i="1" s="1"/>
  <c r="V38" i="1"/>
  <c r="Y38" i="1" s="1"/>
  <c r="AB38" i="1"/>
  <c r="AE38" i="1" s="1"/>
  <c r="M293" i="1" l="1"/>
  <c r="L293" i="1"/>
  <c r="N293" i="1"/>
  <c r="O293" i="1"/>
  <c r="J293" i="1"/>
  <c r="K293" i="1"/>
  <c r="X38" i="1"/>
  <c r="W38" i="1"/>
  <c r="AA38" i="1"/>
  <c r="Z38" i="1"/>
  <c r="P293" i="1" l="1"/>
  <c r="I294" i="1" s="1"/>
  <c r="N294" i="1" s="1"/>
  <c r="AC38" i="1"/>
  <c r="AF38" i="1" s="1"/>
  <c r="O294" i="1"/>
  <c r="J294" i="1"/>
  <c r="L294" i="1"/>
  <c r="M294" i="1"/>
  <c r="K294" i="1" l="1"/>
  <c r="V39" i="1"/>
  <c r="Y39" i="1" s="1"/>
  <c r="P294" i="1"/>
  <c r="I295" i="1" s="1"/>
  <c r="K295" i="1" s="1"/>
  <c r="AB39" i="1" l="1"/>
  <c r="AE39" i="1" s="1"/>
  <c r="Z39" i="1"/>
  <c r="AA39" i="1"/>
  <c r="W39" i="1"/>
  <c r="X39" i="1"/>
  <c r="L295" i="1"/>
  <c r="J295" i="1"/>
  <c r="M295" i="1"/>
  <c r="N295" i="1"/>
  <c r="O295" i="1"/>
  <c r="AC39" i="1" l="1"/>
  <c r="V40" i="1" s="1"/>
  <c r="AA40" i="1" s="1"/>
  <c r="P295" i="1"/>
  <c r="I296" i="1" s="1"/>
  <c r="J296" i="1" s="1"/>
  <c r="AF39" i="1"/>
  <c r="X40" i="1"/>
  <c r="Y40" i="1"/>
  <c r="Z40" i="1"/>
  <c r="AB40" i="1"/>
  <c r="AE40" i="1" s="1"/>
  <c r="N296" i="1"/>
  <c r="O296" i="1" l="1"/>
  <c r="M296" i="1"/>
  <c r="K296" i="1"/>
  <c r="L296" i="1"/>
  <c r="W40" i="1"/>
  <c r="AC40" i="1" s="1"/>
  <c r="AF40" i="1" s="1"/>
  <c r="P296" i="1"/>
  <c r="I297" i="1" s="1"/>
  <c r="J297" i="1" s="1"/>
  <c r="V41" i="1" l="1"/>
  <c r="O297" i="1"/>
  <c r="K297" i="1"/>
  <c r="L297" i="1"/>
  <c r="M297" i="1"/>
  <c r="N297" i="1"/>
  <c r="AA41" i="1" l="1"/>
  <c r="W41" i="1"/>
  <c r="Z41" i="1"/>
  <c r="X41" i="1"/>
  <c r="Y41" i="1"/>
  <c r="AB41" i="1"/>
  <c r="AE41" i="1" s="1"/>
  <c r="P297" i="1"/>
  <c r="I298" i="1" s="1"/>
  <c r="N298" i="1" s="1"/>
  <c r="AC41" i="1" l="1"/>
  <c r="AF41" i="1" s="1"/>
  <c r="J298" i="1"/>
  <c r="M298" i="1"/>
  <c r="L298" i="1"/>
  <c r="K298" i="1"/>
  <c r="O298" i="1"/>
  <c r="V42" i="1" l="1"/>
  <c r="Z42" i="1" s="1"/>
  <c r="P298" i="1"/>
  <c r="I299" i="1" s="1"/>
  <c r="AA42" i="1" l="1"/>
  <c r="X42" i="1"/>
  <c r="W42" i="1"/>
  <c r="AB42" i="1"/>
  <c r="AE42" i="1" s="1"/>
  <c r="Y42" i="1"/>
  <c r="L299" i="1"/>
  <c r="J299" i="1"/>
  <c r="M299" i="1"/>
  <c r="K299" i="1"/>
  <c r="O299" i="1"/>
  <c r="N299" i="1"/>
  <c r="AC42" i="1" l="1"/>
  <c r="P299" i="1"/>
  <c r="I300" i="1" s="1"/>
  <c r="N300" i="1" s="1"/>
  <c r="AF42" i="1" l="1"/>
  <c r="V43" i="1"/>
  <c r="M300" i="1"/>
  <c r="L300" i="1"/>
  <c r="K300" i="1"/>
  <c r="O300" i="1"/>
  <c r="J300" i="1"/>
  <c r="Z43" i="1" l="1"/>
  <c r="AA43" i="1"/>
  <c r="W43" i="1"/>
  <c r="Y43" i="1"/>
  <c r="X43" i="1"/>
  <c r="AB43" i="1"/>
  <c r="AE43" i="1" s="1"/>
  <c r="P300" i="1"/>
  <c r="I301" i="1" s="1"/>
  <c r="J301" i="1" s="1"/>
  <c r="AC43" i="1" l="1"/>
  <c r="N301" i="1"/>
  <c r="O301" i="1"/>
  <c r="K301" i="1"/>
  <c r="M301" i="1"/>
  <c r="L301" i="1"/>
  <c r="AF43" i="1" l="1"/>
  <c r="V44" i="1"/>
  <c r="P301" i="1"/>
  <c r="I302" i="1" s="1"/>
  <c r="M302" i="1" s="1"/>
  <c r="X44" i="1" l="1"/>
  <c r="Z44" i="1"/>
  <c r="W44" i="1"/>
  <c r="AB44" i="1"/>
  <c r="AE44" i="1" s="1"/>
  <c r="AA44" i="1"/>
  <c r="Y44" i="1"/>
  <c r="L302" i="1"/>
  <c r="N302" i="1"/>
  <c r="O302" i="1"/>
  <c r="K302" i="1"/>
  <c r="J302" i="1"/>
  <c r="AC44" i="1" l="1"/>
  <c r="P302" i="1"/>
  <c r="I303" i="1" s="1"/>
  <c r="K303" i="1" s="1"/>
  <c r="AF44" i="1" l="1"/>
  <c r="V45" i="1"/>
  <c r="O303" i="1"/>
  <c r="M303" i="1"/>
  <c r="J303" i="1"/>
  <c r="N303" i="1"/>
  <c r="L303" i="1"/>
  <c r="Y45" i="1" l="1"/>
  <c r="W45" i="1"/>
  <c r="AB45" i="1"/>
  <c r="AE45" i="1" s="1"/>
  <c r="Z45" i="1"/>
  <c r="X45" i="1"/>
  <c r="AA45" i="1"/>
  <c r="P303" i="1"/>
  <c r="I304" i="1" s="1"/>
  <c r="K304" i="1" s="1"/>
  <c r="M304" i="1" l="1"/>
  <c r="O304" i="1"/>
  <c r="AC45" i="1"/>
  <c r="N304" i="1"/>
  <c r="J304" i="1"/>
  <c r="L304" i="1"/>
  <c r="P304" i="1" l="1"/>
  <c r="I305" i="1" s="1"/>
  <c r="AF45" i="1"/>
  <c r="V46" i="1"/>
  <c r="K305" i="1"/>
  <c r="M305" i="1"/>
  <c r="J305" i="1"/>
  <c r="N305" i="1"/>
  <c r="O305" i="1"/>
  <c r="L305" i="1"/>
  <c r="Z46" i="1" l="1"/>
  <c r="AB46" i="1"/>
  <c r="AE46" i="1" s="1"/>
  <c r="X46" i="1"/>
  <c r="Y46" i="1"/>
  <c r="W46" i="1"/>
  <c r="AA46" i="1"/>
  <c r="P305" i="1"/>
  <c r="I306" i="1" s="1"/>
  <c r="K306" i="1" s="1"/>
  <c r="O306" i="1" l="1"/>
  <c r="L306" i="1"/>
  <c r="M306" i="1"/>
  <c r="N306" i="1"/>
  <c r="J306" i="1"/>
  <c r="AC46" i="1"/>
  <c r="P306" i="1" l="1"/>
  <c r="I307" i="1" s="1"/>
  <c r="K307" i="1" s="1"/>
  <c r="V47" i="1"/>
  <c r="AF46" i="1"/>
  <c r="O307" i="1"/>
  <c r="J307" i="1" l="1"/>
  <c r="L307" i="1"/>
  <c r="M307" i="1"/>
  <c r="N307" i="1"/>
  <c r="AA47" i="1"/>
  <c r="Z47" i="1"/>
  <c r="W47" i="1"/>
  <c r="X47" i="1"/>
  <c r="AB47" i="1"/>
  <c r="AE47" i="1" s="1"/>
  <c r="Y47" i="1"/>
  <c r="P307" i="1" l="1"/>
  <c r="I308" i="1" s="1"/>
  <c r="O308" i="1" s="1"/>
  <c r="L308" i="1"/>
  <c r="M308" i="1"/>
  <c r="N308" i="1"/>
  <c r="J308" i="1"/>
  <c r="K308" i="1"/>
  <c r="AC47" i="1"/>
  <c r="P308" i="1" l="1"/>
  <c r="I309" i="1" s="1"/>
  <c r="J309" i="1" s="1"/>
  <c r="O309" i="1"/>
  <c r="AF47" i="1"/>
  <c r="V48" i="1"/>
  <c r="M309" i="1"/>
  <c r="K309" i="1" l="1"/>
  <c r="N309" i="1"/>
  <c r="L309" i="1"/>
  <c r="Z48" i="1"/>
  <c r="X48" i="1"/>
  <c r="W48" i="1"/>
  <c r="AB48" i="1"/>
  <c r="AE48" i="1" s="1"/>
  <c r="Y48" i="1"/>
  <c r="AA48" i="1"/>
  <c r="P309" i="1" l="1"/>
  <c r="I310" i="1" s="1"/>
  <c r="O310" i="1" s="1"/>
  <c r="L310" i="1"/>
  <c r="K310" i="1"/>
  <c r="J310" i="1"/>
  <c r="AC48" i="1"/>
  <c r="AF48" i="1" s="1"/>
  <c r="M310" i="1" l="1"/>
  <c r="N310" i="1"/>
  <c r="P310" i="1" s="1"/>
  <c r="I311" i="1" s="1"/>
  <c r="V49" i="1"/>
  <c r="Y49" i="1" s="1"/>
  <c r="AB49" i="1"/>
  <c r="M311" i="1" l="1"/>
  <c r="O311" i="1"/>
  <c r="K311" i="1"/>
  <c r="J311" i="1"/>
  <c r="N311" i="1"/>
  <c r="L311" i="1"/>
  <c r="X49" i="1"/>
  <c r="AA49" i="1"/>
  <c r="W49" i="1"/>
  <c r="Z49" i="1"/>
  <c r="AE49" i="1"/>
  <c r="P311" i="1" l="1"/>
  <c r="I312" i="1" s="1"/>
  <c r="AC49" i="1"/>
  <c r="V50" i="1" s="1"/>
  <c r="N312" i="1" l="1"/>
  <c r="J312" i="1"/>
  <c r="K312" i="1"/>
  <c r="L312" i="1"/>
  <c r="O312" i="1"/>
  <c r="M312" i="1"/>
  <c r="AF49" i="1"/>
  <c r="Z50" i="1"/>
  <c r="AB50" i="1"/>
  <c r="AE50" i="1" s="1"/>
  <c r="X50" i="1"/>
  <c r="W50" i="1"/>
  <c r="Y50" i="1"/>
  <c r="AA50" i="1"/>
  <c r="P312" i="1" l="1"/>
  <c r="I313" i="1" s="1"/>
  <c r="M313" i="1"/>
  <c r="L313" i="1"/>
  <c r="N313" i="1"/>
  <c r="AC50" i="1"/>
  <c r="AF50" i="1" s="1"/>
  <c r="K313" i="1" l="1"/>
  <c r="J313" i="1"/>
  <c r="O313" i="1"/>
  <c r="P313" i="1" s="1"/>
  <c r="I314" i="1" s="1"/>
  <c r="V51" i="1"/>
  <c r="Z51" i="1" s="1"/>
  <c r="N314" i="1" l="1"/>
  <c r="J314" i="1"/>
  <c r="O314" i="1"/>
  <c r="K314" i="1"/>
  <c r="M314" i="1"/>
  <c r="L314" i="1"/>
  <c r="P314" i="1" s="1"/>
  <c r="I315" i="1" s="1"/>
  <c r="AB51" i="1"/>
  <c r="AE51" i="1" s="1"/>
  <c r="Y51" i="1"/>
  <c r="X51" i="1"/>
  <c r="AA51" i="1"/>
  <c r="W51" i="1"/>
  <c r="N315" i="1" l="1"/>
  <c r="O315" i="1"/>
  <c r="K315" i="1"/>
  <c r="J315" i="1"/>
  <c r="L315" i="1"/>
  <c r="M315" i="1"/>
  <c r="P315" i="1" s="1"/>
  <c r="I316" i="1" s="1"/>
  <c r="N316" i="1" s="1"/>
  <c r="AC51" i="1"/>
  <c r="V52" i="1" s="1"/>
  <c r="X52" i="1" s="1"/>
  <c r="L316" i="1" l="1"/>
  <c r="O316" i="1"/>
  <c r="K316" i="1"/>
  <c r="J316" i="1"/>
  <c r="M316" i="1"/>
  <c r="P316" i="1" s="1"/>
  <c r="I317" i="1" s="1"/>
  <c r="Y52" i="1"/>
  <c r="Z52" i="1"/>
  <c r="W52" i="1"/>
  <c r="AA52" i="1"/>
  <c r="AB52" i="1"/>
  <c r="AE52" i="1" s="1"/>
  <c r="AF51" i="1"/>
  <c r="N317" i="1" l="1"/>
  <c r="K317" i="1"/>
  <c r="L317" i="1"/>
  <c r="O317" i="1"/>
  <c r="M317" i="1"/>
  <c r="J317" i="1"/>
  <c r="AC52" i="1"/>
  <c r="AF52" i="1" s="1"/>
  <c r="P317" i="1" l="1"/>
  <c r="I318" i="1" s="1"/>
  <c r="L318" i="1" s="1"/>
  <c r="V53" i="1"/>
  <c r="M318" i="1"/>
  <c r="O318" i="1"/>
  <c r="N318" i="1"/>
  <c r="K318" i="1"/>
  <c r="J318" i="1"/>
  <c r="W53" i="1" l="1"/>
  <c r="AB53" i="1"/>
  <c r="AE53" i="1" s="1"/>
  <c r="AA53" i="1"/>
  <c r="Z53" i="1"/>
  <c r="X53" i="1"/>
  <c r="Y53" i="1"/>
  <c r="P318" i="1"/>
  <c r="I319" i="1" s="1"/>
  <c r="J319" i="1" s="1"/>
  <c r="AC53" i="1" l="1"/>
  <c r="O319" i="1"/>
  <c r="K319" i="1"/>
  <c r="L319" i="1"/>
  <c r="N319" i="1"/>
  <c r="M319" i="1"/>
  <c r="AF53" i="1" l="1"/>
  <c r="V54" i="1"/>
  <c r="P319" i="1"/>
  <c r="I320" i="1" s="1"/>
  <c r="J320" i="1" s="1"/>
  <c r="O320" i="1" l="1"/>
  <c r="Y54" i="1"/>
  <c r="AA54" i="1"/>
  <c r="X54" i="1"/>
  <c r="W54" i="1"/>
  <c r="Z54" i="1"/>
  <c r="AB54" i="1"/>
  <c r="AE54" i="1" s="1"/>
  <c r="N320" i="1"/>
  <c r="L320" i="1"/>
  <c r="M320" i="1"/>
  <c r="K320" i="1"/>
  <c r="AC54" i="1" l="1"/>
  <c r="P320" i="1"/>
  <c r="I321" i="1" s="1"/>
  <c r="J321" i="1" s="1"/>
  <c r="O321" i="1"/>
  <c r="M321" i="1"/>
  <c r="K321" i="1"/>
  <c r="AF54" i="1" l="1"/>
  <c r="V55" i="1"/>
  <c r="N321" i="1"/>
  <c r="L321" i="1"/>
  <c r="P321" i="1" s="1"/>
  <c r="I322" i="1" s="1"/>
  <c r="AB55" i="1" l="1"/>
  <c r="AA55" i="1"/>
  <c r="W55" i="1"/>
  <c r="X55" i="1"/>
  <c r="Y55" i="1"/>
  <c r="Z55" i="1"/>
  <c r="N322" i="1"/>
  <c r="M322" i="1"/>
  <c r="O322" i="1"/>
  <c r="L322" i="1"/>
  <c r="K322" i="1"/>
  <c r="J322" i="1"/>
  <c r="AC55" i="1" l="1"/>
  <c r="AF55" i="1"/>
  <c r="V56" i="1"/>
  <c r="AE55" i="1"/>
  <c r="Y56" i="1"/>
  <c r="P322" i="1"/>
  <c r="I323" i="1" s="1"/>
  <c r="J323" i="1" s="1"/>
  <c r="O323" i="1" l="1"/>
  <c r="Z56" i="1"/>
  <c r="AB56" i="1"/>
  <c r="AE56" i="1" s="1"/>
  <c r="AA56" i="1"/>
  <c r="X56" i="1"/>
  <c r="W56" i="1"/>
  <c r="M323" i="1"/>
  <c r="K323" i="1"/>
  <c r="N323" i="1"/>
  <c r="L323" i="1"/>
  <c r="AC56" i="1" l="1"/>
  <c r="P323" i="1"/>
  <c r="I324" i="1" s="1"/>
  <c r="M324" i="1" s="1"/>
  <c r="N324" i="1" l="1"/>
  <c r="J324" i="1"/>
  <c r="O324" i="1"/>
  <c r="K324" i="1"/>
  <c r="V57" i="1"/>
  <c r="AF56" i="1"/>
  <c r="L324" i="1"/>
  <c r="P324" i="1" l="1"/>
  <c r="I325" i="1" s="1"/>
  <c r="J325" i="1" s="1"/>
  <c r="AA57" i="1"/>
  <c r="X57" i="1"/>
  <c r="Z57" i="1"/>
  <c r="AB57" i="1"/>
  <c r="Y57" i="1"/>
  <c r="W57" i="1"/>
  <c r="M325" i="1"/>
  <c r="L325" i="1"/>
  <c r="N325" i="1"/>
  <c r="O325" i="1"/>
  <c r="K325" i="1"/>
  <c r="AC57" i="1" l="1"/>
  <c r="V58" i="1" s="1"/>
  <c r="Y58" i="1" s="1"/>
  <c r="AE57" i="1"/>
  <c r="P325" i="1"/>
  <c r="I326" i="1" s="1"/>
  <c r="L326" i="1" s="1"/>
  <c r="O326" i="1"/>
  <c r="N326" i="1" l="1"/>
  <c r="M326" i="1"/>
  <c r="AF57" i="1"/>
  <c r="AA58" i="1"/>
  <c r="Z58" i="1"/>
  <c r="AB58" i="1"/>
  <c r="AE58" i="1" s="1"/>
  <c r="W58" i="1"/>
  <c r="X58" i="1"/>
  <c r="J326" i="1"/>
  <c r="K326" i="1"/>
  <c r="P326" i="1" l="1"/>
  <c r="I327" i="1" s="1"/>
  <c r="L327" i="1" s="1"/>
  <c r="AC58" i="1"/>
  <c r="AF58" i="1" s="1"/>
  <c r="N327" i="1" l="1"/>
  <c r="K327" i="1"/>
  <c r="J327" i="1"/>
  <c r="O327" i="1"/>
  <c r="M327" i="1"/>
  <c r="V59" i="1"/>
  <c r="AB59" i="1" s="1"/>
  <c r="AE59" i="1" s="1"/>
  <c r="W59" i="1" l="1"/>
  <c r="P327" i="1"/>
  <c r="I328" i="1" s="1"/>
  <c r="M328" i="1" s="1"/>
  <c r="X59" i="1"/>
  <c r="AA59" i="1"/>
  <c r="Z59" i="1"/>
  <c r="O328" i="1"/>
  <c r="Y59" i="1"/>
  <c r="J328" i="1" l="1"/>
  <c r="N328" i="1"/>
  <c r="L328" i="1"/>
  <c r="K328" i="1"/>
  <c r="P328" i="1" s="1"/>
  <c r="I329" i="1" s="1"/>
  <c r="M329" i="1" s="1"/>
  <c r="AC59" i="1"/>
  <c r="V60" i="1"/>
  <c r="AF59" i="1"/>
  <c r="N329" i="1" l="1"/>
  <c r="O329" i="1"/>
  <c r="J329" i="1"/>
  <c r="L329" i="1"/>
  <c r="K329" i="1"/>
  <c r="P329" i="1" s="1"/>
  <c r="I330" i="1" s="1"/>
  <c r="K330" i="1" s="1"/>
  <c r="Z60" i="1"/>
  <c r="AB60" i="1"/>
  <c r="AE60" i="1" s="1"/>
  <c r="X60" i="1"/>
  <c r="AA60" i="1"/>
  <c r="Y60" i="1"/>
  <c r="W60" i="1"/>
  <c r="O330" i="1" l="1"/>
  <c r="AC60" i="1"/>
  <c r="V61" i="1" s="1"/>
  <c r="J330" i="1"/>
  <c r="L330" i="1"/>
  <c r="N330" i="1"/>
  <c r="M330" i="1"/>
  <c r="AF60" i="1" l="1"/>
  <c r="AA61" i="1"/>
  <c r="X61" i="1"/>
  <c r="W61" i="1"/>
  <c r="Z61" i="1"/>
  <c r="AB61" i="1"/>
  <c r="Y61" i="1"/>
  <c r="P330" i="1"/>
  <c r="I331" i="1" s="1"/>
  <c r="M331" i="1" s="1"/>
  <c r="N331" i="1" l="1"/>
  <c r="K331" i="1"/>
  <c r="J331" i="1"/>
  <c r="AC61" i="1"/>
  <c r="L331" i="1"/>
  <c r="O331" i="1"/>
  <c r="V62" i="1"/>
  <c r="AA62" i="1" s="1"/>
  <c r="AF61" i="1"/>
  <c r="AE61" i="1"/>
  <c r="P331" i="1" l="1"/>
  <c r="I332" i="1" s="1"/>
  <c r="J332" i="1" s="1"/>
  <c r="Y62" i="1"/>
  <c r="Z62" i="1"/>
  <c r="AB62" i="1"/>
  <c r="AE62" i="1" s="1"/>
  <c r="X62" i="1"/>
  <c r="W62" i="1"/>
  <c r="K332" i="1"/>
  <c r="L332" i="1"/>
  <c r="M332" i="1"/>
  <c r="O332" i="1"/>
  <c r="N332" i="1"/>
  <c r="AC62" i="1" l="1"/>
  <c r="AF62" i="1" s="1"/>
  <c r="P332" i="1"/>
  <c r="I333" i="1" s="1"/>
  <c r="N333" i="1" s="1"/>
  <c r="V63" i="1" l="1"/>
  <c r="Z63" i="1" s="1"/>
  <c r="AB63" i="1"/>
  <c r="AE63" i="1" s="1"/>
  <c r="Y63" i="1"/>
  <c r="AA63" i="1"/>
  <c r="X63" i="1"/>
  <c r="W63" i="1"/>
  <c r="O333" i="1"/>
  <c r="K333" i="1"/>
  <c r="J333" i="1"/>
  <c r="L333" i="1"/>
  <c r="M333" i="1"/>
  <c r="AC63" i="1" l="1"/>
  <c r="AF63" i="1" s="1"/>
  <c r="P333" i="1"/>
  <c r="I334" i="1" s="1"/>
  <c r="M334" i="1" s="1"/>
  <c r="V64" i="1" l="1"/>
  <c r="W64" i="1" s="1"/>
  <c r="O334" i="1"/>
  <c r="L334" i="1"/>
  <c r="K334" i="1"/>
  <c r="J334" i="1"/>
  <c r="N334" i="1"/>
  <c r="Z64" i="1" l="1"/>
  <c r="X64" i="1"/>
  <c r="AA64" i="1"/>
  <c r="Y64" i="1"/>
  <c r="AB64" i="1"/>
  <c r="AE64" i="1" s="1"/>
  <c r="P334" i="1"/>
  <c r="I335" i="1" s="1"/>
  <c r="M335" i="1" s="1"/>
  <c r="O335" i="1"/>
  <c r="AC64" i="1" l="1"/>
  <c r="L335" i="1"/>
  <c r="V65" i="1"/>
  <c r="AF64" i="1"/>
  <c r="N335" i="1"/>
  <c r="K335" i="1"/>
  <c r="J335" i="1"/>
  <c r="P335" i="1" l="1"/>
  <c r="I336" i="1" s="1"/>
  <c r="L336" i="1" s="1"/>
  <c r="Z65" i="1"/>
  <c r="AA65" i="1"/>
  <c r="Y65" i="1"/>
  <c r="AB65" i="1"/>
  <c r="AE65" i="1" s="1"/>
  <c r="X65" i="1"/>
  <c r="W65" i="1"/>
  <c r="J336" i="1"/>
  <c r="K336" i="1"/>
  <c r="O336" i="1"/>
  <c r="M336" i="1"/>
  <c r="N336" i="1" l="1"/>
  <c r="AC65" i="1"/>
  <c r="V66" i="1" s="1"/>
  <c r="Y66" i="1" s="1"/>
  <c r="P336" i="1"/>
  <c r="I337" i="1" s="1"/>
  <c r="J337" i="1" s="1"/>
  <c r="AF65" i="1" l="1"/>
  <c r="Z66" i="1"/>
  <c r="M337" i="1"/>
  <c r="N337" i="1"/>
  <c r="L337" i="1"/>
  <c r="AB66" i="1"/>
  <c r="AE66" i="1" s="1"/>
  <c r="K337" i="1"/>
  <c r="AA66" i="1"/>
  <c r="X66" i="1"/>
  <c r="W66" i="1"/>
  <c r="O337" i="1"/>
  <c r="AC66" i="1" l="1"/>
  <c r="AF66" i="1" s="1"/>
  <c r="P337" i="1"/>
  <c r="I338" i="1" s="1"/>
  <c r="N338" i="1" s="1"/>
  <c r="V67" i="1"/>
  <c r="X67" i="1" s="1"/>
  <c r="M338" i="1"/>
  <c r="L338" i="1"/>
  <c r="K338" i="1"/>
  <c r="O338" i="1"/>
  <c r="Z67" i="1"/>
  <c r="J338" i="1" l="1"/>
  <c r="P338" i="1" s="1"/>
  <c r="I339" i="1" s="1"/>
  <c r="W67" i="1"/>
  <c r="AA67" i="1"/>
  <c r="Y67" i="1"/>
  <c r="AB67" i="1"/>
  <c r="AC67" i="1" s="1"/>
  <c r="V68" i="1" s="1"/>
  <c r="AA68" i="1" s="1"/>
  <c r="N339" i="1" l="1"/>
  <c r="K339" i="1"/>
  <c r="L339" i="1"/>
  <c r="M339" i="1"/>
  <c r="J339" i="1"/>
  <c r="O339" i="1"/>
  <c r="AE67" i="1"/>
  <c r="AF67" i="1"/>
  <c r="Y68" i="1"/>
  <c r="W68" i="1"/>
  <c r="Z68" i="1"/>
  <c r="AB68" i="1"/>
  <c r="X68" i="1"/>
  <c r="P339" i="1" l="1"/>
  <c r="I340" i="1" s="1"/>
  <c r="N340" i="1" s="1"/>
  <c r="O340" i="1"/>
  <c r="L340" i="1"/>
  <c r="AC68" i="1"/>
  <c r="V69" i="1" s="1"/>
  <c r="Y69" i="1" s="1"/>
  <c r="AE68" i="1"/>
  <c r="K340" i="1" l="1"/>
  <c r="J340" i="1"/>
  <c r="M340" i="1"/>
  <c r="P340" i="1"/>
  <c r="I341" i="1" s="1"/>
  <c r="K341" i="1" s="1"/>
  <c r="AF68" i="1"/>
  <c r="AA69" i="1"/>
  <c r="AB69" i="1"/>
  <c r="AE69" i="1" s="1"/>
  <c r="W69" i="1"/>
  <c r="X69" i="1"/>
  <c r="Z69" i="1"/>
  <c r="O341" i="1"/>
  <c r="L341" i="1"/>
  <c r="M341" i="1"/>
  <c r="N341" i="1" l="1"/>
  <c r="J341" i="1"/>
  <c r="AC69" i="1"/>
  <c r="AF69" i="1" s="1"/>
  <c r="P341" i="1"/>
  <c r="I342" i="1" s="1"/>
  <c r="K342" i="1" s="1"/>
  <c r="O342" i="1" l="1"/>
  <c r="V70" i="1"/>
  <c r="Y70" i="1" s="1"/>
  <c r="AB70" i="1"/>
  <c r="AE70" i="1" s="1"/>
  <c r="J342" i="1"/>
  <c r="M342" i="1"/>
  <c r="L342" i="1"/>
  <c r="N342" i="1"/>
  <c r="W70" i="1" l="1"/>
  <c r="AA70" i="1"/>
  <c r="X70" i="1"/>
  <c r="Z70" i="1"/>
  <c r="AC70" i="1" s="1"/>
  <c r="AF70" i="1" s="1"/>
  <c r="P342" i="1"/>
  <c r="I343" i="1" s="1"/>
  <c r="L343" i="1" s="1"/>
  <c r="O343" i="1"/>
  <c r="J343" i="1" l="1"/>
  <c r="M343" i="1"/>
  <c r="K343" i="1"/>
  <c r="V71" i="1"/>
  <c r="AA71" i="1" s="1"/>
  <c r="X71" i="1"/>
  <c r="AB71" i="1"/>
  <c r="AE71" i="1" s="1"/>
  <c r="N343" i="1"/>
  <c r="P343" i="1" s="1"/>
  <c r="I344" i="1" s="1"/>
  <c r="Z71" i="1" l="1"/>
  <c r="W71" i="1"/>
  <c r="Y71" i="1"/>
  <c r="AC71" i="1" s="1"/>
  <c r="M344" i="1"/>
  <c r="K344" i="1"/>
  <c r="N344" i="1"/>
  <c r="L344" i="1"/>
  <c r="O344" i="1"/>
  <c r="J344" i="1"/>
  <c r="V72" i="1" l="1"/>
  <c r="AF71" i="1"/>
  <c r="P344" i="1"/>
  <c r="I345" i="1" s="1"/>
  <c r="L345" i="1" s="1"/>
  <c r="Z72" i="1" l="1"/>
  <c r="W72" i="1"/>
  <c r="X72" i="1"/>
  <c r="AB72" i="1"/>
  <c r="AE72" i="1" s="1"/>
  <c r="AA72" i="1"/>
  <c r="Y72" i="1"/>
  <c r="M345" i="1"/>
  <c r="J345" i="1"/>
  <c r="K345" i="1"/>
  <c r="O345" i="1"/>
  <c r="N345" i="1"/>
  <c r="AC72" i="1" l="1"/>
  <c r="V73" i="1" s="1"/>
  <c r="P345" i="1"/>
  <c r="I346" i="1" s="1"/>
  <c r="AA73" i="1" l="1"/>
  <c r="Y73" i="1"/>
  <c r="AF72" i="1"/>
  <c r="Z73" i="1"/>
  <c r="W73" i="1"/>
  <c r="X73" i="1"/>
  <c r="AB73" i="1"/>
  <c r="AE73" i="1" s="1"/>
  <c r="K346" i="1"/>
  <c r="J346" i="1"/>
  <c r="N346" i="1"/>
  <c r="O346" i="1"/>
  <c r="L346" i="1"/>
  <c r="M346" i="1"/>
  <c r="AC73" i="1" l="1"/>
  <c r="P346" i="1"/>
  <c r="I347" i="1" s="1"/>
  <c r="V74" i="1" l="1"/>
  <c r="AF73" i="1"/>
  <c r="M347" i="1"/>
  <c r="K347" i="1"/>
  <c r="O347" i="1"/>
  <c r="J347" i="1"/>
  <c r="N347" i="1"/>
  <c r="L347" i="1"/>
  <c r="Z74" i="1" l="1"/>
  <c r="X74" i="1"/>
  <c r="W74" i="1"/>
  <c r="AB74" i="1"/>
  <c r="AE74" i="1" s="1"/>
  <c r="AA74" i="1"/>
  <c r="Y74" i="1"/>
  <c r="P347" i="1"/>
  <c r="I348" i="1" s="1"/>
  <c r="K348" i="1" s="1"/>
  <c r="M348" i="1" l="1"/>
  <c r="L348" i="1"/>
  <c r="AC74" i="1"/>
  <c r="N348" i="1"/>
  <c r="O348" i="1"/>
  <c r="J348" i="1"/>
  <c r="AF74" i="1" l="1"/>
  <c r="V75" i="1"/>
  <c r="P348" i="1"/>
  <c r="I349" i="1" s="1"/>
  <c r="L349" i="1" s="1"/>
  <c r="Z75" i="1" l="1"/>
  <c r="W75" i="1"/>
  <c r="X75" i="1"/>
  <c r="AB75" i="1"/>
  <c r="AE75" i="1" s="1"/>
  <c r="AA75" i="1"/>
  <c r="Y75" i="1"/>
  <c r="N349" i="1"/>
  <c r="O349" i="1"/>
  <c r="K349" i="1"/>
  <c r="M349" i="1"/>
  <c r="J349" i="1"/>
  <c r="AC75" i="1" l="1"/>
  <c r="P349" i="1"/>
  <c r="I350" i="1" s="1"/>
  <c r="N350" i="1" s="1"/>
  <c r="O350" i="1"/>
  <c r="L350" i="1" l="1"/>
  <c r="M350" i="1"/>
  <c r="K350" i="1"/>
  <c r="J350" i="1"/>
  <c r="V76" i="1"/>
  <c r="AF75" i="1"/>
  <c r="P350" i="1"/>
  <c r="I351" i="1" s="1"/>
  <c r="M351" i="1" s="1"/>
  <c r="O351" i="1"/>
  <c r="J351" i="1" l="1"/>
  <c r="K351" i="1"/>
  <c r="L351" i="1"/>
  <c r="Z76" i="1"/>
  <c r="AB76" i="1"/>
  <c r="AE76" i="1" s="1"/>
  <c r="W76" i="1"/>
  <c r="X76" i="1"/>
  <c r="Y76" i="1"/>
  <c r="AA76" i="1"/>
  <c r="N351" i="1"/>
  <c r="P351" i="1" l="1"/>
  <c r="I352" i="1" s="1"/>
  <c r="M352" i="1" s="1"/>
  <c r="AC76" i="1"/>
  <c r="AF76" i="1" s="1"/>
  <c r="O352" i="1"/>
  <c r="L352" i="1"/>
  <c r="J352" i="1"/>
  <c r="N352" i="1"/>
  <c r="K352" i="1" l="1"/>
  <c r="P352" i="1"/>
  <c r="I353" i="1" s="1"/>
  <c r="J353" i="1" s="1"/>
  <c r="V77" i="1"/>
  <c r="AA77" i="1" s="1"/>
  <c r="L353" i="1"/>
  <c r="M353" i="1"/>
  <c r="N353" i="1"/>
  <c r="K353" i="1"/>
  <c r="O353" i="1"/>
  <c r="AB77" i="1" l="1"/>
  <c r="AE77" i="1" s="1"/>
  <c r="P353" i="1"/>
  <c r="I354" i="1" s="1"/>
  <c r="L354" i="1" s="1"/>
  <c r="Y77" i="1"/>
  <c r="Z77" i="1"/>
  <c r="W77" i="1"/>
  <c r="X77" i="1"/>
  <c r="N354" i="1"/>
  <c r="O354" i="1"/>
  <c r="M354" i="1" l="1"/>
  <c r="J354" i="1"/>
  <c r="K354" i="1"/>
  <c r="AC77" i="1"/>
  <c r="AF77" i="1" s="1"/>
  <c r="P354" i="1" l="1"/>
  <c r="I355" i="1" s="1"/>
  <c r="O355" i="1"/>
  <c r="K355" i="1"/>
  <c r="J355" i="1"/>
  <c r="M355" i="1"/>
  <c r="N355" i="1"/>
  <c r="L355" i="1"/>
  <c r="V78" i="1"/>
  <c r="AA78" i="1" s="1"/>
  <c r="AB78" i="1" l="1"/>
  <c r="AE78" i="1" s="1"/>
  <c r="P355" i="1"/>
  <c r="I356" i="1" s="1"/>
  <c r="K356" i="1" s="1"/>
  <c r="W78" i="1"/>
  <c r="Z78" i="1"/>
  <c r="X78" i="1"/>
  <c r="O356" i="1"/>
  <c r="N356" i="1"/>
  <c r="L356" i="1"/>
  <c r="Y78" i="1"/>
  <c r="M356" i="1"/>
  <c r="J356" i="1" l="1"/>
  <c r="AC78" i="1"/>
  <c r="P356" i="1"/>
  <c r="I357" i="1" s="1"/>
  <c r="N357" i="1" s="1"/>
  <c r="V79" i="1"/>
  <c r="AF78" i="1"/>
  <c r="J357" i="1"/>
  <c r="L357" i="1"/>
  <c r="O357" i="1"/>
  <c r="M357" i="1" l="1"/>
  <c r="K357" i="1"/>
  <c r="W79" i="1"/>
  <c r="AB79" i="1"/>
  <c r="AE79" i="1" s="1"/>
  <c r="X79" i="1"/>
  <c r="Z79" i="1"/>
  <c r="Y79" i="1"/>
  <c r="AA79" i="1"/>
  <c r="P357" i="1" l="1"/>
  <c r="I358" i="1" s="1"/>
  <c r="M358" i="1" s="1"/>
  <c r="AC79" i="1"/>
  <c r="V80" i="1" s="1"/>
  <c r="J358" i="1"/>
  <c r="L358" i="1"/>
  <c r="K358" i="1"/>
  <c r="O358" i="1"/>
  <c r="N358" i="1"/>
  <c r="AF79" i="1" l="1"/>
  <c r="AB80" i="1"/>
  <c r="AE80" i="1" s="1"/>
  <c r="X80" i="1"/>
  <c r="Y80" i="1"/>
  <c r="W80" i="1"/>
  <c r="Z80" i="1"/>
  <c r="AA80" i="1"/>
  <c r="P358" i="1"/>
  <c r="I359" i="1" s="1"/>
  <c r="L359" i="1" s="1"/>
  <c r="K359" i="1" l="1"/>
  <c r="M359" i="1"/>
  <c r="O359" i="1"/>
  <c r="AC80" i="1"/>
  <c r="V81" i="1" s="1"/>
  <c r="W81" i="1" s="1"/>
  <c r="J359" i="1"/>
  <c r="N359" i="1"/>
  <c r="P359" i="1" s="1"/>
  <c r="I360" i="1" s="1"/>
  <c r="AF80" i="1" l="1"/>
  <c r="AA81" i="1"/>
  <c r="X81" i="1"/>
  <c r="Y81" i="1"/>
  <c r="AB81" i="1"/>
  <c r="AE81" i="1" s="1"/>
  <c r="Z81" i="1"/>
  <c r="N360" i="1"/>
  <c r="K360" i="1"/>
  <c r="O360" i="1"/>
  <c r="J360" i="1"/>
  <c r="L360" i="1"/>
  <c r="M360" i="1"/>
  <c r="AC81" i="1" l="1"/>
  <c r="AF81" i="1" s="1"/>
  <c r="P360" i="1"/>
  <c r="I361" i="1" s="1"/>
  <c r="N361" i="1" s="1"/>
  <c r="O361" i="1" l="1"/>
  <c r="J361" i="1"/>
  <c r="K361" i="1"/>
  <c r="V82" i="1"/>
  <c r="AA82" i="1" s="1"/>
  <c r="M361" i="1"/>
  <c r="L361" i="1"/>
  <c r="Z82" i="1"/>
  <c r="P361" i="1" l="1"/>
  <c r="I362" i="1" s="1"/>
  <c r="J362" i="1" s="1"/>
  <c r="AB82" i="1"/>
  <c r="AE82" i="1" s="1"/>
  <c r="Y82" i="1"/>
  <c r="W82" i="1"/>
  <c r="X82" i="1"/>
  <c r="N362" i="1"/>
  <c r="M362" i="1"/>
  <c r="L362" i="1"/>
  <c r="K362" i="1"/>
  <c r="O362" i="1"/>
  <c r="AC82" i="1" l="1"/>
  <c r="AF82" i="1" s="1"/>
  <c r="P362" i="1"/>
  <c r="I363" i="1" s="1"/>
  <c r="L363" i="1" s="1"/>
  <c r="V83" i="1"/>
  <c r="Z83" i="1" s="1"/>
  <c r="AB83" i="1"/>
  <c r="AE83" i="1" s="1"/>
  <c r="N363" i="1"/>
  <c r="O363" i="1"/>
  <c r="M363" i="1"/>
  <c r="J363" i="1"/>
  <c r="K363" i="1" l="1"/>
  <c r="X83" i="1"/>
  <c r="AA83" i="1"/>
  <c r="W83" i="1"/>
  <c r="Y83" i="1"/>
  <c r="P363" i="1"/>
  <c r="I364" i="1" s="1"/>
  <c r="K364" i="1" s="1"/>
  <c r="AC83" i="1" l="1"/>
  <c r="AF83" i="1" s="1"/>
  <c r="L364" i="1"/>
  <c r="O364" i="1"/>
  <c r="J364" i="1"/>
  <c r="N364" i="1"/>
  <c r="M364" i="1"/>
  <c r="V84" i="1" l="1"/>
  <c r="Z84" i="1" s="1"/>
  <c r="P364" i="1"/>
  <c r="I365" i="1" s="1"/>
  <c r="N365" i="1" s="1"/>
  <c r="M365" i="1" l="1"/>
  <c r="L365" i="1"/>
  <c r="AB84" i="1"/>
  <c r="AE84" i="1" s="1"/>
  <c r="AA84" i="1"/>
  <c r="W84" i="1"/>
  <c r="X84" i="1"/>
  <c r="Y84" i="1"/>
  <c r="J365" i="1"/>
  <c r="O365" i="1"/>
  <c r="K365" i="1"/>
  <c r="AC84" i="1" l="1"/>
  <c r="AF84" i="1" s="1"/>
  <c r="P365" i="1"/>
  <c r="I366" i="1" s="1"/>
  <c r="L366" i="1" s="1"/>
  <c r="O366" i="1"/>
  <c r="M366" i="1"/>
  <c r="J366" i="1"/>
  <c r="V85" i="1" l="1"/>
  <c r="Z85" i="1" s="1"/>
  <c r="N366" i="1"/>
  <c r="K366" i="1"/>
  <c r="P366" i="1" l="1"/>
  <c r="I367" i="1" s="1"/>
  <c r="L367" i="1" s="1"/>
  <c r="X85" i="1"/>
  <c r="W85" i="1"/>
  <c r="AB85" i="1"/>
  <c r="AE85" i="1" s="1"/>
  <c r="Y85" i="1"/>
  <c r="AA85" i="1"/>
  <c r="O367" i="1" l="1"/>
  <c r="M367" i="1"/>
  <c r="J367" i="1"/>
  <c r="N367" i="1"/>
  <c r="K367" i="1"/>
  <c r="AC85" i="1"/>
  <c r="AF85" i="1" s="1"/>
  <c r="P367" i="1" l="1"/>
  <c r="I368" i="1" s="1"/>
  <c r="N368" i="1" s="1"/>
  <c r="L368" i="1"/>
  <c r="O368" i="1"/>
  <c r="J368" i="1"/>
  <c r="K368" i="1"/>
  <c r="V86" i="1"/>
  <c r="W86" i="1" s="1"/>
  <c r="Y86" i="1" l="1"/>
  <c r="M368" i="1"/>
  <c r="P368" i="1" s="1"/>
  <c r="I369" i="1" s="1"/>
  <c r="Z86" i="1"/>
  <c r="AB86" i="1"/>
  <c r="AE86" i="1" s="1"/>
  <c r="X86" i="1"/>
  <c r="AA86" i="1"/>
  <c r="L369" i="1" l="1"/>
  <c r="N369" i="1"/>
  <c r="K369" i="1"/>
  <c r="AC86" i="1"/>
  <c r="V87" i="1" s="1"/>
  <c r="AA87" i="1" s="1"/>
  <c r="M369" i="1"/>
  <c r="O369" i="1"/>
  <c r="J369" i="1"/>
  <c r="AF86" i="1"/>
  <c r="Y87" i="1" l="1"/>
  <c r="AB87" i="1"/>
  <c r="AE87" i="1" s="1"/>
  <c r="W87" i="1"/>
  <c r="X87" i="1"/>
  <c r="Z87" i="1"/>
  <c r="P369" i="1"/>
  <c r="I370" i="1" s="1"/>
  <c r="N370" i="1" s="1"/>
  <c r="AC87" i="1"/>
  <c r="AF87" i="1" s="1"/>
  <c r="L370" i="1"/>
  <c r="M370" i="1" l="1"/>
  <c r="J370" i="1"/>
  <c r="O370" i="1"/>
  <c r="K370" i="1"/>
  <c r="V88" i="1"/>
  <c r="Y88" i="1" s="1"/>
  <c r="P370" i="1" l="1"/>
  <c r="I371" i="1" s="1"/>
  <c r="AB88" i="1"/>
  <c r="AE88" i="1" s="1"/>
  <c r="Z88" i="1"/>
  <c r="W88" i="1"/>
  <c r="X88" i="1"/>
  <c r="AA88" i="1"/>
  <c r="J371" i="1" l="1"/>
  <c r="K371" i="1"/>
  <c r="M371" i="1"/>
  <c r="N371" i="1"/>
  <c r="O371" i="1"/>
  <c r="L371" i="1"/>
  <c r="AC88" i="1"/>
  <c r="AF88" i="1" s="1"/>
  <c r="P371" i="1" l="1"/>
  <c r="I372" i="1" s="1"/>
  <c r="V89" i="1"/>
  <c r="Y89" i="1" s="1"/>
  <c r="AB89" i="1"/>
  <c r="AE89" i="1" s="1"/>
  <c r="Z89" i="1"/>
  <c r="AA89" i="1"/>
  <c r="X89" i="1"/>
  <c r="N372" i="1" l="1"/>
  <c r="J372" i="1"/>
  <c r="O372" i="1"/>
  <c r="K372" i="1"/>
  <c r="L372" i="1"/>
  <c r="W89" i="1"/>
  <c r="AC89" i="1" s="1"/>
  <c r="V90" i="1" s="1"/>
  <c r="M372" i="1"/>
  <c r="P372" i="1" l="1"/>
  <c r="I373" i="1" s="1"/>
  <c r="J373" i="1" s="1"/>
  <c r="O373" i="1"/>
  <c r="N373" i="1"/>
  <c r="M373" i="1"/>
  <c r="K373" i="1"/>
  <c r="L373" i="1"/>
  <c r="AF89" i="1"/>
  <c r="W90" i="1"/>
  <c r="Z90" i="1"/>
  <c r="AA90" i="1"/>
  <c r="Y90" i="1"/>
  <c r="X90" i="1"/>
  <c r="AB90" i="1"/>
  <c r="P373" i="1" l="1"/>
  <c r="I374" i="1" s="1"/>
  <c r="L374" i="1" s="1"/>
  <c r="J374" i="1"/>
  <c r="N374" i="1"/>
  <c r="M374" i="1"/>
  <c r="O374" i="1"/>
  <c r="AC90" i="1"/>
  <c r="V91" i="1" s="1"/>
  <c r="AA91" i="1" s="1"/>
  <c r="K374" i="1"/>
  <c r="P374" i="1" s="1"/>
  <c r="I375" i="1" s="1"/>
  <c r="M375" i="1" s="1"/>
  <c r="AE90" i="1"/>
  <c r="AF90" i="1" l="1"/>
  <c r="Y91" i="1"/>
  <c r="O375" i="1"/>
  <c r="N375" i="1"/>
  <c r="L375" i="1"/>
  <c r="J375" i="1"/>
  <c r="K375" i="1"/>
  <c r="W91" i="1"/>
  <c r="Z91" i="1"/>
  <c r="X91" i="1"/>
  <c r="AB91" i="1"/>
  <c r="AE91" i="1" s="1"/>
  <c r="AC91" i="1" l="1"/>
  <c r="AF91" i="1" s="1"/>
  <c r="P375" i="1"/>
  <c r="I376" i="1" s="1"/>
  <c r="K376" i="1" s="1"/>
  <c r="V92" i="1" l="1"/>
  <c r="Y92" i="1" s="1"/>
  <c r="J376" i="1"/>
  <c r="M376" i="1"/>
  <c r="O376" i="1"/>
  <c r="N376" i="1"/>
  <c r="L376" i="1"/>
  <c r="AB92" i="1" l="1"/>
  <c r="AE92" i="1" s="1"/>
  <c r="Z92" i="1"/>
  <c r="AA92" i="1"/>
  <c r="W92" i="1"/>
  <c r="X92" i="1"/>
  <c r="P376" i="1"/>
  <c r="I377" i="1" s="1"/>
  <c r="L377" i="1" s="1"/>
  <c r="AC92" i="1" l="1"/>
  <c r="V93" i="1" s="1"/>
  <c r="Y93" i="1" s="1"/>
  <c r="O377" i="1"/>
  <c r="M377" i="1"/>
  <c r="J377" i="1"/>
  <c r="K377" i="1"/>
  <c r="N377" i="1"/>
  <c r="P377" i="1" l="1"/>
  <c r="I378" i="1" s="1"/>
  <c r="J378" i="1" s="1"/>
  <c r="X93" i="1"/>
  <c r="AA93" i="1"/>
  <c r="AF92" i="1"/>
  <c r="Z93" i="1"/>
  <c r="AB93" i="1"/>
  <c r="AE93" i="1" s="1"/>
  <c r="W93" i="1"/>
  <c r="O378" i="1"/>
  <c r="M378" i="1"/>
  <c r="N378" i="1"/>
  <c r="K378" i="1"/>
  <c r="L378" i="1" l="1"/>
  <c r="AC93" i="1"/>
  <c r="V94" i="1" s="1"/>
  <c r="P378" i="1"/>
  <c r="I379" i="1" s="1"/>
  <c r="K379" i="1" s="1"/>
  <c r="O379" i="1" l="1"/>
  <c r="AF93" i="1"/>
  <c r="L379" i="1"/>
  <c r="J379" i="1"/>
  <c r="M379" i="1"/>
  <c r="N379" i="1"/>
  <c r="Z94" i="1"/>
  <c r="AA94" i="1"/>
  <c r="X94" i="1"/>
  <c r="AB94" i="1"/>
  <c r="AE94" i="1" s="1"/>
  <c r="W94" i="1"/>
  <c r="Y94" i="1"/>
  <c r="P379" i="1" l="1"/>
  <c r="I380" i="1" s="1"/>
  <c r="N380" i="1" s="1"/>
  <c r="AC94" i="1"/>
  <c r="O380" i="1"/>
  <c r="M380" i="1"/>
  <c r="J380" i="1"/>
  <c r="L380" i="1" l="1"/>
  <c r="K380" i="1"/>
  <c r="V95" i="1"/>
  <c r="AF94" i="1"/>
  <c r="P380" i="1"/>
  <c r="I381" i="1" s="1"/>
  <c r="K381" i="1" s="1"/>
  <c r="O381" i="1" l="1"/>
  <c r="M381" i="1"/>
  <c r="L381" i="1"/>
  <c r="N381" i="1"/>
  <c r="J381" i="1"/>
  <c r="Z95" i="1"/>
  <c r="X95" i="1"/>
  <c r="W95" i="1"/>
  <c r="Y95" i="1"/>
  <c r="AB95" i="1"/>
  <c r="AE95" i="1" s="1"/>
  <c r="AA95" i="1"/>
  <c r="P381" i="1" l="1"/>
  <c r="I382" i="1" s="1"/>
  <c r="K382" i="1" s="1"/>
  <c r="AC95" i="1"/>
  <c r="AF95" i="1" s="1"/>
  <c r="N382" i="1"/>
  <c r="M382" i="1"/>
  <c r="L382" i="1" l="1"/>
  <c r="O382" i="1"/>
  <c r="J382" i="1"/>
  <c r="V96" i="1"/>
  <c r="Y96" i="1" s="1"/>
  <c r="AB96" i="1" l="1"/>
  <c r="AE96" i="1" s="1"/>
  <c r="W96" i="1"/>
  <c r="Z96" i="1"/>
  <c r="P382" i="1"/>
  <c r="I383" i="1" s="1"/>
  <c r="K383" i="1" s="1"/>
  <c r="X96" i="1"/>
  <c r="AA96" i="1"/>
  <c r="O383" i="1"/>
  <c r="M383" i="1" l="1"/>
  <c r="AC96" i="1"/>
  <c r="AF96" i="1" s="1"/>
  <c r="J383" i="1"/>
  <c r="N383" i="1"/>
  <c r="L383" i="1"/>
  <c r="V97" i="1" l="1"/>
  <c r="AA97" i="1" s="1"/>
  <c r="P383" i="1"/>
  <c r="I384" i="1" s="1"/>
  <c r="N384" i="1" s="1"/>
  <c r="AB97" i="1"/>
  <c r="AE97" i="1" s="1"/>
  <c r="L384" i="1" l="1"/>
  <c r="O384" i="1"/>
  <c r="J384" i="1"/>
  <c r="K384" i="1"/>
  <c r="M384" i="1"/>
  <c r="Y97" i="1"/>
  <c r="X97" i="1"/>
  <c r="Z97" i="1"/>
  <c r="W97" i="1"/>
  <c r="P384" i="1" l="1"/>
  <c r="I385" i="1" s="1"/>
  <c r="L385" i="1" s="1"/>
  <c r="O385" i="1"/>
  <c r="AC97" i="1"/>
  <c r="V98" i="1" s="1"/>
  <c r="M385" i="1"/>
  <c r="J385" i="1"/>
  <c r="K385" i="1"/>
  <c r="N385" i="1" l="1"/>
  <c r="P385" i="1" s="1"/>
  <c r="I386" i="1" s="1"/>
  <c r="AF97" i="1"/>
  <c r="Z98" i="1"/>
  <c r="W98" i="1"/>
  <c r="AB98" i="1"/>
  <c r="AE98" i="1" s="1"/>
  <c r="X98" i="1"/>
  <c r="Y98" i="1"/>
  <c r="AA98" i="1"/>
  <c r="M386" i="1" l="1"/>
  <c r="L386" i="1"/>
  <c r="K386" i="1"/>
  <c r="J386" i="1"/>
  <c r="N386" i="1"/>
  <c r="O386" i="1"/>
  <c r="P386" i="1" s="1"/>
  <c r="I387" i="1" s="1"/>
  <c r="K387" i="1" s="1"/>
  <c r="AC98" i="1"/>
  <c r="AF98" i="1" s="1"/>
  <c r="N387" i="1" l="1"/>
  <c r="M387" i="1"/>
  <c r="J387" i="1"/>
  <c r="O387" i="1"/>
  <c r="L387" i="1"/>
  <c r="P387" i="1" s="1"/>
  <c r="I388" i="1" s="1"/>
  <c r="V99" i="1"/>
  <c r="AA99" i="1" s="1"/>
  <c r="L388" i="1" l="1"/>
  <c r="O388" i="1"/>
  <c r="K388" i="1"/>
  <c r="M388" i="1"/>
  <c r="N388" i="1"/>
  <c r="J388" i="1"/>
  <c r="Y99" i="1"/>
  <c r="AB99" i="1"/>
  <c r="AE99" i="1" s="1"/>
  <c r="X99" i="1"/>
  <c r="W99" i="1"/>
  <c r="Z99" i="1"/>
  <c r="P388" i="1" l="1"/>
  <c r="I389" i="1" s="1"/>
  <c r="K389" i="1" s="1"/>
  <c r="AC99" i="1"/>
  <c r="AF99" i="1" s="1"/>
  <c r="O389" i="1"/>
  <c r="N389" i="1"/>
  <c r="L389" i="1"/>
  <c r="J389" i="1"/>
  <c r="M389" i="1"/>
  <c r="V100" i="1" l="1"/>
  <c r="Z100" i="1" s="1"/>
  <c r="P389" i="1"/>
  <c r="I390" i="1" s="1"/>
  <c r="K390" i="1" s="1"/>
  <c r="Y100" i="1" l="1"/>
  <c r="AB100" i="1"/>
  <c r="AE100" i="1" s="1"/>
  <c r="W100" i="1"/>
  <c r="X100" i="1"/>
  <c r="AA100" i="1"/>
  <c r="J390" i="1"/>
  <c r="O390" i="1"/>
  <c r="N390" i="1"/>
  <c r="M390" i="1"/>
  <c r="L390" i="1"/>
  <c r="AC100" i="1" l="1"/>
  <c r="V101" i="1" s="1"/>
  <c r="P390" i="1"/>
  <c r="I391" i="1" s="1"/>
  <c r="M391" i="1" s="1"/>
  <c r="AF100" i="1" l="1"/>
  <c r="N391" i="1"/>
  <c r="L391" i="1"/>
  <c r="J391" i="1"/>
  <c r="O391" i="1"/>
  <c r="K391" i="1"/>
  <c r="AB101" i="1"/>
  <c r="X101" i="1"/>
  <c r="W101" i="1"/>
  <c r="Y101" i="1"/>
  <c r="Z101" i="1"/>
  <c r="AA101" i="1"/>
  <c r="P391" i="1" l="1"/>
  <c r="I392" i="1" s="1"/>
  <c r="N392" i="1" s="1"/>
  <c r="AC101" i="1"/>
  <c r="AF101" i="1" s="1"/>
  <c r="AE101" i="1"/>
  <c r="M392" i="1"/>
  <c r="L392" i="1"/>
  <c r="K392" i="1"/>
  <c r="O392" i="1"/>
  <c r="J392" i="1" l="1"/>
  <c r="V102" i="1"/>
  <c r="AA102" i="1" s="1"/>
  <c r="P392" i="1"/>
  <c r="I393" i="1" s="1"/>
  <c r="K393" i="1" s="1"/>
  <c r="AB102" i="1" l="1"/>
  <c r="AE102" i="1" s="1"/>
  <c r="W102" i="1"/>
  <c r="X102" i="1"/>
  <c r="Z102" i="1"/>
  <c r="Y102" i="1"/>
  <c r="N393" i="1"/>
  <c r="L393" i="1"/>
  <c r="J393" i="1"/>
  <c r="O393" i="1"/>
  <c r="M393" i="1"/>
  <c r="AC102" i="1" l="1"/>
  <c r="V103" i="1" s="1"/>
  <c r="P393" i="1"/>
  <c r="I394" i="1" s="1"/>
  <c r="K394" i="1" s="1"/>
  <c r="AF102" i="1" l="1"/>
  <c r="Z103" i="1"/>
  <c r="AB103" i="1"/>
  <c r="X103" i="1"/>
  <c r="W103" i="1"/>
  <c r="AA103" i="1"/>
  <c r="Y103" i="1"/>
  <c r="M394" i="1"/>
  <c r="N394" i="1"/>
  <c r="J394" i="1"/>
  <c r="O394" i="1"/>
  <c r="L394" i="1"/>
  <c r="AC103" i="1" l="1"/>
  <c r="AF103" i="1" s="1"/>
  <c r="AE103" i="1"/>
  <c r="P394" i="1"/>
  <c r="I395" i="1" s="1"/>
  <c r="L395" i="1" s="1"/>
  <c r="V104" i="1" l="1"/>
  <c r="Y104" i="1" s="1"/>
  <c r="O395" i="1"/>
  <c r="K395" i="1"/>
  <c r="J395" i="1"/>
  <c r="N395" i="1"/>
  <c r="M395" i="1"/>
  <c r="AB104" i="1" l="1"/>
  <c r="AE104" i="1" s="1"/>
  <c r="W104" i="1"/>
  <c r="AA104" i="1"/>
  <c r="Z104" i="1"/>
  <c r="X104" i="1"/>
  <c r="P395" i="1"/>
  <c r="I396" i="1" s="1"/>
  <c r="N396" i="1" s="1"/>
  <c r="AC104" i="1" l="1"/>
  <c r="AF104" i="1" s="1"/>
  <c r="O396" i="1"/>
  <c r="L396" i="1"/>
  <c r="K396" i="1"/>
  <c r="M396" i="1"/>
  <c r="J396" i="1"/>
  <c r="V105" i="1" l="1"/>
  <c r="Y105" i="1" s="1"/>
  <c r="P396" i="1"/>
  <c r="I397" i="1" s="1"/>
  <c r="Z105" i="1" l="1"/>
  <c r="X105" i="1"/>
  <c r="AB105" i="1"/>
  <c r="AE105" i="1" s="1"/>
  <c r="AA105" i="1"/>
  <c r="W105" i="1"/>
  <c r="L397" i="1"/>
  <c r="K397" i="1"/>
  <c r="J397" i="1"/>
  <c r="M397" i="1"/>
  <c r="N397" i="1"/>
  <c r="O397" i="1"/>
  <c r="AC105" i="1" l="1"/>
  <c r="V106" i="1" s="1"/>
  <c r="X106" i="1" s="1"/>
  <c r="P397" i="1"/>
  <c r="I398" i="1" s="1"/>
  <c r="N398" i="1" s="1"/>
  <c r="AB106" i="1" l="1"/>
  <c r="AE106" i="1" s="1"/>
  <c r="Z106" i="1"/>
  <c r="AF105" i="1"/>
  <c r="Y106" i="1"/>
  <c r="AA106" i="1"/>
  <c r="W106" i="1"/>
  <c r="L398" i="1"/>
  <c r="M398" i="1"/>
  <c r="J398" i="1"/>
  <c r="O398" i="1"/>
  <c r="K398" i="1"/>
  <c r="AC106" i="1" l="1"/>
  <c r="AF106" i="1" s="1"/>
  <c r="P398" i="1"/>
  <c r="I399" i="1" s="1"/>
  <c r="M399" i="1" s="1"/>
  <c r="V107" i="1" l="1"/>
  <c r="W107" i="1" s="1"/>
  <c r="Z107" i="1"/>
  <c r="AA107" i="1"/>
  <c r="Y107" i="1"/>
  <c r="K399" i="1"/>
  <c r="J399" i="1"/>
  <c r="O399" i="1"/>
  <c r="N399" i="1"/>
  <c r="L399" i="1"/>
  <c r="X107" i="1" l="1"/>
  <c r="AB107" i="1"/>
  <c r="AE107" i="1" s="1"/>
  <c r="P399" i="1"/>
  <c r="I400" i="1" s="1"/>
  <c r="L400" i="1" s="1"/>
  <c r="AC107" i="1" l="1"/>
  <c r="AF107" i="1" s="1"/>
  <c r="M400" i="1"/>
  <c r="V108" i="1"/>
  <c r="W108" i="1" s="1"/>
  <c r="AB108" i="1"/>
  <c r="AE108" i="1" s="1"/>
  <c r="Z108" i="1"/>
  <c r="O400" i="1"/>
  <c r="J400" i="1"/>
  <c r="N400" i="1"/>
  <c r="K400" i="1"/>
  <c r="AA108" i="1" l="1"/>
  <c r="Y108" i="1"/>
  <c r="X108" i="1"/>
  <c r="P400" i="1"/>
  <c r="I401" i="1" s="1"/>
  <c r="M401" i="1" s="1"/>
  <c r="K401" i="1" l="1"/>
  <c r="AC108" i="1"/>
  <c r="AF108" i="1" s="1"/>
  <c r="O401" i="1"/>
  <c r="N401" i="1"/>
  <c r="L401" i="1"/>
  <c r="J401" i="1"/>
  <c r="V109" i="1" l="1"/>
  <c r="AA109" i="1" s="1"/>
  <c r="Z109" i="1"/>
  <c r="AB109" i="1"/>
  <c r="AE109" i="1" s="1"/>
  <c r="X109" i="1"/>
  <c r="W109" i="1"/>
  <c r="Y109" i="1"/>
  <c r="P401" i="1"/>
  <c r="I402" i="1" s="1"/>
  <c r="L402" i="1" s="1"/>
  <c r="O402" i="1" l="1"/>
  <c r="AC109" i="1"/>
  <c r="N402" i="1"/>
  <c r="J402" i="1"/>
  <c r="K402" i="1"/>
  <c r="M402" i="1"/>
  <c r="P402" i="1" s="1"/>
  <c r="I403" i="1" s="1"/>
  <c r="AF109" i="1" l="1"/>
  <c r="V110" i="1"/>
  <c r="L403" i="1"/>
  <c r="O403" i="1"/>
  <c r="N403" i="1"/>
  <c r="K403" i="1"/>
  <c r="J403" i="1"/>
  <c r="M403" i="1"/>
  <c r="P403" i="1" l="1"/>
  <c r="I404" i="1" s="1"/>
  <c r="L404" i="1" s="1"/>
  <c r="X110" i="1"/>
  <c r="W110" i="1"/>
  <c r="Y110" i="1"/>
  <c r="AA110" i="1"/>
  <c r="Z110" i="1"/>
  <c r="AB110" i="1"/>
  <c r="AE110" i="1" s="1"/>
  <c r="N404" i="1"/>
  <c r="O404" i="1"/>
  <c r="K404" i="1"/>
  <c r="J404" i="1"/>
  <c r="M404" i="1"/>
  <c r="AC110" i="1" l="1"/>
  <c r="P404" i="1"/>
  <c r="I405" i="1" s="1"/>
  <c r="O405" i="1" s="1"/>
  <c r="L405" i="1" l="1"/>
  <c r="J405" i="1"/>
  <c r="N405" i="1"/>
  <c r="K405" i="1"/>
  <c r="M405" i="1"/>
  <c r="P405" i="1" s="1"/>
  <c r="I406" i="1" s="1"/>
  <c r="J406" i="1" s="1"/>
  <c r="V111" i="1"/>
  <c r="AF110" i="1"/>
  <c r="L406" i="1" l="1"/>
  <c r="M406" i="1"/>
  <c r="O406" i="1"/>
  <c r="N406" i="1"/>
  <c r="K406" i="1"/>
  <c r="Z111" i="1"/>
  <c r="W111" i="1"/>
  <c r="AB111" i="1"/>
  <c r="AE111" i="1" s="1"/>
  <c r="X111" i="1"/>
  <c r="AA111" i="1"/>
  <c r="Y111" i="1"/>
  <c r="P406" i="1" l="1"/>
  <c r="I407" i="1" s="1"/>
  <c r="K407" i="1" s="1"/>
  <c r="AC111" i="1"/>
  <c r="AF111" i="1" s="1"/>
  <c r="N407" i="1"/>
  <c r="L407" i="1"/>
  <c r="O407" i="1"/>
  <c r="J407" i="1" l="1"/>
  <c r="M407" i="1"/>
  <c r="P407" i="1" s="1"/>
  <c r="I408" i="1" s="1"/>
  <c r="V112" i="1"/>
  <c r="Z112" i="1" s="1"/>
  <c r="M408" i="1" l="1"/>
  <c r="N408" i="1"/>
  <c r="L408" i="1"/>
  <c r="O408" i="1"/>
  <c r="J408" i="1"/>
  <c r="K408" i="1"/>
  <c r="AA112" i="1"/>
  <c r="Y112" i="1"/>
  <c r="X112" i="1"/>
  <c r="AB112" i="1"/>
  <c r="AE112" i="1" s="1"/>
  <c r="W112" i="1"/>
  <c r="P408" i="1" l="1"/>
  <c r="I409" i="1" s="1"/>
  <c r="N409" i="1" s="1"/>
  <c r="AC112" i="1"/>
  <c r="K409" i="1" l="1"/>
  <c r="L409" i="1"/>
  <c r="J409" i="1"/>
  <c r="M409" i="1"/>
  <c r="O409" i="1"/>
  <c r="V113" i="1"/>
  <c r="AF112" i="1"/>
  <c r="P409" i="1" l="1"/>
  <c r="I410" i="1" s="1"/>
  <c r="M410" i="1"/>
  <c r="N410" i="1"/>
  <c r="AA113" i="1"/>
  <c r="AB113" i="1"/>
  <c r="AE113" i="1" s="1"/>
  <c r="Z113" i="1"/>
  <c r="X113" i="1"/>
  <c r="W113" i="1"/>
  <c r="Y113" i="1"/>
  <c r="J410" i="1" l="1"/>
  <c r="O410" i="1"/>
  <c r="K410" i="1"/>
  <c r="L410" i="1"/>
  <c r="AC113" i="1"/>
  <c r="P410" i="1" l="1"/>
  <c r="I411" i="1" s="1"/>
  <c r="AF113" i="1"/>
  <c r="V114" i="1"/>
  <c r="J411" i="1" l="1"/>
  <c r="M411" i="1"/>
  <c r="O411" i="1"/>
  <c r="K411" i="1"/>
  <c r="L411" i="1"/>
  <c r="N411" i="1"/>
  <c r="Z114" i="1"/>
  <c r="AA114" i="1"/>
  <c r="AB114" i="1"/>
  <c r="AE114" i="1" s="1"/>
  <c r="W114" i="1"/>
  <c r="Y114" i="1"/>
  <c r="X114" i="1"/>
  <c r="P411" i="1" l="1"/>
  <c r="I412" i="1" s="1"/>
  <c r="L412" i="1" s="1"/>
  <c r="AC114" i="1"/>
  <c r="N412" i="1" l="1"/>
  <c r="K412" i="1"/>
  <c r="O412" i="1"/>
  <c r="J412" i="1"/>
  <c r="M412" i="1"/>
  <c r="AF114" i="1"/>
  <c r="V115" i="1"/>
  <c r="P412" i="1" l="1"/>
  <c r="I413" i="1" s="1"/>
  <c r="AA115" i="1"/>
  <c r="Z115" i="1"/>
  <c r="W115" i="1"/>
  <c r="Y115" i="1"/>
  <c r="AB115" i="1"/>
  <c r="AE115" i="1" s="1"/>
  <c r="X115" i="1"/>
  <c r="M413" i="1" l="1"/>
  <c r="J413" i="1"/>
  <c r="O413" i="1"/>
  <c r="K413" i="1"/>
  <c r="N413" i="1"/>
  <c r="L413" i="1"/>
  <c r="AC115" i="1"/>
  <c r="AF115" i="1" s="1"/>
  <c r="P413" i="1" l="1"/>
  <c r="I414" i="1" s="1"/>
  <c r="N414" i="1" s="1"/>
  <c r="V116" i="1"/>
  <c r="Y116" i="1" s="1"/>
  <c r="AB116" i="1"/>
  <c r="O414" i="1" l="1"/>
  <c r="J414" i="1"/>
  <c r="K414" i="1"/>
  <c r="M414" i="1"/>
  <c r="L414" i="1"/>
  <c r="X116" i="1"/>
  <c r="AA116" i="1"/>
  <c r="Z116" i="1"/>
  <c r="W116" i="1"/>
  <c r="AE116" i="1"/>
  <c r="P414" i="1" l="1"/>
  <c r="I415" i="1" s="1"/>
  <c r="K415" i="1" s="1"/>
  <c r="O415" i="1"/>
  <c r="L415" i="1"/>
  <c r="M415" i="1"/>
  <c r="N415" i="1"/>
  <c r="AC116" i="1"/>
  <c r="V117" i="1" s="1"/>
  <c r="J415" i="1" l="1"/>
  <c r="P415" i="1" s="1"/>
  <c r="I416" i="1" s="1"/>
  <c r="AF116" i="1"/>
  <c r="Z117" i="1"/>
  <c r="AB117" i="1"/>
  <c r="AE117" i="1" s="1"/>
  <c r="X117" i="1"/>
  <c r="W117" i="1"/>
  <c r="AA117" i="1"/>
  <c r="Y117" i="1"/>
  <c r="M416" i="1" l="1"/>
  <c r="K416" i="1"/>
  <c r="O416" i="1"/>
  <c r="J416" i="1"/>
  <c r="L416" i="1"/>
  <c r="N416" i="1"/>
  <c r="AC117" i="1"/>
  <c r="V118" i="1" s="1"/>
  <c r="Y118" i="1" s="1"/>
  <c r="P416" i="1" l="1"/>
  <c r="I417" i="1" s="1"/>
  <c r="M417" i="1" s="1"/>
  <c r="AF117" i="1"/>
  <c r="Z118" i="1"/>
  <c r="X118" i="1"/>
  <c r="W118" i="1"/>
  <c r="AB118" i="1"/>
  <c r="AE118" i="1" s="1"/>
  <c r="AA118" i="1"/>
  <c r="J417" i="1" l="1"/>
  <c r="N417" i="1"/>
  <c r="O417" i="1"/>
  <c r="K417" i="1"/>
  <c r="L417" i="1"/>
  <c r="AC118" i="1"/>
  <c r="P417" i="1" l="1"/>
  <c r="I418" i="1" s="1"/>
  <c r="AF118" i="1"/>
  <c r="V119" i="1"/>
  <c r="J418" i="1" l="1"/>
  <c r="K418" i="1"/>
  <c r="O418" i="1"/>
  <c r="M418" i="1"/>
  <c r="N418" i="1"/>
  <c r="L418" i="1"/>
  <c r="P418" i="1" s="1"/>
  <c r="I419" i="1" s="1"/>
  <c r="AB119" i="1"/>
  <c r="X119" i="1"/>
  <c r="W119" i="1"/>
  <c r="AA119" i="1"/>
  <c r="Y119" i="1"/>
  <c r="Z119" i="1"/>
  <c r="K419" i="1" l="1"/>
  <c r="J419" i="1"/>
  <c r="O419" i="1"/>
  <c r="N419" i="1"/>
  <c r="L419" i="1"/>
  <c r="M419" i="1"/>
  <c r="AC119" i="1"/>
  <c r="AF119" i="1" s="1"/>
  <c r="AE119" i="1"/>
  <c r="P419" i="1" l="1"/>
  <c r="I420" i="1" s="1"/>
  <c r="V120" i="1"/>
  <c r="AA120" i="1" s="1"/>
  <c r="K420" i="1" l="1"/>
  <c r="J420" i="1"/>
  <c r="L420" i="1"/>
  <c r="N420" i="1"/>
  <c r="O420" i="1"/>
  <c r="M420" i="1"/>
  <c r="Y120" i="1"/>
  <c r="Z120" i="1"/>
  <c r="W120" i="1"/>
  <c r="AB120" i="1"/>
  <c r="AE120" i="1" s="1"/>
  <c r="X120" i="1"/>
  <c r="P420" i="1" l="1"/>
  <c r="I421" i="1" s="1"/>
  <c r="L421" i="1"/>
  <c r="N421" i="1"/>
  <c r="M421" i="1"/>
  <c r="AC120" i="1"/>
  <c r="V121" i="1" s="1"/>
  <c r="X121" i="1" s="1"/>
  <c r="O421" i="1" l="1"/>
  <c r="K421" i="1"/>
  <c r="J421" i="1"/>
  <c r="P421" i="1" s="1"/>
  <c r="I422" i="1" s="1"/>
  <c r="L422" i="1"/>
  <c r="M422" i="1"/>
  <c r="N422" i="1"/>
  <c r="AB121" i="1"/>
  <c r="AE121" i="1" s="1"/>
  <c r="W121" i="1"/>
  <c r="Y121" i="1"/>
  <c r="AA121" i="1"/>
  <c r="Z121" i="1"/>
  <c r="AF120" i="1"/>
  <c r="K422" i="1" l="1"/>
  <c r="J422" i="1"/>
  <c r="O422" i="1"/>
  <c r="P422" i="1" s="1"/>
  <c r="I423" i="1" s="1"/>
  <c r="AC121" i="1"/>
  <c r="AF121" i="1" s="1"/>
  <c r="N423" i="1" l="1"/>
  <c r="J423" i="1"/>
  <c r="O423" i="1"/>
  <c r="K423" i="1"/>
  <c r="M423" i="1"/>
  <c r="L423" i="1"/>
  <c r="V122" i="1"/>
  <c r="AA122" i="1" s="1"/>
  <c r="P423" i="1" l="1"/>
  <c r="I424" i="1" s="1"/>
  <c r="O424" i="1"/>
  <c r="J424" i="1"/>
  <c r="L424" i="1"/>
  <c r="K424" i="1"/>
  <c r="P424" i="1" s="1"/>
  <c r="I425" i="1" s="1"/>
  <c r="L425" i="1" s="1"/>
  <c r="N424" i="1"/>
  <c r="M424" i="1"/>
  <c r="Y122" i="1"/>
  <c r="AB122" i="1"/>
  <c r="AE122" i="1" s="1"/>
  <c r="W122" i="1"/>
  <c r="X122" i="1"/>
  <c r="Z122" i="1"/>
  <c r="M425" i="1" l="1"/>
  <c r="N425" i="1"/>
  <c r="AC122" i="1"/>
  <c r="V123" i="1" s="1"/>
  <c r="W123" i="1" s="1"/>
  <c r="J425" i="1"/>
  <c r="O425" i="1"/>
  <c r="P425" i="1" s="1"/>
  <c r="I426" i="1" s="1"/>
  <c r="M426" i="1" s="1"/>
  <c r="K425" i="1"/>
  <c r="Z123" i="1"/>
  <c r="AA123" i="1"/>
  <c r="Y123" i="1" l="1"/>
  <c r="AB123" i="1"/>
  <c r="AE123" i="1" s="1"/>
  <c r="AF122" i="1"/>
  <c r="X123" i="1"/>
  <c r="AC123" i="1" s="1"/>
  <c r="AF123" i="1" s="1"/>
  <c r="K426" i="1"/>
  <c r="J426" i="1"/>
  <c r="O426" i="1"/>
  <c r="N426" i="1"/>
  <c r="L426" i="1"/>
  <c r="P426" i="1" l="1"/>
  <c r="I427" i="1" s="1"/>
  <c r="M427" i="1" s="1"/>
  <c r="K427" i="1"/>
  <c r="J427" i="1"/>
  <c r="O427" i="1"/>
  <c r="N427" i="1"/>
  <c r="L427" i="1"/>
  <c r="V124" i="1"/>
  <c r="X124" i="1" s="1"/>
  <c r="AB124" i="1" l="1"/>
  <c r="AE124" i="1" s="1"/>
  <c r="P427" i="1"/>
  <c r="I428" i="1" s="1"/>
  <c r="N428" i="1" s="1"/>
  <c r="Z124" i="1"/>
  <c r="L428" i="1"/>
  <c r="K428" i="1"/>
  <c r="J428" i="1"/>
  <c r="O428" i="1"/>
  <c r="M428" i="1"/>
  <c r="W124" i="1"/>
  <c r="AA124" i="1"/>
  <c r="Y124" i="1"/>
  <c r="P428" i="1" l="1"/>
  <c r="I429" i="1" s="1"/>
  <c r="J429" i="1" s="1"/>
  <c r="AC124" i="1"/>
  <c r="AF124" i="1" s="1"/>
  <c r="K429" i="1"/>
  <c r="L429" i="1"/>
  <c r="M429" i="1"/>
  <c r="N429" i="1"/>
  <c r="O429" i="1"/>
  <c r="P429" i="1" s="1"/>
  <c r="I430" i="1" s="1"/>
  <c r="M430" i="1" s="1"/>
  <c r="V125" i="1"/>
  <c r="X125" i="1" s="1"/>
  <c r="AB125" i="1" l="1"/>
  <c r="AE125" i="1" s="1"/>
  <c r="Y125" i="1"/>
  <c r="AA125" i="1"/>
  <c r="W125" i="1"/>
  <c r="Z125" i="1"/>
  <c r="J430" i="1"/>
  <c r="O430" i="1"/>
  <c r="L430" i="1"/>
  <c r="K430" i="1"/>
  <c r="N430" i="1"/>
  <c r="AC125" i="1" l="1"/>
  <c r="P430" i="1"/>
  <c r="I431" i="1" s="1"/>
  <c r="L431" i="1" s="1"/>
  <c r="M431" i="1"/>
  <c r="O431" i="1"/>
  <c r="J431" i="1"/>
  <c r="V126" i="1"/>
  <c r="AF125" i="1"/>
  <c r="K431" i="1" l="1"/>
  <c r="N431" i="1"/>
  <c r="P431" i="1" s="1"/>
  <c r="I432" i="1" s="1"/>
  <c r="L432" i="1" s="1"/>
  <c r="Z126" i="1"/>
  <c r="X126" i="1"/>
  <c r="AB126" i="1"/>
  <c r="AE126" i="1" s="1"/>
  <c r="W126" i="1"/>
  <c r="AA126" i="1"/>
  <c r="Y126" i="1"/>
  <c r="O432" i="1" l="1"/>
  <c r="N432" i="1"/>
  <c r="M432" i="1"/>
  <c r="K432" i="1"/>
  <c r="J432" i="1"/>
  <c r="AC126" i="1"/>
  <c r="P432" i="1" l="1"/>
  <c r="I433" i="1" s="1"/>
  <c r="N433" i="1" s="1"/>
  <c r="V127" i="1"/>
  <c r="AF126" i="1"/>
  <c r="M433" i="1"/>
  <c r="O433" i="1"/>
  <c r="K433" i="1"/>
  <c r="L433" i="1"/>
  <c r="J433" i="1" l="1"/>
  <c r="AA127" i="1"/>
  <c r="Y127" i="1"/>
  <c r="Z127" i="1"/>
  <c r="X127" i="1"/>
  <c r="AB127" i="1"/>
  <c r="AE127" i="1" s="1"/>
  <c r="W127" i="1"/>
  <c r="P433" i="1"/>
  <c r="I434" i="1" s="1"/>
  <c r="L434" i="1" s="1"/>
  <c r="AC127" i="1" l="1"/>
  <c r="AF127" i="1" s="1"/>
  <c r="O434" i="1"/>
  <c r="J434" i="1"/>
  <c r="N434" i="1"/>
  <c r="M434" i="1"/>
  <c r="K434" i="1"/>
  <c r="V128" i="1" l="1"/>
  <c r="W128" i="1"/>
  <c r="X128" i="1"/>
  <c r="AB128" i="1"/>
  <c r="AE128" i="1" s="1"/>
  <c r="Z128" i="1"/>
  <c r="Y128" i="1"/>
  <c r="AA128" i="1"/>
  <c r="P434" i="1"/>
  <c r="I435" i="1" s="1"/>
  <c r="N435" i="1" s="1"/>
  <c r="AC128" i="1" l="1"/>
  <c r="L435" i="1"/>
  <c r="M435" i="1"/>
  <c r="J435" i="1"/>
  <c r="K435" i="1"/>
  <c r="O435" i="1"/>
  <c r="P435" i="1" s="1"/>
  <c r="I436" i="1" s="1"/>
  <c r="K436" i="1" s="1"/>
  <c r="AF128" i="1" l="1"/>
  <c r="V129" i="1"/>
  <c r="O436" i="1"/>
  <c r="N436" i="1"/>
  <c r="M436" i="1"/>
  <c r="L436" i="1"/>
  <c r="J436" i="1"/>
  <c r="Y129" i="1" l="1"/>
  <c r="AB129" i="1"/>
  <c r="AA129" i="1"/>
  <c r="X129" i="1"/>
  <c r="Z129" i="1"/>
  <c r="W129" i="1"/>
  <c r="P436" i="1"/>
  <c r="I437" i="1" s="1"/>
  <c r="K437" i="1" s="1"/>
  <c r="AC129" i="1" l="1"/>
  <c r="AF129" i="1" s="1"/>
  <c r="AE129" i="1"/>
  <c r="J437" i="1"/>
  <c r="N437" i="1"/>
  <c r="O437" i="1"/>
  <c r="L437" i="1"/>
  <c r="M437" i="1"/>
  <c r="P437" i="1" l="1"/>
  <c r="I438" i="1" s="1"/>
  <c r="J438" i="1" s="1"/>
  <c r="V130" i="1"/>
  <c r="X130" i="1" s="1"/>
  <c r="M438" i="1"/>
  <c r="K438" i="1"/>
  <c r="O438" i="1"/>
  <c r="L438" i="1"/>
  <c r="N438" i="1"/>
  <c r="Z130" i="1" l="1"/>
  <c r="AB130" i="1"/>
  <c r="AE130" i="1" s="1"/>
  <c r="W130" i="1"/>
  <c r="Y130" i="1"/>
  <c r="AA130" i="1"/>
  <c r="P438" i="1"/>
  <c r="I439" i="1" s="1"/>
  <c r="K439" i="1" s="1"/>
  <c r="AC130" i="1" l="1"/>
  <c r="V131" i="1" s="1"/>
  <c r="O439" i="1"/>
  <c r="N439" i="1"/>
  <c r="L439" i="1"/>
  <c r="J439" i="1"/>
  <c r="M439" i="1"/>
  <c r="X131" i="1" l="1"/>
  <c r="Z131" i="1"/>
  <c r="AB131" i="1"/>
  <c r="AE131" i="1" s="1"/>
  <c r="W131" i="1"/>
  <c r="AF130" i="1"/>
  <c r="AA131" i="1"/>
  <c r="Y131" i="1"/>
  <c r="P439" i="1"/>
  <c r="I440" i="1" s="1"/>
  <c r="N440" i="1" s="1"/>
  <c r="M440" i="1" l="1"/>
  <c r="AC131" i="1"/>
  <c r="V132" i="1" s="1"/>
  <c r="L440" i="1"/>
  <c r="J440" i="1"/>
  <c r="O440" i="1"/>
  <c r="K440" i="1"/>
  <c r="AF131" i="1" l="1"/>
  <c r="W132" i="1"/>
  <c r="AB132" i="1"/>
  <c r="AE132" i="1" s="1"/>
  <c r="X132" i="1"/>
  <c r="Z132" i="1"/>
  <c r="Y132" i="1"/>
  <c r="AA132" i="1"/>
  <c r="P440" i="1"/>
  <c r="I441" i="1" s="1"/>
  <c r="K441" i="1" s="1"/>
  <c r="O441" i="1" l="1"/>
  <c r="L441" i="1"/>
  <c r="M441" i="1"/>
  <c r="J441" i="1"/>
  <c r="N441" i="1"/>
  <c r="P441" i="1" s="1"/>
  <c r="I442" i="1" s="1"/>
  <c r="K442" i="1" s="1"/>
  <c r="AC132" i="1"/>
  <c r="N442" i="1" l="1"/>
  <c r="M442" i="1"/>
  <c r="J442" i="1"/>
  <c r="L442" i="1"/>
  <c r="AF132" i="1"/>
  <c r="V133" i="1"/>
  <c r="O442" i="1"/>
  <c r="P442" i="1" s="1"/>
  <c r="I443" i="1" s="1"/>
  <c r="J443" i="1" s="1"/>
  <c r="AA133" i="1" l="1"/>
  <c r="Z133" i="1"/>
  <c r="X133" i="1"/>
  <c r="AB133" i="1"/>
  <c r="Y133" i="1"/>
  <c r="W133" i="1"/>
  <c r="O443" i="1"/>
  <c r="K443" i="1"/>
  <c r="N443" i="1"/>
  <c r="M443" i="1"/>
  <c r="L443" i="1"/>
  <c r="AC133" i="1" l="1"/>
  <c r="V134" i="1" s="1"/>
  <c r="AE133" i="1"/>
  <c r="P443" i="1"/>
  <c r="I444" i="1" s="1"/>
  <c r="M444" i="1" s="1"/>
  <c r="AA134" i="1" l="1"/>
  <c r="Y134" i="1"/>
  <c r="AF133" i="1"/>
  <c r="X134" i="1"/>
  <c r="W134" i="1"/>
  <c r="Z134" i="1"/>
  <c r="AB134" i="1"/>
  <c r="O444" i="1"/>
  <c r="J444" i="1"/>
  <c r="L444" i="1"/>
  <c r="K444" i="1"/>
  <c r="N444" i="1"/>
  <c r="AC134" i="1" l="1"/>
  <c r="V135" i="1" s="1"/>
  <c r="AE134" i="1"/>
  <c r="P444" i="1"/>
  <c r="I445" i="1" s="1"/>
  <c r="L445" i="1" s="1"/>
  <c r="AF134" i="1" l="1"/>
  <c r="AA135" i="1"/>
  <c r="Y135" i="1"/>
  <c r="Z135" i="1"/>
  <c r="AB135" i="1"/>
  <c r="W135" i="1"/>
  <c r="X135" i="1"/>
  <c r="K445" i="1"/>
  <c r="J445" i="1"/>
  <c r="N445" i="1"/>
  <c r="O445" i="1"/>
  <c r="M445" i="1"/>
  <c r="AC135" i="1" l="1"/>
  <c r="AF135" i="1" s="1"/>
  <c r="AE135" i="1"/>
  <c r="P445" i="1"/>
  <c r="I446" i="1" s="1"/>
  <c r="J446" i="1" s="1"/>
  <c r="O446" i="1" l="1"/>
  <c r="N446" i="1"/>
  <c r="K446" i="1"/>
  <c r="V136" i="1"/>
  <c r="Y136" i="1" s="1"/>
  <c r="L446" i="1"/>
  <c r="AA136" i="1"/>
  <c r="X136" i="1"/>
  <c r="Z136" i="1"/>
  <c r="M446" i="1"/>
  <c r="W136" i="1" l="1"/>
  <c r="P446" i="1"/>
  <c r="I447" i="1" s="1"/>
  <c r="M447" i="1" s="1"/>
  <c r="AB136" i="1"/>
  <c r="AC136" i="1" s="1"/>
  <c r="V137" i="1" s="1"/>
  <c r="N447" i="1"/>
  <c r="O447" i="1"/>
  <c r="K447" i="1"/>
  <c r="L447" i="1"/>
  <c r="J447" i="1"/>
  <c r="AE136" i="1" l="1"/>
  <c r="AF136" i="1"/>
  <c r="AA137" i="1"/>
  <c r="Y137" i="1"/>
  <c r="AB137" i="1"/>
  <c r="AE137" i="1" s="1"/>
  <c r="X137" i="1"/>
  <c r="W137" i="1"/>
  <c r="Z137" i="1"/>
  <c r="P447" i="1"/>
  <c r="I448" i="1" s="1"/>
  <c r="L448" i="1" s="1"/>
  <c r="AC137" i="1" l="1"/>
  <c r="AF137" i="1" s="1"/>
  <c r="N448" i="1"/>
  <c r="J448" i="1"/>
  <c r="K448" i="1"/>
  <c r="M448" i="1"/>
  <c r="O448" i="1"/>
  <c r="V138" i="1" l="1"/>
  <c r="X138" i="1" s="1"/>
  <c r="AB138" i="1"/>
  <c r="AE138" i="1" s="1"/>
  <c r="AA138" i="1"/>
  <c r="P448" i="1"/>
  <c r="I449" i="1" s="1"/>
  <c r="K449" i="1" s="1"/>
  <c r="Y138" i="1" l="1"/>
  <c r="W138" i="1"/>
  <c r="Z138" i="1"/>
  <c r="AC138" i="1" s="1"/>
  <c r="L449" i="1"/>
  <c r="M449" i="1"/>
  <c r="N449" i="1"/>
  <c r="J449" i="1"/>
  <c r="O449" i="1"/>
  <c r="P449" i="1" s="1"/>
  <c r="I450" i="1" s="1"/>
  <c r="L450" i="1" s="1"/>
  <c r="AF138" i="1" l="1"/>
  <c r="V139" i="1"/>
  <c r="N450" i="1"/>
  <c r="J450" i="1"/>
  <c r="O450" i="1"/>
  <c r="K450" i="1"/>
  <c r="M450" i="1"/>
  <c r="W139" i="1" l="1"/>
  <c r="Z139" i="1"/>
  <c r="AA139" i="1"/>
  <c r="Y139" i="1"/>
  <c r="X139" i="1"/>
  <c r="AB139" i="1"/>
  <c r="AE139" i="1" s="1"/>
  <c r="P450" i="1"/>
  <c r="I451" i="1" s="1"/>
  <c r="N451" i="1" s="1"/>
  <c r="L451" i="1" l="1"/>
  <c r="AC139" i="1"/>
  <c r="M451" i="1"/>
  <c r="O451" i="1"/>
  <c r="J451" i="1"/>
  <c r="K451" i="1"/>
  <c r="V140" i="1" l="1"/>
  <c r="AF139" i="1"/>
  <c r="P451" i="1"/>
  <c r="I452" i="1" s="1"/>
  <c r="N452" i="1" s="1"/>
  <c r="AB140" i="1" l="1"/>
  <c r="AE140" i="1" s="1"/>
  <c r="W140" i="1"/>
  <c r="Z140" i="1"/>
  <c r="X140" i="1"/>
  <c r="AA140" i="1"/>
  <c r="Y140" i="1"/>
  <c r="J452" i="1"/>
  <c r="M452" i="1"/>
  <c r="O452" i="1"/>
  <c r="L452" i="1"/>
  <c r="K452" i="1"/>
  <c r="AC140" i="1" l="1"/>
  <c r="AF140" i="1" s="1"/>
  <c r="P452" i="1"/>
  <c r="I453" i="1" s="1"/>
  <c r="K453" i="1" s="1"/>
  <c r="V141" i="1" l="1"/>
  <c r="Y141" i="1" s="1"/>
  <c r="AB141" i="1"/>
  <c r="AE141" i="1" s="1"/>
  <c r="W141" i="1"/>
  <c r="Z141" i="1"/>
  <c r="X141" i="1"/>
  <c r="L453" i="1"/>
  <c r="J453" i="1"/>
  <c r="M453" i="1"/>
  <c r="O453" i="1"/>
  <c r="N453" i="1"/>
  <c r="AA141" i="1" l="1"/>
  <c r="AC141" i="1" s="1"/>
  <c r="P453" i="1"/>
  <c r="I454" i="1" s="1"/>
  <c r="N454" i="1" s="1"/>
  <c r="K454" i="1" l="1"/>
  <c r="M454" i="1"/>
  <c r="L454" i="1"/>
  <c r="O454" i="1"/>
  <c r="AF141" i="1"/>
  <c r="V142" i="1"/>
  <c r="J454" i="1"/>
  <c r="P454" i="1" l="1"/>
  <c r="I455" i="1" s="1"/>
  <c r="X142" i="1"/>
  <c r="AB142" i="1"/>
  <c r="AE142" i="1" s="1"/>
  <c r="W142" i="1"/>
  <c r="Y142" i="1"/>
  <c r="AA142" i="1"/>
  <c r="Z142" i="1"/>
  <c r="O455" i="1"/>
  <c r="N455" i="1"/>
  <c r="L455" i="1"/>
  <c r="J455" i="1"/>
  <c r="K455" i="1"/>
  <c r="M455" i="1"/>
  <c r="P455" i="1" l="1"/>
  <c r="I456" i="1" s="1"/>
  <c r="K456" i="1" s="1"/>
  <c r="AC142" i="1"/>
  <c r="M456" i="1"/>
  <c r="J456" i="1"/>
  <c r="L456" i="1"/>
  <c r="N456" i="1"/>
  <c r="O456" i="1"/>
  <c r="AF142" i="1" l="1"/>
  <c r="V143" i="1"/>
  <c r="P456" i="1"/>
  <c r="I457" i="1" s="1"/>
  <c r="L457" i="1" s="1"/>
  <c r="O457" i="1"/>
  <c r="M457" i="1"/>
  <c r="K457" i="1"/>
  <c r="N457" i="1"/>
  <c r="J457" i="1" l="1"/>
  <c r="X143" i="1"/>
  <c r="AB143" i="1"/>
  <c r="AE143" i="1" s="1"/>
  <c r="Z143" i="1"/>
  <c r="AA143" i="1"/>
  <c r="Y143" i="1"/>
  <c r="W143" i="1"/>
  <c r="P457" i="1"/>
  <c r="I458" i="1" s="1"/>
  <c r="M458" i="1" s="1"/>
  <c r="L458" i="1" l="1"/>
  <c r="AC143" i="1"/>
  <c r="V144" i="1" s="1"/>
  <c r="AA144" i="1" s="1"/>
  <c r="O458" i="1"/>
  <c r="N458" i="1"/>
  <c r="K458" i="1"/>
  <c r="J458" i="1"/>
  <c r="P458" i="1" l="1"/>
  <c r="I459" i="1" s="1"/>
  <c r="AF143" i="1"/>
  <c r="X144" i="1"/>
  <c r="Y144" i="1"/>
  <c r="W144" i="1"/>
  <c r="Z144" i="1"/>
  <c r="AB144" i="1"/>
  <c r="AE144" i="1" s="1"/>
  <c r="J459" i="1"/>
  <c r="M459" i="1"/>
  <c r="K459" i="1"/>
  <c r="O459" i="1"/>
  <c r="L459" i="1"/>
  <c r="N459" i="1"/>
  <c r="AC144" i="1" l="1"/>
  <c r="P459" i="1"/>
  <c r="I460" i="1" s="1"/>
  <c r="J460" i="1" s="1"/>
  <c r="O460" i="1"/>
  <c r="N460" i="1"/>
  <c r="M460" i="1" l="1"/>
  <c r="K460" i="1"/>
  <c r="L460" i="1"/>
  <c r="V145" i="1"/>
  <c r="AF144" i="1"/>
  <c r="P460" i="1"/>
  <c r="I461" i="1" s="1"/>
  <c r="L461" i="1" s="1"/>
  <c r="Z145" i="1" l="1"/>
  <c r="AB145" i="1"/>
  <c r="AE145" i="1" s="1"/>
  <c r="W145" i="1"/>
  <c r="Y145" i="1"/>
  <c r="X145" i="1"/>
  <c r="AA145" i="1"/>
  <c r="J461" i="1"/>
  <c r="O461" i="1"/>
  <c r="K461" i="1"/>
  <c r="N461" i="1"/>
  <c r="M461" i="1"/>
  <c r="AC145" i="1" l="1"/>
  <c r="P461" i="1"/>
  <c r="I462" i="1" s="1"/>
  <c r="J462" i="1" s="1"/>
  <c r="AF145" i="1" l="1"/>
  <c r="V146" i="1"/>
  <c r="K462" i="1"/>
  <c r="M462" i="1"/>
  <c r="L462" i="1"/>
  <c r="O462" i="1"/>
  <c r="N462" i="1"/>
  <c r="W146" i="1" l="1"/>
  <c r="Z146" i="1"/>
  <c r="X146" i="1"/>
  <c r="AB146" i="1"/>
  <c r="AA146" i="1"/>
  <c r="Y146" i="1"/>
  <c r="P462" i="1"/>
  <c r="I463" i="1" s="1"/>
  <c r="N463" i="1" s="1"/>
  <c r="O463" i="1" l="1"/>
  <c r="AC146" i="1"/>
  <c r="AF146" i="1" s="1"/>
  <c r="AE146" i="1"/>
  <c r="M463" i="1"/>
  <c r="K463" i="1"/>
  <c r="J463" i="1"/>
  <c r="L463" i="1"/>
  <c r="V147" i="1" l="1"/>
  <c r="P463" i="1"/>
  <c r="I464" i="1" s="1"/>
  <c r="K464" i="1" s="1"/>
  <c r="Z147" i="1"/>
  <c r="AB147" i="1"/>
  <c r="X147" i="1"/>
  <c r="W147" i="1"/>
  <c r="O464" i="1"/>
  <c r="J464" i="1" l="1"/>
  <c r="L464" i="1"/>
  <c r="M464" i="1"/>
  <c r="N464" i="1"/>
  <c r="AA147" i="1"/>
  <c r="Y147" i="1"/>
  <c r="AE147" i="1"/>
  <c r="AC147" i="1" l="1"/>
  <c r="P464" i="1"/>
  <c r="I465" i="1" s="1"/>
  <c r="M465" i="1" s="1"/>
  <c r="AF147" i="1"/>
  <c r="V148" i="1"/>
  <c r="J465" i="1"/>
  <c r="O465" i="1"/>
  <c r="N465" i="1"/>
  <c r="K465" i="1"/>
  <c r="L465" i="1"/>
  <c r="AB148" i="1" l="1"/>
  <c r="AE148" i="1" s="1"/>
  <c r="X148" i="1"/>
  <c r="W148" i="1"/>
  <c r="Z148" i="1"/>
  <c r="Y148" i="1"/>
  <c r="AA148" i="1"/>
  <c r="P465" i="1"/>
  <c r="I466" i="1" s="1"/>
  <c r="AC148" i="1" l="1"/>
  <c r="L466" i="1"/>
  <c r="N466" i="1"/>
  <c r="K466" i="1"/>
  <c r="O466" i="1"/>
  <c r="J466" i="1"/>
  <c r="M466" i="1"/>
  <c r="V149" i="1" l="1"/>
  <c r="AF148" i="1"/>
  <c r="P466" i="1"/>
  <c r="I467" i="1" s="1"/>
  <c r="L467" i="1" s="1"/>
  <c r="Z149" i="1" l="1"/>
  <c r="X149" i="1"/>
  <c r="W149" i="1"/>
  <c r="AB149" i="1"/>
  <c r="AE149" i="1" s="1"/>
  <c r="Y149" i="1"/>
  <c r="AA149" i="1"/>
  <c r="M467" i="1"/>
  <c r="N467" i="1"/>
  <c r="K467" i="1"/>
  <c r="O467" i="1"/>
  <c r="J467" i="1"/>
  <c r="AC149" i="1" l="1"/>
  <c r="V150" i="1" s="1"/>
  <c r="P467" i="1"/>
  <c r="I468" i="1" s="1"/>
  <c r="O468" i="1" s="1"/>
  <c r="AF149" i="1" l="1"/>
  <c r="Z150" i="1"/>
  <c r="AB150" i="1"/>
  <c r="AE150" i="1" s="1"/>
  <c r="X150" i="1"/>
  <c r="W150" i="1"/>
  <c r="AA150" i="1"/>
  <c r="Y150" i="1"/>
  <c r="M468" i="1"/>
  <c r="N468" i="1"/>
  <c r="L468" i="1"/>
  <c r="J468" i="1"/>
  <c r="K468" i="1"/>
  <c r="AC150" i="1" l="1"/>
  <c r="AF150" i="1" s="1"/>
  <c r="P468" i="1"/>
  <c r="I469" i="1" s="1"/>
  <c r="J469" i="1" s="1"/>
  <c r="V151" i="1" l="1"/>
  <c r="AA151" i="1" s="1"/>
  <c r="AB151" i="1"/>
  <c r="X151" i="1"/>
  <c r="Y151" i="1"/>
  <c r="O469" i="1"/>
  <c r="L469" i="1"/>
  <c r="M469" i="1"/>
  <c r="K469" i="1"/>
  <c r="N469" i="1"/>
  <c r="Z151" i="1" l="1"/>
  <c r="W151" i="1"/>
  <c r="AE151" i="1"/>
  <c r="P469" i="1"/>
  <c r="I470" i="1" s="1"/>
  <c r="O470" i="1" s="1"/>
  <c r="AC151" i="1" l="1"/>
  <c r="AF151" i="1"/>
  <c r="V152" i="1"/>
  <c r="Y152" i="1" s="1"/>
  <c r="AB152" i="1"/>
  <c r="Z152" i="1"/>
  <c r="W152" i="1"/>
  <c r="N470" i="1"/>
  <c r="K470" i="1"/>
  <c r="L470" i="1"/>
  <c r="J470" i="1"/>
  <c r="M470" i="1"/>
  <c r="X152" i="1" l="1"/>
  <c r="AA152" i="1"/>
  <c r="AC152" i="1" s="1"/>
  <c r="AF152" i="1" s="1"/>
  <c r="P470" i="1"/>
  <c r="I471" i="1" s="1"/>
  <c r="O471" i="1" s="1"/>
  <c r="AE152" i="1"/>
  <c r="M471" i="1" l="1"/>
  <c r="N471" i="1"/>
  <c r="K471" i="1"/>
  <c r="L471" i="1"/>
  <c r="J471" i="1"/>
  <c r="P471" i="1" s="1"/>
  <c r="I472" i="1" s="1"/>
  <c r="L472" i="1" s="1"/>
  <c r="V153" i="1"/>
  <c r="X153" i="1" s="1"/>
  <c r="AB153" i="1" l="1"/>
  <c r="AE153" i="1" s="1"/>
  <c r="W153" i="1"/>
  <c r="Z153" i="1"/>
  <c r="O472" i="1"/>
  <c r="N472" i="1"/>
  <c r="Y153" i="1"/>
  <c r="AA153" i="1"/>
  <c r="AC153" i="1" s="1"/>
  <c r="M472" i="1"/>
  <c r="K472" i="1"/>
  <c r="J472" i="1"/>
  <c r="AF153" i="1" l="1"/>
  <c r="V154" i="1"/>
  <c r="P472" i="1"/>
  <c r="I473" i="1" s="1"/>
  <c r="N473" i="1" s="1"/>
  <c r="O473" i="1"/>
  <c r="J473" i="1" l="1"/>
  <c r="K473" i="1"/>
  <c r="Z154" i="1"/>
  <c r="X154" i="1"/>
  <c r="W154" i="1"/>
  <c r="AB154" i="1"/>
  <c r="AE154" i="1" s="1"/>
  <c r="Y154" i="1"/>
  <c r="AA154" i="1"/>
  <c r="L473" i="1"/>
  <c r="M473" i="1"/>
  <c r="P473" i="1" l="1"/>
  <c r="I474" i="1" s="1"/>
  <c r="J474" i="1" s="1"/>
  <c r="AC154" i="1"/>
  <c r="AF154" i="1" s="1"/>
  <c r="M474" i="1"/>
  <c r="L474" i="1" l="1"/>
  <c r="N474" i="1"/>
  <c r="K474" i="1"/>
  <c r="O474" i="1"/>
  <c r="P474" i="1" s="1"/>
  <c r="I475" i="1" s="1"/>
  <c r="J475" i="1" s="1"/>
  <c r="V155" i="1"/>
  <c r="Z155" i="1" s="1"/>
  <c r="AB155" i="1"/>
  <c r="AE155" i="1" s="1"/>
  <c r="X155" i="1" l="1"/>
  <c r="W155" i="1"/>
  <c r="L475" i="1"/>
  <c r="N475" i="1"/>
  <c r="AA155" i="1"/>
  <c r="Y155" i="1"/>
  <c r="AC155" i="1" s="1"/>
  <c r="O475" i="1"/>
  <c r="M475" i="1"/>
  <c r="K475" i="1"/>
  <c r="P475" i="1" l="1"/>
  <c r="I476" i="1" s="1"/>
  <c r="K476" i="1" s="1"/>
  <c r="AF155" i="1"/>
  <c r="V156" i="1"/>
  <c r="O476" i="1"/>
  <c r="M476" i="1"/>
  <c r="N476" i="1" l="1"/>
  <c r="L476" i="1"/>
  <c r="J476" i="1"/>
  <c r="Z156" i="1"/>
  <c r="W156" i="1"/>
  <c r="X156" i="1"/>
  <c r="AB156" i="1"/>
  <c r="AE156" i="1" s="1"/>
  <c r="AA156" i="1"/>
  <c r="Y156" i="1"/>
  <c r="P476" i="1" l="1"/>
  <c r="I477" i="1" s="1"/>
  <c r="J477" i="1" s="1"/>
  <c r="AC156" i="1"/>
  <c r="O477" i="1"/>
  <c r="M477" i="1"/>
  <c r="L477" i="1"/>
  <c r="N477" i="1" l="1"/>
  <c r="K477" i="1"/>
  <c r="AF156" i="1"/>
  <c r="V157" i="1"/>
  <c r="P477" i="1"/>
  <c r="I478" i="1" s="1"/>
  <c r="N478" i="1" s="1"/>
  <c r="J478" i="1" l="1"/>
  <c r="O478" i="1"/>
  <c r="M478" i="1"/>
  <c r="Z157" i="1"/>
  <c r="AB157" i="1"/>
  <c r="AE157" i="1" s="1"/>
  <c r="W157" i="1"/>
  <c r="Y157" i="1"/>
  <c r="AA157" i="1"/>
  <c r="X157" i="1"/>
  <c r="K478" i="1"/>
  <c r="L478" i="1"/>
  <c r="P478" i="1" l="1"/>
  <c r="I479" i="1" s="1"/>
  <c r="M479" i="1" s="1"/>
  <c r="AC157" i="1"/>
  <c r="O479" i="1"/>
  <c r="J479" i="1"/>
  <c r="K479" i="1"/>
  <c r="L479" i="1"/>
  <c r="N479" i="1"/>
  <c r="V158" i="1" l="1"/>
  <c r="AF157" i="1"/>
  <c r="P479" i="1"/>
  <c r="I480" i="1" s="1"/>
  <c r="L480" i="1" s="1"/>
  <c r="M480" i="1" l="1"/>
  <c r="X158" i="1"/>
  <c r="AB158" i="1"/>
  <c r="AE158" i="1" s="1"/>
  <c r="W158" i="1"/>
  <c r="Z158" i="1"/>
  <c r="Y158" i="1"/>
  <c r="AA158" i="1"/>
  <c r="J480" i="1"/>
  <c r="O480" i="1"/>
  <c r="K480" i="1"/>
  <c r="N480" i="1"/>
  <c r="AC158" i="1" l="1"/>
  <c r="AF158" i="1" s="1"/>
  <c r="P480" i="1"/>
  <c r="I481" i="1" s="1"/>
  <c r="J481" i="1" s="1"/>
  <c r="V159" i="1" l="1"/>
  <c r="Z159" i="1"/>
  <c r="AB159" i="1"/>
  <c r="AE159" i="1" s="1"/>
  <c r="Y159" i="1"/>
  <c r="W159" i="1"/>
  <c r="AA159" i="1"/>
  <c r="X159" i="1"/>
  <c r="K481" i="1"/>
  <c r="L481" i="1"/>
  <c r="O481" i="1"/>
  <c r="N481" i="1"/>
  <c r="M481" i="1"/>
  <c r="P481" i="1" l="1"/>
  <c r="I482" i="1" s="1"/>
  <c r="L482" i="1" s="1"/>
  <c r="AC159" i="1"/>
  <c r="O482" i="1"/>
  <c r="J482" i="1"/>
  <c r="N482" i="1"/>
  <c r="K482" i="1"/>
  <c r="M482" i="1"/>
  <c r="V160" i="1" l="1"/>
  <c r="AF159" i="1"/>
  <c r="P482" i="1"/>
  <c r="I483" i="1" s="1"/>
  <c r="N483" i="1" s="1"/>
  <c r="O483" i="1"/>
  <c r="Z160" i="1" l="1"/>
  <c r="AB160" i="1"/>
  <c r="AE160" i="1" s="1"/>
  <c r="X160" i="1"/>
  <c r="W160" i="1"/>
  <c r="Y160" i="1"/>
  <c r="AA160" i="1"/>
  <c r="K483" i="1"/>
  <c r="J483" i="1"/>
  <c r="L483" i="1"/>
  <c r="M483" i="1"/>
  <c r="P483" i="1" l="1"/>
  <c r="I484" i="1" s="1"/>
  <c r="K484" i="1" s="1"/>
  <c r="AC160" i="1"/>
  <c r="O484" i="1"/>
  <c r="N484" i="1"/>
  <c r="J484" i="1"/>
  <c r="L484" i="1"/>
  <c r="M484" i="1"/>
  <c r="AF160" i="1" l="1"/>
  <c r="V161" i="1"/>
  <c r="P484" i="1"/>
  <c r="I485" i="1" s="1"/>
  <c r="J485" i="1" s="1"/>
  <c r="L485" i="1" l="1"/>
  <c r="N485" i="1"/>
  <c r="M485" i="1"/>
  <c r="O485" i="1"/>
  <c r="K485" i="1"/>
  <c r="X161" i="1"/>
  <c r="Y161" i="1"/>
  <c r="Z161" i="1"/>
  <c r="W161" i="1"/>
  <c r="AA161" i="1"/>
  <c r="AB161" i="1"/>
  <c r="AE161" i="1" s="1"/>
  <c r="P485" i="1" l="1"/>
  <c r="I486" i="1" s="1"/>
  <c r="M486" i="1" s="1"/>
  <c r="AC161" i="1"/>
  <c r="O486" i="1"/>
  <c r="J486" i="1" l="1"/>
  <c r="L486" i="1"/>
  <c r="K486" i="1"/>
  <c r="N486" i="1"/>
  <c r="AF161" i="1"/>
  <c r="V162" i="1"/>
  <c r="P486" i="1"/>
  <c r="I487" i="1" s="1"/>
  <c r="J487" i="1" s="1"/>
  <c r="O487" i="1"/>
  <c r="M487" i="1" l="1"/>
  <c r="L487" i="1"/>
  <c r="N487" i="1"/>
  <c r="K487" i="1"/>
  <c r="AA162" i="1"/>
  <c r="Z162" i="1"/>
  <c r="AB162" i="1"/>
  <c r="AE162" i="1" s="1"/>
  <c r="W162" i="1"/>
  <c r="X162" i="1"/>
  <c r="Y162" i="1"/>
  <c r="P487" i="1" l="1"/>
  <c r="I488" i="1" s="1"/>
  <c r="M488" i="1" s="1"/>
  <c r="AC162" i="1"/>
  <c r="O488" i="1"/>
  <c r="K488" i="1"/>
  <c r="L488" i="1"/>
  <c r="N488" i="1"/>
  <c r="J488" i="1" l="1"/>
  <c r="AF162" i="1"/>
  <c r="V163" i="1"/>
  <c r="P488" i="1"/>
  <c r="I489" i="1" s="1"/>
  <c r="J489" i="1" s="1"/>
  <c r="Z163" i="1" l="1"/>
  <c r="AB163" i="1"/>
  <c r="AE163" i="1" s="1"/>
  <c r="W163" i="1"/>
  <c r="AA163" i="1"/>
  <c r="X163" i="1"/>
  <c r="Y163" i="1"/>
  <c r="N489" i="1"/>
  <c r="M489" i="1"/>
  <c r="L489" i="1"/>
  <c r="O489" i="1"/>
  <c r="K489" i="1"/>
  <c r="AC163" i="1" l="1"/>
  <c r="P489" i="1"/>
  <c r="I490" i="1" s="1"/>
  <c r="L490" i="1" s="1"/>
  <c r="AF163" i="1" l="1"/>
  <c r="V164" i="1"/>
  <c r="M490" i="1"/>
  <c r="K490" i="1"/>
  <c r="J490" i="1"/>
  <c r="N490" i="1"/>
  <c r="O490" i="1"/>
  <c r="P490" i="1" s="1"/>
  <c r="I491" i="1" s="1"/>
  <c r="X164" i="1" l="1"/>
  <c r="W164" i="1"/>
  <c r="Z164" i="1"/>
  <c r="AA164" i="1"/>
  <c r="AB164" i="1"/>
  <c r="Y164" i="1"/>
  <c r="M491" i="1"/>
  <c r="L491" i="1"/>
  <c r="N491" i="1"/>
  <c r="J491" i="1"/>
  <c r="O491" i="1"/>
  <c r="K491" i="1"/>
  <c r="AC164" i="1" l="1"/>
  <c r="V165" i="1" s="1"/>
  <c r="Y165" i="1" s="1"/>
  <c r="AE164" i="1"/>
  <c r="P491" i="1"/>
  <c r="I492" i="1" s="1"/>
  <c r="L492" i="1" s="1"/>
  <c r="AF164" i="1" l="1"/>
  <c r="Z165" i="1"/>
  <c r="X165" i="1"/>
  <c r="W165" i="1"/>
  <c r="AB165" i="1"/>
  <c r="AE165" i="1" s="1"/>
  <c r="AA165" i="1"/>
  <c r="O492" i="1"/>
  <c r="J492" i="1"/>
  <c r="K492" i="1"/>
  <c r="N492" i="1"/>
  <c r="M492" i="1"/>
  <c r="AC165" i="1" l="1"/>
  <c r="AF165" i="1" s="1"/>
  <c r="V166" i="1"/>
  <c r="P492" i="1"/>
  <c r="I493" i="1" s="1"/>
  <c r="M493" i="1" s="1"/>
  <c r="O493" i="1"/>
  <c r="N493" i="1" l="1"/>
  <c r="L493" i="1"/>
  <c r="Z166" i="1"/>
  <c r="X166" i="1"/>
  <c r="AA166" i="1"/>
  <c r="AB166" i="1"/>
  <c r="AE166" i="1" s="1"/>
  <c r="Y166" i="1"/>
  <c r="W166" i="1"/>
  <c r="K493" i="1"/>
  <c r="J493" i="1"/>
  <c r="P493" i="1" l="1"/>
  <c r="I494" i="1" s="1"/>
  <c r="AC166" i="1"/>
  <c r="M494" i="1"/>
  <c r="K494" i="1"/>
  <c r="J494" i="1"/>
  <c r="O494" i="1"/>
  <c r="L494" i="1"/>
  <c r="N494" i="1"/>
  <c r="AF166" i="1" l="1"/>
  <c r="V167" i="1"/>
  <c r="P494" i="1"/>
  <c r="I495" i="1" s="1"/>
  <c r="Z167" i="1" l="1"/>
  <c r="Y167" i="1"/>
  <c r="W167" i="1"/>
  <c r="X167" i="1"/>
  <c r="AA167" i="1"/>
  <c r="AB167" i="1"/>
  <c r="AE167" i="1" s="1"/>
  <c r="L495" i="1"/>
  <c r="O495" i="1"/>
  <c r="K495" i="1"/>
  <c r="J495" i="1"/>
  <c r="M495" i="1"/>
  <c r="N495" i="1"/>
  <c r="AC167" i="1" l="1"/>
  <c r="P495" i="1"/>
  <c r="I496" i="1" s="1"/>
  <c r="AF167" i="1" l="1"/>
  <c r="V168" i="1"/>
  <c r="N496" i="1"/>
  <c r="J496" i="1"/>
  <c r="O496" i="1"/>
  <c r="K496" i="1"/>
  <c r="M496" i="1"/>
  <c r="L496" i="1"/>
  <c r="W168" i="1" l="1"/>
  <c r="Z168" i="1"/>
  <c r="AA168" i="1"/>
  <c r="X168" i="1"/>
  <c r="Y168" i="1"/>
  <c r="AB168" i="1"/>
  <c r="AE168" i="1" s="1"/>
  <c r="P496" i="1"/>
  <c r="I497" i="1" s="1"/>
  <c r="J497" i="1" s="1"/>
  <c r="O497" i="1" l="1"/>
  <c r="L497" i="1"/>
  <c r="N497" i="1"/>
  <c r="M497" i="1"/>
  <c r="AC168" i="1"/>
  <c r="K497" i="1"/>
  <c r="P497" i="1" l="1"/>
  <c r="I498" i="1" s="1"/>
  <c r="V169" i="1"/>
  <c r="AF168" i="1"/>
  <c r="M498" i="1"/>
  <c r="O498" i="1"/>
  <c r="N498" i="1"/>
  <c r="L498" i="1"/>
  <c r="K498" i="1"/>
  <c r="J498" i="1"/>
  <c r="Z169" i="1" l="1"/>
  <c r="AB169" i="1"/>
  <c r="Y169" i="1"/>
  <c r="W169" i="1"/>
  <c r="X169" i="1"/>
  <c r="AA169" i="1"/>
  <c r="P498" i="1"/>
  <c r="I499" i="1" s="1"/>
  <c r="O499" i="1" s="1"/>
  <c r="AC169" i="1" l="1"/>
  <c r="AF169" i="1" s="1"/>
  <c r="V170" i="1"/>
  <c r="AA170" i="1" s="1"/>
  <c r="AE169" i="1"/>
  <c r="K499" i="1"/>
  <c r="J499" i="1"/>
  <c r="N499" i="1"/>
  <c r="L499" i="1"/>
  <c r="M499" i="1"/>
  <c r="Z170" i="1" l="1"/>
  <c r="X170" i="1"/>
  <c r="W170" i="1"/>
  <c r="AB170" i="1"/>
  <c r="AE170" i="1" s="1"/>
  <c r="Y170" i="1"/>
  <c r="P499" i="1"/>
  <c r="I500" i="1" s="1"/>
  <c r="N500" i="1" s="1"/>
  <c r="L500" i="1" l="1"/>
  <c r="O500" i="1"/>
  <c r="K500" i="1"/>
  <c r="AC170" i="1"/>
  <c r="AF170" i="1" s="1"/>
  <c r="M500" i="1"/>
  <c r="J500" i="1"/>
  <c r="V171" i="1" l="1"/>
  <c r="AA171" i="1" s="1"/>
  <c r="W171" i="1"/>
  <c r="AB171" i="1"/>
  <c r="AE171" i="1" s="1"/>
  <c r="P500" i="1"/>
  <c r="I501" i="1" s="1"/>
  <c r="N501" i="1" s="1"/>
  <c r="Y171" i="1" l="1"/>
  <c r="Z171" i="1"/>
  <c r="X171" i="1"/>
  <c r="AC171" i="1" s="1"/>
  <c r="K501" i="1"/>
  <c r="L501" i="1"/>
  <c r="J501" i="1"/>
  <c r="O501" i="1"/>
  <c r="M501" i="1"/>
  <c r="P501" i="1" l="1"/>
  <c r="I502" i="1" s="1"/>
  <c r="J502" i="1" s="1"/>
  <c r="O502" i="1"/>
  <c r="AF171" i="1"/>
  <c r="V172" i="1"/>
  <c r="M502" i="1"/>
  <c r="L502" i="1"/>
  <c r="N502" i="1"/>
  <c r="K502" i="1"/>
  <c r="P502" i="1" l="1"/>
  <c r="I503" i="1" s="1"/>
  <c r="L503" i="1" s="1"/>
  <c r="Z172" i="1"/>
  <c r="AA172" i="1"/>
  <c r="X172" i="1"/>
  <c r="W172" i="1"/>
  <c r="AB172" i="1"/>
  <c r="AE172" i="1" s="1"/>
  <c r="Y172" i="1"/>
  <c r="J503" i="1"/>
  <c r="N503" i="1"/>
  <c r="M503" i="1"/>
  <c r="K503" i="1" l="1"/>
  <c r="O503" i="1"/>
  <c r="AC172" i="1"/>
  <c r="P503" i="1"/>
  <c r="I504" i="1" s="1"/>
  <c r="J504" i="1" s="1"/>
  <c r="AF172" i="1" l="1"/>
  <c r="V173" i="1"/>
  <c r="M504" i="1"/>
  <c r="O504" i="1"/>
  <c r="N504" i="1"/>
  <c r="L504" i="1"/>
  <c r="K504" i="1"/>
  <c r="Z173" i="1" l="1"/>
  <c r="AB173" i="1"/>
  <c r="W173" i="1"/>
  <c r="X173" i="1"/>
  <c r="AA173" i="1"/>
  <c r="Y173" i="1"/>
  <c r="P504" i="1"/>
  <c r="I505" i="1" s="1"/>
  <c r="M505" i="1" s="1"/>
  <c r="O505" i="1" l="1"/>
  <c r="K505" i="1"/>
  <c r="N505" i="1"/>
  <c r="L505" i="1"/>
  <c r="J505" i="1"/>
  <c r="AC173" i="1"/>
  <c r="V174" i="1" s="1"/>
  <c r="Y174" i="1" s="1"/>
  <c r="AE173" i="1"/>
  <c r="P505" i="1" l="1"/>
  <c r="I506" i="1" s="1"/>
  <c r="L506" i="1" s="1"/>
  <c r="AF173" i="1"/>
  <c r="Z174" i="1"/>
  <c r="AB174" i="1"/>
  <c r="AE174" i="1" s="1"/>
  <c r="W174" i="1"/>
  <c r="X174" i="1"/>
  <c r="AA174" i="1"/>
  <c r="K506" i="1" l="1"/>
  <c r="J506" i="1"/>
  <c r="M506" i="1"/>
  <c r="O506" i="1"/>
  <c r="N506" i="1"/>
  <c r="AC174" i="1"/>
  <c r="AF174" i="1" s="1"/>
  <c r="P506" i="1" l="1"/>
  <c r="I507" i="1" s="1"/>
  <c r="K507" i="1" s="1"/>
  <c r="N507" i="1"/>
  <c r="L507" i="1"/>
  <c r="O507" i="1"/>
  <c r="J507" i="1"/>
  <c r="V175" i="1"/>
  <c r="W175" i="1" s="1"/>
  <c r="M507" i="1"/>
  <c r="Z175" i="1" l="1"/>
  <c r="AB175" i="1"/>
  <c r="AE175" i="1" s="1"/>
  <c r="X175" i="1"/>
  <c r="P507" i="1"/>
  <c r="I508" i="1" s="1"/>
  <c r="L508" i="1" s="1"/>
  <c r="AA175" i="1"/>
  <c r="Y175" i="1"/>
  <c r="AC175" i="1" s="1"/>
  <c r="M508" i="1" l="1"/>
  <c r="O508" i="1"/>
  <c r="K508" i="1"/>
  <c r="N508" i="1"/>
  <c r="J508" i="1"/>
  <c r="AF175" i="1"/>
  <c r="V176" i="1"/>
  <c r="P508" i="1"/>
  <c r="I509" i="1" s="1"/>
  <c r="M509" i="1" s="1"/>
  <c r="Z176" i="1" l="1"/>
  <c r="Y176" i="1"/>
  <c r="AA176" i="1"/>
  <c r="AB176" i="1"/>
  <c r="AE176" i="1" s="1"/>
  <c r="W176" i="1"/>
  <c r="X176" i="1"/>
  <c r="L509" i="1"/>
  <c r="K509" i="1"/>
  <c r="O509" i="1"/>
  <c r="J509" i="1"/>
  <c r="N509" i="1"/>
  <c r="AC176" i="1" l="1"/>
  <c r="AF176" i="1" s="1"/>
  <c r="P509" i="1"/>
  <c r="I510" i="1" s="1"/>
  <c r="M510" i="1" s="1"/>
  <c r="O510" i="1"/>
  <c r="V177" i="1" l="1"/>
  <c r="N510" i="1"/>
  <c r="L510" i="1"/>
  <c r="AB177" i="1"/>
  <c r="AE177" i="1" s="1"/>
  <c r="Z177" i="1"/>
  <c r="Y177" i="1"/>
  <c r="X177" i="1"/>
  <c r="W177" i="1"/>
  <c r="AA177" i="1"/>
  <c r="K510" i="1"/>
  <c r="J510" i="1"/>
  <c r="P510" i="1" l="1"/>
  <c r="I511" i="1" s="1"/>
  <c r="L511" i="1" s="1"/>
  <c r="AC177" i="1"/>
  <c r="AF177" i="1" s="1"/>
  <c r="O511" i="1"/>
  <c r="J511" i="1"/>
  <c r="K511" i="1"/>
  <c r="N511" i="1"/>
  <c r="M511" i="1"/>
  <c r="V178" i="1" l="1"/>
  <c r="Z178" i="1" s="1"/>
  <c r="AB178" i="1"/>
  <c r="AE178" i="1" s="1"/>
  <c r="X178" i="1"/>
  <c r="P511" i="1"/>
  <c r="I512" i="1" s="1"/>
  <c r="O512" i="1" s="1"/>
  <c r="AA178" i="1" l="1"/>
  <c r="W178" i="1"/>
  <c r="Y178" i="1"/>
  <c r="N512" i="1"/>
  <c r="M512" i="1"/>
  <c r="K512" i="1"/>
  <c r="J512" i="1"/>
  <c r="L512" i="1"/>
  <c r="AC178" i="1" l="1"/>
  <c r="V179" i="1" s="1"/>
  <c r="Z179" i="1" s="1"/>
  <c r="AA179" i="1"/>
  <c r="W179" i="1"/>
  <c r="P512" i="1"/>
  <c r="I513" i="1" s="1"/>
  <c r="L513" i="1" s="1"/>
  <c r="AF178" i="1"/>
  <c r="Y179" i="1"/>
  <c r="AB179" i="1"/>
  <c r="AE179" i="1" s="1"/>
  <c r="X179" i="1" l="1"/>
  <c r="M513" i="1"/>
  <c r="O513" i="1"/>
  <c r="N513" i="1"/>
  <c r="J513" i="1"/>
  <c r="K513" i="1"/>
  <c r="AC179" i="1"/>
  <c r="V180" i="1" s="1"/>
  <c r="Z180" i="1" s="1"/>
  <c r="AA180" i="1" l="1"/>
  <c r="P513" i="1"/>
  <c r="I514" i="1" s="1"/>
  <c r="L514" i="1" s="1"/>
  <c r="AF179" i="1"/>
  <c r="AB180" i="1"/>
  <c r="AE180" i="1" s="1"/>
  <c r="W180" i="1"/>
  <c r="X180" i="1"/>
  <c r="Y180" i="1"/>
  <c r="M514" i="1"/>
  <c r="O514" i="1" l="1"/>
  <c r="AC180" i="1"/>
  <c r="AF180" i="1" s="1"/>
  <c r="N514" i="1"/>
  <c r="J514" i="1"/>
  <c r="K514" i="1"/>
  <c r="V181" i="1"/>
  <c r="X181" i="1" s="1"/>
  <c r="P514" i="1" l="1"/>
  <c r="I515" i="1" s="1"/>
  <c r="K515" i="1" s="1"/>
  <c r="Y181" i="1"/>
  <c r="AB181" i="1"/>
  <c r="AE181" i="1" s="1"/>
  <c r="AA181" i="1"/>
  <c r="Z181" i="1"/>
  <c r="W181" i="1"/>
  <c r="M515" i="1"/>
  <c r="L515" i="1"/>
  <c r="N515" i="1"/>
  <c r="O515" i="1"/>
  <c r="J515" i="1" l="1"/>
  <c r="AC181" i="1"/>
  <c r="P515" i="1"/>
  <c r="I516" i="1" s="1"/>
  <c r="J516" i="1" s="1"/>
  <c r="AF181" i="1"/>
  <c r="V182" i="1"/>
  <c r="L516" i="1"/>
  <c r="O516" i="1"/>
  <c r="K516" i="1"/>
  <c r="M516" i="1" l="1"/>
  <c r="N516" i="1"/>
  <c r="X182" i="1"/>
  <c r="AB182" i="1"/>
  <c r="AE182" i="1" s="1"/>
  <c r="W182" i="1"/>
  <c r="Y182" i="1"/>
  <c r="AA182" i="1"/>
  <c r="Z182" i="1"/>
  <c r="P516" i="1" l="1"/>
  <c r="I517" i="1" s="1"/>
  <c r="L517" i="1" s="1"/>
  <c r="O517" i="1"/>
  <c r="N517" i="1"/>
  <c r="M517" i="1"/>
  <c r="J517" i="1"/>
  <c r="K517" i="1"/>
  <c r="AC182" i="1"/>
  <c r="P517" i="1"/>
  <c r="I518" i="1" s="1"/>
  <c r="O518" i="1" s="1"/>
  <c r="V183" i="1" l="1"/>
  <c r="AF182" i="1"/>
  <c r="N518" i="1"/>
  <c r="L518" i="1"/>
  <c r="M518" i="1"/>
  <c r="J518" i="1"/>
  <c r="K518" i="1"/>
  <c r="AA183" i="1" l="1"/>
  <c r="X183" i="1"/>
  <c r="AB183" i="1"/>
  <c r="AE183" i="1" s="1"/>
  <c r="Y183" i="1"/>
  <c r="W183" i="1"/>
  <c r="Z183" i="1"/>
  <c r="P518" i="1"/>
  <c r="I519" i="1" s="1"/>
  <c r="J519" i="1" s="1"/>
  <c r="AC183" i="1" l="1"/>
  <c r="AF183" i="1" s="1"/>
  <c r="O519" i="1"/>
  <c r="K519" i="1"/>
  <c r="N519" i="1"/>
  <c r="L519" i="1"/>
  <c r="M519" i="1"/>
  <c r="V184" i="1" l="1"/>
  <c r="Z184" i="1"/>
  <c r="AB184" i="1"/>
  <c r="AE184" i="1" s="1"/>
  <c r="W184" i="1"/>
  <c r="X184" i="1"/>
  <c r="AA184" i="1"/>
  <c r="Y184" i="1"/>
  <c r="P519" i="1"/>
  <c r="I520" i="1" s="1"/>
  <c r="J520" i="1" s="1"/>
  <c r="AC184" i="1" l="1"/>
  <c r="M520" i="1"/>
  <c r="L520" i="1"/>
  <c r="N520" i="1"/>
  <c r="O520" i="1"/>
  <c r="K520" i="1"/>
  <c r="AF184" i="1" l="1"/>
  <c r="V185" i="1"/>
  <c r="P520" i="1"/>
  <c r="I521" i="1" s="1"/>
  <c r="J521" i="1" s="1"/>
  <c r="O521" i="1" l="1"/>
  <c r="Z185" i="1"/>
  <c r="W185" i="1"/>
  <c r="Y185" i="1"/>
  <c r="AB185" i="1"/>
  <c r="AE185" i="1" s="1"/>
  <c r="X185" i="1"/>
  <c r="AA185" i="1"/>
  <c r="N521" i="1"/>
  <c r="M521" i="1"/>
  <c r="L521" i="1"/>
  <c r="K521" i="1"/>
  <c r="AC185" i="1" l="1"/>
  <c r="P521" i="1"/>
  <c r="I522" i="1" s="1"/>
  <c r="L522" i="1" s="1"/>
  <c r="AF185" i="1" l="1"/>
  <c r="V186" i="1"/>
  <c r="N522" i="1"/>
  <c r="O522" i="1"/>
  <c r="J522" i="1"/>
  <c r="K522" i="1"/>
  <c r="M522" i="1"/>
  <c r="Z186" i="1" l="1"/>
  <c r="X186" i="1"/>
  <c r="AB186" i="1"/>
  <c r="AE186" i="1" s="1"/>
  <c r="W186" i="1"/>
  <c r="AA186" i="1"/>
  <c r="Y186" i="1"/>
  <c r="P522" i="1"/>
  <c r="I523" i="1" s="1"/>
  <c r="O523" i="1" s="1"/>
  <c r="N523" i="1" l="1"/>
  <c r="L523" i="1"/>
  <c r="J523" i="1"/>
  <c r="M523" i="1"/>
  <c r="K523" i="1"/>
  <c r="AC186" i="1"/>
  <c r="V187" i="1" s="1"/>
  <c r="AA187" i="1" s="1"/>
  <c r="P523" i="1"/>
  <c r="I524" i="1" s="1"/>
  <c r="K524" i="1" s="1"/>
  <c r="AF186" i="1" l="1"/>
  <c r="AB187" i="1"/>
  <c r="AE187" i="1" s="1"/>
  <c r="W187" i="1"/>
  <c r="Z187" i="1"/>
  <c r="Y187" i="1"/>
  <c r="X187" i="1"/>
  <c r="J524" i="1"/>
  <c r="N524" i="1"/>
  <c r="M524" i="1"/>
  <c r="L524" i="1"/>
  <c r="O524" i="1"/>
  <c r="AC187" i="1" l="1"/>
  <c r="P524" i="1"/>
  <c r="I525" i="1" s="1"/>
  <c r="K525" i="1" s="1"/>
  <c r="AF187" i="1" l="1"/>
  <c r="V188" i="1"/>
  <c r="M525" i="1"/>
  <c r="O525" i="1"/>
  <c r="L525" i="1"/>
  <c r="N525" i="1"/>
  <c r="J525" i="1"/>
  <c r="Z188" i="1" l="1"/>
  <c r="Y188" i="1"/>
  <c r="AA188" i="1"/>
  <c r="AB188" i="1"/>
  <c r="X188" i="1"/>
  <c r="W188" i="1"/>
  <c r="P525" i="1"/>
  <c r="I526" i="1" s="1"/>
  <c r="J526" i="1" s="1"/>
  <c r="N526" i="1" l="1"/>
  <c r="M526" i="1"/>
  <c r="O526" i="1"/>
  <c r="AC188" i="1"/>
  <c r="AF188" i="1" s="1"/>
  <c r="AE188" i="1"/>
  <c r="L526" i="1"/>
  <c r="K526" i="1"/>
  <c r="P526" i="1" l="1"/>
  <c r="I527" i="1" s="1"/>
  <c r="J527" i="1" s="1"/>
  <c r="V189" i="1"/>
  <c r="Z189" i="1" s="1"/>
  <c r="N527" i="1"/>
  <c r="O527" i="1"/>
  <c r="M527" i="1"/>
  <c r="L527" i="1"/>
  <c r="K527" i="1"/>
  <c r="AB189" i="1" l="1"/>
  <c r="AE189" i="1" s="1"/>
  <c r="W189" i="1"/>
  <c r="X189" i="1"/>
  <c r="AA189" i="1"/>
  <c r="Y189" i="1"/>
  <c r="P527" i="1"/>
  <c r="I528" i="1" s="1"/>
  <c r="M528" i="1" s="1"/>
  <c r="AC189" i="1" l="1"/>
  <c r="AF189" i="1" s="1"/>
  <c r="N528" i="1"/>
  <c r="J528" i="1"/>
  <c r="O528" i="1"/>
  <c r="K528" i="1"/>
  <c r="L528" i="1"/>
  <c r="V190" i="1" l="1"/>
  <c r="Z190" i="1" s="1"/>
  <c r="P528" i="1"/>
  <c r="I529" i="1" s="1"/>
  <c r="K529" i="1" s="1"/>
  <c r="X190" i="1" l="1"/>
  <c r="AA190" i="1"/>
  <c r="W190" i="1"/>
  <c r="Y190" i="1"/>
  <c r="AB190" i="1"/>
  <c r="AE190" i="1" s="1"/>
  <c r="O529" i="1"/>
  <c r="N529" i="1"/>
  <c r="L529" i="1"/>
  <c r="M529" i="1"/>
  <c r="J529" i="1"/>
  <c r="AC190" i="1" l="1"/>
  <c r="AF190" i="1" s="1"/>
  <c r="P529" i="1"/>
  <c r="I530" i="1" s="1"/>
  <c r="L530" i="1" s="1"/>
  <c r="V191" i="1" l="1"/>
  <c r="Z191" i="1" s="1"/>
  <c r="J530" i="1"/>
  <c r="N530" i="1"/>
  <c r="M530" i="1"/>
  <c r="K530" i="1"/>
  <c r="O530" i="1"/>
  <c r="P530" i="1" l="1"/>
  <c r="I531" i="1" s="1"/>
  <c r="L531" i="1" s="1"/>
  <c r="X191" i="1"/>
  <c r="W191" i="1"/>
  <c r="AB191" i="1"/>
  <c r="AE191" i="1" s="1"/>
  <c r="Y191" i="1"/>
  <c r="AA191" i="1"/>
  <c r="M531" i="1"/>
  <c r="K531" i="1"/>
  <c r="O531" i="1"/>
  <c r="N531" i="1"/>
  <c r="J531" i="1" l="1"/>
  <c r="AC191" i="1"/>
  <c r="P531" i="1"/>
  <c r="I532" i="1" s="1"/>
  <c r="M532" i="1" s="1"/>
  <c r="V192" i="1" l="1"/>
  <c r="AF191" i="1"/>
  <c r="N532" i="1"/>
  <c r="O532" i="1"/>
  <c r="J532" i="1"/>
  <c r="L532" i="1"/>
  <c r="K532" i="1"/>
  <c r="W192" i="1" l="1"/>
  <c r="X192" i="1"/>
  <c r="Y192" i="1"/>
  <c r="AA192" i="1"/>
  <c r="Z192" i="1"/>
  <c r="AB192" i="1"/>
  <c r="AE192" i="1" s="1"/>
  <c r="P532" i="1"/>
  <c r="I533" i="1" s="1"/>
  <c r="M533" i="1" s="1"/>
  <c r="AC192" i="1" l="1"/>
  <c r="K533" i="1"/>
  <c r="L533" i="1"/>
  <c r="O533" i="1"/>
  <c r="J533" i="1"/>
  <c r="N533" i="1"/>
  <c r="AF192" i="1" l="1"/>
  <c r="V193" i="1"/>
  <c r="P533" i="1"/>
  <c r="I534" i="1" s="1"/>
  <c r="J534" i="1" s="1"/>
  <c r="Z193" i="1" l="1"/>
  <c r="X193" i="1"/>
  <c r="AA193" i="1"/>
  <c r="Y193" i="1"/>
  <c r="AB193" i="1"/>
  <c r="AE193" i="1" s="1"/>
  <c r="W193" i="1"/>
  <c r="K534" i="1"/>
  <c r="M534" i="1"/>
  <c r="O534" i="1"/>
  <c r="N534" i="1"/>
  <c r="L534" i="1"/>
  <c r="AC193" i="1" l="1"/>
  <c r="P534" i="1"/>
  <c r="I535" i="1" s="1"/>
  <c r="N535" i="1" s="1"/>
  <c r="V194" i="1" l="1"/>
  <c r="AF193" i="1"/>
  <c r="O535" i="1"/>
  <c r="K535" i="1"/>
  <c r="J535" i="1"/>
  <c r="L535" i="1"/>
  <c r="M535" i="1"/>
  <c r="Y194" i="1" l="1"/>
  <c r="AB194" i="1"/>
  <c r="X194" i="1"/>
  <c r="W194" i="1"/>
  <c r="Z194" i="1"/>
  <c r="AA194" i="1"/>
  <c r="P535" i="1"/>
  <c r="I536" i="1" s="1"/>
  <c r="K536" i="1" s="1"/>
  <c r="AC194" i="1" l="1"/>
  <c r="AF194" i="1"/>
  <c r="V195" i="1"/>
  <c r="O536" i="1"/>
  <c r="AE194" i="1"/>
  <c r="Y195" i="1"/>
  <c r="AA195" i="1"/>
  <c r="N536" i="1"/>
  <c r="M536" i="1"/>
  <c r="L536" i="1"/>
  <c r="J536" i="1"/>
  <c r="P536" i="1" l="1"/>
  <c r="I537" i="1" s="1"/>
  <c r="L537" i="1" s="1"/>
  <c r="W195" i="1"/>
  <c r="AB195" i="1"/>
  <c r="AE195" i="1" s="1"/>
  <c r="Z195" i="1"/>
  <c r="X195" i="1"/>
  <c r="O537" i="1"/>
  <c r="K537" i="1"/>
  <c r="N537" i="1"/>
  <c r="M537" i="1"/>
  <c r="J537" i="1" l="1"/>
  <c r="AC195" i="1"/>
  <c r="AF195" i="1"/>
  <c r="V196" i="1"/>
  <c r="P537" i="1"/>
  <c r="I538" i="1" s="1"/>
  <c r="J538" i="1" s="1"/>
  <c r="Y196" i="1" l="1"/>
  <c r="AB196" i="1"/>
  <c r="AE196" i="1" s="1"/>
  <c r="X196" i="1"/>
  <c r="Z196" i="1"/>
  <c r="W196" i="1"/>
  <c r="AA196" i="1"/>
  <c r="M538" i="1"/>
  <c r="L538" i="1"/>
  <c r="O538" i="1"/>
  <c r="N538" i="1"/>
  <c r="K538" i="1"/>
  <c r="AC196" i="1" l="1"/>
  <c r="P538" i="1"/>
  <c r="I539" i="1" s="1"/>
  <c r="L539" i="1" s="1"/>
  <c r="V197" i="1" l="1"/>
  <c r="AF196" i="1"/>
  <c r="N539" i="1"/>
  <c r="O539" i="1"/>
  <c r="M539" i="1"/>
  <c r="K539" i="1"/>
  <c r="J539" i="1"/>
  <c r="AA197" i="1" l="1"/>
  <c r="W197" i="1"/>
  <c r="X197" i="1"/>
  <c r="Z197" i="1"/>
  <c r="AB197" i="1"/>
  <c r="AE197" i="1" s="1"/>
  <c r="Y197" i="1"/>
  <c r="P539" i="1"/>
  <c r="I540" i="1" s="1"/>
  <c r="J540" i="1" s="1"/>
  <c r="AC197" i="1" l="1"/>
  <c r="AF197" i="1" s="1"/>
  <c r="V198" i="1"/>
  <c r="AA198" i="1" s="1"/>
  <c r="K540" i="1"/>
  <c r="L540" i="1"/>
  <c r="O540" i="1"/>
  <c r="M540" i="1"/>
  <c r="N540" i="1"/>
  <c r="Y198" i="1" l="1"/>
  <c r="X198" i="1"/>
  <c r="Z198" i="1"/>
  <c r="AB198" i="1"/>
  <c r="AE198" i="1" s="1"/>
  <c r="W198" i="1"/>
  <c r="P540" i="1"/>
  <c r="I541" i="1" s="1"/>
  <c r="J541" i="1" s="1"/>
  <c r="O541" i="1" l="1"/>
  <c r="N541" i="1"/>
  <c r="AC198" i="1"/>
  <c r="L541" i="1"/>
  <c r="K541" i="1"/>
  <c r="M541" i="1"/>
  <c r="AF198" i="1" l="1"/>
  <c r="V199" i="1"/>
  <c r="P541" i="1"/>
  <c r="I542" i="1" s="1"/>
  <c r="J542" i="1" s="1"/>
  <c r="O542" i="1"/>
  <c r="M542" i="1" l="1"/>
  <c r="N542" i="1"/>
  <c r="L542" i="1"/>
  <c r="Y199" i="1"/>
  <c r="AA199" i="1"/>
  <c r="X199" i="1"/>
  <c r="Z199" i="1"/>
  <c r="W199" i="1"/>
  <c r="AB199" i="1"/>
  <c r="AE199" i="1" s="1"/>
  <c r="K542" i="1"/>
  <c r="P542" i="1" l="1"/>
  <c r="I543" i="1" s="1"/>
  <c r="L543" i="1" s="1"/>
  <c r="AC199" i="1"/>
  <c r="O543" i="1"/>
  <c r="M543" i="1"/>
  <c r="K543" i="1"/>
  <c r="N543" i="1"/>
  <c r="J543" i="1" l="1"/>
  <c r="AF199" i="1"/>
  <c r="V200" i="1"/>
  <c r="P543" i="1"/>
  <c r="I544" i="1" s="1"/>
  <c r="J544" i="1" s="1"/>
  <c r="W200" i="1" l="1"/>
  <c r="Y200" i="1"/>
  <c r="X200" i="1"/>
  <c r="Z200" i="1"/>
  <c r="AA200" i="1"/>
  <c r="AB200" i="1"/>
  <c r="AE200" i="1" s="1"/>
  <c r="N544" i="1"/>
  <c r="L544" i="1"/>
  <c r="M544" i="1"/>
  <c r="O544" i="1"/>
  <c r="K544" i="1"/>
  <c r="P544" i="1" l="1"/>
  <c r="I545" i="1" s="1"/>
  <c r="J545" i="1" s="1"/>
  <c r="AC200" i="1"/>
  <c r="M545" i="1"/>
  <c r="O545" i="1"/>
  <c r="L545" i="1"/>
  <c r="K545" i="1" l="1"/>
  <c r="N545" i="1"/>
  <c r="AF200" i="1"/>
  <c r="V201" i="1"/>
  <c r="P545" i="1"/>
  <c r="I546" i="1" s="1"/>
  <c r="O546" i="1" s="1"/>
  <c r="AB201" i="1" l="1"/>
  <c r="AE201" i="1" s="1"/>
  <c r="AA201" i="1"/>
  <c r="Z201" i="1"/>
  <c r="W201" i="1"/>
  <c r="X201" i="1"/>
  <c r="Y201" i="1"/>
  <c r="N546" i="1"/>
  <c r="K546" i="1"/>
  <c r="J546" i="1"/>
  <c r="L546" i="1"/>
  <c r="M546" i="1"/>
  <c r="AC201" i="1" l="1"/>
  <c r="P546" i="1"/>
  <c r="I547" i="1" s="1"/>
  <c r="M547" i="1" s="1"/>
  <c r="O547" i="1"/>
  <c r="L547" i="1"/>
  <c r="N547" i="1"/>
  <c r="J547" i="1"/>
  <c r="AF201" i="1" l="1"/>
  <c r="V202" i="1"/>
  <c r="K547" i="1"/>
  <c r="P547" i="1"/>
  <c r="I548" i="1" s="1"/>
  <c r="J548" i="1" s="1"/>
  <c r="O548" i="1" l="1"/>
  <c r="AA202" i="1"/>
  <c r="AB202" i="1"/>
  <c r="AE202" i="1" s="1"/>
  <c r="W202" i="1"/>
  <c r="Z202" i="1"/>
  <c r="X202" i="1"/>
  <c r="Y202" i="1"/>
  <c r="AC202" i="1" s="1"/>
  <c r="L548" i="1"/>
  <c r="N548" i="1"/>
  <c r="M548" i="1"/>
  <c r="K548" i="1"/>
  <c r="V203" i="1" l="1"/>
  <c r="AF202" i="1"/>
  <c r="P548" i="1"/>
  <c r="I549" i="1" s="1"/>
  <c r="L549" i="1" s="1"/>
  <c r="K549" i="1" l="1"/>
  <c r="Z203" i="1"/>
  <c r="X203" i="1"/>
  <c r="AA203" i="1"/>
  <c r="AB203" i="1"/>
  <c r="AE203" i="1" s="1"/>
  <c r="W203" i="1"/>
  <c r="Y203" i="1"/>
  <c r="O549" i="1"/>
  <c r="J549" i="1"/>
  <c r="N549" i="1"/>
  <c r="M549" i="1"/>
  <c r="AC203" i="1" l="1"/>
  <c r="P549" i="1"/>
  <c r="I550" i="1" s="1"/>
  <c r="J550" i="1" s="1"/>
  <c r="O550" i="1"/>
  <c r="N550" i="1" l="1"/>
  <c r="M550" i="1"/>
  <c r="K550" i="1"/>
  <c r="AF203" i="1"/>
  <c r="V204" i="1"/>
  <c r="L550" i="1"/>
  <c r="P550" i="1" l="1"/>
  <c r="I551" i="1" s="1"/>
  <c r="M551" i="1"/>
  <c r="O551" i="1"/>
  <c r="W204" i="1"/>
  <c r="Z204" i="1"/>
  <c r="AB204" i="1"/>
  <c r="AE204" i="1" s="1"/>
  <c r="X204" i="1"/>
  <c r="AA204" i="1"/>
  <c r="Y204" i="1"/>
  <c r="K551" i="1"/>
  <c r="N551" i="1"/>
  <c r="J551" i="1"/>
  <c r="L551" i="1"/>
  <c r="AC204" i="1" l="1"/>
  <c r="V205" i="1"/>
  <c r="AF204" i="1"/>
  <c r="P551" i="1"/>
  <c r="I552" i="1" s="1"/>
  <c r="K552" i="1" s="1"/>
  <c r="O552" i="1"/>
  <c r="M552" i="1"/>
  <c r="L552" i="1" l="1"/>
  <c r="N552" i="1"/>
  <c r="J552" i="1"/>
  <c r="Z205" i="1"/>
  <c r="W205" i="1"/>
  <c r="Y205" i="1"/>
  <c r="AB205" i="1"/>
  <c r="AA205" i="1"/>
  <c r="X205" i="1"/>
  <c r="P552" i="1" l="1"/>
  <c r="I553" i="1" s="1"/>
  <c r="N553" i="1" s="1"/>
  <c r="AE205" i="1"/>
  <c r="AC205" i="1"/>
  <c r="O553" i="1"/>
  <c r="K553" i="1"/>
  <c r="J553" i="1"/>
  <c r="L553" i="1"/>
  <c r="M553" i="1"/>
  <c r="V206" i="1" l="1"/>
  <c r="AF205" i="1"/>
  <c r="P553" i="1"/>
  <c r="I554" i="1" s="1"/>
  <c r="L554" i="1" s="1"/>
  <c r="X206" i="1" l="1"/>
  <c r="AB206" i="1"/>
  <c r="AE206" i="1" s="1"/>
  <c r="W206" i="1"/>
  <c r="Z206" i="1"/>
  <c r="Y206" i="1"/>
  <c r="AA206" i="1"/>
  <c r="O554" i="1"/>
  <c r="J554" i="1"/>
  <c r="M554" i="1"/>
  <c r="N554" i="1"/>
  <c r="K554" i="1"/>
  <c r="AC206" i="1" l="1"/>
  <c r="AF206" i="1" s="1"/>
  <c r="V207" i="1"/>
  <c r="P554" i="1"/>
  <c r="I555" i="1" s="1"/>
  <c r="N555" i="1" s="1"/>
  <c r="Z207" i="1" l="1"/>
  <c r="Y207" i="1"/>
  <c r="X207" i="1"/>
  <c r="AA207" i="1"/>
  <c r="AB207" i="1"/>
  <c r="AE207" i="1" s="1"/>
  <c r="W207" i="1"/>
  <c r="O555" i="1"/>
  <c r="M555" i="1"/>
  <c r="L555" i="1"/>
  <c r="J555" i="1"/>
  <c r="K555" i="1"/>
  <c r="AC207" i="1" l="1"/>
  <c r="AF207" i="1" s="1"/>
  <c r="P555" i="1"/>
  <c r="I556" i="1" s="1"/>
  <c r="L556" i="1" s="1"/>
  <c r="V208" i="1" l="1"/>
  <c r="Z208" i="1" s="1"/>
  <c r="X208" i="1"/>
  <c r="W208" i="1"/>
  <c r="AB208" i="1"/>
  <c r="AE208" i="1" s="1"/>
  <c r="N556" i="1"/>
  <c r="J556" i="1"/>
  <c r="O556" i="1"/>
  <c r="K556" i="1"/>
  <c r="M556" i="1"/>
  <c r="AA208" i="1" l="1"/>
  <c r="Y208" i="1"/>
  <c r="AC208" i="1" s="1"/>
  <c r="P556" i="1"/>
  <c r="I557" i="1" s="1"/>
  <c r="M557" i="1" s="1"/>
  <c r="AF208" i="1" l="1"/>
  <c r="V209" i="1"/>
  <c r="O557" i="1"/>
  <c r="K557" i="1"/>
  <c r="J557" i="1"/>
  <c r="L557" i="1"/>
  <c r="N557" i="1"/>
  <c r="Y209" i="1" l="1"/>
  <c r="AA209" i="1"/>
  <c r="X209" i="1"/>
  <c r="AB209" i="1"/>
  <c r="AE209" i="1" s="1"/>
  <c r="W209" i="1"/>
  <c r="Z209" i="1"/>
  <c r="P557" i="1"/>
  <c r="I558" i="1" s="1"/>
  <c r="M558" i="1" s="1"/>
  <c r="AC209" i="1" l="1"/>
  <c r="O558" i="1"/>
  <c r="L558" i="1"/>
  <c r="J558" i="1"/>
  <c r="N558" i="1"/>
  <c r="K558" i="1"/>
  <c r="V210" i="1" l="1"/>
  <c r="AF209" i="1"/>
  <c r="P558" i="1"/>
  <c r="I559" i="1" s="1"/>
  <c r="M559" i="1" s="1"/>
  <c r="Z210" i="1" l="1"/>
  <c r="Y210" i="1"/>
  <c r="W210" i="1"/>
  <c r="AB210" i="1"/>
  <c r="AE210" i="1" s="1"/>
  <c r="AA210" i="1"/>
  <c r="X210" i="1"/>
  <c r="L559" i="1"/>
  <c r="N559" i="1"/>
  <c r="J559" i="1"/>
  <c r="O559" i="1"/>
  <c r="K559" i="1"/>
  <c r="AC210" i="1" l="1"/>
  <c r="P559" i="1"/>
  <c r="I560" i="1" s="1"/>
  <c r="K560" i="1" s="1"/>
  <c r="V211" i="1" l="1"/>
  <c r="AF210" i="1"/>
  <c r="N560" i="1"/>
  <c r="M560" i="1"/>
  <c r="L560" i="1"/>
  <c r="J560" i="1"/>
  <c r="O560" i="1"/>
  <c r="P560" i="1" s="1"/>
  <c r="I561" i="1" s="1"/>
  <c r="K561" i="1" s="1"/>
  <c r="Y211" i="1" l="1"/>
  <c r="AB211" i="1"/>
  <c r="AE211" i="1" s="1"/>
  <c r="Z211" i="1"/>
  <c r="W211" i="1"/>
  <c r="X211" i="1"/>
  <c r="AA211" i="1"/>
  <c r="AC211" i="1" s="1"/>
  <c r="N561" i="1"/>
  <c r="J561" i="1"/>
  <c r="L561" i="1"/>
  <c r="M561" i="1"/>
  <c r="O561" i="1"/>
  <c r="V212" i="1" l="1"/>
  <c r="AF211" i="1"/>
  <c r="Y212" i="1"/>
  <c r="P561" i="1"/>
  <c r="I562" i="1" s="1"/>
  <c r="N562" i="1" s="1"/>
  <c r="X212" i="1" l="1"/>
  <c r="W212" i="1"/>
  <c r="Z212" i="1"/>
  <c r="AB212" i="1"/>
  <c r="AA212" i="1"/>
  <c r="L562" i="1"/>
  <c r="K562" i="1"/>
  <c r="J562" i="1"/>
  <c r="O562" i="1"/>
  <c r="M562" i="1"/>
  <c r="AC212" i="1" l="1"/>
  <c r="V213" i="1"/>
  <c r="AF212" i="1"/>
  <c r="AE212" i="1"/>
  <c r="AA213" i="1"/>
  <c r="Y213" i="1"/>
  <c r="P562" i="1"/>
  <c r="I563" i="1" s="1"/>
  <c r="AB213" i="1" l="1"/>
  <c r="AE213" i="1" s="1"/>
  <c r="W213" i="1"/>
  <c r="X213" i="1"/>
  <c r="Z213" i="1"/>
  <c r="AC213" i="1" s="1"/>
  <c r="M563" i="1"/>
  <c r="O563" i="1"/>
  <c r="K563" i="1"/>
  <c r="J563" i="1"/>
  <c r="L563" i="1"/>
  <c r="N563" i="1"/>
  <c r="AF213" i="1" l="1"/>
  <c r="V214" i="1"/>
  <c r="P563" i="1"/>
  <c r="I564" i="1" s="1"/>
  <c r="Y214" i="1" l="1"/>
  <c r="X214" i="1"/>
  <c r="Z214" i="1"/>
  <c r="AB214" i="1"/>
  <c r="AE214" i="1" s="1"/>
  <c r="W214" i="1"/>
  <c r="AA214" i="1"/>
  <c r="M564" i="1"/>
  <c r="J564" i="1"/>
  <c r="O564" i="1"/>
  <c r="K564" i="1"/>
  <c r="L564" i="1"/>
  <c r="N564" i="1"/>
  <c r="AC214" i="1" l="1"/>
  <c r="P564" i="1"/>
  <c r="I565" i="1" s="1"/>
  <c r="N565" i="1" s="1"/>
  <c r="V215" i="1" l="1"/>
  <c r="AF214" i="1"/>
  <c r="K565" i="1"/>
  <c r="J565" i="1"/>
  <c r="O565" i="1"/>
  <c r="M565" i="1"/>
  <c r="L565" i="1"/>
  <c r="X215" i="1" l="1"/>
  <c r="Z215" i="1"/>
  <c r="W215" i="1"/>
  <c r="AA215" i="1"/>
  <c r="AB215" i="1"/>
  <c r="Y215" i="1"/>
  <c r="P565" i="1"/>
  <c r="I566" i="1" s="1"/>
  <c r="J566" i="1" s="1"/>
  <c r="AC215" i="1" l="1"/>
  <c r="AE215" i="1"/>
  <c r="N566" i="1"/>
  <c r="L566" i="1"/>
  <c r="M566" i="1"/>
  <c r="O566" i="1"/>
  <c r="K566" i="1"/>
  <c r="AF215" i="1" l="1"/>
  <c r="V216" i="1"/>
  <c r="P566" i="1"/>
  <c r="I567" i="1" s="1"/>
  <c r="J567" i="1" s="1"/>
  <c r="W216" i="1" l="1"/>
  <c r="AB216" i="1"/>
  <c r="AE216" i="1" s="1"/>
  <c r="Z216" i="1"/>
  <c r="X216" i="1"/>
  <c r="AA216" i="1"/>
  <c r="Y216" i="1"/>
  <c r="O567" i="1"/>
  <c r="M567" i="1"/>
  <c r="N567" i="1"/>
  <c r="L567" i="1"/>
  <c r="K567" i="1"/>
  <c r="AC216" i="1" l="1"/>
  <c r="V217" i="1"/>
  <c r="Y217" i="1" s="1"/>
  <c r="AF216" i="1"/>
  <c r="P567" i="1"/>
  <c r="I568" i="1" s="1"/>
  <c r="K568" i="1" s="1"/>
  <c r="W217" i="1" l="1"/>
  <c r="X217" i="1"/>
  <c r="Z217" i="1"/>
  <c r="AB217" i="1"/>
  <c r="AA217" i="1"/>
  <c r="O568" i="1"/>
  <c r="L568" i="1"/>
  <c r="N568" i="1"/>
  <c r="J568" i="1"/>
  <c r="M568" i="1"/>
  <c r="AC217" i="1" l="1"/>
  <c r="AF217" i="1" s="1"/>
  <c r="AE217" i="1"/>
  <c r="P568" i="1"/>
  <c r="I569" i="1" s="1"/>
  <c r="N569" i="1" s="1"/>
  <c r="V218" i="1" l="1"/>
  <c r="Y218" i="1" s="1"/>
  <c r="AA218" i="1"/>
  <c r="X218" i="1"/>
  <c r="W218" i="1"/>
  <c r="AB218" i="1"/>
  <c r="AE218" i="1" s="1"/>
  <c r="Z218" i="1"/>
  <c r="M569" i="1"/>
  <c r="L569" i="1"/>
  <c r="K569" i="1"/>
  <c r="O569" i="1"/>
  <c r="J569" i="1"/>
  <c r="AC218" i="1" l="1"/>
  <c r="V219" i="1"/>
  <c r="AF218" i="1"/>
  <c r="P569" i="1"/>
  <c r="I570" i="1" s="1"/>
  <c r="K570" i="1" s="1"/>
  <c r="Z219" i="1" l="1"/>
  <c r="AB219" i="1"/>
  <c r="X219" i="1"/>
  <c r="W219" i="1"/>
  <c r="Y219" i="1"/>
  <c r="AA219" i="1"/>
  <c r="N570" i="1"/>
  <c r="M570" i="1"/>
  <c r="L570" i="1"/>
  <c r="O570" i="1"/>
  <c r="J570" i="1"/>
  <c r="AC219" i="1" l="1"/>
  <c r="AF219" i="1" s="1"/>
  <c r="AE219" i="1"/>
  <c r="P570" i="1"/>
  <c r="I571" i="1" s="1"/>
  <c r="M571" i="1" s="1"/>
  <c r="V220" i="1" l="1"/>
  <c r="AA220" i="1" s="1"/>
  <c r="Y220" i="1"/>
  <c r="W220" i="1"/>
  <c r="X220" i="1"/>
  <c r="AB220" i="1"/>
  <c r="AE220" i="1" s="1"/>
  <c r="Z220" i="1"/>
  <c r="N571" i="1"/>
  <c r="L571" i="1"/>
  <c r="J571" i="1"/>
  <c r="K571" i="1"/>
  <c r="O571" i="1"/>
  <c r="AC220" i="1" l="1"/>
  <c r="AF220" i="1" s="1"/>
  <c r="V221" i="1"/>
  <c r="Y221" i="1" s="1"/>
  <c r="P571" i="1"/>
  <c r="I572" i="1" s="1"/>
  <c r="N572" i="1" s="1"/>
  <c r="AA221" i="1" l="1"/>
  <c r="X221" i="1"/>
  <c r="W221" i="1"/>
  <c r="Z221" i="1"/>
  <c r="AB221" i="1"/>
  <c r="AE221" i="1" s="1"/>
  <c r="O572" i="1"/>
  <c r="M572" i="1"/>
  <c r="J572" i="1"/>
  <c r="K572" i="1"/>
  <c r="L572" i="1"/>
  <c r="AC221" i="1" l="1"/>
  <c r="P572" i="1"/>
  <c r="I573" i="1" s="1"/>
  <c r="N573" i="1" s="1"/>
  <c r="AF221" i="1" l="1"/>
  <c r="V222" i="1"/>
  <c r="J573" i="1"/>
  <c r="O573" i="1"/>
  <c r="L573" i="1"/>
  <c r="M573" i="1"/>
  <c r="K573" i="1"/>
  <c r="W222" i="1" l="1"/>
  <c r="AB222" i="1"/>
  <c r="AE222" i="1" s="1"/>
  <c r="Z222" i="1"/>
  <c r="AA222" i="1"/>
  <c r="X222" i="1"/>
  <c r="Y222" i="1"/>
  <c r="P573" i="1"/>
  <c r="I574" i="1" s="1"/>
  <c r="J574" i="1" s="1"/>
  <c r="AC222" i="1" l="1"/>
  <c r="AF222" i="1" s="1"/>
  <c r="V223" i="1"/>
  <c r="Y223" i="1" s="1"/>
  <c r="O574" i="1"/>
  <c r="L574" i="1"/>
  <c r="M574" i="1"/>
  <c r="K574" i="1"/>
  <c r="N574" i="1"/>
  <c r="AA223" i="1" l="1"/>
  <c r="W223" i="1"/>
  <c r="AB223" i="1"/>
  <c r="AE223" i="1" s="1"/>
  <c r="X223" i="1"/>
  <c r="Z223" i="1"/>
  <c r="P574" i="1"/>
  <c r="I575" i="1" s="1"/>
  <c r="K575" i="1" s="1"/>
  <c r="AC223" i="1" l="1"/>
  <c r="N575" i="1"/>
  <c r="M575" i="1"/>
  <c r="O575" i="1"/>
  <c r="J575" i="1"/>
  <c r="L575" i="1"/>
  <c r="V224" i="1" l="1"/>
  <c r="AF223" i="1"/>
  <c r="P575" i="1"/>
  <c r="I576" i="1" s="1"/>
  <c r="N576" i="1" s="1"/>
  <c r="O576" i="1"/>
  <c r="L576" i="1" l="1"/>
  <c r="X224" i="1"/>
  <c r="AB224" i="1"/>
  <c r="AE224" i="1" s="1"/>
  <c r="Z224" i="1"/>
  <c r="Y224" i="1"/>
  <c r="AA224" i="1"/>
  <c r="W224" i="1"/>
  <c r="J576" i="1"/>
  <c r="M576" i="1"/>
  <c r="K576" i="1"/>
  <c r="AC224" i="1" l="1"/>
  <c r="V225" i="1"/>
  <c r="AF224" i="1"/>
  <c r="P576" i="1"/>
  <c r="I577" i="1" s="1"/>
  <c r="J577" i="1" s="1"/>
  <c r="O577" i="1"/>
  <c r="M577" i="1" l="1"/>
  <c r="L577" i="1"/>
  <c r="K577" i="1"/>
  <c r="N577" i="1"/>
  <c r="P577" i="1" s="1"/>
  <c r="I578" i="1" s="1"/>
  <c r="L578" i="1" s="1"/>
  <c r="X225" i="1"/>
  <c r="Z225" i="1"/>
  <c r="AB225" i="1"/>
  <c r="AE225" i="1" s="1"/>
  <c r="AA225" i="1"/>
  <c r="W225" i="1"/>
  <c r="Y225" i="1"/>
  <c r="K578" i="1" l="1"/>
  <c r="M578" i="1"/>
  <c r="N578" i="1"/>
  <c r="AC225" i="1"/>
  <c r="O578" i="1"/>
  <c r="J578" i="1"/>
  <c r="P578" i="1" l="1"/>
  <c r="I579" i="1" s="1"/>
  <c r="M579" i="1"/>
  <c r="K579" i="1"/>
  <c r="V226" i="1"/>
  <c r="AF225" i="1"/>
  <c r="J579" i="1"/>
  <c r="N579" i="1" l="1"/>
  <c r="L579" i="1"/>
  <c r="O579" i="1"/>
  <c r="W226" i="1"/>
  <c r="X226" i="1"/>
  <c r="AA226" i="1"/>
  <c r="Y226" i="1"/>
  <c r="Z226" i="1"/>
  <c r="AB226" i="1"/>
  <c r="AE226" i="1" s="1"/>
  <c r="P579" i="1" l="1"/>
  <c r="I580" i="1" s="1"/>
  <c r="AC226" i="1"/>
  <c r="L580" i="1" l="1"/>
  <c r="M580" i="1"/>
  <c r="K580" i="1"/>
  <c r="O580" i="1"/>
  <c r="J580" i="1"/>
  <c r="N580" i="1"/>
  <c r="AF226" i="1"/>
  <c r="V227" i="1"/>
  <c r="P580" i="1" l="1"/>
  <c r="I581" i="1" s="1"/>
  <c r="L581" i="1" s="1"/>
  <c r="AA227" i="1"/>
  <c r="X227" i="1"/>
  <c r="W227" i="1"/>
  <c r="Y227" i="1"/>
  <c r="Z227" i="1"/>
  <c r="AB227" i="1"/>
  <c r="AE227" i="1" s="1"/>
  <c r="N581" i="1" l="1"/>
  <c r="J581" i="1"/>
  <c r="K581" i="1"/>
  <c r="O581" i="1"/>
  <c r="M581" i="1"/>
  <c r="AC227" i="1"/>
  <c r="P581" i="1" l="1"/>
  <c r="I582" i="1" s="1"/>
  <c r="AF227" i="1"/>
  <c r="V228" i="1"/>
  <c r="L582" i="1" l="1"/>
  <c r="J582" i="1"/>
  <c r="K582" i="1"/>
  <c r="O582" i="1"/>
  <c r="M582" i="1"/>
  <c r="N582" i="1"/>
  <c r="Z228" i="1"/>
  <c r="X228" i="1"/>
  <c r="AA228" i="1"/>
  <c r="AB228" i="1"/>
  <c r="W228" i="1"/>
  <c r="Y228" i="1"/>
  <c r="P582" i="1" l="1"/>
  <c r="I583" i="1" s="1"/>
  <c r="AC228" i="1"/>
  <c r="AF228" i="1" s="1"/>
  <c r="AE228" i="1"/>
  <c r="V229" i="1" l="1"/>
  <c r="AA229" i="1" s="1"/>
  <c r="L583" i="1"/>
  <c r="O583" i="1"/>
  <c r="J583" i="1"/>
  <c r="K583" i="1"/>
  <c r="N583" i="1"/>
  <c r="M583" i="1"/>
  <c r="Y229" i="1"/>
  <c r="AB229" i="1"/>
  <c r="AE229" i="1" s="1"/>
  <c r="Z229" i="1"/>
  <c r="W229" i="1"/>
  <c r="X229" i="1" l="1"/>
  <c r="P583" i="1"/>
  <c r="I584" i="1" s="1"/>
  <c r="L584" i="1" s="1"/>
  <c r="AC229" i="1"/>
  <c r="V230" i="1" s="1"/>
  <c r="M584" i="1"/>
  <c r="N584" i="1"/>
  <c r="O584" i="1"/>
  <c r="J584" i="1"/>
  <c r="K584" i="1" l="1"/>
  <c r="P584" i="1" s="1"/>
  <c r="I585" i="1" s="1"/>
  <c r="M585" i="1" s="1"/>
  <c r="AF229" i="1"/>
  <c r="AB230" i="1"/>
  <c r="AE230" i="1" s="1"/>
  <c r="Z230" i="1"/>
  <c r="AA230" i="1"/>
  <c r="X230" i="1"/>
  <c r="W230" i="1"/>
  <c r="Y230" i="1"/>
  <c r="K585" i="1" l="1"/>
  <c r="O585" i="1"/>
  <c r="N585" i="1"/>
  <c r="J585" i="1"/>
  <c r="L585" i="1"/>
  <c r="AC230" i="1"/>
  <c r="P585" i="1" l="1"/>
  <c r="I586" i="1" s="1"/>
  <c r="M586" i="1" s="1"/>
  <c r="V231" i="1"/>
  <c r="AF230" i="1"/>
  <c r="L586" i="1" l="1"/>
  <c r="K586" i="1"/>
  <c r="J586" i="1"/>
  <c r="O586" i="1"/>
  <c r="N586" i="1"/>
  <c r="X231" i="1"/>
  <c r="AA231" i="1"/>
  <c r="Z231" i="1"/>
  <c r="Y231" i="1"/>
  <c r="AB231" i="1"/>
  <c r="AE231" i="1" s="1"/>
  <c r="W231" i="1"/>
  <c r="P586" i="1" l="1"/>
  <c r="I587" i="1" s="1"/>
  <c r="N587" i="1" s="1"/>
  <c r="O587" i="1"/>
  <c r="M587" i="1"/>
  <c r="L587" i="1"/>
  <c r="AC231" i="1"/>
  <c r="J587" i="1" l="1"/>
  <c r="K587" i="1"/>
  <c r="P587" i="1"/>
  <c r="I588" i="1" s="1"/>
  <c r="M588" i="1" s="1"/>
  <c r="N588" i="1"/>
  <c r="AF231" i="1"/>
  <c r="V232" i="1"/>
  <c r="J588" i="1" l="1"/>
  <c r="K588" i="1"/>
  <c r="O588" i="1"/>
  <c r="L588" i="1"/>
  <c r="AA232" i="1"/>
  <c r="W232" i="1"/>
  <c r="X232" i="1"/>
  <c r="Z232" i="1"/>
  <c r="AB232" i="1"/>
  <c r="AE232" i="1" s="1"/>
  <c r="Y232" i="1"/>
  <c r="P588" i="1" l="1"/>
  <c r="I589" i="1" s="1"/>
  <c r="N589" i="1" s="1"/>
  <c r="O589" i="1"/>
  <c r="L589" i="1"/>
  <c r="K589" i="1"/>
  <c r="J589" i="1"/>
  <c r="M589" i="1"/>
  <c r="AC232" i="1"/>
  <c r="P589" i="1" l="1"/>
  <c r="I590" i="1" s="1"/>
  <c r="L590" i="1" s="1"/>
  <c r="N590" i="1"/>
  <c r="M590" i="1"/>
  <c r="V233" i="1"/>
  <c r="AF232" i="1"/>
  <c r="O590" i="1" l="1"/>
  <c r="J590" i="1"/>
  <c r="K590" i="1"/>
  <c r="P590" i="1"/>
  <c r="I591" i="1" s="1"/>
  <c r="J591" i="1" s="1"/>
  <c r="M591" i="1"/>
  <c r="N591" i="1"/>
  <c r="L591" i="1"/>
  <c r="O591" i="1"/>
  <c r="Z233" i="1"/>
  <c r="W233" i="1"/>
  <c r="Y233" i="1"/>
  <c r="AB233" i="1"/>
  <c r="AE233" i="1" s="1"/>
  <c r="X233" i="1"/>
  <c r="AA233" i="1"/>
  <c r="K591" i="1" l="1"/>
  <c r="P591" i="1"/>
  <c r="I592" i="1" s="1"/>
  <c r="K592" i="1" s="1"/>
  <c r="O592" i="1"/>
  <c r="L592" i="1"/>
  <c r="N592" i="1"/>
  <c r="AC233" i="1"/>
  <c r="V234" i="1" s="1"/>
  <c r="AA234" i="1" s="1"/>
  <c r="M592" i="1"/>
  <c r="AF233" i="1" l="1"/>
  <c r="J592" i="1"/>
  <c r="P592" i="1" s="1"/>
  <c r="I593" i="1" s="1"/>
  <c r="Y234" i="1"/>
  <c r="AB234" i="1"/>
  <c r="AE234" i="1" s="1"/>
  <c r="W234" i="1"/>
  <c r="Z234" i="1"/>
  <c r="X234" i="1"/>
  <c r="M593" i="1" l="1"/>
  <c r="J593" i="1"/>
  <c r="L593" i="1"/>
  <c r="N593" i="1"/>
  <c r="K593" i="1"/>
  <c r="O593" i="1"/>
  <c r="AC234" i="1"/>
  <c r="AF234" i="1" s="1"/>
  <c r="V235" i="1"/>
  <c r="AA235" i="1" s="1"/>
  <c r="P593" i="1" l="1"/>
  <c r="I594" i="1" s="1"/>
  <c r="J594" i="1" s="1"/>
  <c r="W235" i="1"/>
  <c r="AB235" i="1"/>
  <c r="AE235" i="1" s="1"/>
  <c r="Z235" i="1"/>
  <c r="X235" i="1"/>
  <c r="Y235" i="1"/>
  <c r="L594" i="1"/>
  <c r="M594" i="1"/>
  <c r="N594" i="1"/>
  <c r="O594" i="1"/>
  <c r="K594" i="1"/>
  <c r="AC235" i="1" l="1"/>
  <c r="P594" i="1"/>
  <c r="I595" i="1" s="1"/>
  <c r="J595" i="1" s="1"/>
  <c r="AF235" i="1" l="1"/>
  <c r="V236" i="1"/>
  <c r="N595" i="1"/>
  <c r="M595" i="1"/>
  <c r="O595" i="1"/>
  <c r="K595" i="1"/>
  <c r="L595" i="1"/>
  <c r="AA236" i="1" l="1"/>
  <c r="W236" i="1"/>
  <c r="AB236" i="1"/>
  <c r="X236" i="1"/>
  <c r="Z236" i="1"/>
  <c r="Y236" i="1"/>
  <c r="P595" i="1"/>
  <c r="I596" i="1" s="1"/>
  <c r="L596" i="1" s="1"/>
  <c r="AC236" i="1" l="1"/>
  <c r="V237" i="1"/>
  <c r="AF236" i="1"/>
  <c r="AE236" i="1"/>
  <c r="Y237" i="1"/>
  <c r="AA237" i="1"/>
  <c r="M596" i="1"/>
  <c r="N596" i="1"/>
  <c r="K596" i="1"/>
  <c r="O596" i="1"/>
  <c r="J596" i="1"/>
  <c r="Z237" i="1" l="1"/>
  <c r="W237" i="1"/>
  <c r="X237" i="1"/>
  <c r="AB237" i="1"/>
  <c r="AE237" i="1" s="1"/>
  <c r="P596" i="1"/>
  <c r="I597" i="1" s="1"/>
  <c r="N597" i="1" s="1"/>
  <c r="AC237" i="1" l="1"/>
  <c r="V238" i="1" s="1"/>
  <c r="Y238" i="1" s="1"/>
  <c r="AF237" i="1"/>
  <c r="M597" i="1"/>
  <c r="O597" i="1"/>
  <c r="J597" i="1"/>
  <c r="L597" i="1"/>
  <c r="K597" i="1"/>
  <c r="W238" i="1" l="1"/>
  <c r="AB238" i="1"/>
  <c r="AE238" i="1" s="1"/>
  <c r="X238" i="1"/>
  <c r="Z238" i="1"/>
  <c r="AA238" i="1"/>
  <c r="P597" i="1"/>
  <c r="I598" i="1" s="1"/>
  <c r="N598" i="1" s="1"/>
  <c r="AC238" i="1" l="1"/>
  <c r="O598" i="1"/>
  <c r="J598" i="1"/>
  <c r="K598" i="1"/>
  <c r="L598" i="1"/>
  <c r="M598" i="1"/>
  <c r="V239" i="1" l="1"/>
  <c r="AF238" i="1"/>
  <c r="P598" i="1"/>
  <c r="I599" i="1" s="1"/>
  <c r="J599" i="1" s="1"/>
  <c r="O599" i="1"/>
  <c r="K599" i="1"/>
  <c r="M599" i="1"/>
  <c r="N599" i="1" l="1"/>
  <c r="L599" i="1"/>
  <c r="P599" i="1" s="1"/>
  <c r="I600" i="1" s="1"/>
  <c r="K600" i="1" s="1"/>
  <c r="AA239" i="1"/>
  <c r="Z239" i="1"/>
  <c r="W239" i="1"/>
  <c r="AB239" i="1"/>
  <c r="AE239" i="1" s="1"/>
  <c r="X239" i="1"/>
  <c r="Y239" i="1"/>
  <c r="AC239" i="1" l="1"/>
  <c r="M600" i="1"/>
  <c r="N600" i="1"/>
  <c r="L600" i="1"/>
  <c r="J600" i="1"/>
  <c r="O600" i="1"/>
  <c r="V240" i="1" l="1"/>
  <c r="AF239" i="1"/>
  <c r="P600" i="1"/>
  <c r="I601" i="1" s="1"/>
  <c r="J601" i="1" s="1"/>
  <c r="AA240" i="1" l="1"/>
  <c r="Z240" i="1"/>
  <c r="X240" i="1"/>
  <c r="W240" i="1"/>
  <c r="AB240" i="1"/>
  <c r="AE240" i="1" s="1"/>
  <c r="Y240" i="1"/>
  <c r="K601" i="1"/>
  <c r="N601" i="1"/>
  <c r="O601" i="1"/>
  <c r="M601" i="1"/>
  <c r="L601" i="1"/>
  <c r="AC240" i="1" l="1"/>
  <c r="V241" i="1" s="1"/>
  <c r="AF240" i="1"/>
  <c r="P601" i="1"/>
  <c r="I602" i="1" s="1"/>
  <c r="K602" i="1" s="1"/>
  <c r="O602" i="1"/>
  <c r="N602" i="1" l="1"/>
  <c r="M602" i="1"/>
  <c r="Z241" i="1"/>
  <c r="W241" i="1"/>
  <c r="X241" i="1"/>
  <c r="AB241" i="1"/>
  <c r="AE241" i="1" s="1"/>
  <c r="L602" i="1"/>
  <c r="P602" i="1" s="1"/>
  <c r="I603" i="1" s="1"/>
  <c r="Y241" i="1"/>
  <c r="J602" i="1"/>
  <c r="AA241" i="1"/>
  <c r="L603" i="1" l="1"/>
  <c r="O603" i="1"/>
  <c r="K603" i="1"/>
  <c r="AC241" i="1"/>
  <c r="J603" i="1"/>
  <c r="N603" i="1"/>
  <c r="M603" i="1"/>
  <c r="P603" i="1" s="1"/>
  <c r="I604" i="1" s="1"/>
  <c r="J604" i="1" s="1"/>
  <c r="V242" i="1" l="1"/>
  <c r="AF241" i="1"/>
  <c r="L604" i="1"/>
  <c r="K604" i="1"/>
  <c r="O604" i="1"/>
  <c r="M604" i="1"/>
  <c r="N604" i="1"/>
  <c r="Z242" i="1" l="1"/>
  <c r="X242" i="1"/>
  <c r="AA242" i="1"/>
  <c r="Y242" i="1"/>
  <c r="AB242" i="1"/>
  <c r="AE242" i="1" s="1"/>
  <c r="W242" i="1"/>
  <c r="P604" i="1"/>
  <c r="I605" i="1" s="1"/>
  <c r="M605" i="1" s="1"/>
  <c r="AC242" i="1" l="1"/>
  <c r="O605" i="1"/>
  <c r="J605" i="1"/>
  <c r="N605" i="1"/>
  <c r="L605" i="1"/>
  <c r="K605" i="1"/>
  <c r="AF242" i="1" l="1"/>
  <c r="V243" i="1"/>
  <c r="P605" i="1"/>
  <c r="I606" i="1" s="1"/>
  <c r="K606" i="1" s="1"/>
  <c r="Z243" i="1" l="1"/>
  <c r="AB243" i="1"/>
  <c r="AE243" i="1" s="1"/>
  <c r="W243" i="1"/>
  <c r="X243" i="1"/>
  <c r="AA243" i="1"/>
  <c r="Y243" i="1"/>
  <c r="O606" i="1"/>
  <c r="M606" i="1"/>
  <c r="J606" i="1"/>
  <c r="N606" i="1"/>
  <c r="L606" i="1"/>
  <c r="AC243" i="1" l="1"/>
  <c r="AF243" i="1"/>
  <c r="V244" i="1"/>
  <c r="P606" i="1"/>
  <c r="I607" i="1" s="1"/>
  <c r="K607" i="1" s="1"/>
  <c r="Z244" i="1" l="1"/>
  <c r="X244" i="1"/>
  <c r="W244" i="1"/>
  <c r="AB244" i="1"/>
  <c r="AE244" i="1" s="1"/>
  <c r="AA244" i="1"/>
  <c r="Y244" i="1"/>
  <c r="O607" i="1"/>
  <c r="L607" i="1"/>
  <c r="M607" i="1"/>
  <c r="J607" i="1"/>
  <c r="N607" i="1"/>
  <c r="AC244" i="1" l="1"/>
  <c r="P607" i="1"/>
  <c r="I608" i="1" s="1"/>
  <c r="N608" i="1" s="1"/>
  <c r="AF244" i="1" l="1"/>
  <c r="V245" i="1"/>
  <c r="O608" i="1"/>
  <c r="K608" i="1"/>
  <c r="J608" i="1"/>
  <c r="L608" i="1"/>
  <c r="M608" i="1"/>
  <c r="P608" i="1" s="1"/>
  <c r="I609" i="1" s="1"/>
  <c r="J609" i="1" s="1"/>
  <c r="AB245" i="1" l="1"/>
  <c r="AE245" i="1" s="1"/>
  <c r="X245" i="1"/>
  <c r="W245" i="1"/>
  <c r="Y245" i="1"/>
  <c r="Z245" i="1"/>
  <c r="AA245" i="1"/>
  <c r="O609" i="1"/>
  <c r="M609" i="1"/>
  <c r="N609" i="1"/>
  <c r="K609" i="1"/>
  <c r="L609" i="1"/>
  <c r="AC245" i="1" l="1"/>
  <c r="P609" i="1"/>
  <c r="I610" i="1" s="1"/>
  <c r="K610" i="1" s="1"/>
  <c r="AF245" i="1" l="1"/>
  <c r="V246" i="1"/>
  <c r="O610" i="1"/>
  <c r="N610" i="1"/>
  <c r="L610" i="1"/>
  <c r="M610" i="1"/>
  <c r="J610" i="1"/>
  <c r="Y246" i="1" l="1"/>
  <c r="X246" i="1"/>
  <c r="W246" i="1"/>
  <c r="Z246" i="1"/>
  <c r="AB246" i="1"/>
  <c r="AE246" i="1" s="1"/>
  <c r="AA246" i="1"/>
  <c r="P610" i="1"/>
  <c r="I611" i="1" s="1"/>
  <c r="K611" i="1" s="1"/>
  <c r="AC246" i="1" l="1"/>
  <c r="O611" i="1"/>
  <c r="J611" i="1"/>
  <c r="M611" i="1"/>
  <c r="L611" i="1"/>
  <c r="N611" i="1"/>
  <c r="AF246" i="1" l="1"/>
  <c r="V247" i="1"/>
  <c r="P611" i="1"/>
  <c r="I612" i="1" s="1"/>
  <c r="L612" i="1" s="1"/>
  <c r="AA247" i="1" l="1"/>
  <c r="X247" i="1"/>
  <c r="AB247" i="1"/>
  <c r="Z247" i="1"/>
  <c r="Y247" i="1"/>
  <c r="W247" i="1"/>
  <c r="M612" i="1"/>
  <c r="N612" i="1"/>
  <c r="J612" i="1"/>
  <c r="K612" i="1"/>
  <c r="O612" i="1"/>
  <c r="AC247" i="1" l="1"/>
  <c r="AE247" i="1"/>
  <c r="P612" i="1"/>
  <c r="I613" i="1" s="1"/>
  <c r="L613" i="1" s="1"/>
  <c r="AF247" i="1" l="1"/>
  <c r="V248" i="1"/>
  <c r="N613" i="1"/>
  <c r="O613" i="1"/>
  <c r="J613" i="1"/>
  <c r="K613" i="1"/>
  <c r="M613" i="1"/>
  <c r="AA248" i="1" l="1"/>
  <c r="AB248" i="1"/>
  <c r="Z248" i="1"/>
  <c r="X248" i="1"/>
  <c r="W248" i="1"/>
  <c r="Y248" i="1"/>
  <c r="AC248" i="1" s="1"/>
  <c r="P613" i="1"/>
  <c r="I614" i="1" s="1"/>
  <c r="K614" i="1" s="1"/>
  <c r="N614" i="1" l="1"/>
  <c r="M614" i="1"/>
  <c r="O614" i="1"/>
  <c r="AF248" i="1"/>
  <c r="V249" i="1"/>
  <c r="AA249" i="1" s="1"/>
  <c r="AE248" i="1"/>
  <c r="J614" i="1"/>
  <c r="L614" i="1"/>
  <c r="P614" i="1" l="1"/>
  <c r="I615" i="1" s="1"/>
  <c r="K615" i="1" s="1"/>
  <c r="Z249" i="1"/>
  <c r="W249" i="1"/>
  <c r="AB249" i="1"/>
  <c r="AE249" i="1" s="1"/>
  <c r="X249" i="1"/>
  <c r="Y249" i="1"/>
  <c r="O615" i="1"/>
  <c r="M615" i="1"/>
  <c r="J615" i="1"/>
  <c r="L615" i="1"/>
  <c r="N615" i="1"/>
  <c r="AC249" i="1" l="1"/>
  <c r="P615" i="1"/>
  <c r="I616" i="1" s="1"/>
  <c r="J616" i="1" s="1"/>
  <c r="V250" i="1" l="1"/>
  <c r="AF249" i="1"/>
  <c r="L616" i="1"/>
  <c r="O616" i="1"/>
  <c r="M616" i="1"/>
  <c r="K616" i="1"/>
  <c r="N616" i="1"/>
  <c r="W250" i="1" l="1"/>
  <c r="X250" i="1"/>
  <c r="Z250" i="1"/>
  <c r="AA250" i="1"/>
  <c r="AB250" i="1"/>
  <c r="Y250" i="1"/>
  <c r="P616" i="1"/>
  <c r="I617" i="1" s="1"/>
  <c r="L617" i="1" s="1"/>
  <c r="AE250" i="1" l="1"/>
  <c r="AC250" i="1"/>
  <c r="N617" i="1"/>
  <c r="O617" i="1"/>
  <c r="J617" i="1"/>
  <c r="M617" i="1"/>
  <c r="K617" i="1"/>
  <c r="AF250" i="1" l="1"/>
  <c r="V251" i="1"/>
  <c r="P617" i="1"/>
  <c r="I618" i="1" s="1"/>
  <c r="M618" i="1" s="1"/>
  <c r="Y251" i="1" l="1"/>
  <c r="AB251" i="1"/>
  <c r="Z251" i="1"/>
  <c r="X251" i="1"/>
  <c r="W251" i="1"/>
  <c r="AA251" i="1"/>
  <c r="AC251" i="1" s="1"/>
  <c r="O618" i="1"/>
  <c r="L618" i="1"/>
  <c r="K618" i="1"/>
  <c r="J618" i="1"/>
  <c r="N618" i="1"/>
  <c r="P618" i="1" l="1"/>
  <c r="I619" i="1" s="1"/>
  <c r="J619" i="1" s="1"/>
  <c r="AF251" i="1"/>
  <c r="V252" i="1"/>
  <c r="AA252" i="1" s="1"/>
  <c r="AE251" i="1"/>
  <c r="K619" i="1"/>
  <c r="O619" i="1"/>
  <c r="N619" i="1"/>
  <c r="M619" i="1"/>
  <c r="L619" i="1"/>
  <c r="Y252" i="1" l="1"/>
  <c r="Z252" i="1"/>
  <c r="X252" i="1"/>
  <c r="W252" i="1"/>
  <c r="AB252" i="1"/>
  <c r="AE252" i="1" s="1"/>
  <c r="P619" i="1"/>
  <c r="I620" i="1" s="1"/>
  <c r="J620" i="1" s="1"/>
  <c r="AC252" i="1" l="1"/>
  <c r="AF252" i="1" s="1"/>
  <c r="O620" i="1"/>
  <c r="L620" i="1"/>
  <c r="N620" i="1"/>
  <c r="K620" i="1"/>
  <c r="M620" i="1"/>
  <c r="V253" i="1" l="1"/>
  <c r="X253" i="1" s="1"/>
  <c r="Z253" i="1"/>
  <c r="AB253" i="1"/>
  <c r="AE253" i="1" s="1"/>
  <c r="W253" i="1"/>
  <c r="Y253" i="1"/>
  <c r="P620" i="1"/>
  <c r="I621" i="1" s="1"/>
  <c r="J621" i="1" s="1"/>
  <c r="AA253" i="1"/>
  <c r="AC253" i="1" l="1"/>
  <c r="V254" i="1" s="1"/>
  <c r="AB254" i="1" s="1"/>
  <c r="AE254" i="1" s="1"/>
  <c r="Z254" i="1"/>
  <c r="L621" i="1"/>
  <c r="X254" i="1"/>
  <c r="Y254" i="1"/>
  <c r="AA254" i="1"/>
  <c r="K621" i="1"/>
  <c r="O621" i="1"/>
  <c r="P621" i="1" s="1"/>
  <c r="I622" i="1" s="1"/>
  <c r="L622" i="1" s="1"/>
  <c r="W254" i="1"/>
  <c r="N621" i="1"/>
  <c r="M621" i="1"/>
  <c r="AF253" i="1"/>
  <c r="AC254" i="1" l="1"/>
  <c r="AF254" i="1" s="1"/>
  <c r="V255" i="1"/>
  <c r="Y255" i="1" s="1"/>
  <c r="AB255" i="1"/>
  <c r="AE255" i="1" s="1"/>
  <c r="X255" i="1"/>
  <c r="Z255" i="1"/>
  <c r="AA255" i="1"/>
  <c r="N622" i="1"/>
  <c r="J622" i="1"/>
  <c r="O622" i="1"/>
  <c r="M622" i="1"/>
  <c r="K622" i="1"/>
  <c r="W255" i="1" l="1"/>
  <c r="AC255" i="1"/>
  <c r="P622" i="1"/>
  <c r="I623" i="1" s="1"/>
  <c r="M623" i="1" s="1"/>
  <c r="AF255" i="1" l="1"/>
  <c r="V256" i="1"/>
  <c r="O623" i="1"/>
  <c r="L623" i="1"/>
  <c r="N623" i="1"/>
  <c r="K623" i="1"/>
  <c r="J623" i="1"/>
  <c r="Y256" i="1" l="1"/>
  <c r="X256" i="1"/>
  <c r="AB256" i="1"/>
  <c r="AE256" i="1" s="1"/>
  <c r="W256" i="1"/>
  <c r="AA256" i="1"/>
  <c r="Z256" i="1"/>
  <c r="P623" i="1"/>
  <c r="I624" i="1" s="1"/>
  <c r="K624" i="1" s="1"/>
  <c r="AC256" i="1" l="1"/>
  <c r="AF256" i="1" s="1"/>
  <c r="V257" i="1"/>
  <c r="Y257" i="1" s="1"/>
  <c r="M624" i="1"/>
  <c r="L624" i="1"/>
  <c r="N624" i="1"/>
  <c r="J624" i="1"/>
  <c r="O624" i="1"/>
  <c r="P624" i="1" s="1"/>
  <c r="I625" i="1" s="1"/>
  <c r="K625" i="1" s="1"/>
  <c r="AB257" i="1" l="1"/>
  <c r="AE257" i="1" s="1"/>
  <c r="W257" i="1"/>
  <c r="AA257" i="1"/>
  <c r="Z257" i="1"/>
  <c r="X257" i="1"/>
  <c r="J625" i="1"/>
  <c r="N625" i="1"/>
  <c r="M625" i="1"/>
  <c r="O625" i="1"/>
  <c r="L625" i="1"/>
  <c r="AC257" i="1" l="1"/>
  <c r="P625" i="1"/>
  <c r="I626" i="1" s="1"/>
  <c r="L626" i="1" s="1"/>
  <c r="O626" i="1"/>
  <c r="M626" i="1"/>
  <c r="J626" i="1"/>
  <c r="K626" i="1"/>
  <c r="N626" i="1"/>
  <c r="V258" i="1" l="1"/>
  <c r="AF257" i="1"/>
  <c r="P626" i="1"/>
  <c r="I627" i="1" s="1"/>
  <c r="K627" i="1" s="1"/>
  <c r="O627" i="1" l="1"/>
  <c r="J627" i="1"/>
  <c r="L627" i="1"/>
  <c r="N627" i="1"/>
  <c r="M627" i="1"/>
  <c r="P627" i="1" s="1"/>
  <c r="I628" i="1" s="1"/>
  <c r="M628" i="1" s="1"/>
  <c r="AA258" i="1"/>
  <c r="X258" i="1"/>
  <c r="Z258" i="1"/>
  <c r="AB258" i="1"/>
  <c r="AE258" i="1" s="1"/>
  <c r="W258" i="1"/>
  <c r="Y258" i="1"/>
  <c r="AC258" i="1" l="1"/>
  <c r="N628" i="1"/>
  <c r="O628" i="1"/>
  <c r="K628" i="1"/>
  <c r="J628" i="1"/>
  <c r="L628" i="1"/>
  <c r="V259" i="1" l="1"/>
  <c r="AF258" i="1"/>
  <c r="P628" i="1"/>
  <c r="I629" i="1" s="1"/>
  <c r="J629" i="1" s="1"/>
  <c r="Z259" i="1" l="1"/>
  <c r="AA259" i="1"/>
  <c r="X259" i="1"/>
  <c r="W259" i="1"/>
  <c r="AB259" i="1"/>
  <c r="AE259" i="1" s="1"/>
  <c r="Y259" i="1"/>
  <c r="K629" i="1"/>
  <c r="L629" i="1"/>
  <c r="N629" i="1"/>
  <c r="O629" i="1"/>
  <c r="M629" i="1"/>
  <c r="AC259" i="1" l="1"/>
  <c r="P629" i="1"/>
  <c r="I630" i="1" s="1"/>
  <c r="J630" i="1" s="1"/>
  <c r="O630" i="1"/>
  <c r="N630" i="1"/>
  <c r="L630" i="1"/>
  <c r="M630" i="1"/>
  <c r="K630" i="1"/>
  <c r="AF259" i="1" l="1"/>
  <c r="V260" i="1"/>
  <c r="P630" i="1"/>
  <c r="I631" i="1" s="1"/>
  <c r="K631" i="1" s="1"/>
  <c r="AB260" i="1" l="1"/>
  <c r="AE260" i="1" s="1"/>
  <c r="Y260" i="1"/>
  <c r="W260" i="1"/>
  <c r="Z260" i="1"/>
  <c r="X260" i="1"/>
  <c r="AA260" i="1"/>
  <c r="J631" i="1"/>
  <c r="O631" i="1"/>
  <c r="N631" i="1"/>
  <c r="M631" i="1"/>
  <c r="L631" i="1"/>
  <c r="AC260" i="1" l="1"/>
  <c r="AF260" i="1" s="1"/>
  <c r="P631" i="1"/>
  <c r="I632" i="1" s="1"/>
  <c r="L632" i="1" s="1"/>
  <c r="O632" i="1"/>
  <c r="M632" i="1"/>
  <c r="K632" i="1"/>
  <c r="N632" i="1"/>
  <c r="J632" i="1"/>
  <c r="V261" i="1" l="1"/>
  <c r="Z261" i="1" s="1"/>
  <c r="AB261" i="1"/>
  <c r="AE261" i="1" s="1"/>
  <c r="X261" i="1"/>
  <c r="AA261" i="1"/>
  <c r="W261" i="1"/>
  <c r="Y261" i="1"/>
  <c r="P632" i="1"/>
  <c r="I633" i="1" s="1"/>
  <c r="J633" i="1" s="1"/>
  <c r="L633" i="1" l="1"/>
  <c r="M633" i="1"/>
  <c r="O633" i="1"/>
  <c r="K633" i="1"/>
  <c r="AC261" i="1"/>
  <c r="N633" i="1"/>
  <c r="P633" i="1" l="1"/>
  <c r="I634" i="1" s="1"/>
  <c r="K634" i="1" s="1"/>
  <c r="V262" i="1"/>
  <c r="AF261" i="1"/>
  <c r="N634" i="1"/>
  <c r="M634" i="1"/>
  <c r="O634" i="1"/>
  <c r="J634" i="1"/>
  <c r="L634" i="1"/>
  <c r="X262" i="1" l="1"/>
  <c r="Z262" i="1"/>
  <c r="AB262" i="1"/>
  <c r="AE262" i="1" s="1"/>
  <c r="W262" i="1"/>
  <c r="AA262" i="1"/>
  <c r="Y262" i="1"/>
  <c r="P634" i="1"/>
  <c r="I635" i="1" s="1"/>
  <c r="M635" i="1" s="1"/>
  <c r="L635" i="1" l="1"/>
  <c r="J635" i="1"/>
  <c r="O635" i="1"/>
  <c r="K635" i="1"/>
  <c r="AC262" i="1"/>
  <c r="N635" i="1"/>
  <c r="P635" i="1" s="1"/>
  <c r="I636" i="1" s="1"/>
  <c r="AF262" i="1" l="1"/>
  <c r="V263" i="1"/>
  <c r="J636" i="1"/>
  <c r="L636" i="1"/>
  <c r="M636" i="1"/>
  <c r="O636" i="1"/>
  <c r="N636" i="1"/>
  <c r="K636" i="1"/>
  <c r="AB263" i="1" l="1"/>
  <c r="AE263" i="1" s="1"/>
  <c r="X263" i="1"/>
  <c r="W263" i="1"/>
  <c r="AA263" i="1"/>
  <c r="Z263" i="1"/>
  <c r="Y263" i="1"/>
  <c r="P636" i="1"/>
  <c r="I637" i="1" s="1"/>
  <c r="K637" i="1" s="1"/>
  <c r="M637" i="1" l="1"/>
  <c r="J637" i="1"/>
  <c r="L637" i="1"/>
  <c r="O637" i="1"/>
  <c r="N637" i="1"/>
  <c r="AC263" i="1"/>
  <c r="P637" i="1" l="1"/>
  <c r="I638" i="1" s="1"/>
  <c r="L638" i="1" s="1"/>
  <c r="V264" i="1"/>
  <c r="AF263" i="1"/>
  <c r="J638" i="1"/>
  <c r="O638" i="1"/>
  <c r="K638" i="1"/>
  <c r="N638" i="1" l="1"/>
  <c r="M638" i="1"/>
  <c r="P638" i="1" s="1"/>
  <c r="I639" i="1" s="1"/>
  <c r="K639" i="1" s="1"/>
  <c r="Y264" i="1"/>
  <c r="AA264" i="1"/>
  <c r="Z264" i="1"/>
  <c r="X264" i="1"/>
  <c r="AB264" i="1"/>
  <c r="AE264" i="1" s="1"/>
  <c r="W264" i="1"/>
  <c r="O639" i="1" l="1"/>
  <c r="AC264" i="1"/>
  <c r="M639" i="1"/>
  <c r="N639" i="1"/>
  <c r="J639" i="1"/>
  <c r="L639" i="1"/>
  <c r="P639" i="1" l="1"/>
  <c r="I640" i="1" s="1"/>
  <c r="AF264" i="1"/>
  <c r="V265" i="1"/>
  <c r="J640" i="1"/>
  <c r="O640" i="1"/>
  <c r="M640" i="1"/>
  <c r="L640" i="1"/>
  <c r="N640" i="1"/>
  <c r="K640" i="1"/>
  <c r="X265" i="1" l="1"/>
  <c r="AB265" i="1"/>
  <c r="AE265" i="1" s="1"/>
  <c r="Z265" i="1"/>
  <c r="AA265" i="1"/>
  <c r="Y265" i="1"/>
  <c r="W265" i="1"/>
  <c r="P640" i="1"/>
  <c r="I641" i="1" s="1"/>
  <c r="M641" i="1" s="1"/>
  <c r="L641" i="1" l="1"/>
  <c r="J641" i="1"/>
  <c r="O641" i="1"/>
  <c r="K641" i="1"/>
  <c r="N641" i="1"/>
  <c r="AC265" i="1"/>
  <c r="V266" i="1" s="1"/>
  <c r="P641" i="1" l="1"/>
  <c r="I642" i="1" s="1"/>
  <c r="O642" i="1" s="1"/>
  <c r="AF265" i="1"/>
  <c r="AB266" i="1"/>
  <c r="AE266" i="1" s="1"/>
  <c r="Z266" i="1"/>
  <c r="X266" i="1"/>
  <c r="W266" i="1"/>
  <c r="Y266" i="1"/>
  <c r="AA266" i="1"/>
  <c r="L642" i="1"/>
  <c r="M642" i="1"/>
  <c r="N642" i="1" l="1"/>
  <c r="K642" i="1"/>
  <c r="J642" i="1"/>
  <c r="P642" i="1" s="1"/>
  <c r="I643" i="1" s="1"/>
  <c r="M643" i="1" s="1"/>
  <c r="AC266" i="1"/>
  <c r="O643" i="1" l="1"/>
  <c r="AF266" i="1"/>
  <c r="V267" i="1"/>
  <c r="N643" i="1"/>
  <c r="L643" i="1"/>
  <c r="K643" i="1"/>
  <c r="J643" i="1"/>
  <c r="P643" i="1" l="1"/>
  <c r="I644" i="1" s="1"/>
  <c r="L644" i="1" s="1"/>
  <c r="X267" i="1"/>
  <c r="Y267" i="1"/>
  <c r="AA267" i="1"/>
  <c r="Z267" i="1"/>
  <c r="AB267" i="1"/>
  <c r="AE267" i="1" s="1"/>
  <c r="W267" i="1"/>
  <c r="M644" i="1"/>
  <c r="O644" i="1"/>
  <c r="J644" i="1"/>
  <c r="K644" i="1" l="1"/>
  <c r="N644" i="1"/>
  <c r="AC267" i="1"/>
  <c r="P644" i="1"/>
  <c r="I645" i="1" s="1"/>
  <c r="M645" i="1" s="1"/>
  <c r="V268" i="1" l="1"/>
  <c r="AF267" i="1"/>
  <c r="O645" i="1"/>
  <c r="K645" i="1"/>
  <c r="N645" i="1"/>
  <c r="L645" i="1"/>
  <c r="J645" i="1"/>
  <c r="Y268" i="1" l="1"/>
  <c r="X268" i="1"/>
  <c r="AB268" i="1"/>
  <c r="AE268" i="1" s="1"/>
  <c r="W268" i="1"/>
  <c r="Z268" i="1"/>
  <c r="AA268" i="1"/>
  <c r="P645" i="1"/>
  <c r="I646" i="1" s="1"/>
  <c r="M646" i="1" s="1"/>
  <c r="O646" i="1" l="1"/>
  <c r="AC268" i="1"/>
  <c r="L646" i="1"/>
  <c r="AF268" i="1"/>
  <c r="V269" i="1"/>
  <c r="Y269" i="1" s="1"/>
  <c r="N646" i="1"/>
  <c r="J646" i="1"/>
  <c r="K646" i="1"/>
  <c r="P646" i="1" s="1"/>
  <c r="I647" i="1" s="1"/>
  <c r="N647" i="1" s="1"/>
  <c r="AA269" i="1" l="1"/>
  <c r="AB269" i="1"/>
  <c r="W269" i="1"/>
  <c r="X269" i="1"/>
  <c r="Z269" i="1"/>
  <c r="L647" i="1"/>
  <c r="O647" i="1"/>
  <c r="K647" i="1"/>
  <c r="M647" i="1"/>
  <c r="J647" i="1"/>
  <c r="AC269" i="1" l="1"/>
  <c r="AE269" i="1"/>
  <c r="P647" i="1"/>
  <c r="I648" i="1" s="1"/>
  <c r="L648" i="1" s="1"/>
  <c r="V270" i="1" l="1"/>
  <c r="AF269" i="1"/>
  <c r="O648" i="1"/>
  <c r="M648" i="1"/>
  <c r="K648" i="1"/>
  <c r="J648" i="1"/>
  <c r="N648" i="1"/>
  <c r="P648" i="1" l="1"/>
  <c r="I649" i="1" s="1"/>
  <c r="N649" i="1" s="1"/>
  <c r="Z270" i="1"/>
  <c r="Y270" i="1"/>
  <c r="W270" i="1"/>
  <c r="X270" i="1"/>
  <c r="AB270" i="1"/>
  <c r="AA270" i="1"/>
  <c r="M649" i="1"/>
  <c r="J649" i="1"/>
  <c r="O649" i="1"/>
  <c r="K649" i="1"/>
  <c r="L649" i="1"/>
  <c r="AC270" i="1" l="1"/>
  <c r="AF270" i="1" s="1"/>
  <c r="AE270" i="1"/>
  <c r="P649" i="1"/>
  <c r="I650" i="1" s="1"/>
  <c r="L650" i="1" s="1"/>
  <c r="V271" i="1" l="1"/>
  <c r="Y271" i="1" s="1"/>
  <c r="AB271" i="1"/>
  <c r="N650" i="1"/>
  <c r="M650" i="1"/>
  <c r="K650" i="1"/>
  <c r="J650" i="1"/>
  <c r="O650" i="1"/>
  <c r="X271" i="1" l="1"/>
  <c r="Z271" i="1"/>
  <c r="W271" i="1"/>
  <c r="AA271" i="1"/>
  <c r="P650" i="1"/>
  <c r="I651" i="1" s="1"/>
  <c r="L651" i="1" s="1"/>
  <c r="AE271" i="1"/>
  <c r="AC271" i="1"/>
  <c r="O651" i="1"/>
  <c r="N651" i="1" l="1"/>
  <c r="J651" i="1"/>
  <c r="K651" i="1"/>
  <c r="M651" i="1"/>
  <c r="P651" i="1" s="1"/>
  <c r="I652" i="1" s="1"/>
  <c r="V272" i="1"/>
  <c r="AF271" i="1"/>
  <c r="K652" i="1" l="1"/>
  <c r="O652" i="1"/>
  <c r="N652" i="1"/>
  <c r="M652" i="1"/>
  <c r="J652" i="1"/>
  <c r="L652" i="1"/>
  <c r="X272" i="1"/>
  <c r="W272" i="1"/>
  <c r="AB272" i="1"/>
  <c r="Z272" i="1"/>
  <c r="AA272" i="1"/>
  <c r="Y272" i="1"/>
  <c r="P652" i="1" l="1"/>
  <c r="I653" i="1" s="1"/>
  <c r="N653" i="1" s="1"/>
  <c r="AC272" i="1"/>
  <c r="V273" i="1" s="1"/>
  <c r="AE272" i="1"/>
  <c r="M653" i="1"/>
  <c r="L653" i="1"/>
  <c r="K653" i="1"/>
  <c r="O653" i="1"/>
  <c r="J653" i="1"/>
  <c r="AF272" i="1" l="1"/>
  <c r="AA273" i="1"/>
  <c r="Y273" i="1"/>
  <c r="X273" i="1"/>
  <c r="Z273" i="1"/>
  <c r="W273" i="1"/>
  <c r="AB273" i="1"/>
  <c r="P653" i="1"/>
  <c r="I654" i="1" s="1"/>
  <c r="N654" i="1" s="1"/>
  <c r="AC273" i="1" l="1"/>
  <c r="AF273" i="1"/>
  <c r="V274" i="1"/>
  <c r="AE273" i="1"/>
  <c r="AA274" i="1"/>
  <c r="Y274" i="1"/>
  <c r="O654" i="1"/>
  <c r="M654" i="1"/>
  <c r="L654" i="1"/>
  <c r="J654" i="1"/>
  <c r="K654" i="1"/>
  <c r="P654" i="1" l="1"/>
  <c r="I655" i="1" s="1"/>
  <c r="N655" i="1" s="1"/>
  <c r="AB274" i="1"/>
  <c r="AE274" i="1" s="1"/>
  <c r="W274" i="1"/>
  <c r="X274" i="1"/>
  <c r="Z274" i="1"/>
  <c r="L655" i="1"/>
  <c r="O655" i="1"/>
  <c r="K655" i="1"/>
  <c r="M655" i="1"/>
  <c r="J655" i="1"/>
  <c r="AC274" i="1" l="1"/>
  <c r="AF274" i="1" s="1"/>
  <c r="P655" i="1"/>
  <c r="I656" i="1" s="1"/>
  <c r="K656" i="1" s="1"/>
  <c r="O656" i="1" l="1"/>
  <c r="V275" i="1"/>
  <c r="W275" i="1" s="1"/>
  <c r="AB275" i="1"/>
  <c r="Y275" i="1"/>
  <c r="X275" i="1"/>
  <c r="AA275" i="1"/>
  <c r="L656" i="1"/>
  <c r="N656" i="1"/>
  <c r="M656" i="1"/>
  <c r="J656" i="1"/>
  <c r="Z275" i="1" l="1"/>
  <c r="AE275" i="1"/>
  <c r="AC275" i="1"/>
  <c r="P656" i="1"/>
  <c r="I657" i="1" s="1"/>
  <c r="L657" i="1" s="1"/>
  <c r="O657" i="1"/>
  <c r="J657" i="1" l="1"/>
  <c r="K657" i="1"/>
  <c r="M657" i="1"/>
  <c r="N657" i="1"/>
  <c r="AF275" i="1"/>
  <c r="V276" i="1"/>
  <c r="P657" i="1"/>
  <c r="I658" i="1" s="1"/>
  <c r="X276" i="1" l="1"/>
  <c r="W276" i="1"/>
  <c r="AB276" i="1"/>
  <c r="AE276" i="1" s="1"/>
  <c r="Z276" i="1"/>
  <c r="Y276" i="1"/>
  <c r="AA276" i="1"/>
  <c r="N658" i="1"/>
  <c r="O658" i="1"/>
  <c r="L658" i="1"/>
  <c r="J658" i="1"/>
  <c r="K658" i="1"/>
  <c r="M658" i="1"/>
  <c r="AC276" i="1" l="1"/>
  <c r="V277" i="1" s="1"/>
  <c r="P658" i="1"/>
  <c r="I659" i="1" s="1"/>
  <c r="AF276" i="1" l="1"/>
  <c r="X277" i="1"/>
  <c r="Y277" i="1"/>
  <c r="AB277" i="1"/>
  <c r="AE277" i="1" s="1"/>
  <c r="Z277" i="1"/>
  <c r="AA277" i="1"/>
  <c r="W277" i="1"/>
  <c r="K659" i="1"/>
  <c r="O659" i="1"/>
  <c r="M659" i="1"/>
  <c r="L659" i="1"/>
  <c r="N659" i="1"/>
  <c r="J659" i="1"/>
  <c r="AC277" i="1" l="1"/>
  <c r="P659" i="1"/>
  <c r="I660" i="1" s="1"/>
  <c r="L660" i="1" s="1"/>
  <c r="V278" i="1" l="1"/>
  <c r="AF277" i="1"/>
  <c r="K660" i="1"/>
  <c r="J660" i="1"/>
  <c r="N660" i="1"/>
  <c r="M660" i="1"/>
  <c r="O660" i="1"/>
  <c r="Z278" i="1" l="1"/>
  <c r="W278" i="1"/>
  <c r="AA278" i="1"/>
  <c r="X278" i="1"/>
  <c r="Y278" i="1"/>
  <c r="AB278" i="1"/>
  <c r="P660" i="1"/>
  <c r="I661" i="1" s="1"/>
  <c r="J661" i="1" s="1"/>
  <c r="AC278" i="1" l="1"/>
  <c r="AF278" i="1"/>
  <c r="V279" i="1"/>
  <c r="Y279" i="1" s="1"/>
  <c r="AE278" i="1"/>
  <c r="N661" i="1"/>
  <c r="L661" i="1"/>
  <c r="M661" i="1"/>
  <c r="O661" i="1"/>
  <c r="K661" i="1"/>
  <c r="AA279" i="1" l="1"/>
  <c r="X279" i="1"/>
  <c r="Z279" i="1"/>
  <c r="AB279" i="1"/>
  <c r="W279" i="1"/>
  <c r="P661" i="1"/>
  <c r="I662" i="1" s="1"/>
  <c r="J662" i="1" s="1"/>
  <c r="O662" i="1"/>
  <c r="M662" i="1"/>
  <c r="N662" i="1" l="1"/>
  <c r="L662" i="1"/>
  <c r="K662" i="1"/>
  <c r="AE279" i="1"/>
  <c r="AC279" i="1"/>
  <c r="P662" i="1" l="1"/>
  <c r="I663" i="1" s="1"/>
  <c r="L663" i="1" s="1"/>
  <c r="N663" i="1"/>
  <c r="J663" i="1"/>
  <c r="M663" i="1"/>
  <c r="K663" i="1"/>
  <c r="O663" i="1"/>
  <c r="AF279" i="1"/>
  <c r="V280" i="1"/>
  <c r="P663" i="1" l="1"/>
  <c r="I664" i="1" s="1"/>
  <c r="M664" i="1" s="1"/>
  <c r="AA280" i="1"/>
  <c r="AB280" i="1"/>
  <c r="AE280" i="1" s="1"/>
  <c r="X280" i="1"/>
  <c r="W280" i="1"/>
  <c r="Z280" i="1"/>
  <c r="Y280" i="1"/>
  <c r="O664" i="1"/>
  <c r="N664" i="1"/>
  <c r="L664" i="1"/>
  <c r="K664" i="1"/>
  <c r="J664" i="1"/>
  <c r="AC280" i="1" l="1"/>
  <c r="V281" i="1" s="1"/>
  <c r="P664" i="1"/>
  <c r="I665" i="1" s="1"/>
  <c r="J665" i="1" s="1"/>
  <c r="M665" i="1"/>
  <c r="L665" i="1"/>
  <c r="N665" i="1"/>
  <c r="O665" i="1"/>
  <c r="K665" i="1"/>
  <c r="AF280" i="1" l="1"/>
  <c r="Z281" i="1"/>
  <c r="AB281" i="1"/>
  <c r="AE281" i="1" s="1"/>
  <c r="X281" i="1"/>
  <c r="W281" i="1"/>
  <c r="Y281" i="1"/>
  <c r="AA281" i="1"/>
  <c r="P665" i="1"/>
  <c r="I666" i="1" s="1"/>
  <c r="N666" i="1" s="1"/>
  <c r="AC281" i="1" l="1"/>
  <c r="V282" i="1"/>
  <c r="Y282" i="1" s="1"/>
  <c r="AF281" i="1"/>
  <c r="L666" i="1"/>
  <c r="J666" i="1"/>
  <c r="O666" i="1"/>
  <c r="K666" i="1"/>
  <c r="M666" i="1"/>
  <c r="AA282" i="1" l="1"/>
  <c r="W282" i="1"/>
  <c r="AB282" i="1"/>
  <c r="Z282" i="1"/>
  <c r="X282" i="1"/>
  <c r="P666" i="1"/>
  <c r="I667" i="1" s="1"/>
  <c r="K667" i="1" s="1"/>
  <c r="AC282" i="1" l="1"/>
  <c r="AF282" i="1" s="1"/>
  <c r="AE282" i="1"/>
  <c r="M667" i="1"/>
  <c r="O667" i="1"/>
  <c r="L667" i="1"/>
  <c r="N667" i="1"/>
  <c r="J667" i="1"/>
  <c r="V283" i="1" l="1"/>
  <c r="W283" i="1" s="1"/>
  <c r="AB283" i="1"/>
  <c r="AE283" i="1" s="1"/>
  <c r="Z283" i="1"/>
  <c r="P667" i="1"/>
  <c r="I668" i="1" s="1"/>
  <c r="J668" i="1" s="1"/>
  <c r="X283" i="1" l="1"/>
  <c r="AA283" i="1"/>
  <c r="Y283" i="1"/>
  <c r="AC283" i="1" s="1"/>
  <c r="V284" i="1" s="1"/>
  <c r="O668" i="1"/>
  <c r="K668" i="1"/>
  <c r="N668" i="1"/>
  <c r="M668" i="1"/>
  <c r="L668" i="1"/>
  <c r="AF283" i="1" l="1"/>
  <c r="AB284" i="1"/>
  <c r="AE284" i="1" s="1"/>
  <c r="X284" i="1"/>
  <c r="W284" i="1"/>
  <c r="AA284" i="1"/>
  <c r="Y284" i="1"/>
  <c r="Z284" i="1"/>
  <c r="P668" i="1"/>
  <c r="I669" i="1" s="1"/>
  <c r="N669" i="1" s="1"/>
  <c r="AC284" i="1" l="1"/>
  <c r="M669" i="1"/>
  <c r="L669" i="1"/>
  <c r="O669" i="1"/>
  <c r="J669" i="1"/>
  <c r="K669" i="1"/>
  <c r="AF284" i="1" l="1"/>
  <c r="V285" i="1"/>
  <c r="P669" i="1"/>
  <c r="I670" i="1" s="1"/>
  <c r="K670" i="1" s="1"/>
  <c r="J670" i="1" l="1"/>
  <c r="N670" i="1"/>
  <c r="M670" i="1"/>
  <c r="L670" i="1"/>
  <c r="O670" i="1"/>
  <c r="P670" i="1" s="1"/>
  <c r="I671" i="1" s="1"/>
  <c r="M671" i="1" s="1"/>
  <c r="W285" i="1"/>
  <c r="X285" i="1"/>
  <c r="Z285" i="1"/>
  <c r="Y285" i="1"/>
  <c r="AA285" i="1"/>
  <c r="AB285" i="1"/>
  <c r="AE285" i="1" s="1"/>
  <c r="AC285" i="1" l="1"/>
  <c r="O671" i="1"/>
  <c r="L671" i="1"/>
  <c r="N671" i="1"/>
  <c r="J671" i="1"/>
  <c r="K671" i="1"/>
  <c r="V286" i="1" l="1"/>
  <c r="AF285" i="1"/>
  <c r="P671" i="1"/>
  <c r="I672" i="1" s="1"/>
  <c r="K672" i="1" s="1"/>
  <c r="M672" i="1" l="1"/>
  <c r="N672" i="1"/>
  <c r="J672" i="1"/>
  <c r="AB286" i="1"/>
  <c r="AE286" i="1" s="1"/>
  <c r="Z286" i="1"/>
  <c r="X286" i="1"/>
  <c r="W286" i="1"/>
  <c r="Y286" i="1"/>
  <c r="AA286" i="1"/>
  <c r="O672" i="1"/>
  <c r="L672" i="1"/>
  <c r="P672" i="1" l="1"/>
  <c r="I673" i="1" s="1"/>
  <c r="N673" i="1" s="1"/>
  <c r="AC286" i="1"/>
  <c r="AF286" i="1" s="1"/>
  <c r="O673" i="1"/>
  <c r="L673" i="1"/>
  <c r="M673" i="1"/>
  <c r="J673" i="1"/>
  <c r="K673" i="1" l="1"/>
  <c r="V287" i="1"/>
  <c r="AB287" i="1" s="1"/>
  <c r="AE287" i="1" s="1"/>
  <c r="Y287" i="1"/>
  <c r="Z287" i="1"/>
  <c r="AA287" i="1"/>
  <c r="P673" i="1"/>
  <c r="I674" i="1" s="1"/>
  <c r="N674" i="1" s="1"/>
  <c r="W287" i="1" l="1"/>
  <c r="X287" i="1"/>
  <c r="L674" i="1"/>
  <c r="M674" i="1"/>
  <c r="J674" i="1"/>
  <c r="K674" i="1"/>
  <c r="O674" i="1"/>
  <c r="P674" i="1" s="1"/>
  <c r="I675" i="1" s="1"/>
  <c r="O675" i="1" s="1"/>
  <c r="AC287" i="1"/>
  <c r="AF287" i="1" s="1"/>
  <c r="V288" i="1" l="1"/>
  <c r="W288" i="1" s="1"/>
  <c r="N675" i="1"/>
  <c r="M675" i="1"/>
  <c r="J675" i="1"/>
  <c r="L675" i="1"/>
  <c r="K675" i="1"/>
  <c r="X288" i="1" l="1"/>
  <c r="AA288" i="1"/>
  <c r="Z288" i="1"/>
  <c r="AB288" i="1"/>
  <c r="AE288" i="1" s="1"/>
  <c r="Y288" i="1"/>
  <c r="P675" i="1"/>
  <c r="I676" i="1" s="1"/>
  <c r="K676" i="1" s="1"/>
  <c r="AC288" i="1" l="1"/>
  <c r="V289" i="1" s="1"/>
  <c r="Y289" i="1" s="1"/>
  <c r="N676" i="1"/>
  <c r="L676" i="1"/>
  <c r="O676" i="1"/>
  <c r="J676" i="1"/>
  <c r="M676" i="1"/>
  <c r="AF288" i="1" l="1"/>
  <c r="AA289" i="1"/>
  <c r="P676" i="1"/>
  <c r="I677" i="1" s="1"/>
  <c r="O677" i="1" s="1"/>
  <c r="X289" i="1"/>
  <c r="Z289" i="1"/>
  <c r="W289" i="1"/>
  <c r="AB289" i="1"/>
  <c r="AE289" i="1" s="1"/>
  <c r="J677" i="1"/>
  <c r="L677" i="1" l="1"/>
  <c r="K677" i="1"/>
  <c r="N677" i="1"/>
  <c r="M677" i="1"/>
  <c r="P677" i="1" s="1"/>
  <c r="I678" i="1" s="1"/>
  <c r="J678" i="1" s="1"/>
  <c r="AC289" i="1"/>
  <c r="V290" i="1" l="1"/>
  <c r="AF289" i="1"/>
  <c r="M678" i="1"/>
  <c r="N678" i="1"/>
  <c r="L678" i="1"/>
  <c r="O678" i="1"/>
  <c r="K678" i="1"/>
  <c r="W290" i="1" l="1"/>
  <c r="X290" i="1"/>
  <c r="AB290" i="1"/>
  <c r="Z290" i="1"/>
  <c r="AA290" i="1"/>
  <c r="Y290" i="1"/>
  <c r="P678" i="1"/>
  <c r="I679" i="1" s="1"/>
  <c r="M679" i="1" s="1"/>
  <c r="AC290" i="1" l="1"/>
  <c r="L679" i="1"/>
  <c r="J679" i="1"/>
  <c r="O679" i="1"/>
  <c r="K679" i="1"/>
  <c r="N679" i="1"/>
  <c r="AF290" i="1"/>
  <c r="V291" i="1"/>
  <c r="Y291" i="1" s="1"/>
  <c r="AE290" i="1"/>
  <c r="P679" i="1" l="1"/>
  <c r="I680" i="1" s="1"/>
  <c r="J680" i="1" s="1"/>
  <c r="AA291" i="1"/>
  <c r="Z291" i="1"/>
  <c r="AB291" i="1"/>
  <c r="AE291" i="1" s="1"/>
  <c r="W291" i="1"/>
  <c r="X291" i="1"/>
  <c r="O680" i="1"/>
  <c r="M680" i="1"/>
  <c r="N680" i="1" l="1"/>
  <c r="K680" i="1"/>
  <c r="L680" i="1"/>
  <c r="AC291" i="1"/>
  <c r="V292" i="1" s="1"/>
  <c r="Y292" i="1" s="1"/>
  <c r="P680" i="1"/>
  <c r="I681" i="1" s="1"/>
  <c r="J681" i="1" s="1"/>
  <c r="AF291" i="1" l="1"/>
  <c r="X292" i="1"/>
  <c r="AB292" i="1"/>
  <c r="Z292" i="1"/>
  <c r="W292" i="1"/>
  <c r="AA292" i="1"/>
  <c r="L681" i="1"/>
  <c r="M681" i="1"/>
  <c r="K681" i="1"/>
  <c r="O681" i="1"/>
  <c r="N681" i="1"/>
  <c r="AC292" i="1" l="1"/>
  <c r="AE292" i="1"/>
  <c r="P681" i="1"/>
  <c r="I682" i="1" s="1"/>
  <c r="O682" i="1" s="1"/>
  <c r="AF292" i="1" l="1"/>
  <c r="V293" i="1"/>
  <c r="M682" i="1"/>
  <c r="N682" i="1"/>
  <c r="L682" i="1"/>
  <c r="K682" i="1"/>
  <c r="J682" i="1"/>
  <c r="X293" i="1" l="1"/>
  <c r="Z293" i="1"/>
  <c r="Y293" i="1"/>
  <c r="W293" i="1"/>
  <c r="AB293" i="1"/>
  <c r="AA293" i="1"/>
  <c r="P682" i="1"/>
  <c r="I683" i="1" s="1"/>
  <c r="M683" i="1" s="1"/>
  <c r="AE293" i="1" l="1"/>
  <c r="AC293" i="1"/>
  <c r="O683" i="1"/>
  <c r="K683" i="1"/>
  <c r="J683" i="1"/>
  <c r="N683" i="1"/>
  <c r="L683" i="1"/>
  <c r="V294" i="1" l="1"/>
  <c r="AF293" i="1"/>
  <c r="P683" i="1"/>
  <c r="I684" i="1" s="1"/>
  <c r="N684" i="1" s="1"/>
  <c r="X294" i="1" l="1"/>
  <c r="Z294" i="1"/>
  <c r="W294" i="1"/>
  <c r="AB294" i="1"/>
  <c r="AA294" i="1"/>
  <c r="Y294" i="1"/>
  <c r="M684" i="1"/>
  <c r="J684" i="1"/>
  <c r="L684" i="1"/>
  <c r="O684" i="1"/>
  <c r="K684" i="1"/>
  <c r="AC294" i="1" l="1"/>
  <c r="AF294" i="1" s="1"/>
  <c r="AE294" i="1"/>
  <c r="P684" i="1"/>
  <c r="I685" i="1" s="1"/>
  <c r="K685" i="1" s="1"/>
  <c r="V295" i="1" l="1"/>
  <c r="O685" i="1"/>
  <c r="X295" i="1"/>
  <c r="AB295" i="1"/>
  <c r="AE295" i="1" s="1"/>
  <c r="W295" i="1"/>
  <c r="Z295" i="1"/>
  <c r="M685" i="1"/>
  <c r="N685" i="1"/>
  <c r="L685" i="1"/>
  <c r="J685" i="1"/>
  <c r="AA295" i="1" l="1"/>
  <c r="Y295" i="1"/>
  <c r="P685" i="1"/>
  <c r="I686" i="1" s="1"/>
  <c r="J686" i="1" s="1"/>
  <c r="O686" i="1"/>
  <c r="AC295" i="1" l="1"/>
  <c r="M686" i="1"/>
  <c r="AF295" i="1"/>
  <c r="V296" i="1"/>
  <c r="AA296" i="1" s="1"/>
  <c r="N686" i="1"/>
  <c r="K686" i="1"/>
  <c r="AB296" i="1"/>
  <c r="AE296" i="1" s="1"/>
  <c r="L686" i="1"/>
  <c r="X296" i="1" l="1"/>
  <c r="W296" i="1"/>
  <c r="P686" i="1"/>
  <c r="I687" i="1" s="1"/>
  <c r="L687" i="1" s="1"/>
  <c r="Y296" i="1"/>
  <c r="Z296" i="1"/>
  <c r="AC296" i="1" s="1"/>
  <c r="M687" i="1"/>
  <c r="J687" i="1"/>
  <c r="N687" i="1" l="1"/>
  <c r="O687" i="1"/>
  <c r="K687" i="1"/>
  <c r="AF296" i="1"/>
  <c r="V297" i="1"/>
  <c r="P687" i="1" l="1"/>
  <c r="I688" i="1" s="1"/>
  <c r="N688" i="1" s="1"/>
  <c r="O688" i="1"/>
  <c r="J688" i="1"/>
  <c r="K688" i="1"/>
  <c r="M688" i="1"/>
  <c r="L688" i="1"/>
  <c r="X297" i="1"/>
  <c r="W297" i="1"/>
  <c r="Y297" i="1"/>
  <c r="Z297" i="1"/>
  <c r="AB297" i="1"/>
  <c r="AE297" i="1" s="1"/>
  <c r="AA297" i="1"/>
  <c r="P688" i="1" l="1"/>
  <c r="I689" i="1" s="1"/>
  <c r="J689" i="1" s="1"/>
  <c r="M689" i="1"/>
  <c r="N689" i="1"/>
  <c r="K689" i="1"/>
  <c r="O689" i="1"/>
  <c r="AC297" i="1"/>
  <c r="L689" i="1" l="1"/>
  <c r="P689" i="1"/>
  <c r="I690" i="1" s="1"/>
  <c r="L690" i="1" s="1"/>
  <c r="O690" i="1"/>
  <c r="V298" i="1"/>
  <c r="AF297" i="1"/>
  <c r="N690" i="1"/>
  <c r="J690" i="1"/>
  <c r="M690" i="1"/>
  <c r="K690" i="1" l="1"/>
  <c r="W298" i="1"/>
  <c r="X298" i="1"/>
  <c r="AB298" i="1"/>
  <c r="AE298" i="1" s="1"/>
  <c r="Z298" i="1"/>
  <c r="Y298" i="1"/>
  <c r="AA298" i="1"/>
  <c r="P690" i="1"/>
  <c r="I691" i="1" s="1"/>
  <c r="O691" i="1" s="1"/>
  <c r="AC298" i="1" l="1"/>
  <c r="K691" i="1"/>
  <c r="L691" i="1"/>
  <c r="N691" i="1"/>
  <c r="AF298" i="1"/>
  <c r="V299" i="1"/>
  <c r="Y299" i="1" s="1"/>
  <c r="J691" i="1"/>
  <c r="M691" i="1"/>
  <c r="P691" i="1" l="1"/>
  <c r="I692" i="1" s="1"/>
  <c r="M692" i="1" s="1"/>
  <c r="O692" i="1"/>
  <c r="AB299" i="1"/>
  <c r="AE299" i="1" s="1"/>
  <c r="W299" i="1"/>
  <c r="Z299" i="1"/>
  <c r="X299" i="1"/>
  <c r="AA299" i="1"/>
  <c r="N692" i="1"/>
  <c r="L692" i="1"/>
  <c r="K692" i="1"/>
  <c r="J692" i="1"/>
  <c r="P692" i="1" l="1"/>
  <c r="I693" i="1" s="1"/>
  <c r="K693" i="1" s="1"/>
  <c r="AC299" i="1"/>
  <c r="AF299" i="1" s="1"/>
  <c r="M693" i="1" l="1"/>
  <c r="L693" i="1"/>
  <c r="N693" i="1"/>
  <c r="J693" i="1"/>
  <c r="O693" i="1"/>
  <c r="P693" i="1" s="1"/>
  <c r="I694" i="1" s="1"/>
  <c r="O694" i="1" s="1"/>
  <c r="V300" i="1"/>
  <c r="AA300" i="1" s="1"/>
  <c r="X300" i="1" l="1"/>
  <c r="W300" i="1"/>
  <c r="Y300" i="1"/>
  <c r="AB300" i="1"/>
  <c r="AE300" i="1" s="1"/>
  <c r="Z300" i="1"/>
  <c r="J694" i="1"/>
  <c r="M694" i="1"/>
  <c r="K694" i="1"/>
  <c r="N694" i="1"/>
  <c r="L694" i="1"/>
  <c r="AC300" i="1" l="1"/>
  <c r="AF300" i="1" s="1"/>
  <c r="P694" i="1"/>
  <c r="I695" i="1" s="1"/>
  <c r="V301" i="1"/>
  <c r="AA301" i="1" s="1"/>
  <c r="K695" i="1"/>
  <c r="O695" i="1"/>
  <c r="J695" i="1"/>
  <c r="L695" i="1"/>
  <c r="M695" i="1"/>
  <c r="N695" i="1"/>
  <c r="AB301" i="1" l="1"/>
  <c r="W301" i="1"/>
  <c r="Z301" i="1"/>
  <c r="X301" i="1"/>
  <c r="Y301" i="1"/>
  <c r="AC301" i="1" s="1"/>
  <c r="P695" i="1"/>
  <c r="I696" i="1" s="1"/>
  <c r="K696" i="1" s="1"/>
  <c r="AE301" i="1"/>
  <c r="AF301" i="1" l="1"/>
  <c r="V302" i="1"/>
  <c r="Y302" i="1" s="1"/>
  <c r="O696" i="1"/>
  <c r="L696" i="1"/>
  <c r="N696" i="1"/>
  <c r="M696" i="1"/>
  <c r="J696" i="1"/>
  <c r="P696" i="1" s="1"/>
  <c r="I697" i="1" s="1"/>
  <c r="N697" i="1" s="1"/>
  <c r="AA302" i="1"/>
  <c r="X302" i="1"/>
  <c r="Z302" i="1"/>
  <c r="AB302" i="1"/>
  <c r="AE302" i="1" s="1"/>
  <c r="W302" i="1" l="1"/>
  <c r="M697" i="1"/>
  <c r="K697" i="1"/>
  <c r="O697" i="1"/>
  <c r="L697" i="1"/>
  <c r="J697" i="1"/>
  <c r="AC302" i="1"/>
  <c r="P697" i="1"/>
  <c r="I698" i="1" s="1"/>
  <c r="N698" i="1" s="1"/>
  <c r="AF302" i="1" l="1"/>
  <c r="V303" i="1"/>
  <c r="L698" i="1"/>
  <c r="M698" i="1"/>
  <c r="O698" i="1"/>
  <c r="K698" i="1"/>
  <c r="J698" i="1"/>
  <c r="X303" i="1" l="1"/>
  <c r="AB303" i="1"/>
  <c r="W303" i="1"/>
  <c r="Z303" i="1"/>
  <c r="Y303" i="1"/>
  <c r="AA303" i="1"/>
  <c r="P698" i="1"/>
  <c r="I699" i="1" s="1"/>
  <c r="L699" i="1" s="1"/>
  <c r="AC303" i="1" l="1"/>
  <c r="AF303" i="1" s="1"/>
  <c r="AE303" i="1"/>
  <c r="M699" i="1"/>
  <c r="N699" i="1"/>
  <c r="K699" i="1"/>
  <c r="O699" i="1"/>
  <c r="J699" i="1"/>
  <c r="V304" i="1" l="1"/>
  <c r="AA304" i="1" s="1"/>
  <c r="AB304" i="1"/>
  <c r="X304" i="1"/>
  <c r="Z304" i="1"/>
  <c r="P699" i="1"/>
  <c r="I700" i="1" s="1"/>
  <c r="K700" i="1" s="1"/>
  <c r="W304" i="1" l="1"/>
  <c r="Y304" i="1"/>
  <c r="AC304" i="1"/>
  <c r="V305" i="1" s="1"/>
  <c r="Y305" i="1" s="1"/>
  <c r="AE304" i="1"/>
  <c r="M700" i="1"/>
  <c r="L700" i="1"/>
  <c r="N700" i="1"/>
  <c r="J700" i="1"/>
  <c r="O700" i="1"/>
  <c r="AF304" i="1" l="1"/>
  <c r="X305" i="1"/>
  <c r="AB305" i="1"/>
  <c r="AE305" i="1" s="1"/>
  <c r="Z305" i="1"/>
  <c r="W305" i="1"/>
  <c r="AA305" i="1"/>
  <c r="P700" i="1"/>
  <c r="I701" i="1" s="1"/>
  <c r="K701" i="1" s="1"/>
  <c r="AC305" i="1" l="1"/>
  <c r="O701" i="1"/>
  <c r="L701" i="1"/>
  <c r="N701" i="1"/>
  <c r="M701" i="1"/>
  <c r="AF305" i="1"/>
  <c r="V306" i="1"/>
  <c r="AA306" i="1" s="1"/>
  <c r="J701" i="1"/>
  <c r="P701" i="1" l="1"/>
  <c r="I702" i="1" s="1"/>
  <c r="L702" i="1" s="1"/>
  <c r="W306" i="1"/>
  <c r="Y306" i="1"/>
  <c r="AB306" i="1"/>
  <c r="AE306" i="1" s="1"/>
  <c r="X306" i="1"/>
  <c r="Z306" i="1"/>
  <c r="O702" i="1"/>
  <c r="J702" i="1"/>
  <c r="N702" i="1"/>
  <c r="M702" i="1"/>
  <c r="K702" i="1"/>
  <c r="AC306" i="1" l="1"/>
  <c r="P702" i="1"/>
  <c r="I703" i="1" s="1"/>
  <c r="O703" i="1" s="1"/>
  <c r="AF306" i="1" l="1"/>
  <c r="V307" i="1"/>
  <c r="N703" i="1"/>
  <c r="L703" i="1"/>
  <c r="J703" i="1"/>
  <c r="M703" i="1"/>
  <c r="K703" i="1"/>
  <c r="X307" i="1" l="1"/>
  <c r="Z307" i="1"/>
  <c r="AB307" i="1"/>
  <c r="AE307" i="1" s="1"/>
  <c r="W307" i="1"/>
  <c r="Y307" i="1"/>
  <c r="AA307" i="1"/>
  <c r="P703" i="1"/>
  <c r="I704" i="1" s="1"/>
  <c r="O704" i="1" s="1"/>
  <c r="AC307" i="1" l="1"/>
  <c r="V308" i="1"/>
  <c r="AF307" i="1"/>
  <c r="M704" i="1"/>
  <c r="J704" i="1"/>
  <c r="L704" i="1"/>
  <c r="N704" i="1"/>
  <c r="K704" i="1"/>
  <c r="P704" i="1" l="1"/>
  <c r="I705" i="1" s="1"/>
  <c r="L705" i="1" s="1"/>
  <c r="W308" i="1"/>
  <c r="AA308" i="1"/>
  <c r="Y308" i="1"/>
  <c r="Z308" i="1"/>
  <c r="X308" i="1"/>
  <c r="AB308" i="1"/>
  <c r="AE308" i="1" s="1"/>
  <c r="M705" i="1"/>
  <c r="O705" i="1"/>
  <c r="N705" i="1"/>
  <c r="K705" i="1"/>
  <c r="J705" i="1"/>
  <c r="AC308" i="1" l="1"/>
  <c r="AF308" i="1" s="1"/>
  <c r="P705" i="1"/>
  <c r="I706" i="1" s="1"/>
  <c r="L706" i="1" s="1"/>
  <c r="V309" i="1" l="1"/>
  <c r="W309" i="1" s="1"/>
  <c r="M706" i="1"/>
  <c r="O706" i="1"/>
  <c r="J706" i="1"/>
  <c r="N706" i="1"/>
  <c r="K706" i="1"/>
  <c r="AB309" i="1" l="1"/>
  <c r="AE309" i="1" s="1"/>
  <c r="X309" i="1"/>
  <c r="Z309" i="1"/>
  <c r="AA309" i="1"/>
  <c r="Y309" i="1"/>
  <c r="P706" i="1"/>
  <c r="I707" i="1" s="1"/>
  <c r="J707" i="1" s="1"/>
  <c r="O707" i="1"/>
  <c r="N707" i="1" l="1"/>
  <c r="M707" i="1"/>
  <c r="AC309" i="1"/>
  <c r="AF309" i="1" s="1"/>
  <c r="K707" i="1"/>
  <c r="L707" i="1"/>
  <c r="V310" i="1" l="1"/>
  <c r="P707" i="1"/>
  <c r="I708" i="1" s="1"/>
  <c r="J708" i="1" s="1"/>
  <c r="O708" i="1"/>
  <c r="AA310" i="1"/>
  <c r="AB310" i="1"/>
  <c r="Z310" i="1"/>
  <c r="X310" i="1"/>
  <c r="W310" i="1"/>
  <c r="Y310" i="1"/>
  <c r="L708" i="1" l="1"/>
  <c r="K708" i="1"/>
  <c r="M708" i="1"/>
  <c r="N708" i="1"/>
  <c r="P708" i="1" s="1"/>
  <c r="I709" i="1" s="1"/>
  <c r="J709" i="1" s="1"/>
  <c r="AC310" i="1"/>
  <c r="AE310" i="1"/>
  <c r="O709" i="1" l="1"/>
  <c r="M709" i="1"/>
  <c r="K709" i="1"/>
  <c r="N709" i="1"/>
  <c r="L709" i="1"/>
  <c r="P709" i="1" s="1"/>
  <c r="I710" i="1" s="1"/>
  <c r="N710" i="1" s="1"/>
  <c r="AF310" i="1"/>
  <c r="V311" i="1"/>
  <c r="L710" i="1" l="1"/>
  <c r="M710" i="1"/>
  <c r="O710" i="1"/>
  <c r="K710" i="1"/>
  <c r="J710" i="1"/>
  <c r="X311" i="1"/>
  <c r="AB311" i="1"/>
  <c r="AE311" i="1" s="1"/>
  <c r="W311" i="1"/>
  <c r="Z311" i="1"/>
  <c r="AA311" i="1"/>
  <c r="Y311" i="1"/>
  <c r="P710" i="1" l="1"/>
  <c r="I711" i="1" s="1"/>
  <c r="O711" i="1" s="1"/>
  <c r="AC311" i="1"/>
  <c r="AF311" i="1" s="1"/>
  <c r="M711" i="1"/>
  <c r="L711" i="1"/>
  <c r="N711" i="1"/>
  <c r="J711" i="1"/>
  <c r="K711" i="1"/>
  <c r="V312" i="1" l="1"/>
  <c r="AA312" i="1"/>
  <c r="X312" i="1"/>
  <c r="W312" i="1"/>
  <c r="Z312" i="1"/>
  <c r="AB312" i="1"/>
  <c r="AE312" i="1" s="1"/>
  <c r="Y312" i="1"/>
  <c r="P711" i="1"/>
  <c r="I712" i="1" s="1"/>
  <c r="J712" i="1" s="1"/>
  <c r="AC312" i="1" l="1"/>
  <c r="AF312" i="1" s="1"/>
  <c r="O712" i="1"/>
  <c r="M712" i="1"/>
  <c r="K712" i="1"/>
  <c r="L712" i="1"/>
  <c r="N712" i="1"/>
  <c r="V313" i="1"/>
  <c r="AA313" i="1" s="1"/>
  <c r="P712" i="1" l="1"/>
  <c r="I713" i="1" s="1"/>
  <c r="J713" i="1" s="1"/>
  <c r="Y313" i="1"/>
  <c r="AB313" i="1"/>
  <c r="W313" i="1"/>
  <c r="Z313" i="1"/>
  <c r="X313" i="1"/>
  <c r="N713" i="1"/>
  <c r="O713" i="1"/>
  <c r="M713" i="1"/>
  <c r="L713" i="1"/>
  <c r="K713" i="1"/>
  <c r="AC313" i="1" l="1"/>
  <c r="AF313" i="1" s="1"/>
  <c r="AE313" i="1"/>
  <c r="P713" i="1"/>
  <c r="I714" i="1" s="1"/>
  <c r="J714" i="1" s="1"/>
  <c r="V314" i="1" l="1"/>
  <c r="Y314" i="1" s="1"/>
  <c r="M714" i="1"/>
  <c r="K714" i="1"/>
  <c r="N714" i="1"/>
  <c r="L714" i="1"/>
  <c r="O714" i="1"/>
  <c r="AA314" i="1" l="1"/>
  <c r="AB314" i="1"/>
  <c r="X314" i="1"/>
  <c r="W314" i="1"/>
  <c r="Z314" i="1"/>
  <c r="P714" i="1"/>
  <c r="I715" i="1" s="1"/>
  <c r="O715" i="1" s="1"/>
  <c r="AC314" i="1"/>
  <c r="AF314" i="1" s="1"/>
  <c r="AE314" i="1"/>
  <c r="L715" i="1" l="1"/>
  <c r="V315" i="1"/>
  <c r="X315" i="1" s="1"/>
  <c r="M715" i="1"/>
  <c r="N715" i="1"/>
  <c r="K715" i="1"/>
  <c r="J715" i="1"/>
  <c r="P715" i="1" s="1"/>
  <c r="I716" i="1" s="1"/>
  <c r="J716" i="1" s="1"/>
  <c r="W315" i="1"/>
  <c r="Z315" i="1"/>
  <c r="AA315" i="1"/>
  <c r="Y315" i="1" l="1"/>
  <c r="AB315" i="1"/>
  <c r="AC315" i="1"/>
  <c r="AF315" i="1" s="1"/>
  <c r="AE315" i="1"/>
  <c r="O716" i="1"/>
  <c r="L716" i="1"/>
  <c r="M716" i="1"/>
  <c r="N716" i="1"/>
  <c r="K716" i="1"/>
  <c r="V316" i="1" l="1"/>
  <c r="Y316" i="1" s="1"/>
  <c r="AA316" i="1"/>
  <c r="AB316" i="1"/>
  <c r="AE316" i="1" s="1"/>
  <c r="X316" i="1"/>
  <c r="W316" i="1"/>
  <c r="Z316" i="1"/>
  <c r="AC316" i="1" s="1"/>
  <c r="P716" i="1"/>
  <c r="I717" i="1" s="1"/>
  <c r="K717" i="1" s="1"/>
  <c r="AF316" i="1" l="1"/>
  <c r="V317" i="1"/>
  <c r="N717" i="1"/>
  <c r="L717" i="1"/>
  <c r="O717" i="1"/>
  <c r="J717" i="1"/>
  <c r="M717" i="1"/>
  <c r="X317" i="1" l="1"/>
  <c r="Z317" i="1"/>
  <c r="AB317" i="1"/>
  <c r="AE317" i="1" s="1"/>
  <c r="AA317" i="1"/>
  <c r="Y317" i="1"/>
  <c r="W317" i="1"/>
  <c r="P717" i="1"/>
  <c r="I718" i="1" s="1"/>
  <c r="L718" i="1" s="1"/>
  <c r="O718" i="1" l="1"/>
  <c r="J718" i="1"/>
  <c r="M718" i="1"/>
  <c r="AC317" i="1"/>
  <c r="AF317" i="1" s="1"/>
  <c r="N718" i="1"/>
  <c r="K718" i="1"/>
  <c r="V318" i="1" l="1"/>
  <c r="P718" i="1"/>
  <c r="I719" i="1" s="1"/>
  <c r="L719" i="1" s="1"/>
  <c r="Y318" i="1"/>
  <c r="W318" i="1"/>
  <c r="Z318" i="1"/>
  <c r="AB318" i="1"/>
  <c r="AE318" i="1" s="1"/>
  <c r="X318" i="1"/>
  <c r="AA318" i="1"/>
  <c r="N719" i="1" l="1"/>
  <c r="J719" i="1"/>
  <c r="K719" i="1"/>
  <c r="M719" i="1"/>
  <c r="O719" i="1"/>
  <c r="P719" i="1" s="1"/>
  <c r="I720" i="1" s="1"/>
  <c r="AC318" i="1"/>
  <c r="J720" i="1" l="1"/>
  <c r="O720" i="1"/>
  <c r="L720" i="1"/>
  <c r="M720" i="1"/>
  <c r="N720" i="1"/>
  <c r="K720" i="1"/>
  <c r="P720" i="1" s="1"/>
  <c r="I721" i="1" s="1"/>
  <c r="J721" i="1" s="1"/>
  <c r="AF318" i="1"/>
  <c r="V319" i="1"/>
  <c r="W319" i="1" l="1"/>
  <c r="AA319" i="1"/>
  <c r="X319" i="1"/>
  <c r="Y319" i="1"/>
  <c r="AB319" i="1"/>
  <c r="AE319" i="1" s="1"/>
  <c r="Z319" i="1"/>
  <c r="K721" i="1"/>
  <c r="L721" i="1"/>
  <c r="O721" i="1"/>
  <c r="N721" i="1"/>
  <c r="M721" i="1"/>
  <c r="AC319" i="1" l="1"/>
  <c r="P721" i="1"/>
  <c r="I722" i="1" s="1"/>
  <c r="N722" i="1" s="1"/>
  <c r="M722" i="1" l="1"/>
  <c r="L722" i="1"/>
  <c r="O722" i="1"/>
  <c r="V320" i="1"/>
  <c r="AF319" i="1"/>
  <c r="K722" i="1"/>
  <c r="J722" i="1"/>
  <c r="P722" i="1" l="1"/>
  <c r="I723" i="1" s="1"/>
  <c r="L723" i="1" s="1"/>
  <c r="O723" i="1"/>
  <c r="AB320" i="1"/>
  <c r="AE320" i="1" s="1"/>
  <c r="Z320" i="1"/>
  <c r="Y320" i="1"/>
  <c r="AA320" i="1"/>
  <c r="X320" i="1"/>
  <c r="W320" i="1"/>
  <c r="J723" i="1"/>
  <c r="K723" i="1"/>
  <c r="N723" i="1"/>
  <c r="M723" i="1"/>
  <c r="AC320" i="1" l="1"/>
  <c r="AF320" i="1" s="1"/>
  <c r="V321" i="1"/>
  <c r="Y321" i="1" s="1"/>
  <c r="P723" i="1"/>
  <c r="I724" i="1" s="1"/>
  <c r="K724" i="1" s="1"/>
  <c r="W321" i="1" l="1"/>
  <c r="X321" i="1"/>
  <c r="O724" i="1"/>
  <c r="AA321" i="1"/>
  <c r="L724" i="1"/>
  <c r="N724" i="1"/>
  <c r="AB321" i="1"/>
  <c r="AE321" i="1" s="1"/>
  <c r="Z321" i="1"/>
  <c r="J724" i="1"/>
  <c r="M724" i="1"/>
  <c r="AC321" i="1" l="1"/>
  <c r="AF321" i="1" s="1"/>
  <c r="P724" i="1"/>
  <c r="I725" i="1" s="1"/>
  <c r="M725" i="1" s="1"/>
  <c r="V322" i="1" l="1"/>
  <c r="K725" i="1"/>
  <c r="J725" i="1"/>
  <c r="O725" i="1"/>
  <c r="L725" i="1"/>
  <c r="N725" i="1"/>
  <c r="AB322" i="1" l="1"/>
  <c r="AE322" i="1" s="1"/>
  <c r="W322" i="1"/>
  <c r="Z322" i="1"/>
  <c r="X322" i="1"/>
  <c r="Y322" i="1"/>
  <c r="AA322" i="1"/>
  <c r="P725" i="1"/>
  <c r="I726" i="1" s="1"/>
  <c r="K726" i="1" s="1"/>
  <c r="O726" i="1" l="1"/>
  <c r="N726" i="1"/>
  <c r="AC322" i="1"/>
  <c r="L726" i="1"/>
  <c r="J726" i="1"/>
  <c r="M726" i="1"/>
  <c r="P726" i="1" l="1"/>
  <c r="I727" i="1" s="1"/>
  <c r="M727" i="1" s="1"/>
  <c r="AF322" i="1"/>
  <c r="V323" i="1"/>
  <c r="O727" i="1"/>
  <c r="K727" i="1"/>
  <c r="L727" i="1"/>
  <c r="N727" i="1"/>
  <c r="J727" i="1"/>
  <c r="W323" i="1" l="1"/>
  <c r="X323" i="1"/>
  <c r="Z323" i="1"/>
  <c r="AB323" i="1"/>
  <c r="AE323" i="1" s="1"/>
  <c r="AA323" i="1"/>
  <c r="Y323" i="1"/>
  <c r="P727" i="1"/>
  <c r="I728" i="1" s="1"/>
  <c r="M728" i="1" s="1"/>
  <c r="AC323" i="1" l="1"/>
  <c r="N728" i="1"/>
  <c r="K728" i="1"/>
  <c r="L728" i="1"/>
  <c r="O728" i="1"/>
  <c r="J728" i="1"/>
  <c r="AF323" i="1" l="1"/>
  <c r="V324" i="1"/>
  <c r="P728" i="1"/>
  <c r="I729" i="1" s="1"/>
  <c r="M729" i="1" s="1"/>
  <c r="O729" i="1"/>
  <c r="W324" i="1" l="1"/>
  <c r="X324" i="1"/>
  <c r="AB324" i="1"/>
  <c r="AE324" i="1" s="1"/>
  <c r="Z324" i="1"/>
  <c r="Y324" i="1"/>
  <c r="AA324" i="1"/>
  <c r="K729" i="1"/>
  <c r="J729" i="1"/>
  <c r="N729" i="1"/>
  <c r="L729" i="1"/>
  <c r="AC324" i="1" l="1"/>
  <c r="AF324" i="1" s="1"/>
  <c r="V325" i="1"/>
  <c r="P729" i="1"/>
  <c r="I730" i="1" s="1"/>
  <c r="J730" i="1" s="1"/>
  <c r="X325" i="1" l="1"/>
  <c r="Z325" i="1"/>
  <c r="W325" i="1"/>
  <c r="Y325" i="1"/>
  <c r="AA325" i="1"/>
  <c r="AB325" i="1"/>
  <c r="AE325" i="1" s="1"/>
  <c r="O730" i="1"/>
  <c r="L730" i="1"/>
  <c r="K730" i="1"/>
  <c r="N730" i="1"/>
  <c r="M730" i="1"/>
  <c r="AC325" i="1" l="1"/>
  <c r="P730" i="1"/>
  <c r="I731" i="1" s="1"/>
  <c r="K731" i="1" s="1"/>
  <c r="L731" i="1" l="1"/>
  <c r="V326" i="1"/>
  <c r="AF325" i="1"/>
  <c r="M731" i="1"/>
  <c r="O731" i="1"/>
  <c r="N731" i="1"/>
  <c r="J731" i="1"/>
  <c r="Z326" i="1" l="1"/>
  <c r="X326" i="1"/>
  <c r="AB326" i="1"/>
  <c r="W326" i="1"/>
  <c r="AA326" i="1"/>
  <c r="Y326" i="1"/>
  <c r="P731" i="1"/>
  <c r="I732" i="1" s="1"/>
  <c r="K732" i="1" s="1"/>
  <c r="AC326" i="1" l="1"/>
  <c r="L732" i="1"/>
  <c r="M732" i="1"/>
  <c r="O732" i="1"/>
  <c r="N732" i="1"/>
  <c r="AF326" i="1"/>
  <c r="V327" i="1"/>
  <c r="J732" i="1"/>
  <c r="AE326" i="1"/>
  <c r="W327" i="1" l="1"/>
  <c r="X327" i="1"/>
  <c r="Z327" i="1"/>
  <c r="AB327" i="1"/>
  <c r="AE327" i="1" s="1"/>
  <c r="AA327" i="1"/>
  <c r="P732" i="1"/>
  <c r="I733" i="1" s="1"/>
  <c r="Y327" i="1"/>
  <c r="AC327" i="1" s="1"/>
  <c r="V328" i="1" l="1"/>
  <c r="AF327" i="1"/>
  <c r="AA328" i="1"/>
  <c r="K733" i="1"/>
  <c r="L733" i="1"/>
  <c r="J733" i="1"/>
  <c r="O733" i="1"/>
  <c r="N733" i="1"/>
  <c r="M733" i="1"/>
  <c r="P733" i="1" l="1"/>
  <c r="I734" i="1" s="1"/>
  <c r="Z328" i="1"/>
  <c r="X328" i="1"/>
  <c r="Y328" i="1"/>
  <c r="W328" i="1"/>
  <c r="AB328" i="1"/>
  <c r="AE328" i="1" s="1"/>
  <c r="AC328" i="1" l="1"/>
  <c r="N734" i="1"/>
  <c r="O734" i="1"/>
  <c r="K734" i="1"/>
  <c r="J734" i="1"/>
  <c r="M734" i="1"/>
  <c r="L734" i="1"/>
  <c r="P734" i="1" l="1"/>
  <c r="I735" i="1" s="1"/>
  <c r="K735" i="1"/>
  <c r="O735" i="1"/>
  <c r="J735" i="1"/>
  <c r="L735" i="1"/>
  <c r="M735" i="1"/>
  <c r="N735" i="1"/>
  <c r="AF328" i="1"/>
  <c r="V329" i="1"/>
  <c r="P735" i="1" l="1"/>
  <c r="I736" i="1" s="1"/>
  <c r="K736" i="1" s="1"/>
  <c r="O736" i="1"/>
  <c r="J736" i="1"/>
  <c r="M736" i="1"/>
  <c r="N736" i="1"/>
  <c r="L736" i="1"/>
  <c r="X329" i="1"/>
  <c r="Z329" i="1"/>
  <c r="W329" i="1"/>
  <c r="AB329" i="1"/>
  <c r="AE329" i="1" s="1"/>
  <c r="Y329" i="1"/>
  <c r="AA329" i="1"/>
  <c r="P736" i="1" l="1"/>
  <c r="I737" i="1" s="1"/>
  <c r="K737" i="1" s="1"/>
  <c r="O737" i="1"/>
  <c r="L737" i="1"/>
  <c r="N737" i="1"/>
  <c r="M737" i="1"/>
  <c r="AC329" i="1"/>
  <c r="J737" i="1"/>
  <c r="P737" i="1" l="1"/>
  <c r="I738" i="1" s="1"/>
  <c r="L738" i="1" s="1"/>
  <c r="AF329" i="1"/>
  <c r="V330" i="1"/>
  <c r="M738" i="1"/>
  <c r="O738" i="1"/>
  <c r="J738" i="1"/>
  <c r="K738" i="1"/>
  <c r="N738" i="1" l="1"/>
  <c r="W330" i="1"/>
  <c r="AB330" i="1"/>
  <c r="AE330" i="1" s="1"/>
  <c r="X330" i="1"/>
  <c r="Z330" i="1"/>
  <c r="AA330" i="1"/>
  <c r="Y330" i="1"/>
  <c r="P738" i="1"/>
  <c r="I739" i="1" s="1"/>
  <c r="J739" i="1" s="1"/>
  <c r="N739" i="1" l="1"/>
  <c r="K739" i="1"/>
  <c r="O739" i="1"/>
  <c r="L739" i="1"/>
  <c r="M739" i="1"/>
  <c r="AC330" i="1"/>
  <c r="P739" i="1" l="1"/>
  <c r="I740" i="1" s="1"/>
  <c r="M740" i="1" s="1"/>
  <c r="N740" i="1"/>
  <c r="AF330" i="1"/>
  <c r="V331" i="1"/>
  <c r="J740" i="1" l="1"/>
  <c r="O740" i="1"/>
  <c r="L740" i="1"/>
  <c r="K740" i="1"/>
  <c r="W331" i="1"/>
  <c r="X331" i="1"/>
  <c r="AB331" i="1"/>
  <c r="AE331" i="1" s="1"/>
  <c r="Y331" i="1"/>
  <c r="Z331" i="1"/>
  <c r="AA331" i="1"/>
  <c r="P740" i="1" l="1"/>
  <c r="I741" i="1" s="1"/>
  <c r="O741" i="1" s="1"/>
  <c r="N741" i="1"/>
  <c r="J741" i="1"/>
  <c r="K741" i="1"/>
  <c r="M741" i="1"/>
  <c r="L741" i="1"/>
  <c r="AC331" i="1"/>
  <c r="AF331" i="1" s="1"/>
  <c r="P741" i="1" l="1"/>
  <c r="I742" i="1" s="1"/>
  <c r="M742" i="1" s="1"/>
  <c r="V332" i="1"/>
  <c r="Z332" i="1" s="1"/>
  <c r="W332" i="1"/>
  <c r="AB332" i="1"/>
  <c r="AE332" i="1" s="1"/>
  <c r="L742" i="1"/>
  <c r="K742" i="1"/>
  <c r="J742" i="1"/>
  <c r="O742" i="1"/>
  <c r="N742" i="1"/>
  <c r="X332" i="1" l="1"/>
  <c r="AA332" i="1"/>
  <c r="Y332" i="1"/>
  <c r="P742" i="1"/>
  <c r="I743" i="1" s="1"/>
  <c r="L743" i="1" s="1"/>
  <c r="AC332" i="1" l="1"/>
  <c r="AF332" i="1"/>
  <c r="V333" i="1"/>
  <c r="J743" i="1"/>
  <c r="K743" i="1"/>
  <c r="O743" i="1"/>
  <c r="M743" i="1"/>
  <c r="N743" i="1"/>
  <c r="W333" i="1" l="1"/>
  <c r="X333" i="1"/>
  <c r="AB333" i="1"/>
  <c r="Z333" i="1"/>
  <c r="AA333" i="1"/>
  <c r="Y333" i="1"/>
  <c r="P743" i="1"/>
  <c r="I744" i="1" s="1"/>
  <c r="M744" i="1" s="1"/>
  <c r="J744" i="1" l="1"/>
  <c r="AC333" i="1"/>
  <c r="N744" i="1"/>
  <c r="AE333" i="1"/>
  <c r="L744" i="1"/>
  <c r="K744" i="1"/>
  <c r="O744" i="1"/>
  <c r="AF333" i="1" l="1"/>
  <c r="V334" i="1"/>
  <c r="P744" i="1"/>
  <c r="I745" i="1" s="1"/>
  <c r="N745" i="1" s="1"/>
  <c r="O745" i="1"/>
  <c r="M745" i="1"/>
  <c r="K745" i="1" l="1"/>
  <c r="L745" i="1"/>
  <c r="J745" i="1"/>
  <c r="Z334" i="1"/>
  <c r="AB334" i="1"/>
  <c r="W334" i="1"/>
  <c r="X334" i="1"/>
  <c r="AA334" i="1"/>
  <c r="Y334" i="1"/>
  <c r="P745" i="1" l="1"/>
  <c r="I746" i="1" s="1"/>
  <c r="L746" i="1" s="1"/>
  <c r="M746" i="1"/>
  <c r="N746" i="1"/>
  <c r="O746" i="1"/>
  <c r="K746" i="1"/>
  <c r="J746" i="1"/>
  <c r="AC334" i="1"/>
  <c r="V335" i="1" s="1"/>
  <c r="P746" i="1"/>
  <c r="I747" i="1" s="1"/>
  <c r="J747" i="1" s="1"/>
  <c r="AE334" i="1"/>
  <c r="K747" i="1" l="1"/>
  <c r="AF334" i="1"/>
  <c r="Y335" i="1"/>
  <c r="AA335" i="1"/>
  <c r="O747" i="1"/>
  <c r="N747" i="1"/>
  <c r="L747" i="1"/>
  <c r="M747" i="1"/>
  <c r="P747" i="1" s="1"/>
  <c r="I748" i="1" s="1"/>
  <c r="Z335" i="1"/>
  <c r="X335" i="1"/>
  <c r="W335" i="1"/>
  <c r="AB335" i="1"/>
  <c r="AE335" i="1" s="1"/>
  <c r="AC335" i="1" l="1"/>
  <c r="AF335" i="1" s="1"/>
  <c r="M748" i="1"/>
  <c r="L748" i="1"/>
  <c r="K748" i="1"/>
  <c r="O748" i="1"/>
  <c r="N748" i="1"/>
  <c r="J748" i="1"/>
  <c r="V336" i="1" l="1"/>
  <c r="Y336" i="1" s="1"/>
  <c r="P748" i="1"/>
  <c r="I749" i="1" s="1"/>
  <c r="N749" i="1" s="1"/>
  <c r="O749" i="1"/>
  <c r="M749" i="1"/>
  <c r="Z336" i="1"/>
  <c r="X336" i="1"/>
  <c r="AB336" i="1"/>
  <c r="AE336" i="1" s="1"/>
  <c r="J749" i="1"/>
  <c r="K749" i="1" l="1"/>
  <c r="L749" i="1"/>
  <c r="W336" i="1"/>
  <c r="AA336" i="1"/>
  <c r="P749" i="1"/>
  <c r="I750" i="1" s="1"/>
  <c r="J750" i="1" s="1"/>
  <c r="O750" i="1"/>
  <c r="AC336" i="1"/>
  <c r="N750" i="1"/>
  <c r="L750" i="1" l="1"/>
  <c r="K750" i="1"/>
  <c r="M751" i="1" s="1"/>
  <c r="M750" i="1"/>
  <c r="P750" i="1"/>
  <c r="I751" i="1" s="1"/>
  <c r="L751" i="1" s="1"/>
  <c r="AF336" i="1"/>
  <c r="V337" i="1"/>
  <c r="N751" i="1"/>
  <c r="O751" i="1" l="1"/>
  <c r="J751" i="1"/>
  <c r="K751" i="1"/>
  <c r="P751" i="1" s="1"/>
  <c r="I752" i="1" s="1"/>
  <c r="Y337" i="1"/>
  <c r="AB337" i="1"/>
  <c r="X337" i="1"/>
  <c r="W337" i="1"/>
  <c r="Z337" i="1"/>
  <c r="AA337" i="1"/>
  <c r="K752" i="1" l="1"/>
  <c r="M752" i="1"/>
  <c r="J752" i="1"/>
  <c r="O752" i="1"/>
  <c r="L752" i="1"/>
  <c r="N752" i="1"/>
  <c r="AC337" i="1"/>
  <c r="AE337" i="1"/>
  <c r="P752" i="1" l="1"/>
  <c r="I753" i="1" s="1"/>
  <c r="N753" i="1" s="1"/>
  <c r="AF337" i="1"/>
  <c r="V338" i="1"/>
  <c r="O753" i="1"/>
  <c r="K753" i="1"/>
  <c r="M753" i="1"/>
  <c r="L753" i="1"/>
  <c r="J753" i="1"/>
  <c r="P753" i="1" l="1"/>
  <c r="I754" i="1" s="1"/>
  <c r="M754" i="1" s="1"/>
  <c r="X338" i="1"/>
  <c r="W338" i="1"/>
  <c r="AB338" i="1"/>
  <c r="AE338" i="1" s="1"/>
  <c r="Z338" i="1"/>
  <c r="Y338" i="1"/>
  <c r="AA338" i="1"/>
  <c r="K754" i="1"/>
  <c r="N754" i="1"/>
  <c r="O754" i="1"/>
  <c r="L754" i="1"/>
  <c r="J754" i="1" l="1"/>
  <c r="AC338" i="1"/>
  <c r="V339" i="1" s="1"/>
  <c r="Y339" i="1" s="1"/>
  <c r="P754" i="1"/>
  <c r="I755" i="1" s="1"/>
  <c r="J755" i="1" s="1"/>
  <c r="AF338" i="1" l="1"/>
  <c r="W339" i="1"/>
  <c r="AB339" i="1"/>
  <c r="AE339" i="1" s="1"/>
  <c r="Z339" i="1"/>
  <c r="X339" i="1"/>
  <c r="AA339" i="1"/>
  <c r="N755" i="1"/>
  <c r="L755" i="1"/>
  <c r="M755" i="1"/>
  <c r="K755" i="1"/>
  <c r="O755" i="1"/>
  <c r="AC339" i="1" l="1"/>
  <c r="P755" i="1"/>
  <c r="I756" i="1" s="1"/>
  <c r="J756" i="1" s="1"/>
  <c r="L756" i="1"/>
  <c r="O756" i="1"/>
  <c r="K756" i="1" l="1"/>
  <c r="M756" i="1"/>
  <c r="N756" i="1"/>
  <c r="AF339" i="1"/>
  <c r="V340" i="1"/>
  <c r="P756" i="1"/>
  <c r="I757" i="1" s="1"/>
  <c r="K757" i="1" s="1"/>
  <c r="X340" i="1" l="1"/>
  <c r="AB340" i="1"/>
  <c r="AE340" i="1" s="1"/>
  <c r="W340" i="1"/>
  <c r="Z340" i="1"/>
  <c r="Y340" i="1"/>
  <c r="AA340" i="1"/>
  <c r="M757" i="1"/>
  <c r="L757" i="1"/>
  <c r="J757" i="1"/>
  <c r="O757" i="1"/>
  <c r="N757" i="1"/>
  <c r="AC340" i="1" l="1"/>
  <c r="AF340" i="1"/>
  <c r="V341" i="1"/>
  <c r="P757" i="1"/>
  <c r="I758" i="1" s="1"/>
  <c r="L758" i="1" s="1"/>
  <c r="Z341" i="1" l="1"/>
  <c r="X341" i="1"/>
  <c r="W341" i="1"/>
  <c r="AB341" i="1"/>
  <c r="AE341" i="1" s="1"/>
  <c r="Y341" i="1"/>
  <c r="AA341" i="1"/>
  <c r="J758" i="1"/>
  <c r="O758" i="1"/>
  <c r="K758" i="1"/>
  <c r="N758" i="1"/>
  <c r="M758" i="1"/>
  <c r="AC341" i="1" l="1"/>
  <c r="V342" i="1" s="1"/>
  <c r="P758" i="1"/>
  <c r="I759" i="1" s="1"/>
  <c r="K759" i="1" s="1"/>
  <c r="AF341" i="1" l="1"/>
  <c r="O759" i="1"/>
  <c r="AB342" i="1"/>
  <c r="AE342" i="1" s="1"/>
  <c r="X342" i="1"/>
  <c r="Z342" i="1"/>
  <c r="W342" i="1"/>
  <c r="Y342" i="1"/>
  <c r="AA342" i="1"/>
  <c r="L759" i="1"/>
  <c r="N759" i="1"/>
  <c r="J759" i="1"/>
  <c r="M759" i="1"/>
  <c r="AC342" i="1" l="1"/>
  <c r="AF342" i="1" s="1"/>
  <c r="P759" i="1"/>
  <c r="I760" i="1" s="1"/>
  <c r="N760" i="1" s="1"/>
  <c r="V343" i="1"/>
  <c r="M760" i="1"/>
  <c r="O760" i="1"/>
  <c r="L760" i="1" l="1"/>
  <c r="K760" i="1"/>
  <c r="J760" i="1"/>
  <c r="X343" i="1"/>
  <c r="AB343" i="1"/>
  <c r="AE343" i="1" s="1"/>
  <c r="W343" i="1"/>
  <c r="Z343" i="1"/>
  <c r="Y343" i="1"/>
  <c r="AA343" i="1"/>
  <c r="P760" i="1" l="1"/>
  <c r="I761" i="1" s="1"/>
  <c r="M761" i="1" s="1"/>
  <c r="AC343" i="1"/>
  <c r="V344" i="1" s="1"/>
  <c r="Y344" i="1" s="1"/>
  <c r="N761" i="1"/>
  <c r="J761" i="1"/>
  <c r="O761" i="1"/>
  <c r="AF343" i="1" l="1"/>
  <c r="L761" i="1"/>
  <c r="K761" i="1"/>
  <c r="P761" i="1" s="1"/>
  <c r="I762" i="1" s="1"/>
  <c r="L762" i="1" s="1"/>
  <c r="AB344" i="1"/>
  <c r="AE344" i="1" s="1"/>
  <c r="X344" i="1"/>
  <c r="W344" i="1"/>
  <c r="Z344" i="1"/>
  <c r="AA344" i="1"/>
  <c r="AC344" i="1" s="1"/>
  <c r="V345" i="1" l="1"/>
  <c r="AF344" i="1"/>
  <c r="M762" i="1"/>
  <c r="N762" i="1"/>
  <c r="K762" i="1"/>
  <c r="O762" i="1"/>
  <c r="J762" i="1"/>
  <c r="Z345" i="1" l="1"/>
  <c r="W345" i="1"/>
  <c r="AB345" i="1"/>
  <c r="AE345" i="1" s="1"/>
  <c r="X345" i="1"/>
  <c r="AA345" i="1"/>
  <c r="Y345" i="1"/>
  <c r="P762" i="1"/>
  <c r="I763" i="1" s="1"/>
  <c r="J763" i="1" s="1"/>
  <c r="AC345" i="1" l="1"/>
  <c r="O763" i="1"/>
  <c r="M763" i="1"/>
  <c r="L763" i="1"/>
  <c r="N763" i="1"/>
  <c r="V346" i="1"/>
  <c r="AF345" i="1"/>
  <c r="K763" i="1"/>
  <c r="P763" i="1" s="1"/>
  <c r="I764" i="1" s="1"/>
  <c r="L764" i="1" s="1"/>
  <c r="X346" i="1" l="1"/>
  <c r="AB346" i="1"/>
  <c r="W346" i="1"/>
  <c r="Z346" i="1"/>
  <c r="AA346" i="1"/>
  <c r="Y346" i="1"/>
  <c r="AC346" i="1" s="1"/>
  <c r="O764" i="1"/>
  <c r="J764" i="1"/>
  <c r="K764" i="1"/>
  <c r="N764" i="1"/>
  <c r="M764" i="1"/>
  <c r="AF346" i="1" l="1"/>
  <c r="V347" i="1"/>
  <c r="AA347" i="1" s="1"/>
  <c r="AE346" i="1"/>
  <c r="Y347" i="1"/>
  <c r="P764" i="1"/>
  <c r="I765" i="1" s="1"/>
  <c r="J765" i="1" s="1"/>
  <c r="AB347" i="1" l="1"/>
  <c r="X347" i="1"/>
  <c r="Z347" i="1"/>
  <c r="W347" i="1"/>
  <c r="M765" i="1"/>
  <c r="N765" i="1"/>
  <c r="K765" i="1"/>
  <c r="L765" i="1"/>
  <c r="O765" i="1"/>
  <c r="AC347" i="1" l="1"/>
  <c r="V348" i="1"/>
  <c r="AF347" i="1"/>
  <c r="P765" i="1"/>
  <c r="I766" i="1" s="1"/>
  <c r="J766" i="1" s="1"/>
  <c r="AE347" i="1"/>
  <c r="Y348" i="1"/>
  <c r="O766" i="1"/>
  <c r="L766" i="1"/>
  <c r="K766" i="1" l="1"/>
  <c r="M766" i="1"/>
  <c r="N766" i="1"/>
  <c r="AA348" i="1"/>
  <c r="Z348" i="1"/>
  <c r="X348" i="1"/>
  <c r="AB348" i="1"/>
  <c r="AE348" i="1" s="1"/>
  <c r="W348" i="1"/>
  <c r="AC348" i="1" l="1"/>
  <c r="P766" i="1"/>
  <c r="I767" i="1" s="1"/>
  <c r="N767" i="1" s="1"/>
  <c r="AF348" i="1"/>
  <c r="V349" i="1"/>
  <c r="AA349" i="1" s="1"/>
  <c r="J767" i="1"/>
  <c r="L767" i="1"/>
  <c r="K767" i="1"/>
  <c r="Y349" i="1" l="1"/>
  <c r="O767" i="1"/>
  <c r="M767" i="1"/>
  <c r="AB349" i="1"/>
  <c r="AE349" i="1" s="1"/>
  <c r="Z349" i="1"/>
  <c r="W349" i="1"/>
  <c r="X349" i="1"/>
  <c r="P767" i="1"/>
  <c r="I768" i="1" s="1"/>
  <c r="N768" i="1" s="1"/>
  <c r="M768" i="1" l="1"/>
  <c r="J768" i="1"/>
  <c r="L768" i="1"/>
  <c r="O768" i="1"/>
  <c r="AC349" i="1"/>
  <c r="K768" i="1"/>
  <c r="P768" i="1" l="1"/>
  <c r="I769" i="1" s="1"/>
  <c r="N769" i="1" s="1"/>
  <c r="AF349" i="1"/>
  <c r="V350" i="1"/>
  <c r="O769" i="1"/>
  <c r="K769" i="1"/>
  <c r="M769" i="1" l="1"/>
  <c r="L769" i="1"/>
  <c r="J769" i="1"/>
  <c r="AA350" i="1"/>
  <c r="X350" i="1"/>
  <c r="AB350" i="1"/>
  <c r="W350" i="1"/>
  <c r="Y350" i="1"/>
  <c r="Z350" i="1"/>
  <c r="P769" i="1" l="1"/>
  <c r="I770" i="1" s="1"/>
  <c r="K770" i="1" s="1"/>
  <c r="N770" i="1"/>
  <c r="L770" i="1"/>
  <c r="J770" i="1"/>
  <c r="M770" i="1"/>
  <c r="AC350" i="1"/>
  <c r="AF350" i="1" s="1"/>
  <c r="O770" i="1"/>
  <c r="P770" i="1" s="1"/>
  <c r="I771" i="1" s="1"/>
  <c r="AE350" i="1"/>
  <c r="V351" i="1" l="1"/>
  <c r="AA351" i="1" s="1"/>
  <c r="M771" i="1"/>
  <c r="O771" i="1"/>
  <c r="N771" i="1"/>
  <c r="J771" i="1"/>
  <c r="L771" i="1"/>
  <c r="K771" i="1"/>
  <c r="Y351" i="1"/>
  <c r="AB351" i="1"/>
  <c r="AE351" i="1" s="1"/>
  <c r="Z351" i="1"/>
  <c r="X351" i="1"/>
  <c r="W351" i="1" l="1"/>
  <c r="AC351" i="1"/>
  <c r="AF351" i="1" s="1"/>
  <c r="P771" i="1"/>
  <c r="I772" i="1" s="1"/>
  <c r="M772" i="1" s="1"/>
  <c r="V352" i="1" l="1"/>
  <c r="Y352" i="1" s="1"/>
  <c r="J772" i="1"/>
  <c r="K772" i="1"/>
  <c r="O772" i="1"/>
  <c r="L772" i="1"/>
  <c r="N772" i="1"/>
  <c r="AA352" i="1"/>
  <c r="AB352" i="1"/>
  <c r="AE352" i="1" s="1"/>
  <c r="W352" i="1"/>
  <c r="X352" i="1" l="1"/>
  <c r="Z352" i="1"/>
  <c r="P772" i="1"/>
  <c r="I773" i="1" s="1"/>
  <c r="N773" i="1" s="1"/>
  <c r="AC352" i="1"/>
  <c r="L773" i="1" l="1"/>
  <c r="J773" i="1"/>
  <c r="O773" i="1"/>
  <c r="M773" i="1"/>
  <c r="K773" i="1"/>
  <c r="AF352" i="1"/>
  <c r="V353" i="1"/>
  <c r="P773" i="1" l="1"/>
  <c r="I774" i="1" s="1"/>
  <c r="K774" i="1" s="1"/>
  <c r="N774" i="1"/>
  <c r="J774" i="1"/>
  <c r="O774" i="1"/>
  <c r="M774" i="1"/>
  <c r="L774" i="1"/>
  <c r="W353" i="1"/>
  <c r="Z353" i="1"/>
  <c r="AB353" i="1"/>
  <c r="AE353" i="1" s="1"/>
  <c r="X353" i="1"/>
  <c r="Y353" i="1"/>
  <c r="AA353" i="1"/>
  <c r="P774" i="1" l="1"/>
  <c r="I775" i="1" s="1"/>
  <c r="J775" i="1" s="1"/>
  <c r="AC353" i="1"/>
  <c r="AF353" i="1" s="1"/>
  <c r="V354" i="1" l="1"/>
  <c r="M775" i="1"/>
  <c r="O775" i="1"/>
  <c r="K775" i="1"/>
  <c r="N775" i="1"/>
  <c r="L775" i="1"/>
  <c r="W354" i="1"/>
  <c r="X354" i="1"/>
  <c r="Z354" i="1"/>
  <c r="AA354" i="1"/>
  <c r="Y354" i="1"/>
  <c r="AB354" i="1"/>
  <c r="AE354" i="1" s="1"/>
  <c r="P775" i="1" l="1"/>
  <c r="I776" i="1" s="1"/>
  <c r="AC354" i="1"/>
  <c r="N776" i="1" l="1"/>
  <c r="M776" i="1"/>
  <c r="O776" i="1"/>
  <c r="J776" i="1"/>
  <c r="L776" i="1"/>
  <c r="K776" i="1"/>
  <c r="AF354" i="1"/>
  <c r="V355" i="1"/>
  <c r="P776" i="1" l="1"/>
  <c r="I777" i="1" s="1"/>
  <c r="M777" i="1" s="1"/>
  <c r="N777" i="1"/>
  <c r="L777" i="1"/>
  <c r="X355" i="1"/>
  <c r="Z355" i="1"/>
  <c r="W355" i="1"/>
  <c r="AB355" i="1"/>
  <c r="AE355" i="1" s="1"/>
  <c r="Y355" i="1"/>
  <c r="AA355" i="1"/>
  <c r="K777" i="1" l="1"/>
  <c r="O777" i="1"/>
  <c r="J777" i="1"/>
  <c r="AC355" i="1"/>
  <c r="AF355" i="1" s="1"/>
  <c r="V356" i="1"/>
  <c r="Y356" i="1" s="1"/>
  <c r="P777" i="1" l="1"/>
  <c r="I778" i="1" s="1"/>
  <c r="Z356" i="1"/>
  <c r="AB356" i="1"/>
  <c r="AE356" i="1" s="1"/>
  <c r="X356" i="1"/>
  <c r="W356" i="1"/>
  <c r="AA356" i="1"/>
  <c r="K778" i="1" l="1"/>
  <c r="J778" i="1"/>
  <c r="O778" i="1"/>
  <c r="M778" i="1"/>
  <c r="L778" i="1"/>
  <c r="N778" i="1"/>
  <c r="AC356" i="1"/>
  <c r="P778" i="1" l="1"/>
  <c r="I779" i="1" s="1"/>
  <c r="V357" i="1"/>
  <c r="AF356" i="1"/>
  <c r="L779" i="1" l="1"/>
  <c r="K779" i="1"/>
  <c r="J779" i="1"/>
  <c r="O779" i="1"/>
  <c r="N779" i="1"/>
  <c r="M779" i="1"/>
  <c r="P779" i="1" s="1"/>
  <c r="I780" i="1" s="1"/>
  <c r="AB357" i="1"/>
  <c r="AE357" i="1" s="1"/>
  <c r="X357" i="1"/>
  <c r="W357" i="1"/>
  <c r="AA357" i="1"/>
  <c r="Z357" i="1"/>
  <c r="Y357" i="1"/>
  <c r="J780" i="1" l="1"/>
  <c r="K780" i="1"/>
  <c r="O780" i="1"/>
  <c r="N780" i="1"/>
  <c r="L780" i="1"/>
  <c r="M780" i="1"/>
  <c r="AC357" i="1"/>
  <c r="P780" i="1" l="1"/>
  <c r="I781" i="1" s="1"/>
  <c r="J781" i="1" s="1"/>
  <c r="O781" i="1"/>
  <c r="K781" i="1"/>
  <c r="M781" i="1"/>
  <c r="L781" i="1"/>
  <c r="N781" i="1"/>
  <c r="AF357" i="1"/>
  <c r="V358" i="1"/>
  <c r="P781" i="1" l="1"/>
  <c r="I782" i="1" s="1"/>
  <c r="N782" i="1" s="1"/>
  <c r="O782" i="1"/>
  <c r="K782" i="1"/>
  <c r="L782" i="1"/>
  <c r="M782" i="1"/>
  <c r="X358" i="1"/>
  <c r="AB358" i="1"/>
  <c r="AE358" i="1" s="1"/>
  <c r="Z358" i="1"/>
  <c r="W358" i="1"/>
  <c r="Y358" i="1"/>
  <c r="AA358" i="1"/>
  <c r="J782" i="1" l="1"/>
  <c r="P782" i="1" s="1"/>
  <c r="I783" i="1" s="1"/>
  <c r="AC358" i="1"/>
  <c r="V359" i="1" s="1"/>
  <c r="AF358" i="1" l="1"/>
  <c r="K783" i="1"/>
  <c r="J783" i="1"/>
  <c r="M783" i="1"/>
  <c r="O783" i="1"/>
  <c r="N783" i="1"/>
  <c r="L783" i="1"/>
  <c r="AB359" i="1"/>
  <c r="AE359" i="1" s="1"/>
  <c r="W359" i="1"/>
  <c r="Y359" i="1"/>
  <c r="AA359" i="1"/>
  <c r="Z359" i="1"/>
  <c r="X359" i="1"/>
  <c r="P783" i="1" l="1"/>
  <c r="I784" i="1" s="1"/>
  <c r="AC359" i="1"/>
  <c r="J784" i="1" l="1"/>
  <c r="M784" i="1"/>
  <c r="O784" i="1"/>
  <c r="K784" i="1"/>
  <c r="N784" i="1"/>
  <c r="L784" i="1"/>
  <c r="V360" i="1"/>
  <c r="AF359" i="1"/>
  <c r="AH4" i="1" l="1"/>
  <c r="AH3" i="1"/>
  <c r="AH7" i="1"/>
  <c r="AH9" i="1" s="1"/>
  <c r="AH12" i="1"/>
  <c r="AH13" i="1" s="1"/>
  <c r="AH11" i="1"/>
  <c r="AH16" i="1"/>
  <c r="AH17" i="1"/>
  <c r="AH14" i="1"/>
  <c r="AH15" i="1"/>
  <c r="P784" i="1"/>
  <c r="C34" i="1" s="1"/>
  <c r="X360" i="1"/>
  <c r="AB360" i="1"/>
  <c r="AE360" i="1" s="1"/>
  <c r="Y360" i="1"/>
  <c r="W360" i="1"/>
  <c r="AA360" i="1"/>
  <c r="Z360" i="1"/>
  <c r="AH19" i="1" l="1"/>
  <c r="AH20" i="1" s="1"/>
  <c r="AH18" i="1"/>
  <c r="AH8" i="1"/>
  <c r="AC360" i="1"/>
  <c r="V361" i="1" l="1"/>
  <c r="AF360" i="1"/>
  <c r="X361" i="1" l="1"/>
  <c r="W361" i="1"/>
  <c r="Y361" i="1"/>
  <c r="AA361" i="1"/>
  <c r="AB361" i="1"/>
  <c r="Z361" i="1"/>
  <c r="AC361" i="1" l="1"/>
  <c r="AF361" i="1"/>
  <c r="V362" i="1"/>
  <c r="AE361" i="1"/>
  <c r="AA362" i="1"/>
  <c r="Y362" i="1"/>
  <c r="X362" i="1" l="1"/>
  <c r="Z362" i="1"/>
  <c r="W362" i="1"/>
  <c r="AB362" i="1"/>
  <c r="AE362" i="1" s="1"/>
  <c r="AC362" i="1" l="1"/>
  <c r="AF362" i="1" l="1"/>
  <c r="V363" i="1"/>
  <c r="Y363" i="1" l="1"/>
  <c r="X363" i="1"/>
  <c r="Z363" i="1"/>
  <c r="W363" i="1"/>
  <c r="AB363" i="1"/>
  <c r="AA363" i="1"/>
  <c r="AC363" i="1" l="1"/>
  <c r="V364" i="1"/>
  <c r="AA364" i="1" s="1"/>
  <c r="AF363" i="1"/>
  <c r="AE363" i="1"/>
  <c r="Y364" i="1" l="1"/>
  <c r="Z364" i="1"/>
  <c r="W364" i="1"/>
  <c r="X364" i="1"/>
  <c r="AB364" i="1"/>
  <c r="AE364" i="1" s="1"/>
  <c r="AC364" i="1" l="1"/>
  <c r="AF364" i="1" l="1"/>
  <c r="V365" i="1"/>
  <c r="X365" i="1" l="1"/>
  <c r="W365" i="1"/>
  <c r="Z365" i="1"/>
  <c r="Y365" i="1"/>
  <c r="AB365" i="1"/>
  <c r="AA365" i="1"/>
  <c r="AC365" i="1" l="1"/>
  <c r="AF365" i="1" s="1"/>
  <c r="V366" i="1"/>
  <c r="Y366" i="1" s="1"/>
  <c r="AE365" i="1"/>
  <c r="AA366" i="1" l="1"/>
  <c r="Z366" i="1"/>
  <c r="W366" i="1"/>
  <c r="X366" i="1"/>
  <c r="AB366" i="1"/>
  <c r="AE366" i="1" s="1"/>
  <c r="AC366" i="1" l="1"/>
  <c r="AF366" i="1" l="1"/>
  <c r="V367" i="1"/>
  <c r="W367" i="1" l="1"/>
  <c r="X367" i="1"/>
  <c r="Z367" i="1"/>
  <c r="AB367" i="1"/>
  <c r="AE367" i="1" s="1"/>
  <c r="Y367" i="1"/>
  <c r="AA367" i="1"/>
  <c r="AC367" i="1" l="1"/>
  <c r="AF367" i="1" s="1"/>
  <c r="V368" i="1"/>
  <c r="Y368" i="1" s="1"/>
  <c r="X368" i="1" l="1"/>
  <c r="Z368" i="1"/>
  <c r="W368" i="1"/>
  <c r="AB368" i="1"/>
  <c r="AE368" i="1" s="1"/>
  <c r="AA368" i="1"/>
  <c r="AC368" i="1" l="1"/>
  <c r="V369" i="1" l="1"/>
  <c r="AF368" i="1"/>
  <c r="Z369" i="1" l="1"/>
  <c r="W369" i="1"/>
  <c r="X369" i="1"/>
  <c r="AB369" i="1"/>
  <c r="AA369" i="1"/>
  <c r="Y369" i="1"/>
  <c r="AC369" i="1" l="1"/>
  <c r="V370" i="1" s="1"/>
  <c r="AF369" i="1"/>
  <c r="AE369" i="1"/>
  <c r="Y370" i="1" l="1"/>
  <c r="AA370" i="1"/>
  <c r="X370" i="1"/>
  <c r="Z370" i="1"/>
  <c r="AB370" i="1"/>
  <c r="AE370" i="1" s="1"/>
  <c r="W370" i="1"/>
  <c r="AC370" i="1" l="1"/>
  <c r="AF370" i="1" l="1"/>
  <c r="V371" i="1"/>
  <c r="W371" i="1" l="1"/>
  <c r="Z371" i="1"/>
  <c r="X371" i="1"/>
  <c r="AB371" i="1"/>
  <c r="AA371" i="1"/>
  <c r="Y371" i="1"/>
  <c r="AC371" i="1" l="1"/>
  <c r="V372" i="1" s="1"/>
  <c r="Y372" i="1" s="1"/>
  <c r="AE371" i="1"/>
  <c r="AF371" i="1" l="1"/>
  <c r="Z372" i="1"/>
  <c r="W372" i="1"/>
  <c r="X372" i="1"/>
  <c r="AB372" i="1"/>
  <c r="AE372" i="1" s="1"/>
  <c r="AA372" i="1"/>
  <c r="AC372" i="1" l="1"/>
  <c r="V373" i="1" s="1"/>
  <c r="AF372" i="1"/>
  <c r="X373" i="1" l="1"/>
  <c r="Y373" i="1"/>
  <c r="Z373" i="1"/>
  <c r="W373" i="1"/>
  <c r="AB373" i="1"/>
  <c r="AE373" i="1" s="1"/>
  <c r="AA373" i="1"/>
  <c r="AC373" i="1" l="1"/>
  <c r="AF373" i="1" l="1"/>
  <c r="V374" i="1"/>
  <c r="Z374" i="1" l="1"/>
  <c r="X374" i="1"/>
  <c r="W374" i="1"/>
  <c r="AB374" i="1"/>
  <c r="AE374" i="1" s="1"/>
  <c r="Y374" i="1"/>
  <c r="AA374" i="1"/>
  <c r="AC374" i="1" l="1"/>
  <c r="AF374" i="1" s="1"/>
  <c r="V375" i="1" l="1"/>
  <c r="Y375" i="1" s="1"/>
  <c r="Z375" i="1"/>
  <c r="AB375" i="1"/>
  <c r="AE375" i="1" s="1"/>
  <c r="AA375" i="1"/>
  <c r="X375" i="1"/>
  <c r="W375" i="1" l="1"/>
  <c r="AC375" i="1" s="1"/>
  <c r="V376" i="1" l="1"/>
  <c r="AF375" i="1"/>
  <c r="Y376" i="1" l="1"/>
  <c r="X376" i="1"/>
  <c r="W376" i="1"/>
  <c r="Z376" i="1"/>
  <c r="AB376" i="1"/>
  <c r="AA376" i="1"/>
  <c r="AC376" i="1" l="1"/>
  <c r="V377" i="1" s="1"/>
  <c r="AF376" i="1"/>
  <c r="AE376" i="1"/>
  <c r="Y377" i="1" l="1"/>
  <c r="AA377" i="1"/>
  <c r="AB377" i="1"/>
  <c r="AE377" i="1" s="1"/>
  <c r="W377" i="1"/>
  <c r="X377" i="1"/>
  <c r="Z377" i="1"/>
  <c r="AC377" i="1" s="1"/>
  <c r="AF377" i="1" l="1"/>
  <c r="V378" i="1"/>
  <c r="Z378" i="1" l="1"/>
  <c r="W378" i="1"/>
  <c r="X378" i="1"/>
  <c r="AA378" i="1"/>
  <c r="AB378" i="1"/>
  <c r="Y378" i="1"/>
  <c r="AE378" i="1" l="1"/>
  <c r="AC378" i="1"/>
  <c r="AF378" i="1" l="1"/>
  <c r="AG378" i="1" s="1"/>
  <c r="V379" i="1"/>
  <c r="AA379" i="1" l="1"/>
  <c r="W379" i="1"/>
  <c r="AB379" i="1"/>
  <c r="X379" i="1"/>
  <c r="Z379" i="1"/>
  <c r="Y379" i="1"/>
  <c r="AC379" i="1" l="1"/>
  <c r="AE379" i="1"/>
  <c r="AF379" i="1"/>
  <c r="AG379" i="1" s="1"/>
  <c r="V380" i="1"/>
  <c r="AA380" i="1" s="1"/>
  <c r="W380" i="1" l="1"/>
  <c r="X380" i="1"/>
  <c r="Z380" i="1"/>
  <c r="AB380" i="1"/>
  <c r="AE380" i="1" s="1"/>
  <c r="Y380" i="1"/>
  <c r="AC380" i="1" l="1"/>
  <c r="AF380" i="1" s="1"/>
  <c r="AG380" i="1" s="1"/>
  <c r="V381" i="1"/>
  <c r="AA381" i="1" s="1"/>
  <c r="AB381" i="1" l="1"/>
  <c r="AE381" i="1" s="1"/>
  <c r="Y381" i="1"/>
  <c r="X381" i="1"/>
  <c r="Z381" i="1"/>
  <c r="W381" i="1"/>
  <c r="AC381" i="1" l="1"/>
  <c r="V382" i="1" s="1"/>
  <c r="AF381" i="1" l="1"/>
  <c r="AG381" i="1" s="1"/>
  <c r="AA382" i="1"/>
  <c r="AB382" i="1"/>
  <c r="AE382" i="1" s="1"/>
  <c r="W382" i="1"/>
  <c r="X382" i="1"/>
  <c r="Y382" i="1"/>
  <c r="Z382" i="1"/>
  <c r="AC382" i="1" l="1"/>
  <c r="AF382" i="1" l="1"/>
  <c r="V383" i="1"/>
  <c r="X383" i="1" l="1"/>
  <c r="Y383" i="1"/>
  <c r="AB383" i="1"/>
  <c r="AE383" i="1" s="1"/>
  <c r="AA383" i="1"/>
  <c r="Z383" i="1"/>
  <c r="W383" i="1"/>
  <c r="AC383" i="1" l="1"/>
  <c r="V384" i="1" s="1"/>
  <c r="AF383" i="1"/>
  <c r="W384" i="1" l="1"/>
  <c r="AB384" i="1"/>
  <c r="AE384" i="1" s="1"/>
  <c r="X384" i="1"/>
  <c r="Y384" i="1"/>
  <c r="AA384" i="1"/>
  <c r="Z384" i="1"/>
  <c r="AC384" i="1" l="1"/>
  <c r="V385" i="1" l="1"/>
  <c r="AF384" i="1"/>
  <c r="Z385" i="1" l="1"/>
  <c r="AB385" i="1"/>
  <c r="AE385" i="1" s="1"/>
  <c r="X385" i="1"/>
  <c r="W385" i="1"/>
  <c r="Y385" i="1"/>
  <c r="AA385" i="1"/>
  <c r="AC385" i="1" l="1"/>
  <c r="AF385" i="1" s="1"/>
  <c r="V386" i="1"/>
  <c r="AA386" i="1" s="1"/>
  <c r="W386" i="1" l="1"/>
  <c r="Z386" i="1"/>
  <c r="X386" i="1"/>
  <c r="AB386" i="1"/>
  <c r="Y386" i="1"/>
  <c r="AE386" i="1" l="1"/>
  <c r="AC386" i="1"/>
  <c r="AF386" i="1" l="1"/>
  <c r="V387" i="1"/>
  <c r="AA387" i="1" l="1"/>
  <c r="W387" i="1"/>
  <c r="X387" i="1"/>
  <c r="AB387" i="1"/>
  <c r="AE387" i="1" s="1"/>
  <c r="Z387" i="1"/>
  <c r="Y387" i="1"/>
  <c r="AC387" i="1" l="1"/>
  <c r="V388" i="1"/>
  <c r="Y388" i="1" s="1"/>
  <c r="AF387" i="1"/>
  <c r="X388" i="1" l="1"/>
  <c r="Z388" i="1"/>
  <c r="AB388" i="1"/>
  <c r="W388" i="1"/>
  <c r="AA388" i="1"/>
  <c r="AC388" i="1" s="1"/>
  <c r="AF388" i="1" l="1"/>
  <c r="V389" i="1"/>
  <c r="AE388" i="1"/>
  <c r="AA389" i="1"/>
  <c r="Y389" i="1"/>
  <c r="Z389" i="1" l="1"/>
  <c r="X389" i="1"/>
  <c r="W389" i="1"/>
  <c r="AB389" i="1"/>
  <c r="AE389" i="1" s="1"/>
  <c r="AC389" i="1" l="1"/>
  <c r="AF389" i="1" l="1"/>
  <c r="V390" i="1"/>
  <c r="W390" i="1" l="1"/>
  <c r="Z390" i="1"/>
  <c r="AB390" i="1"/>
  <c r="AE390" i="1" s="1"/>
  <c r="Y390" i="1"/>
  <c r="X390" i="1"/>
  <c r="AA390" i="1"/>
  <c r="AC390" i="1" l="1"/>
  <c r="AF390" i="1" s="1"/>
  <c r="V391" i="1"/>
  <c r="W391" i="1" l="1"/>
  <c r="Z391" i="1"/>
  <c r="AA391" i="1"/>
  <c r="AB391" i="1"/>
  <c r="AE391" i="1" s="1"/>
  <c r="X391" i="1"/>
  <c r="Y391" i="1"/>
  <c r="AC391" i="1" l="1"/>
  <c r="V392" i="1" l="1"/>
  <c r="AF391" i="1"/>
  <c r="W392" i="1" l="1"/>
  <c r="X392" i="1"/>
  <c r="Z392" i="1"/>
  <c r="Y392" i="1"/>
  <c r="AA392" i="1"/>
  <c r="AB392" i="1"/>
  <c r="AE392" i="1" s="1"/>
  <c r="AC392" i="1" l="1"/>
  <c r="AF392" i="1" l="1"/>
  <c r="V393" i="1"/>
  <c r="AA393" i="1" l="1"/>
  <c r="W393" i="1"/>
  <c r="X393" i="1"/>
  <c r="AB393" i="1"/>
  <c r="AE393" i="1" s="1"/>
  <c r="Z393" i="1"/>
  <c r="Y393" i="1"/>
  <c r="AC393" i="1" l="1"/>
  <c r="AF393" i="1" s="1"/>
  <c r="V394" i="1" l="1"/>
  <c r="Y394" i="1"/>
  <c r="W394" i="1"/>
  <c r="AB394" i="1"/>
  <c r="Z394" i="1"/>
  <c r="X394" i="1"/>
  <c r="AA394" i="1"/>
  <c r="AC394" i="1" l="1"/>
  <c r="AF394" i="1" s="1"/>
  <c r="V395" i="1"/>
  <c r="AA395" i="1" s="1"/>
  <c r="AE394" i="1"/>
  <c r="Y395" i="1" l="1"/>
  <c r="AB395" i="1"/>
  <c r="X395" i="1"/>
  <c r="Z395" i="1"/>
  <c r="W395" i="1"/>
  <c r="AC395" i="1" l="1"/>
  <c r="AF395" i="1"/>
  <c r="V396" i="1"/>
  <c r="AE395" i="1"/>
  <c r="AA396" i="1"/>
  <c r="X396" i="1" l="1"/>
  <c r="AB396" i="1"/>
  <c r="AE396" i="1" s="1"/>
  <c r="W396" i="1"/>
  <c r="Z396" i="1"/>
  <c r="Y396" i="1"/>
  <c r="AC396" i="1" s="1"/>
  <c r="AF396" i="1" l="1"/>
  <c r="V397" i="1"/>
  <c r="X397" i="1" l="1"/>
  <c r="AA397" i="1"/>
  <c r="Y397" i="1"/>
  <c r="AB397" i="1"/>
  <c r="AE397" i="1" s="1"/>
  <c r="Z397" i="1"/>
  <c r="W397" i="1"/>
  <c r="AC397" i="1" l="1"/>
  <c r="V398" i="1" s="1"/>
  <c r="W398" i="1" s="1"/>
  <c r="AB398" i="1"/>
  <c r="X398" i="1"/>
  <c r="Z398" i="1"/>
  <c r="Y398" i="1"/>
  <c r="AA398" i="1"/>
  <c r="AF397" i="1" l="1"/>
  <c r="AC398" i="1"/>
  <c r="AE398" i="1"/>
  <c r="AF398" i="1" l="1"/>
  <c r="V399" i="1"/>
  <c r="Z399" i="1" l="1"/>
  <c r="W399" i="1"/>
  <c r="AB399" i="1"/>
  <c r="AE399" i="1" s="1"/>
  <c r="X399" i="1"/>
  <c r="Y399" i="1"/>
  <c r="AA399" i="1"/>
  <c r="AC399" i="1" l="1"/>
  <c r="AF399" i="1" s="1"/>
  <c r="V400" i="1" l="1"/>
  <c r="AB400" i="1" s="1"/>
  <c r="AE400" i="1" s="1"/>
  <c r="Z400" i="1"/>
  <c r="X400" i="1"/>
  <c r="Y400" i="1"/>
  <c r="AA400" i="1"/>
  <c r="W400" i="1" l="1"/>
  <c r="AC400" i="1" s="1"/>
  <c r="AF400" i="1" s="1"/>
  <c r="V401" i="1" l="1"/>
  <c r="Y401" i="1" s="1"/>
  <c r="AB401" i="1"/>
  <c r="AE401" i="1" s="1"/>
  <c r="Z401" i="1"/>
  <c r="AA401" i="1"/>
  <c r="X401" i="1" l="1"/>
  <c r="W401" i="1"/>
  <c r="AC401" i="1"/>
  <c r="V402" i="1" s="1"/>
  <c r="AA402" i="1" s="1"/>
  <c r="AF401" i="1" l="1"/>
  <c r="Y402" i="1"/>
  <c r="W402" i="1"/>
  <c r="X402" i="1"/>
  <c r="Z402" i="1"/>
  <c r="AB402" i="1"/>
  <c r="AC402" i="1" l="1"/>
  <c r="AE402" i="1"/>
  <c r="V403" i="1" l="1"/>
  <c r="AF402" i="1"/>
  <c r="Y403" i="1" l="1"/>
  <c r="W403" i="1"/>
  <c r="Z403" i="1"/>
  <c r="X403" i="1"/>
  <c r="AB403" i="1"/>
  <c r="AE403" i="1" s="1"/>
  <c r="AA403" i="1"/>
  <c r="AC403" i="1" l="1"/>
  <c r="AF403" i="1" s="1"/>
  <c r="V404" i="1" l="1"/>
  <c r="X404" i="1" s="1"/>
  <c r="AB404" i="1"/>
  <c r="AE404" i="1" s="1"/>
  <c r="W404" i="1"/>
  <c r="Z404" i="1"/>
  <c r="AA404" i="1"/>
  <c r="Y404" i="1"/>
  <c r="AC404" i="1" l="1"/>
  <c r="V405" i="1" s="1"/>
  <c r="AF404" i="1" l="1"/>
  <c r="X405" i="1"/>
  <c r="Z405" i="1"/>
  <c r="W405" i="1"/>
  <c r="AB405" i="1"/>
  <c r="AE405" i="1" s="1"/>
  <c r="AA405" i="1"/>
  <c r="Y405" i="1"/>
  <c r="AC405" i="1" l="1"/>
  <c r="V406" i="1" s="1"/>
  <c r="AF405" i="1" l="1"/>
  <c r="W406" i="1"/>
  <c r="X406" i="1"/>
  <c r="Z406" i="1"/>
  <c r="AB406" i="1"/>
  <c r="Y406" i="1"/>
  <c r="AA406" i="1"/>
  <c r="AC406" i="1" l="1"/>
  <c r="V407" i="1" s="1"/>
  <c r="Y407" i="1" s="1"/>
  <c r="AE406" i="1"/>
  <c r="AF406" i="1" l="1"/>
  <c r="AB407" i="1"/>
  <c r="AE407" i="1" s="1"/>
  <c r="W407" i="1"/>
  <c r="X407" i="1"/>
  <c r="Z407" i="1"/>
  <c r="AA407" i="1"/>
  <c r="AC407" i="1" l="1"/>
  <c r="AF407" i="1" s="1"/>
  <c r="V408" i="1" l="1"/>
  <c r="W408" i="1" s="1"/>
  <c r="X408" i="1"/>
  <c r="Z408" i="1"/>
  <c r="AB408" i="1"/>
  <c r="Y408" i="1"/>
  <c r="AA408" i="1"/>
  <c r="AC408" i="1" l="1"/>
  <c r="AE408" i="1"/>
  <c r="V409" i="1" l="1"/>
  <c r="AF408" i="1"/>
  <c r="Y409" i="1" l="1"/>
  <c r="X409" i="1"/>
  <c r="W409" i="1"/>
  <c r="AB409" i="1"/>
  <c r="AE409" i="1" s="1"/>
  <c r="Z409" i="1"/>
  <c r="AA409" i="1"/>
  <c r="AC409" i="1" l="1"/>
  <c r="V410" i="1" s="1"/>
  <c r="AF409" i="1" l="1"/>
  <c r="Z410" i="1"/>
  <c r="W410" i="1"/>
  <c r="X410" i="1"/>
  <c r="AB410" i="1"/>
  <c r="AA410" i="1"/>
  <c r="Y410" i="1"/>
  <c r="AC410" i="1" l="1"/>
  <c r="V411" i="1" s="1"/>
  <c r="Y411" i="1" s="1"/>
  <c r="AE410" i="1"/>
  <c r="AF410" i="1" l="1"/>
  <c r="AA411" i="1"/>
  <c r="W411" i="1"/>
  <c r="X411" i="1"/>
  <c r="Z411" i="1"/>
  <c r="AB411" i="1"/>
  <c r="AE411" i="1" s="1"/>
  <c r="AC411" i="1" l="1"/>
  <c r="AF411" i="1" s="1"/>
  <c r="V412" i="1" l="1"/>
  <c r="X412" i="1" s="1"/>
  <c r="AB412" i="1"/>
  <c r="AE412" i="1" s="1"/>
  <c r="Y412" i="1"/>
  <c r="Z412" i="1" l="1"/>
  <c r="AA412" i="1"/>
  <c r="W412" i="1"/>
  <c r="AC412" i="1" l="1"/>
  <c r="V413" i="1" s="1"/>
  <c r="AF412" i="1"/>
  <c r="Z413" i="1" l="1"/>
  <c r="W413" i="1"/>
  <c r="Y413" i="1"/>
  <c r="X413" i="1"/>
  <c r="AB413" i="1"/>
  <c r="AE413" i="1" s="1"/>
  <c r="AA413" i="1"/>
  <c r="AC413" i="1" l="1"/>
  <c r="AF413" i="1" s="1"/>
  <c r="V414" i="1" l="1"/>
  <c r="X414" i="1" s="1"/>
  <c r="AB414" i="1"/>
  <c r="AE414" i="1" s="1"/>
  <c r="Z414" i="1"/>
  <c r="AA414" i="1"/>
  <c r="W414" i="1" l="1"/>
  <c r="Y414" i="1"/>
  <c r="AC414" i="1" s="1"/>
  <c r="V415" i="1" l="1"/>
  <c r="AF414" i="1"/>
  <c r="W415" i="1" l="1"/>
  <c r="X415" i="1"/>
  <c r="Y415" i="1"/>
  <c r="Z415" i="1"/>
  <c r="AA415" i="1"/>
  <c r="AB415" i="1"/>
  <c r="AE415" i="1" s="1"/>
  <c r="AC415" i="1" l="1"/>
  <c r="V416" i="1" s="1"/>
  <c r="Y416" i="1" s="1"/>
  <c r="AF415" i="1" l="1"/>
  <c r="Z416" i="1"/>
  <c r="W416" i="1"/>
  <c r="AA416" i="1"/>
  <c r="AB416" i="1"/>
  <c r="AE416" i="1" s="1"/>
  <c r="X416" i="1"/>
  <c r="AC416" i="1" l="1"/>
  <c r="V417" i="1" s="1"/>
  <c r="AF416" i="1" l="1"/>
  <c r="X417" i="1"/>
  <c r="Z417" i="1"/>
  <c r="W417" i="1"/>
  <c r="AA417" i="1"/>
  <c r="AB417" i="1"/>
  <c r="AE417" i="1" s="1"/>
  <c r="Y417" i="1"/>
  <c r="AC417" i="1" l="1"/>
  <c r="V418" i="1" s="1"/>
  <c r="AA418" i="1" s="1"/>
  <c r="AF417" i="1" l="1"/>
  <c r="W418" i="1"/>
  <c r="AB418" i="1"/>
  <c r="AE418" i="1" s="1"/>
  <c r="Z418" i="1"/>
  <c r="X418" i="1"/>
  <c r="Y418" i="1"/>
  <c r="AC418" i="1" l="1"/>
  <c r="V419" i="1" l="1"/>
  <c r="AF418" i="1"/>
  <c r="AB419" i="1" l="1"/>
  <c r="AE419" i="1" s="1"/>
  <c r="X419" i="1"/>
  <c r="W419" i="1"/>
  <c r="Y419" i="1"/>
  <c r="AA419" i="1"/>
  <c r="Z419" i="1"/>
  <c r="AC419" i="1" l="1"/>
  <c r="AF419" i="1" l="1"/>
  <c r="V420" i="1"/>
  <c r="AB420" i="1" l="1"/>
  <c r="AE420" i="1" s="1"/>
  <c r="W420" i="1"/>
  <c r="X420" i="1"/>
  <c r="Z420" i="1"/>
  <c r="AA420" i="1"/>
  <c r="Y420" i="1"/>
  <c r="AC420" i="1" l="1"/>
  <c r="V421" i="1" s="1"/>
  <c r="AF420" i="1" l="1"/>
  <c r="AB421" i="1"/>
  <c r="AE421" i="1" s="1"/>
  <c r="Z421" i="1"/>
  <c r="AA421" i="1"/>
  <c r="Y421" i="1"/>
  <c r="W421" i="1"/>
  <c r="X421" i="1"/>
  <c r="AC421" i="1" l="1"/>
  <c r="AF421" i="1" l="1"/>
  <c r="V422" i="1"/>
  <c r="AA422" i="1" l="1"/>
  <c r="W422" i="1"/>
  <c r="AB422" i="1"/>
  <c r="AE422" i="1" s="1"/>
  <c r="X422" i="1"/>
  <c r="Y422" i="1"/>
  <c r="Z422" i="1"/>
  <c r="AC422" i="1" l="1"/>
  <c r="AF422" i="1" s="1"/>
  <c r="V423" i="1" l="1"/>
  <c r="AA423" i="1" s="1"/>
  <c r="W423" i="1" l="1"/>
  <c r="AB423" i="1"/>
  <c r="AE423" i="1" s="1"/>
  <c r="X423" i="1"/>
  <c r="Z423" i="1"/>
  <c r="Y423" i="1"/>
  <c r="AC423" i="1" l="1"/>
  <c r="V424" i="1" s="1"/>
  <c r="AF423" i="1" l="1"/>
  <c r="Z424" i="1"/>
  <c r="AB424" i="1"/>
  <c r="AE424" i="1" s="1"/>
  <c r="W424" i="1"/>
  <c r="AA424" i="1"/>
  <c r="X424" i="1"/>
  <c r="Y424" i="1"/>
  <c r="AC424" i="1" l="1"/>
  <c r="AF424" i="1" l="1"/>
  <c r="V425" i="1"/>
  <c r="AB425" i="1" l="1"/>
  <c r="X425" i="1"/>
  <c r="W425" i="1"/>
  <c r="Z425" i="1"/>
  <c r="Y425" i="1"/>
  <c r="AA425" i="1"/>
  <c r="AC425" i="1" l="1"/>
  <c r="AF425" i="1" s="1"/>
  <c r="AE425" i="1"/>
  <c r="V426" i="1" l="1"/>
  <c r="AB426" i="1" s="1"/>
  <c r="AE426" i="1" s="1"/>
  <c r="Z426" i="1" l="1"/>
  <c r="X426" i="1"/>
  <c r="W426" i="1"/>
  <c r="AA426" i="1"/>
  <c r="Y426" i="1"/>
  <c r="AC426" i="1" s="1"/>
  <c r="AF426" i="1" l="1"/>
  <c r="V427" i="1"/>
  <c r="Z427" i="1" s="1"/>
  <c r="Y427" i="1" l="1"/>
  <c r="W427" i="1"/>
  <c r="AB427" i="1"/>
  <c r="AE427" i="1" s="1"/>
  <c r="X427" i="1"/>
  <c r="AA427" i="1"/>
  <c r="AC427" i="1" s="1"/>
  <c r="V428" i="1" l="1"/>
  <c r="AF427" i="1"/>
  <c r="Y428" i="1"/>
  <c r="Z428" i="1"/>
  <c r="W428" i="1"/>
  <c r="X428" i="1" l="1"/>
  <c r="AB428" i="1"/>
  <c r="AE428" i="1" s="1"/>
  <c r="AA428" i="1"/>
  <c r="AC428" i="1" s="1"/>
  <c r="V429" i="1" l="1"/>
  <c r="AF428" i="1"/>
  <c r="AB429" i="1" l="1"/>
  <c r="AE429" i="1" s="1"/>
  <c r="Y429" i="1"/>
  <c r="Z429" i="1"/>
  <c r="W429" i="1"/>
  <c r="X429" i="1"/>
  <c r="AA429" i="1"/>
  <c r="AC429" i="1" l="1"/>
  <c r="V430" i="1" l="1"/>
  <c r="AF429" i="1"/>
  <c r="Z430" i="1" l="1"/>
  <c r="X430" i="1"/>
  <c r="AB430" i="1"/>
  <c r="AE430" i="1" s="1"/>
  <c r="Y430" i="1"/>
  <c r="W430" i="1"/>
  <c r="AA430" i="1"/>
  <c r="AC430" i="1" l="1"/>
  <c r="AF430" i="1" l="1"/>
  <c r="V431" i="1"/>
  <c r="X431" i="1" l="1"/>
  <c r="Y431" i="1"/>
  <c r="AA431" i="1"/>
  <c r="AB431" i="1"/>
  <c r="Z431" i="1"/>
  <c r="W431" i="1"/>
  <c r="AE431" i="1" l="1"/>
  <c r="AC431" i="1"/>
  <c r="V432" i="1" l="1"/>
  <c r="AF431" i="1"/>
  <c r="W432" i="1" l="1"/>
  <c r="AB432" i="1"/>
  <c r="Z432" i="1"/>
  <c r="X432" i="1"/>
  <c r="AA432" i="1"/>
  <c r="Y432" i="1"/>
  <c r="AC432" i="1" l="1"/>
  <c r="V433" i="1" s="1"/>
  <c r="AF432" i="1"/>
  <c r="AE432" i="1"/>
  <c r="Y433" i="1" l="1"/>
  <c r="AA433" i="1"/>
  <c r="Z433" i="1"/>
  <c r="W433" i="1"/>
  <c r="X433" i="1"/>
  <c r="AB433" i="1"/>
  <c r="AE433" i="1" s="1"/>
  <c r="AC433" i="1" l="1"/>
  <c r="V434" i="1" l="1"/>
  <c r="AF433" i="1"/>
  <c r="Z434" i="1" l="1"/>
  <c r="X434" i="1"/>
  <c r="W434" i="1"/>
  <c r="Y434" i="1"/>
  <c r="AB434" i="1"/>
  <c r="AE434" i="1" s="1"/>
  <c r="AA434" i="1"/>
  <c r="AC434" i="1" l="1"/>
  <c r="V435" i="1" s="1"/>
  <c r="Y435" i="1" s="1"/>
  <c r="AF434" i="1" l="1"/>
  <c r="W435" i="1"/>
  <c r="X435" i="1"/>
  <c r="AA435" i="1"/>
  <c r="Z435" i="1"/>
  <c r="AB435" i="1"/>
  <c r="AE435" i="1" s="1"/>
  <c r="AC435" i="1" l="1"/>
  <c r="AF435" i="1" l="1"/>
  <c r="V436" i="1"/>
  <c r="Y436" i="1" l="1"/>
  <c r="Z436" i="1"/>
  <c r="W436" i="1"/>
  <c r="X436" i="1"/>
  <c r="AB436" i="1"/>
  <c r="AE436" i="1" s="1"/>
  <c r="AA436" i="1"/>
  <c r="AC436" i="1" l="1"/>
  <c r="AF436" i="1" s="1"/>
  <c r="V437" i="1" l="1"/>
  <c r="Z437" i="1"/>
  <c r="Y437" i="1"/>
  <c r="W437" i="1"/>
  <c r="X437" i="1"/>
  <c r="AB437" i="1"/>
  <c r="AE437" i="1" s="1"/>
  <c r="AA437" i="1"/>
  <c r="AC437" i="1" l="1"/>
  <c r="AF437" i="1" l="1"/>
  <c r="V438" i="1"/>
  <c r="AB438" i="1" l="1"/>
  <c r="AE438" i="1" s="1"/>
  <c r="Z438" i="1"/>
  <c r="W438" i="1"/>
  <c r="X438" i="1"/>
  <c r="Y438" i="1"/>
  <c r="AA438" i="1"/>
  <c r="AC438" i="1" l="1"/>
  <c r="V439" i="1" s="1"/>
  <c r="AA439" i="1" s="1"/>
  <c r="AF438" i="1"/>
  <c r="Z439" i="1" l="1"/>
  <c r="X439" i="1"/>
  <c r="Y439" i="1"/>
  <c r="W439" i="1"/>
  <c r="AB439" i="1"/>
  <c r="AE439" i="1" s="1"/>
  <c r="AC439" i="1" l="1"/>
  <c r="V440" i="1" l="1"/>
  <c r="AF439" i="1"/>
  <c r="W440" i="1" l="1"/>
  <c r="Z440" i="1"/>
  <c r="X440" i="1"/>
  <c r="AB440" i="1"/>
  <c r="Y440" i="1"/>
  <c r="AA440" i="1"/>
  <c r="AE440" i="1" l="1"/>
  <c r="AC440" i="1"/>
  <c r="V441" i="1" l="1"/>
  <c r="AF440" i="1"/>
  <c r="Z441" i="1" l="1"/>
  <c r="X441" i="1"/>
  <c r="AB441" i="1"/>
  <c r="AE441" i="1" s="1"/>
  <c r="W441" i="1"/>
  <c r="AA441" i="1"/>
  <c r="Y441" i="1"/>
  <c r="AC441" i="1" l="1"/>
  <c r="AF441" i="1" s="1"/>
  <c r="V442" i="1" l="1"/>
  <c r="Y442" i="1" s="1"/>
  <c r="AA442" i="1" l="1"/>
  <c r="X442" i="1"/>
  <c r="AB442" i="1"/>
  <c r="AE442" i="1" s="1"/>
  <c r="Z442" i="1"/>
  <c r="W442" i="1"/>
  <c r="AC442" i="1" l="1"/>
  <c r="V443" i="1" s="1"/>
  <c r="AA443" i="1" s="1"/>
  <c r="AB443" i="1"/>
  <c r="AE443" i="1" s="1"/>
  <c r="Z443" i="1"/>
  <c r="W443" i="1"/>
  <c r="X443" i="1"/>
  <c r="Y443" i="1" l="1"/>
  <c r="AC443" i="1" s="1"/>
  <c r="AF442" i="1"/>
  <c r="AF443" i="1" l="1"/>
  <c r="V444" i="1"/>
  <c r="Y444" i="1" s="1"/>
  <c r="AA444" i="1"/>
  <c r="X444" i="1"/>
  <c r="AB444" i="1"/>
  <c r="AE444" i="1" s="1"/>
  <c r="Z444" i="1"/>
  <c r="W444" i="1"/>
  <c r="AC444" i="1" l="1"/>
  <c r="V445" i="1" s="1"/>
  <c r="Y445" i="1" s="1"/>
  <c r="AF444" i="1" l="1"/>
  <c r="AA445" i="1"/>
  <c r="Z445" i="1"/>
  <c r="X445" i="1"/>
  <c r="AB445" i="1"/>
  <c r="W445" i="1"/>
  <c r="AC445" i="1" l="1"/>
  <c r="AE445" i="1"/>
  <c r="AF445" i="1" l="1"/>
  <c r="V446" i="1"/>
  <c r="Y446" i="1" l="1"/>
  <c r="AA446" i="1"/>
  <c r="AB446" i="1"/>
  <c r="W446" i="1"/>
  <c r="Z446" i="1"/>
  <c r="X446" i="1"/>
  <c r="AC446" i="1" l="1"/>
  <c r="AE446" i="1"/>
  <c r="AF446" i="1" l="1"/>
  <c r="V447" i="1"/>
  <c r="AA447" i="1" l="1"/>
  <c r="Y447" i="1"/>
  <c r="Z447" i="1"/>
  <c r="W447" i="1"/>
  <c r="X447" i="1"/>
  <c r="AB447" i="1"/>
  <c r="AE447" i="1" s="1"/>
  <c r="AC447" i="1" l="1"/>
  <c r="AF447" i="1" s="1"/>
  <c r="V448" i="1" l="1"/>
  <c r="AA448" i="1" s="1"/>
  <c r="X448" i="1" l="1"/>
  <c r="AB448" i="1"/>
  <c r="AE448" i="1" s="1"/>
  <c r="Z448" i="1"/>
  <c r="W448" i="1"/>
  <c r="Y448" i="1"/>
  <c r="AC448" i="1" s="1"/>
  <c r="AF448" i="1" l="1"/>
  <c r="V449" i="1"/>
  <c r="AA449" i="1" l="1"/>
  <c r="Y449" i="1"/>
  <c r="Z449" i="1"/>
  <c r="X449" i="1"/>
  <c r="W449" i="1"/>
  <c r="AB449" i="1"/>
  <c r="AE449" i="1" s="1"/>
  <c r="AC449" i="1" l="1"/>
  <c r="V450" i="1"/>
  <c r="Y450" i="1" s="1"/>
  <c r="AF449" i="1"/>
  <c r="AA450" i="1" l="1"/>
  <c r="X450" i="1"/>
  <c r="W450" i="1"/>
  <c r="AB450" i="1"/>
  <c r="AE450" i="1" s="1"/>
  <c r="Z450" i="1"/>
  <c r="AC450" i="1" l="1"/>
  <c r="V451" i="1" s="1"/>
  <c r="AA451" i="1" s="1"/>
  <c r="AF450" i="1" l="1"/>
  <c r="Y451" i="1"/>
  <c r="Z451" i="1"/>
  <c r="W451" i="1"/>
  <c r="X451" i="1"/>
  <c r="AB451" i="1"/>
  <c r="AE451" i="1" l="1"/>
  <c r="AC451" i="1"/>
  <c r="V452" i="1" l="1"/>
  <c r="AF451" i="1"/>
  <c r="Y452" i="1" l="1"/>
  <c r="AA452" i="1"/>
  <c r="AB452" i="1"/>
  <c r="X452" i="1"/>
  <c r="W452" i="1"/>
  <c r="Z452" i="1"/>
  <c r="AC452" i="1" l="1"/>
  <c r="AE452" i="1"/>
  <c r="AF452" i="1" l="1"/>
  <c r="V453" i="1"/>
  <c r="Y453" i="1" l="1"/>
  <c r="AA453" i="1"/>
  <c r="Z453" i="1"/>
  <c r="W453" i="1"/>
  <c r="X453" i="1"/>
  <c r="AB453" i="1"/>
  <c r="AE453" i="1" s="1"/>
  <c r="AC453" i="1" l="1"/>
  <c r="V454" i="1" s="1"/>
  <c r="Y454" i="1" s="1"/>
  <c r="AA454" i="1" l="1"/>
  <c r="AF453" i="1"/>
  <c r="W454" i="1"/>
  <c r="AB454" i="1"/>
  <c r="AE454" i="1" s="1"/>
  <c r="Z454" i="1"/>
  <c r="X454" i="1"/>
  <c r="AC454" i="1" l="1"/>
  <c r="AF454" i="1" s="1"/>
  <c r="V455" i="1" l="1"/>
  <c r="Y455" i="1" s="1"/>
  <c r="AB455" i="1" l="1"/>
  <c r="AE455" i="1" s="1"/>
  <c r="W455" i="1"/>
  <c r="X455" i="1"/>
  <c r="Z455" i="1"/>
  <c r="AA455" i="1"/>
  <c r="AC455" i="1" l="1"/>
  <c r="AF455" i="1" s="1"/>
  <c r="V456" i="1" l="1"/>
  <c r="AA456" i="1" s="1"/>
  <c r="AB456" i="1"/>
  <c r="W456" i="1"/>
  <c r="X456" i="1"/>
  <c r="Z456" i="1"/>
  <c r="Y456" i="1" l="1"/>
  <c r="AC456" i="1" s="1"/>
  <c r="AE456" i="1"/>
  <c r="V457" i="1" l="1"/>
  <c r="AF456" i="1"/>
  <c r="Y457" i="1" l="1"/>
  <c r="AA457" i="1"/>
  <c r="W457" i="1"/>
  <c r="Z457" i="1"/>
  <c r="AB457" i="1"/>
  <c r="AE457" i="1" s="1"/>
  <c r="X457" i="1"/>
  <c r="AC457" i="1" l="1"/>
  <c r="AF457" i="1" l="1"/>
  <c r="V458" i="1"/>
  <c r="AA458" i="1" l="1"/>
  <c r="Y458" i="1"/>
  <c r="AB458" i="1"/>
  <c r="AE458" i="1" s="1"/>
  <c r="W458" i="1"/>
  <c r="X458" i="1"/>
  <c r="Z458" i="1"/>
  <c r="AC458" i="1" l="1"/>
  <c r="V459" i="1" s="1"/>
  <c r="AF458" i="1" l="1"/>
  <c r="Y459" i="1"/>
  <c r="AA459" i="1"/>
  <c r="W459" i="1"/>
  <c r="X459" i="1"/>
  <c r="AB459" i="1"/>
  <c r="AE459" i="1" s="1"/>
  <c r="Z459" i="1"/>
  <c r="AC459" i="1" l="1"/>
  <c r="AF459" i="1" l="1"/>
  <c r="V460" i="1"/>
  <c r="Y460" i="1" l="1"/>
  <c r="AA460" i="1"/>
  <c r="W460" i="1"/>
  <c r="Z460" i="1"/>
  <c r="X460" i="1"/>
  <c r="AB460" i="1"/>
  <c r="AE460" i="1" s="1"/>
  <c r="AC460" i="1" l="1"/>
  <c r="AF460" i="1" l="1"/>
  <c r="V461" i="1"/>
  <c r="Y461" i="1" l="1"/>
  <c r="AA461" i="1"/>
  <c r="AB461" i="1"/>
  <c r="AE461" i="1" s="1"/>
  <c r="X461" i="1"/>
  <c r="W461" i="1"/>
  <c r="Z461" i="1"/>
  <c r="AC461" i="1" l="1"/>
  <c r="AF461" i="1" s="1"/>
  <c r="V462" i="1" l="1"/>
  <c r="X462" i="1" s="1"/>
  <c r="AB462" i="1" l="1"/>
  <c r="AE462" i="1" s="1"/>
  <c r="W462" i="1"/>
  <c r="Z462" i="1"/>
  <c r="Y462" i="1"/>
  <c r="AA462" i="1"/>
  <c r="AC462" i="1" l="1"/>
  <c r="AF462" i="1" s="1"/>
  <c r="V463" i="1"/>
  <c r="X463" i="1" s="1"/>
  <c r="Z463" i="1"/>
  <c r="AB463" i="1"/>
  <c r="AE463" i="1" s="1"/>
  <c r="W463" i="1" l="1"/>
  <c r="AA463" i="1"/>
  <c r="Y463" i="1"/>
  <c r="AC463" i="1" l="1"/>
  <c r="V464" i="1" s="1"/>
  <c r="AF463" i="1" l="1"/>
  <c r="Y464" i="1"/>
  <c r="AA464" i="1"/>
  <c r="AB464" i="1"/>
  <c r="AE464" i="1" s="1"/>
  <c r="W464" i="1"/>
  <c r="X464" i="1"/>
  <c r="Z464" i="1"/>
  <c r="AC464" i="1" l="1"/>
  <c r="AF464" i="1" s="1"/>
  <c r="V465" i="1" l="1"/>
  <c r="AA465" i="1" s="1"/>
  <c r="Y465" i="1"/>
  <c r="W465" i="1"/>
  <c r="AB465" i="1"/>
  <c r="AE465" i="1" s="1"/>
  <c r="Z465" i="1"/>
  <c r="X465" i="1"/>
  <c r="AC465" i="1" l="1"/>
  <c r="AF465" i="1" s="1"/>
  <c r="V466" i="1"/>
  <c r="Y466" i="1" s="1"/>
  <c r="AA466" i="1" l="1"/>
  <c r="X466" i="1"/>
  <c r="Z466" i="1"/>
  <c r="W466" i="1"/>
  <c r="AB466" i="1"/>
  <c r="AE466" i="1" s="1"/>
  <c r="AC466" i="1" l="1"/>
  <c r="V467" i="1" l="1"/>
  <c r="AF466" i="1"/>
  <c r="Y467" i="1" l="1"/>
  <c r="AA467" i="1"/>
  <c r="Z467" i="1"/>
  <c r="X467" i="1"/>
  <c r="AB467" i="1"/>
  <c r="AE467" i="1" s="1"/>
  <c r="W467" i="1"/>
  <c r="AC467" i="1" l="1"/>
  <c r="V468" i="1" l="1"/>
  <c r="AF467" i="1"/>
  <c r="Y468" i="1" l="1"/>
  <c r="AA468" i="1"/>
  <c r="Z468" i="1"/>
  <c r="X468" i="1"/>
  <c r="W468" i="1"/>
  <c r="AB468" i="1"/>
  <c r="AE468" i="1" s="1"/>
  <c r="AC468" i="1" l="1"/>
  <c r="V469" i="1" s="1"/>
  <c r="AA469" i="1" s="1"/>
  <c r="AF468" i="1"/>
  <c r="Y469" i="1" l="1"/>
  <c r="Z469" i="1"/>
  <c r="W469" i="1"/>
  <c r="X469" i="1"/>
  <c r="AB469" i="1"/>
  <c r="AE469" i="1" s="1"/>
  <c r="AC469" i="1" l="1"/>
  <c r="AF469" i="1" s="1"/>
  <c r="V470" i="1" l="1"/>
  <c r="X470" i="1" s="1"/>
  <c r="W470" i="1" l="1"/>
  <c r="Z470" i="1"/>
  <c r="Y470" i="1"/>
  <c r="AA470" i="1"/>
  <c r="AB470" i="1"/>
  <c r="AE470" i="1" s="1"/>
  <c r="AC470" i="1" l="1"/>
  <c r="AF470" i="1" l="1"/>
  <c r="V471" i="1"/>
  <c r="AA471" i="1" l="1"/>
  <c r="Y471" i="1"/>
  <c r="Z471" i="1"/>
  <c r="X471" i="1"/>
  <c r="AB471" i="1"/>
  <c r="AE471" i="1" s="1"/>
  <c r="W471" i="1"/>
  <c r="AC471" i="1" l="1"/>
  <c r="V472" i="1" l="1"/>
  <c r="AF471" i="1"/>
  <c r="AA472" i="1" l="1"/>
  <c r="W472" i="1"/>
  <c r="AB472" i="1"/>
  <c r="AE472" i="1" s="1"/>
  <c r="X472" i="1"/>
  <c r="Z472" i="1"/>
  <c r="Y472" i="1"/>
  <c r="AC472" i="1" l="1"/>
  <c r="AF472" i="1" s="1"/>
  <c r="V473" i="1" l="1"/>
  <c r="AA473" i="1" s="1"/>
  <c r="W473" i="1"/>
  <c r="AB473" i="1"/>
  <c r="AE473" i="1" s="1"/>
  <c r="X473" i="1"/>
  <c r="Y473" i="1"/>
  <c r="Z473" i="1" l="1"/>
  <c r="AC473" i="1" s="1"/>
  <c r="V474" i="1" l="1"/>
  <c r="AF473" i="1"/>
  <c r="Y474" i="1" l="1"/>
  <c r="W474" i="1"/>
  <c r="AB474" i="1"/>
  <c r="AE474" i="1" s="1"/>
  <c r="AA474" i="1"/>
  <c r="Z474" i="1"/>
  <c r="X474" i="1"/>
  <c r="AC474" i="1" l="1"/>
  <c r="V475" i="1" l="1"/>
  <c r="AF474" i="1"/>
  <c r="AA475" i="1" l="1"/>
  <c r="Y475" i="1"/>
  <c r="Z475" i="1"/>
  <c r="AB475" i="1"/>
  <c r="AE475" i="1" s="1"/>
  <c r="W475" i="1"/>
  <c r="X475" i="1"/>
  <c r="AC475" i="1" l="1"/>
  <c r="V476" i="1" l="1"/>
  <c r="AF475" i="1"/>
  <c r="Y476" i="1" l="1"/>
  <c r="AA476" i="1"/>
  <c r="X476" i="1"/>
  <c r="AB476" i="1"/>
  <c r="AE476" i="1" s="1"/>
  <c r="W476" i="1"/>
  <c r="Z476" i="1"/>
  <c r="AC476" i="1" l="1"/>
  <c r="AF476" i="1" l="1"/>
  <c r="V477" i="1"/>
  <c r="Z477" i="1" l="1"/>
  <c r="AA477" i="1"/>
  <c r="Y477" i="1"/>
  <c r="X477" i="1"/>
  <c r="AB477" i="1"/>
  <c r="AE477" i="1" s="1"/>
  <c r="W477" i="1"/>
  <c r="AC477" i="1" l="1"/>
  <c r="V478" i="1" l="1"/>
  <c r="AF477" i="1"/>
  <c r="Y478" i="1" l="1"/>
  <c r="X478" i="1"/>
  <c r="AB478" i="1"/>
  <c r="AE478" i="1" s="1"/>
  <c r="W478" i="1"/>
  <c r="Z478" i="1"/>
  <c r="AA478" i="1"/>
  <c r="AC478" i="1" l="1"/>
  <c r="AF478" i="1"/>
  <c r="V479" i="1"/>
  <c r="AA479" i="1"/>
  <c r="Y479" i="1"/>
  <c r="AB479" i="1" l="1"/>
  <c r="AE479" i="1" s="1"/>
  <c r="Z479" i="1"/>
  <c r="W479" i="1"/>
  <c r="X479" i="1"/>
  <c r="AC479" i="1" l="1"/>
  <c r="AF479" i="1"/>
  <c r="V480" i="1"/>
  <c r="W480" i="1" l="1"/>
  <c r="X480" i="1"/>
  <c r="Z480" i="1"/>
  <c r="Y480" i="1"/>
  <c r="AB480" i="1"/>
  <c r="AE480" i="1" s="1"/>
  <c r="AA480" i="1"/>
  <c r="AC480" i="1" l="1"/>
  <c r="AF480" i="1" l="1"/>
  <c r="V481" i="1"/>
  <c r="Z481" i="1" l="1"/>
  <c r="AB481" i="1"/>
  <c r="AE481" i="1" s="1"/>
  <c r="W481" i="1"/>
  <c r="AA481" i="1"/>
  <c r="X481" i="1"/>
  <c r="Y481" i="1"/>
  <c r="AC481" i="1" s="1"/>
  <c r="AF481" i="1" l="1"/>
  <c r="V482" i="1"/>
  <c r="Y482" i="1"/>
  <c r="AB482" i="1" l="1"/>
  <c r="X482" i="1"/>
  <c r="Z482" i="1"/>
  <c r="W482" i="1"/>
  <c r="AA482" i="1"/>
  <c r="AC482" i="1" l="1"/>
  <c r="AF482" i="1" s="1"/>
  <c r="AE482" i="1"/>
  <c r="V483" i="1" l="1"/>
  <c r="Y483" i="1" s="1"/>
  <c r="AA483" i="1"/>
  <c r="W483" i="1"/>
  <c r="Z483" i="1"/>
  <c r="AB483" i="1"/>
  <c r="AE483" i="1" s="1"/>
  <c r="X483" i="1"/>
  <c r="AC483" i="1" l="1"/>
  <c r="V484" i="1" s="1"/>
  <c r="AF483" i="1" l="1"/>
  <c r="X484" i="1"/>
  <c r="W484" i="1"/>
  <c r="AB484" i="1"/>
  <c r="AE484" i="1" s="1"/>
  <c r="Z484" i="1"/>
  <c r="AA484" i="1"/>
  <c r="Y484" i="1"/>
  <c r="AC484" i="1" l="1"/>
  <c r="AF484" i="1" l="1"/>
  <c r="V485" i="1"/>
  <c r="AA485" i="1" l="1"/>
  <c r="AB485" i="1"/>
  <c r="AE485" i="1" s="1"/>
  <c r="X485" i="1"/>
  <c r="Y485" i="1"/>
  <c r="Z485" i="1"/>
  <c r="W485" i="1"/>
  <c r="AC485" i="1" l="1"/>
  <c r="AF485" i="1" s="1"/>
  <c r="V486" i="1" l="1"/>
  <c r="Y486" i="1" s="1"/>
  <c r="AB486" i="1"/>
  <c r="AE486" i="1" s="1"/>
  <c r="Z486" i="1"/>
  <c r="W486" i="1"/>
  <c r="X486" i="1"/>
  <c r="AA486" i="1"/>
  <c r="AC486" i="1" l="1"/>
  <c r="AF486" i="1" l="1"/>
  <c r="V487" i="1"/>
  <c r="AA487" i="1" l="1"/>
  <c r="Y487" i="1"/>
  <c r="Z487" i="1"/>
  <c r="X487" i="1"/>
  <c r="W487" i="1"/>
  <c r="AB487" i="1"/>
  <c r="AE487" i="1" s="1"/>
  <c r="AC487" i="1" l="1"/>
  <c r="V488" i="1" l="1"/>
  <c r="AF487" i="1"/>
  <c r="Y488" i="1" l="1"/>
  <c r="AA488" i="1"/>
  <c r="X488" i="1"/>
  <c r="W488" i="1"/>
  <c r="AB488" i="1"/>
  <c r="AE488" i="1" s="1"/>
  <c r="Z488" i="1"/>
  <c r="AC488" i="1" l="1"/>
  <c r="V489" i="1" l="1"/>
  <c r="AF488" i="1"/>
  <c r="AA489" i="1" l="1"/>
  <c r="Y489" i="1"/>
  <c r="Z489" i="1"/>
  <c r="AB489" i="1"/>
  <c r="AE489" i="1" s="1"/>
  <c r="W489" i="1"/>
  <c r="X489" i="1"/>
  <c r="AC489" i="1" l="1"/>
  <c r="AF489" i="1" l="1"/>
  <c r="V490" i="1"/>
  <c r="AA490" i="1" l="1"/>
  <c r="Y490" i="1"/>
  <c r="AB490" i="1"/>
  <c r="AE490" i="1" s="1"/>
  <c r="X490" i="1"/>
  <c r="W490" i="1"/>
  <c r="Z490" i="1"/>
  <c r="AC490" i="1" l="1"/>
  <c r="V491" i="1"/>
  <c r="W491" i="1" s="1"/>
  <c r="AF490" i="1"/>
  <c r="Y491" i="1"/>
  <c r="AB491" i="1"/>
  <c r="AE491" i="1" s="1"/>
  <c r="Z491" i="1"/>
  <c r="X491" i="1"/>
  <c r="AA491" i="1" l="1"/>
  <c r="AC491" i="1" s="1"/>
  <c r="V492" i="1" l="1"/>
  <c r="AA492" i="1" s="1"/>
  <c r="AF491" i="1"/>
  <c r="Y492" i="1"/>
  <c r="AB492" i="1"/>
  <c r="AE492" i="1" s="1"/>
  <c r="X492" i="1"/>
  <c r="W492" i="1"/>
  <c r="Z492" i="1"/>
  <c r="AC492" i="1" l="1"/>
  <c r="AF492" i="1" s="1"/>
  <c r="V493" i="1" l="1"/>
  <c r="AA493" i="1" s="1"/>
  <c r="Y493" i="1"/>
  <c r="Z493" i="1"/>
  <c r="W493" i="1"/>
  <c r="X493" i="1"/>
  <c r="AB493" i="1"/>
  <c r="AE493" i="1" l="1"/>
  <c r="AC493" i="1"/>
  <c r="AF493" i="1" l="1"/>
  <c r="V494" i="1"/>
  <c r="AA494" i="1" l="1"/>
  <c r="Y494" i="1"/>
  <c r="X494" i="1"/>
  <c r="AB494" i="1"/>
  <c r="Z494" i="1"/>
  <c r="W494" i="1"/>
  <c r="AC494" i="1" l="1"/>
  <c r="AE494" i="1"/>
  <c r="AF494" i="1" l="1"/>
  <c r="V495" i="1"/>
  <c r="Y495" i="1" l="1"/>
  <c r="AA495" i="1"/>
  <c r="AB495" i="1"/>
  <c r="W495" i="1"/>
  <c r="Z495" i="1"/>
  <c r="X495" i="1"/>
  <c r="AC495" i="1" l="1"/>
  <c r="AF495" i="1" s="1"/>
  <c r="AE495" i="1"/>
  <c r="V496" i="1" l="1"/>
  <c r="AB496" i="1"/>
  <c r="Z496" i="1" l="1"/>
  <c r="AA496" i="1"/>
  <c r="Y496" i="1"/>
  <c r="W496" i="1"/>
  <c r="X496" i="1"/>
  <c r="AE496" i="1"/>
  <c r="AC496" i="1" l="1"/>
  <c r="V497" i="1" s="1"/>
  <c r="AF496" i="1" l="1"/>
  <c r="Y497" i="1"/>
  <c r="AA497" i="1"/>
  <c r="AB497" i="1"/>
  <c r="AE497" i="1" s="1"/>
  <c r="W497" i="1"/>
  <c r="Z497" i="1"/>
  <c r="X497" i="1"/>
  <c r="AC497" i="1" l="1"/>
  <c r="V498" i="1" s="1"/>
  <c r="AA498" i="1" s="1"/>
  <c r="Y498" i="1"/>
  <c r="AF497" i="1" l="1"/>
  <c r="AB498" i="1"/>
  <c r="Z498" i="1"/>
  <c r="X498" i="1"/>
  <c r="W498" i="1"/>
  <c r="AC498" i="1" l="1"/>
  <c r="AE498" i="1"/>
  <c r="AF498" i="1" l="1"/>
  <c r="V499" i="1"/>
  <c r="AA499" i="1" l="1"/>
  <c r="Y499" i="1"/>
  <c r="Z499" i="1"/>
  <c r="X499" i="1"/>
  <c r="W499" i="1"/>
  <c r="AB499" i="1"/>
  <c r="AE499" i="1" s="1"/>
  <c r="AC499" i="1" l="1"/>
  <c r="AF499" i="1" s="1"/>
  <c r="V500" i="1" l="1"/>
  <c r="Y500" i="1" s="1"/>
  <c r="AA500" i="1"/>
  <c r="AB500" i="1"/>
  <c r="W500" i="1"/>
  <c r="X500" i="1"/>
  <c r="Z500" i="1"/>
  <c r="AC500" i="1" l="1"/>
  <c r="AF500" i="1" s="1"/>
  <c r="AE500" i="1"/>
  <c r="V501" i="1" l="1"/>
  <c r="AA501" i="1" s="1"/>
  <c r="Y501" i="1"/>
  <c r="X501" i="1" l="1"/>
  <c r="W501" i="1"/>
  <c r="Z501" i="1"/>
  <c r="AB501" i="1"/>
  <c r="AE501" i="1" s="1"/>
  <c r="AC501" i="1" l="1"/>
  <c r="AF501" i="1" l="1"/>
  <c r="V502" i="1"/>
  <c r="AA502" i="1" l="1"/>
  <c r="Y502" i="1"/>
  <c r="W502" i="1"/>
  <c r="X502" i="1"/>
  <c r="Z502" i="1"/>
  <c r="AB502" i="1"/>
  <c r="AE502" i="1" s="1"/>
  <c r="AC502" i="1" l="1"/>
  <c r="AF502" i="1" l="1"/>
  <c r="V503" i="1"/>
  <c r="Y503" i="1" l="1"/>
  <c r="Z503" i="1"/>
  <c r="W503" i="1"/>
  <c r="X503" i="1"/>
  <c r="AA503" i="1"/>
  <c r="AB503" i="1"/>
  <c r="AE503" i="1" s="1"/>
  <c r="AC503" i="1" l="1"/>
  <c r="AF503" i="1" l="1"/>
  <c r="V504" i="1"/>
  <c r="AA504" i="1" l="1"/>
  <c r="X504" i="1"/>
  <c r="Y504" i="1"/>
  <c r="AB504" i="1"/>
  <c r="Z504" i="1"/>
  <c r="W504" i="1"/>
  <c r="AC504" i="1" l="1"/>
  <c r="AF504" i="1" s="1"/>
  <c r="V505" i="1" l="1"/>
  <c r="W505" i="1"/>
  <c r="X505" i="1"/>
  <c r="AB505" i="1"/>
  <c r="AE505" i="1" s="1"/>
  <c r="AA505" i="1" l="1"/>
  <c r="Z505" i="1"/>
  <c r="Y505" i="1"/>
  <c r="AC505" i="1" s="1"/>
  <c r="AF505" i="1" l="1"/>
  <c r="V506" i="1"/>
  <c r="Z506" i="1" l="1"/>
  <c r="AB506" i="1"/>
  <c r="AE506" i="1" s="1"/>
  <c r="W506" i="1"/>
  <c r="X506" i="1"/>
  <c r="Y506" i="1"/>
  <c r="AA506" i="1"/>
  <c r="AC506" i="1" l="1"/>
  <c r="V507" i="1" l="1"/>
  <c r="AF506" i="1"/>
  <c r="Y507" i="1" l="1"/>
  <c r="AA507" i="1"/>
  <c r="Z507" i="1"/>
  <c r="X507" i="1"/>
  <c r="W507" i="1"/>
  <c r="AB507" i="1"/>
  <c r="AC507" i="1" l="1"/>
  <c r="V508" i="1" s="1"/>
  <c r="Y508" i="1" l="1"/>
  <c r="W508" i="1"/>
  <c r="X508" i="1"/>
  <c r="Z508" i="1"/>
  <c r="AB508" i="1"/>
  <c r="AA508" i="1"/>
  <c r="AC508" i="1" l="1"/>
  <c r="V509" i="1" s="1"/>
  <c r="X509" i="1" l="1"/>
  <c r="AB509" i="1"/>
  <c r="W509" i="1"/>
  <c r="Z509" i="1"/>
  <c r="AA509" i="1"/>
  <c r="Y509" i="1"/>
  <c r="AC509" i="1" l="1"/>
  <c r="V510" i="1" s="1"/>
  <c r="Y510" i="1" s="1"/>
  <c r="AA510" i="1"/>
  <c r="X510" i="1" l="1"/>
  <c r="Z510" i="1"/>
  <c r="W510" i="1"/>
  <c r="AB510" i="1"/>
  <c r="AC510" i="1" l="1"/>
  <c r="V511" i="1" s="1"/>
  <c r="Y511" i="1" s="1"/>
  <c r="AB511" i="1"/>
  <c r="X511" i="1"/>
  <c r="Z511" i="1"/>
  <c r="AA511" i="1"/>
  <c r="W511" i="1" l="1"/>
  <c r="AC511" i="1"/>
  <c r="V512" i="1" s="1"/>
  <c r="W512" i="1" s="1"/>
  <c r="AA512" i="1" l="1"/>
  <c r="Y512" i="1"/>
  <c r="Z512" i="1"/>
  <c r="X512" i="1"/>
  <c r="AB512" i="1"/>
  <c r="AC512" i="1" s="1"/>
  <c r="V513" i="1" s="1"/>
  <c r="AB513" i="1" l="1"/>
  <c r="Z513" i="1"/>
  <c r="W513" i="1"/>
  <c r="X513" i="1"/>
  <c r="AA513" i="1"/>
  <c r="Y513" i="1"/>
  <c r="AC513" i="1" l="1"/>
  <c r="V514" i="1" s="1"/>
  <c r="Z514" i="1" s="1"/>
  <c r="Y514" i="1"/>
  <c r="AA514" i="1"/>
  <c r="W514" i="1" l="1"/>
  <c r="X514" i="1"/>
  <c r="AB514" i="1"/>
  <c r="AC514" i="1"/>
  <c r="V515" i="1" s="1"/>
  <c r="W515" i="1" s="1"/>
  <c r="Z515" i="1" l="1"/>
  <c r="AB515" i="1"/>
  <c r="Y515" i="1"/>
  <c r="AA515" i="1"/>
  <c r="X515" i="1"/>
  <c r="AC515" i="1" s="1"/>
  <c r="V516" i="1" s="1"/>
  <c r="X516" i="1" l="1"/>
  <c r="AB516" i="1"/>
  <c r="Y516" i="1"/>
  <c r="AA516" i="1"/>
  <c r="Z516" i="1"/>
  <c r="W516" i="1"/>
  <c r="AC516" i="1" l="1"/>
  <c r="V517" i="1" s="1"/>
  <c r="Y517" i="1" s="1"/>
  <c r="AA517" i="1"/>
  <c r="W517" i="1"/>
  <c r="AB517" i="1"/>
  <c r="Z517" i="1" l="1"/>
  <c r="X517" i="1"/>
  <c r="AC517" i="1" l="1"/>
  <c r="V518" i="1" s="1"/>
  <c r="AB518" i="1"/>
  <c r="Z518" i="1"/>
  <c r="W518" i="1"/>
  <c r="X518" i="1"/>
  <c r="AA518" i="1"/>
  <c r="Y518" i="1"/>
  <c r="AC518" i="1" l="1"/>
  <c r="V519" i="1" s="1"/>
  <c r="Z519" i="1"/>
  <c r="AB519" i="1"/>
  <c r="W519" i="1"/>
  <c r="X519" i="1"/>
  <c r="Y519" i="1"/>
  <c r="AA519" i="1"/>
  <c r="AC519" i="1" l="1"/>
  <c r="V520" i="1" s="1"/>
  <c r="AB520" i="1" l="1"/>
  <c r="Z520" i="1"/>
  <c r="X520" i="1"/>
  <c r="W520" i="1"/>
  <c r="AA520" i="1"/>
  <c r="Y520" i="1"/>
  <c r="AC520" i="1" l="1"/>
  <c r="V521" i="1" s="1"/>
  <c r="W521" i="1" l="1"/>
  <c r="X521" i="1"/>
  <c r="Z521" i="1"/>
  <c r="AB521" i="1"/>
  <c r="AA521" i="1"/>
  <c r="Y521" i="1"/>
  <c r="AC521" i="1" l="1"/>
  <c r="V522" i="1" s="1"/>
  <c r="Z522" i="1" l="1"/>
  <c r="X522" i="1"/>
  <c r="W522" i="1"/>
  <c r="AB522" i="1"/>
  <c r="AA522" i="1"/>
  <c r="Y522" i="1"/>
  <c r="AC522" i="1" l="1"/>
  <c r="V523" i="1" s="1"/>
  <c r="AA523" i="1" s="1"/>
  <c r="AB523" i="1"/>
  <c r="W523" i="1"/>
  <c r="Z523" i="1"/>
  <c r="X523" i="1"/>
  <c r="Y523" i="1"/>
  <c r="AC523" i="1" l="1"/>
  <c r="V524" i="1" s="1"/>
  <c r="Z524" i="1"/>
  <c r="W524" i="1"/>
  <c r="AB524" i="1"/>
  <c r="X524" i="1"/>
  <c r="Y524" i="1"/>
  <c r="AA524" i="1"/>
  <c r="AC524" i="1" l="1"/>
  <c r="V525" i="1" s="1"/>
  <c r="Y525" i="1" s="1"/>
  <c r="AB525" i="1"/>
  <c r="X525" i="1"/>
  <c r="Z525" i="1"/>
  <c r="AA525" i="1"/>
  <c r="W525" i="1" l="1"/>
  <c r="AC525" i="1"/>
  <c r="V526" i="1" s="1"/>
  <c r="X526" i="1"/>
  <c r="W526" i="1"/>
  <c r="Z526" i="1"/>
  <c r="AB526" i="1"/>
  <c r="AA526" i="1"/>
  <c r="Y526" i="1"/>
  <c r="AC526" i="1" l="1"/>
  <c r="V527" i="1" s="1"/>
  <c r="Y527" i="1" s="1"/>
  <c r="Z527" i="1"/>
  <c r="AB527" i="1"/>
  <c r="W527" i="1"/>
  <c r="AA527" i="1"/>
  <c r="X527" i="1"/>
  <c r="AC527" i="1" l="1"/>
  <c r="V528" i="1" s="1"/>
  <c r="W528" i="1" s="1"/>
  <c r="AB528" i="1"/>
  <c r="Z528" i="1"/>
  <c r="AA528" i="1"/>
  <c r="Y528" i="1"/>
  <c r="X528" i="1"/>
  <c r="AC528" i="1" l="1"/>
  <c r="V529" i="1" s="1"/>
  <c r="AA529" i="1" s="1"/>
  <c r="Z529" i="1"/>
  <c r="W529" i="1" l="1"/>
  <c r="AB529" i="1"/>
  <c r="Y529" i="1"/>
  <c r="X529" i="1"/>
  <c r="AC529" i="1"/>
  <c r="V530" i="1" s="1"/>
  <c r="Z530" i="1" s="1"/>
  <c r="AB530" i="1"/>
  <c r="X530" i="1" l="1"/>
  <c r="W530" i="1"/>
  <c r="Y530" i="1"/>
  <c r="AA530" i="1"/>
  <c r="AC530" i="1" s="1"/>
  <c r="V531" i="1" s="1"/>
  <c r="AA531" i="1" s="1"/>
  <c r="Y531" i="1" l="1"/>
  <c r="W531" i="1"/>
  <c r="X531" i="1"/>
  <c r="Z531" i="1"/>
  <c r="AB531" i="1"/>
  <c r="AC531" i="1" l="1"/>
  <c r="V532" i="1" s="1"/>
  <c r="AA532" i="1" s="1"/>
  <c r="Y532" i="1" l="1"/>
  <c r="AB532" i="1"/>
  <c r="X532" i="1"/>
  <c r="Z532" i="1"/>
  <c r="W532" i="1"/>
  <c r="AC532" i="1" l="1"/>
  <c r="V533" i="1" s="1"/>
  <c r="AA533" i="1" s="1"/>
  <c r="Y533" i="1" l="1"/>
  <c r="Z533" i="1"/>
  <c r="W533" i="1"/>
  <c r="X533" i="1"/>
  <c r="AB533" i="1"/>
  <c r="AC533" i="1" l="1"/>
  <c r="V534" i="1" s="1"/>
  <c r="AB534" i="1" s="1"/>
  <c r="Y534" i="1" l="1"/>
  <c r="AA534" i="1"/>
  <c r="Z534" i="1"/>
  <c r="W534" i="1"/>
  <c r="X534" i="1"/>
  <c r="AC534" i="1" l="1"/>
  <c r="V535" i="1" s="1"/>
  <c r="Y535" i="1" s="1"/>
  <c r="Z535" i="1" l="1"/>
  <c r="AA535" i="1"/>
  <c r="X535" i="1"/>
  <c r="W535" i="1"/>
  <c r="AB535" i="1"/>
  <c r="AC535" i="1" l="1"/>
  <c r="V536" i="1" s="1"/>
  <c r="Y536" i="1" s="1"/>
  <c r="Z536" i="1" l="1"/>
  <c r="W536" i="1"/>
  <c r="X536" i="1"/>
  <c r="AB536" i="1"/>
  <c r="AA536" i="1"/>
  <c r="AC536" i="1" l="1"/>
  <c r="V537" i="1" s="1"/>
  <c r="Z537" i="1" s="1"/>
  <c r="AA537" i="1"/>
  <c r="Y537" i="1"/>
  <c r="AB537" i="1"/>
  <c r="W537" i="1"/>
  <c r="X537" i="1"/>
  <c r="AC537" i="1" l="1"/>
  <c r="V538" i="1" s="1"/>
  <c r="AA538" i="1" s="1"/>
  <c r="X538" i="1" l="1"/>
  <c r="W538" i="1"/>
  <c r="AB538" i="1"/>
  <c r="Y538" i="1"/>
  <c r="Z538" i="1"/>
  <c r="AC538" i="1" l="1"/>
  <c r="V539" i="1" s="1"/>
  <c r="Y539" i="1" s="1"/>
  <c r="AA539" i="1"/>
  <c r="Z539" i="1"/>
  <c r="AB539" i="1"/>
  <c r="X539" i="1" l="1"/>
  <c r="W539" i="1"/>
  <c r="AC539" i="1"/>
  <c r="V540" i="1" s="1"/>
  <c r="X540" i="1" s="1"/>
  <c r="Y540" i="1" l="1"/>
  <c r="AA540" i="1"/>
  <c r="AB540" i="1"/>
  <c r="W540" i="1"/>
  <c r="Z540" i="1"/>
  <c r="AC540" i="1" l="1"/>
  <c r="V541" i="1" s="1"/>
  <c r="X541" i="1" s="1"/>
  <c r="Y541" i="1" l="1"/>
  <c r="AA541" i="1"/>
  <c r="W541" i="1"/>
  <c r="Z541" i="1"/>
  <c r="AB541" i="1"/>
  <c r="AC541" i="1" l="1"/>
  <c r="V542" i="1" s="1"/>
  <c r="Y542" i="1" s="1"/>
  <c r="AB542" i="1" l="1"/>
  <c r="AA542" i="1"/>
  <c r="Z542" i="1"/>
  <c r="W542" i="1"/>
  <c r="X542" i="1"/>
  <c r="AC542" i="1" l="1"/>
  <c r="V543" i="1" s="1"/>
  <c r="Y543" i="1" s="1"/>
  <c r="AB543" i="1"/>
  <c r="Z543" i="1"/>
  <c r="W543" i="1" l="1"/>
  <c r="X543" i="1"/>
  <c r="AA543" i="1"/>
  <c r="AC543" i="1" s="1"/>
  <c r="V544" i="1" s="1"/>
  <c r="Z544" i="1" s="1"/>
  <c r="AB544" i="1" l="1"/>
  <c r="Y544" i="1"/>
  <c r="AA544" i="1"/>
  <c r="X544" i="1"/>
  <c r="W544" i="1"/>
  <c r="AC544" i="1" l="1"/>
  <c r="V545" i="1" s="1"/>
  <c r="W545" i="1" s="1"/>
  <c r="Z545" i="1" l="1"/>
  <c r="X545" i="1"/>
  <c r="AB545" i="1"/>
  <c r="Y545" i="1"/>
  <c r="AA545" i="1"/>
  <c r="AC545" i="1" l="1"/>
  <c r="V546" i="1" s="1"/>
  <c r="AA546" i="1" s="1"/>
  <c r="Z546" i="1"/>
  <c r="AB546" i="1"/>
  <c r="X546" i="1" l="1"/>
  <c r="W546" i="1"/>
  <c r="Y546" i="1"/>
  <c r="AC546" i="1" s="1"/>
  <c r="V547" i="1" s="1"/>
  <c r="AA547" i="1" s="1"/>
  <c r="Y547" i="1" l="1"/>
  <c r="W547" i="1"/>
  <c r="AB547" i="1"/>
  <c r="Z547" i="1"/>
  <c r="X547" i="1"/>
  <c r="AC547" i="1" l="1"/>
  <c r="V548" i="1" s="1"/>
  <c r="W548" i="1" s="1"/>
  <c r="AA548" i="1" l="1"/>
  <c r="Y548" i="1"/>
  <c r="AB548" i="1"/>
  <c r="Z548" i="1"/>
  <c r="X548" i="1"/>
  <c r="AC548" i="1" l="1"/>
  <c r="V549" i="1" s="1"/>
  <c r="AB549" i="1" s="1"/>
  <c r="X549" i="1" l="1"/>
  <c r="Z549" i="1"/>
  <c r="Y549" i="1"/>
  <c r="AA549" i="1"/>
  <c r="W549" i="1"/>
  <c r="AC549" i="1" l="1"/>
  <c r="V550" i="1" s="1"/>
  <c r="W550" i="1" s="1"/>
  <c r="X550" i="1"/>
  <c r="AA550" i="1"/>
  <c r="Y550" i="1"/>
  <c r="Z550" i="1"/>
  <c r="AB550" i="1" l="1"/>
  <c r="AC550" i="1" s="1"/>
  <c r="V551" i="1" s="1"/>
  <c r="X551" i="1" l="1"/>
  <c r="AA551" i="1"/>
  <c r="Y551" i="1"/>
  <c r="AB551" i="1"/>
  <c r="Z551" i="1"/>
  <c r="W551" i="1"/>
  <c r="AC551" i="1" l="1"/>
  <c r="V552" i="1" s="1"/>
  <c r="AB552" i="1" s="1"/>
  <c r="AA552" i="1"/>
  <c r="X552" i="1"/>
  <c r="Y552" i="1"/>
  <c r="Z552" i="1"/>
  <c r="W552" i="1" l="1"/>
  <c r="AC552" i="1"/>
  <c r="V553" i="1" s="1"/>
  <c r="Z553" i="1" s="1"/>
  <c r="AA553" i="1"/>
  <c r="Y553" i="1"/>
  <c r="X553" i="1"/>
  <c r="AB553" i="1" l="1"/>
  <c r="W553" i="1"/>
  <c r="AC553" i="1"/>
  <c r="V554" i="1" s="1"/>
  <c r="X554" i="1" s="1"/>
  <c r="AA554" i="1"/>
  <c r="Z554" i="1"/>
  <c r="Y554" i="1"/>
  <c r="W554" i="1" l="1"/>
  <c r="AB554" i="1"/>
  <c r="AC554" i="1" s="1"/>
  <c r="V555" i="1" s="1"/>
  <c r="Z555" i="1" s="1"/>
  <c r="AB555" i="1" l="1"/>
  <c r="AA555" i="1"/>
  <c r="Y555" i="1"/>
  <c r="X555" i="1"/>
  <c r="W555" i="1"/>
  <c r="AC555" i="1" l="1"/>
  <c r="V556" i="1" s="1"/>
  <c r="Y556" i="1" l="1"/>
  <c r="W556" i="1"/>
  <c r="AB556" i="1"/>
  <c r="Z556" i="1"/>
  <c r="AA556" i="1"/>
  <c r="X556" i="1"/>
  <c r="AC556" i="1" l="1"/>
  <c r="V557" i="1" s="1"/>
  <c r="X557" i="1" l="1"/>
  <c r="AB557" i="1"/>
  <c r="AA557" i="1"/>
  <c r="W557" i="1"/>
  <c r="Z557" i="1"/>
  <c r="Y557" i="1"/>
  <c r="AC557" i="1" l="1"/>
  <c r="V558" i="1" s="1"/>
  <c r="W558" i="1" l="1"/>
  <c r="AB558" i="1"/>
  <c r="X558" i="1"/>
  <c r="Z558" i="1"/>
  <c r="Y558" i="1"/>
  <c r="AA558" i="1"/>
  <c r="AC558" i="1" l="1"/>
  <c r="V559" i="1" s="1"/>
  <c r="Y559" i="1" s="1"/>
  <c r="AA559" i="1" l="1"/>
  <c r="W559" i="1"/>
  <c r="X559" i="1"/>
  <c r="AB559" i="1"/>
  <c r="Z559" i="1"/>
  <c r="AC559" i="1" l="1"/>
  <c r="V560" i="1" s="1"/>
  <c r="AA560" i="1" s="1"/>
  <c r="Y560" i="1"/>
  <c r="X560" i="1"/>
  <c r="W560" i="1"/>
  <c r="AB560" i="1"/>
  <c r="Z560" i="1"/>
  <c r="AC560" i="1" l="1"/>
  <c r="V561" i="1" s="1"/>
  <c r="Y561" i="1" s="1"/>
  <c r="Z561" i="1"/>
  <c r="X561" i="1" l="1"/>
  <c r="AB561" i="1"/>
  <c r="AA561" i="1"/>
  <c r="W561" i="1"/>
  <c r="AC561" i="1"/>
  <c r="V562" i="1" s="1"/>
  <c r="AA562" i="1" l="1"/>
  <c r="W562" i="1"/>
  <c r="Z562" i="1"/>
  <c r="X562" i="1"/>
  <c r="AB562" i="1"/>
  <c r="Y562" i="1"/>
  <c r="AC562" i="1" l="1"/>
  <c r="V563" i="1" s="1"/>
  <c r="AA563" i="1" l="1"/>
  <c r="X563" i="1"/>
  <c r="AB563" i="1"/>
  <c r="W563" i="1"/>
  <c r="Z563" i="1"/>
  <c r="Y563" i="1"/>
  <c r="AG375" i="1"/>
  <c r="C37" i="1"/>
  <c r="C38" i="1"/>
  <c r="AC563" i="1" l="1"/>
  <c r="V564" i="1" s="1"/>
  <c r="AA564" i="1" s="1"/>
  <c r="Y564" i="1" l="1"/>
  <c r="W564" i="1"/>
  <c r="AB564" i="1"/>
  <c r="Z564" i="1"/>
  <c r="X564" i="1"/>
  <c r="AC564" i="1" l="1"/>
  <c r="V565" i="1" s="1"/>
  <c r="X565" i="1" l="1"/>
  <c r="W565" i="1"/>
  <c r="AA565" i="1"/>
  <c r="Y565" i="1"/>
  <c r="Z565" i="1"/>
  <c r="AB565" i="1"/>
  <c r="AC565" i="1" l="1"/>
  <c r="V566" i="1" s="1"/>
  <c r="AB566" i="1" l="1"/>
  <c r="X566" i="1"/>
  <c r="W566" i="1"/>
  <c r="Z566" i="1"/>
  <c r="AA566" i="1"/>
  <c r="Y566" i="1"/>
  <c r="AC566" i="1" l="1"/>
  <c r="V567" i="1" s="1"/>
  <c r="AA567" i="1" s="1"/>
  <c r="Y567" i="1" l="1"/>
  <c r="AB567" i="1"/>
  <c r="W567" i="1"/>
  <c r="X567" i="1"/>
  <c r="Z567" i="1"/>
  <c r="AC567" i="1" l="1"/>
  <c r="V568" i="1" s="1"/>
  <c r="AA568" i="1" s="1"/>
  <c r="AB568" i="1"/>
  <c r="Z568" i="1"/>
  <c r="X568" i="1"/>
  <c r="Y568" i="1"/>
  <c r="W568" i="1" l="1"/>
  <c r="AC568" i="1" s="1"/>
  <c r="V569" i="1" s="1"/>
  <c r="W569" i="1" s="1"/>
  <c r="AB569" i="1"/>
  <c r="X569" i="1"/>
  <c r="AA569" i="1"/>
  <c r="Y569" i="1"/>
  <c r="Z569" i="1" l="1"/>
  <c r="AC569" i="1"/>
  <c r="V570" i="1" s="1"/>
  <c r="X570" i="1" s="1"/>
  <c r="Y570" i="1"/>
  <c r="AA570" i="1"/>
  <c r="Z570" i="1" l="1"/>
  <c r="W570" i="1"/>
  <c r="AB570" i="1"/>
  <c r="AC570" i="1" s="1"/>
  <c r="V571" i="1" s="1"/>
  <c r="AB571" i="1" s="1"/>
  <c r="Z571" i="1" l="1"/>
  <c r="W571" i="1"/>
  <c r="X571" i="1"/>
  <c r="Y571" i="1"/>
  <c r="AA571" i="1"/>
  <c r="AC571" i="1" s="1"/>
  <c r="V572" i="1" s="1"/>
  <c r="X572" i="1" l="1"/>
  <c r="W572" i="1"/>
  <c r="AA572" i="1"/>
  <c r="Z572" i="1"/>
  <c r="Y572" i="1"/>
  <c r="AB572" i="1"/>
  <c r="AC572" i="1" l="1"/>
  <c r="V573" i="1" s="1"/>
  <c r="Y573" i="1" s="1"/>
  <c r="AB573" i="1"/>
  <c r="W573" i="1"/>
  <c r="AA573" i="1"/>
  <c r="Z573" i="1" l="1"/>
  <c r="X573" i="1"/>
  <c r="AC573" i="1"/>
  <c r="V574" i="1" s="1"/>
  <c r="X574" i="1" s="1"/>
  <c r="W574" i="1" l="1"/>
  <c r="AA574" i="1"/>
  <c r="Y574" i="1"/>
  <c r="AB574" i="1"/>
  <c r="Z574" i="1"/>
  <c r="AC574" i="1" l="1"/>
  <c r="V575" i="1" s="1"/>
  <c r="Y575" i="1" s="1"/>
  <c r="X575" i="1"/>
  <c r="Z575" i="1"/>
  <c r="W575" i="1"/>
  <c r="AB575" i="1"/>
  <c r="AA575" i="1"/>
  <c r="AC575" i="1" l="1"/>
  <c r="V576" i="1" s="1"/>
  <c r="AB576" i="1" l="1"/>
  <c r="W576" i="1"/>
  <c r="X576" i="1"/>
  <c r="Y576" i="1"/>
  <c r="AA576" i="1"/>
  <c r="Z576" i="1"/>
  <c r="AC576" i="1" l="1"/>
  <c r="V577" i="1" s="1"/>
  <c r="Y577" i="1" s="1"/>
  <c r="AB577" i="1"/>
  <c r="W577" i="1"/>
  <c r="AA577" i="1" l="1"/>
  <c r="Z577" i="1"/>
  <c r="X577" i="1"/>
  <c r="AC577" i="1" l="1"/>
  <c r="V578" i="1" s="1"/>
  <c r="Y578" i="1" l="1"/>
  <c r="AB578" i="1"/>
  <c r="AA578" i="1"/>
  <c r="W578" i="1"/>
  <c r="X578" i="1"/>
  <c r="Z578" i="1"/>
  <c r="AC578" i="1" l="1"/>
  <c r="V579" i="1" s="1"/>
  <c r="W579" i="1" l="1"/>
  <c r="X579" i="1"/>
  <c r="Y579" i="1"/>
  <c r="Z579" i="1"/>
  <c r="AB579" i="1"/>
  <c r="AA579" i="1"/>
  <c r="AC579" i="1" l="1"/>
  <c r="V580" i="1" s="1"/>
  <c r="Y580" i="1" l="1"/>
  <c r="Z580" i="1"/>
  <c r="AB580" i="1"/>
  <c r="X580" i="1"/>
  <c r="W580" i="1"/>
  <c r="AA580" i="1"/>
  <c r="AC580" i="1" l="1"/>
  <c r="V581" i="1" s="1"/>
  <c r="AA581" i="1" s="1"/>
  <c r="AB581" i="1"/>
  <c r="W581" i="1"/>
  <c r="X581" i="1"/>
  <c r="Z581" i="1"/>
  <c r="Y581" i="1"/>
  <c r="AC581" i="1" l="1"/>
  <c r="V582" i="1" s="1"/>
  <c r="W582" i="1" l="1"/>
  <c r="Z582" i="1"/>
  <c r="X582" i="1"/>
  <c r="AB582" i="1"/>
  <c r="AA582" i="1"/>
  <c r="Y582" i="1"/>
  <c r="AC582" i="1" l="1"/>
  <c r="V583" i="1" s="1"/>
  <c r="Z583" i="1" s="1"/>
  <c r="W583" i="1"/>
  <c r="X583" i="1"/>
  <c r="AB583" i="1"/>
  <c r="AA583" i="1"/>
  <c r="Y583" i="1"/>
  <c r="AC583" i="1" l="1"/>
  <c r="V584" i="1" s="1"/>
  <c r="AA584" i="1"/>
  <c r="AB584" i="1"/>
  <c r="X584" i="1"/>
  <c r="Z584" i="1"/>
  <c r="Y584" i="1"/>
  <c r="W584" i="1"/>
  <c r="AC584" i="1" l="1"/>
  <c r="V585" i="1" s="1"/>
  <c r="AB585" i="1" s="1"/>
  <c r="X585" i="1" l="1"/>
  <c r="W585" i="1"/>
  <c r="Y585" i="1"/>
  <c r="AA585" i="1"/>
  <c r="Z585" i="1"/>
  <c r="AC585" i="1" s="1"/>
  <c r="V586" i="1" s="1"/>
  <c r="W586" i="1" l="1"/>
  <c r="Z586" i="1"/>
  <c r="AB586" i="1"/>
  <c r="X586" i="1"/>
  <c r="Y586" i="1"/>
  <c r="AA586" i="1"/>
  <c r="AC586" i="1" l="1"/>
  <c r="V587" i="1" s="1"/>
  <c r="Y587" i="1" s="1"/>
  <c r="W587" i="1" l="1"/>
  <c r="Z587" i="1"/>
  <c r="X587" i="1"/>
  <c r="AB587" i="1"/>
  <c r="AA587" i="1"/>
  <c r="AC587" i="1" l="1"/>
  <c r="V588" i="1" s="1"/>
  <c r="X588" i="1" l="1"/>
  <c r="Z588" i="1"/>
  <c r="W588" i="1"/>
  <c r="AB588" i="1"/>
  <c r="AA588" i="1"/>
  <c r="Y588" i="1"/>
  <c r="AC588" i="1" l="1"/>
  <c r="V589" i="1" s="1"/>
  <c r="X589" i="1" s="1"/>
  <c r="AA589" i="1"/>
  <c r="Y589" i="1"/>
  <c r="Z589" i="1" l="1"/>
  <c r="W589" i="1"/>
  <c r="AB589" i="1"/>
  <c r="AC589" i="1" s="1"/>
  <c r="V590" i="1" s="1"/>
  <c r="W590" i="1" l="1"/>
  <c r="Z590" i="1"/>
  <c r="X590" i="1"/>
  <c r="Y590" i="1"/>
  <c r="AB590" i="1"/>
  <c r="AA590" i="1"/>
  <c r="AC590" i="1" l="1"/>
  <c r="V591" i="1" s="1"/>
  <c r="AB591" i="1" s="1"/>
  <c r="AA591" i="1"/>
  <c r="Y591" i="1" l="1"/>
  <c r="Z591" i="1"/>
  <c r="W591" i="1"/>
  <c r="X591" i="1"/>
  <c r="AA592" i="1" s="1"/>
  <c r="AC591" i="1" l="1"/>
  <c r="V592" i="1" s="1"/>
  <c r="AB592" i="1"/>
  <c r="Z592" i="1"/>
  <c r="W592" i="1"/>
  <c r="X592" i="1"/>
  <c r="Y592" i="1"/>
  <c r="AC592" i="1" s="1"/>
  <c r="V593" i="1" s="1"/>
  <c r="X593" i="1" s="1"/>
  <c r="Y593" i="1" l="1"/>
  <c r="AA593" i="1"/>
  <c r="Z593" i="1"/>
  <c r="W593" i="1"/>
  <c r="AB593" i="1"/>
  <c r="AC593" i="1" s="1"/>
  <c r="V594" i="1" s="1"/>
  <c r="Y594" i="1" s="1"/>
  <c r="AA594" i="1" l="1"/>
  <c r="W594" i="1"/>
  <c r="AB594" i="1"/>
  <c r="Z594" i="1"/>
  <c r="X594" i="1"/>
  <c r="AC594" i="1" l="1"/>
  <c r="V595" i="1" s="1"/>
  <c r="Z595" i="1" l="1"/>
  <c r="X595" i="1"/>
  <c r="W595" i="1"/>
  <c r="AB595" i="1"/>
  <c r="AA595" i="1"/>
  <c r="Y595" i="1"/>
  <c r="AC595" i="1" l="1"/>
  <c r="V596" i="1" s="1"/>
  <c r="W596" i="1" l="1"/>
  <c r="Z596" i="1"/>
  <c r="X596" i="1"/>
  <c r="AB596" i="1"/>
  <c r="Y596" i="1"/>
  <c r="AA596" i="1"/>
  <c r="AC596" i="1" l="1"/>
  <c r="V597" i="1" s="1"/>
  <c r="Z597" i="1" l="1"/>
  <c r="AB597" i="1"/>
  <c r="X597" i="1"/>
  <c r="W597" i="1"/>
  <c r="AA597" i="1"/>
  <c r="Y597" i="1"/>
  <c r="AC597" i="1" l="1"/>
  <c r="V598" i="1" s="1"/>
  <c r="AA598" i="1" s="1"/>
  <c r="Y598" i="1"/>
  <c r="W598" i="1" l="1"/>
  <c r="X598" i="1"/>
  <c r="Z598" i="1"/>
  <c r="AB598" i="1"/>
  <c r="AC598" i="1" l="1"/>
  <c r="V599" i="1" s="1"/>
  <c r="AB599" i="1" l="1"/>
  <c r="X599" i="1"/>
  <c r="W599" i="1"/>
  <c r="Z599" i="1"/>
  <c r="Y599" i="1"/>
  <c r="AA599" i="1"/>
  <c r="AC599" i="1" l="1"/>
  <c r="V600" i="1" s="1"/>
  <c r="W600" i="1" s="1"/>
  <c r="Y600" i="1" l="1"/>
  <c r="AA600" i="1"/>
  <c r="AB600" i="1"/>
  <c r="X600" i="1"/>
  <c r="Z600" i="1"/>
  <c r="AC600" i="1" s="1"/>
  <c r="V601" i="1" s="1"/>
  <c r="W601" i="1" s="1"/>
  <c r="AB601" i="1" l="1"/>
  <c r="Z601" i="1"/>
  <c r="Y601" i="1"/>
  <c r="X601" i="1"/>
  <c r="AA601" i="1"/>
  <c r="AC601" i="1" s="1"/>
  <c r="V602" i="1" s="1"/>
  <c r="AA602" i="1" l="1"/>
  <c r="AB602" i="1"/>
  <c r="W602" i="1"/>
  <c r="Z602" i="1"/>
  <c r="X602" i="1"/>
  <c r="Y602" i="1"/>
  <c r="AC602" i="1" l="1"/>
  <c r="V603" i="1" s="1"/>
  <c r="W603" i="1" s="1"/>
  <c r="AB603" i="1"/>
  <c r="Y603" i="1"/>
  <c r="AA603" i="1"/>
  <c r="X603" i="1" l="1"/>
  <c r="Z603" i="1"/>
  <c r="AC603" i="1"/>
  <c r="V604" i="1" s="1"/>
  <c r="X604" i="1" s="1"/>
  <c r="AA604" i="1" l="1"/>
  <c r="Z604" i="1"/>
  <c r="AB604" i="1"/>
  <c r="W604" i="1"/>
  <c r="Y604" i="1"/>
  <c r="AC604" i="1" l="1"/>
  <c r="V605" i="1" s="1"/>
  <c r="X605" i="1"/>
  <c r="Z605" i="1"/>
  <c r="W605" i="1"/>
  <c r="AB605" i="1"/>
  <c r="AA605" i="1"/>
  <c r="Y605" i="1"/>
  <c r="AC605" i="1" l="1"/>
  <c r="V606" i="1" s="1"/>
  <c r="W606" i="1" s="1"/>
  <c r="AB606" i="1"/>
  <c r="Z606" i="1"/>
  <c r="Y606" i="1"/>
  <c r="AA606" i="1"/>
  <c r="X606" i="1"/>
  <c r="AC606" i="1" l="1"/>
  <c r="V607" i="1" s="1"/>
  <c r="X607" i="1" s="1"/>
  <c r="Y607" i="1"/>
  <c r="W607" i="1" l="1"/>
  <c r="Z607" i="1"/>
  <c r="AA607" i="1"/>
  <c r="AB607" i="1"/>
  <c r="AC607" i="1" s="1"/>
  <c r="V608" i="1" s="1"/>
  <c r="Z608" i="1" l="1"/>
  <c r="Y608" i="1"/>
  <c r="W608" i="1"/>
  <c r="AB608" i="1"/>
  <c r="AA608" i="1"/>
  <c r="X608" i="1"/>
  <c r="AC608" i="1" s="1"/>
  <c r="V609" i="1" s="1"/>
  <c r="Y609" i="1" l="1"/>
  <c r="AA609" i="1"/>
  <c r="AB609" i="1"/>
  <c r="W609" i="1"/>
  <c r="Z609" i="1"/>
  <c r="X609" i="1"/>
  <c r="AC609" i="1"/>
  <c r="V610" i="1" s="1"/>
  <c r="AA610" i="1" s="1"/>
  <c r="X610" i="1" l="1"/>
  <c r="Y610" i="1"/>
  <c r="W610" i="1"/>
  <c r="AB610" i="1"/>
  <c r="Z610" i="1"/>
  <c r="AC610" i="1" l="1"/>
  <c r="V611" i="1" s="1"/>
  <c r="AA611" i="1" s="1"/>
  <c r="Y611" i="1" l="1"/>
  <c r="Z611" i="1"/>
  <c r="AB611" i="1"/>
  <c r="W611" i="1"/>
  <c r="X611" i="1"/>
  <c r="AC611" i="1" l="1"/>
  <c r="V612" i="1" s="1"/>
  <c r="AA612" i="1" s="1"/>
  <c r="X612" i="1" l="1"/>
  <c r="Z612" i="1"/>
  <c r="Y612" i="1"/>
  <c r="W612" i="1"/>
  <c r="AB612" i="1"/>
  <c r="AC612" i="1" s="1"/>
  <c r="V613" i="1" s="1"/>
  <c r="AA613" i="1" l="1"/>
  <c r="Y613" i="1"/>
  <c r="W613" i="1"/>
  <c r="X613" i="1"/>
  <c r="AB613" i="1"/>
  <c r="Z613" i="1"/>
  <c r="AC613" i="1" l="1"/>
  <c r="V614" i="1" s="1"/>
  <c r="X614" i="1" s="1"/>
  <c r="AB614" i="1"/>
  <c r="Z614" i="1"/>
  <c r="AA614" i="1"/>
  <c r="W614" i="1"/>
  <c r="Y614" i="1" l="1"/>
  <c r="AC614" i="1"/>
  <c r="V615" i="1" s="1"/>
  <c r="Y615" i="1"/>
  <c r="AB615" i="1"/>
  <c r="AA615" i="1"/>
  <c r="X615" i="1"/>
  <c r="Z615" i="1"/>
  <c r="W615" i="1"/>
  <c r="AC615" i="1" l="1"/>
  <c r="V616" i="1" s="1"/>
  <c r="Y616" i="1" s="1"/>
  <c r="Z616" i="1"/>
  <c r="AA616" i="1" l="1"/>
  <c r="AB616" i="1"/>
  <c r="X616" i="1"/>
  <c r="W616" i="1"/>
  <c r="AC616" i="1" l="1"/>
  <c r="V617" i="1" s="1"/>
  <c r="AA617" i="1"/>
  <c r="X617" i="1"/>
  <c r="Y617" i="1"/>
  <c r="W617" i="1"/>
  <c r="Z617" i="1"/>
  <c r="AB617" i="1"/>
  <c r="AC617" i="1" l="1"/>
  <c r="V618" i="1" s="1"/>
  <c r="AA618" i="1" s="1"/>
  <c r="X618" i="1" l="1"/>
  <c r="Z618" i="1"/>
  <c r="W618" i="1"/>
  <c r="AB618" i="1"/>
  <c r="Y618" i="1"/>
  <c r="AC618" i="1" l="1"/>
  <c r="V619" i="1" s="1"/>
  <c r="Y619" i="1" s="1"/>
  <c r="AA619" i="1"/>
  <c r="AB619" i="1" l="1"/>
  <c r="Z619" i="1"/>
  <c r="W619" i="1"/>
  <c r="X619" i="1"/>
  <c r="AC619" i="1" l="1"/>
  <c r="V620" i="1" s="1"/>
  <c r="AB620" i="1" l="1"/>
  <c r="X620" i="1"/>
  <c r="Z620" i="1"/>
  <c r="W620" i="1"/>
  <c r="AA620" i="1"/>
  <c r="Y620" i="1"/>
  <c r="AC620" i="1" s="1"/>
  <c r="V621" i="1" s="1"/>
  <c r="Z621" i="1" l="1"/>
  <c r="AB621" i="1"/>
  <c r="X621" i="1"/>
  <c r="Y621" i="1"/>
  <c r="AA621" i="1"/>
  <c r="W621" i="1"/>
  <c r="AC621" i="1" l="1"/>
  <c r="V622" i="1" s="1"/>
  <c r="AA622" i="1" s="1"/>
  <c r="Z622" i="1"/>
  <c r="AB622" i="1"/>
  <c r="W622" i="1"/>
  <c r="X622" i="1"/>
  <c r="Y622" i="1"/>
  <c r="AC622" i="1" l="1"/>
  <c r="V623" i="1" s="1"/>
  <c r="AA623" i="1" s="1"/>
  <c r="Y623" i="1"/>
  <c r="X623" i="1" l="1"/>
  <c r="W623" i="1"/>
  <c r="Z623" i="1"/>
  <c r="AB623" i="1"/>
  <c r="AC623" i="1" l="1"/>
  <c r="V624" i="1" s="1"/>
  <c r="Z624" i="1" l="1"/>
  <c r="W624" i="1"/>
  <c r="X624" i="1"/>
  <c r="AB624" i="1"/>
  <c r="Y624" i="1"/>
  <c r="AA624" i="1"/>
  <c r="AC624" i="1" l="1"/>
  <c r="V625" i="1" s="1"/>
  <c r="AA625" i="1" s="1"/>
  <c r="AB625" i="1" l="1"/>
  <c r="Z625" i="1"/>
  <c r="Y625" i="1"/>
  <c r="W625" i="1"/>
  <c r="X625" i="1"/>
  <c r="AC625" i="1"/>
  <c r="V626" i="1" s="1"/>
  <c r="Y626" i="1" s="1"/>
  <c r="X626" i="1" l="1"/>
  <c r="AB626" i="1"/>
  <c r="W626" i="1"/>
  <c r="AA626" i="1"/>
  <c r="Z626" i="1"/>
  <c r="AC626" i="1" s="1"/>
  <c r="V627" i="1" s="1"/>
  <c r="X627" i="1" l="1"/>
  <c r="W627" i="1"/>
  <c r="AB627" i="1"/>
  <c r="Y627" i="1"/>
  <c r="AA627" i="1"/>
  <c r="Z627" i="1"/>
  <c r="AC627" i="1" l="1"/>
  <c r="V628" i="1" s="1"/>
  <c r="AA628" i="1" l="1"/>
  <c r="X628" i="1"/>
  <c r="Z628" i="1"/>
  <c r="W628" i="1"/>
  <c r="AB628" i="1"/>
  <c r="Y628" i="1"/>
  <c r="AC628" i="1" l="1"/>
  <c r="V629" i="1" s="1"/>
  <c r="X629" i="1" l="1"/>
  <c r="AB629" i="1"/>
  <c r="W629" i="1"/>
  <c r="Z629" i="1"/>
  <c r="Y629" i="1"/>
  <c r="AA629" i="1"/>
  <c r="AC629" i="1" l="1"/>
  <c r="V630" i="1" s="1"/>
  <c r="X630" i="1"/>
  <c r="AB630" i="1"/>
  <c r="Z630" i="1"/>
  <c r="W630" i="1"/>
  <c r="AA630" i="1"/>
  <c r="Y630" i="1"/>
  <c r="AC630" i="1" s="1"/>
  <c r="V631" i="1" s="1"/>
  <c r="AA631" i="1" l="1"/>
  <c r="W631" i="1"/>
  <c r="AB631" i="1"/>
  <c r="Z631" i="1"/>
  <c r="X631" i="1"/>
  <c r="Y631" i="1"/>
  <c r="AC631" i="1" l="1"/>
  <c r="V632" i="1" s="1"/>
  <c r="AA632" i="1"/>
  <c r="AB632" i="1" l="1"/>
  <c r="W632" i="1"/>
  <c r="Z632" i="1"/>
  <c r="X632" i="1"/>
  <c r="Y632" i="1"/>
  <c r="AC632" i="1" l="1"/>
  <c r="V633" i="1" s="1"/>
  <c r="AB633" i="1"/>
  <c r="Z633" i="1"/>
  <c r="X633" i="1"/>
  <c r="W633" i="1"/>
  <c r="Y633" i="1"/>
  <c r="AA633" i="1"/>
  <c r="AC633" i="1" l="1"/>
  <c r="V634" i="1" s="1"/>
  <c r="W634" i="1" s="1"/>
  <c r="AB634" i="1"/>
  <c r="X634" i="1"/>
  <c r="Z634" i="1"/>
  <c r="Y634" i="1"/>
  <c r="AA634" i="1"/>
  <c r="AC634" i="1" l="1"/>
  <c r="V635" i="1" s="1"/>
  <c r="W635" i="1" s="1"/>
  <c r="Y635" i="1"/>
  <c r="AB635" i="1"/>
  <c r="Z635" i="1"/>
  <c r="X635" i="1"/>
  <c r="AA635" i="1"/>
  <c r="AC635" i="1" l="1"/>
  <c r="V636" i="1" s="1"/>
  <c r="Y636" i="1" s="1"/>
  <c r="AB636" i="1" l="1"/>
  <c r="W636" i="1"/>
  <c r="X636" i="1"/>
  <c r="Z636" i="1"/>
  <c r="AA636" i="1"/>
  <c r="AC636" i="1" l="1"/>
  <c r="V637" i="1" s="1"/>
  <c r="X637" i="1" s="1"/>
  <c r="AB637" i="1"/>
  <c r="W637" i="1"/>
  <c r="Z637" i="1"/>
  <c r="AA637" i="1"/>
  <c r="Y637" i="1"/>
  <c r="AC637" i="1" l="1"/>
  <c r="V638" i="1" s="1"/>
  <c r="AB638" i="1" l="1"/>
  <c r="X638" i="1"/>
  <c r="Z638" i="1"/>
  <c r="W638" i="1"/>
  <c r="Y638" i="1"/>
  <c r="AA638" i="1"/>
  <c r="AC638" i="1" l="1"/>
  <c r="V639" i="1" s="1"/>
  <c r="AA639" i="1" l="1"/>
  <c r="X639" i="1"/>
  <c r="Z639" i="1"/>
  <c r="AB639" i="1"/>
  <c r="W639" i="1"/>
  <c r="Y639" i="1"/>
  <c r="AC639" i="1" l="1"/>
  <c r="V640" i="1" s="1"/>
  <c r="AA640" i="1"/>
  <c r="Y640" i="1"/>
  <c r="AB640" i="1"/>
  <c r="W640" i="1"/>
  <c r="X640" i="1"/>
  <c r="Z640" i="1"/>
  <c r="AC640" i="1" l="1"/>
  <c r="V641" i="1" s="1"/>
  <c r="Z641" i="1" l="1"/>
  <c r="W641" i="1"/>
  <c r="AB641" i="1"/>
  <c r="X641" i="1"/>
  <c r="Y641" i="1"/>
  <c r="AA641" i="1"/>
  <c r="AC641" i="1" l="1"/>
  <c r="V642" i="1" s="1"/>
  <c r="Z642" i="1"/>
  <c r="W642" i="1"/>
  <c r="X642" i="1"/>
  <c r="AB642" i="1"/>
  <c r="Y642" i="1"/>
  <c r="AA642" i="1"/>
  <c r="AC642" i="1" l="1"/>
  <c r="V643" i="1" s="1"/>
  <c r="W643" i="1" l="1"/>
  <c r="X643" i="1"/>
  <c r="Z643" i="1"/>
  <c r="AB643" i="1"/>
  <c r="Y643" i="1"/>
  <c r="AA643" i="1"/>
  <c r="AC643" i="1" l="1"/>
  <c r="V644" i="1" s="1"/>
  <c r="W644" i="1" l="1"/>
  <c r="AB644" i="1"/>
  <c r="Z644" i="1"/>
  <c r="X644" i="1"/>
  <c r="Y644" i="1"/>
  <c r="AA644" i="1"/>
  <c r="AC644" i="1" l="1"/>
  <c r="V645" i="1" s="1"/>
  <c r="AA645" i="1" l="1"/>
  <c r="AB645" i="1"/>
  <c r="Z645" i="1"/>
  <c r="X645" i="1"/>
  <c r="W645" i="1"/>
  <c r="AC645" i="1"/>
  <c r="V646" i="1" s="1"/>
  <c r="Y646" i="1"/>
  <c r="AA646" i="1"/>
  <c r="Y645" i="1"/>
  <c r="W646" i="1" l="1"/>
  <c r="AB646" i="1"/>
  <c r="X646" i="1"/>
  <c r="Z646" i="1"/>
  <c r="AC646" i="1" s="1"/>
  <c r="V647" i="1" s="1"/>
  <c r="Y647" i="1" s="1"/>
  <c r="AA647" i="1" l="1"/>
  <c r="X647" i="1"/>
  <c r="W647" i="1"/>
  <c r="AB647" i="1"/>
  <c r="Z647" i="1"/>
  <c r="AC647" i="1" l="1"/>
  <c r="V648" i="1" s="1"/>
  <c r="Y648" i="1"/>
  <c r="AA648" i="1"/>
  <c r="W648" i="1"/>
  <c r="AB648" i="1"/>
  <c r="Z648" i="1"/>
  <c r="X648" i="1"/>
  <c r="AC648" i="1" l="1"/>
  <c r="V649" i="1" s="1"/>
  <c r="Y649" i="1" s="1"/>
  <c r="AA649" i="1"/>
  <c r="W649" i="1"/>
  <c r="AB649" i="1"/>
  <c r="X649" i="1"/>
  <c r="Z649" i="1"/>
  <c r="AC649" i="1"/>
  <c r="V650" i="1" s="1"/>
  <c r="Y650" i="1" s="1"/>
  <c r="AA650" i="1" l="1"/>
  <c r="Z650" i="1"/>
  <c r="AB650" i="1"/>
  <c r="X650" i="1"/>
  <c r="W650" i="1"/>
  <c r="AC650" i="1"/>
  <c r="V651" i="1" s="1"/>
  <c r="AA651" i="1" l="1"/>
  <c r="W651" i="1"/>
  <c r="AB651" i="1"/>
  <c r="X651" i="1"/>
  <c r="Z651" i="1"/>
  <c r="Y651" i="1"/>
  <c r="AC651" i="1" l="1"/>
  <c r="V652" i="1" s="1"/>
  <c r="AA652" i="1" l="1"/>
  <c r="Z652" i="1"/>
  <c r="W652" i="1"/>
  <c r="X652" i="1"/>
  <c r="AB652" i="1"/>
  <c r="Y652" i="1"/>
  <c r="AC652" i="1" l="1"/>
  <c r="V653" i="1" s="1"/>
  <c r="AA653" i="1" s="1"/>
  <c r="Y653" i="1"/>
  <c r="AB653" i="1" l="1"/>
  <c r="W653" i="1"/>
  <c r="Z653" i="1"/>
  <c r="X653" i="1"/>
  <c r="AC653" i="1" l="1"/>
  <c r="V654" i="1" s="1"/>
  <c r="AA654" i="1"/>
  <c r="AB654" i="1"/>
  <c r="W654" i="1"/>
  <c r="X654" i="1"/>
  <c r="Z654" i="1"/>
  <c r="Y654" i="1"/>
  <c r="AC654" i="1" s="1"/>
  <c r="V655" i="1" s="1"/>
  <c r="Y655" i="1" l="1"/>
  <c r="W655" i="1"/>
  <c r="X655" i="1"/>
  <c r="Z655" i="1"/>
  <c r="AA655" i="1"/>
  <c r="AB655" i="1"/>
  <c r="AC655" i="1" s="1"/>
  <c r="V656" i="1" s="1"/>
  <c r="W656" i="1" s="1"/>
  <c r="AB656" i="1" l="1"/>
  <c r="AA656" i="1"/>
  <c r="Z656" i="1"/>
  <c r="Y656" i="1"/>
  <c r="X656" i="1"/>
  <c r="AC656" i="1" s="1"/>
  <c r="V657" i="1" s="1"/>
  <c r="AA657" i="1" s="1"/>
  <c r="Y657" i="1" l="1"/>
  <c r="X657" i="1"/>
  <c r="W657" i="1"/>
  <c r="Z657" i="1"/>
  <c r="AB657" i="1"/>
  <c r="AC657" i="1" l="1"/>
  <c r="V658" i="1" s="1"/>
  <c r="AA658" i="1" s="1"/>
  <c r="Y658" i="1" l="1"/>
  <c r="Z658" i="1"/>
  <c r="X658" i="1"/>
  <c r="W658" i="1"/>
  <c r="AB658" i="1"/>
  <c r="AC658" i="1" l="1"/>
  <c r="V659" i="1" s="1"/>
  <c r="AA659" i="1" s="1"/>
  <c r="Y659" i="1"/>
  <c r="W659" i="1" l="1"/>
  <c r="X659" i="1"/>
  <c r="AB659" i="1"/>
  <c r="Z659" i="1"/>
  <c r="AC659" i="1" l="1"/>
  <c r="V660" i="1" s="1"/>
  <c r="AA660" i="1" s="1"/>
  <c r="X660" i="1" l="1"/>
  <c r="Z660" i="1"/>
  <c r="W660" i="1"/>
  <c r="AB660" i="1"/>
  <c r="Y660" i="1"/>
  <c r="AC660" i="1" l="1"/>
  <c r="V661" i="1" s="1"/>
  <c r="Y661" i="1" s="1"/>
  <c r="AA661" i="1"/>
  <c r="AB661" i="1"/>
  <c r="W661" i="1"/>
  <c r="Z661" i="1"/>
  <c r="X661" i="1"/>
  <c r="AC661" i="1" l="1"/>
  <c r="V662" i="1" s="1"/>
  <c r="Y662" i="1" s="1"/>
  <c r="AA662" i="1"/>
  <c r="Z662" i="1" l="1"/>
  <c r="AB662" i="1"/>
  <c r="W662" i="1"/>
  <c r="X662" i="1"/>
  <c r="AC662" i="1" l="1"/>
  <c r="V663" i="1" s="1"/>
  <c r="AA663" i="1" s="1"/>
  <c r="Y663" i="1" l="1"/>
  <c r="W663" i="1"/>
  <c r="AB663" i="1"/>
  <c r="Z663" i="1"/>
  <c r="X663" i="1"/>
  <c r="AC663" i="1" l="1"/>
  <c r="V664" i="1" s="1"/>
  <c r="X664" i="1" s="1"/>
  <c r="AA664" i="1" l="1"/>
  <c r="Y664" i="1"/>
  <c r="W664" i="1"/>
  <c r="Z664" i="1"/>
  <c r="AB664" i="1"/>
  <c r="AC664" i="1" l="1"/>
  <c r="V665" i="1" s="1"/>
  <c r="X665" i="1" s="1"/>
  <c r="AA665" i="1" l="1"/>
  <c r="Y665" i="1"/>
  <c r="W665" i="1"/>
  <c r="AB665" i="1"/>
  <c r="Z665" i="1"/>
  <c r="AC665" i="1" l="1"/>
  <c r="V666" i="1" s="1"/>
  <c r="Y666" i="1" s="1"/>
  <c r="AB666" i="1"/>
  <c r="W666" i="1" l="1"/>
  <c r="Z666" i="1"/>
  <c r="X666" i="1"/>
  <c r="AA666" i="1"/>
  <c r="AC666" i="1" l="1"/>
  <c r="V667" i="1" s="1"/>
  <c r="AB667" i="1" s="1"/>
  <c r="AA667" i="1"/>
  <c r="Y667" i="1"/>
  <c r="Z667" i="1"/>
  <c r="X667" i="1"/>
  <c r="W667" i="1"/>
  <c r="AC667" i="1" l="1"/>
  <c r="V668" i="1" s="1"/>
  <c r="Y668" i="1" s="1"/>
  <c r="AB668" i="1" l="1"/>
  <c r="X668" i="1"/>
  <c r="W668" i="1"/>
  <c r="Z668" i="1"/>
  <c r="AA668" i="1"/>
  <c r="AC668" i="1" l="1"/>
  <c r="V669" i="1" s="1"/>
  <c r="Z669" i="1"/>
  <c r="AB669" i="1"/>
  <c r="Y669" i="1"/>
  <c r="X669" i="1"/>
  <c r="W669" i="1"/>
  <c r="AA669" i="1"/>
  <c r="AC669" i="1" s="1"/>
  <c r="V670" i="1" s="1"/>
  <c r="Y670" i="1" s="1"/>
  <c r="AA670" i="1" l="1"/>
  <c r="AB670" i="1"/>
  <c r="Z670" i="1"/>
  <c r="X670" i="1"/>
  <c r="W670" i="1"/>
  <c r="AC670" i="1" l="1"/>
  <c r="V671" i="1" s="1"/>
  <c r="X671" i="1" s="1"/>
  <c r="AA671" i="1" l="1"/>
  <c r="Y671" i="1"/>
  <c r="AB671" i="1"/>
  <c r="Z671" i="1"/>
  <c r="W671" i="1"/>
  <c r="AC671" i="1" l="1"/>
  <c r="V672" i="1" s="1"/>
  <c r="Y672" i="1" l="1"/>
  <c r="AA672" i="1"/>
  <c r="Z672" i="1"/>
  <c r="AB672" i="1"/>
  <c r="W672" i="1"/>
  <c r="X672" i="1"/>
  <c r="AC672" i="1" l="1"/>
  <c r="V673" i="1" s="1"/>
  <c r="Y673" i="1" s="1"/>
  <c r="AA673" i="1" l="1"/>
  <c r="Z673" i="1"/>
  <c r="W673" i="1"/>
  <c r="AB673" i="1"/>
  <c r="X673" i="1"/>
  <c r="AC673" i="1" l="1"/>
  <c r="V674" i="1" s="1"/>
  <c r="AA674" i="1" s="1"/>
  <c r="Y674" i="1" l="1"/>
  <c r="Z674" i="1"/>
  <c r="X674" i="1"/>
  <c r="W674" i="1"/>
  <c r="AB674" i="1"/>
  <c r="AC674" i="1" l="1"/>
  <c r="V675" i="1" s="1"/>
  <c r="AA675" i="1" s="1"/>
  <c r="AB675" i="1"/>
  <c r="W675" i="1"/>
  <c r="X675" i="1" l="1"/>
  <c r="Z675" i="1"/>
  <c r="Y675" i="1"/>
  <c r="AC675" i="1" s="1"/>
  <c r="V676" i="1" s="1"/>
  <c r="W676" i="1" l="1"/>
  <c r="Z676" i="1"/>
  <c r="X676" i="1"/>
  <c r="AB676" i="1"/>
  <c r="Y676" i="1"/>
  <c r="AA676" i="1"/>
  <c r="AC676" i="1" l="1"/>
  <c r="V677" i="1" s="1"/>
  <c r="Y677" i="1" s="1"/>
  <c r="AB677" i="1"/>
  <c r="Z677" i="1"/>
  <c r="X677" i="1"/>
  <c r="W677" i="1"/>
  <c r="AA677" i="1" l="1"/>
  <c r="AC677" i="1"/>
  <c r="V678" i="1" s="1"/>
  <c r="Y678" i="1" s="1"/>
  <c r="AA678" i="1"/>
  <c r="AB678" i="1"/>
  <c r="Z678" i="1"/>
  <c r="W678" i="1"/>
  <c r="X678" i="1" l="1"/>
  <c r="AC678" i="1"/>
  <c r="V679" i="1" s="1"/>
  <c r="Y679" i="1" s="1"/>
  <c r="Z679" i="1"/>
  <c r="AB679" i="1"/>
  <c r="W679" i="1" l="1"/>
  <c r="AA679" i="1"/>
  <c r="X679" i="1"/>
  <c r="AC679" i="1" s="1"/>
  <c r="V680" i="1" s="1"/>
  <c r="W680" i="1" l="1"/>
  <c r="Z680" i="1"/>
  <c r="AB680" i="1"/>
  <c r="X680" i="1"/>
  <c r="AA680" i="1"/>
  <c r="Y680" i="1"/>
  <c r="AC680" i="1" s="1"/>
  <c r="V681" i="1" s="1"/>
  <c r="AA681" i="1" s="1"/>
  <c r="Y681" i="1" l="1"/>
  <c r="AB681" i="1"/>
  <c r="Z681" i="1"/>
  <c r="X681" i="1"/>
  <c r="W681" i="1"/>
  <c r="AC681" i="1" l="1"/>
  <c r="V682" i="1" s="1"/>
  <c r="Y682" i="1" s="1"/>
  <c r="AA682" i="1" l="1"/>
  <c r="X682" i="1"/>
  <c r="Z682" i="1"/>
  <c r="W682" i="1"/>
  <c r="AB682" i="1"/>
  <c r="AC682" i="1" l="1"/>
  <c r="V683" i="1" s="1"/>
  <c r="AA683" i="1" s="1"/>
  <c r="Y683" i="1" l="1"/>
  <c r="X683" i="1"/>
  <c r="Z683" i="1"/>
  <c r="W683" i="1"/>
  <c r="AB683" i="1"/>
  <c r="AC683" i="1" l="1"/>
  <c r="V684" i="1" s="1"/>
  <c r="AA684" i="1" s="1"/>
  <c r="Y684" i="1" l="1"/>
  <c r="AB684" i="1"/>
  <c r="W684" i="1"/>
  <c r="Z684" i="1"/>
  <c r="X684" i="1"/>
  <c r="AC684" i="1" l="1"/>
  <c r="V685" i="1" s="1"/>
  <c r="Y685" i="1" s="1"/>
  <c r="W685" i="1" l="1"/>
  <c r="X685" i="1"/>
  <c r="Z685" i="1"/>
  <c r="AB685" i="1"/>
  <c r="AA685" i="1"/>
  <c r="AC685" i="1" l="1"/>
  <c r="V686" i="1" s="1"/>
  <c r="AA686" i="1" s="1"/>
  <c r="Y686" i="1" l="1"/>
  <c r="X686" i="1"/>
  <c r="Z686" i="1"/>
  <c r="W686" i="1"/>
  <c r="AB686" i="1"/>
  <c r="AC686" i="1" l="1"/>
  <c r="V687" i="1" s="1"/>
  <c r="W687" i="1" s="1"/>
  <c r="Y687" i="1"/>
  <c r="AB687" i="1"/>
  <c r="X687" i="1"/>
  <c r="Z687" i="1"/>
  <c r="AA687" i="1"/>
  <c r="AC687" i="1" l="1"/>
  <c r="V688" i="1" s="1"/>
  <c r="X688" i="1" l="1"/>
  <c r="AB688" i="1"/>
  <c r="W688" i="1"/>
  <c r="Z688" i="1"/>
  <c r="AA688" i="1"/>
  <c r="Y688" i="1"/>
  <c r="AC688" i="1" l="1"/>
  <c r="V689" i="1" s="1"/>
  <c r="X689" i="1" l="1"/>
  <c r="W689" i="1"/>
  <c r="AB689" i="1"/>
  <c r="Z689" i="1"/>
  <c r="AA689" i="1"/>
  <c r="Y689" i="1"/>
  <c r="AC689" i="1" l="1"/>
  <c r="V690" i="1" s="1"/>
  <c r="X690" i="1" l="1"/>
  <c r="AB690" i="1"/>
  <c r="Z690" i="1"/>
  <c r="W690" i="1"/>
  <c r="Y690" i="1"/>
  <c r="AA690" i="1"/>
  <c r="AC690" i="1" l="1"/>
  <c r="V691" i="1" s="1"/>
  <c r="W691" i="1" s="1"/>
  <c r="AB691" i="1"/>
  <c r="Z691" i="1"/>
  <c r="AA691" i="1"/>
  <c r="Y691" i="1"/>
  <c r="X691" i="1" l="1"/>
  <c r="AC691" i="1" s="1"/>
  <c r="V692" i="1" s="1"/>
  <c r="AA692" i="1"/>
  <c r="Y692" i="1"/>
  <c r="Z692" i="1" l="1"/>
  <c r="AB692" i="1"/>
  <c r="AC692" i="1" s="1"/>
  <c r="V693" i="1" s="1"/>
  <c r="W692" i="1"/>
  <c r="X692" i="1"/>
  <c r="AA693" i="1"/>
  <c r="Z693" i="1" l="1"/>
  <c r="AB693" i="1"/>
  <c r="X693" i="1"/>
  <c r="Y693" i="1"/>
  <c r="W693" i="1"/>
  <c r="AC693" i="1"/>
  <c r="V694" i="1" s="1"/>
  <c r="X694" i="1" l="1"/>
  <c r="W694" i="1"/>
  <c r="Z694" i="1"/>
  <c r="AB694" i="1"/>
  <c r="AA694" i="1"/>
  <c r="Y694" i="1"/>
  <c r="AC694" i="1" l="1"/>
  <c r="V695" i="1" s="1"/>
  <c r="AA695" i="1" s="1"/>
  <c r="AB695" i="1"/>
  <c r="Z695" i="1"/>
  <c r="Y695" i="1"/>
  <c r="W695" i="1" l="1"/>
  <c r="X695" i="1"/>
  <c r="AC695" i="1"/>
  <c r="V696" i="1" s="1"/>
  <c r="X696" i="1" s="1"/>
  <c r="W696" i="1"/>
  <c r="AB696" i="1"/>
  <c r="Z696" i="1"/>
  <c r="AA696" i="1"/>
  <c r="Y696" i="1"/>
  <c r="AC696" i="1" l="1"/>
  <c r="V697" i="1" s="1"/>
  <c r="Y697" i="1" s="1"/>
  <c r="AB697" i="1"/>
  <c r="AA697" i="1"/>
  <c r="X697" i="1" l="1"/>
  <c r="W697" i="1"/>
  <c r="Z697" i="1"/>
  <c r="AC697" i="1" s="1"/>
  <c r="V698" i="1" s="1"/>
  <c r="Y698" i="1" l="1"/>
  <c r="W698" i="1"/>
  <c r="Z698" i="1"/>
  <c r="AB698" i="1"/>
  <c r="AA698" i="1"/>
  <c r="X698" i="1"/>
  <c r="AC698" i="1" l="1"/>
  <c r="V699" i="1" s="1"/>
  <c r="Z699" i="1" s="1"/>
  <c r="W699" i="1"/>
  <c r="X699" i="1"/>
  <c r="Y699" i="1"/>
  <c r="AA699" i="1"/>
  <c r="AB699" i="1" l="1"/>
  <c r="AC699" i="1"/>
  <c r="V700" i="1" s="1"/>
  <c r="X700" i="1" s="1"/>
  <c r="AB700" i="1"/>
  <c r="Z700" i="1"/>
  <c r="AA700" i="1"/>
  <c r="Y700" i="1"/>
  <c r="W700" i="1" l="1"/>
  <c r="AC700" i="1"/>
  <c r="V701" i="1" s="1"/>
  <c r="AB701" i="1"/>
  <c r="Z701" i="1"/>
  <c r="X701" i="1"/>
  <c r="W701" i="1"/>
  <c r="Y701" i="1"/>
  <c r="AA701" i="1"/>
  <c r="AC701" i="1" s="1"/>
  <c r="V702" i="1" s="1"/>
  <c r="AA702" i="1" l="1"/>
  <c r="X702" i="1"/>
  <c r="AB702" i="1"/>
  <c r="Z702" i="1"/>
  <c r="W702" i="1"/>
  <c r="Y702" i="1"/>
  <c r="AC702" i="1" l="1"/>
  <c r="V703" i="1" s="1"/>
  <c r="Y703" i="1" s="1"/>
  <c r="AA703" i="1"/>
  <c r="AB703" i="1"/>
  <c r="Z703" i="1"/>
  <c r="W703" i="1"/>
  <c r="X703" i="1"/>
  <c r="AC703" i="1" l="1"/>
  <c r="V704" i="1" s="1"/>
  <c r="X704" i="1" s="1"/>
  <c r="AB704" i="1"/>
  <c r="Z704" i="1"/>
  <c r="W704" i="1"/>
  <c r="Y704" i="1"/>
  <c r="AA704" i="1" l="1"/>
  <c r="AC704" i="1"/>
  <c r="V705" i="1" s="1"/>
  <c r="AB705" i="1" s="1"/>
  <c r="Y705" i="1"/>
  <c r="AA705" i="1"/>
  <c r="X705" i="1" l="1"/>
  <c r="W705" i="1"/>
  <c r="Z705" i="1"/>
  <c r="AC705" i="1"/>
  <c r="V706" i="1" s="1"/>
  <c r="X706" i="1" s="1"/>
  <c r="AA706" i="1" l="1"/>
  <c r="AB706" i="1"/>
  <c r="Y706" i="1"/>
  <c r="W706" i="1"/>
  <c r="Z706" i="1"/>
  <c r="AC706" i="1" s="1"/>
  <c r="V707" i="1" s="1"/>
  <c r="Y707" i="1" l="1"/>
  <c r="Z707" i="1"/>
  <c r="X707" i="1"/>
  <c r="AB707" i="1"/>
  <c r="W707" i="1"/>
  <c r="AA707" i="1"/>
  <c r="AC707" i="1" l="1"/>
  <c r="V708" i="1" s="1"/>
  <c r="X708" i="1" s="1"/>
  <c r="AA708" i="1"/>
  <c r="Y708" i="1"/>
  <c r="W708" i="1"/>
  <c r="AB708" i="1"/>
  <c r="Z708" i="1"/>
  <c r="AC708" i="1" l="1"/>
  <c r="V709" i="1" s="1"/>
  <c r="Z709" i="1" s="1"/>
  <c r="X709" i="1"/>
  <c r="W709" i="1" l="1"/>
  <c r="Y709" i="1"/>
  <c r="AB709" i="1"/>
  <c r="AA709" i="1"/>
  <c r="AC709" i="1" l="1"/>
  <c r="V710" i="1" s="1"/>
  <c r="W710" i="1"/>
  <c r="Y710" i="1"/>
  <c r="AB710" i="1"/>
  <c r="AC710" i="1" s="1"/>
  <c r="V711" i="1" s="1"/>
  <c r="X710" i="1"/>
  <c r="AA710" i="1"/>
  <c r="Z710" i="1"/>
  <c r="Y711" i="1" l="1"/>
  <c r="X711" i="1"/>
  <c r="W711" i="1"/>
  <c r="AB711" i="1"/>
  <c r="Z711" i="1"/>
  <c r="AA711" i="1"/>
  <c r="AC711" i="1" l="1"/>
  <c r="V712" i="1" s="1"/>
  <c r="Z712" i="1" s="1"/>
  <c r="AB712" i="1"/>
  <c r="Y712" i="1"/>
  <c r="AA712" i="1"/>
  <c r="W712" i="1" l="1"/>
  <c r="X712" i="1"/>
  <c r="AC712" i="1" s="1"/>
  <c r="V713" i="1" s="1"/>
  <c r="W713" i="1" l="1"/>
  <c r="AA713" i="1"/>
  <c r="AB713" i="1"/>
  <c r="Y713" i="1"/>
  <c r="X713" i="1"/>
  <c r="Z713" i="1"/>
  <c r="AC713" i="1" s="1"/>
  <c r="V714" i="1" s="1"/>
  <c r="AA714" i="1" s="1"/>
  <c r="Y714" i="1" l="1"/>
  <c r="X714" i="1"/>
  <c r="W714" i="1"/>
  <c r="AB714" i="1"/>
  <c r="Z714" i="1"/>
  <c r="AC714" i="1" l="1"/>
  <c r="V715" i="1" s="1"/>
  <c r="AA715" i="1" s="1"/>
  <c r="Z715" i="1"/>
  <c r="W715" i="1"/>
  <c r="Y715" i="1"/>
  <c r="AB715" i="1" l="1"/>
  <c r="X715" i="1"/>
  <c r="AC715" i="1"/>
  <c r="V716" i="1" s="1"/>
  <c r="AA716" i="1" s="1"/>
  <c r="Y716" i="1" l="1"/>
  <c r="Z716" i="1"/>
  <c r="W716" i="1"/>
  <c r="X716" i="1"/>
  <c r="AB716" i="1"/>
  <c r="AC716" i="1" s="1"/>
  <c r="V717" i="1" s="1"/>
  <c r="AA717" i="1" l="1"/>
  <c r="AB717" i="1"/>
  <c r="Z717" i="1"/>
  <c r="W717" i="1"/>
  <c r="X717" i="1"/>
  <c r="Y717" i="1"/>
  <c r="AC717" i="1" l="1"/>
  <c r="V718" i="1" s="1"/>
  <c r="AA718" i="1" s="1"/>
  <c r="AB718" i="1"/>
  <c r="Y718" i="1"/>
  <c r="X718" i="1" l="1"/>
  <c r="W718" i="1"/>
  <c r="Z718" i="1"/>
  <c r="AC718" i="1" s="1"/>
  <c r="V719" i="1" s="1"/>
  <c r="Y719" i="1" l="1"/>
  <c r="Z719" i="1"/>
  <c r="AB719" i="1"/>
  <c r="AA719" i="1"/>
  <c r="W719" i="1"/>
  <c r="X719" i="1"/>
  <c r="AC719" i="1" s="1"/>
  <c r="V720" i="1" s="1"/>
  <c r="X720" i="1" s="1"/>
  <c r="AB720" i="1" l="1"/>
  <c r="AA720" i="1"/>
  <c r="W720" i="1"/>
  <c r="Z720" i="1"/>
  <c r="Y720" i="1"/>
  <c r="AC720" i="1" s="1"/>
  <c r="V721" i="1" s="1"/>
  <c r="Y721" i="1" s="1"/>
  <c r="AA721" i="1" l="1"/>
  <c r="X721" i="1"/>
  <c r="Z721" i="1"/>
  <c r="AB721" i="1"/>
  <c r="W721" i="1"/>
  <c r="AC721" i="1" l="1"/>
  <c r="V722" i="1" s="1"/>
  <c r="X722" i="1" s="1"/>
  <c r="Y722" i="1" l="1"/>
  <c r="AA722" i="1"/>
  <c r="AB722" i="1"/>
  <c r="W722" i="1"/>
  <c r="Z722" i="1"/>
  <c r="AC722" i="1" l="1"/>
  <c r="V723" i="1" s="1"/>
  <c r="X723" i="1" s="1"/>
  <c r="AB723" i="1" l="1"/>
  <c r="AA723" i="1"/>
  <c r="Y723" i="1"/>
  <c r="W723" i="1"/>
  <c r="Z723" i="1"/>
  <c r="AC723" i="1" l="1"/>
  <c r="V724" i="1" s="1"/>
  <c r="Y724" i="1" s="1"/>
  <c r="Z724" i="1" l="1"/>
  <c r="AB724" i="1"/>
  <c r="AA724" i="1"/>
  <c r="W724" i="1"/>
  <c r="X724" i="1"/>
  <c r="AC724" i="1" l="1"/>
  <c r="V725" i="1" s="1"/>
  <c r="Y725" i="1" s="1"/>
  <c r="AA725" i="1"/>
  <c r="W725" i="1"/>
  <c r="Z725" i="1"/>
  <c r="AB725" i="1"/>
  <c r="X725" i="1" l="1"/>
  <c r="AC725" i="1"/>
  <c r="V726" i="1" s="1"/>
  <c r="AA726" i="1" s="1"/>
  <c r="Y726" i="1" l="1"/>
  <c r="X726" i="1"/>
  <c r="Z726" i="1"/>
  <c r="W726" i="1"/>
  <c r="AB726" i="1"/>
  <c r="AC726" i="1" l="1"/>
  <c r="V727" i="1" s="1"/>
  <c r="Y727" i="1" s="1"/>
  <c r="AA727" i="1" l="1"/>
  <c r="Z727" i="1"/>
  <c r="AB727" i="1"/>
  <c r="X727" i="1"/>
  <c r="W727" i="1"/>
  <c r="AC727" i="1" l="1"/>
  <c r="V728" i="1" s="1"/>
  <c r="Z728" i="1" s="1"/>
  <c r="Y728" i="1" l="1"/>
  <c r="AA728" i="1"/>
  <c r="AB728" i="1"/>
  <c r="X728" i="1"/>
  <c r="W728" i="1"/>
  <c r="AC728" i="1" l="1"/>
  <c r="V729" i="1" s="1"/>
  <c r="X729" i="1" s="1"/>
  <c r="AB729" i="1"/>
  <c r="Y729" i="1" l="1"/>
  <c r="AA729" i="1"/>
  <c r="W729" i="1"/>
  <c r="Z729" i="1"/>
  <c r="AC729" i="1" l="1"/>
  <c r="V730" i="1" s="1"/>
  <c r="Z730" i="1" s="1"/>
  <c r="AA730" i="1"/>
  <c r="AB730" i="1"/>
  <c r="W730" i="1"/>
  <c r="X730" i="1"/>
  <c r="Y730" i="1" l="1"/>
  <c r="AC730" i="1" s="1"/>
  <c r="V731" i="1" s="1"/>
  <c r="X731" i="1" l="1"/>
  <c r="AA731" i="1"/>
  <c r="Z731" i="1"/>
  <c r="Y731" i="1"/>
  <c r="AB731" i="1"/>
  <c r="W731" i="1"/>
  <c r="AC731" i="1" l="1"/>
  <c r="V732" i="1" s="1"/>
  <c r="AA732" i="1" s="1"/>
  <c r="AB732" i="1"/>
  <c r="Z732" i="1"/>
  <c r="X732" i="1"/>
  <c r="Y732" i="1"/>
  <c r="W732" i="1" l="1"/>
  <c r="AC732" i="1"/>
  <c r="V733" i="1" s="1"/>
  <c r="AA733" i="1" s="1"/>
  <c r="Y733" i="1"/>
  <c r="AB733" i="1"/>
  <c r="Z733" i="1"/>
  <c r="W733" i="1"/>
  <c r="X733" i="1"/>
  <c r="AC733" i="1" l="1"/>
  <c r="V734" i="1" s="1"/>
  <c r="Y734" i="1" s="1"/>
  <c r="AB734" i="1"/>
  <c r="W734" i="1"/>
  <c r="X734" i="1" l="1"/>
  <c r="Z734" i="1"/>
  <c r="AA734" i="1"/>
  <c r="AC734" i="1" l="1"/>
  <c r="V735" i="1" s="1"/>
  <c r="Y735" i="1"/>
  <c r="AB735" i="1"/>
  <c r="Z735" i="1"/>
  <c r="X735" i="1"/>
  <c r="W735" i="1"/>
  <c r="AA735" i="1"/>
  <c r="AC735" i="1" s="1"/>
  <c r="V736" i="1" s="1"/>
  <c r="W736" i="1" l="1"/>
  <c r="Y736" i="1"/>
  <c r="AA736" i="1"/>
  <c r="X736" i="1"/>
  <c r="AB736" i="1"/>
  <c r="Z736" i="1"/>
  <c r="AC736" i="1" l="1"/>
  <c r="V737" i="1" s="1"/>
  <c r="X737" i="1" s="1"/>
  <c r="AB737" i="1"/>
  <c r="Z737" i="1"/>
  <c r="Y737" i="1" l="1"/>
  <c r="W737" i="1"/>
  <c r="AA737" i="1"/>
  <c r="AC737" i="1" s="1"/>
  <c r="V738" i="1" s="1"/>
  <c r="X738" i="1" s="1"/>
  <c r="AA738" i="1" l="1"/>
  <c r="AB738" i="1"/>
  <c r="Y738" i="1"/>
  <c r="W738" i="1"/>
  <c r="Z738" i="1"/>
  <c r="AC738" i="1" l="1"/>
  <c r="V739" i="1" s="1"/>
  <c r="Y739" i="1" s="1"/>
  <c r="AB739" i="1"/>
  <c r="Z739" i="1"/>
  <c r="X739" i="1"/>
  <c r="W739" i="1"/>
  <c r="AA739" i="1" l="1"/>
  <c r="AC739" i="1" s="1"/>
  <c r="V740" i="1" s="1"/>
  <c r="AB740" i="1" s="1"/>
  <c r="W740" i="1" l="1"/>
  <c r="Z740" i="1"/>
  <c r="X740" i="1"/>
  <c r="Y740" i="1"/>
  <c r="AA740" i="1"/>
  <c r="AC740" i="1" s="1"/>
  <c r="V741" i="1" s="1"/>
  <c r="Y741" i="1" s="1"/>
  <c r="AA741" i="1" l="1"/>
  <c r="W741" i="1"/>
  <c r="X741" i="1"/>
  <c r="AB741" i="1"/>
  <c r="Z741" i="1"/>
  <c r="AC741" i="1" l="1"/>
  <c r="V742" i="1" s="1"/>
  <c r="Y742" i="1" s="1"/>
  <c r="AA742" i="1"/>
  <c r="Z742" i="1"/>
  <c r="X742" i="1" l="1"/>
  <c r="AB742" i="1"/>
  <c r="W742" i="1"/>
  <c r="AC742" i="1" s="1"/>
  <c r="V743" i="1" s="1"/>
  <c r="W743" i="1" l="1"/>
  <c r="X743" i="1"/>
  <c r="AB743" i="1"/>
  <c r="Z743" i="1"/>
  <c r="AA743" i="1"/>
  <c r="Y743" i="1"/>
  <c r="AC743" i="1" l="1"/>
  <c r="V744" i="1" s="1"/>
  <c r="W744" i="1" s="1"/>
  <c r="AA744" i="1"/>
  <c r="Y744" i="1"/>
  <c r="AB744" i="1"/>
  <c r="Z744" i="1"/>
  <c r="X744" i="1"/>
  <c r="AC744" i="1" l="1"/>
  <c r="V745" i="1" s="1"/>
  <c r="Y745" i="1" s="1"/>
  <c r="AA745" i="1"/>
  <c r="Z745" i="1"/>
  <c r="AB745" i="1"/>
  <c r="X745" i="1" l="1"/>
  <c r="W745" i="1"/>
  <c r="AC745" i="1"/>
  <c r="V746" i="1" s="1"/>
  <c r="X746" i="1" s="1"/>
  <c r="AB746" i="1"/>
  <c r="Z746" i="1"/>
  <c r="W746" i="1" l="1"/>
  <c r="AA746" i="1"/>
  <c r="Y746" i="1"/>
  <c r="AC746" i="1" s="1"/>
  <c r="V747" i="1" s="1"/>
  <c r="AA747" i="1" l="1"/>
  <c r="Y747" i="1"/>
  <c r="W747" i="1"/>
  <c r="Z747" i="1"/>
  <c r="AB747" i="1"/>
  <c r="X747" i="1"/>
  <c r="AC747" i="1" l="1"/>
  <c r="V748" i="1" s="1"/>
  <c r="Y748" i="1" s="1"/>
  <c r="AA748" i="1" l="1"/>
  <c r="AB748" i="1"/>
  <c r="X748" i="1"/>
  <c r="W748" i="1"/>
  <c r="Z748" i="1"/>
  <c r="AC748" i="1" l="1"/>
  <c r="V749" i="1" s="1"/>
  <c r="X749" i="1" s="1"/>
  <c r="Y749" i="1" l="1"/>
  <c r="AA749" i="1"/>
  <c r="AB749" i="1"/>
  <c r="Z749" i="1"/>
  <c r="W749" i="1"/>
  <c r="AC749" i="1" l="1"/>
  <c r="V750" i="1" s="1"/>
  <c r="Z750" i="1" s="1"/>
  <c r="AA750" i="1" l="1"/>
  <c r="X750" i="1"/>
  <c r="Y750" i="1"/>
  <c r="AB750" i="1"/>
  <c r="W750" i="1"/>
  <c r="AC750" i="1" l="1"/>
  <c r="V751" i="1" s="1"/>
  <c r="X751" i="1" s="1"/>
  <c r="AA751" i="1" l="1"/>
  <c r="Y751" i="1"/>
  <c r="Z751" i="1"/>
  <c r="AB751" i="1"/>
  <c r="W751" i="1"/>
  <c r="AC751" i="1" l="1"/>
  <c r="V752" i="1" s="1"/>
  <c r="Y752" i="1" s="1"/>
  <c r="AA752" i="1" l="1"/>
  <c r="AB752" i="1"/>
  <c r="W752" i="1"/>
  <c r="Z752" i="1"/>
  <c r="X752" i="1"/>
  <c r="AC752" i="1" l="1"/>
  <c r="V753" i="1" s="1"/>
  <c r="Y753" i="1" s="1"/>
  <c r="AA753" i="1" l="1"/>
  <c r="X753" i="1"/>
  <c r="AB753" i="1"/>
  <c r="W753" i="1"/>
  <c r="Z753" i="1"/>
  <c r="AC753" i="1" l="1"/>
  <c r="V754" i="1" s="1"/>
  <c r="Y754" i="1" s="1"/>
  <c r="AA754" i="1" l="1"/>
  <c r="AB754" i="1"/>
  <c r="X754" i="1"/>
  <c r="W754" i="1"/>
  <c r="Z754" i="1"/>
  <c r="AC754" i="1" l="1"/>
  <c r="V755" i="1" s="1"/>
  <c r="Y755" i="1" l="1"/>
  <c r="AA755" i="1"/>
  <c r="X755" i="1"/>
  <c r="Z755" i="1"/>
  <c r="AB755" i="1"/>
  <c r="W755" i="1"/>
  <c r="AC755" i="1" l="1"/>
  <c r="V756" i="1" s="1"/>
  <c r="X756" i="1" s="1"/>
  <c r="Y756" i="1" l="1"/>
  <c r="W756" i="1"/>
  <c r="Z756" i="1"/>
  <c r="AB756" i="1"/>
  <c r="AA756" i="1"/>
  <c r="AC756" i="1" l="1"/>
  <c r="V757" i="1" s="1"/>
  <c r="Y757" i="1" s="1"/>
  <c r="AA757" i="1"/>
  <c r="AB757" i="1"/>
  <c r="Z757" i="1"/>
  <c r="W757" i="1"/>
  <c r="X757" i="1"/>
  <c r="AC757" i="1" l="1"/>
  <c r="V758" i="1" s="1"/>
  <c r="X758" i="1" s="1"/>
  <c r="P4" i="3"/>
  <c r="W758" i="1" l="1"/>
  <c r="Y758" i="1"/>
  <c r="AA758" i="1"/>
  <c r="Z758" i="1"/>
  <c r="AB758" i="1"/>
  <c r="I5" i="3"/>
  <c r="K5" i="3" s="1"/>
  <c r="AC758" i="1" l="1"/>
  <c r="V759" i="1" s="1"/>
  <c r="X759" i="1" s="1"/>
  <c r="M5" i="3"/>
  <c r="L5" i="3"/>
  <c r="N5" i="3"/>
  <c r="O5" i="3"/>
  <c r="J5" i="3"/>
  <c r="AB4" i="3"/>
  <c r="AE4" i="3" s="1"/>
  <c r="X4" i="3"/>
  <c r="AA4" i="3"/>
  <c r="W4" i="3"/>
  <c r="Y4" i="3"/>
  <c r="Z759" i="1" l="1"/>
  <c r="Y759" i="1"/>
  <c r="AA759" i="1"/>
  <c r="W759" i="1"/>
  <c r="AB759" i="1"/>
  <c r="P5" i="3"/>
  <c r="I6" i="3" s="1"/>
  <c r="O6" i="3" s="1"/>
  <c r="AC4" i="3"/>
  <c r="V5" i="3" s="1"/>
  <c r="Z5" i="3" s="1"/>
  <c r="AC759" i="1" l="1"/>
  <c r="V760" i="1" s="1"/>
  <c r="Z760" i="1" s="1"/>
  <c r="Y760" i="1"/>
  <c r="AF4" i="3"/>
  <c r="K6" i="3"/>
  <c r="J6" i="3"/>
  <c r="L6" i="3"/>
  <c r="M6" i="3"/>
  <c r="N6" i="3"/>
  <c r="X5" i="3"/>
  <c r="AB5" i="3"/>
  <c r="AE5" i="3" s="1"/>
  <c r="W5" i="3"/>
  <c r="AA5" i="3"/>
  <c r="Y5" i="3"/>
  <c r="AA760" i="1" l="1"/>
  <c r="AB760" i="1"/>
  <c r="X760" i="1"/>
  <c r="W760" i="1"/>
  <c r="AC5" i="3"/>
  <c r="AF5" i="3" s="1"/>
  <c r="P6" i="3"/>
  <c r="AC760" i="1" l="1"/>
  <c r="V761" i="1" s="1"/>
  <c r="AA761" i="1" s="1"/>
  <c r="W761" i="1"/>
  <c r="X761" i="1"/>
  <c r="AB761" i="1"/>
  <c r="Y761" i="1"/>
  <c r="V6" i="3"/>
  <c r="Z6" i="3" s="1"/>
  <c r="I7" i="3"/>
  <c r="M7" i="3" s="1"/>
  <c r="Z761" i="1" l="1"/>
  <c r="AC761" i="1"/>
  <c r="V762" i="1" s="1"/>
  <c r="Y762" i="1" s="1"/>
  <c r="AB762" i="1"/>
  <c r="W762" i="1"/>
  <c r="Z762" i="1"/>
  <c r="L7" i="3"/>
  <c r="N7" i="3"/>
  <c r="O7" i="3"/>
  <c r="J7" i="3"/>
  <c r="K7" i="3"/>
  <c r="W6" i="3"/>
  <c r="AA6" i="3"/>
  <c r="Y6" i="3"/>
  <c r="AB6" i="3"/>
  <c r="AE6" i="3" s="1"/>
  <c r="X6" i="3"/>
  <c r="AA762" i="1" l="1"/>
  <c r="X762" i="1"/>
  <c r="AC762" i="1" s="1"/>
  <c r="V763" i="1" s="1"/>
  <c r="Y763" i="1" s="1"/>
  <c r="P7" i="3"/>
  <c r="I8" i="3" s="1"/>
  <c r="O8" i="3" s="1"/>
  <c r="AC6" i="3"/>
  <c r="AF6" i="3" s="1"/>
  <c r="AA763" i="1" l="1"/>
  <c r="AB763" i="1"/>
  <c r="Z763" i="1"/>
  <c r="W763" i="1"/>
  <c r="X763" i="1"/>
  <c r="V7" i="3"/>
  <c r="Z7" i="3" s="1"/>
  <c r="K8" i="3"/>
  <c r="J8" i="3"/>
  <c r="L8" i="3"/>
  <c r="N8" i="3"/>
  <c r="M8" i="3"/>
  <c r="AC763" i="1" l="1"/>
  <c r="V764" i="1" s="1"/>
  <c r="AA764" i="1" s="1"/>
  <c r="AA7" i="3"/>
  <c r="Y7" i="3"/>
  <c r="X7" i="3"/>
  <c r="AB7" i="3"/>
  <c r="AE7" i="3" s="1"/>
  <c r="W7" i="3"/>
  <c r="P8" i="3"/>
  <c r="I9" i="3" s="1"/>
  <c r="O9" i="3" s="1"/>
  <c r="Y764" i="1" l="1"/>
  <c r="X764" i="1"/>
  <c r="AB764" i="1"/>
  <c r="Z764" i="1"/>
  <c r="W764" i="1"/>
  <c r="AC7" i="3"/>
  <c r="AF7" i="3" s="1"/>
  <c r="J9" i="3"/>
  <c r="K9" i="3"/>
  <c r="N9" i="3"/>
  <c r="M9" i="3"/>
  <c r="L9" i="3"/>
  <c r="AC764" i="1" l="1"/>
  <c r="V765" i="1" s="1"/>
  <c r="Y765" i="1" s="1"/>
  <c r="V8" i="3"/>
  <c r="Z8" i="3" s="1"/>
  <c r="P9" i="3"/>
  <c r="I10" i="3" s="1"/>
  <c r="O10" i="3" s="1"/>
  <c r="AA765" i="1" l="1"/>
  <c r="Z765" i="1"/>
  <c r="AB765" i="1"/>
  <c r="W765" i="1"/>
  <c r="X765" i="1"/>
  <c r="AA8" i="3"/>
  <c r="X8" i="3"/>
  <c r="Y8" i="3"/>
  <c r="AB8" i="3"/>
  <c r="AE8" i="3" s="1"/>
  <c r="W8" i="3"/>
  <c r="K10" i="3"/>
  <c r="J10" i="3"/>
  <c r="L10" i="3"/>
  <c r="N10" i="3"/>
  <c r="M10" i="3"/>
  <c r="AC765" i="1" l="1"/>
  <c r="V766" i="1" s="1"/>
  <c r="AA766" i="1" s="1"/>
  <c r="AC8" i="3"/>
  <c r="V9" i="3" s="1"/>
  <c r="Y9" i="3" s="1"/>
  <c r="P10" i="3"/>
  <c r="I11" i="3" s="1"/>
  <c r="O11" i="3" s="1"/>
  <c r="AB766" i="1" l="1"/>
  <c r="Y766" i="1"/>
  <c r="X766" i="1"/>
  <c r="Z766" i="1"/>
  <c r="W766" i="1"/>
  <c r="AF8" i="3"/>
  <c r="AA9" i="3"/>
  <c r="W9" i="3"/>
  <c r="AB9" i="3"/>
  <c r="AE9" i="3" s="1"/>
  <c r="X9" i="3"/>
  <c r="Z9" i="3"/>
  <c r="M11" i="3"/>
  <c r="N11" i="3"/>
  <c r="L11" i="3"/>
  <c r="K11" i="3"/>
  <c r="J11" i="3"/>
  <c r="AC766" i="1" l="1"/>
  <c r="V767" i="1" s="1"/>
  <c r="X767" i="1" s="1"/>
  <c r="AB767" i="1"/>
  <c r="Y767" i="1"/>
  <c r="AA767" i="1"/>
  <c r="W767" i="1"/>
  <c r="Z767" i="1"/>
  <c r="AC9" i="3"/>
  <c r="AF9" i="3" s="1"/>
  <c r="P11" i="3"/>
  <c r="I12" i="3" s="1"/>
  <c r="O12" i="3" s="1"/>
  <c r="AC767" i="1" l="1"/>
  <c r="V768" i="1" s="1"/>
  <c r="W768" i="1" s="1"/>
  <c r="AB768" i="1"/>
  <c r="Z768" i="1"/>
  <c r="X768" i="1"/>
  <c r="V10" i="3"/>
  <c r="Z10" i="3" s="1"/>
  <c r="M12" i="3"/>
  <c r="N12" i="3"/>
  <c r="L12" i="3"/>
  <c r="K12" i="3"/>
  <c r="J12" i="3"/>
  <c r="Y768" i="1" l="1"/>
  <c r="AA768" i="1"/>
  <c r="AC768" i="1" s="1"/>
  <c r="V769" i="1" s="1"/>
  <c r="AB10" i="3"/>
  <c r="AE10" i="3" s="1"/>
  <c r="W10" i="3"/>
  <c r="AA10" i="3"/>
  <c r="X10" i="3"/>
  <c r="Y10" i="3"/>
  <c r="P12" i="3"/>
  <c r="I13" i="3" s="1"/>
  <c r="K13" i="3" s="1"/>
  <c r="Y769" i="1" l="1"/>
  <c r="X769" i="1"/>
  <c r="W769" i="1"/>
  <c r="Z769" i="1"/>
  <c r="AB769" i="1"/>
  <c r="AA769" i="1"/>
  <c r="AC10" i="3"/>
  <c r="V11" i="3" s="1"/>
  <c r="Y11" i="3" s="1"/>
  <c r="J13" i="3"/>
  <c r="N13" i="3"/>
  <c r="L13" i="3"/>
  <c r="M13" i="3"/>
  <c r="O13" i="3"/>
  <c r="AC769" i="1" l="1"/>
  <c r="V770" i="1" s="1"/>
  <c r="AA770" i="1" s="1"/>
  <c r="Y770" i="1"/>
  <c r="W770" i="1"/>
  <c r="Z770" i="1"/>
  <c r="AB770" i="1"/>
  <c r="AF10" i="3"/>
  <c r="X11" i="3"/>
  <c r="AB11" i="3"/>
  <c r="AE11" i="3" s="1"/>
  <c r="Z11" i="3"/>
  <c r="AA11" i="3"/>
  <c r="W11" i="3"/>
  <c r="P13" i="3"/>
  <c r="I14" i="3" s="1"/>
  <c r="J14" i="3" s="1"/>
  <c r="X770" i="1" l="1"/>
  <c r="AC770" i="1"/>
  <c r="V771" i="1" s="1"/>
  <c r="Y771" i="1" s="1"/>
  <c r="AC11" i="3"/>
  <c r="V12" i="3" s="1"/>
  <c r="Z12" i="3" s="1"/>
  <c r="O14" i="3"/>
  <c r="N14" i="3"/>
  <c r="L14" i="3"/>
  <c r="M14" i="3"/>
  <c r="K14" i="3"/>
  <c r="AA771" i="1" l="1"/>
  <c r="X771" i="1"/>
  <c r="Z771" i="1"/>
  <c r="W771" i="1"/>
  <c r="AB771" i="1"/>
  <c r="AB12" i="3"/>
  <c r="AE12" i="3" s="1"/>
  <c r="Y12" i="3"/>
  <c r="AA12" i="3"/>
  <c r="X12" i="3"/>
  <c r="AF11" i="3"/>
  <c r="W12" i="3"/>
  <c r="P14" i="3"/>
  <c r="I15" i="3" s="1"/>
  <c r="O15" i="3" s="1"/>
  <c r="AC771" i="1" l="1"/>
  <c r="V772" i="1" s="1"/>
  <c r="Y772" i="1" s="1"/>
  <c r="AB772" i="1"/>
  <c r="AC12" i="3"/>
  <c r="V13" i="3" s="1"/>
  <c r="Z13" i="3" s="1"/>
  <c r="K15" i="3"/>
  <c r="L15" i="3"/>
  <c r="N15" i="3"/>
  <c r="M15" i="3"/>
  <c r="J15" i="3"/>
  <c r="Z772" i="1" l="1"/>
  <c r="X772" i="1"/>
  <c r="W772" i="1"/>
  <c r="AA772" i="1"/>
  <c r="AB13" i="3"/>
  <c r="AE13" i="3" s="1"/>
  <c r="X13" i="3"/>
  <c r="AF12" i="3"/>
  <c r="AA13" i="3"/>
  <c r="Y13" i="3"/>
  <c r="W13" i="3"/>
  <c r="P15" i="3"/>
  <c r="I16" i="3" s="1"/>
  <c r="N16" i="3" s="1"/>
  <c r="AC772" i="1" l="1"/>
  <c r="V773" i="1" s="1"/>
  <c r="Y773" i="1" s="1"/>
  <c r="AC13" i="3"/>
  <c r="AF13" i="3" s="1"/>
  <c r="L16" i="3"/>
  <c r="O16" i="3"/>
  <c r="M16" i="3"/>
  <c r="J16" i="3"/>
  <c r="K16" i="3"/>
  <c r="X773" i="1" l="1"/>
  <c r="Z773" i="1"/>
  <c r="AB773" i="1"/>
  <c r="W773" i="1"/>
  <c r="AA773" i="1"/>
  <c r="V14" i="3"/>
  <c r="Y14" i="3" s="1"/>
  <c r="P16" i="3"/>
  <c r="I17" i="3" s="1"/>
  <c r="N17" i="3" s="1"/>
  <c r="AC773" i="1" l="1"/>
  <c r="V774" i="1" s="1"/>
  <c r="W774" i="1" s="1"/>
  <c r="AA774" i="1"/>
  <c r="X774" i="1"/>
  <c r="AB774" i="1"/>
  <c r="Z774" i="1"/>
  <c r="AA14" i="3"/>
  <c r="X14" i="3"/>
  <c r="Z14" i="3"/>
  <c r="AB14" i="3"/>
  <c r="AE14" i="3" s="1"/>
  <c r="O17" i="3"/>
  <c r="M17" i="3"/>
  <c r="W14" i="3"/>
  <c r="K17" i="3"/>
  <c r="L17" i="3"/>
  <c r="J17" i="3"/>
  <c r="Y774" i="1" l="1"/>
  <c r="AC774" i="1"/>
  <c r="V775" i="1" s="1"/>
  <c r="Y775" i="1" s="1"/>
  <c r="AC14" i="3"/>
  <c r="AF14" i="3" s="1"/>
  <c r="P17" i="3"/>
  <c r="I18" i="3" s="1"/>
  <c r="L18" i="3" s="1"/>
  <c r="AA775" i="1" l="1"/>
  <c r="X775" i="1"/>
  <c r="AB775" i="1"/>
  <c r="W775" i="1"/>
  <c r="Z775" i="1"/>
  <c r="V15" i="3"/>
  <c r="AA15" i="3" s="1"/>
  <c r="O18" i="3"/>
  <c r="K18" i="3"/>
  <c r="N18" i="3"/>
  <c r="M18" i="3"/>
  <c r="J18" i="3"/>
  <c r="AC775" i="1" l="1"/>
  <c r="V776" i="1" s="1"/>
  <c r="Y776" i="1" s="1"/>
  <c r="W15" i="3"/>
  <c r="Z15" i="3"/>
  <c r="X15" i="3"/>
  <c r="Y15" i="3"/>
  <c r="AB15" i="3"/>
  <c r="AE15" i="3" s="1"/>
  <c r="P18" i="3"/>
  <c r="I19" i="3" s="1"/>
  <c r="O19" i="3" s="1"/>
  <c r="AA776" i="1" l="1"/>
  <c r="Z776" i="1"/>
  <c r="AB776" i="1"/>
  <c r="W776" i="1"/>
  <c r="X776" i="1"/>
  <c r="AC15" i="3"/>
  <c r="V16" i="3" s="1"/>
  <c r="Z16" i="3" s="1"/>
  <c r="J19" i="3"/>
  <c r="K19" i="3"/>
  <c r="L19" i="3"/>
  <c r="N19" i="3"/>
  <c r="M19" i="3"/>
  <c r="AC776" i="1" l="1"/>
  <c r="V777" i="1" s="1"/>
  <c r="AB777" i="1" s="1"/>
  <c r="W16" i="3"/>
  <c r="Y16" i="3"/>
  <c r="AF15" i="3"/>
  <c r="AA16" i="3"/>
  <c r="AB16" i="3"/>
  <c r="AE16" i="3" s="1"/>
  <c r="X16" i="3"/>
  <c r="P19" i="3"/>
  <c r="I20" i="3" s="1"/>
  <c r="Z777" i="1" l="1"/>
  <c r="Y777" i="1"/>
  <c r="AA777" i="1"/>
  <c r="X777" i="1"/>
  <c r="W777" i="1"/>
  <c r="AC16" i="3"/>
  <c r="V17" i="3" s="1"/>
  <c r="Z17" i="3" s="1"/>
  <c r="L20" i="3"/>
  <c r="J20" i="3"/>
  <c r="M20" i="3"/>
  <c r="O20" i="3"/>
  <c r="N20" i="3"/>
  <c r="K20" i="3"/>
  <c r="AC777" i="1" l="1"/>
  <c r="V778" i="1" s="1"/>
  <c r="AB778" i="1" s="1"/>
  <c r="AF16" i="3"/>
  <c r="AB17" i="3"/>
  <c r="AE17" i="3" s="1"/>
  <c r="X17" i="3"/>
  <c r="Y17" i="3"/>
  <c r="AA17" i="3"/>
  <c r="W17" i="3"/>
  <c r="P20" i="3"/>
  <c r="I21" i="3" s="1"/>
  <c r="W778" i="1" l="1"/>
  <c r="Z778" i="1"/>
  <c r="X778" i="1"/>
  <c r="AA778" i="1"/>
  <c r="Y778" i="1"/>
  <c r="AC17" i="3"/>
  <c r="AF17" i="3" s="1"/>
  <c r="L21" i="3"/>
  <c r="J21" i="3"/>
  <c r="O21" i="3"/>
  <c r="K21" i="3"/>
  <c r="N21" i="3"/>
  <c r="M21" i="3"/>
  <c r="AC778" i="1" l="1"/>
  <c r="V779" i="1" s="1"/>
  <c r="Z779" i="1" s="1"/>
  <c r="V18" i="3"/>
  <c r="W18" i="3" s="1"/>
  <c r="P21" i="3"/>
  <c r="I22" i="3" s="1"/>
  <c r="M22" i="3" s="1"/>
  <c r="AB779" i="1" l="1"/>
  <c r="X779" i="1"/>
  <c r="W779" i="1"/>
  <c r="AA779" i="1"/>
  <c r="Y779" i="1"/>
  <c r="O22" i="3"/>
  <c r="Z18" i="3"/>
  <c r="AA18" i="3"/>
  <c r="AB18" i="3"/>
  <c r="AE18" i="3" s="1"/>
  <c r="X18" i="3"/>
  <c r="Y18" i="3"/>
  <c r="J22" i="3"/>
  <c r="K22" i="3"/>
  <c r="N22" i="3"/>
  <c r="L22" i="3"/>
  <c r="AC779" i="1" l="1"/>
  <c r="V780" i="1" s="1"/>
  <c r="AA780" i="1"/>
  <c r="AB780" i="1"/>
  <c r="Z780" i="1"/>
  <c r="W780" i="1"/>
  <c r="X780" i="1"/>
  <c r="Y780" i="1"/>
  <c r="AC18" i="3"/>
  <c r="V19" i="3" s="1"/>
  <c r="Z19" i="3" s="1"/>
  <c r="P22" i="3"/>
  <c r="I23" i="3" s="1"/>
  <c r="K23" i="3" s="1"/>
  <c r="AC780" i="1" l="1"/>
  <c r="V781" i="1" s="1"/>
  <c r="Z781" i="1" s="1"/>
  <c r="AB781" i="1"/>
  <c r="X781" i="1"/>
  <c r="L23" i="3"/>
  <c r="M23" i="3"/>
  <c r="J23" i="3"/>
  <c r="O23" i="3"/>
  <c r="W19" i="3"/>
  <c r="AB19" i="3"/>
  <c r="AE19" i="3" s="1"/>
  <c r="AF18" i="3"/>
  <c r="AA19" i="3"/>
  <c r="Y19" i="3"/>
  <c r="X19" i="3"/>
  <c r="N23" i="3"/>
  <c r="W781" i="1" l="1"/>
  <c r="Y781" i="1"/>
  <c r="AA781" i="1"/>
  <c r="P23" i="3"/>
  <c r="I24" i="3" s="1"/>
  <c r="O24" i="3" s="1"/>
  <c r="AC19" i="3"/>
  <c r="AC781" i="1" l="1"/>
  <c r="V782" i="1" s="1"/>
  <c r="W782" i="1" s="1"/>
  <c r="AB782" i="1"/>
  <c r="AA782" i="1"/>
  <c r="X782" i="1"/>
  <c r="Y782" i="1"/>
  <c r="Z782" i="1"/>
  <c r="L24" i="3"/>
  <c r="N24" i="3"/>
  <c r="M24" i="3"/>
  <c r="J24" i="3"/>
  <c r="K24" i="3"/>
  <c r="V20" i="3"/>
  <c r="AF19" i="3"/>
  <c r="AC782" i="1" l="1"/>
  <c r="V783" i="1" s="1"/>
  <c r="AA783" i="1" s="1"/>
  <c r="P24" i="3"/>
  <c r="I25" i="3" s="1"/>
  <c r="N25" i="3" s="1"/>
  <c r="X20" i="3"/>
  <c r="AB20" i="3"/>
  <c r="Z20" i="3"/>
  <c r="W20" i="3"/>
  <c r="AA20" i="3"/>
  <c r="Y20" i="3"/>
  <c r="Z783" i="1" l="1"/>
  <c r="W783" i="1"/>
  <c r="X783" i="1"/>
  <c r="AB783" i="1"/>
  <c r="Y783" i="1"/>
  <c r="J25" i="3"/>
  <c r="M25" i="3"/>
  <c r="O25" i="3"/>
  <c r="K25" i="3"/>
  <c r="L25" i="3"/>
  <c r="AC20" i="3"/>
  <c r="V21" i="3" s="1"/>
  <c r="Y21" i="3" s="1"/>
  <c r="AE20" i="3"/>
  <c r="AC783" i="1" l="1"/>
  <c r="V784" i="1" s="1"/>
  <c r="W784" i="1" s="1"/>
  <c r="AB784" i="1"/>
  <c r="AA784" i="1"/>
  <c r="Y784" i="1"/>
  <c r="P25" i="3"/>
  <c r="I26" i="3" s="1"/>
  <c r="O26" i="3" s="1"/>
  <c r="AF20" i="3"/>
  <c r="AA21" i="3"/>
  <c r="W21" i="3"/>
  <c r="X21" i="3"/>
  <c r="Z21" i="3"/>
  <c r="AB21" i="3"/>
  <c r="Z784" i="1" l="1"/>
  <c r="X784" i="1"/>
  <c r="AC784" i="1" s="1"/>
  <c r="K26" i="3"/>
  <c r="L26" i="3"/>
  <c r="N26" i="3"/>
  <c r="M26" i="3"/>
  <c r="J26" i="3"/>
  <c r="AC21" i="3"/>
  <c r="V22" i="3" s="1"/>
  <c r="AE21" i="3"/>
  <c r="P26" i="3" l="1"/>
  <c r="I27" i="3" s="1"/>
  <c r="K27" i="3" s="1"/>
  <c r="O27" i="3"/>
  <c r="AF21" i="3"/>
  <c r="AA22" i="3"/>
  <c r="Y22" i="3"/>
  <c r="Z22" i="3"/>
  <c r="W22" i="3"/>
  <c r="X22" i="3"/>
  <c r="AB22" i="3"/>
  <c r="M27" i="3" l="1"/>
  <c r="J27" i="3"/>
  <c r="N27" i="3"/>
  <c r="L27" i="3"/>
  <c r="P27" i="3" s="1"/>
  <c r="I28" i="3" s="1"/>
  <c r="AC22" i="3"/>
  <c r="AF22" i="3" s="1"/>
  <c r="AE22" i="3"/>
  <c r="L28" i="3" l="1"/>
  <c r="O28" i="3"/>
  <c r="J28" i="3"/>
  <c r="K28" i="3"/>
  <c r="N28" i="3"/>
  <c r="M28" i="3"/>
  <c r="V23" i="3"/>
  <c r="Y23" i="3" s="1"/>
  <c r="P28" i="3" l="1"/>
  <c r="I29" i="3" s="1"/>
  <c r="J29" i="3" s="1"/>
  <c r="L29" i="3"/>
  <c r="AB23" i="3"/>
  <c r="AE23" i="3" s="1"/>
  <c r="Z23" i="3"/>
  <c r="X23" i="3"/>
  <c r="W23" i="3"/>
  <c r="AA23" i="3"/>
  <c r="O29" i="3"/>
  <c r="M29" i="3"/>
  <c r="N29" i="3"/>
  <c r="K29" i="3"/>
  <c r="AC23" i="3" l="1"/>
  <c r="AF23" i="3" s="1"/>
  <c r="P29" i="3"/>
  <c r="I30" i="3" s="1"/>
  <c r="J30" i="3" s="1"/>
  <c r="O30" i="3"/>
  <c r="V24" i="3" l="1"/>
  <c r="AA24" i="3" s="1"/>
  <c r="N30" i="3"/>
  <c r="L30" i="3"/>
  <c r="K30" i="3"/>
  <c r="M30" i="3"/>
  <c r="P30" i="3" s="1"/>
  <c r="I31" i="3" s="1"/>
  <c r="X24" i="3"/>
  <c r="Z24" i="3"/>
  <c r="Y24" i="3"/>
  <c r="W24" i="3"/>
  <c r="AB24" i="3"/>
  <c r="AE24" i="3" s="1"/>
  <c r="N31" i="3" l="1"/>
  <c r="L31" i="3"/>
  <c r="O31" i="3"/>
  <c r="J31" i="3"/>
  <c r="K31" i="3"/>
  <c r="M31" i="3"/>
  <c r="P31" i="3" s="1"/>
  <c r="I32" i="3" s="1"/>
  <c r="K32" i="3" s="1"/>
  <c r="AC24" i="3"/>
  <c r="AF24" i="3" s="1"/>
  <c r="V25" i="3" l="1"/>
  <c r="AA25" i="3" s="1"/>
  <c r="M32" i="3"/>
  <c r="O32" i="3"/>
  <c r="J32" i="3"/>
  <c r="N32" i="3"/>
  <c r="L32" i="3"/>
  <c r="AB25" i="3"/>
  <c r="AE25" i="3" s="1"/>
  <c r="Z25" i="3"/>
  <c r="X25" i="3"/>
  <c r="Y25" i="3"/>
  <c r="W25" i="3"/>
  <c r="P32" i="3" l="1"/>
  <c r="I33" i="3" s="1"/>
  <c r="K33" i="3" s="1"/>
  <c r="AC25" i="3"/>
  <c r="AF25" i="3" s="1"/>
  <c r="J33" i="3"/>
  <c r="N33" i="3"/>
  <c r="M33" i="3"/>
  <c r="L33" i="3"/>
  <c r="O33" i="3" l="1"/>
  <c r="V26" i="3"/>
  <c r="Z26" i="3" s="1"/>
  <c r="P33" i="3"/>
  <c r="I34" i="3" s="1"/>
  <c r="O34" i="3" s="1"/>
  <c r="J34" i="3" l="1"/>
  <c r="K34" i="3"/>
  <c r="N34" i="3"/>
  <c r="L34" i="3"/>
  <c r="M34" i="3"/>
  <c r="X26" i="3"/>
  <c r="W26" i="3"/>
  <c r="AB26" i="3"/>
  <c r="AA26" i="3"/>
  <c r="Y26" i="3"/>
  <c r="P34" i="3" l="1"/>
  <c r="I35" i="3" s="1"/>
  <c r="L35" i="3" s="1"/>
  <c r="AC26" i="3"/>
  <c r="V27" i="3" s="1"/>
  <c r="X27" i="3" s="1"/>
  <c r="AE26" i="3"/>
  <c r="J35" i="3"/>
  <c r="O35" i="3"/>
  <c r="K35" i="3"/>
  <c r="N35" i="3"/>
  <c r="M35" i="3"/>
  <c r="W27" i="3" l="1"/>
  <c r="AB27" i="3"/>
  <c r="AE27" i="3" s="1"/>
  <c r="Z27" i="3"/>
  <c r="AF26" i="3"/>
  <c r="Y27" i="3"/>
  <c r="AA27" i="3"/>
  <c r="P35" i="3"/>
  <c r="I36" i="3" s="1"/>
  <c r="L36" i="3" s="1"/>
  <c r="AC27" i="3" l="1"/>
  <c r="K36" i="3"/>
  <c r="O36" i="3"/>
  <c r="J36" i="3"/>
  <c r="AF27" i="3"/>
  <c r="V28" i="3"/>
  <c r="N36" i="3"/>
  <c r="M36" i="3"/>
  <c r="Z28" i="3" l="1"/>
  <c r="X28" i="3"/>
  <c r="AB28" i="3"/>
  <c r="W28" i="3"/>
  <c r="Y28" i="3"/>
  <c r="AA28" i="3"/>
  <c r="P36" i="3"/>
  <c r="I37" i="3" s="1"/>
  <c r="J37" i="3" s="1"/>
  <c r="M37" i="3" l="1"/>
  <c r="L37" i="3"/>
  <c r="AC28" i="3"/>
  <c r="V29" i="3" s="1"/>
  <c r="O37" i="3"/>
  <c r="N37" i="3"/>
  <c r="AE28" i="3"/>
  <c r="K37" i="3"/>
  <c r="P37" i="3" l="1"/>
  <c r="I38" i="3" s="1"/>
  <c r="J38" i="3" s="1"/>
  <c r="AA29" i="3"/>
  <c r="Y29" i="3"/>
  <c r="AF28" i="3"/>
  <c r="Z29" i="3"/>
  <c r="AB29" i="3"/>
  <c r="AE29" i="3" s="1"/>
  <c r="W29" i="3"/>
  <c r="X29" i="3"/>
  <c r="O38" i="3" l="1"/>
  <c r="M38" i="3"/>
  <c r="N38" i="3"/>
  <c r="L38" i="3"/>
  <c r="K38" i="3"/>
  <c r="AC29" i="3"/>
  <c r="AF29" i="3" s="1"/>
  <c r="P38" i="3" l="1"/>
  <c r="I39" i="3" s="1"/>
  <c r="M39" i="3" s="1"/>
  <c r="V30" i="3"/>
  <c r="W30" i="3" s="1"/>
  <c r="AB30" i="3" l="1"/>
  <c r="AE30" i="3" s="1"/>
  <c r="AA30" i="3"/>
  <c r="L39" i="3"/>
  <c r="O39" i="3"/>
  <c r="K39" i="3"/>
  <c r="X30" i="3"/>
  <c r="N39" i="3"/>
  <c r="Z30" i="3"/>
  <c r="Y30" i="3"/>
  <c r="J39" i="3"/>
  <c r="P39" i="3" l="1"/>
  <c r="I40" i="3" s="1"/>
  <c r="L40" i="3" s="1"/>
  <c r="AC30" i="3"/>
  <c r="AF30" i="3" s="1"/>
  <c r="J40" i="3" l="1"/>
  <c r="M40" i="3"/>
  <c r="K40" i="3"/>
  <c r="N40" i="3"/>
  <c r="O40" i="3"/>
  <c r="V31" i="3"/>
  <c r="AA31" i="3" s="1"/>
  <c r="AB31" i="3"/>
  <c r="P40" i="3" l="1"/>
  <c r="I41" i="3" s="1"/>
  <c r="J41" i="3" s="1"/>
  <c r="Z31" i="3"/>
  <c r="Y31" i="3"/>
  <c r="W31" i="3"/>
  <c r="X31" i="3"/>
  <c r="O41" i="3"/>
  <c r="N41" i="3"/>
  <c r="M41" i="3"/>
  <c r="K41" i="3"/>
  <c r="L41" i="3"/>
  <c r="AE31" i="3"/>
  <c r="AC31" i="3" l="1"/>
  <c r="P41" i="3"/>
  <c r="I42" i="3" s="1"/>
  <c r="K42" i="3" s="1"/>
  <c r="V32" i="3"/>
  <c r="AF31" i="3"/>
  <c r="O42" i="3" l="1"/>
  <c r="N42" i="3"/>
  <c r="J42" i="3"/>
  <c r="M42" i="3"/>
  <c r="L42" i="3"/>
  <c r="Z32" i="3"/>
  <c r="AB32" i="3"/>
  <c r="X32" i="3"/>
  <c r="W32" i="3"/>
  <c r="AA32" i="3"/>
  <c r="Y32" i="3"/>
  <c r="P42" i="3" l="1"/>
  <c r="I43" i="3" s="1"/>
  <c r="J43" i="3" s="1"/>
  <c r="AC32" i="3"/>
  <c r="AF32" i="3" s="1"/>
  <c r="AE32" i="3"/>
  <c r="L43" i="3" l="1"/>
  <c r="M43" i="3"/>
  <c r="K43" i="3"/>
  <c r="N43" i="3"/>
  <c r="O43" i="3"/>
  <c r="P43" i="3" s="1"/>
  <c r="I44" i="3" s="1"/>
  <c r="V33" i="3"/>
  <c r="W33" i="3" s="1"/>
  <c r="K44" i="3" l="1"/>
  <c r="M44" i="3"/>
  <c r="O44" i="3"/>
  <c r="J44" i="3"/>
  <c r="N44" i="3"/>
  <c r="L44" i="3"/>
  <c r="AB33" i="3"/>
  <c r="AE33" i="3" s="1"/>
  <c r="X33" i="3"/>
  <c r="Z33" i="3"/>
  <c r="AA33" i="3"/>
  <c r="Y33" i="3"/>
  <c r="P44" i="3" l="1"/>
  <c r="I45" i="3" s="1"/>
  <c r="L45" i="3" s="1"/>
  <c r="AC33" i="3"/>
  <c r="AF33" i="3" s="1"/>
  <c r="O45" i="3"/>
  <c r="M45" i="3"/>
  <c r="K45" i="3"/>
  <c r="J45" i="3"/>
  <c r="N45" i="3"/>
  <c r="V34" i="3" l="1"/>
  <c r="W34" i="3" s="1"/>
  <c r="AB34" i="3"/>
  <c r="AE34" i="3" s="1"/>
  <c r="Z34" i="3"/>
  <c r="X34" i="3"/>
  <c r="AA34" i="3"/>
  <c r="Y34" i="3"/>
  <c r="P45" i="3"/>
  <c r="I46" i="3" s="1"/>
  <c r="J46" i="3" s="1"/>
  <c r="AC34" i="3" l="1"/>
  <c r="AF34" i="3" s="1"/>
  <c r="O46" i="3"/>
  <c r="L46" i="3"/>
  <c r="M46" i="3"/>
  <c r="K46" i="3"/>
  <c r="N46" i="3"/>
  <c r="V35" i="3" l="1"/>
  <c r="Z35" i="3" s="1"/>
  <c r="W35" i="3"/>
  <c r="Y35" i="3"/>
  <c r="AA35" i="3"/>
  <c r="P46" i="3"/>
  <c r="I47" i="3" s="1"/>
  <c r="L47" i="3" s="1"/>
  <c r="AB35" i="3" l="1"/>
  <c r="AE35" i="3" s="1"/>
  <c r="X35" i="3"/>
  <c r="AC35" i="3" s="1"/>
  <c r="V36" i="3" s="1"/>
  <c r="AA36" i="3" s="1"/>
  <c r="K47" i="3"/>
  <c r="J47" i="3"/>
  <c r="M47" i="3"/>
  <c r="N47" i="3"/>
  <c r="O47" i="3"/>
  <c r="AF35" i="3" l="1"/>
  <c r="P47" i="3"/>
  <c r="I48" i="3" s="1"/>
  <c r="J48" i="3" s="1"/>
  <c r="Z36" i="3"/>
  <c r="X36" i="3"/>
  <c r="W36" i="3"/>
  <c r="Y36" i="3"/>
  <c r="AB36" i="3"/>
  <c r="AE36" i="3" s="1"/>
  <c r="N48" i="3" l="1"/>
  <c r="O48" i="3"/>
  <c r="M48" i="3"/>
  <c r="K48" i="3"/>
  <c r="L48" i="3"/>
  <c r="AC36" i="3"/>
  <c r="P48" i="3" l="1"/>
  <c r="I49" i="3" s="1"/>
  <c r="K49" i="3" s="1"/>
  <c r="V37" i="3"/>
  <c r="AF36" i="3"/>
  <c r="L49" i="3"/>
  <c r="M49" i="3"/>
  <c r="J49" i="3" l="1"/>
  <c r="O49" i="3"/>
  <c r="N49" i="3"/>
  <c r="Z37" i="3"/>
  <c r="AB37" i="3"/>
  <c r="AE37" i="3" s="1"/>
  <c r="X37" i="3"/>
  <c r="W37" i="3"/>
  <c r="AA37" i="3"/>
  <c r="Y37" i="3"/>
  <c r="P49" i="3" l="1"/>
  <c r="I50" i="3" s="1"/>
  <c r="L50" i="3" s="1"/>
  <c r="M50" i="3"/>
  <c r="J50" i="3"/>
  <c r="O50" i="3"/>
  <c r="AC37" i="3"/>
  <c r="AF37" i="3" s="1"/>
  <c r="N50" i="3"/>
  <c r="K50" i="3"/>
  <c r="P50" i="3" l="1"/>
  <c r="I51" i="3" s="1"/>
  <c r="J51" i="3" s="1"/>
  <c r="V38" i="3"/>
  <c r="Y38" i="3" s="1"/>
  <c r="O51" i="3"/>
  <c r="L51" i="3"/>
  <c r="K51" i="3"/>
  <c r="N51" i="3"/>
  <c r="M51" i="3"/>
  <c r="X38" i="3" l="1"/>
  <c r="AB38" i="3"/>
  <c r="AE38" i="3" s="1"/>
  <c r="Z38" i="3"/>
  <c r="AA38" i="3"/>
  <c r="W38" i="3"/>
  <c r="P51" i="3"/>
  <c r="I52" i="3" s="1"/>
  <c r="L52" i="3" s="1"/>
  <c r="M52" i="3" l="1"/>
  <c r="AC38" i="3"/>
  <c r="J52" i="3"/>
  <c r="K52" i="3"/>
  <c r="N52" i="3"/>
  <c r="O52" i="3"/>
  <c r="P52" i="3" s="1"/>
  <c r="I53" i="3" s="1"/>
  <c r="K53" i="3" s="1"/>
  <c r="V39" i="3"/>
  <c r="AF38" i="3"/>
  <c r="Z39" i="3" l="1"/>
  <c r="AB39" i="3"/>
  <c r="W39" i="3"/>
  <c r="X39" i="3"/>
  <c r="Y39" i="3"/>
  <c r="AA39" i="3"/>
  <c r="L53" i="3"/>
  <c r="M53" i="3"/>
  <c r="J53" i="3"/>
  <c r="N53" i="3"/>
  <c r="O53" i="3"/>
  <c r="AC39" i="3" l="1"/>
  <c r="V40" i="3" s="1"/>
  <c r="Y40" i="3" s="1"/>
  <c r="AE39" i="3"/>
  <c r="P53" i="3"/>
  <c r="I54" i="3" s="1"/>
  <c r="N54" i="3" s="1"/>
  <c r="M54" i="3" l="1"/>
  <c r="L54" i="3"/>
  <c r="K54" i="3"/>
  <c r="AF39" i="3"/>
  <c r="O54" i="3"/>
  <c r="J54" i="3"/>
  <c r="AA40" i="3"/>
  <c r="X40" i="3"/>
  <c r="Z40" i="3"/>
  <c r="AB40" i="3"/>
  <c r="W40" i="3"/>
  <c r="P54" i="3" l="1"/>
  <c r="I55" i="3" s="1"/>
  <c r="M55" i="3" s="1"/>
  <c r="AC40" i="3"/>
  <c r="AF40" i="3" s="1"/>
  <c r="N55" i="3"/>
  <c r="L55" i="3"/>
  <c r="O55" i="3"/>
  <c r="AE40" i="3"/>
  <c r="K55" i="3"/>
  <c r="J55" i="3"/>
  <c r="V41" i="3" l="1"/>
  <c r="Y41" i="3" s="1"/>
  <c r="P55" i="3"/>
  <c r="I56" i="3" s="1"/>
  <c r="M56" i="3" s="1"/>
  <c r="X41" i="3" l="1"/>
  <c r="AB41" i="3"/>
  <c r="AE41" i="3" s="1"/>
  <c r="Z41" i="3"/>
  <c r="AA41" i="3"/>
  <c r="W41" i="3"/>
  <c r="N56" i="3"/>
  <c r="L56" i="3"/>
  <c r="O56" i="3"/>
  <c r="J56" i="3"/>
  <c r="K56" i="3"/>
  <c r="AC41" i="3" l="1"/>
  <c r="AF41" i="3" s="1"/>
  <c r="P56" i="3"/>
  <c r="I57" i="3" s="1"/>
  <c r="M57" i="3" s="1"/>
  <c r="V42" i="3" l="1"/>
  <c r="AA42" i="3" s="1"/>
  <c r="Z42" i="3"/>
  <c r="W42" i="3"/>
  <c r="AB42" i="3"/>
  <c r="AE42" i="3" s="1"/>
  <c r="K57" i="3"/>
  <c r="L57" i="3"/>
  <c r="N57" i="3"/>
  <c r="J57" i="3"/>
  <c r="O57" i="3"/>
  <c r="Y42" i="3" l="1"/>
  <c r="X42" i="3"/>
  <c r="AC42" i="3"/>
  <c r="AF42" i="3" s="1"/>
  <c r="P57" i="3"/>
  <c r="I58" i="3" s="1"/>
  <c r="L58" i="3" s="1"/>
  <c r="V43" i="3" l="1"/>
  <c r="O58" i="3"/>
  <c r="K58" i="3"/>
  <c r="N58" i="3"/>
  <c r="J58" i="3"/>
  <c r="M58" i="3"/>
  <c r="Z43" i="3"/>
  <c r="AA43" i="3"/>
  <c r="AB43" i="3"/>
  <c r="Y43" i="3"/>
  <c r="X43" i="3"/>
  <c r="W43" i="3"/>
  <c r="P58" i="3" l="1"/>
  <c r="I59" i="3" s="1"/>
  <c r="M59" i="3" s="1"/>
  <c r="K59" i="3"/>
  <c r="AC43" i="3"/>
  <c r="V44" i="3" s="1"/>
  <c r="AA44" i="3" s="1"/>
  <c r="AE43" i="3"/>
  <c r="O59" i="3" l="1"/>
  <c r="L59" i="3"/>
  <c r="N59" i="3"/>
  <c r="J59" i="3"/>
  <c r="AF43" i="3"/>
  <c r="Y44" i="3"/>
  <c r="Z44" i="3"/>
  <c r="W44" i="3"/>
  <c r="X44" i="3"/>
  <c r="AB44" i="3"/>
  <c r="P59" i="3" l="1"/>
  <c r="I60" i="3" s="1"/>
  <c r="J60" i="3" s="1"/>
  <c r="AC44" i="3"/>
  <c r="AF44" i="3" s="1"/>
  <c r="O60" i="3"/>
  <c r="M60" i="3"/>
  <c r="L60" i="3"/>
  <c r="AE44" i="3"/>
  <c r="K60" i="3" l="1"/>
  <c r="N60" i="3"/>
  <c r="V45" i="3"/>
  <c r="AA45" i="3" s="1"/>
  <c r="P60" i="3"/>
  <c r="I61" i="3" s="1"/>
  <c r="L61" i="3" s="1"/>
  <c r="O61" i="3"/>
  <c r="Z45" i="3"/>
  <c r="M61" i="3" l="1"/>
  <c r="Y45" i="3"/>
  <c r="N61" i="3"/>
  <c r="AB45" i="3"/>
  <c r="AE45" i="3" s="1"/>
  <c r="W45" i="3"/>
  <c r="X45" i="3"/>
  <c r="J61" i="3"/>
  <c r="K61" i="3"/>
  <c r="AC45" i="3" l="1"/>
  <c r="P61" i="3"/>
  <c r="I62" i="3" s="1"/>
  <c r="L62" i="3" s="1"/>
  <c r="AF45" i="3"/>
  <c r="V46" i="3"/>
  <c r="M62" i="3"/>
  <c r="K62" i="3"/>
  <c r="N62" i="3" l="1"/>
  <c r="J62" i="3"/>
  <c r="O62" i="3"/>
  <c r="P62" i="3" s="1"/>
  <c r="I63" i="3" s="1"/>
  <c r="K63" i="3" s="1"/>
  <c r="AA46" i="3"/>
  <c r="Z46" i="3"/>
  <c r="AB46" i="3"/>
  <c r="AE46" i="3" s="1"/>
  <c r="X46" i="3"/>
  <c r="W46" i="3"/>
  <c r="Y46" i="3"/>
  <c r="AC46" i="3" l="1"/>
  <c r="AF46" i="3" s="1"/>
  <c r="J63" i="3"/>
  <c r="N63" i="3"/>
  <c r="O63" i="3"/>
  <c r="L63" i="3"/>
  <c r="M63" i="3"/>
  <c r="V47" i="3" l="1"/>
  <c r="Y47" i="3" s="1"/>
  <c r="P63" i="3"/>
  <c r="I64" i="3" s="1"/>
  <c r="O64" i="3" s="1"/>
  <c r="Z47" i="3"/>
  <c r="AA47" i="3" l="1"/>
  <c r="AB47" i="3"/>
  <c r="AE47" i="3" s="1"/>
  <c r="W47" i="3"/>
  <c r="X47" i="3"/>
  <c r="N64" i="3"/>
  <c r="L64" i="3"/>
  <c r="M64" i="3"/>
  <c r="J64" i="3"/>
  <c r="K64" i="3"/>
  <c r="AC47" i="3" l="1"/>
  <c r="P64" i="3"/>
  <c r="I65" i="3" s="1"/>
  <c r="K65" i="3" s="1"/>
  <c r="V48" i="3"/>
  <c r="AF47" i="3"/>
  <c r="O65" i="3" l="1"/>
  <c r="M65" i="3"/>
  <c r="J65" i="3"/>
  <c r="N65" i="3"/>
  <c r="L65" i="3"/>
  <c r="AB48" i="3"/>
  <c r="AE48" i="3" s="1"/>
  <c r="X48" i="3"/>
  <c r="Z48" i="3"/>
  <c r="W48" i="3"/>
  <c r="AA48" i="3"/>
  <c r="Y48" i="3"/>
  <c r="P65" i="3" l="1"/>
  <c r="I66" i="3" s="1"/>
  <c r="AC48" i="3"/>
  <c r="AF48" i="3" s="1"/>
  <c r="V49" i="3" l="1"/>
  <c r="AA49" i="3" s="1"/>
  <c r="K66" i="3"/>
  <c r="J66" i="3"/>
  <c r="M66" i="3"/>
  <c r="O66" i="3"/>
  <c r="L66" i="3"/>
  <c r="N66" i="3"/>
  <c r="Y49" i="3"/>
  <c r="Z49" i="3"/>
  <c r="W49" i="3"/>
  <c r="X49" i="3"/>
  <c r="AB49" i="3" l="1"/>
  <c r="AE49" i="3" s="1"/>
  <c r="P66" i="3"/>
  <c r="I67" i="3" s="1"/>
  <c r="N67" i="3" s="1"/>
  <c r="AC49" i="3" l="1"/>
  <c r="L67" i="3"/>
  <c r="J67" i="3"/>
  <c r="O67" i="3"/>
  <c r="K67" i="3"/>
  <c r="M67" i="3"/>
  <c r="AF49" i="3"/>
  <c r="V50" i="3"/>
  <c r="P67" i="3" l="1"/>
  <c r="I68" i="3" s="1"/>
  <c r="J68" i="3" s="1"/>
  <c r="N68" i="3"/>
  <c r="O68" i="3"/>
  <c r="K68" i="3"/>
  <c r="M68" i="3"/>
  <c r="L68" i="3"/>
  <c r="AA50" i="3"/>
  <c r="AB50" i="3"/>
  <c r="AE50" i="3" s="1"/>
  <c r="X50" i="3"/>
  <c r="Z50" i="3"/>
  <c r="W50" i="3"/>
  <c r="Y50" i="3"/>
  <c r="P68" i="3" l="1"/>
  <c r="I69" i="3" s="1"/>
  <c r="O69" i="3" s="1"/>
  <c r="AC50" i="3"/>
  <c r="L69" i="3" l="1"/>
  <c r="N69" i="3"/>
  <c r="M69" i="3"/>
  <c r="K69" i="3"/>
  <c r="J69" i="3"/>
  <c r="AF50" i="3"/>
  <c r="V51" i="3"/>
  <c r="P69" i="3" l="1"/>
  <c r="I70" i="3" s="1"/>
  <c r="N70" i="3" s="1"/>
  <c r="J70" i="3"/>
  <c r="L70" i="3"/>
  <c r="O70" i="3"/>
  <c r="M70" i="3"/>
  <c r="W51" i="3"/>
  <c r="AB51" i="3"/>
  <c r="AE51" i="3" s="1"/>
  <c r="Y51" i="3"/>
  <c r="X51" i="3"/>
  <c r="AA51" i="3"/>
  <c r="Z51" i="3"/>
  <c r="K70" i="3" l="1"/>
  <c r="P70" i="3"/>
  <c r="I71" i="3" s="1"/>
  <c r="N71" i="3" s="1"/>
  <c r="AC51" i="3"/>
  <c r="M71" i="3" l="1"/>
  <c r="J71" i="3"/>
  <c r="L71" i="3"/>
  <c r="K71" i="3"/>
  <c r="O71" i="3"/>
  <c r="V52" i="3"/>
  <c r="AF51" i="3"/>
  <c r="P71" i="3" l="1"/>
  <c r="I72" i="3" s="1"/>
  <c r="W52" i="3"/>
  <c r="X52" i="3"/>
  <c r="AB52" i="3"/>
  <c r="Z52" i="3"/>
  <c r="Y52" i="3"/>
  <c r="AA52" i="3"/>
  <c r="M72" i="3" l="1"/>
  <c r="J72" i="3"/>
  <c r="K72" i="3"/>
  <c r="O72" i="3"/>
  <c r="L72" i="3"/>
  <c r="N72" i="3"/>
  <c r="AC52" i="3"/>
  <c r="V53" i="3" s="1"/>
  <c r="Y53" i="3" s="1"/>
  <c r="AE52" i="3"/>
  <c r="P72" i="3" l="1"/>
  <c r="I73" i="3" s="1"/>
  <c r="M73" i="3"/>
  <c r="N73" i="3"/>
  <c r="AF52" i="3"/>
  <c r="AA53" i="3"/>
  <c r="X53" i="3"/>
  <c r="Z53" i="3"/>
  <c r="AB53" i="3"/>
  <c r="AE53" i="3" s="1"/>
  <c r="W53" i="3"/>
  <c r="J73" i="3" l="1"/>
  <c r="K73" i="3"/>
  <c r="O73" i="3"/>
  <c r="L73" i="3"/>
  <c r="AC53" i="3"/>
  <c r="AF53" i="3" s="1"/>
  <c r="P73" i="3" l="1"/>
  <c r="I74" i="3" s="1"/>
  <c r="M74" i="3" s="1"/>
  <c r="V54" i="3"/>
  <c r="W54" i="3" s="1"/>
  <c r="J74" i="3" l="1"/>
  <c r="O74" i="3"/>
  <c r="L74" i="3"/>
  <c r="K74" i="3"/>
  <c r="P74" i="3" s="1"/>
  <c r="I75" i="3" s="1"/>
  <c r="L75" i="3" s="1"/>
  <c r="N74" i="3"/>
  <c r="Z54" i="3"/>
  <c r="AA54" i="3"/>
  <c r="X54" i="3"/>
  <c r="AB54" i="3"/>
  <c r="AE54" i="3" s="1"/>
  <c r="Y54" i="3"/>
  <c r="N75" i="3" l="1"/>
  <c r="O75" i="3"/>
  <c r="M75" i="3"/>
  <c r="K75" i="3"/>
  <c r="J75" i="3"/>
  <c r="AC54" i="3"/>
  <c r="AF54" i="3" s="1"/>
  <c r="P75" i="3" l="1"/>
  <c r="I76" i="3" s="1"/>
  <c r="L76" i="3" s="1"/>
  <c r="O76" i="3"/>
  <c r="K76" i="3"/>
  <c r="N76" i="3"/>
  <c r="M76" i="3"/>
  <c r="V55" i="3"/>
  <c r="W55" i="3" s="1"/>
  <c r="J76" i="3" l="1"/>
  <c r="P76" i="3"/>
  <c r="I77" i="3" s="1"/>
  <c r="N77" i="3"/>
  <c r="L77" i="3"/>
  <c r="K77" i="3"/>
  <c r="J77" i="3"/>
  <c r="O77" i="3"/>
  <c r="M77" i="3"/>
  <c r="AB55" i="3"/>
  <c r="AE55" i="3" s="1"/>
  <c r="AA55" i="3"/>
  <c r="Z55" i="3"/>
  <c r="Y55" i="3"/>
  <c r="X55" i="3"/>
  <c r="P77" i="3" l="1"/>
  <c r="I78" i="3" s="1"/>
  <c r="M78" i="3" s="1"/>
  <c r="O78" i="3"/>
  <c r="K78" i="3"/>
  <c r="N78" i="3"/>
  <c r="AC55" i="3"/>
  <c r="AF55" i="3" s="1"/>
  <c r="J78" i="3" l="1"/>
  <c r="L78" i="3"/>
  <c r="P78" i="3"/>
  <c r="I79" i="3" s="1"/>
  <c r="J79" i="3" s="1"/>
  <c r="V56" i="3"/>
  <c r="AA56" i="3" s="1"/>
  <c r="X56" i="3"/>
  <c r="Y56" i="3"/>
  <c r="AB56" i="3"/>
  <c r="AE56" i="3" s="1"/>
  <c r="L79" i="3"/>
  <c r="N79" i="3" l="1"/>
  <c r="Z56" i="3"/>
  <c r="W56" i="3"/>
  <c r="M79" i="3"/>
  <c r="K79" i="3"/>
  <c r="O79" i="3"/>
  <c r="P79" i="3" s="1"/>
  <c r="I80" i="3" s="1"/>
  <c r="M80" i="3" s="1"/>
  <c r="AC56" i="3"/>
  <c r="AF56" i="3" l="1"/>
  <c r="V57" i="3"/>
  <c r="O80" i="3"/>
  <c r="L80" i="3"/>
  <c r="N80" i="3"/>
  <c r="J80" i="3"/>
  <c r="K80" i="3"/>
  <c r="Y57" i="3" l="1"/>
  <c r="Z57" i="3"/>
  <c r="AB57" i="3"/>
  <c r="AE57" i="3" s="1"/>
  <c r="W57" i="3"/>
  <c r="AA57" i="3"/>
  <c r="X57" i="3"/>
  <c r="P80" i="3"/>
  <c r="I81" i="3" s="1"/>
  <c r="K81" i="3" s="1"/>
  <c r="AC57" i="3" l="1"/>
  <c r="N81" i="3"/>
  <c r="M81" i="3"/>
  <c r="J81" i="3"/>
  <c r="L81" i="3"/>
  <c r="O81" i="3"/>
  <c r="V58" i="3" l="1"/>
  <c r="AF57" i="3"/>
  <c r="P81" i="3"/>
  <c r="I82" i="3" s="1"/>
  <c r="L82" i="3" s="1"/>
  <c r="N82" i="3" l="1"/>
  <c r="J82" i="3"/>
  <c r="M82" i="3"/>
  <c r="K82" i="3"/>
  <c r="O82" i="3"/>
  <c r="Z58" i="3"/>
  <c r="AA58" i="3"/>
  <c r="Y58" i="3"/>
  <c r="X58" i="3"/>
  <c r="AB58" i="3"/>
  <c r="AE58" i="3" s="1"/>
  <c r="W58" i="3"/>
  <c r="P82" i="3" l="1"/>
  <c r="I83" i="3" s="1"/>
  <c r="M83" i="3" s="1"/>
  <c r="AC58" i="3"/>
  <c r="O83" i="3"/>
  <c r="L83" i="3"/>
  <c r="K83" i="3"/>
  <c r="N83" i="3"/>
  <c r="AF58" i="3"/>
  <c r="V59" i="3"/>
  <c r="AA59" i="3" s="1"/>
  <c r="J83" i="3" l="1"/>
  <c r="P83" i="3" s="1"/>
  <c r="I84" i="3" s="1"/>
  <c r="Y59" i="3"/>
  <c r="W59" i="3"/>
  <c r="AB59" i="3"/>
  <c r="AE59" i="3" s="1"/>
  <c r="X59" i="3"/>
  <c r="Z59" i="3"/>
  <c r="K84" i="3" l="1"/>
  <c r="M84" i="3"/>
  <c r="L84" i="3"/>
  <c r="O84" i="3"/>
  <c r="N84" i="3"/>
  <c r="J84" i="3"/>
  <c r="AC59" i="3"/>
  <c r="P84" i="3" l="1"/>
  <c r="I85" i="3" s="1"/>
  <c r="J85" i="3" s="1"/>
  <c r="AF59" i="3"/>
  <c r="V60" i="3"/>
  <c r="N85" i="3" l="1"/>
  <c r="K85" i="3"/>
  <c r="O85" i="3"/>
  <c r="M85" i="3"/>
  <c r="L85" i="3"/>
  <c r="W60" i="3"/>
  <c r="Y60" i="3"/>
  <c r="Z60" i="3"/>
  <c r="AB60" i="3"/>
  <c r="AE60" i="3" s="1"/>
  <c r="X60" i="3"/>
  <c r="AA60" i="3"/>
  <c r="P85" i="3" l="1"/>
  <c r="I86" i="3" s="1"/>
  <c r="L86" i="3" s="1"/>
  <c r="AC60" i="3"/>
  <c r="V61" i="3" s="1"/>
  <c r="O86" i="3"/>
  <c r="J86" i="3"/>
  <c r="M86" i="3"/>
  <c r="K86" i="3"/>
  <c r="N86" i="3" l="1"/>
  <c r="P86" i="3" s="1"/>
  <c r="I87" i="3" s="1"/>
  <c r="N87" i="3" s="1"/>
  <c r="AF60" i="3"/>
  <c r="Z61" i="3"/>
  <c r="AB61" i="3"/>
  <c r="AE61" i="3" s="1"/>
  <c r="X61" i="3"/>
  <c r="AA61" i="3"/>
  <c r="W61" i="3"/>
  <c r="Y61" i="3"/>
  <c r="L87" i="3" l="1"/>
  <c r="M87" i="3"/>
  <c r="K87" i="3"/>
  <c r="J87" i="3"/>
  <c r="O87" i="3"/>
  <c r="P87" i="3" s="1"/>
  <c r="I88" i="3" s="1"/>
  <c r="AC61" i="3"/>
  <c r="V62" i="3" l="1"/>
  <c r="AF61" i="3"/>
  <c r="K88" i="3"/>
  <c r="J88" i="3"/>
  <c r="O88" i="3"/>
  <c r="L88" i="3"/>
  <c r="M88" i="3"/>
  <c r="N88" i="3"/>
  <c r="Y62" i="3" l="1"/>
  <c r="Z62" i="3"/>
  <c r="W62" i="3"/>
  <c r="AB62" i="3"/>
  <c r="AE62" i="3" s="1"/>
  <c r="X62" i="3"/>
  <c r="AA62" i="3"/>
  <c r="P88" i="3"/>
  <c r="I89" i="3" s="1"/>
  <c r="K89" i="3" s="1"/>
  <c r="AC62" i="3" l="1"/>
  <c r="AF62" i="3" s="1"/>
  <c r="N89" i="3"/>
  <c r="L89" i="3"/>
  <c r="J89" i="3"/>
  <c r="M89" i="3"/>
  <c r="V63" i="3"/>
  <c r="Y63" i="3" s="1"/>
  <c r="O89" i="3"/>
  <c r="P89" i="3" s="1"/>
  <c r="I90" i="3" s="1"/>
  <c r="X63" i="3" l="1"/>
  <c r="AB63" i="3"/>
  <c r="AE63" i="3" s="1"/>
  <c r="W63" i="3"/>
  <c r="Z63" i="3"/>
  <c r="AA63" i="3"/>
  <c r="K90" i="3"/>
  <c r="O90" i="3"/>
  <c r="M90" i="3"/>
  <c r="N90" i="3"/>
  <c r="L90" i="3"/>
  <c r="J90" i="3"/>
  <c r="AC63" i="3" l="1"/>
  <c r="P90" i="3"/>
  <c r="I91" i="3" s="1"/>
  <c r="J91" i="3" s="1"/>
  <c r="M91" i="3"/>
  <c r="N91" i="3"/>
  <c r="K91" i="3"/>
  <c r="L91" i="3"/>
  <c r="O91" i="3" l="1"/>
  <c r="P91" i="3" s="1"/>
  <c r="I92" i="3" s="1"/>
  <c r="AF63" i="3"/>
  <c r="V64" i="3"/>
  <c r="O92" i="3" l="1"/>
  <c r="N92" i="3"/>
  <c r="K92" i="3"/>
  <c r="J92" i="3"/>
  <c r="L92" i="3"/>
  <c r="M92" i="3"/>
  <c r="Y64" i="3"/>
  <c r="Z64" i="3"/>
  <c r="AB64" i="3"/>
  <c r="AE64" i="3" s="1"/>
  <c r="AA64" i="3"/>
  <c r="X64" i="3"/>
  <c r="W64" i="3"/>
  <c r="P92" i="3" l="1"/>
  <c r="I93" i="3" s="1"/>
  <c r="J93" i="3" s="1"/>
  <c r="AC64" i="3"/>
  <c r="M93" i="3"/>
  <c r="L93" i="3" l="1"/>
  <c r="O93" i="3"/>
  <c r="K93" i="3"/>
  <c r="N93" i="3"/>
  <c r="AF64" i="3"/>
  <c r="V65" i="3"/>
  <c r="P93" i="3" l="1"/>
  <c r="I94" i="3" s="1"/>
  <c r="O94" i="3" s="1"/>
  <c r="Z65" i="3"/>
  <c r="X65" i="3"/>
  <c r="W65" i="3"/>
  <c r="AB65" i="3"/>
  <c r="AE65" i="3" s="1"/>
  <c r="Y65" i="3"/>
  <c r="AA65" i="3"/>
  <c r="N94" i="3" l="1"/>
  <c r="J94" i="3"/>
  <c r="K94" i="3"/>
  <c r="L94" i="3"/>
  <c r="M94" i="3"/>
  <c r="P94" i="3" s="1"/>
  <c r="I95" i="3" s="1"/>
  <c r="AC65" i="3"/>
  <c r="J95" i="3" l="1"/>
  <c r="K95" i="3"/>
  <c r="O95" i="3"/>
  <c r="N95" i="3"/>
  <c r="L95" i="3"/>
  <c r="M95" i="3"/>
  <c r="AF65" i="3"/>
  <c r="V66" i="3"/>
  <c r="P95" i="3" l="1"/>
  <c r="I96" i="3" s="1"/>
  <c r="Z66" i="3"/>
  <c r="AB66" i="3"/>
  <c r="W66" i="3"/>
  <c r="AA66" i="3"/>
  <c r="X66" i="3"/>
  <c r="Y66" i="3"/>
  <c r="M96" i="3" l="1"/>
  <c r="J96" i="3"/>
  <c r="O96" i="3"/>
  <c r="K96" i="3"/>
  <c r="L96" i="3"/>
  <c r="N96" i="3"/>
  <c r="AC66" i="3"/>
  <c r="AE66" i="3"/>
  <c r="P96" i="3" l="1"/>
  <c r="I97" i="3" s="1"/>
  <c r="AF66" i="3"/>
  <c r="V67" i="3"/>
  <c r="J97" i="3" l="1"/>
  <c r="L97" i="3"/>
  <c r="K97" i="3"/>
  <c r="O97" i="3"/>
  <c r="N97" i="3"/>
  <c r="M97" i="3"/>
  <c r="Y67" i="3"/>
  <c r="Z67" i="3"/>
  <c r="X67" i="3"/>
  <c r="W67" i="3"/>
  <c r="AB67" i="3"/>
  <c r="AA67" i="3"/>
  <c r="P97" i="3" l="1"/>
  <c r="I98" i="3" s="1"/>
  <c r="L98" i="3" s="1"/>
  <c r="AC67" i="3"/>
  <c r="AF67" i="3" s="1"/>
  <c r="AE67" i="3"/>
  <c r="M98" i="3" l="1"/>
  <c r="K98" i="3"/>
  <c r="J98" i="3"/>
  <c r="O98" i="3"/>
  <c r="N98" i="3"/>
  <c r="V68" i="3"/>
  <c r="AB68" i="3" s="1"/>
  <c r="P98" i="3" l="1"/>
  <c r="I99" i="3" s="1"/>
  <c r="Z68" i="3"/>
  <c r="AA68" i="3"/>
  <c r="Y68" i="3"/>
  <c r="X68" i="3"/>
  <c r="W68" i="3"/>
  <c r="AE68" i="3"/>
  <c r="AC68" i="3" l="1"/>
  <c r="J99" i="3"/>
  <c r="O99" i="3"/>
  <c r="K99" i="3"/>
  <c r="L99" i="3"/>
  <c r="N99" i="3"/>
  <c r="M99" i="3"/>
  <c r="AF68" i="3"/>
  <c r="V69" i="3"/>
  <c r="Y69" i="3" s="1"/>
  <c r="P99" i="3" l="1"/>
  <c r="I100" i="3" s="1"/>
  <c r="K100" i="3" s="1"/>
  <c r="M100" i="3"/>
  <c r="L100" i="3"/>
  <c r="N100" i="3"/>
  <c r="X69" i="3"/>
  <c r="W69" i="3"/>
  <c r="Z69" i="3"/>
  <c r="AB69" i="3"/>
  <c r="AE69" i="3" s="1"/>
  <c r="AA69" i="3"/>
  <c r="J100" i="3" l="1"/>
  <c r="O100" i="3"/>
  <c r="P100" i="3" s="1"/>
  <c r="I101" i="3" s="1"/>
  <c r="AC69" i="3"/>
  <c r="AF69" i="3" s="1"/>
  <c r="V70" i="3" l="1"/>
  <c r="W70" i="3" s="1"/>
  <c r="K101" i="3"/>
  <c r="N101" i="3"/>
  <c r="J101" i="3"/>
  <c r="L101" i="3"/>
  <c r="M101" i="3"/>
  <c r="O101" i="3"/>
  <c r="X70" i="3"/>
  <c r="AA70" i="3"/>
  <c r="Y70" i="3"/>
  <c r="Z70" i="3"/>
  <c r="AB70" i="3"/>
  <c r="AE70" i="3" s="1"/>
  <c r="P101" i="3" l="1"/>
  <c r="I102" i="3" s="1"/>
  <c r="K102" i="3" s="1"/>
  <c r="M102" i="3"/>
  <c r="J102" i="3"/>
  <c r="O102" i="3"/>
  <c r="L102" i="3"/>
  <c r="AC70" i="3"/>
  <c r="AF70" i="3" s="1"/>
  <c r="N102" i="3" l="1"/>
  <c r="V71" i="3"/>
  <c r="W71" i="3" s="1"/>
  <c r="P102" i="3"/>
  <c r="I103" i="3" s="1"/>
  <c r="O103" i="3" s="1"/>
  <c r="Y71" i="3"/>
  <c r="AB71" i="3"/>
  <c r="AE71" i="3" s="1"/>
  <c r="X71" i="3"/>
  <c r="AA71" i="3"/>
  <c r="Z71" i="3"/>
  <c r="N103" i="3" l="1"/>
  <c r="M103" i="3"/>
  <c r="K103" i="3"/>
  <c r="J103" i="3"/>
  <c r="L103" i="3"/>
  <c r="P103" i="3" s="1"/>
  <c r="I104" i="3" s="1"/>
  <c r="AC71" i="3"/>
  <c r="O104" i="3" l="1"/>
  <c r="J104" i="3"/>
  <c r="K104" i="3"/>
  <c r="N104" i="3"/>
  <c r="L104" i="3"/>
  <c r="M104" i="3"/>
  <c r="P104" i="3" s="1"/>
  <c r="I105" i="3" s="1"/>
  <c r="AF71" i="3"/>
  <c r="V72" i="3"/>
  <c r="K105" i="3" l="1"/>
  <c r="O105" i="3"/>
  <c r="J105" i="3"/>
  <c r="L105" i="3"/>
  <c r="N105" i="3"/>
  <c r="M105" i="3"/>
  <c r="P105" i="3" s="1"/>
  <c r="I106" i="3" s="1"/>
  <c r="M106" i="3" s="1"/>
  <c r="AA72" i="3"/>
  <c r="AB72" i="3"/>
  <c r="AE72" i="3" s="1"/>
  <c r="X72" i="3"/>
  <c r="Y72" i="3"/>
  <c r="Z72" i="3"/>
  <c r="W72" i="3"/>
  <c r="AC72" i="3" l="1"/>
  <c r="AF72" i="3" s="1"/>
  <c r="N106" i="3"/>
  <c r="O106" i="3"/>
  <c r="K106" i="3"/>
  <c r="J106" i="3"/>
  <c r="L106" i="3"/>
  <c r="V73" i="3" l="1"/>
  <c r="Y73" i="3" s="1"/>
  <c r="AA73" i="3"/>
  <c r="W73" i="3"/>
  <c r="AB73" i="3"/>
  <c r="AE73" i="3" s="1"/>
  <c r="X73" i="3"/>
  <c r="Z73" i="3"/>
  <c r="P106" i="3"/>
  <c r="I107" i="3" s="1"/>
  <c r="O107" i="3" s="1"/>
  <c r="AC73" i="3" l="1"/>
  <c r="M107" i="3"/>
  <c r="J107" i="3"/>
  <c r="N107" i="3"/>
  <c r="L107" i="3"/>
  <c r="K107" i="3"/>
  <c r="AF73" i="3" l="1"/>
  <c r="V74" i="3"/>
  <c r="P107" i="3"/>
  <c r="I108" i="3" s="1"/>
  <c r="N108" i="3" s="1"/>
  <c r="Y74" i="3" l="1"/>
  <c r="W74" i="3"/>
  <c r="Z74" i="3"/>
  <c r="AA74" i="3"/>
  <c r="X74" i="3"/>
  <c r="AB74" i="3"/>
  <c r="AE74" i="3" s="1"/>
  <c r="M108" i="3"/>
  <c r="L108" i="3"/>
  <c r="K108" i="3"/>
  <c r="J108" i="3"/>
  <c r="O108" i="3"/>
  <c r="AC74" i="3" l="1"/>
  <c r="AF74" i="3" s="1"/>
  <c r="P108" i="3"/>
  <c r="I109" i="3" s="1"/>
  <c r="J109" i="3" s="1"/>
  <c r="V75" i="3" l="1"/>
  <c r="AA75" i="3" s="1"/>
  <c r="Z75" i="3"/>
  <c r="AB75" i="3"/>
  <c r="AE75" i="3" s="1"/>
  <c r="Y75" i="3"/>
  <c r="W75" i="3"/>
  <c r="X75" i="3"/>
  <c r="O109" i="3"/>
  <c r="K109" i="3"/>
  <c r="M109" i="3"/>
  <c r="L109" i="3"/>
  <c r="N109" i="3"/>
  <c r="AC75" i="3" l="1"/>
  <c r="P109" i="3"/>
  <c r="I110" i="3" s="1"/>
  <c r="J110" i="3" s="1"/>
  <c r="AF75" i="3" l="1"/>
  <c r="V76" i="3"/>
  <c r="O110" i="3"/>
  <c r="K110" i="3"/>
  <c r="L110" i="3"/>
  <c r="N110" i="3"/>
  <c r="M110" i="3"/>
  <c r="P110" i="3" l="1"/>
  <c r="I111" i="3" s="1"/>
  <c r="J111" i="3" s="1"/>
  <c r="AA76" i="3"/>
  <c r="W76" i="3"/>
  <c r="Z76" i="3"/>
  <c r="AB76" i="3"/>
  <c r="AE76" i="3" s="1"/>
  <c r="X76" i="3"/>
  <c r="Y76" i="3"/>
  <c r="M111" i="3"/>
  <c r="N111" i="3"/>
  <c r="O111" i="3"/>
  <c r="L111" i="3"/>
  <c r="K111" i="3" l="1"/>
  <c r="AC76" i="3"/>
  <c r="V77" i="3" s="1"/>
  <c r="AA77" i="3" s="1"/>
  <c r="P111" i="3"/>
  <c r="I112" i="3" s="1"/>
  <c r="K112" i="3" s="1"/>
  <c r="AF76" i="3" l="1"/>
  <c r="AB77" i="3"/>
  <c r="AE77" i="3" s="1"/>
  <c r="X77" i="3"/>
  <c r="Z77" i="3"/>
  <c r="Y77" i="3"/>
  <c r="W77" i="3"/>
  <c r="N112" i="3"/>
  <c r="O112" i="3"/>
  <c r="L112" i="3"/>
  <c r="M112" i="3"/>
  <c r="J112" i="3"/>
  <c r="AC77" i="3" l="1"/>
  <c r="AF77" i="3" s="1"/>
  <c r="P112" i="3"/>
  <c r="I113" i="3" s="1"/>
  <c r="J113" i="3" s="1"/>
  <c r="V78" i="3" l="1"/>
  <c r="K113" i="3"/>
  <c r="L113" i="3"/>
  <c r="N113" i="3"/>
  <c r="Y78" i="3"/>
  <c r="AB78" i="3"/>
  <c r="AE78" i="3" s="1"/>
  <c r="AA78" i="3"/>
  <c r="W78" i="3"/>
  <c r="X78" i="3"/>
  <c r="Z78" i="3"/>
  <c r="O113" i="3"/>
  <c r="M113" i="3"/>
  <c r="AC78" i="3" l="1"/>
  <c r="P113" i="3"/>
  <c r="I114" i="3" s="1"/>
  <c r="N114" i="3" s="1"/>
  <c r="J114" i="3" l="1"/>
  <c r="K114" i="3"/>
  <c r="O114" i="3"/>
  <c r="M114" i="3"/>
  <c r="L114" i="3"/>
  <c r="V79" i="3"/>
  <c r="AF78" i="3"/>
  <c r="P114" i="3" l="1"/>
  <c r="I115" i="3" s="1"/>
  <c r="N115" i="3" s="1"/>
  <c r="AB79" i="3"/>
  <c r="AE79" i="3" s="1"/>
  <c r="W79" i="3"/>
  <c r="X79" i="3"/>
  <c r="Z79" i="3"/>
  <c r="Y79" i="3"/>
  <c r="AA79" i="3"/>
  <c r="M115" i="3"/>
  <c r="L115" i="3"/>
  <c r="O115" i="3"/>
  <c r="K115" i="3"/>
  <c r="J115" i="3"/>
  <c r="AC79" i="3" l="1"/>
  <c r="P115" i="3"/>
  <c r="I116" i="3" s="1"/>
  <c r="O116" i="3" s="1"/>
  <c r="AF79" i="3" l="1"/>
  <c r="V80" i="3"/>
  <c r="J116" i="3"/>
  <c r="M116" i="3"/>
  <c r="L116" i="3"/>
  <c r="K116" i="3"/>
  <c r="N116" i="3"/>
  <c r="P116" i="3" l="1"/>
  <c r="I117" i="3" s="1"/>
  <c r="L117" i="3" s="1"/>
  <c r="W80" i="3"/>
  <c r="AA80" i="3"/>
  <c r="AB80" i="3"/>
  <c r="AE80" i="3" s="1"/>
  <c r="Z80" i="3"/>
  <c r="X80" i="3"/>
  <c r="Y80" i="3"/>
  <c r="O117" i="3"/>
  <c r="J117" i="3"/>
  <c r="M117" i="3"/>
  <c r="N117" i="3" l="1"/>
  <c r="K117" i="3"/>
  <c r="AC80" i="3"/>
  <c r="AF80" i="3" s="1"/>
  <c r="P117" i="3"/>
  <c r="I118" i="3" s="1"/>
  <c r="J118" i="3" s="1"/>
  <c r="V81" i="3" l="1"/>
  <c r="X81" i="3" s="1"/>
  <c r="AB81" i="3"/>
  <c r="AE81" i="3" s="1"/>
  <c r="Y81" i="3"/>
  <c r="AA81" i="3"/>
  <c r="W81" i="3"/>
  <c r="N118" i="3"/>
  <c r="M118" i="3"/>
  <c r="K118" i="3"/>
  <c r="L118" i="3"/>
  <c r="O118" i="3"/>
  <c r="Z81" i="3" l="1"/>
  <c r="AC81" i="3" s="1"/>
  <c r="AF81" i="3" s="1"/>
  <c r="P118" i="3"/>
  <c r="I119" i="3" s="1"/>
  <c r="L119" i="3" s="1"/>
  <c r="N119" i="3" l="1"/>
  <c r="M119" i="3"/>
  <c r="J119" i="3"/>
  <c r="O119" i="3"/>
  <c r="K119" i="3"/>
  <c r="V82" i="3"/>
  <c r="X82" i="3" s="1"/>
  <c r="P119" i="3" l="1"/>
  <c r="I120" i="3" s="1"/>
  <c r="N120" i="3" s="1"/>
  <c r="AA82" i="3"/>
  <c r="Y82" i="3"/>
  <c r="W82" i="3"/>
  <c r="AB82" i="3"/>
  <c r="AE82" i="3" s="1"/>
  <c r="Z82" i="3"/>
  <c r="O120" i="3"/>
  <c r="M120" i="3"/>
  <c r="J120" i="3"/>
  <c r="L120" i="3"/>
  <c r="K120" i="3" l="1"/>
  <c r="AC82" i="3"/>
  <c r="V83" i="3" s="1"/>
  <c r="P120" i="3"/>
  <c r="I121" i="3" s="1"/>
  <c r="J121" i="3" s="1"/>
  <c r="AF82" i="3" l="1"/>
  <c r="Y83" i="3"/>
  <c r="AB83" i="3"/>
  <c r="AE83" i="3" s="1"/>
  <c r="Z83" i="3"/>
  <c r="AA83" i="3"/>
  <c r="W83" i="3"/>
  <c r="X83" i="3"/>
  <c r="AC83" i="3" s="1"/>
  <c r="L121" i="3"/>
  <c r="N121" i="3"/>
  <c r="K121" i="3"/>
  <c r="O121" i="3"/>
  <c r="M121" i="3"/>
  <c r="AF83" i="3" l="1"/>
  <c r="V84" i="3"/>
  <c r="Y84" i="3" s="1"/>
  <c r="P121" i="3"/>
  <c r="I122" i="3" s="1"/>
  <c r="O122" i="3" s="1"/>
  <c r="Z84" i="3"/>
  <c r="AA84" i="3"/>
  <c r="W84" i="3"/>
  <c r="AB84" i="3"/>
  <c r="AE84" i="3" s="1"/>
  <c r="X84" i="3"/>
  <c r="N122" i="3" l="1"/>
  <c r="L122" i="3"/>
  <c r="M122" i="3"/>
  <c r="K122" i="3"/>
  <c r="J122" i="3"/>
  <c r="AC84" i="3"/>
  <c r="P122" i="3" l="1"/>
  <c r="I123" i="3" s="1"/>
  <c r="O123" i="3" s="1"/>
  <c r="V85" i="3"/>
  <c r="AF84" i="3"/>
  <c r="K123" i="3"/>
  <c r="J123" i="3"/>
  <c r="N123" i="3"/>
  <c r="L123" i="3"/>
  <c r="M123" i="3"/>
  <c r="AA85" i="3" l="1"/>
  <c r="X85" i="3"/>
  <c r="AB85" i="3"/>
  <c r="Y85" i="3"/>
  <c r="W85" i="3"/>
  <c r="Z85" i="3"/>
  <c r="P123" i="3"/>
  <c r="I124" i="3" s="1"/>
  <c r="L124" i="3" s="1"/>
  <c r="AC85" i="3" l="1"/>
  <c r="V86" i="3" s="1"/>
  <c r="AE85" i="3"/>
  <c r="K124" i="3"/>
  <c r="N124" i="3"/>
  <c r="M124" i="3"/>
  <c r="J124" i="3"/>
  <c r="O124" i="3"/>
  <c r="AF85" i="3" l="1"/>
  <c r="AB86" i="3"/>
  <c r="AE86" i="3" s="1"/>
  <c r="Z86" i="3"/>
  <c r="X86" i="3"/>
  <c r="W86" i="3"/>
  <c r="AA86" i="3"/>
  <c r="Y86" i="3"/>
  <c r="P124" i="3"/>
  <c r="I125" i="3" s="1"/>
  <c r="O125" i="3" s="1"/>
  <c r="AC86" i="3" l="1"/>
  <c r="V87" i="3" s="1"/>
  <c r="M125" i="3"/>
  <c r="L125" i="3"/>
  <c r="J125" i="3"/>
  <c r="N125" i="3"/>
  <c r="K125" i="3"/>
  <c r="AF86" i="3" l="1"/>
  <c r="Y87" i="3"/>
  <c r="W87" i="3"/>
  <c r="X87" i="3"/>
  <c r="AB87" i="3"/>
  <c r="AE87" i="3" s="1"/>
  <c r="Z87" i="3"/>
  <c r="AA87" i="3"/>
  <c r="P125" i="3"/>
  <c r="I126" i="3" s="1"/>
  <c r="L126" i="3" s="1"/>
  <c r="AC87" i="3" l="1"/>
  <c r="AF87" i="3" s="1"/>
  <c r="M126" i="3"/>
  <c r="O126" i="3"/>
  <c r="K126" i="3"/>
  <c r="N126" i="3"/>
  <c r="J126" i="3"/>
  <c r="V88" i="3" l="1"/>
  <c r="Y88" i="3" s="1"/>
  <c r="AA88" i="3"/>
  <c r="Z88" i="3"/>
  <c r="AB88" i="3"/>
  <c r="AE88" i="3" s="1"/>
  <c r="P126" i="3"/>
  <c r="I127" i="3" s="1"/>
  <c r="L127" i="3" s="1"/>
  <c r="X88" i="3" l="1"/>
  <c r="W88" i="3"/>
  <c r="AC88" i="3"/>
  <c r="O127" i="3"/>
  <c r="J127" i="3"/>
  <c r="K127" i="3"/>
  <c r="N127" i="3"/>
  <c r="M127" i="3"/>
  <c r="V89" i="3" l="1"/>
  <c r="AF88" i="3"/>
  <c r="P127" i="3"/>
  <c r="I128" i="3" s="1"/>
  <c r="K128" i="3" s="1"/>
  <c r="W89" i="3" l="1"/>
  <c r="X89" i="3"/>
  <c r="Z89" i="3"/>
  <c r="AB89" i="3"/>
  <c r="AA89" i="3"/>
  <c r="Y89" i="3"/>
  <c r="O128" i="3"/>
  <c r="M128" i="3"/>
  <c r="N128" i="3"/>
  <c r="L128" i="3"/>
  <c r="J128" i="3"/>
  <c r="AC89" i="3" l="1"/>
  <c r="V90" i="3" s="1"/>
  <c r="AA90" i="3" s="1"/>
  <c r="AE89" i="3"/>
  <c r="P128" i="3"/>
  <c r="I129" i="3" s="1"/>
  <c r="K129" i="3" s="1"/>
  <c r="AF89" i="3" l="1"/>
  <c r="Y90" i="3"/>
  <c r="AB90" i="3"/>
  <c r="AE90" i="3" s="1"/>
  <c r="W90" i="3"/>
  <c r="X90" i="3"/>
  <c r="Z90" i="3"/>
  <c r="M129" i="3"/>
  <c r="O129" i="3"/>
  <c r="J129" i="3"/>
  <c r="L129" i="3"/>
  <c r="N129" i="3"/>
  <c r="AC90" i="3" l="1"/>
  <c r="AF90" i="3" s="1"/>
  <c r="P129" i="3"/>
  <c r="I130" i="3" s="1"/>
  <c r="K130" i="3" s="1"/>
  <c r="V91" i="3" l="1"/>
  <c r="AA91" i="3" s="1"/>
  <c r="O130" i="3"/>
  <c r="N130" i="3"/>
  <c r="J130" i="3"/>
  <c r="M130" i="3"/>
  <c r="X91" i="3"/>
  <c r="W91" i="3"/>
  <c r="AB91" i="3"/>
  <c r="AE91" i="3" s="1"/>
  <c r="Z91" i="3"/>
  <c r="L130" i="3"/>
  <c r="Y91" i="3" l="1"/>
  <c r="P130" i="3"/>
  <c r="I131" i="3" s="1"/>
  <c r="K131" i="3" s="1"/>
  <c r="AC91" i="3"/>
  <c r="M131" i="3" l="1"/>
  <c r="N131" i="3"/>
  <c r="J131" i="3"/>
  <c r="L131" i="3"/>
  <c r="O131" i="3"/>
  <c r="AF91" i="3"/>
  <c r="V92" i="3"/>
  <c r="P131" i="3" l="1"/>
  <c r="I132" i="3" s="1"/>
  <c r="N132" i="3" s="1"/>
  <c r="W92" i="3"/>
  <c r="AA92" i="3"/>
  <c r="AB92" i="3"/>
  <c r="AE92" i="3" s="1"/>
  <c r="X92" i="3"/>
  <c r="Y92" i="3"/>
  <c r="Z92" i="3"/>
  <c r="K132" i="3"/>
  <c r="O132" i="3"/>
  <c r="J132" i="3"/>
  <c r="L132" i="3"/>
  <c r="M132" i="3"/>
  <c r="AC92" i="3" l="1"/>
  <c r="AF92" i="3" s="1"/>
  <c r="P132" i="3"/>
  <c r="I133" i="3" s="1"/>
  <c r="O133" i="3" s="1"/>
  <c r="V93" i="3" l="1"/>
  <c r="L133" i="3"/>
  <c r="K133" i="3"/>
  <c r="M133" i="3"/>
  <c r="J133" i="3"/>
  <c r="N133" i="3"/>
  <c r="X93" i="3" l="1"/>
  <c r="W93" i="3"/>
  <c r="AB93" i="3"/>
  <c r="AE93" i="3" s="1"/>
  <c r="Z93" i="3"/>
  <c r="Y93" i="3"/>
  <c r="AA93" i="3"/>
  <c r="P133" i="3"/>
  <c r="I134" i="3" s="1"/>
  <c r="J134" i="3" s="1"/>
  <c r="AC93" i="3" l="1"/>
  <c r="M134" i="3"/>
  <c r="L134" i="3"/>
  <c r="N134" i="3"/>
  <c r="O134" i="3"/>
  <c r="K134" i="3"/>
  <c r="AF93" i="3" l="1"/>
  <c r="V94" i="3"/>
  <c r="P134" i="3"/>
  <c r="I135" i="3" s="1"/>
  <c r="J135" i="3" s="1"/>
  <c r="K135" i="3" l="1"/>
  <c r="N135" i="3"/>
  <c r="M135" i="3"/>
  <c r="O135" i="3"/>
  <c r="L135" i="3"/>
  <c r="X94" i="3"/>
  <c r="W94" i="3"/>
  <c r="AB94" i="3"/>
  <c r="AE94" i="3" s="1"/>
  <c r="Z94" i="3"/>
  <c r="Y94" i="3"/>
  <c r="AA94" i="3"/>
  <c r="P135" i="3" l="1"/>
  <c r="I136" i="3" s="1"/>
  <c r="J136" i="3" s="1"/>
  <c r="O136" i="3"/>
  <c r="M136" i="3"/>
  <c r="AC94" i="3"/>
  <c r="K136" i="3" l="1"/>
  <c r="L136" i="3"/>
  <c r="N136" i="3"/>
  <c r="P136" i="3" s="1"/>
  <c r="I137" i="3" s="1"/>
  <c r="V95" i="3"/>
  <c r="AF94" i="3"/>
  <c r="O137" i="3" l="1"/>
  <c r="L137" i="3"/>
  <c r="K137" i="3"/>
  <c r="M137" i="3"/>
  <c r="J137" i="3"/>
  <c r="N137" i="3"/>
  <c r="P137" i="3" s="1"/>
  <c r="I138" i="3" s="1"/>
  <c r="N138" i="3" s="1"/>
  <c r="Z95" i="3"/>
  <c r="AA95" i="3"/>
  <c r="X95" i="3"/>
  <c r="AB95" i="3"/>
  <c r="W95" i="3"/>
  <c r="Y95" i="3"/>
  <c r="AC95" i="3" l="1"/>
  <c r="AF95" i="3" s="1"/>
  <c r="V96" i="3"/>
  <c r="AA96" i="3" s="1"/>
  <c r="AE95" i="3"/>
  <c r="L138" i="3"/>
  <c r="O138" i="3"/>
  <c r="K138" i="3"/>
  <c r="M138" i="3"/>
  <c r="J138" i="3"/>
  <c r="Y96" i="3" l="1"/>
  <c r="W96" i="3"/>
  <c r="AB96" i="3"/>
  <c r="AE96" i="3" s="1"/>
  <c r="Z96" i="3"/>
  <c r="X96" i="3"/>
  <c r="P138" i="3"/>
  <c r="I139" i="3" s="1"/>
  <c r="L139" i="3" s="1"/>
  <c r="AC96" i="3" l="1"/>
  <c r="AF96" i="3" s="1"/>
  <c r="J139" i="3"/>
  <c r="N139" i="3"/>
  <c r="O139" i="3"/>
  <c r="K139" i="3"/>
  <c r="M139" i="3"/>
  <c r="V97" i="3" l="1"/>
  <c r="X97" i="3" s="1"/>
  <c r="Z97" i="3"/>
  <c r="W97" i="3"/>
  <c r="Y97" i="3"/>
  <c r="P139" i="3"/>
  <c r="I140" i="3" s="1"/>
  <c r="K140" i="3" s="1"/>
  <c r="AA97" i="3" l="1"/>
  <c r="AB97" i="3"/>
  <c r="AE97" i="3" s="1"/>
  <c r="L140" i="3"/>
  <c r="J140" i="3"/>
  <c r="N140" i="3"/>
  <c r="M140" i="3"/>
  <c r="O140" i="3"/>
  <c r="AC97" i="3" l="1"/>
  <c r="V98" i="3" s="1"/>
  <c r="Z98" i="3" s="1"/>
  <c r="P140" i="3"/>
  <c r="I141" i="3" s="1"/>
  <c r="O141" i="3" s="1"/>
  <c r="AA98" i="3"/>
  <c r="AB98" i="3"/>
  <c r="AE98" i="3" s="1"/>
  <c r="Y98" i="3" l="1"/>
  <c r="X98" i="3"/>
  <c r="W98" i="3"/>
  <c r="AC98" i="3" s="1"/>
  <c r="AF98" i="3" s="1"/>
  <c r="AF97" i="3"/>
  <c r="N141" i="3"/>
  <c r="J141" i="3"/>
  <c r="L141" i="3"/>
  <c r="K141" i="3"/>
  <c r="M141" i="3"/>
  <c r="P141" i="3" l="1"/>
  <c r="I142" i="3" s="1"/>
  <c r="J142" i="3" s="1"/>
  <c r="V99" i="3"/>
  <c r="AA99" i="3" s="1"/>
  <c r="Z99" i="3"/>
  <c r="X99" i="3"/>
  <c r="AB99" i="3"/>
  <c r="AE99" i="3" s="1"/>
  <c r="O142" i="3"/>
  <c r="N142" i="3"/>
  <c r="Y99" i="3"/>
  <c r="L142" i="3"/>
  <c r="M142" i="3"/>
  <c r="K142" i="3"/>
  <c r="W99" i="3" l="1"/>
  <c r="AC99" i="3" s="1"/>
  <c r="P142" i="3"/>
  <c r="I143" i="3" s="1"/>
  <c r="J143" i="3" s="1"/>
  <c r="O143" i="3"/>
  <c r="M143" i="3"/>
  <c r="L143" i="3"/>
  <c r="K143" i="3" l="1"/>
  <c r="V100" i="3"/>
  <c r="Y100" i="3" s="1"/>
  <c r="AF99" i="3"/>
  <c r="X100" i="3"/>
  <c r="W100" i="3"/>
  <c r="Z100" i="3"/>
  <c r="AA100" i="3"/>
  <c r="N143" i="3"/>
  <c r="P143" i="3" s="1"/>
  <c r="I144" i="3" s="1"/>
  <c r="N144" i="3" s="1"/>
  <c r="AB100" i="3" l="1"/>
  <c r="AE100" i="3" s="1"/>
  <c r="O144" i="3"/>
  <c r="J144" i="3"/>
  <c r="L144" i="3"/>
  <c r="M144" i="3"/>
  <c r="K144" i="3"/>
  <c r="AC100" i="3" l="1"/>
  <c r="P144" i="3"/>
  <c r="I145" i="3" s="1"/>
  <c r="N145" i="3" s="1"/>
  <c r="M145" i="3"/>
  <c r="K145" i="3"/>
  <c r="J145" i="3"/>
  <c r="L145" i="3"/>
  <c r="O145" i="3" l="1"/>
  <c r="AF100" i="3"/>
  <c r="V101" i="3"/>
  <c r="P145" i="3"/>
  <c r="I146" i="3" s="1"/>
  <c r="L146" i="3" s="1"/>
  <c r="X101" i="3" l="1"/>
  <c r="AA101" i="3"/>
  <c r="Y101" i="3"/>
  <c r="Z101" i="3"/>
  <c r="AB101" i="3"/>
  <c r="AE101" i="3" s="1"/>
  <c r="W101" i="3"/>
  <c r="M146" i="3"/>
  <c r="J146" i="3"/>
  <c r="N146" i="3"/>
  <c r="O146" i="3"/>
  <c r="K146" i="3"/>
  <c r="AC101" i="3" l="1"/>
  <c r="V102" i="3" s="1"/>
  <c r="Z102" i="3" s="1"/>
  <c r="AB102" i="3"/>
  <c r="AE102" i="3" s="1"/>
  <c r="Y102" i="3"/>
  <c r="W102" i="3"/>
  <c r="AA102" i="3"/>
  <c r="P146" i="3"/>
  <c r="I147" i="3" s="1"/>
  <c r="O147" i="3" s="1"/>
  <c r="X102" i="3" l="1"/>
  <c r="AF101" i="3"/>
  <c r="AC102" i="3"/>
  <c r="AF102" i="3" s="1"/>
  <c r="K147" i="3"/>
  <c r="J147" i="3"/>
  <c r="L147" i="3"/>
  <c r="M147" i="3"/>
  <c r="N147" i="3"/>
  <c r="V103" i="3" l="1"/>
  <c r="P147" i="3"/>
  <c r="I148" i="3" s="1"/>
  <c r="O148" i="3" s="1"/>
  <c r="X103" i="3"/>
  <c r="AB103" i="3"/>
  <c r="AE103" i="3" s="1"/>
  <c r="Z103" i="3"/>
  <c r="AA103" i="3"/>
  <c r="Y103" i="3"/>
  <c r="W103" i="3"/>
  <c r="L148" i="3" l="1"/>
  <c r="K148" i="3"/>
  <c r="J148" i="3"/>
  <c r="N148" i="3"/>
  <c r="M148" i="3"/>
  <c r="P148" i="3" s="1"/>
  <c r="I149" i="3" s="1"/>
  <c r="N149" i="3" s="1"/>
  <c r="AC103" i="3"/>
  <c r="AF103" i="3" l="1"/>
  <c r="V104" i="3"/>
  <c r="O149" i="3"/>
  <c r="K149" i="3"/>
  <c r="L149" i="3"/>
  <c r="M149" i="3"/>
  <c r="J149" i="3"/>
  <c r="P149" i="3" l="1"/>
  <c r="I150" i="3" s="1"/>
  <c r="M150" i="3" s="1"/>
  <c r="AB104" i="3"/>
  <c r="AE104" i="3" s="1"/>
  <c r="Z104" i="3"/>
  <c r="AA104" i="3"/>
  <c r="W104" i="3"/>
  <c r="Y104" i="3"/>
  <c r="X104" i="3"/>
  <c r="L150" i="3"/>
  <c r="O150" i="3"/>
  <c r="N150" i="3"/>
  <c r="K150" i="3"/>
  <c r="J150" i="3"/>
  <c r="AC104" i="3" l="1"/>
  <c r="P150" i="3"/>
  <c r="I151" i="3" s="1"/>
  <c r="M151" i="3" s="1"/>
  <c r="V105" i="3" l="1"/>
  <c r="AF104" i="3"/>
  <c r="L151" i="3"/>
  <c r="K151" i="3"/>
  <c r="O151" i="3"/>
  <c r="N151" i="3"/>
  <c r="J151" i="3"/>
  <c r="W105" i="3" l="1"/>
  <c r="Z105" i="3"/>
  <c r="AB105" i="3"/>
  <c r="X105" i="3"/>
  <c r="AA105" i="3"/>
  <c r="Y105" i="3"/>
  <c r="P151" i="3"/>
  <c r="I152" i="3" s="1"/>
  <c r="L152" i="3" s="1"/>
  <c r="AC105" i="3" l="1"/>
  <c r="V106" i="3" s="1"/>
  <c r="AE105" i="3"/>
  <c r="M152" i="3"/>
  <c r="K152" i="3"/>
  <c r="J152" i="3"/>
  <c r="O152" i="3"/>
  <c r="N152" i="3"/>
  <c r="AF105" i="3" l="1"/>
  <c r="AA106" i="3"/>
  <c r="Y106" i="3"/>
  <c r="Z106" i="3"/>
  <c r="X106" i="3"/>
  <c r="AB106" i="3"/>
  <c r="W106" i="3"/>
  <c r="P152" i="3"/>
  <c r="I153" i="3" s="1"/>
  <c r="K153" i="3" s="1"/>
  <c r="AC106" i="3" l="1"/>
  <c r="N153" i="3"/>
  <c r="AE106" i="3"/>
  <c r="O153" i="3"/>
  <c r="J153" i="3"/>
  <c r="L153" i="3"/>
  <c r="M153" i="3"/>
  <c r="V107" i="3" l="1"/>
  <c r="AF106" i="3"/>
  <c r="P153" i="3"/>
  <c r="I154" i="3" s="1"/>
  <c r="N154" i="3" s="1"/>
  <c r="O154" i="3" l="1"/>
  <c r="M154" i="3"/>
  <c r="K154" i="3"/>
  <c r="L154" i="3"/>
  <c r="J154" i="3"/>
  <c r="AB107" i="3"/>
  <c r="AE107" i="3" s="1"/>
  <c r="X107" i="3"/>
  <c r="W107" i="3"/>
  <c r="Z107" i="3"/>
  <c r="Y107" i="3"/>
  <c r="AA107" i="3"/>
  <c r="P154" i="3" l="1"/>
  <c r="I155" i="3" s="1"/>
  <c r="L155" i="3" s="1"/>
  <c r="AC107" i="3"/>
  <c r="AF107" i="3" s="1"/>
  <c r="M155" i="3"/>
  <c r="O155" i="3"/>
  <c r="J155" i="3" l="1"/>
  <c r="N155" i="3"/>
  <c r="K155" i="3"/>
  <c r="V108" i="3"/>
  <c r="AA108" i="3" s="1"/>
  <c r="AB108" i="3"/>
  <c r="X108" i="3"/>
  <c r="P155" i="3"/>
  <c r="I156" i="3" s="1"/>
  <c r="N156" i="3" s="1"/>
  <c r="W108" i="3" l="1"/>
  <c r="Y108" i="3"/>
  <c r="Z108" i="3"/>
  <c r="AC108" i="3" s="1"/>
  <c r="AE108" i="3"/>
  <c r="M156" i="3"/>
  <c r="O156" i="3"/>
  <c r="K156" i="3"/>
  <c r="J156" i="3"/>
  <c r="L156" i="3"/>
  <c r="V109" i="3" l="1"/>
  <c r="AF108" i="3"/>
  <c r="P156" i="3"/>
  <c r="I157" i="3" s="1"/>
  <c r="K157" i="3" s="1"/>
  <c r="W109" i="3" l="1"/>
  <c r="AB109" i="3"/>
  <c r="AE109" i="3" s="1"/>
  <c r="Z109" i="3"/>
  <c r="X109" i="3"/>
  <c r="AA109" i="3"/>
  <c r="Y109" i="3"/>
  <c r="M157" i="3"/>
  <c r="N157" i="3"/>
  <c r="L157" i="3"/>
  <c r="O157" i="3"/>
  <c r="J157" i="3"/>
  <c r="AC109" i="3" l="1"/>
  <c r="V110" i="3" s="1"/>
  <c r="AA110" i="3" s="1"/>
  <c r="P157" i="3"/>
  <c r="I158" i="3" s="1"/>
  <c r="J158" i="3" s="1"/>
  <c r="AF109" i="3" l="1"/>
  <c r="AB110" i="3"/>
  <c r="AE110" i="3" s="1"/>
  <c r="W110" i="3"/>
  <c r="Z110" i="3"/>
  <c r="Y110" i="3"/>
  <c r="X110" i="3"/>
  <c r="N158" i="3"/>
  <c r="M158" i="3"/>
  <c r="L158" i="3"/>
  <c r="K158" i="3"/>
  <c r="O158" i="3"/>
  <c r="AC110" i="3" l="1"/>
  <c r="P158" i="3"/>
  <c r="I159" i="3" s="1"/>
  <c r="N159" i="3" s="1"/>
  <c r="J159" i="3" l="1"/>
  <c r="M159" i="3"/>
  <c r="O159" i="3"/>
  <c r="K159" i="3"/>
  <c r="L159" i="3"/>
  <c r="AF110" i="3"/>
  <c r="V111" i="3"/>
  <c r="P159" i="3" l="1"/>
  <c r="I160" i="3" s="1"/>
  <c r="J160" i="3" s="1"/>
  <c r="AB111" i="3"/>
  <c r="AE111" i="3" s="1"/>
  <c r="W111" i="3"/>
  <c r="X111" i="3"/>
  <c r="AA111" i="3"/>
  <c r="Y111" i="3"/>
  <c r="Z111" i="3"/>
  <c r="O160" i="3" l="1"/>
  <c r="K160" i="3"/>
  <c r="N160" i="3"/>
  <c r="M160" i="3"/>
  <c r="L160" i="3"/>
  <c r="AC111" i="3"/>
  <c r="P160" i="3" l="1"/>
  <c r="I161" i="3" s="1"/>
  <c r="J161" i="3" s="1"/>
  <c r="AF111" i="3"/>
  <c r="V112" i="3"/>
  <c r="O161" i="3" l="1"/>
  <c r="K161" i="3"/>
  <c r="N161" i="3"/>
  <c r="L161" i="3"/>
  <c r="M161" i="3"/>
  <c r="P161" i="3" s="1"/>
  <c r="I162" i="3" s="1"/>
  <c r="M162" i="3" s="1"/>
  <c r="Y112" i="3"/>
  <c r="X112" i="3"/>
  <c r="W112" i="3"/>
  <c r="Z112" i="3"/>
  <c r="AA112" i="3"/>
  <c r="AB112" i="3"/>
  <c r="N162" i="3" l="1"/>
  <c r="O162" i="3"/>
  <c r="L162" i="3"/>
  <c r="K162" i="3"/>
  <c r="J162" i="3"/>
  <c r="AC112" i="3"/>
  <c r="V113" i="3" s="1"/>
  <c r="Y113" i="3" s="1"/>
  <c r="AE112" i="3"/>
  <c r="AF112" i="3" l="1"/>
  <c r="P162" i="3"/>
  <c r="I163" i="3" s="1"/>
  <c r="M163" i="3" s="1"/>
  <c r="AA113" i="3"/>
  <c r="AB113" i="3"/>
  <c r="W113" i="3"/>
  <c r="X113" i="3"/>
  <c r="Z113" i="3"/>
  <c r="L163" i="3" l="1"/>
  <c r="K163" i="3"/>
  <c r="J163" i="3"/>
  <c r="O163" i="3"/>
  <c r="N163" i="3"/>
  <c r="AC113" i="3"/>
  <c r="V114" i="3" s="1"/>
  <c r="AA114" i="3" s="1"/>
  <c r="AE113" i="3"/>
  <c r="AF113" i="3" l="1"/>
  <c r="P163" i="3"/>
  <c r="I164" i="3" s="1"/>
  <c r="N164" i="3" s="1"/>
  <c r="Y114" i="3"/>
  <c r="AB114" i="3"/>
  <c r="AE114" i="3" s="1"/>
  <c r="X114" i="3"/>
  <c r="Z114" i="3"/>
  <c r="W114" i="3"/>
  <c r="M164" i="3" l="1"/>
  <c r="K164" i="3"/>
  <c r="O164" i="3"/>
  <c r="J164" i="3"/>
  <c r="L164" i="3"/>
  <c r="AC114" i="3"/>
  <c r="V115" i="3" s="1"/>
  <c r="P164" i="3" l="1"/>
  <c r="I165" i="3" s="1"/>
  <c r="J165" i="3" s="1"/>
  <c r="O165" i="3"/>
  <c r="K165" i="3"/>
  <c r="M165" i="3"/>
  <c r="N165" i="3"/>
  <c r="L165" i="3"/>
  <c r="AF114" i="3"/>
  <c r="W115" i="3"/>
  <c r="Y115" i="3"/>
  <c r="Z115" i="3"/>
  <c r="AB115" i="3"/>
  <c r="X115" i="3"/>
  <c r="AA115" i="3"/>
  <c r="P165" i="3" l="1"/>
  <c r="I166" i="3" s="1"/>
  <c r="N166" i="3" s="1"/>
  <c r="AC115" i="3"/>
  <c r="V116" i="3" s="1"/>
  <c r="Y116" i="3" s="1"/>
  <c r="AE115" i="3"/>
  <c r="L166" i="3" l="1"/>
  <c r="O166" i="3"/>
  <c r="K166" i="3"/>
  <c r="J166" i="3"/>
  <c r="M166" i="3"/>
  <c r="AF115" i="3"/>
  <c r="AB116" i="3"/>
  <c r="W116" i="3"/>
  <c r="X116" i="3"/>
  <c r="AA116" i="3"/>
  <c r="Z116" i="3"/>
  <c r="P166" i="3" l="1"/>
  <c r="I167" i="3" s="1"/>
  <c r="K167" i="3" s="1"/>
  <c r="O167" i="3"/>
  <c r="N167" i="3"/>
  <c r="J167" i="3"/>
  <c r="L167" i="3"/>
  <c r="M167" i="3"/>
  <c r="AC116" i="3"/>
  <c r="AE116" i="3"/>
  <c r="P167" i="3" l="1"/>
  <c r="I168" i="3" s="1"/>
  <c r="L168" i="3" s="1"/>
  <c r="M168" i="3"/>
  <c r="AF116" i="3"/>
  <c r="V117" i="3"/>
  <c r="K168" i="3" l="1"/>
  <c r="N168" i="3"/>
  <c r="O168" i="3"/>
  <c r="J168" i="3"/>
  <c r="Y117" i="3"/>
  <c r="AB117" i="3"/>
  <c r="AE117" i="3" s="1"/>
  <c r="Z117" i="3"/>
  <c r="X117" i="3"/>
  <c r="W117" i="3"/>
  <c r="AA117" i="3"/>
  <c r="P168" i="3" l="1"/>
  <c r="I169" i="3" s="1"/>
  <c r="J169" i="3" s="1"/>
  <c r="M169" i="3"/>
  <c r="L169" i="3"/>
  <c r="O169" i="3"/>
  <c r="N169" i="3"/>
  <c r="K169" i="3"/>
  <c r="AC117" i="3"/>
  <c r="V118" i="3" s="1"/>
  <c r="P169" i="3" l="1"/>
  <c r="I170" i="3" s="1"/>
  <c r="L170" i="3" s="1"/>
  <c r="N170" i="3"/>
  <c r="AF117" i="3"/>
  <c r="Y118" i="3"/>
  <c r="AB118" i="3"/>
  <c r="X118" i="3"/>
  <c r="W118" i="3"/>
  <c r="Z118" i="3"/>
  <c r="AA118" i="3"/>
  <c r="O170" i="3" l="1"/>
  <c r="K170" i="3"/>
  <c r="J170" i="3"/>
  <c r="M170" i="3"/>
  <c r="P170" i="3" s="1"/>
  <c r="I171" i="3" s="1"/>
  <c r="K171" i="3" s="1"/>
  <c r="AC118" i="3"/>
  <c r="AF118" i="3" s="1"/>
  <c r="AE118" i="3"/>
  <c r="O171" i="3" l="1"/>
  <c r="M171" i="3"/>
  <c r="L171" i="3"/>
  <c r="J171" i="3"/>
  <c r="N171" i="3"/>
  <c r="V119" i="3"/>
  <c r="AA119" i="3" s="1"/>
  <c r="P171" i="3" l="1"/>
  <c r="I172" i="3" s="1"/>
  <c r="Y119" i="3"/>
  <c r="Z119" i="3"/>
  <c r="J172" i="3"/>
  <c r="L172" i="3"/>
  <c r="M172" i="3"/>
  <c r="O172" i="3"/>
  <c r="K172" i="3"/>
  <c r="N172" i="3"/>
  <c r="X119" i="3"/>
  <c r="AB119" i="3"/>
  <c r="AE119" i="3" s="1"/>
  <c r="W119" i="3"/>
  <c r="AC119" i="3" l="1"/>
  <c r="AF119" i="3" s="1"/>
  <c r="P172" i="3"/>
  <c r="I173" i="3" s="1"/>
  <c r="V120" i="3"/>
  <c r="W120" i="3" s="1"/>
  <c r="M173" i="3" l="1"/>
  <c r="J173" i="3"/>
  <c r="K173" i="3"/>
  <c r="N173" i="3"/>
  <c r="O173" i="3"/>
  <c r="L173" i="3"/>
  <c r="AB120" i="3"/>
  <c r="AE120" i="3" s="1"/>
  <c r="AA120" i="3"/>
  <c r="X120" i="3"/>
  <c r="Y120" i="3"/>
  <c r="Z120" i="3"/>
  <c r="P173" i="3" l="1"/>
  <c r="I174" i="3" s="1"/>
  <c r="AC120" i="3"/>
  <c r="AF120" i="3" s="1"/>
  <c r="V121" i="3" l="1"/>
  <c r="L174" i="3"/>
  <c r="M174" i="3"/>
  <c r="K174" i="3"/>
  <c r="J174" i="3"/>
  <c r="O174" i="3"/>
  <c r="N174" i="3"/>
  <c r="AA121" i="3"/>
  <c r="X121" i="3"/>
  <c r="Y121" i="3"/>
  <c r="W121" i="3"/>
  <c r="AB121" i="3"/>
  <c r="Z121" i="3"/>
  <c r="P174" i="3" l="1"/>
  <c r="I175" i="3" s="1"/>
  <c r="AC121" i="3"/>
  <c r="AF121" i="3" s="1"/>
  <c r="AE121" i="3"/>
  <c r="L175" i="3" l="1"/>
  <c r="O175" i="3"/>
  <c r="K175" i="3"/>
  <c r="J175" i="3"/>
  <c r="N175" i="3"/>
  <c r="M175" i="3"/>
  <c r="V122" i="3"/>
  <c r="AB122" i="3" s="1"/>
  <c r="AE122" i="3" s="1"/>
  <c r="Z122" i="3" l="1"/>
  <c r="W122" i="3"/>
  <c r="X122" i="3"/>
  <c r="P175" i="3"/>
  <c r="I176" i="3" s="1"/>
  <c r="AA122" i="3"/>
  <c r="Y122" i="3"/>
  <c r="AC122" i="3" l="1"/>
  <c r="L176" i="3"/>
  <c r="O176" i="3"/>
  <c r="K176" i="3"/>
  <c r="N176" i="3"/>
  <c r="J176" i="3"/>
  <c r="M176" i="3"/>
  <c r="V123" i="3"/>
  <c r="AA123" i="3" s="1"/>
  <c r="AF122" i="3"/>
  <c r="X123" i="3" l="1"/>
  <c r="Y123" i="3"/>
  <c r="Z123" i="3"/>
  <c r="AB123" i="3"/>
  <c r="AE123" i="3" s="1"/>
  <c r="W123" i="3"/>
  <c r="P176" i="3"/>
  <c r="I177" i="3" s="1"/>
  <c r="N177" i="3" s="1"/>
  <c r="M177" i="3" l="1"/>
  <c r="AC123" i="3"/>
  <c r="K177" i="3"/>
  <c r="J177" i="3"/>
  <c r="O177" i="3"/>
  <c r="L177" i="3"/>
  <c r="AF123" i="3"/>
  <c r="V124" i="3"/>
  <c r="P177" i="3" l="1"/>
  <c r="I178" i="3" s="1"/>
  <c r="J178" i="3" s="1"/>
  <c r="M178" i="3"/>
  <c r="O178" i="3"/>
  <c r="K178" i="3"/>
  <c r="L178" i="3"/>
  <c r="N178" i="3"/>
  <c r="AA124" i="3"/>
  <c r="Y124" i="3"/>
  <c r="X124" i="3"/>
  <c r="AB124" i="3"/>
  <c r="AE124" i="3" s="1"/>
  <c r="W124" i="3"/>
  <c r="Z124" i="3"/>
  <c r="P178" i="3" l="1"/>
  <c r="I179" i="3" s="1"/>
  <c r="L179" i="3" s="1"/>
  <c r="O179" i="3"/>
  <c r="K179" i="3"/>
  <c r="N179" i="3"/>
  <c r="M179" i="3"/>
  <c r="AC124" i="3"/>
  <c r="AF124" i="3" s="1"/>
  <c r="J179" i="3" l="1"/>
  <c r="P179" i="3" s="1"/>
  <c r="I180" i="3" s="1"/>
  <c r="V125" i="3"/>
  <c r="AA125" i="3" s="1"/>
  <c r="N180" i="3" l="1"/>
  <c r="L180" i="3"/>
  <c r="K180" i="3"/>
  <c r="J180" i="3"/>
  <c r="O180" i="3"/>
  <c r="M180" i="3"/>
  <c r="Y125" i="3"/>
  <c r="W125" i="3"/>
  <c r="X125" i="3"/>
  <c r="AB125" i="3"/>
  <c r="AE125" i="3" s="1"/>
  <c r="Z125" i="3"/>
  <c r="P180" i="3" l="1"/>
  <c r="I181" i="3" s="1"/>
  <c r="J181" i="3" s="1"/>
  <c r="O181" i="3"/>
  <c r="K181" i="3"/>
  <c r="N181" i="3"/>
  <c r="M181" i="3"/>
  <c r="AC125" i="3"/>
  <c r="AF125" i="3" s="1"/>
  <c r="L181" i="3" l="1"/>
  <c r="P181" i="3" s="1"/>
  <c r="I182" i="3" s="1"/>
  <c r="V126" i="3"/>
  <c r="Y126" i="3" s="1"/>
  <c r="Z126" i="3"/>
  <c r="J182" i="3" l="1"/>
  <c r="O182" i="3"/>
  <c r="L182" i="3"/>
  <c r="N182" i="3"/>
  <c r="K182" i="3"/>
  <c r="M182" i="3"/>
  <c r="P182" i="3" s="1"/>
  <c r="I183" i="3" s="1"/>
  <c r="AA126" i="3"/>
  <c r="W126" i="3"/>
  <c r="X126" i="3"/>
  <c r="AB126" i="3"/>
  <c r="AE126" i="3" s="1"/>
  <c r="L183" i="3" l="1"/>
  <c r="J183" i="3"/>
  <c r="O183" i="3"/>
  <c r="M183" i="3"/>
  <c r="K183" i="3"/>
  <c r="N183" i="3"/>
  <c r="AC126" i="3"/>
  <c r="V127" i="3" s="1"/>
  <c r="AF126" i="3" l="1"/>
  <c r="P183" i="3"/>
  <c r="I184" i="3" s="1"/>
  <c r="N184" i="3" s="1"/>
  <c r="AA127" i="3"/>
  <c r="Z127" i="3"/>
  <c r="X127" i="3"/>
  <c r="AB127" i="3"/>
  <c r="AE127" i="3" s="1"/>
  <c r="Y127" i="3"/>
  <c r="W127" i="3"/>
  <c r="K184" i="3" l="1"/>
  <c r="M184" i="3"/>
  <c r="J184" i="3"/>
  <c r="L184" i="3"/>
  <c r="O184" i="3"/>
  <c r="N185" i="3" s="1"/>
  <c r="AC127" i="3"/>
  <c r="AF127" i="3" s="1"/>
  <c r="P184" i="3"/>
  <c r="I185" i="3" s="1"/>
  <c r="M185" i="3" s="1"/>
  <c r="O185" i="3" l="1"/>
  <c r="V128" i="3"/>
  <c r="Z128" i="3" s="1"/>
  <c r="L185" i="3"/>
  <c r="J185" i="3"/>
  <c r="K185" i="3"/>
  <c r="AB128" i="3"/>
  <c r="AE128" i="3" s="1"/>
  <c r="X128" i="3"/>
  <c r="W128" i="3"/>
  <c r="AA128" i="3"/>
  <c r="Y128" i="3"/>
  <c r="P185" i="3" l="1"/>
  <c r="I186" i="3" s="1"/>
  <c r="J186" i="3" s="1"/>
  <c r="AC128" i="3"/>
  <c r="L186" i="3"/>
  <c r="N186" i="3" l="1"/>
  <c r="O186" i="3"/>
  <c r="M186" i="3"/>
  <c r="K186" i="3"/>
  <c r="AF128" i="3"/>
  <c r="V129" i="3"/>
  <c r="P186" i="3"/>
  <c r="I187" i="3" s="1"/>
  <c r="M187" i="3" s="1"/>
  <c r="O187" i="3" l="1"/>
  <c r="AA129" i="3"/>
  <c r="W129" i="3"/>
  <c r="X129" i="3"/>
  <c r="AB129" i="3"/>
  <c r="AE129" i="3" s="1"/>
  <c r="Y129" i="3"/>
  <c r="Z129" i="3"/>
  <c r="J187" i="3"/>
  <c r="K187" i="3"/>
  <c r="N187" i="3"/>
  <c r="L187" i="3"/>
  <c r="AC129" i="3" l="1"/>
  <c r="V130" i="3" s="1"/>
  <c r="P187" i="3"/>
  <c r="I188" i="3" s="1"/>
  <c r="J188" i="3" s="1"/>
  <c r="AF129" i="3" l="1"/>
  <c r="AB130" i="3"/>
  <c r="AA130" i="3"/>
  <c r="X130" i="3"/>
  <c r="Z130" i="3"/>
  <c r="M188" i="3"/>
  <c r="O188" i="3"/>
  <c r="W130" i="3"/>
  <c r="K188" i="3"/>
  <c r="L188" i="3"/>
  <c r="Y130" i="3"/>
  <c r="N188" i="3"/>
  <c r="AE130" i="3"/>
  <c r="AC130" i="3" l="1"/>
  <c r="P188" i="3"/>
  <c r="I189" i="3" s="1"/>
  <c r="K189" i="3" s="1"/>
  <c r="AF130" i="3"/>
  <c r="V131" i="3"/>
  <c r="Y131" i="3" s="1"/>
  <c r="M189" i="3"/>
  <c r="L189" i="3"/>
  <c r="O189" i="3" l="1"/>
  <c r="J189" i="3"/>
  <c r="N189" i="3"/>
  <c r="Z131" i="3"/>
  <c r="AB131" i="3"/>
  <c r="AE131" i="3" s="1"/>
  <c r="AA131" i="3"/>
  <c r="X131" i="3"/>
  <c r="P189" i="3"/>
  <c r="I190" i="3" s="1"/>
  <c r="J190" i="3" s="1"/>
  <c r="W131" i="3"/>
  <c r="AC131" i="3" l="1"/>
  <c r="AF131" i="3" s="1"/>
  <c r="N190" i="3"/>
  <c r="L190" i="3"/>
  <c r="M190" i="3"/>
  <c r="K190" i="3"/>
  <c r="O190" i="3"/>
  <c r="V132" i="3"/>
  <c r="Z132" i="3" s="1"/>
  <c r="P190" i="3" l="1"/>
  <c r="I191" i="3" s="1"/>
  <c r="M191" i="3" s="1"/>
  <c r="X132" i="3"/>
  <c r="W132" i="3"/>
  <c r="AB132" i="3"/>
  <c r="AE132" i="3" s="1"/>
  <c r="N191" i="3"/>
  <c r="Y132" i="3"/>
  <c r="AA132" i="3"/>
  <c r="K191" i="3"/>
  <c r="O191" i="3"/>
  <c r="L191" i="3" l="1"/>
  <c r="J191" i="3"/>
  <c r="P191" i="3" s="1"/>
  <c r="I192" i="3" s="1"/>
  <c r="M192" i="3" s="1"/>
  <c r="AC132" i="3"/>
  <c r="V133" i="3" s="1"/>
  <c r="W133" i="3" s="1"/>
  <c r="X133" i="3" l="1"/>
  <c r="Y133" i="3"/>
  <c r="AA133" i="3"/>
  <c r="AF132" i="3"/>
  <c r="Z133" i="3"/>
  <c r="AB133" i="3"/>
  <c r="AE133" i="3" s="1"/>
  <c r="L192" i="3"/>
  <c r="O192" i="3"/>
  <c r="J192" i="3"/>
  <c r="K192" i="3"/>
  <c r="N192" i="3"/>
  <c r="AC133" i="3" l="1"/>
  <c r="P192" i="3"/>
  <c r="I193" i="3" s="1"/>
  <c r="J193" i="3" s="1"/>
  <c r="AF133" i="3"/>
  <c r="V134" i="3"/>
  <c r="L193" i="3" l="1"/>
  <c r="N193" i="3"/>
  <c r="O193" i="3"/>
  <c r="K193" i="3"/>
  <c r="M193" i="3"/>
  <c r="AA134" i="3"/>
  <c r="AB134" i="3"/>
  <c r="AE134" i="3" s="1"/>
  <c r="Z134" i="3"/>
  <c r="X134" i="3"/>
  <c r="W134" i="3"/>
  <c r="Y134" i="3"/>
  <c r="P193" i="3" l="1"/>
  <c r="I194" i="3" s="1"/>
  <c r="N194" i="3" s="1"/>
  <c r="O194" i="3"/>
  <c r="M194" i="3"/>
  <c r="K194" i="3"/>
  <c r="L194" i="3"/>
  <c r="J194" i="3"/>
  <c r="AC134" i="3"/>
  <c r="AF134" i="3" s="1"/>
  <c r="P194" i="3" l="1"/>
  <c r="I195" i="3" s="1"/>
  <c r="N195" i="3" s="1"/>
  <c r="V135" i="3"/>
  <c r="Y135" i="3" s="1"/>
  <c r="O195" i="3"/>
  <c r="K195" i="3"/>
  <c r="L195" i="3"/>
  <c r="J195" i="3"/>
  <c r="M195" i="3"/>
  <c r="W135" i="3"/>
  <c r="AA135" i="3" l="1"/>
  <c r="X135" i="3"/>
  <c r="Z135" i="3"/>
  <c r="AB135" i="3"/>
  <c r="AE135" i="3" s="1"/>
  <c r="P195" i="3"/>
  <c r="I196" i="3" s="1"/>
  <c r="L196" i="3" s="1"/>
  <c r="AC135" i="3" l="1"/>
  <c r="N196" i="3"/>
  <c r="M196" i="3"/>
  <c r="J196" i="3"/>
  <c r="K196" i="3"/>
  <c r="O196" i="3"/>
  <c r="V136" i="3"/>
  <c r="AF135" i="3"/>
  <c r="P196" i="3" l="1"/>
  <c r="I197" i="3" s="1"/>
  <c r="N197" i="3" s="1"/>
  <c r="X136" i="3"/>
  <c r="AA136" i="3"/>
  <c r="AB136" i="3"/>
  <c r="AE136" i="3" s="1"/>
  <c r="Y136" i="3"/>
  <c r="W136" i="3"/>
  <c r="Z136" i="3"/>
  <c r="O197" i="3" l="1"/>
  <c r="K197" i="3"/>
  <c r="M197" i="3"/>
  <c r="J197" i="3"/>
  <c r="L197" i="3"/>
  <c r="AC136" i="3"/>
  <c r="V137" i="3" s="1"/>
  <c r="AA137" i="3" s="1"/>
  <c r="P197" i="3" l="1"/>
  <c r="I198" i="3" s="1"/>
  <c r="N198" i="3" s="1"/>
  <c r="O198" i="3"/>
  <c r="X137" i="3"/>
  <c r="Z137" i="3"/>
  <c r="AB137" i="3"/>
  <c r="AE137" i="3" s="1"/>
  <c r="W137" i="3"/>
  <c r="Y137" i="3"/>
  <c r="AF136" i="3"/>
  <c r="J198" i="3" l="1"/>
  <c r="K198" i="3"/>
  <c r="L198" i="3"/>
  <c r="M198" i="3"/>
  <c r="P198" i="3" s="1"/>
  <c r="I199" i="3" s="1"/>
  <c r="AC137" i="3"/>
  <c r="AF137" i="3" s="1"/>
  <c r="M199" i="3" l="1"/>
  <c r="J199" i="3"/>
  <c r="N199" i="3"/>
  <c r="K199" i="3"/>
  <c r="L199" i="3"/>
  <c r="O199" i="3"/>
  <c r="P199" i="3" s="1"/>
  <c r="I200" i="3" s="1"/>
  <c r="V138" i="3"/>
  <c r="AA138" i="3" l="1"/>
  <c r="X138" i="3"/>
  <c r="Z138" i="3"/>
  <c r="Y138" i="3"/>
  <c r="W138" i="3"/>
  <c r="AB138" i="3"/>
  <c r="AE138" i="3" s="1"/>
  <c r="O200" i="3"/>
  <c r="J200" i="3"/>
  <c r="K200" i="3"/>
  <c r="M200" i="3"/>
  <c r="N200" i="3"/>
  <c r="L200" i="3"/>
  <c r="AC138" i="3" l="1"/>
  <c r="V139" i="3"/>
  <c r="Y139" i="3" s="1"/>
  <c r="AF138" i="3"/>
  <c r="P200" i="3"/>
  <c r="I201" i="3" s="1"/>
  <c r="AB139" i="3"/>
  <c r="AE139" i="3" s="1"/>
  <c r="X139" i="3"/>
  <c r="Z139" i="3"/>
  <c r="W139" i="3"/>
  <c r="AA139" i="3" l="1"/>
  <c r="K201" i="3"/>
  <c r="L201" i="3"/>
  <c r="J201" i="3"/>
  <c r="M201" i="3"/>
  <c r="O201" i="3"/>
  <c r="N201" i="3"/>
  <c r="AC139" i="3"/>
  <c r="V140" i="3" s="1"/>
  <c r="Y140" i="3" s="1"/>
  <c r="P201" i="3" l="1"/>
  <c r="I202" i="3" s="1"/>
  <c r="L202" i="3" s="1"/>
  <c r="AF139" i="3"/>
  <c r="AA140" i="3"/>
  <c r="X140" i="3"/>
  <c r="AB140" i="3"/>
  <c r="AE140" i="3" s="1"/>
  <c r="W140" i="3"/>
  <c r="Z140" i="3"/>
  <c r="N202" i="3" l="1"/>
  <c r="M202" i="3"/>
  <c r="J202" i="3"/>
  <c r="O202" i="3"/>
  <c r="K202" i="3"/>
  <c r="AC140" i="3"/>
  <c r="P202" i="3" l="1"/>
  <c r="I203" i="3" s="1"/>
  <c r="L203" i="3" s="1"/>
  <c r="V141" i="3"/>
  <c r="AF140" i="3"/>
  <c r="M203" i="3" l="1"/>
  <c r="N203" i="3"/>
  <c r="K203" i="3"/>
  <c r="J203" i="3"/>
  <c r="O203" i="3"/>
  <c r="AB141" i="3"/>
  <c r="AE141" i="3" s="1"/>
  <c r="Z141" i="3"/>
  <c r="AA141" i="3"/>
  <c r="X141" i="3"/>
  <c r="Y141" i="3"/>
  <c r="W141" i="3"/>
  <c r="P203" i="3" l="1"/>
  <c r="I204" i="3" s="1"/>
  <c r="N204" i="3" s="1"/>
  <c r="AC141" i="3"/>
  <c r="V142" i="3" s="1"/>
  <c r="W142" i="3" s="1"/>
  <c r="K204" i="3" l="1"/>
  <c r="J204" i="3"/>
  <c r="M204" i="3"/>
  <c r="L204" i="3"/>
  <c r="O204" i="3"/>
  <c r="P204" i="3" s="1"/>
  <c r="I205" i="3" s="1"/>
  <c r="K205" i="3" s="1"/>
  <c r="Y142" i="3"/>
  <c r="AA142" i="3"/>
  <c r="Z142" i="3"/>
  <c r="X142" i="3"/>
  <c r="AB142" i="3"/>
  <c r="AE142" i="3" s="1"/>
  <c r="AF141" i="3"/>
  <c r="N205" i="3" l="1"/>
  <c r="O205" i="3"/>
  <c r="J205" i="3"/>
  <c r="L205" i="3"/>
  <c r="M205" i="3"/>
  <c r="AC142" i="3"/>
  <c r="AF142" i="3" s="1"/>
  <c r="P205" i="3" l="1"/>
  <c r="I206" i="3" s="1"/>
  <c r="L206" i="3" s="1"/>
  <c r="V143" i="3"/>
  <c r="Z143" i="3" s="1"/>
  <c r="O206" i="3"/>
  <c r="M206" i="3"/>
  <c r="N206" i="3" l="1"/>
  <c r="J206" i="3"/>
  <c r="K206" i="3"/>
  <c r="AB143" i="3"/>
  <c r="AE143" i="3" s="1"/>
  <c r="W143" i="3"/>
  <c r="AA143" i="3"/>
  <c r="Y143" i="3"/>
  <c r="X143" i="3"/>
  <c r="P206" i="3" l="1"/>
  <c r="I207" i="3" s="1"/>
  <c r="AC143" i="3"/>
  <c r="AF143" i="3" s="1"/>
  <c r="K207" i="3"/>
  <c r="O207" i="3"/>
  <c r="L207" i="3"/>
  <c r="M207" i="3"/>
  <c r="N207" i="3"/>
  <c r="J207" i="3"/>
  <c r="V144" i="3" l="1"/>
  <c r="X144" i="3" s="1"/>
  <c r="Z144" i="3"/>
  <c r="W144" i="3"/>
  <c r="AA144" i="3"/>
  <c r="P207" i="3"/>
  <c r="I208" i="3" s="1"/>
  <c r="O208" i="3" s="1"/>
  <c r="AB144" i="3" l="1"/>
  <c r="AE144" i="3" s="1"/>
  <c r="Y144" i="3"/>
  <c r="AC144" i="3" s="1"/>
  <c r="N208" i="3"/>
  <c r="L208" i="3"/>
  <c r="J208" i="3"/>
  <c r="M208" i="3"/>
  <c r="K208" i="3"/>
  <c r="AF144" i="3" l="1"/>
  <c r="V145" i="3"/>
  <c r="AB145" i="3" s="1"/>
  <c r="AE145" i="3" s="1"/>
  <c r="Z145" i="3"/>
  <c r="Y145" i="3"/>
  <c r="AA145" i="3"/>
  <c r="P208" i="3"/>
  <c r="I209" i="3" s="1"/>
  <c r="M209" i="3" s="1"/>
  <c r="W145" i="3"/>
  <c r="X145" i="3"/>
  <c r="AC145" i="3" l="1"/>
  <c r="AF145" i="3" s="1"/>
  <c r="L209" i="3"/>
  <c r="O209" i="3"/>
  <c r="J209" i="3"/>
  <c r="N209" i="3"/>
  <c r="K209" i="3"/>
  <c r="V146" i="3"/>
  <c r="X146" i="3" s="1"/>
  <c r="P209" i="3" l="1"/>
  <c r="I210" i="3" s="1"/>
  <c r="N210" i="3" s="1"/>
  <c r="Z146" i="3"/>
  <c r="AA146" i="3"/>
  <c r="AB146" i="3"/>
  <c r="AE146" i="3" s="1"/>
  <c r="Y146" i="3"/>
  <c r="W146" i="3"/>
  <c r="J210" i="3" l="1"/>
  <c r="K210" i="3"/>
  <c r="O210" i="3"/>
  <c r="L210" i="3"/>
  <c r="M210" i="3"/>
  <c r="AC146" i="3"/>
  <c r="P210" i="3" l="1"/>
  <c r="I211" i="3" s="1"/>
  <c r="O211" i="3" s="1"/>
  <c r="V147" i="3"/>
  <c r="AF146" i="3"/>
  <c r="K211" i="3" l="1"/>
  <c r="J211" i="3"/>
  <c r="N211" i="3"/>
  <c r="L211" i="3"/>
  <c r="M211" i="3"/>
  <c r="AA147" i="3"/>
  <c r="AB147" i="3"/>
  <c r="AE147" i="3" s="1"/>
  <c r="W147" i="3"/>
  <c r="Z147" i="3"/>
  <c r="X147" i="3"/>
  <c r="Y147" i="3"/>
  <c r="P211" i="3" l="1"/>
  <c r="I212" i="3" s="1"/>
  <c r="K212" i="3" s="1"/>
  <c r="L212" i="3"/>
  <c r="M212" i="3"/>
  <c r="O212" i="3"/>
  <c r="J212" i="3"/>
  <c r="AC147" i="3"/>
  <c r="AF147" i="3" s="1"/>
  <c r="N212" i="3" l="1"/>
  <c r="P212" i="3"/>
  <c r="I213" i="3" s="1"/>
  <c r="L213" i="3" s="1"/>
  <c r="V148" i="3"/>
  <c r="AB148" i="3" s="1"/>
  <c r="AE148" i="3" s="1"/>
  <c r="N213" i="3" l="1"/>
  <c r="M213" i="3"/>
  <c r="K213" i="3"/>
  <c r="O213" i="3"/>
  <c r="J213" i="3"/>
  <c r="X148" i="3"/>
  <c r="W148" i="3"/>
  <c r="Z148" i="3"/>
  <c r="Y148" i="3"/>
  <c r="AA148" i="3"/>
  <c r="P213" i="3" l="1"/>
  <c r="I214" i="3" s="1"/>
  <c r="M214" i="3" s="1"/>
  <c r="L214" i="3"/>
  <c r="K214" i="3"/>
  <c r="O214" i="3"/>
  <c r="J214" i="3"/>
  <c r="N214" i="3"/>
  <c r="AC148" i="3"/>
  <c r="V149" i="3" s="1"/>
  <c r="P214" i="3" l="1"/>
  <c r="I215" i="3" s="1"/>
  <c r="N215" i="3" s="1"/>
  <c r="AF148" i="3"/>
  <c r="O215" i="3"/>
  <c r="K215" i="3"/>
  <c r="J215" i="3"/>
  <c r="L215" i="3"/>
  <c r="AA149" i="3"/>
  <c r="AB149" i="3"/>
  <c r="Y149" i="3"/>
  <c r="X149" i="3"/>
  <c r="Z149" i="3"/>
  <c r="W149" i="3"/>
  <c r="M215" i="3" l="1"/>
  <c r="P215" i="3" s="1"/>
  <c r="I216" i="3" s="1"/>
  <c r="AC149" i="3"/>
  <c r="V150" i="3" s="1"/>
  <c r="AE149" i="3"/>
  <c r="N216" i="3" l="1"/>
  <c r="M216" i="3"/>
  <c r="J216" i="3"/>
  <c r="K216" i="3"/>
  <c r="L216" i="3"/>
  <c r="O216" i="3"/>
  <c r="P216" i="3" s="1"/>
  <c r="I217" i="3" s="1"/>
  <c r="N217" i="3" s="1"/>
  <c r="AF149" i="3"/>
  <c r="AA150" i="3"/>
  <c r="Y150" i="3"/>
  <c r="W150" i="3"/>
  <c r="Z150" i="3"/>
  <c r="AB150" i="3"/>
  <c r="AE150" i="3" s="1"/>
  <c r="X150" i="3"/>
  <c r="M217" i="3" l="1"/>
  <c r="J217" i="3"/>
  <c r="L217" i="3"/>
  <c r="K217" i="3"/>
  <c r="O217" i="3"/>
  <c r="P217" i="3" s="1"/>
  <c r="I218" i="3" s="1"/>
  <c r="K218" i="3" s="1"/>
  <c r="AC150" i="3"/>
  <c r="AF150" i="3" s="1"/>
  <c r="V151" i="3" l="1"/>
  <c r="Y151" i="3" s="1"/>
  <c r="M218" i="3"/>
  <c r="N218" i="3"/>
  <c r="L218" i="3"/>
  <c r="O218" i="3"/>
  <c r="J218" i="3"/>
  <c r="W151" i="3"/>
  <c r="X151" i="3"/>
  <c r="AB151" i="3"/>
  <c r="AE151" i="3" s="1"/>
  <c r="Z151" i="3"/>
  <c r="AA151" i="3"/>
  <c r="P218" i="3" l="1"/>
  <c r="I219" i="3" s="1"/>
  <c r="O219" i="3" s="1"/>
  <c r="AC151" i="3"/>
  <c r="L219" i="3" l="1"/>
  <c r="N219" i="3"/>
  <c r="J219" i="3"/>
  <c r="K219" i="3"/>
  <c r="M219" i="3"/>
  <c r="P219" i="3" s="1"/>
  <c r="I220" i="3" s="1"/>
  <c r="J220" i="3" s="1"/>
  <c r="V152" i="3"/>
  <c r="AF151" i="3"/>
  <c r="L220" i="3" l="1"/>
  <c r="N220" i="3"/>
  <c r="O220" i="3"/>
  <c r="M220" i="3"/>
  <c r="K220" i="3"/>
  <c r="W152" i="3"/>
  <c r="Z152" i="3"/>
  <c r="AB152" i="3"/>
  <c r="AE152" i="3" s="1"/>
  <c r="X152" i="3"/>
  <c r="AA152" i="3"/>
  <c r="Y152" i="3"/>
  <c r="P220" i="3" l="1"/>
  <c r="I221" i="3" s="1"/>
  <c r="AC152" i="3"/>
  <c r="V153" i="3" s="1"/>
  <c r="O221" i="3"/>
  <c r="K221" i="3"/>
  <c r="J221" i="3"/>
  <c r="M221" i="3"/>
  <c r="L221" i="3"/>
  <c r="N221" i="3"/>
  <c r="AF152" i="3" l="1"/>
  <c r="AA153" i="3"/>
  <c r="AB153" i="3"/>
  <c r="AE153" i="3" s="1"/>
  <c r="Z153" i="3"/>
  <c r="X153" i="3"/>
  <c r="W153" i="3"/>
  <c r="Y153" i="3"/>
  <c r="P221" i="3"/>
  <c r="I222" i="3" s="1"/>
  <c r="AC153" i="3" l="1"/>
  <c r="O222" i="3"/>
  <c r="K222" i="3"/>
  <c r="J222" i="3"/>
  <c r="L222" i="3"/>
  <c r="M222" i="3"/>
  <c r="N222" i="3"/>
  <c r="AF153" i="3" l="1"/>
  <c r="V154" i="3"/>
  <c r="P222" i="3"/>
  <c r="I223" i="3" s="1"/>
  <c r="X154" i="3" l="1"/>
  <c r="Z154" i="3"/>
  <c r="AA154" i="3"/>
  <c r="W154" i="3"/>
  <c r="AB154" i="3"/>
  <c r="AE154" i="3" s="1"/>
  <c r="Y154" i="3"/>
  <c r="O223" i="3"/>
  <c r="K223" i="3"/>
  <c r="J223" i="3"/>
  <c r="L223" i="3"/>
  <c r="M223" i="3"/>
  <c r="N223" i="3"/>
  <c r="AC154" i="3" l="1"/>
  <c r="AF154" i="3" s="1"/>
  <c r="P223" i="3"/>
  <c r="I224" i="3" s="1"/>
  <c r="V155" i="3" l="1"/>
  <c r="O224" i="3"/>
  <c r="J224" i="3"/>
  <c r="K224" i="3"/>
  <c r="M224" i="3"/>
  <c r="N224" i="3"/>
  <c r="L224" i="3"/>
  <c r="Y155" i="3" l="1"/>
  <c r="AB155" i="3"/>
  <c r="AE155" i="3" s="1"/>
  <c r="W155" i="3"/>
  <c r="AA155" i="3"/>
  <c r="X155" i="3"/>
  <c r="Z155" i="3"/>
  <c r="P224" i="3"/>
  <c r="I225" i="3" s="1"/>
  <c r="AC155" i="3" l="1"/>
  <c r="O225" i="3"/>
  <c r="K225" i="3"/>
  <c r="J225" i="3"/>
  <c r="N225" i="3"/>
  <c r="L225" i="3"/>
  <c r="M225" i="3"/>
  <c r="AF155" i="3" l="1"/>
  <c r="V156" i="3"/>
  <c r="P225" i="3"/>
  <c r="I226" i="3" s="1"/>
  <c r="AA156" i="3" l="1"/>
  <c r="Y156" i="3"/>
  <c r="AB156" i="3"/>
  <c r="AE156" i="3" s="1"/>
  <c r="X156" i="3"/>
  <c r="Z156" i="3"/>
  <c r="W156" i="3"/>
  <c r="O226" i="3"/>
  <c r="J226" i="3"/>
  <c r="K226" i="3"/>
  <c r="N226" i="3"/>
  <c r="L226" i="3"/>
  <c r="M226" i="3"/>
  <c r="AC156" i="3" l="1"/>
  <c r="P226" i="3"/>
  <c r="I227" i="3" s="1"/>
  <c r="O227" i="3" s="1"/>
  <c r="AF156" i="3" l="1"/>
  <c r="V157" i="3"/>
  <c r="M227" i="3"/>
  <c r="N227" i="3"/>
  <c r="L227" i="3"/>
  <c r="J227" i="3"/>
  <c r="K227" i="3"/>
  <c r="Z157" i="3" l="1"/>
  <c r="X157" i="3"/>
  <c r="W157" i="3"/>
  <c r="AB157" i="3"/>
  <c r="Y157" i="3"/>
  <c r="AA157" i="3"/>
  <c r="P227" i="3"/>
  <c r="I228" i="3" s="1"/>
  <c r="M228" i="3" s="1"/>
  <c r="AC157" i="3" l="1"/>
  <c r="V158" i="3" s="1"/>
  <c r="AA158" i="3" s="1"/>
  <c r="AE157" i="3"/>
  <c r="O228" i="3"/>
  <c r="L228" i="3"/>
  <c r="J228" i="3"/>
  <c r="K228" i="3"/>
  <c r="N228" i="3"/>
  <c r="AF157" i="3" l="1"/>
  <c r="Y158" i="3"/>
  <c r="AB158" i="3"/>
  <c r="Z158" i="3"/>
  <c r="W158" i="3"/>
  <c r="X158" i="3"/>
  <c r="P228" i="3"/>
  <c r="I229" i="3" s="1"/>
  <c r="J229" i="3" s="1"/>
  <c r="AC158" i="3" l="1"/>
  <c r="AF158" i="3" s="1"/>
  <c r="AE158" i="3"/>
  <c r="O229" i="3"/>
  <c r="M229" i="3"/>
  <c r="K229" i="3"/>
  <c r="N229" i="3"/>
  <c r="L229" i="3"/>
  <c r="V159" i="3" l="1"/>
  <c r="Y159" i="3" s="1"/>
  <c r="Z159" i="3"/>
  <c r="W159" i="3"/>
  <c r="P229" i="3"/>
  <c r="I230" i="3" s="1"/>
  <c r="K230" i="3" s="1"/>
  <c r="X159" i="3" l="1"/>
  <c r="AB159" i="3"/>
  <c r="AE159" i="3" s="1"/>
  <c r="AA159" i="3"/>
  <c r="N230" i="3"/>
  <c r="M230" i="3"/>
  <c r="L230" i="3"/>
  <c r="J230" i="3"/>
  <c r="O230" i="3"/>
  <c r="AC159" i="3" l="1"/>
  <c r="V160" i="3" s="1"/>
  <c r="AF159" i="3"/>
  <c r="P230" i="3"/>
  <c r="I231" i="3" s="1"/>
  <c r="M231" i="3" s="1"/>
  <c r="Y160" i="3" l="1"/>
  <c r="AB160" i="3"/>
  <c r="W160" i="3"/>
  <c r="X160" i="3"/>
  <c r="AA160" i="3"/>
  <c r="Z160" i="3"/>
  <c r="AE160" i="3"/>
  <c r="N231" i="3"/>
  <c r="O231" i="3"/>
  <c r="L231" i="3"/>
  <c r="K231" i="3"/>
  <c r="J231" i="3"/>
  <c r="AC160" i="3" l="1"/>
  <c r="AF160" i="3"/>
  <c r="V161" i="3"/>
  <c r="Y161" i="3" s="1"/>
  <c r="AA161" i="3"/>
  <c r="Z161" i="3"/>
  <c r="AB161" i="3"/>
  <c r="AE161" i="3" s="1"/>
  <c r="X161" i="3"/>
  <c r="W161" i="3"/>
  <c r="P231" i="3"/>
  <c r="I232" i="3" s="1"/>
  <c r="N232" i="3" s="1"/>
  <c r="AC161" i="3" l="1"/>
  <c r="AF161" i="3" s="1"/>
  <c r="O232" i="3"/>
  <c r="M232" i="3"/>
  <c r="J232" i="3"/>
  <c r="K232" i="3"/>
  <c r="L232" i="3"/>
  <c r="V162" i="3" l="1"/>
  <c r="Z162" i="3" s="1"/>
  <c r="P232" i="3"/>
  <c r="I233" i="3" s="1"/>
  <c r="J233" i="3" s="1"/>
  <c r="Y162" i="3" l="1"/>
  <c r="X162" i="3"/>
  <c r="AB162" i="3"/>
  <c r="AE162" i="3" s="1"/>
  <c r="W162" i="3"/>
  <c r="AA162" i="3"/>
  <c r="O233" i="3"/>
  <c r="L233" i="3"/>
  <c r="M233" i="3"/>
  <c r="N233" i="3"/>
  <c r="K233" i="3"/>
  <c r="AC162" i="3" l="1"/>
  <c r="AF162" i="3"/>
  <c r="V163" i="3"/>
  <c r="P233" i="3"/>
  <c r="I234" i="3" s="1"/>
  <c r="M234" i="3" s="1"/>
  <c r="K234" i="3" l="1"/>
  <c r="J234" i="3"/>
  <c r="O234" i="3"/>
  <c r="Y163" i="3"/>
  <c r="X163" i="3"/>
  <c r="Z163" i="3"/>
  <c r="W163" i="3"/>
  <c r="AB163" i="3"/>
  <c r="AA163" i="3"/>
  <c r="N234" i="3"/>
  <c r="L234" i="3"/>
  <c r="AC163" i="3" l="1"/>
  <c r="AF163" i="3" s="1"/>
  <c r="AE163" i="3"/>
  <c r="P234" i="3"/>
  <c r="I235" i="3" s="1"/>
  <c r="N235" i="3" s="1"/>
  <c r="J235" i="3" l="1"/>
  <c r="K235" i="3"/>
  <c r="L235" i="3"/>
  <c r="M235" i="3"/>
  <c r="O235" i="3"/>
  <c r="V164" i="3"/>
  <c r="AB164" i="3" s="1"/>
  <c r="AE164" i="3" s="1"/>
  <c r="P235" i="3" l="1"/>
  <c r="I236" i="3" s="1"/>
  <c r="K236" i="3" s="1"/>
  <c r="X164" i="3"/>
  <c r="Z164" i="3"/>
  <c r="AA164" i="3"/>
  <c r="Y164" i="3"/>
  <c r="W164" i="3"/>
  <c r="J236" i="3"/>
  <c r="L236" i="3"/>
  <c r="O236" i="3"/>
  <c r="N236" i="3"/>
  <c r="M236" i="3"/>
  <c r="AC164" i="3" l="1"/>
  <c r="V165" i="3" s="1"/>
  <c r="P236" i="3"/>
  <c r="I237" i="3" s="1"/>
  <c r="L237" i="3" s="1"/>
  <c r="AF164" i="3" l="1"/>
  <c r="AA165" i="3"/>
  <c r="Y165" i="3"/>
  <c r="W165" i="3"/>
  <c r="Z165" i="3"/>
  <c r="X165" i="3"/>
  <c r="AB165" i="3"/>
  <c r="AE165" i="3" s="1"/>
  <c r="K237" i="3"/>
  <c r="J237" i="3"/>
  <c r="M237" i="3"/>
  <c r="O237" i="3"/>
  <c r="N237" i="3"/>
  <c r="AC165" i="3" l="1"/>
  <c r="AF165" i="3" s="1"/>
  <c r="P237" i="3"/>
  <c r="I238" i="3" s="1"/>
  <c r="J238" i="3" s="1"/>
  <c r="V166" i="3" l="1"/>
  <c r="X166" i="3" s="1"/>
  <c r="Y166" i="3"/>
  <c r="Z166" i="3"/>
  <c r="K238" i="3"/>
  <c r="L238" i="3"/>
  <c r="O238" i="3"/>
  <c r="M238" i="3"/>
  <c r="N238" i="3"/>
  <c r="AA166" i="3" l="1"/>
  <c r="W166" i="3"/>
  <c r="AB166" i="3"/>
  <c r="AE166" i="3" s="1"/>
  <c r="P238" i="3"/>
  <c r="I239" i="3" s="1"/>
  <c r="N239" i="3" s="1"/>
  <c r="AC166" i="3" l="1"/>
  <c r="AF166" i="3" s="1"/>
  <c r="L239" i="3"/>
  <c r="M239" i="3"/>
  <c r="J239" i="3"/>
  <c r="K239" i="3"/>
  <c r="O239" i="3"/>
  <c r="V167" i="3" l="1"/>
  <c r="AB167" i="3" s="1"/>
  <c r="Z167" i="3"/>
  <c r="AA167" i="3"/>
  <c r="Y167" i="3"/>
  <c r="W167" i="3"/>
  <c r="AE167" i="3"/>
  <c r="P239" i="3"/>
  <c r="I240" i="3" s="1"/>
  <c r="J240" i="3" s="1"/>
  <c r="X167" i="3" l="1"/>
  <c r="AC167" i="3"/>
  <c r="V168" i="3" s="1"/>
  <c r="L240" i="3"/>
  <c r="N240" i="3"/>
  <c r="M240" i="3"/>
  <c r="O240" i="3"/>
  <c r="K240" i="3"/>
  <c r="AF167" i="3" l="1"/>
  <c r="AA168" i="3"/>
  <c r="W168" i="3"/>
  <c r="Y168" i="3"/>
  <c r="X168" i="3"/>
  <c r="AB168" i="3"/>
  <c r="AE168" i="3" s="1"/>
  <c r="Z168" i="3"/>
  <c r="P240" i="3"/>
  <c r="I241" i="3" s="1"/>
  <c r="M241" i="3" s="1"/>
  <c r="AC168" i="3" l="1"/>
  <c r="O241" i="3"/>
  <c r="L241" i="3"/>
  <c r="K241" i="3"/>
  <c r="J241" i="3"/>
  <c r="AF168" i="3"/>
  <c r="V169" i="3"/>
  <c r="N241" i="3"/>
  <c r="P241" i="3" l="1"/>
  <c r="I242" i="3" s="1"/>
  <c r="J242" i="3" s="1"/>
  <c r="Y169" i="3"/>
  <c r="AB169" i="3"/>
  <c r="AE169" i="3" s="1"/>
  <c r="Z169" i="3"/>
  <c r="AA169" i="3"/>
  <c r="X169" i="3"/>
  <c r="W169" i="3"/>
  <c r="M242" i="3"/>
  <c r="N242" i="3"/>
  <c r="L242" i="3"/>
  <c r="O242" i="3"/>
  <c r="K242" i="3" l="1"/>
  <c r="AC169" i="3"/>
  <c r="AF169" i="3" s="1"/>
  <c r="P242" i="3"/>
  <c r="I243" i="3" s="1"/>
  <c r="K243" i="3" s="1"/>
  <c r="L243" i="3"/>
  <c r="M243" i="3"/>
  <c r="V170" i="3" l="1"/>
  <c r="O243" i="3"/>
  <c r="J243" i="3"/>
  <c r="N243" i="3"/>
  <c r="Y170" i="3"/>
  <c r="W170" i="3"/>
  <c r="X170" i="3"/>
  <c r="Z170" i="3"/>
  <c r="AB170" i="3"/>
  <c r="AE170" i="3" s="1"/>
  <c r="AA170" i="3"/>
  <c r="P243" i="3" l="1"/>
  <c r="I244" i="3" s="1"/>
  <c r="M244" i="3" s="1"/>
  <c r="AC170" i="3"/>
  <c r="AF170" i="3" s="1"/>
  <c r="L244" i="3"/>
  <c r="O244" i="3"/>
  <c r="N244" i="3"/>
  <c r="K244" i="3"/>
  <c r="J244" i="3"/>
  <c r="V171" i="3" l="1"/>
  <c r="P244" i="3"/>
  <c r="I245" i="3" s="1"/>
  <c r="L245" i="3" s="1"/>
  <c r="AA171" i="3"/>
  <c r="X171" i="3"/>
  <c r="W171" i="3"/>
  <c r="Z171" i="3"/>
  <c r="AB171" i="3"/>
  <c r="AE171" i="3" s="1"/>
  <c r="Y171" i="3"/>
  <c r="N245" i="3"/>
  <c r="M245" i="3"/>
  <c r="K245" i="3" l="1"/>
  <c r="J245" i="3"/>
  <c r="O245" i="3"/>
  <c r="P245" i="3" s="1"/>
  <c r="I246" i="3" s="1"/>
  <c r="J246" i="3" s="1"/>
  <c r="AC171" i="3"/>
  <c r="AF171" i="3" s="1"/>
  <c r="V172" i="3" l="1"/>
  <c r="AA172" i="3" s="1"/>
  <c r="O246" i="3"/>
  <c r="M246" i="3"/>
  <c r="K246" i="3"/>
  <c r="L246" i="3"/>
  <c r="N246" i="3"/>
  <c r="Y172" i="3"/>
  <c r="W172" i="3"/>
  <c r="Z172" i="3"/>
  <c r="X172" i="3"/>
  <c r="AB172" i="3"/>
  <c r="P246" i="3" l="1"/>
  <c r="I247" i="3" s="1"/>
  <c r="N247" i="3" s="1"/>
  <c r="AC172" i="3"/>
  <c r="AF172" i="3" s="1"/>
  <c r="AE172" i="3"/>
  <c r="O247" i="3"/>
  <c r="L247" i="3"/>
  <c r="M247" i="3"/>
  <c r="K247" i="3"/>
  <c r="J247" i="3" l="1"/>
  <c r="V173" i="3"/>
  <c r="Y173" i="3" s="1"/>
  <c r="AB173" i="3"/>
  <c r="AE173" i="3" s="1"/>
  <c r="X173" i="3"/>
  <c r="P247" i="3"/>
  <c r="I248" i="3" s="1"/>
  <c r="J248" i="3" s="1"/>
  <c r="Z173" i="3" l="1"/>
  <c r="AA173" i="3"/>
  <c r="W173" i="3"/>
  <c r="O248" i="3"/>
  <c r="M248" i="3"/>
  <c r="L248" i="3"/>
  <c r="N248" i="3"/>
  <c r="K248" i="3"/>
  <c r="AC173" i="3" l="1"/>
  <c r="V174" i="3" s="1"/>
  <c r="P248" i="3"/>
  <c r="I249" i="3" s="1"/>
  <c r="K249" i="3" s="1"/>
  <c r="AF173" i="3" l="1"/>
  <c r="Y174" i="3"/>
  <c r="Z174" i="3"/>
  <c r="X174" i="3"/>
  <c r="AB174" i="3"/>
  <c r="AE174" i="3" s="1"/>
  <c r="AA174" i="3"/>
  <c r="W174" i="3"/>
  <c r="L249" i="3"/>
  <c r="N249" i="3"/>
  <c r="O249" i="3"/>
  <c r="M249" i="3"/>
  <c r="J249" i="3"/>
  <c r="AC174" i="3" l="1"/>
  <c r="AF174" i="3" s="1"/>
  <c r="V175" i="3"/>
  <c r="P249" i="3"/>
  <c r="I250" i="3" s="1"/>
  <c r="K250" i="3" s="1"/>
  <c r="Z175" i="3" l="1"/>
  <c r="W175" i="3"/>
  <c r="AB175" i="3"/>
  <c r="AE175" i="3" s="1"/>
  <c r="AA175" i="3"/>
  <c r="X175" i="3"/>
  <c r="Y175" i="3"/>
  <c r="L250" i="3"/>
  <c r="N250" i="3"/>
  <c r="M250" i="3"/>
  <c r="J250" i="3"/>
  <c r="O250" i="3"/>
  <c r="P250" i="3" l="1"/>
  <c r="I251" i="3" s="1"/>
  <c r="L251" i="3" s="1"/>
  <c r="AC175" i="3"/>
  <c r="V176" i="3" s="1"/>
  <c r="Y176" i="3" s="1"/>
  <c r="AF175" i="3" l="1"/>
  <c r="O251" i="3"/>
  <c r="K251" i="3"/>
  <c r="J251" i="3"/>
  <c r="N251" i="3"/>
  <c r="M251" i="3"/>
  <c r="AB176" i="3"/>
  <c r="AE176" i="3" s="1"/>
  <c r="X176" i="3"/>
  <c r="Z176" i="3"/>
  <c r="W176" i="3"/>
  <c r="AA176" i="3"/>
  <c r="P251" i="3" l="1"/>
  <c r="I252" i="3" s="1"/>
  <c r="N252" i="3" s="1"/>
  <c r="AC176" i="3"/>
  <c r="O252" i="3"/>
  <c r="L252" i="3"/>
  <c r="M252" i="3"/>
  <c r="K252" i="3" l="1"/>
  <c r="J252" i="3"/>
  <c r="AF176" i="3"/>
  <c r="V177" i="3"/>
  <c r="P252" i="3"/>
  <c r="I253" i="3" s="1"/>
  <c r="M253" i="3" s="1"/>
  <c r="O253" i="3" l="1"/>
  <c r="Z177" i="3"/>
  <c r="Y177" i="3"/>
  <c r="AA177" i="3"/>
  <c r="X177" i="3"/>
  <c r="W177" i="3"/>
  <c r="AB177" i="3"/>
  <c r="K253" i="3"/>
  <c r="L253" i="3"/>
  <c r="J253" i="3"/>
  <c r="N253" i="3"/>
  <c r="P253" i="3" l="1"/>
  <c r="I254" i="3" s="1"/>
  <c r="L254" i="3" s="1"/>
  <c r="AE177" i="3"/>
  <c r="AC177" i="3"/>
  <c r="N254" i="3" l="1"/>
  <c r="M254" i="3"/>
  <c r="K254" i="3"/>
  <c r="O254" i="3"/>
  <c r="J254" i="3"/>
  <c r="AF177" i="3"/>
  <c r="V178" i="3"/>
  <c r="P254" i="3" l="1"/>
  <c r="I255" i="3" s="1"/>
  <c r="K255" i="3" s="1"/>
  <c r="AA178" i="3"/>
  <c r="AB178" i="3"/>
  <c r="AE178" i="3" s="1"/>
  <c r="W178" i="3"/>
  <c r="X178" i="3"/>
  <c r="Z178" i="3"/>
  <c r="Y178" i="3"/>
  <c r="N255" i="3"/>
  <c r="O255" i="3"/>
  <c r="L255" i="3"/>
  <c r="M255" i="3"/>
  <c r="J255" i="3"/>
  <c r="AC178" i="3" l="1"/>
  <c r="V179" i="3" s="1"/>
  <c r="P255" i="3"/>
  <c r="I256" i="3" s="1"/>
  <c r="M256" i="3" s="1"/>
  <c r="AF178" i="3" l="1"/>
  <c r="AA179" i="3"/>
  <c r="X179" i="3"/>
  <c r="AB179" i="3"/>
  <c r="AE179" i="3" s="1"/>
  <c r="Z179" i="3"/>
  <c r="W179" i="3"/>
  <c r="Y179" i="3"/>
  <c r="N256" i="3"/>
  <c r="J256" i="3"/>
  <c r="O256" i="3"/>
  <c r="L256" i="3"/>
  <c r="K256" i="3"/>
  <c r="AC179" i="3" l="1"/>
  <c r="AF179" i="3" s="1"/>
  <c r="V180" i="3"/>
  <c r="P256" i="3"/>
  <c r="I257" i="3" s="1"/>
  <c r="N257" i="3" s="1"/>
  <c r="Y180" i="3" l="1"/>
  <c r="Z180" i="3"/>
  <c r="X180" i="3"/>
  <c r="AB180" i="3"/>
  <c r="AE180" i="3" s="1"/>
  <c r="W180" i="3"/>
  <c r="AA180" i="3"/>
  <c r="O257" i="3"/>
  <c r="K257" i="3"/>
  <c r="J257" i="3"/>
  <c r="M257" i="3"/>
  <c r="L257" i="3"/>
  <c r="AC180" i="3" l="1"/>
  <c r="AF180" i="3" s="1"/>
  <c r="P257" i="3"/>
  <c r="I258" i="3" s="1"/>
  <c r="K258" i="3" s="1"/>
  <c r="V181" i="3" l="1"/>
  <c r="Z181" i="3" s="1"/>
  <c r="AB181" i="3"/>
  <c r="AE181" i="3" s="1"/>
  <c r="W181" i="3"/>
  <c r="AA181" i="3"/>
  <c r="Y181" i="3"/>
  <c r="O258" i="3"/>
  <c r="M258" i="3"/>
  <c r="J258" i="3"/>
  <c r="L258" i="3"/>
  <c r="N258" i="3"/>
  <c r="X181" i="3" l="1"/>
  <c r="AC181" i="3" s="1"/>
  <c r="P258" i="3"/>
  <c r="I259" i="3" s="1"/>
  <c r="K259" i="3" s="1"/>
  <c r="V182" i="3" l="1"/>
  <c r="AF181" i="3"/>
  <c r="Y182" i="3"/>
  <c r="Z182" i="3"/>
  <c r="AB182" i="3"/>
  <c r="W182" i="3"/>
  <c r="X182" i="3"/>
  <c r="AA182" i="3"/>
  <c r="O259" i="3"/>
  <c r="N259" i="3"/>
  <c r="J259" i="3"/>
  <c r="M259" i="3"/>
  <c r="L259" i="3"/>
  <c r="AC182" i="3" l="1"/>
  <c r="AF182" i="3" s="1"/>
  <c r="AE182" i="3"/>
  <c r="P259" i="3"/>
  <c r="I260" i="3" s="1"/>
  <c r="N260" i="3" s="1"/>
  <c r="V183" i="3" l="1"/>
  <c r="AA183" i="3" s="1"/>
  <c r="M260" i="3"/>
  <c r="O260" i="3"/>
  <c r="L260" i="3"/>
  <c r="J260" i="3"/>
  <c r="K260" i="3"/>
  <c r="AB183" i="3" l="1"/>
  <c r="AE183" i="3" s="1"/>
  <c r="W183" i="3"/>
  <c r="X183" i="3"/>
  <c r="Z183" i="3"/>
  <c r="Y183" i="3"/>
  <c r="P260" i="3"/>
  <c r="I261" i="3" s="1"/>
  <c r="N261" i="3" s="1"/>
  <c r="AC183" i="3" l="1"/>
  <c r="V184" i="3" s="1"/>
  <c r="W184" i="3" s="1"/>
  <c r="J261" i="3"/>
  <c r="K261" i="3"/>
  <c r="O261" i="3"/>
  <c r="M261" i="3"/>
  <c r="L261" i="3"/>
  <c r="Z184" i="3" l="1"/>
  <c r="AB184" i="3"/>
  <c r="AE184" i="3" s="1"/>
  <c r="AA184" i="3"/>
  <c r="Y184" i="3"/>
  <c r="X184" i="3"/>
  <c r="AF183" i="3"/>
  <c r="P261" i="3"/>
  <c r="I262" i="3" s="1"/>
  <c r="J262" i="3" s="1"/>
  <c r="AC184" i="3" l="1"/>
  <c r="AF184" i="3" s="1"/>
  <c r="L262" i="3"/>
  <c r="M262" i="3"/>
  <c r="N262" i="3"/>
  <c r="O262" i="3"/>
  <c r="K262" i="3"/>
  <c r="V185" i="3" l="1"/>
  <c r="AB185" i="3"/>
  <c r="AE185" i="3" s="1"/>
  <c r="W185" i="3"/>
  <c r="Z185" i="3"/>
  <c r="P262" i="3"/>
  <c r="I263" i="3" s="1"/>
  <c r="J263" i="3" s="1"/>
  <c r="Y185" i="3" l="1"/>
  <c r="AA185" i="3"/>
  <c r="X185" i="3"/>
  <c r="L263" i="3"/>
  <c r="O263" i="3"/>
  <c r="M263" i="3"/>
  <c r="N263" i="3"/>
  <c r="K263" i="3"/>
  <c r="AC185" i="3" l="1"/>
  <c r="V186" i="3" s="1"/>
  <c r="Y186" i="3" s="1"/>
  <c r="AA186" i="3"/>
  <c r="AF185" i="3"/>
  <c r="W186" i="3"/>
  <c r="AB186" i="3"/>
  <c r="AE186" i="3" s="1"/>
  <c r="Z186" i="3"/>
  <c r="X186" i="3"/>
  <c r="P263" i="3"/>
  <c r="I264" i="3" s="1"/>
  <c r="N264" i="3" s="1"/>
  <c r="AC186" i="3" l="1"/>
  <c r="V187" i="3" s="1"/>
  <c r="Z187" i="3" s="1"/>
  <c r="K264" i="3"/>
  <c r="J264" i="3"/>
  <c r="O264" i="3"/>
  <c r="M264" i="3"/>
  <c r="L264" i="3"/>
  <c r="AF186" i="3"/>
  <c r="AA187" i="3"/>
  <c r="W187" i="3"/>
  <c r="X187" i="3"/>
  <c r="AB187" i="3"/>
  <c r="AE187" i="3" s="1"/>
  <c r="Y187" i="3"/>
  <c r="P264" i="3" l="1"/>
  <c r="I265" i="3" s="1"/>
  <c r="N265" i="3" s="1"/>
  <c r="AC187" i="3"/>
  <c r="AF187" i="3" s="1"/>
  <c r="O265" i="3"/>
  <c r="J265" i="3"/>
  <c r="L265" i="3"/>
  <c r="M265" i="3"/>
  <c r="K265" i="3" l="1"/>
  <c r="V188" i="3"/>
  <c r="Y188" i="3" s="1"/>
  <c r="AB188" i="3"/>
  <c r="AE188" i="3" s="1"/>
  <c r="X188" i="3"/>
  <c r="Z188" i="3"/>
  <c r="AA188" i="3"/>
  <c r="P265" i="3"/>
  <c r="I266" i="3" s="1"/>
  <c r="O266" i="3" s="1"/>
  <c r="W188" i="3" l="1"/>
  <c r="AC188" i="3" s="1"/>
  <c r="K266" i="3"/>
  <c r="M266" i="3"/>
  <c r="J266" i="3"/>
  <c r="N266" i="3"/>
  <c r="L266" i="3"/>
  <c r="V189" i="3" l="1"/>
  <c r="AF188" i="3"/>
  <c r="P266" i="3"/>
  <c r="I267" i="3" s="1"/>
  <c r="J267" i="3" s="1"/>
  <c r="Y189" i="3" l="1"/>
  <c r="AA189" i="3"/>
  <c r="X189" i="3"/>
  <c r="Z189" i="3"/>
  <c r="W189" i="3"/>
  <c r="AB189" i="3"/>
  <c r="O267" i="3"/>
  <c r="L267" i="3"/>
  <c r="K267" i="3"/>
  <c r="N267" i="3"/>
  <c r="M267" i="3"/>
  <c r="AC189" i="3" l="1"/>
  <c r="AF189" i="3" s="1"/>
  <c r="AE189" i="3"/>
  <c r="P267" i="3"/>
  <c r="I268" i="3" s="1"/>
  <c r="O268" i="3" s="1"/>
  <c r="V190" i="3" l="1"/>
  <c r="Y190" i="3" s="1"/>
  <c r="AB190" i="3"/>
  <c r="X190" i="3"/>
  <c r="Z190" i="3"/>
  <c r="W190" i="3"/>
  <c r="N268" i="3"/>
  <c r="K268" i="3"/>
  <c r="J268" i="3"/>
  <c r="M268" i="3"/>
  <c r="L268" i="3"/>
  <c r="AA190" i="3" l="1"/>
  <c r="AC190" i="3"/>
  <c r="AF190" i="3" s="1"/>
  <c r="AE190" i="3"/>
  <c r="P268" i="3"/>
  <c r="I269" i="3" s="1"/>
  <c r="J269" i="3" s="1"/>
  <c r="V191" i="3" l="1"/>
  <c r="AA191" i="3" s="1"/>
  <c r="N269" i="3"/>
  <c r="Y191" i="3"/>
  <c r="Z191" i="3"/>
  <c r="AB191" i="3"/>
  <c r="AE191" i="3" s="1"/>
  <c r="X191" i="3"/>
  <c r="W191" i="3"/>
  <c r="L269" i="3"/>
  <c r="O269" i="3"/>
  <c r="K269" i="3"/>
  <c r="M269" i="3"/>
  <c r="P269" i="3" l="1"/>
  <c r="I270" i="3" s="1"/>
  <c r="K270" i="3" s="1"/>
  <c r="AC191" i="3"/>
  <c r="M270" i="3"/>
  <c r="O270" i="3"/>
  <c r="L270" i="3"/>
  <c r="N270" i="3"/>
  <c r="J270" i="3"/>
  <c r="P270" i="3" l="1"/>
  <c r="I271" i="3" s="1"/>
  <c r="L271" i="3" s="1"/>
  <c r="V192" i="3"/>
  <c r="AF191" i="3"/>
  <c r="O271" i="3" l="1"/>
  <c r="M271" i="3"/>
  <c r="K271" i="3"/>
  <c r="J271" i="3"/>
  <c r="N271" i="3"/>
  <c r="X192" i="3"/>
  <c r="AB192" i="3"/>
  <c r="AE192" i="3" s="1"/>
  <c r="Y192" i="3"/>
  <c r="Z192" i="3"/>
  <c r="W192" i="3"/>
  <c r="AA192" i="3"/>
  <c r="P271" i="3" l="1"/>
  <c r="I272" i="3" s="1"/>
  <c r="J272" i="3" s="1"/>
  <c r="AC192" i="3"/>
  <c r="V193" i="3" s="1"/>
  <c r="Y193" i="3" s="1"/>
  <c r="M272" i="3"/>
  <c r="N272" i="3"/>
  <c r="L272" i="3"/>
  <c r="K272" i="3"/>
  <c r="O272" i="3" l="1"/>
  <c r="N273" i="3" s="1"/>
  <c r="AF192" i="3"/>
  <c r="AA193" i="3"/>
  <c r="W193" i="3"/>
  <c r="X193" i="3"/>
  <c r="AB193" i="3"/>
  <c r="AE193" i="3" s="1"/>
  <c r="Z193" i="3"/>
  <c r="L273" i="3"/>
  <c r="M273" i="3"/>
  <c r="P272" i="3" l="1"/>
  <c r="I273" i="3" s="1"/>
  <c r="J273" i="3" s="1"/>
  <c r="AC193" i="3"/>
  <c r="V194" i="3" s="1"/>
  <c r="K273" i="3" l="1"/>
  <c r="O273" i="3"/>
  <c r="AF193" i="3"/>
  <c r="AB194" i="3"/>
  <c r="AE194" i="3" s="1"/>
  <c r="Z194" i="3"/>
  <c r="W194" i="3"/>
  <c r="Y194" i="3"/>
  <c r="AA194" i="3"/>
  <c r="X194" i="3"/>
  <c r="L274" i="3" l="1"/>
  <c r="N274" i="3"/>
  <c r="P273" i="3"/>
  <c r="I274" i="3" s="1"/>
  <c r="AC194" i="3"/>
  <c r="M274" i="3" l="1"/>
  <c r="K274" i="3"/>
  <c r="O274" i="3"/>
  <c r="J274" i="3"/>
  <c r="V195" i="3"/>
  <c r="AF194" i="3"/>
  <c r="P274" i="3" l="1"/>
  <c r="I275" i="3" s="1"/>
  <c r="K275" i="3" s="1"/>
  <c r="O275" i="3"/>
  <c r="J275" i="3"/>
  <c r="M275" i="3"/>
  <c r="L275" i="3"/>
  <c r="N275" i="3"/>
  <c r="AA195" i="3"/>
  <c r="Y195" i="3"/>
  <c r="X195" i="3"/>
  <c r="W195" i="3"/>
  <c r="AB195" i="3"/>
  <c r="AE195" i="3" s="1"/>
  <c r="Z195" i="3"/>
  <c r="N276" i="3" l="1"/>
  <c r="L276" i="3"/>
  <c r="P275" i="3"/>
  <c r="I276" i="3" s="1"/>
  <c r="AC195" i="3"/>
  <c r="AF195" i="3" s="1"/>
  <c r="V196" i="3" l="1"/>
  <c r="Y196" i="3" s="1"/>
  <c r="M276" i="3"/>
  <c r="K276" i="3"/>
  <c r="O276" i="3"/>
  <c r="M277" i="3" s="1"/>
  <c r="J276" i="3"/>
  <c r="AB196" i="3"/>
  <c r="AE196" i="3" s="1"/>
  <c r="W196" i="3"/>
  <c r="X196" i="3"/>
  <c r="AA196" i="3"/>
  <c r="Z196" i="3"/>
  <c r="P276" i="3" l="1"/>
  <c r="I277" i="3" s="1"/>
  <c r="K277" i="3" s="1"/>
  <c r="N277" i="3"/>
  <c r="L277" i="3"/>
  <c r="AC196" i="3"/>
  <c r="J277" i="3" l="1"/>
  <c r="O277" i="3"/>
  <c r="P277" i="3" s="1"/>
  <c r="I278" i="3" s="1"/>
  <c r="O278" i="3" s="1"/>
  <c r="AF196" i="3"/>
  <c r="V197" i="3"/>
  <c r="N278" i="3"/>
  <c r="L278" i="3"/>
  <c r="M278" i="3"/>
  <c r="K278" i="3" l="1"/>
  <c r="J278" i="3"/>
  <c r="AA197" i="3"/>
  <c r="AB197" i="3"/>
  <c r="Y197" i="3"/>
  <c r="Z197" i="3"/>
  <c r="X197" i="3"/>
  <c r="W197" i="3"/>
  <c r="P278" i="3" l="1"/>
  <c r="I279" i="3" s="1"/>
  <c r="O279" i="3" s="1"/>
  <c r="AC197" i="3"/>
  <c r="K279" i="3"/>
  <c r="M279" i="3"/>
  <c r="L279" i="3"/>
  <c r="AF197" i="3"/>
  <c r="V198" i="3"/>
  <c r="AA198" i="3" s="1"/>
  <c r="J279" i="3"/>
  <c r="AE197" i="3"/>
  <c r="N279" i="3"/>
  <c r="P279" i="3" l="1"/>
  <c r="I280" i="3" s="1"/>
  <c r="N280" i="3" s="1"/>
  <c r="Y198" i="3"/>
  <c r="W198" i="3"/>
  <c r="X198" i="3"/>
  <c r="Z198" i="3"/>
  <c r="AB198" i="3"/>
  <c r="AE198" i="3" s="1"/>
  <c r="L280" i="3"/>
  <c r="M280" i="3"/>
  <c r="K280" i="3"/>
  <c r="O280" i="3"/>
  <c r="J280" i="3"/>
  <c r="AC198" i="3" l="1"/>
  <c r="V199" i="3" s="1"/>
  <c r="P280" i="3"/>
  <c r="I281" i="3" s="1"/>
  <c r="M281" i="3" s="1"/>
  <c r="AF198" i="3" l="1"/>
  <c r="AA199" i="3"/>
  <c r="Y199" i="3"/>
  <c r="Z199" i="3"/>
  <c r="AB199" i="3"/>
  <c r="AE199" i="3" s="1"/>
  <c r="X199" i="3"/>
  <c r="W199" i="3"/>
  <c r="J281" i="3"/>
  <c r="L281" i="3"/>
  <c r="K281" i="3"/>
  <c r="N281" i="3"/>
  <c r="O281" i="3"/>
  <c r="AC199" i="3" l="1"/>
  <c r="P281" i="3"/>
  <c r="I282" i="3" s="1"/>
  <c r="J282" i="3" s="1"/>
  <c r="L282" i="3"/>
  <c r="N282" i="3"/>
  <c r="O282" i="3" l="1"/>
  <c r="K282" i="3"/>
  <c r="M282" i="3"/>
  <c r="V200" i="3"/>
  <c r="AF199" i="3"/>
  <c r="P282" i="3"/>
  <c r="I283" i="3" s="1"/>
  <c r="K283" i="3" s="1"/>
  <c r="Y200" i="3" l="1"/>
  <c r="X200" i="3"/>
  <c r="Z200" i="3"/>
  <c r="AB200" i="3"/>
  <c r="AE200" i="3" s="1"/>
  <c r="AA200" i="3"/>
  <c r="W200" i="3"/>
  <c r="L283" i="3"/>
  <c r="N283" i="3"/>
  <c r="O283" i="3"/>
  <c r="J283" i="3"/>
  <c r="M283" i="3"/>
  <c r="AC200" i="3" l="1"/>
  <c r="AF200" i="3" s="1"/>
  <c r="P283" i="3"/>
  <c r="I284" i="3" s="1"/>
  <c r="J284" i="3" s="1"/>
  <c r="V201" i="3" l="1"/>
  <c r="Y201" i="3" s="1"/>
  <c r="AA201" i="3"/>
  <c r="AB201" i="3"/>
  <c r="AE201" i="3" s="1"/>
  <c r="W201" i="3"/>
  <c r="Z201" i="3"/>
  <c r="X201" i="3"/>
  <c r="L284" i="3"/>
  <c r="M284" i="3"/>
  <c r="N284" i="3"/>
  <c r="O284" i="3"/>
  <c r="K284" i="3"/>
  <c r="AC201" i="3" l="1"/>
  <c r="P284" i="3"/>
  <c r="I285" i="3" s="1"/>
  <c r="J285" i="3" s="1"/>
  <c r="AF201" i="3" l="1"/>
  <c r="V202" i="3"/>
  <c r="O285" i="3"/>
  <c r="M285" i="3"/>
  <c r="N285" i="3"/>
  <c r="L285" i="3"/>
  <c r="K285" i="3"/>
  <c r="Y202" i="3" l="1"/>
  <c r="W202" i="3"/>
  <c r="AB202" i="3"/>
  <c r="AA202" i="3"/>
  <c r="X202" i="3"/>
  <c r="Z202" i="3"/>
  <c r="P285" i="3"/>
  <c r="I286" i="3" s="1"/>
  <c r="L286" i="3" s="1"/>
  <c r="AC202" i="3" l="1"/>
  <c r="AE202" i="3"/>
  <c r="V203" i="3"/>
  <c r="AF202" i="3"/>
  <c r="O286" i="3"/>
  <c r="J286" i="3"/>
  <c r="K286" i="3"/>
  <c r="M286" i="3"/>
  <c r="N286" i="3"/>
  <c r="W203" i="3" l="1"/>
  <c r="Z203" i="3"/>
  <c r="AB203" i="3"/>
  <c r="AE203" i="3" s="1"/>
  <c r="X203" i="3"/>
  <c r="Y203" i="3"/>
  <c r="AA203" i="3"/>
  <c r="P286" i="3"/>
  <c r="I287" i="3" s="1"/>
  <c r="M287" i="3" s="1"/>
  <c r="AC203" i="3" l="1"/>
  <c r="V204" i="3" s="1"/>
  <c r="Y204" i="3" s="1"/>
  <c r="O287" i="3"/>
  <c r="J287" i="3"/>
  <c r="N287" i="3"/>
  <c r="K287" i="3"/>
  <c r="L287" i="3"/>
  <c r="AF203" i="3" l="1"/>
  <c r="P287" i="3"/>
  <c r="I288" i="3" s="1"/>
  <c r="M288" i="3" s="1"/>
  <c r="X204" i="3"/>
  <c r="W204" i="3"/>
  <c r="AA204" i="3"/>
  <c r="AB204" i="3"/>
  <c r="AE204" i="3" s="1"/>
  <c r="Z204" i="3"/>
  <c r="K288" i="3"/>
  <c r="N288" i="3"/>
  <c r="L288" i="3"/>
  <c r="O288" i="3"/>
  <c r="J288" i="3" l="1"/>
  <c r="P288" i="3" s="1"/>
  <c r="I289" i="3" s="1"/>
  <c r="O289" i="3" s="1"/>
  <c r="AC204" i="3"/>
  <c r="AF204" i="3" l="1"/>
  <c r="V205" i="3"/>
  <c r="J289" i="3"/>
  <c r="L289" i="3"/>
  <c r="M289" i="3"/>
  <c r="K289" i="3"/>
  <c r="N289" i="3"/>
  <c r="AA205" i="3" l="1"/>
  <c r="AB205" i="3"/>
  <c r="AE205" i="3" s="1"/>
  <c r="X205" i="3"/>
  <c r="Z205" i="3"/>
  <c r="W205" i="3"/>
  <c r="Y205" i="3"/>
  <c r="P289" i="3"/>
  <c r="I290" i="3" s="1"/>
  <c r="J290" i="3" s="1"/>
  <c r="AC205" i="3" l="1"/>
  <c r="O290" i="3"/>
  <c r="M290" i="3"/>
  <c r="N290" i="3"/>
  <c r="L290" i="3"/>
  <c r="K290" i="3"/>
  <c r="AF205" i="3" l="1"/>
  <c r="V206" i="3"/>
  <c r="P290" i="3"/>
  <c r="I291" i="3" s="1"/>
  <c r="J291" i="3" s="1"/>
  <c r="Y206" i="3" l="1"/>
  <c r="AB206" i="3"/>
  <c r="Z206" i="3"/>
  <c r="AA206" i="3"/>
  <c r="X206" i="3"/>
  <c r="W206" i="3"/>
  <c r="L291" i="3"/>
  <c r="O291" i="3"/>
  <c r="N291" i="3"/>
  <c r="K291" i="3"/>
  <c r="M291" i="3"/>
  <c r="AC206" i="3" l="1"/>
  <c r="V207" i="3"/>
  <c r="AF206" i="3"/>
  <c r="AE206" i="3"/>
  <c r="AA207" i="3"/>
  <c r="P291" i="3"/>
  <c r="I292" i="3" s="1"/>
  <c r="N292" i="3" s="1"/>
  <c r="Y207" i="3" l="1"/>
  <c r="Z207" i="3"/>
  <c r="W207" i="3"/>
  <c r="AB207" i="3"/>
  <c r="X207" i="3"/>
  <c r="K292" i="3"/>
  <c r="L292" i="3"/>
  <c r="O292" i="3"/>
  <c r="M292" i="3"/>
  <c r="J292" i="3"/>
  <c r="AC207" i="3" l="1"/>
  <c r="V208" i="3" s="1"/>
  <c r="AE207" i="3"/>
  <c r="P292" i="3"/>
  <c r="I293" i="3" s="1"/>
  <c r="N293" i="3" s="1"/>
  <c r="AA208" i="3" l="1"/>
  <c r="Y208" i="3"/>
  <c r="AF207" i="3"/>
  <c r="AB208" i="3"/>
  <c r="AE208" i="3" s="1"/>
  <c r="W208" i="3"/>
  <c r="X208" i="3"/>
  <c r="Z208" i="3"/>
  <c r="O293" i="3"/>
  <c r="M293" i="3"/>
  <c r="J293" i="3"/>
  <c r="L293" i="3"/>
  <c r="K293" i="3"/>
  <c r="AC208" i="3" l="1"/>
  <c r="AF208" i="3" s="1"/>
  <c r="P293" i="3"/>
  <c r="I294" i="3" s="1"/>
  <c r="K294" i="3" s="1"/>
  <c r="V209" i="3" l="1"/>
  <c r="AA209" i="3" s="1"/>
  <c r="Z209" i="3"/>
  <c r="X209" i="3"/>
  <c r="AB209" i="3"/>
  <c r="AE209" i="3" s="1"/>
  <c r="W209" i="3"/>
  <c r="Y209" i="3"/>
  <c r="M294" i="3"/>
  <c r="N294" i="3"/>
  <c r="J294" i="3"/>
  <c r="L294" i="3"/>
  <c r="O294" i="3"/>
  <c r="AC209" i="3" l="1"/>
  <c r="AF209" i="3" s="1"/>
  <c r="P294" i="3"/>
  <c r="I295" i="3" s="1"/>
  <c r="N295" i="3" s="1"/>
  <c r="V210" i="3" l="1"/>
  <c r="AA210" i="3" s="1"/>
  <c r="AB210" i="3"/>
  <c r="AE210" i="3" s="1"/>
  <c r="L295" i="3"/>
  <c r="O295" i="3"/>
  <c r="J295" i="3"/>
  <c r="K295" i="3"/>
  <c r="M295" i="3"/>
  <c r="Y210" i="3" l="1"/>
  <c r="X210" i="3"/>
  <c r="Z210" i="3"/>
  <c r="W210" i="3"/>
  <c r="P295" i="3"/>
  <c r="I296" i="3" s="1"/>
  <c r="N296" i="3" s="1"/>
  <c r="AC210" i="3" l="1"/>
  <c r="AF210" i="3"/>
  <c r="V211" i="3"/>
  <c r="M296" i="3"/>
  <c r="O296" i="3"/>
  <c r="K296" i="3"/>
  <c r="J296" i="3"/>
  <c r="L296" i="3"/>
  <c r="AB211" i="3" l="1"/>
  <c r="AE211" i="3" s="1"/>
  <c r="X211" i="3"/>
  <c r="W211" i="3"/>
  <c r="Z211" i="3"/>
  <c r="AA211" i="3"/>
  <c r="Y211" i="3"/>
  <c r="P296" i="3"/>
  <c r="I297" i="3" s="1"/>
  <c r="M297" i="3" s="1"/>
  <c r="AC211" i="3" l="1"/>
  <c r="AF211" i="3" s="1"/>
  <c r="J297" i="3"/>
  <c r="K297" i="3"/>
  <c r="L297" i="3"/>
  <c r="N297" i="3"/>
  <c r="O297" i="3"/>
  <c r="V212" i="3" l="1"/>
  <c r="P297" i="3"/>
  <c r="I298" i="3" s="1"/>
  <c r="K298" i="3" s="1"/>
  <c r="X212" i="3"/>
  <c r="AA212" i="3"/>
  <c r="Y212" i="3"/>
  <c r="W212" i="3"/>
  <c r="Z212" i="3"/>
  <c r="AB212" i="3"/>
  <c r="AE212" i="3" s="1"/>
  <c r="L298" i="3"/>
  <c r="N298" i="3"/>
  <c r="M298" i="3"/>
  <c r="O298" i="3" l="1"/>
  <c r="J298" i="3"/>
  <c r="P298" i="3" s="1"/>
  <c r="I299" i="3" s="1"/>
  <c r="J299" i="3" s="1"/>
  <c r="AC212" i="3"/>
  <c r="V213" i="3" l="1"/>
  <c r="AF212" i="3"/>
  <c r="L299" i="3"/>
  <c r="K299" i="3"/>
  <c r="O299" i="3"/>
  <c r="N299" i="3"/>
  <c r="M299" i="3"/>
  <c r="P299" i="3" l="1"/>
  <c r="I300" i="3" s="1"/>
  <c r="N300" i="3" s="1"/>
  <c r="AA213" i="3"/>
  <c r="Z213" i="3"/>
  <c r="W213" i="3"/>
  <c r="X213" i="3"/>
  <c r="AB213" i="3"/>
  <c r="AE213" i="3" s="1"/>
  <c r="Y213" i="3"/>
  <c r="M300" i="3"/>
  <c r="L300" i="3"/>
  <c r="K300" i="3"/>
  <c r="J300" i="3"/>
  <c r="O300" i="3" l="1"/>
  <c r="P300" i="3" s="1"/>
  <c r="I301" i="3" s="1"/>
  <c r="M301" i="3" s="1"/>
  <c r="AC213" i="3"/>
  <c r="V214" i="3" l="1"/>
  <c r="AF213" i="3"/>
  <c r="N301" i="3"/>
  <c r="O301" i="3"/>
  <c r="L301" i="3"/>
  <c r="K301" i="3"/>
  <c r="J301" i="3"/>
  <c r="W214" i="3" l="1"/>
  <c r="Z214" i="3"/>
  <c r="X214" i="3"/>
  <c r="AB214" i="3"/>
  <c r="AE214" i="3" s="1"/>
  <c r="Y214" i="3"/>
  <c r="AA214" i="3"/>
  <c r="P301" i="3"/>
  <c r="I302" i="3" s="1"/>
  <c r="N302" i="3" s="1"/>
  <c r="AC214" i="3" l="1"/>
  <c r="L302" i="3"/>
  <c r="O302" i="3"/>
  <c r="M302" i="3"/>
  <c r="AF214" i="3"/>
  <c r="V215" i="3"/>
  <c r="Y215" i="3" s="1"/>
  <c r="K302" i="3"/>
  <c r="J302" i="3"/>
  <c r="P302" i="3" l="1"/>
  <c r="I303" i="3" s="1"/>
  <c r="L303" i="3" s="1"/>
  <c r="W215" i="3"/>
  <c r="AA215" i="3"/>
  <c r="Z215" i="3"/>
  <c r="AB215" i="3"/>
  <c r="AE215" i="3" s="1"/>
  <c r="X215" i="3"/>
  <c r="M303" i="3"/>
  <c r="N303" i="3" l="1"/>
  <c r="J303" i="3"/>
  <c r="K303" i="3"/>
  <c r="O303" i="3"/>
  <c r="P303" i="3" s="1"/>
  <c r="I304" i="3" s="1"/>
  <c r="AC215" i="3"/>
  <c r="L304" i="3" l="1"/>
  <c r="M304" i="3"/>
  <c r="J304" i="3"/>
  <c r="O304" i="3"/>
  <c r="K304" i="3"/>
  <c r="N304" i="3"/>
  <c r="V216" i="3"/>
  <c r="AF215" i="3"/>
  <c r="P304" i="3" l="1"/>
  <c r="I305" i="3" s="1"/>
  <c r="J305" i="3" s="1"/>
  <c r="Y216" i="3"/>
  <c r="X216" i="3"/>
  <c r="Z216" i="3"/>
  <c r="W216" i="3"/>
  <c r="AB216" i="3"/>
  <c r="AE216" i="3" s="1"/>
  <c r="AA216" i="3"/>
  <c r="O305" i="3"/>
  <c r="M305" i="3"/>
  <c r="N305" i="3"/>
  <c r="L305" i="3"/>
  <c r="K305" i="3" l="1"/>
  <c r="AC216" i="3"/>
  <c r="P305" i="3"/>
  <c r="I306" i="3" s="1"/>
  <c r="N306" i="3" s="1"/>
  <c r="V217" i="3" l="1"/>
  <c r="AF216" i="3"/>
  <c r="O306" i="3"/>
  <c r="M306" i="3"/>
  <c r="K306" i="3"/>
  <c r="J306" i="3"/>
  <c r="L306" i="3"/>
  <c r="Y217" i="3" l="1"/>
  <c r="X217" i="3"/>
  <c r="Z217" i="3"/>
  <c r="AA217" i="3"/>
  <c r="W217" i="3"/>
  <c r="AB217" i="3"/>
  <c r="P306" i="3"/>
  <c r="I307" i="3" s="1"/>
  <c r="O307" i="3" s="1"/>
  <c r="M307" i="3" l="1"/>
  <c r="N307" i="3"/>
  <c r="J307" i="3"/>
  <c r="AE217" i="3"/>
  <c r="AC217" i="3"/>
  <c r="L307" i="3"/>
  <c r="K307" i="3"/>
  <c r="P307" i="3" l="1"/>
  <c r="I308" i="3" s="1"/>
  <c r="N308" i="3" s="1"/>
  <c r="M308" i="3"/>
  <c r="AF217" i="3"/>
  <c r="V218" i="3"/>
  <c r="L308" i="3"/>
  <c r="O308" i="3"/>
  <c r="K308" i="3"/>
  <c r="J308" i="3" l="1"/>
  <c r="AA218" i="3"/>
  <c r="Z218" i="3"/>
  <c r="X218" i="3"/>
  <c r="W218" i="3"/>
  <c r="AB218" i="3"/>
  <c r="AE218" i="3" s="1"/>
  <c r="Y218" i="3"/>
  <c r="P308" i="3"/>
  <c r="I309" i="3" s="1"/>
  <c r="O309" i="3" s="1"/>
  <c r="AC218" i="3" l="1"/>
  <c r="V219" i="3" s="1"/>
  <c r="J309" i="3"/>
  <c r="L309" i="3"/>
  <c r="M309" i="3"/>
  <c r="K309" i="3"/>
  <c r="N309" i="3"/>
  <c r="AF218" i="3" l="1"/>
  <c r="Y219" i="3"/>
  <c r="W219" i="3"/>
  <c r="Z219" i="3"/>
  <c r="X219" i="3"/>
  <c r="AB219" i="3"/>
  <c r="AA219" i="3"/>
  <c r="P309" i="3"/>
  <c r="I310" i="3" s="1"/>
  <c r="L310" i="3" s="1"/>
  <c r="AC219" i="3" l="1"/>
  <c r="J310" i="3"/>
  <c r="O310" i="3"/>
  <c r="N310" i="3"/>
  <c r="M310" i="3"/>
  <c r="AF219" i="3"/>
  <c r="V220" i="3"/>
  <c r="AA220" i="3" s="1"/>
  <c r="AE219" i="3"/>
  <c r="K310" i="3"/>
  <c r="P310" i="3" l="1"/>
  <c r="I311" i="3" s="1"/>
  <c r="N311" i="3" s="1"/>
  <c r="Y220" i="3"/>
  <c r="Z220" i="3"/>
  <c r="X220" i="3"/>
  <c r="W220" i="3"/>
  <c r="AB220" i="3"/>
  <c r="L311" i="3"/>
  <c r="M311" i="3"/>
  <c r="O311" i="3"/>
  <c r="J311" i="3"/>
  <c r="K311" i="3" l="1"/>
  <c r="AC220" i="3"/>
  <c r="V221" i="3" s="1"/>
  <c r="AA221" i="3" s="1"/>
  <c r="AE220" i="3"/>
  <c r="P311" i="3"/>
  <c r="I312" i="3" s="1"/>
  <c r="J312" i="3" s="1"/>
  <c r="AF220" i="3" l="1"/>
  <c r="W221" i="3"/>
  <c r="AB221" i="3"/>
  <c r="X221" i="3"/>
  <c r="Z221" i="3"/>
  <c r="Y221" i="3"/>
  <c r="M312" i="3"/>
  <c r="O312" i="3"/>
  <c r="L312" i="3"/>
  <c r="K312" i="3"/>
  <c r="N312" i="3"/>
  <c r="AC221" i="3" l="1"/>
  <c r="V222" i="3" s="1"/>
  <c r="AE221" i="3"/>
  <c r="P312" i="3"/>
  <c r="I313" i="3" s="1"/>
  <c r="N313" i="3" s="1"/>
  <c r="AA222" i="3" l="1"/>
  <c r="Y222" i="3"/>
  <c r="AF221" i="3"/>
  <c r="Z222" i="3"/>
  <c r="X222" i="3"/>
  <c r="AB222" i="3"/>
  <c r="AE222" i="3" s="1"/>
  <c r="W222" i="3"/>
  <c r="L313" i="3"/>
  <c r="O313" i="3"/>
  <c r="K313" i="3"/>
  <c r="J313" i="3"/>
  <c r="M313" i="3"/>
  <c r="AC222" i="3" l="1"/>
  <c r="AF222" i="3" s="1"/>
  <c r="P313" i="3"/>
  <c r="I314" i="3" s="1"/>
  <c r="V223" i="3" l="1"/>
  <c r="W223" i="3" s="1"/>
  <c r="AB223" i="3"/>
  <c r="AE223" i="3" s="1"/>
  <c r="Y223" i="3"/>
  <c r="AA223" i="3"/>
  <c r="Z223" i="3"/>
  <c r="J314" i="3"/>
  <c r="K314" i="3"/>
  <c r="O314" i="3"/>
  <c r="M314" i="3"/>
  <c r="L314" i="3"/>
  <c r="N314" i="3"/>
  <c r="X223" i="3" l="1"/>
  <c r="AC223" i="3" s="1"/>
  <c r="P314" i="3"/>
  <c r="I315" i="3" s="1"/>
  <c r="AF223" i="3" l="1"/>
  <c r="V224" i="3"/>
  <c r="L315" i="3"/>
  <c r="O315" i="3"/>
  <c r="K315" i="3"/>
  <c r="N315" i="3"/>
  <c r="J315" i="3"/>
  <c r="M315" i="3"/>
  <c r="Y224" i="3" l="1"/>
  <c r="X224" i="3"/>
  <c r="W224" i="3"/>
  <c r="Z224" i="3"/>
  <c r="AB224" i="3"/>
  <c r="AE224" i="3" s="1"/>
  <c r="AA224" i="3"/>
  <c r="P315" i="3"/>
  <c r="I316" i="3" s="1"/>
  <c r="AC224" i="3" l="1"/>
  <c r="V225" i="3" s="1"/>
  <c r="Y225" i="3" s="1"/>
  <c r="AF224" i="3"/>
  <c r="K316" i="3"/>
  <c r="J316" i="3"/>
  <c r="O316" i="3"/>
  <c r="L316" i="3"/>
  <c r="M316" i="3"/>
  <c r="N316" i="3"/>
  <c r="X225" i="3" l="1"/>
  <c r="AA225" i="3"/>
  <c r="W225" i="3"/>
  <c r="AB225" i="3"/>
  <c r="AE225" i="3" s="1"/>
  <c r="Z225" i="3"/>
  <c r="P316" i="3"/>
  <c r="I317" i="3" s="1"/>
  <c r="AC225" i="3" l="1"/>
  <c r="K317" i="3"/>
  <c r="J317" i="3"/>
  <c r="O317" i="3"/>
  <c r="L317" i="3"/>
  <c r="M317" i="3"/>
  <c r="N317" i="3"/>
  <c r="AF225" i="3" l="1"/>
  <c r="V226" i="3"/>
  <c r="P317" i="3"/>
  <c r="I318" i="3" s="1"/>
  <c r="J318" i="3" s="1"/>
  <c r="N318" i="3"/>
  <c r="L318" i="3" l="1"/>
  <c r="M318" i="3"/>
  <c r="O318" i="3"/>
  <c r="Z226" i="3"/>
  <c r="Y226" i="3"/>
  <c r="W226" i="3"/>
  <c r="X226" i="3"/>
  <c r="AA226" i="3"/>
  <c r="AB226" i="3"/>
  <c r="AE226" i="3" s="1"/>
  <c r="K318" i="3"/>
  <c r="P318" i="3" l="1"/>
  <c r="I319" i="3" s="1"/>
  <c r="K319" i="3" s="1"/>
  <c r="L319" i="3"/>
  <c r="N319" i="3"/>
  <c r="M319" i="3"/>
  <c r="AC226" i="3"/>
  <c r="J319" i="3"/>
  <c r="O319" i="3" l="1"/>
  <c r="AF226" i="3"/>
  <c r="V227" i="3"/>
  <c r="P319" i="3"/>
  <c r="I320" i="3" s="1"/>
  <c r="M320" i="3" s="1"/>
  <c r="L320" i="3" l="1"/>
  <c r="J320" i="3"/>
  <c r="O320" i="3"/>
  <c r="N320" i="3"/>
  <c r="K320" i="3"/>
  <c r="AA227" i="3"/>
  <c r="W227" i="3"/>
  <c r="X227" i="3"/>
  <c r="AB227" i="3"/>
  <c r="AE227" i="3" s="1"/>
  <c r="Z227" i="3"/>
  <c r="Y227" i="3"/>
  <c r="P320" i="3" l="1"/>
  <c r="I321" i="3" s="1"/>
  <c r="J321" i="3" s="1"/>
  <c r="AC227" i="3"/>
  <c r="N321" i="3"/>
  <c r="L321" i="3"/>
  <c r="M321" i="3"/>
  <c r="K321" i="3"/>
  <c r="O321" i="3"/>
  <c r="AF227" i="3" l="1"/>
  <c r="V228" i="3"/>
  <c r="P321" i="3"/>
  <c r="I322" i="3" s="1"/>
  <c r="L322" i="3" s="1"/>
  <c r="AA228" i="3" l="1"/>
  <c r="Z228" i="3"/>
  <c r="W228" i="3"/>
  <c r="X228" i="3"/>
  <c r="Y228" i="3"/>
  <c r="AB228" i="3"/>
  <c r="AE228" i="3" s="1"/>
  <c r="N322" i="3"/>
  <c r="M322" i="3"/>
  <c r="J322" i="3"/>
  <c r="K322" i="3"/>
  <c r="O322" i="3"/>
  <c r="AC228" i="3" l="1"/>
  <c r="P322" i="3"/>
  <c r="I323" i="3" s="1"/>
  <c r="K323" i="3" s="1"/>
  <c r="N323" i="3" l="1"/>
  <c r="AF228" i="3"/>
  <c r="V229" i="3"/>
  <c r="M323" i="3"/>
  <c r="L323" i="3"/>
  <c r="O323" i="3"/>
  <c r="J323" i="3"/>
  <c r="Y229" i="3" l="1"/>
  <c r="AB229" i="3"/>
  <c r="W229" i="3"/>
  <c r="Z229" i="3"/>
  <c r="X229" i="3"/>
  <c r="AA229" i="3"/>
  <c r="P323" i="3"/>
  <c r="I324" i="3" s="1"/>
  <c r="N324" i="3" s="1"/>
  <c r="AC229" i="3" l="1"/>
  <c r="K324" i="3"/>
  <c r="J324" i="3"/>
  <c r="V230" i="3"/>
  <c r="Y230" i="3" s="1"/>
  <c r="AF229" i="3"/>
  <c r="O324" i="3"/>
  <c r="L324" i="3"/>
  <c r="AE229" i="3"/>
  <c r="M324" i="3"/>
  <c r="P324" i="3" l="1"/>
  <c r="I325" i="3" s="1"/>
  <c r="J325" i="3" s="1"/>
  <c r="AA230" i="3"/>
  <c r="W230" i="3"/>
  <c r="Z230" i="3"/>
  <c r="X230" i="3"/>
  <c r="AB230" i="3"/>
  <c r="K325" i="3" l="1"/>
  <c r="O325" i="3"/>
  <c r="M325" i="3"/>
  <c r="N325" i="3"/>
  <c r="L325" i="3"/>
  <c r="AC230" i="3"/>
  <c r="V231" i="3" s="1"/>
  <c r="Y231" i="3" s="1"/>
  <c r="AE230" i="3"/>
  <c r="P325" i="3" l="1"/>
  <c r="I326" i="3" s="1"/>
  <c r="J326" i="3" s="1"/>
  <c r="AF230" i="3"/>
  <c r="AA231" i="3"/>
  <c r="AB231" i="3"/>
  <c r="W231" i="3"/>
  <c r="Z231" i="3"/>
  <c r="X231" i="3"/>
  <c r="K326" i="3"/>
  <c r="O326" i="3"/>
  <c r="L326" i="3"/>
  <c r="N326" i="3"/>
  <c r="M326" i="3"/>
  <c r="AC231" i="3" l="1"/>
  <c r="V232" i="3" s="1"/>
  <c r="AF231" i="3"/>
  <c r="AE231" i="3"/>
  <c r="P326" i="3"/>
  <c r="I327" i="3" s="1"/>
  <c r="J327" i="3" s="1"/>
  <c r="Y232" i="3" l="1"/>
  <c r="AA232" i="3"/>
  <c r="Z232" i="3"/>
  <c r="W232" i="3"/>
  <c r="X232" i="3"/>
  <c r="AB232" i="3"/>
  <c r="AE232" i="3" s="1"/>
  <c r="L327" i="3"/>
  <c r="N327" i="3"/>
  <c r="M327" i="3"/>
  <c r="O327" i="3"/>
  <c r="K327" i="3"/>
  <c r="AC232" i="3" l="1"/>
  <c r="AF232" i="3" s="1"/>
  <c r="P327" i="3"/>
  <c r="I328" i="3" s="1"/>
  <c r="K328" i="3" s="1"/>
  <c r="V233" i="3" l="1"/>
  <c r="Y233" i="3" s="1"/>
  <c r="AB233" i="3"/>
  <c r="AE233" i="3" s="1"/>
  <c r="L328" i="3"/>
  <c r="N328" i="3"/>
  <c r="M328" i="3"/>
  <c r="O328" i="3"/>
  <c r="J328" i="3"/>
  <c r="AA233" i="3" l="1"/>
  <c r="Z233" i="3"/>
  <c r="X233" i="3"/>
  <c r="W233" i="3"/>
  <c r="P328" i="3"/>
  <c r="I329" i="3" s="1"/>
  <c r="K329" i="3" s="1"/>
  <c r="M329" i="3"/>
  <c r="L329" i="3"/>
  <c r="N329" i="3"/>
  <c r="AC233" i="3" l="1"/>
  <c r="J329" i="3"/>
  <c r="O329" i="3"/>
  <c r="P329" i="3" s="1"/>
  <c r="I330" i="3" s="1"/>
  <c r="AF233" i="3"/>
  <c r="V234" i="3"/>
  <c r="M330" i="3" l="1"/>
  <c r="N330" i="3"/>
  <c r="J330" i="3"/>
  <c r="O330" i="3"/>
  <c r="L330" i="3"/>
  <c r="K330" i="3"/>
  <c r="AA234" i="3"/>
  <c r="Z234" i="3"/>
  <c r="X234" i="3"/>
  <c r="AB234" i="3"/>
  <c r="AE234" i="3" s="1"/>
  <c r="W234" i="3"/>
  <c r="Y234" i="3"/>
  <c r="P330" i="3" l="1"/>
  <c r="I331" i="3" s="1"/>
  <c r="K331" i="3" s="1"/>
  <c r="N331" i="3"/>
  <c r="L331" i="3"/>
  <c r="AC234" i="3"/>
  <c r="M331" i="3"/>
  <c r="O331" i="3"/>
  <c r="J331" i="3" l="1"/>
  <c r="P331" i="3"/>
  <c r="I332" i="3" s="1"/>
  <c r="J332" i="3" s="1"/>
  <c r="V235" i="3"/>
  <c r="AF234" i="3"/>
  <c r="L332" i="3" l="1"/>
  <c r="K332" i="3"/>
  <c r="M332" i="3"/>
  <c r="O332" i="3"/>
  <c r="N332" i="3"/>
  <c r="W235" i="3"/>
  <c r="X235" i="3"/>
  <c r="AB235" i="3"/>
  <c r="AE235" i="3" s="1"/>
  <c r="Z235" i="3"/>
  <c r="Y235" i="3"/>
  <c r="AA235" i="3"/>
  <c r="P332" i="3" l="1"/>
  <c r="I333" i="3" s="1"/>
  <c r="K333" i="3" s="1"/>
  <c r="L333" i="3"/>
  <c r="N333" i="3"/>
  <c r="M333" i="3"/>
  <c r="O333" i="3"/>
  <c r="J333" i="3"/>
  <c r="AC235" i="3"/>
  <c r="AF235" i="3" s="1"/>
  <c r="P333" i="3" l="1"/>
  <c r="I334" i="3" s="1"/>
  <c r="L334" i="3" s="1"/>
  <c r="V236" i="3"/>
  <c r="Y236" i="3" s="1"/>
  <c r="N334" i="3"/>
  <c r="M334" i="3"/>
  <c r="J334" i="3"/>
  <c r="O334" i="3"/>
  <c r="AA236" i="3"/>
  <c r="K334" i="3" l="1"/>
  <c r="Z236" i="3"/>
  <c r="W236" i="3"/>
  <c r="AB236" i="3"/>
  <c r="AE236" i="3" s="1"/>
  <c r="X236" i="3"/>
  <c r="P334" i="3"/>
  <c r="I335" i="3" s="1"/>
  <c r="O335" i="3" s="1"/>
  <c r="L335" i="3"/>
  <c r="M335" i="3"/>
  <c r="AC236" i="3" l="1"/>
  <c r="V237" i="3" s="1"/>
  <c r="AA237" i="3" s="1"/>
  <c r="J335" i="3"/>
  <c r="K335" i="3"/>
  <c r="AF236" i="3"/>
  <c r="N335" i="3"/>
  <c r="P335" i="3" s="1"/>
  <c r="I336" i="3" s="1"/>
  <c r="X237" i="3"/>
  <c r="Z237" i="3"/>
  <c r="W237" i="3"/>
  <c r="AB237" i="3"/>
  <c r="AE237" i="3" s="1"/>
  <c r="Y237" i="3" l="1"/>
  <c r="M336" i="3"/>
  <c r="J336" i="3"/>
  <c r="O336" i="3"/>
  <c r="K336" i="3"/>
  <c r="L336" i="3"/>
  <c r="N336" i="3"/>
  <c r="AC237" i="3"/>
  <c r="V238" i="3" s="1"/>
  <c r="P336" i="3" l="1"/>
  <c r="I337" i="3" s="1"/>
  <c r="K337" i="3" s="1"/>
  <c r="N337" i="3"/>
  <c r="M337" i="3"/>
  <c r="L337" i="3"/>
  <c r="AF237" i="3"/>
  <c r="AB238" i="3"/>
  <c r="AE238" i="3" s="1"/>
  <c r="Z238" i="3"/>
  <c r="W238" i="3"/>
  <c r="X238" i="3"/>
  <c r="Y238" i="3"/>
  <c r="AA238" i="3"/>
  <c r="O337" i="3" l="1"/>
  <c r="L338" i="3" s="1"/>
  <c r="J337" i="3"/>
  <c r="AC238" i="3"/>
  <c r="AF238" i="3" s="1"/>
  <c r="N338" i="3" l="1"/>
  <c r="M338" i="3"/>
  <c r="P337" i="3"/>
  <c r="I338" i="3" s="1"/>
  <c r="J338" i="3" s="1"/>
  <c r="V239" i="3"/>
  <c r="Z239" i="3" s="1"/>
  <c r="K338" i="3" l="1"/>
  <c r="O338" i="3"/>
  <c r="M339" i="3" s="1"/>
  <c r="X239" i="3"/>
  <c r="W239" i="3"/>
  <c r="AA239" i="3"/>
  <c r="AB239" i="3"/>
  <c r="AE239" i="3" s="1"/>
  <c r="Y239" i="3"/>
  <c r="N339" i="3"/>
  <c r="P338" i="3" l="1"/>
  <c r="I339" i="3" s="1"/>
  <c r="AC239" i="3"/>
  <c r="AF239" i="3" s="1"/>
  <c r="V240" i="3" l="1"/>
  <c r="L339" i="3"/>
  <c r="O339" i="3"/>
  <c r="K339" i="3"/>
  <c r="J339" i="3"/>
  <c r="AA240" i="3"/>
  <c r="Y240" i="3"/>
  <c r="Z240" i="3" l="1"/>
  <c r="W240" i="3"/>
  <c r="AB240" i="3"/>
  <c r="AE240" i="3" s="1"/>
  <c r="X240" i="3"/>
  <c r="L340" i="3"/>
  <c r="M340" i="3"/>
  <c r="P339" i="3"/>
  <c r="I340" i="3" s="1"/>
  <c r="AC240" i="3" l="1"/>
  <c r="AF240" i="3"/>
  <c r="V241" i="3"/>
  <c r="W241" i="3" s="1"/>
  <c r="Y241" i="3"/>
  <c r="N340" i="3"/>
  <c r="O340" i="3"/>
  <c r="J340" i="3"/>
  <c r="K340" i="3"/>
  <c r="AA241" i="3" l="1"/>
  <c r="AB241" i="3"/>
  <c r="AE241" i="3" s="1"/>
  <c r="Z241" i="3"/>
  <c r="X241" i="3"/>
  <c r="P340" i="3"/>
  <c r="I341" i="3" s="1"/>
  <c r="L341" i="3"/>
  <c r="N341" i="3"/>
  <c r="Y242" i="3" l="1"/>
  <c r="AC241" i="3"/>
  <c r="AF241" i="3" s="1"/>
  <c r="AA242" i="3"/>
  <c r="V242" i="3"/>
  <c r="X242" i="3" s="1"/>
  <c r="M341" i="3"/>
  <c r="K341" i="3"/>
  <c r="O341" i="3"/>
  <c r="J341" i="3"/>
  <c r="P341" i="3" l="1"/>
  <c r="I342" i="3" s="1"/>
  <c r="W242" i="3"/>
  <c r="Z242" i="3"/>
  <c r="AB242" i="3"/>
  <c r="AE242" i="3" s="1"/>
  <c r="J342" i="3"/>
  <c r="K342" i="3"/>
  <c r="O342" i="3"/>
  <c r="N343" i="3" s="1"/>
  <c r="N342" i="3"/>
  <c r="M342" i="3"/>
  <c r="L342" i="3"/>
  <c r="Y243" i="3" l="1"/>
  <c r="AA243" i="3"/>
  <c r="AC242" i="3"/>
  <c r="L343" i="3"/>
  <c r="P342" i="3"/>
  <c r="I343" i="3" s="1"/>
  <c r="AF242" i="3" l="1"/>
  <c r="V243" i="3"/>
  <c r="M343" i="3"/>
  <c r="K343" i="3"/>
  <c r="J343" i="3"/>
  <c r="O343" i="3"/>
  <c r="N344" i="3" s="1"/>
  <c r="Z243" i="3" l="1"/>
  <c r="AB243" i="3"/>
  <c r="AE243" i="3" s="1"/>
  <c r="W243" i="3"/>
  <c r="X243" i="3"/>
  <c r="L344" i="3"/>
  <c r="M344" i="3"/>
  <c r="P343" i="3"/>
  <c r="I344" i="3" s="1"/>
  <c r="AA244" i="3" l="1"/>
  <c r="Y244" i="3"/>
  <c r="AC243" i="3"/>
  <c r="K344" i="3"/>
  <c r="J344" i="3"/>
  <c r="O344" i="3"/>
  <c r="M345" i="3" s="1"/>
  <c r="V244" i="3" l="1"/>
  <c r="AF243" i="3"/>
  <c r="P344" i="3"/>
  <c r="I345" i="3" s="1"/>
  <c r="N345" i="3"/>
  <c r="W244" i="3" l="1"/>
  <c r="X244" i="3"/>
  <c r="AB244" i="3"/>
  <c r="Z244" i="3"/>
  <c r="L345" i="3"/>
  <c r="J345" i="3"/>
  <c r="K345" i="3"/>
  <c r="O345" i="3"/>
  <c r="AC244" i="3" l="1"/>
  <c r="N346" i="3"/>
  <c r="M346" i="3"/>
  <c r="AE244" i="3"/>
  <c r="AA245" i="3"/>
  <c r="AF244" i="3"/>
  <c r="V245" i="3"/>
  <c r="P345" i="3"/>
  <c r="I346" i="3" s="1"/>
  <c r="Y245" i="3" l="1"/>
  <c r="W245" i="3"/>
  <c r="AB245" i="3"/>
  <c r="AE245" i="3" s="1"/>
  <c r="X245" i="3"/>
  <c r="Z245" i="3"/>
  <c r="L346" i="3"/>
  <c r="K346" i="3"/>
  <c r="J346" i="3"/>
  <c r="O346" i="3"/>
  <c r="AC245" i="3" l="1"/>
  <c r="AA246" i="3"/>
  <c r="Y246" i="3"/>
  <c r="AF245" i="3"/>
  <c r="V246" i="3"/>
  <c r="L347" i="3"/>
  <c r="N347" i="3"/>
  <c r="P346" i="3"/>
  <c r="I347" i="3" s="1"/>
  <c r="Z246" i="3" l="1"/>
  <c r="W246" i="3"/>
  <c r="AB246" i="3"/>
  <c r="AE246" i="3" s="1"/>
  <c r="X246" i="3"/>
  <c r="M347" i="3"/>
  <c r="O347" i="3"/>
  <c r="K347" i="3"/>
  <c r="J347" i="3"/>
  <c r="AC246" i="3" l="1"/>
  <c r="AA247" i="3"/>
  <c r="M348" i="3"/>
  <c r="N348" i="3"/>
  <c r="P347" i="3"/>
  <c r="I348" i="3" s="1"/>
  <c r="L348" i="3" s="1"/>
  <c r="O348" i="3" l="1"/>
  <c r="K348" i="3"/>
  <c r="AF246" i="3"/>
  <c r="V247" i="3"/>
  <c r="J348" i="3"/>
  <c r="P348" i="3" s="1"/>
  <c r="I349" i="3" s="1"/>
  <c r="K349" i="3" s="1"/>
  <c r="M349" i="3"/>
  <c r="L349" i="3"/>
  <c r="N349" i="3"/>
  <c r="Y247" i="3" l="1"/>
  <c r="X247" i="3"/>
  <c r="AB247" i="3"/>
  <c r="AE247" i="3" s="1"/>
  <c r="W247" i="3"/>
  <c r="Z247" i="3"/>
  <c r="O349" i="3"/>
  <c r="L350" i="3" s="1"/>
  <c r="J349" i="3"/>
  <c r="AC247" i="3" l="1"/>
  <c r="AF247" i="3" s="1"/>
  <c r="Y248" i="3"/>
  <c r="P349" i="3"/>
  <c r="I350" i="3" s="1"/>
  <c r="O350" i="3" s="1"/>
  <c r="N350" i="3"/>
  <c r="M350" i="3"/>
  <c r="K350" i="3" l="1"/>
  <c r="N351" i="3" s="1"/>
  <c r="J350" i="3"/>
  <c r="P350" i="3" s="1"/>
  <c r="I351" i="3" s="1"/>
  <c r="K351" i="3" s="1"/>
  <c r="V248" i="3"/>
  <c r="AA248" i="3"/>
  <c r="AB248" i="3"/>
  <c r="AE248" i="3" s="1"/>
  <c r="W248" i="3"/>
  <c r="Z248" i="3"/>
  <c r="M351" i="3"/>
  <c r="L351" i="3"/>
  <c r="X248" i="3" l="1"/>
  <c r="AC248" i="3" s="1"/>
  <c r="J351" i="3"/>
  <c r="O351" i="3"/>
  <c r="M352" i="3" s="1"/>
  <c r="AA249" i="3" l="1"/>
  <c r="V249" i="3"/>
  <c r="AF248" i="3"/>
  <c r="Y249" i="3"/>
  <c r="X249" i="3"/>
  <c r="W249" i="3"/>
  <c r="AB249" i="3"/>
  <c r="AE249" i="3" s="1"/>
  <c r="Z249" i="3"/>
  <c r="N352" i="3"/>
  <c r="P351" i="3"/>
  <c r="I352" i="3" s="1"/>
  <c r="K352" i="3" s="1"/>
  <c r="L352" i="3"/>
  <c r="J352" i="3" l="1"/>
  <c r="AC249" i="3"/>
  <c r="O352" i="3"/>
  <c r="M353" i="3" s="1"/>
  <c r="AA250" i="3"/>
  <c r="Y250" i="3"/>
  <c r="N353" i="3" l="1"/>
  <c r="L353" i="3"/>
  <c r="P352" i="3"/>
  <c r="I353" i="3" s="1"/>
  <c r="K353" i="3" s="1"/>
  <c r="V250" i="3"/>
  <c r="AF249" i="3"/>
  <c r="J353" i="3" l="1"/>
  <c r="O353" i="3"/>
  <c r="P353" i="3" s="1"/>
  <c r="I354" i="3" s="1"/>
  <c r="W250" i="3"/>
  <c r="Z250" i="3"/>
  <c r="AB250" i="3"/>
  <c r="AE250" i="3" s="1"/>
  <c r="X250" i="3"/>
  <c r="L354" i="3" l="1"/>
  <c r="M354" i="3"/>
  <c r="N354" i="3"/>
  <c r="J354" i="3"/>
  <c r="O354" i="3"/>
  <c r="K354" i="3"/>
  <c r="AC250" i="3"/>
  <c r="Y251" i="3"/>
  <c r="AA251" i="3"/>
  <c r="P354" i="3" l="1"/>
  <c r="I355" i="3" s="1"/>
  <c r="N355" i="3" s="1"/>
  <c r="AF250" i="3"/>
  <c r="V251" i="3"/>
  <c r="M355" i="3"/>
  <c r="L355" i="3"/>
  <c r="K355" i="3"/>
  <c r="O355" i="3"/>
  <c r="J355" i="3"/>
  <c r="W251" i="3" l="1"/>
  <c r="X251" i="3"/>
  <c r="AB251" i="3"/>
  <c r="AE251" i="3" s="1"/>
  <c r="Z251" i="3"/>
  <c r="P355" i="3"/>
  <c r="I356" i="3" s="1"/>
  <c r="J356" i="3" s="1"/>
  <c r="Y252" i="3" l="1"/>
  <c r="AA252" i="3"/>
  <c r="AC251" i="3"/>
  <c r="M356" i="3"/>
  <c r="K356" i="3"/>
  <c r="O356" i="3"/>
  <c r="N356" i="3"/>
  <c r="L356" i="3"/>
  <c r="V252" i="3" l="1"/>
  <c r="AF251" i="3"/>
  <c r="P356" i="3"/>
  <c r="I357" i="3" s="1"/>
  <c r="L357" i="3" s="1"/>
  <c r="M357" i="3"/>
  <c r="N357" i="3"/>
  <c r="O357" i="3"/>
  <c r="K357" i="3" l="1"/>
  <c r="X252" i="3"/>
  <c r="W252" i="3"/>
  <c r="Z252" i="3"/>
  <c r="AB252" i="3"/>
  <c r="J357" i="3"/>
  <c r="P357" i="3" s="1"/>
  <c r="I358" i="3" s="1"/>
  <c r="J358" i="3" s="1"/>
  <c r="AE252" i="3" l="1"/>
  <c r="Y253" i="3"/>
  <c r="AC252" i="3"/>
  <c r="O358" i="3"/>
  <c r="K358" i="3"/>
  <c r="M358" i="3"/>
  <c r="N358" i="3"/>
  <c r="L358" i="3"/>
  <c r="AF252" i="3" l="1"/>
  <c r="V253" i="3"/>
  <c r="P358" i="3"/>
  <c r="I359" i="3" s="1"/>
  <c r="K359" i="3" s="1"/>
  <c r="AA253" i="3" l="1"/>
  <c r="X253" i="3"/>
  <c r="W253" i="3"/>
  <c r="Z253" i="3"/>
  <c r="AB253" i="3"/>
  <c r="AC253" i="3" s="1"/>
  <c r="N359" i="3"/>
  <c r="J359" i="3"/>
  <c r="O359" i="3"/>
  <c r="M359" i="3"/>
  <c r="L359" i="3"/>
  <c r="AF253" i="3" l="1"/>
  <c r="V254" i="3"/>
  <c r="AE253" i="3"/>
  <c r="AA254" i="3"/>
  <c r="Y254" i="3"/>
  <c r="P359" i="3"/>
  <c r="I360" i="3" s="1"/>
  <c r="J360" i="3" s="1"/>
  <c r="M360" i="3"/>
  <c r="L360" i="3"/>
  <c r="N360" i="3"/>
  <c r="O360" i="3" l="1"/>
  <c r="K360" i="3"/>
  <c r="P360" i="3" s="1"/>
  <c r="I361" i="3" s="1"/>
  <c r="M361" i="3" s="1"/>
  <c r="AB254" i="3"/>
  <c r="AE254" i="3" s="1"/>
  <c r="W254" i="3"/>
  <c r="Z254" i="3"/>
  <c r="X254" i="3"/>
  <c r="AC254" i="3" l="1"/>
  <c r="AA255" i="3"/>
  <c r="Y255" i="3"/>
  <c r="V255" i="3"/>
  <c r="AF254" i="3"/>
  <c r="J361" i="3"/>
  <c r="O361" i="3"/>
  <c r="K361" i="3"/>
  <c r="L361" i="3"/>
  <c r="N361" i="3"/>
  <c r="W255" i="3" l="1"/>
  <c r="AB255" i="3"/>
  <c r="X255" i="3"/>
  <c r="Z255" i="3"/>
  <c r="AC255" i="3" s="1"/>
  <c r="P361" i="3"/>
  <c r="I362" i="3" s="1"/>
  <c r="O362" i="3" s="1"/>
  <c r="M362" i="3"/>
  <c r="L362" i="3"/>
  <c r="N362" i="3"/>
  <c r="AE255" i="3" l="1"/>
  <c r="Y256" i="3"/>
  <c r="AF255" i="3"/>
  <c r="V256" i="3"/>
  <c r="J362" i="3"/>
  <c r="K362" i="3"/>
  <c r="P362" i="3" l="1"/>
  <c r="I363" i="3" s="1"/>
  <c r="M363" i="3" s="1"/>
  <c r="AA256" i="3"/>
  <c r="Z256" i="3"/>
  <c r="W256" i="3"/>
  <c r="X256" i="3"/>
  <c r="AB256" i="3"/>
  <c r="AC256" i="3" s="1"/>
  <c r="K363" i="3"/>
  <c r="J363" i="3"/>
  <c r="O363" i="3"/>
  <c r="N363" i="3"/>
  <c r="L363" i="3"/>
  <c r="V257" i="3" l="1"/>
  <c r="AF256" i="3"/>
  <c r="AE256" i="3"/>
  <c r="Y257" i="3"/>
  <c r="P363" i="3"/>
  <c r="I364" i="3" s="1"/>
  <c r="K364" i="3" s="1"/>
  <c r="AA257" i="3" l="1"/>
  <c r="X257" i="3"/>
  <c r="AB257" i="3"/>
  <c r="Z257" i="3"/>
  <c r="W257" i="3"/>
  <c r="N364" i="3"/>
  <c r="M364" i="3"/>
  <c r="O364" i="3"/>
  <c r="L364" i="3"/>
  <c r="J364" i="3"/>
  <c r="AC257" i="3" l="1"/>
  <c r="AF257" i="3" s="1"/>
  <c r="V258" i="3"/>
  <c r="AE257" i="3"/>
  <c r="Y258" i="3"/>
  <c r="AA258" i="3"/>
  <c r="P364" i="3"/>
  <c r="I365" i="3" s="1"/>
  <c r="M365" i="3" s="1"/>
  <c r="L365" i="3"/>
  <c r="N365" i="3"/>
  <c r="J365" i="3" l="1"/>
  <c r="K365" i="3"/>
  <c r="X258" i="3"/>
  <c r="W258" i="3"/>
  <c r="AB258" i="3"/>
  <c r="AE258" i="3" s="1"/>
  <c r="Z258" i="3"/>
  <c r="O365" i="3"/>
  <c r="P365" i="3" s="1"/>
  <c r="I366" i="3" s="1"/>
  <c r="M366" i="3" s="1"/>
  <c r="AC258" i="3" l="1"/>
  <c r="V259" i="3" s="1"/>
  <c r="Y259" i="3"/>
  <c r="AF258" i="3"/>
  <c r="AA259" i="3"/>
  <c r="N366" i="3"/>
  <c r="O366" i="3"/>
  <c r="J366" i="3"/>
  <c r="L366" i="3"/>
  <c r="K366" i="3"/>
  <c r="W259" i="3" l="1"/>
  <c r="X259" i="3"/>
  <c r="AB259" i="3"/>
  <c r="AE259" i="3" s="1"/>
  <c r="Z259" i="3"/>
  <c r="P366" i="3"/>
  <c r="I367" i="3" s="1"/>
  <c r="J367" i="3" s="1"/>
  <c r="Y260" i="3" l="1"/>
  <c r="AC259" i="3"/>
  <c r="L367" i="3"/>
  <c r="M367" i="3"/>
  <c r="O367" i="3"/>
  <c r="K367" i="3"/>
  <c r="N367" i="3"/>
  <c r="AF259" i="3" l="1"/>
  <c r="V260" i="3"/>
  <c r="P367" i="3"/>
  <c r="I368" i="3" s="1"/>
  <c r="K368" i="3" s="1"/>
  <c r="L368" i="3"/>
  <c r="M368" i="3"/>
  <c r="N368" i="3"/>
  <c r="J368" i="3" l="1"/>
  <c r="AA260" i="3"/>
  <c r="Z260" i="3"/>
  <c r="X260" i="3"/>
  <c r="W260" i="3"/>
  <c r="AB260" i="3"/>
  <c r="AC260" i="3" s="1"/>
  <c r="O368" i="3"/>
  <c r="P368" i="3" s="1"/>
  <c r="I369" i="3" s="1"/>
  <c r="L369" i="3" s="1"/>
  <c r="AF260" i="3" l="1"/>
  <c r="V261" i="3"/>
  <c r="AE260" i="3"/>
  <c r="AA261" i="3"/>
  <c r="O369" i="3"/>
  <c r="N369" i="3"/>
  <c r="M369" i="3"/>
  <c r="J369" i="3"/>
  <c r="K369" i="3"/>
  <c r="Y261" i="3" l="1"/>
  <c r="X261" i="3"/>
  <c r="Z261" i="3"/>
  <c r="W261" i="3"/>
  <c r="AB261" i="3"/>
  <c r="AC261" i="3" s="1"/>
  <c r="P369" i="3"/>
  <c r="I370" i="3" s="1"/>
  <c r="J370" i="3" s="1"/>
  <c r="AF261" i="3" l="1"/>
  <c r="V262" i="3"/>
  <c r="AE261" i="3"/>
  <c r="AA262" i="3"/>
  <c r="Y262" i="3"/>
  <c r="O370" i="3"/>
  <c r="M370" i="3"/>
  <c r="L370" i="3"/>
  <c r="K370" i="3"/>
  <c r="N370" i="3"/>
  <c r="X262" i="3" l="1"/>
  <c r="Z262" i="3"/>
  <c r="W262" i="3"/>
  <c r="AB262" i="3"/>
  <c r="AE262" i="3" s="1"/>
  <c r="P370" i="3"/>
  <c r="I371" i="3" s="1"/>
  <c r="J371" i="3" s="1"/>
  <c r="AA263" i="3" l="1"/>
  <c r="Y263" i="3"/>
  <c r="AC262" i="3"/>
  <c r="N371" i="3"/>
  <c r="O371" i="3"/>
  <c r="K371" i="3"/>
  <c r="M371" i="3"/>
  <c r="L371" i="3"/>
  <c r="AF262" i="3" l="1"/>
  <c r="V263" i="3"/>
  <c r="P371" i="3"/>
  <c r="I372" i="3" s="1"/>
  <c r="L372" i="3" s="1"/>
  <c r="AB263" i="3" l="1"/>
  <c r="AE263" i="3" s="1"/>
  <c r="Z263" i="3"/>
  <c r="X263" i="3"/>
  <c r="AA264" i="3" s="1"/>
  <c r="W263" i="3"/>
  <c r="AC263" i="3" s="1"/>
  <c r="Y264" i="3"/>
  <c r="O372" i="3"/>
  <c r="K372" i="3"/>
  <c r="N372" i="3"/>
  <c r="M372" i="3"/>
  <c r="J372" i="3"/>
  <c r="AF263" i="3" l="1"/>
  <c r="V264" i="3"/>
  <c r="P372" i="3"/>
  <c r="I373" i="3" s="1"/>
  <c r="J373" i="3" s="1"/>
  <c r="W264" i="3" l="1"/>
  <c r="Z264" i="3"/>
  <c r="AB264" i="3"/>
  <c r="AE264" i="3" s="1"/>
  <c r="X264" i="3"/>
  <c r="L373" i="3"/>
  <c r="O373" i="3"/>
  <c r="N373" i="3"/>
  <c r="M373" i="3"/>
  <c r="K373" i="3"/>
  <c r="AA265" i="3" l="1"/>
  <c r="Y265" i="3"/>
  <c r="AC264" i="3"/>
  <c r="P373" i="3"/>
  <c r="I374" i="3" s="1"/>
  <c r="N374" i="3" s="1"/>
  <c r="AF264" i="3" l="1"/>
  <c r="V265" i="3"/>
  <c r="J374" i="3"/>
  <c r="K374" i="3"/>
  <c r="M374" i="3"/>
  <c r="L374" i="3"/>
  <c r="O374" i="3"/>
  <c r="W265" i="3" l="1"/>
  <c r="AB265" i="3"/>
  <c r="X265" i="3"/>
  <c r="Z265" i="3"/>
  <c r="AC265" i="3" s="1"/>
  <c r="P374" i="3"/>
  <c r="I375" i="3" s="1"/>
  <c r="N375" i="3" s="1"/>
  <c r="AF265" i="3" l="1"/>
  <c r="V266" i="3"/>
  <c r="AE265" i="3"/>
  <c r="AA266" i="3"/>
  <c r="Y266" i="3"/>
  <c r="K375" i="3"/>
  <c r="M375" i="3"/>
  <c r="O375" i="3"/>
  <c r="J375" i="3"/>
  <c r="L375" i="3"/>
  <c r="X266" i="3" l="1"/>
  <c r="AB266" i="3"/>
  <c r="W266" i="3"/>
  <c r="Z266" i="3"/>
  <c r="P375" i="3"/>
  <c r="I376" i="3" s="1"/>
  <c r="J376" i="3" s="1"/>
  <c r="O376" i="3" l="1"/>
  <c r="AC266" i="3"/>
  <c r="V267" i="3" s="1"/>
  <c r="AF266" i="3"/>
  <c r="AE266" i="3"/>
  <c r="Y267" i="3"/>
  <c r="AA267" i="3"/>
  <c r="N376" i="3"/>
  <c r="M376" i="3"/>
  <c r="L376" i="3"/>
  <c r="K376" i="3"/>
  <c r="Z267" i="3" l="1"/>
  <c r="X267" i="3"/>
  <c r="AB267" i="3"/>
  <c r="W267" i="3"/>
  <c r="P376" i="3"/>
  <c r="I377" i="3" s="1"/>
  <c r="L377" i="3" s="1"/>
  <c r="M377" i="3"/>
  <c r="N377" i="3"/>
  <c r="AC267" i="3" l="1"/>
  <c r="AE267" i="3"/>
  <c r="Y268" i="3"/>
  <c r="J377" i="3"/>
  <c r="AF267" i="3"/>
  <c r="V268" i="3"/>
  <c r="O377" i="3"/>
  <c r="K377" i="3"/>
  <c r="N378" i="3" l="1"/>
  <c r="M378" i="3"/>
  <c r="L378" i="3"/>
  <c r="P377" i="3"/>
  <c r="I378" i="3" s="1"/>
  <c r="J378" i="3" s="1"/>
  <c r="AA268" i="3"/>
  <c r="AB268" i="3"/>
  <c r="AE268" i="3" s="1"/>
  <c r="Z268" i="3"/>
  <c r="W268" i="3"/>
  <c r="X268" i="3"/>
  <c r="AC268" i="3" l="1"/>
  <c r="AF268" i="3" s="1"/>
  <c r="K378" i="3"/>
  <c r="V269" i="3"/>
  <c r="AA269" i="3"/>
  <c r="Y269" i="3"/>
  <c r="O378" i="3"/>
  <c r="L379" i="3" s="1"/>
  <c r="N379" i="3" l="1"/>
  <c r="P378" i="3"/>
  <c r="I379" i="3" s="1"/>
  <c r="M379" i="3"/>
  <c r="Z269" i="3"/>
  <c r="W269" i="3"/>
  <c r="X269" i="3"/>
  <c r="AB269" i="3"/>
  <c r="AE269" i="3" s="1"/>
  <c r="Y270" i="3" l="1"/>
  <c r="AA270" i="3"/>
  <c r="AC269" i="3"/>
  <c r="J379" i="3"/>
  <c r="O379" i="3"/>
  <c r="K379" i="3"/>
  <c r="N380" i="3" l="1"/>
  <c r="M380" i="3"/>
  <c r="P379" i="3"/>
  <c r="I380" i="3" s="1"/>
  <c r="AF269" i="3"/>
  <c r="V270" i="3"/>
  <c r="L380" i="3" l="1"/>
  <c r="O380" i="3"/>
  <c r="J380" i="3"/>
  <c r="K380" i="3"/>
  <c r="Z270" i="3"/>
  <c r="AB270" i="3"/>
  <c r="AE270" i="3" s="1"/>
  <c r="X270" i="3"/>
  <c r="W270" i="3"/>
  <c r="L381" i="3" l="1"/>
  <c r="AC270" i="3"/>
  <c r="M381" i="3"/>
  <c r="N381" i="3"/>
  <c r="V271" i="3"/>
  <c r="AF270" i="3"/>
  <c r="P380" i="3"/>
  <c r="I381" i="3" s="1"/>
  <c r="Y271" i="3"/>
  <c r="AA271" i="3"/>
  <c r="J381" i="3" l="1"/>
  <c r="O381" i="3"/>
  <c r="K381" i="3"/>
  <c r="AB271" i="3"/>
  <c r="AE271" i="3" s="1"/>
  <c r="X271" i="3"/>
  <c r="Z271" i="3"/>
  <c r="W271" i="3"/>
  <c r="P381" i="3" l="1"/>
  <c r="I382" i="3" s="1"/>
  <c r="J382" i="3" s="1"/>
  <c r="O382" i="3"/>
  <c r="M382" i="3"/>
  <c r="N382" i="3"/>
  <c r="AC271" i="3"/>
  <c r="L382" i="3"/>
  <c r="Y272" i="3"/>
  <c r="AA272" i="3"/>
  <c r="K382" i="3" l="1"/>
  <c r="M383" i="3" s="1"/>
  <c r="P382" i="3"/>
  <c r="I383" i="3" s="1"/>
  <c r="K383" i="3" s="1"/>
  <c r="AF271" i="3"/>
  <c r="V272" i="3"/>
  <c r="L383" i="3"/>
  <c r="N383" i="3" l="1"/>
  <c r="O383" i="3"/>
  <c r="M384" i="3" s="1"/>
  <c r="J383" i="3"/>
  <c r="P383" i="3" s="1"/>
  <c r="I384" i="3" s="1"/>
  <c r="Z272" i="3"/>
  <c r="X272" i="3"/>
  <c r="AB272" i="3"/>
  <c r="Y273" i="3" s="1"/>
  <c r="W272" i="3"/>
  <c r="L384" i="3"/>
  <c r="N384" i="3" l="1"/>
  <c r="O384" i="3"/>
  <c r="J384" i="3"/>
  <c r="P384" i="3" s="1"/>
  <c r="I385" i="3" s="1"/>
  <c r="L385" i="3" s="1"/>
  <c r="K384" i="3"/>
  <c r="AC272" i="3"/>
  <c r="V273" i="3" s="1"/>
  <c r="Z273" i="3" s="1"/>
  <c r="AE272" i="3"/>
  <c r="AA273" i="3"/>
  <c r="AB273" i="3"/>
  <c r="AE273" i="3" s="1"/>
  <c r="AF272" i="3" l="1"/>
  <c r="W273" i="3"/>
  <c r="X273" i="3"/>
  <c r="AC273" i="3"/>
  <c r="V274" i="3" s="1"/>
  <c r="K385" i="3"/>
  <c r="O385" i="3"/>
  <c r="M385" i="3"/>
  <c r="N385" i="3"/>
  <c r="J385" i="3"/>
  <c r="AF273" i="3" l="1"/>
  <c r="AB274" i="3"/>
  <c r="AE274" i="3" s="1"/>
  <c r="X274" i="3"/>
  <c r="AA274" i="3"/>
  <c r="Y274" i="3"/>
  <c r="W274" i="3"/>
  <c r="Z274" i="3"/>
  <c r="P385" i="3"/>
  <c r="I386" i="3" s="1"/>
  <c r="N386" i="3" s="1"/>
  <c r="AC274" i="3" l="1"/>
  <c r="V275" i="3" s="1"/>
  <c r="O386" i="3"/>
  <c r="L386" i="3"/>
  <c r="M386" i="3"/>
  <c r="K386" i="3"/>
  <c r="J386" i="3"/>
  <c r="AF274" i="3" l="1"/>
  <c r="AB275" i="3"/>
  <c r="AA275" i="3"/>
  <c r="Z275" i="3"/>
  <c r="X275" i="3"/>
  <c r="Y275" i="3"/>
  <c r="W275" i="3"/>
  <c r="P386" i="3"/>
  <c r="I387" i="3" s="1"/>
  <c r="K387" i="3" s="1"/>
  <c r="AC275" i="3" l="1"/>
  <c r="V276" i="3" s="1"/>
  <c r="AE275" i="3"/>
  <c r="Y276" i="3"/>
  <c r="AA276" i="3"/>
  <c r="M387" i="3"/>
  <c r="L387" i="3"/>
  <c r="O387" i="3"/>
  <c r="N387" i="3"/>
  <c r="J387" i="3"/>
  <c r="AF275" i="3" l="1"/>
  <c r="W276" i="3"/>
  <c r="X276" i="3"/>
  <c r="AB276" i="3"/>
  <c r="Z276" i="3"/>
  <c r="P387" i="3"/>
  <c r="I388" i="3" s="1"/>
  <c r="M388" i="3" s="1"/>
  <c r="AC276" i="3" l="1"/>
  <c r="V277" i="3"/>
  <c r="Y277" i="3" s="1"/>
  <c r="AF276" i="3"/>
  <c r="AE276" i="3"/>
  <c r="L388" i="3"/>
  <c r="J388" i="3"/>
  <c r="O388" i="3"/>
  <c r="K388" i="3"/>
  <c r="N388" i="3"/>
  <c r="AA277" i="3" l="1"/>
  <c r="X277" i="3"/>
  <c r="AB277" i="3"/>
  <c r="W277" i="3"/>
  <c r="Z277" i="3"/>
  <c r="P388" i="3"/>
  <c r="I389" i="3" s="1"/>
  <c r="J389" i="3" s="1"/>
  <c r="AC277" i="3" l="1"/>
  <c r="M389" i="3"/>
  <c r="L389" i="3"/>
  <c r="AF277" i="3"/>
  <c r="V278" i="3"/>
  <c r="K389" i="3"/>
  <c r="O389" i="3"/>
  <c r="AE277" i="3"/>
  <c r="Y278" i="3"/>
  <c r="N389" i="3"/>
  <c r="P389" i="3" l="1"/>
  <c r="I390" i="3" s="1"/>
  <c r="N390" i="3" s="1"/>
  <c r="AA278" i="3"/>
  <c r="Z278" i="3"/>
  <c r="W278" i="3"/>
  <c r="X278" i="3"/>
  <c r="AB278" i="3"/>
  <c r="AC278" i="3" s="1"/>
  <c r="J390" i="3"/>
  <c r="K390" i="3"/>
  <c r="O390" i="3"/>
  <c r="L390" i="3"/>
  <c r="M390" i="3"/>
  <c r="V279" i="3" l="1"/>
  <c r="AF278" i="3"/>
  <c r="AE278" i="3"/>
  <c r="Y279" i="3"/>
  <c r="P390" i="3"/>
  <c r="I391" i="3" s="1"/>
  <c r="AB279" i="3" l="1"/>
  <c r="Z279" i="3"/>
  <c r="X279" i="3"/>
  <c r="W279" i="3"/>
  <c r="AA279" i="3"/>
  <c r="L391" i="3"/>
  <c r="O391" i="3"/>
  <c r="K391" i="3"/>
  <c r="J391" i="3"/>
  <c r="M391" i="3"/>
  <c r="N391" i="3"/>
  <c r="AC279" i="3" l="1"/>
  <c r="AF279" i="3" s="1"/>
  <c r="AE279" i="3"/>
  <c r="P391" i="3"/>
  <c r="I392" i="3" s="1"/>
  <c r="M392" i="3" s="1"/>
  <c r="V280" i="3" l="1"/>
  <c r="AA280" i="3" s="1"/>
  <c r="Y280" i="3"/>
  <c r="Z280" i="3"/>
  <c r="AB280" i="3"/>
  <c r="AE280" i="3" s="1"/>
  <c r="X280" i="3"/>
  <c r="W280" i="3"/>
  <c r="K392" i="3"/>
  <c r="O392" i="3"/>
  <c r="J392" i="3"/>
  <c r="N392" i="3"/>
  <c r="L392" i="3"/>
  <c r="AC280" i="3" l="1"/>
  <c r="AF280" i="3" s="1"/>
  <c r="P392" i="3"/>
  <c r="I393" i="3" s="1"/>
  <c r="M393" i="3" s="1"/>
  <c r="V281" i="3" l="1"/>
  <c r="W281" i="3" s="1"/>
  <c r="Y281" i="3"/>
  <c r="AA281" i="3"/>
  <c r="AB281" i="3"/>
  <c r="AE281" i="3" s="1"/>
  <c r="Z281" i="3"/>
  <c r="X281" i="3"/>
  <c r="L393" i="3"/>
  <c r="K393" i="3"/>
  <c r="O393" i="3"/>
  <c r="J393" i="3"/>
  <c r="N393" i="3"/>
  <c r="AC281" i="3" l="1"/>
  <c r="P393" i="3"/>
  <c r="I394" i="3" s="1"/>
  <c r="J394" i="3" s="1"/>
  <c r="V282" i="3" l="1"/>
  <c r="AF281" i="3"/>
  <c r="L394" i="3"/>
  <c r="M394" i="3"/>
  <c r="N394" i="3"/>
  <c r="O394" i="3"/>
  <c r="K394" i="3"/>
  <c r="W282" i="3" l="1"/>
  <c r="AB282" i="3"/>
  <c r="AA282" i="3"/>
  <c r="X282" i="3"/>
  <c r="Y282" i="3"/>
  <c r="Z282" i="3"/>
  <c r="P394" i="3"/>
  <c r="I395" i="3" s="1"/>
  <c r="M395" i="3" s="1"/>
  <c r="AC282" i="3" l="1"/>
  <c r="V283" i="3" s="1"/>
  <c r="AE282" i="3"/>
  <c r="Y283" i="3"/>
  <c r="N395" i="3"/>
  <c r="O395" i="3"/>
  <c r="K395" i="3"/>
  <c r="J395" i="3"/>
  <c r="L395" i="3"/>
  <c r="AF282" i="3" l="1"/>
  <c r="AA283" i="3"/>
  <c r="X283" i="3"/>
  <c r="W283" i="3"/>
  <c r="AB283" i="3"/>
  <c r="AE283" i="3" s="1"/>
  <c r="Z283" i="3"/>
  <c r="P395" i="3"/>
  <c r="I396" i="3" s="1"/>
  <c r="L396" i="3" s="1"/>
  <c r="AC283" i="3" l="1"/>
  <c r="V284" i="3" s="1"/>
  <c r="O396" i="3"/>
  <c r="K396" i="3"/>
  <c r="M396" i="3"/>
  <c r="N396" i="3"/>
  <c r="J396" i="3"/>
  <c r="AF283" i="3" l="1"/>
  <c r="X284" i="3"/>
  <c r="W284" i="3"/>
  <c r="AB284" i="3"/>
  <c r="AE284" i="3" s="1"/>
  <c r="Y284" i="3"/>
  <c r="Z284" i="3"/>
  <c r="AA284" i="3"/>
  <c r="P396" i="3"/>
  <c r="I397" i="3" s="1"/>
  <c r="J397" i="3" s="1"/>
  <c r="AC284" i="3" l="1"/>
  <c r="O397" i="3"/>
  <c r="N397" i="3"/>
  <c r="M397" i="3"/>
  <c r="K397" i="3"/>
  <c r="L397" i="3"/>
  <c r="P397" i="3" l="1"/>
  <c r="I398" i="3" s="1"/>
  <c r="J398" i="3" s="1"/>
  <c r="AF284" i="3"/>
  <c r="V285" i="3"/>
  <c r="M398" i="3"/>
  <c r="O398" i="3"/>
  <c r="L398" i="3"/>
  <c r="N398" i="3"/>
  <c r="K398" i="3" l="1"/>
  <c r="X285" i="3"/>
  <c r="W285" i="3"/>
  <c r="Z285" i="3"/>
  <c r="Y285" i="3"/>
  <c r="AA285" i="3"/>
  <c r="AB285" i="3"/>
  <c r="AE285" i="3" s="1"/>
  <c r="P398" i="3"/>
  <c r="I399" i="3" s="1"/>
  <c r="N399" i="3" s="1"/>
  <c r="M399" i="3" l="1"/>
  <c r="O399" i="3"/>
  <c r="AC285" i="3"/>
  <c r="L399" i="3"/>
  <c r="K399" i="3"/>
  <c r="J399" i="3"/>
  <c r="P399" i="3" l="1"/>
  <c r="I400" i="3" s="1"/>
  <c r="L400" i="3" s="1"/>
  <c r="V286" i="3"/>
  <c r="AF285" i="3"/>
  <c r="M400" i="3"/>
  <c r="O400" i="3"/>
  <c r="N400" i="3"/>
  <c r="K400" i="3" l="1"/>
  <c r="J400" i="3"/>
  <c r="P400" i="3" s="1"/>
  <c r="I401" i="3" s="1"/>
  <c r="N401" i="3" s="1"/>
  <c r="AA286" i="3"/>
  <c r="AB286" i="3"/>
  <c r="Z286" i="3"/>
  <c r="X286" i="3"/>
  <c r="Y286" i="3"/>
  <c r="W286" i="3"/>
  <c r="AC286" i="3" l="1"/>
  <c r="AF286" i="3" s="1"/>
  <c r="AE286" i="3"/>
  <c r="AA287" i="3"/>
  <c r="Y287" i="3"/>
  <c r="M401" i="3"/>
  <c r="L401" i="3"/>
  <c r="O401" i="3"/>
  <c r="J401" i="3"/>
  <c r="K401" i="3"/>
  <c r="V287" i="3" l="1"/>
  <c r="Z287" i="3" s="1"/>
  <c r="X287" i="3"/>
  <c r="AB287" i="3"/>
  <c r="AE287" i="3" s="1"/>
  <c r="P401" i="3"/>
  <c r="I402" i="3" s="1"/>
  <c r="N402" i="3" s="1"/>
  <c r="W287" i="3" l="1"/>
  <c r="AC287" i="3" s="1"/>
  <c r="V288" i="3" s="1"/>
  <c r="M402" i="3"/>
  <c r="O402" i="3"/>
  <c r="L402" i="3"/>
  <c r="K402" i="3"/>
  <c r="J402" i="3"/>
  <c r="AF287" i="3" l="1"/>
  <c r="AB288" i="3"/>
  <c r="X288" i="3"/>
  <c r="W288" i="3"/>
  <c r="Z288" i="3"/>
  <c r="Y288" i="3"/>
  <c r="AA288" i="3"/>
  <c r="P402" i="3"/>
  <c r="I403" i="3" s="1"/>
  <c r="M403" i="3" s="1"/>
  <c r="AC288" i="3" l="1"/>
  <c r="O403" i="3"/>
  <c r="AF288" i="3"/>
  <c r="V289" i="3"/>
  <c r="AE288" i="3"/>
  <c r="AA289" i="3"/>
  <c r="Y289" i="3"/>
  <c r="N403" i="3"/>
  <c r="L403" i="3"/>
  <c r="J403" i="3"/>
  <c r="K403" i="3"/>
  <c r="AB289" i="3" l="1"/>
  <c r="W289" i="3"/>
  <c r="Z289" i="3"/>
  <c r="X289" i="3"/>
  <c r="P403" i="3"/>
  <c r="I404" i="3" s="1"/>
  <c r="N404" i="3" s="1"/>
  <c r="AC289" i="3" l="1"/>
  <c r="V290" i="3" s="1"/>
  <c r="AE289" i="3"/>
  <c r="K404" i="3"/>
  <c r="L404" i="3"/>
  <c r="J404" i="3"/>
  <c r="O404" i="3"/>
  <c r="M404" i="3"/>
  <c r="AA290" i="3" l="1"/>
  <c r="Y290" i="3"/>
  <c r="AF289" i="3"/>
  <c r="P404" i="3"/>
  <c r="I405" i="3" s="1"/>
  <c r="N405" i="3" s="1"/>
  <c r="W290" i="3"/>
  <c r="AB290" i="3"/>
  <c r="X290" i="3"/>
  <c r="Z290" i="3"/>
  <c r="M405" i="3"/>
  <c r="J405" i="3" l="1"/>
  <c r="K405" i="3"/>
  <c r="O405" i="3"/>
  <c r="AC290" i="3"/>
  <c r="AF290" i="3" s="1"/>
  <c r="L405" i="3"/>
  <c r="V291" i="3"/>
  <c r="AE290" i="3"/>
  <c r="AA291" i="3"/>
  <c r="Y291" i="3"/>
  <c r="P405" i="3" l="1"/>
  <c r="I406" i="3" s="1"/>
  <c r="J406" i="3" s="1"/>
  <c r="AB291" i="3"/>
  <c r="AE291" i="3" s="1"/>
  <c r="W291" i="3"/>
  <c r="Z291" i="3"/>
  <c r="X291" i="3"/>
  <c r="O406" i="3"/>
  <c r="N406" i="3"/>
  <c r="M406" i="3"/>
  <c r="L406" i="3"/>
  <c r="K406" i="3" l="1"/>
  <c r="AC291" i="3"/>
  <c r="AF291" i="3" s="1"/>
  <c r="P406" i="3"/>
  <c r="I407" i="3" s="1"/>
  <c r="J407" i="3" s="1"/>
  <c r="L407" i="3"/>
  <c r="M407" i="3"/>
  <c r="V292" i="3" l="1"/>
  <c r="K407" i="3"/>
  <c r="O407" i="3"/>
  <c r="Z292" i="3"/>
  <c r="AB292" i="3"/>
  <c r="W292" i="3"/>
  <c r="X292" i="3"/>
  <c r="Y292" i="3"/>
  <c r="AA292" i="3"/>
  <c r="N407" i="3"/>
  <c r="P407" i="3" l="1"/>
  <c r="I408" i="3" s="1"/>
  <c r="O408" i="3" s="1"/>
  <c r="AC292" i="3"/>
  <c r="AF292" i="3" s="1"/>
  <c r="AE292" i="3"/>
  <c r="N408" i="3"/>
  <c r="M408" i="3"/>
  <c r="L408" i="3"/>
  <c r="K408" i="3"/>
  <c r="V293" i="3" l="1"/>
  <c r="AA293" i="3" s="1"/>
  <c r="J408" i="3"/>
  <c r="P408" i="3" s="1"/>
  <c r="I409" i="3" s="1"/>
  <c r="N409" i="3" s="1"/>
  <c r="Y293" i="3"/>
  <c r="W293" i="3"/>
  <c r="AB293" i="3"/>
  <c r="AE293" i="3" s="1"/>
  <c r="X293" i="3"/>
  <c r="Z293" i="3"/>
  <c r="AC293" i="3" l="1"/>
  <c r="V294" i="3" s="1"/>
  <c r="O409" i="3"/>
  <c r="K409" i="3"/>
  <c r="L409" i="3"/>
  <c r="M409" i="3"/>
  <c r="J409" i="3"/>
  <c r="AF293" i="3" l="1"/>
  <c r="W294" i="3"/>
  <c r="Z294" i="3"/>
  <c r="X294" i="3"/>
  <c r="AB294" i="3"/>
  <c r="AE294" i="3" s="1"/>
  <c r="AA294" i="3"/>
  <c r="Y294" i="3"/>
  <c r="P409" i="3"/>
  <c r="I410" i="3" s="1"/>
  <c r="N410" i="3" s="1"/>
  <c r="AC294" i="3" l="1"/>
  <c r="O410" i="3"/>
  <c r="J410" i="3"/>
  <c r="K410" i="3"/>
  <c r="M410" i="3"/>
  <c r="L410" i="3"/>
  <c r="V295" i="3" l="1"/>
  <c r="AF294" i="3"/>
  <c r="P410" i="3"/>
  <c r="I411" i="3" s="1"/>
  <c r="L411" i="3" s="1"/>
  <c r="W295" i="3" l="1"/>
  <c r="X295" i="3"/>
  <c r="Z295" i="3"/>
  <c r="AB295" i="3"/>
  <c r="AE295" i="3" s="1"/>
  <c r="AA295" i="3"/>
  <c r="Y295" i="3"/>
  <c r="J411" i="3"/>
  <c r="M411" i="3"/>
  <c r="K411" i="3"/>
  <c r="O411" i="3"/>
  <c r="N411" i="3"/>
  <c r="AC295" i="3" l="1"/>
  <c r="P411" i="3"/>
  <c r="I412" i="3" s="1"/>
  <c r="M412" i="3" s="1"/>
  <c r="V296" i="3" l="1"/>
  <c r="AF295" i="3"/>
  <c r="L412" i="3"/>
  <c r="O412" i="3"/>
  <c r="K412" i="3"/>
  <c r="N412" i="3"/>
  <c r="J412" i="3"/>
  <c r="AB296" i="3" l="1"/>
  <c r="W296" i="3"/>
  <c r="Z296" i="3"/>
  <c r="Y296" i="3"/>
  <c r="X296" i="3"/>
  <c r="AA296" i="3"/>
  <c r="P412" i="3"/>
  <c r="I413" i="3" s="1"/>
  <c r="J413" i="3" s="1"/>
  <c r="AC296" i="3" l="1"/>
  <c r="AF296" i="3" s="1"/>
  <c r="AE296" i="3"/>
  <c r="Y297" i="3"/>
  <c r="M413" i="3"/>
  <c r="L413" i="3"/>
  <c r="O413" i="3"/>
  <c r="N413" i="3"/>
  <c r="K413" i="3"/>
  <c r="V297" i="3" l="1"/>
  <c r="W297" i="3" s="1"/>
  <c r="AA297" i="3"/>
  <c r="AB297" i="3"/>
  <c r="Z297" i="3"/>
  <c r="X297" i="3"/>
  <c r="P413" i="3"/>
  <c r="I414" i="3" s="1"/>
  <c r="M414" i="3" s="1"/>
  <c r="AC297" i="3" l="1"/>
  <c r="AF297" i="3" s="1"/>
  <c r="AE297" i="3"/>
  <c r="AA298" i="3"/>
  <c r="L414" i="3"/>
  <c r="N414" i="3"/>
  <c r="O414" i="3"/>
  <c r="J414" i="3"/>
  <c r="K414" i="3"/>
  <c r="V298" i="3" l="1"/>
  <c r="Y298" i="3"/>
  <c r="AB298" i="3"/>
  <c r="X298" i="3"/>
  <c r="W298" i="3"/>
  <c r="Z298" i="3"/>
  <c r="P414" i="3"/>
  <c r="I415" i="3" s="1"/>
  <c r="O415" i="3" s="1"/>
  <c r="AC298" i="3" l="1"/>
  <c r="AE298" i="3"/>
  <c r="J415" i="3"/>
  <c r="K415" i="3"/>
  <c r="L415" i="3"/>
  <c r="M415" i="3"/>
  <c r="N415" i="3"/>
  <c r="V299" i="3" l="1"/>
  <c r="AF298" i="3"/>
  <c r="P415" i="3"/>
  <c r="I416" i="3" s="1"/>
  <c r="K416" i="3" s="1"/>
  <c r="M416" i="3"/>
  <c r="L416" i="3"/>
  <c r="O416" i="3"/>
  <c r="J416" i="3" l="1"/>
  <c r="X299" i="3"/>
  <c r="AB299" i="3"/>
  <c r="Z299" i="3"/>
  <c r="Y299" i="3"/>
  <c r="W299" i="3"/>
  <c r="AA299" i="3"/>
  <c r="N416" i="3"/>
  <c r="P416" i="3" s="1"/>
  <c r="I417" i="3" s="1"/>
  <c r="K417" i="3" s="1"/>
  <c r="O417" i="3" l="1"/>
  <c r="AC299" i="3"/>
  <c r="AE299" i="3"/>
  <c r="J417" i="3"/>
  <c r="L417" i="3"/>
  <c r="N417" i="3"/>
  <c r="M417" i="3"/>
  <c r="P417" i="3" l="1"/>
  <c r="I418" i="3" s="1"/>
  <c r="M418" i="3" s="1"/>
  <c r="AF299" i="3"/>
  <c r="V300" i="3"/>
  <c r="N418" i="3"/>
  <c r="L418" i="3"/>
  <c r="O418" i="3"/>
  <c r="K418" i="3"/>
  <c r="J418" i="3"/>
  <c r="Y300" i="3" l="1"/>
  <c r="W300" i="3"/>
  <c r="X300" i="3"/>
  <c r="Z300" i="3"/>
  <c r="AB300" i="3"/>
  <c r="AE300" i="3" s="1"/>
  <c r="AA300" i="3"/>
  <c r="P418" i="3"/>
  <c r="I419" i="3" s="1"/>
  <c r="N419" i="3" s="1"/>
  <c r="AC300" i="3" l="1"/>
  <c r="AF300" i="3" s="1"/>
  <c r="M419" i="3"/>
  <c r="J419" i="3"/>
  <c r="K419" i="3"/>
  <c r="L419" i="3"/>
  <c r="O419" i="3"/>
  <c r="V301" i="3" l="1"/>
  <c r="X301" i="3" s="1"/>
  <c r="AB301" i="3"/>
  <c r="AE301" i="3" s="1"/>
  <c r="Y301" i="3"/>
  <c r="AA301" i="3"/>
  <c r="P419" i="3"/>
  <c r="I420" i="3" s="1"/>
  <c r="K420" i="3" s="1"/>
  <c r="W301" i="3" l="1"/>
  <c r="Z301" i="3"/>
  <c r="M420" i="3"/>
  <c r="J420" i="3"/>
  <c r="L420" i="3"/>
  <c r="N420" i="3"/>
  <c r="O420" i="3"/>
  <c r="AC301" i="3" l="1"/>
  <c r="AF301" i="3" s="1"/>
  <c r="V302" i="3"/>
  <c r="P420" i="3"/>
  <c r="I421" i="3" s="1"/>
  <c r="J421" i="3" s="1"/>
  <c r="W302" i="3"/>
  <c r="AB302" i="3"/>
  <c r="Z302" i="3"/>
  <c r="X302" i="3"/>
  <c r="AA302" i="3"/>
  <c r="Y302" i="3"/>
  <c r="N421" i="3"/>
  <c r="M421" i="3"/>
  <c r="L421" i="3"/>
  <c r="O421" i="3" l="1"/>
  <c r="K421" i="3"/>
  <c r="AC302" i="3"/>
  <c r="AF302" i="3" s="1"/>
  <c r="AE302" i="3"/>
  <c r="P421" i="3" l="1"/>
  <c r="I422" i="3" s="1"/>
  <c r="N422" i="3" s="1"/>
  <c r="V303" i="3"/>
  <c r="AA303" i="3" s="1"/>
  <c r="W303" i="3"/>
  <c r="AB303" i="3"/>
  <c r="AE303" i="3" s="1"/>
  <c r="X303" i="3"/>
  <c r="Y303" i="3"/>
  <c r="J422" i="3"/>
  <c r="K422" i="3"/>
  <c r="O422" i="3"/>
  <c r="M422" i="3"/>
  <c r="L422" i="3"/>
  <c r="Z303" i="3" l="1"/>
  <c r="AC303" i="3"/>
  <c r="V304" i="3" s="1"/>
  <c r="P422" i="3"/>
  <c r="I423" i="3" s="1"/>
  <c r="L423" i="3" s="1"/>
  <c r="AF303" i="3" l="1"/>
  <c r="Y304" i="3"/>
  <c r="AB304" i="3"/>
  <c r="AE304" i="3" s="1"/>
  <c r="X304" i="3"/>
  <c r="W304" i="3"/>
  <c r="AA304" i="3"/>
  <c r="Z304" i="3"/>
  <c r="O423" i="3"/>
  <c r="N423" i="3"/>
  <c r="J423" i="3"/>
  <c r="K423" i="3"/>
  <c r="M423" i="3"/>
  <c r="AC304" i="3" l="1"/>
  <c r="P423" i="3"/>
  <c r="I424" i="3" s="1"/>
  <c r="K424" i="3" s="1"/>
  <c r="AF304" i="3" l="1"/>
  <c r="V305" i="3"/>
  <c r="O424" i="3"/>
  <c r="J424" i="3"/>
  <c r="L424" i="3"/>
  <c r="M424" i="3"/>
  <c r="N424" i="3"/>
  <c r="AA305" i="3" l="1"/>
  <c r="Y305" i="3"/>
  <c r="X305" i="3"/>
  <c r="W305" i="3"/>
  <c r="AB305" i="3"/>
  <c r="Z305" i="3"/>
  <c r="P424" i="3"/>
  <c r="I425" i="3" s="1"/>
  <c r="N425" i="3" s="1"/>
  <c r="AE305" i="3" l="1"/>
  <c r="AC305" i="3"/>
  <c r="O425" i="3"/>
  <c r="L425" i="3"/>
  <c r="K425" i="3"/>
  <c r="M425" i="3"/>
  <c r="J425" i="3"/>
  <c r="AF305" i="3" l="1"/>
  <c r="V306" i="3"/>
  <c r="P425" i="3"/>
  <c r="I426" i="3" s="1"/>
  <c r="L426" i="3" s="1"/>
  <c r="AB306" i="3" l="1"/>
  <c r="AE306" i="3" s="1"/>
  <c r="W306" i="3"/>
  <c r="Z306" i="3"/>
  <c r="AA306" i="3"/>
  <c r="X306" i="3"/>
  <c r="Y306" i="3"/>
  <c r="M426" i="3"/>
  <c r="N426" i="3"/>
  <c r="O426" i="3"/>
  <c r="J426" i="3"/>
  <c r="K426" i="3"/>
  <c r="AC306" i="3" l="1"/>
  <c r="AF306" i="3" s="1"/>
  <c r="P426" i="3"/>
  <c r="I427" i="3" s="1"/>
  <c r="L427" i="3" s="1"/>
  <c r="M427" i="3"/>
  <c r="J427" i="3" l="1"/>
  <c r="O427" i="3"/>
  <c r="K427" i="3"/>
  <c r="V307" i="3"/>
  <c r="X307" i="3" s="1"/>
  <c r="AA307" i="3"/>
  <c r="Y307" i="3"/>
  <c r="N427" i="3"/>
  <c r="P427" i="3" s="1"/>
  <c r="I428" i="3" s="1"/>
  <c r="N428" i="3" s="1"/>
  <c r="W307" i="3" l="1"/>
  <c r="Z307" i="3"/>
  <c r="AB307" i="3"/>
  <c r="AE307" i="3" s="1"/>
  <c r="M428" i="3"/>
  <c r="L428" i="3"/>
  <c r="J428" i="3"/>
  <c r="O428" i="3"/>
  <c r="K428" i="3"/>
  <c r="AC307" i="3" l="1"/>
  <c r="V308" i="3" s="1"/>
  <c r="P428" i="3"/>
  <c r="I429" i="3" s="1"/>
  <c r="K429" i="3" s="1"/>
  <c r="AF307" i="3" l="1"/>
  <c r="W308" i="3"/>
  <c r="AB308" i="3"/>
  <c r="AE308" i="3" s="1"/>
  <c r="Z308" i="3"/>
  <c r="Y308" i="3"/>
  <c r="X308" i="3"/>
  <c r="AA308" i="3"/>
  <c r="O429" i="3"/>
  <c r="N429" i="3"/>
  <c r="M429" i="3"/>
  <c r="J429" i="3"/>
  <c r="L429" i="3"/>
  <c r="AC308" i="3" l="1"/>
  <c r="P429" i="3"/>
  <c r="I430" i="3" s="1"/>
  <c r="K430" i="3" s="1"/>
  <c r="AF308" i="3" l="1"/>
  <c r="V309" i="3"/>
  <c r="N430" i="3"/>
  <c r="J430" i="3"/>
  <c r="O430" i="3"/>
  <c r="L430" i="3"/>
  <c r="M430" i="3"/>
  <c r="W309" i="3" l="1"/>
  <c r="AB309" i="3"/>
  <c r="AE309" i="3" s="1"/>
  <c r="Z309" i="3"/>
  <c r="AA309" i="3"/>
  <c r="X309" i="3"/>
  <c r="Y309" i="3"/>
  <c r="P430" i="3"/>
  <c r="I431" i="3" s="1"/>
  <c r="J431" i="3" s="1"/>
  <c r="O431" i="3" l="1"/>
  <c r="N431" i="3"/>
  <c r="M431" i="3"/>
  <c r="AC309" i="3"/>
  <c r="L431" i="3"/>
  <c r="K431" i="3"/>
  <c r="AF309" i="3" l="1"/>
  <c r="V310" i="3"/>
  <c r="P431" i="3"/>
  <c r="I432" i="3" s="1"/>
  <c r="O432" i="3" s="1"/>
  <c r="M432" i="3"/>
  <c r="L432" i="3"/>
  <c r="N432" i="3"/>
  <c r="J432" i="3" l="1"/>
  <c r="K432" i="3"/>
  <c r="P432" i="3" s="1"/>
  <c r="I433" i="3" s="1"/>
  <c r="K433" i="3" s="1"/>
  <c r="X310" i="3"/>
  <c r="W310" i="3"/>
  <c r="AA310" i="3"/>
  <c r="Y310" i="3"/>
  <c r="Z310" i="3"/>
  <c r="AB310" i="3"/>
  <c r="AE310" i="3" s="1"/>
  <c r="AC310" i="3" l="1"/>
  <c r="M433" i="3"/>
  <c r="J433" i="3"/>
  <c r="L433" i="3"/>
  <c r="N433" i="3"/>
  <c r="O433" i="3"/>
  <c r="AF310" i="3" l="1"/>
  <c r="V311" i="3"/>
  <c r="P433" i="3"/>
  <c r="I434" i="3" s="1"/>
  <c r="M434" i="3" s="1"/>
  <c r="W311" i="3" l="1"/>
  <c r="Z311" i="3"/>
  <c r="X311" i="3"/>
  <c r="AB311" i="3"/>
  <c r="AE311" i="3" s="1"/>
  <c r="AA311" i="3"/>
  <c r="Y311" i="3"/>
  <c r="N434" i="3"/>
  <c r="L434" i="3"/>
  <c r="O434" i="3"/>
  <c r="K434" i="3"/>
  <c r="J434" i="3"/>
  <c r="AC311" i="3" l="1"/>
  <c r="P434" i="3"/>
  <c r="I435" i="3" s="1"/>
  <c r="J435" i="3" s="1"/>
  <c r="V312" i="3" l="1"/>
  <c r="AF311" i="3"/>
  <c r="M435" i="3"/>
  <c r="O435" i="3"/>
  <c r="N435" i="3"/>
  <c r="L435" i="3"/>
  <c r="K435" i="3"/>
  <c r="Y312" i="3" l="1"/>
  <c r="X312" i="3"/>
  <c r="AB312" i="3"/>
  <c r="AE312" i="3" s="1"/>
  <c r="W312" i="3"/>
  <c r="Z312" i="3"/>
  <c r="AA312" i="3"/>
  <c r="P435" i="3"/>
  <c r="I436" i="3" s="1"/>
  <c r="O436" i="3" s="1"/>
  <c r="AC312" i="3" l="1"/>
  <c r="V313" i="3" s="1"/>
  <c r="L436" i="3"/>
  <c r="N436" i="3"/>
  <c r="J436" i="3"/>
  <c r="M436" i="3"/>
  <c r="K436" i="3"/>
  <c r="AF312" i="3" l="1"/>
  <c r="Z313" i="3"/>
  <c r="X313" i="3"/>
  <c r="AB313" i="3"/>
  <c r="W313" i="3"/>
  <c r="AA313" i="3"/>
  <c r="Y313" i="3"/>
  <c r="P436" i="3"/>
  <c r="I437" i="3" s="1"/>
  <c r="K437" i="3" s="1"/>
  <c r="AC313" i="3" l="1"/>
  <c r="AE313" i="3"/>
  <c r="N437" i="3"/>
  <c r="M437" i="3"/>
  <c r="J437" i="3"/>
  <c r="L437" i="3"/>
  <c r="O437" i="3"/>
  <c r="P437" i="3" l="1"/>
  <c r="I438" i="3" s="1"/>
  <c r="K438" i="3" s="1"/>
  <c r="V314" i="3"/>
  <c r="AF313" i="3"/>
  <c r="M438" i="3"/>
  <c r="L438" i="3"/>
  <c r="N438" i="3"/>
  <c r="O438" i="3" l="1"/>
  <c r="J438" i="3"/>
  <c r="AB314" i="3"/>
  <c r="Z314" i="3"/>
  <c r="X314" i="3"/>
  <c r="W314" i="3"/>
  <c r="Y314" i="3"/>
  <c r="AA314" i="3"/>
  <c r="P438" i="3"/>
  <c r="I439" i="3" s="1"/>
  <c r="J439" i="3" s="1"/>
  <c r="O439" i="3" l="1"/>
  <c r="K439" i="3"/>
  <c r="L439" i="3"/>
  <c r="N439" i="3"/>
  <c r="AC314" i="3"/>
  <c r="AE314" i="3"/>
  <c r="M439" i="3"/>
  <c r="P439" i="3" l="1"/>
  <c r="I440" i="3" s="1"/>
  <c r="J440" i="3" s="1"/>
  <c r="AF314" i="3"/>
  <c r="V315" i="3"/>
  <c r="O440" i="3"/>
  <c r="L440" i="3"/>
  <c r="N440" i="3"/>
  <c r="K440" i="3"/>
  <c r="M440" i="3"/>
  <c r="AB315" i="3" l="1"/>
  <c r="W315" i="3"/>
  <c r="X315" i="3"/>
  <c r="Z315" i="3"/>
  <c r="AA315" i="3"/>
  <c r="Y315" i="3"/>
  <c r="P440" i="3"/>
  <c r="I441" i="3" s="1"/>
  <c r="O441" i="3" s="1"/>
  <c r="N441" i="3" l="1"/>
  <c r="M441" i="3"/>
  <c r="AC315" i="3"/>
  <c r="AF315" i="3" s="1"/>
  <c r="K441" i="3"/>
  <c r="L441" i="3"/>
  <c r="J441" i="3"/>
  <c r="AE315" i="3"/>
  <c r="V316" i="3" l="1"/>
  <c r="X316" i="3" s="1"/>
  <c r="P441" i="3"/>
  <c r="I442" i="3" s="1"/>
  <c r="M442" i="3" s="1"/>
  <c r="Z316" i="3"/>
  <c r="AB316" i="3"/>
  <c r="W316" i="3"/>
  <c r="N442" i="3"/>
  <c r="L442" i="3"/>
  <c r="J442" i="3"/>
  <c r="O442" i="3" l="1"/>
  <c r="K442" i="3"/>
  <c r="Y316" i="3"/>
  <c r="AA316" i="3"/>
  <c r="AE316" i="3"/>
  <c r="Y317" i="3"/>
  <c r="AC316" i="3" l="1"/>
  <c r="AF316" i="3" s="1"/>
  <c r="P442" i="3"/>
  <c r="I443" i="3" s="1"/>
  <c r="O443" i="3" s="1"/>
  <c r="V317" i="3"/>
  <c r="AA317" i="3" s="1"/>
  <c r="Z317" i="3"/>
  <c r="M443" i="3"/>
  <c r="L443" i="3"/>
  <c r="K443" i="3"/>
  <c r="N443" i="3"/>
  <c r="AB317" i="3" l="1"/>
  <c r="AE317" i="3" s="1"/>
  <c r="J443" i="3"/>
  <c r="X317" i="3"/>
  <c r="W317" i="3"/>
  <c r="P443" i="3"/>
  <c r="I444" i="3" s="1"/>
  <c r="K444" i="3" s="1"/>
  <c r="M444" i="3"/>
  <c r="L444" i="3"/>
  <c r="N444" i="3"/>
  <c r="AC317" i="3" l="1"/>
  <c r="O444" i="3"/>
  <c r="AF317" i="3"/>
  <c r="V318" i="3"/>
  <c r="AB318" i="3" s="1"/>
  <c r="AE318" i="3" s="1"/>
  <c r="J444" i="3"/>
  <c r="Z318" i="3"/>
  <c r="X318" i="3"/>
  <c r="W318" i="3"/>
  <c r="Y318" i="3"/>
  <c r="AA318" i="3"/>
  <c r="P444" i="3" l="1"/>
  <c r="I445" i="3" s="1"/>
  <c r="O445" i="3" s="1"/>
  <c r="AC318" i="3"/>
  <c r="AF318" i="3" s="1"/>
  <c r="V319" i="3"/>
  <c r="M445" i="3"/>
  <c r="L445" i="3"/>
  <c r="J445" i="3"/>
  <c r="N445" i="3"/>
  <c r="K445" i="3"/>
  <c r="AA319" i="3" l="1"/>
  <c r="AB319" i="3"/>
  <c r="W319" i="3"/>
  <c r="X319" i="3"/>
  <c r="Z319" i="3"/>
  <c r="Y319" i="3"/>
  <c r="P445" i="3"/>
  <c r="I446" i="3" s="1"/>
  <c r="N446" i="3" s="1"/>
  <c r="AC319" i="3" l="1"/>
  <c r="AF319" i="3" s="1"/>
  <c r="AE319" i="3"/>
  <c r="AA320" i="3"/>
  <c r="Y320" i="3"/>
  <c r="M446" i="3"/>
  <c r="K446" i="3"/>
  <c r="J446" i="3"/>
  <c r="O446" i="3"/>
  <c r="L446" i="3"/>
  <c r="V320" i="3" l="1"/>
  <c r="Z320" i="3" s="1"/>
  <c r="W320" i="3"/>
  <c r="X320" i="3"/>
  <c r="AB320" i="3"/>
  <c r="P446" i="3"/>
  <c r="I447" i="3" s="1"/>
  <c r="N447" i="3" s="1"/>
  <c r="AC320" i="3" l="1"/>
  <c r="AF320" i="3"/>
  <c r="V321" i="3"/>
  <c r="AA321" i="3" s="1"/>
  <c r="AE320" i="3"/>
  <c r="O447" i="3"/>
  <c r="M447" i="3"/>
  <c r="K447" i="3"/>
  <c r="L447" i="3"/>
  <c r="J447" i="3"/>
  <c r="Y321" i="3" l="1"/>
  <c r="W321" i="3"/>
  <c r="X321" i="3"/>
  <c r="Z321" i="3"/>
  <c r="AB321" i="3"/>
  <c r="AC321" i="3" s="1"/>
  <c r="P447" i="3"/>
  <c r="I448" i="3" s="1"/>
  <c r="J448" i="3" s="1"/>
  <c r="AF321" i="3" l="1"/>
  <c r="V322" i="3"/>
  <c r="Y322" i="3" s="1"/>
  <c r="AE321" i="3"/>
  <c r="N448" i="3"/>
  <c r="M448" i="3"/>
  <c r="L448" i="3"/>
  <c r="O448" i="3"/>
  <c r="K448" i="3"/>
  <c r="AA322" i="3" l="1"/>
  <c r="W322" i="3"/>
  <c r="AB322" i="3"/>
  <c r="Z322" i="3"/>
  <c r="X322" i="3"/>
  <c r="P448" i="3"/>
  <c r="I449" i="3" s="1"/>
  <c r="J449" i="3" s="1"/>
  <c r="AC322" i="3" l="1"/>
  <c r="AF322" i="3" s="1"/>
  <c r="V323" i="3"/>
  <c r="AE322" i="3"/>
  <c r="AA323" i="3"/>
  <c r="Y323" i="3"/>
  <c r="L449" i="3"/>
  <c r="O449" i="3"/>
  <c r="K449" i="3"/>
  <c r="N449" i="3"/>
  <c r="M449" i="3"/>
  <c r="X323" i="3" l="1"/>
  <c r="AB323" i="3"/>
  <c r="W323" i="3"/>
  <c r="Z323" i="3"/>
  <c r="P449" i="3"/>
  <c r="I450" i="3" s="1"/>
  <c r="K450" i="3" s="1"/>
  <c r="O450" i="3" l="1"/>
  <c r="J450" i="3"/>
  <c r="N450" i="3"/>
  <c r="L450" i="3"/>
  <c r="M450" i="3"/>
  <c r="AE323" i="3"/>
  <c r="AC323" i="3"/>
  <c r="P450" i="3" l="1"/>
  <c r="I451" i="3" s="1"/>
  <c r="O451" i="3" s="1"/>
  <c r="AF323" i="3"/>
  <c r="V324" i="3"/>
  <c r="L451" i="3"/>
  <c r="N451" i="3"/>
  <c r="K451" i="3"/>
  <c r="M451" i="3"/>
  <c r="J451" i="3" l="1"/>
  <c r="Z324" i="3"/>
  <c r="W324" i="3"/>
  <c r="AB324" i="3"/>
  <c r="X324" i="3"/>
  <c r="AA324" i="3"/>
  <c r="Y324" i="3"/>
  <c r="P451" i="3"/>
  <c r="I452" i="3" s="1"/>
  <c r="N452" i="3" s="1"/>
  <c r="AC324" i="3" l="1"/>
  <c r="V325" i="3"/>
  <c r="AA325" i="3" s="1"/>
  <c r="AF324" i="3"/>
  <c r="AE324" i="3"/>
  <c r="M452" i="3"/>
  <c r="O452" i="3"/>
  <c r="L452" i="3"/>
  <c r="K452" i="3"/>
  <c r="J452" i="3"/>
  <c r="Y325" i="3" l="1"/>
  <c r="W325" i="3"/>
  <c r="Z325" i="3"/>
  <c r="X325" i="3"/>
  <c r="AB325" i="3"/>
  <c r="P452" i="3"/>
  <c r="I453" i="3" s="1"/>
  <c r="N453" i="3" s="1"/>
  <c r="AC325" i="3" l="1"/>
  <c r="V326" i="3" s="1"/>
  <c r="Y326" i="3" s="1"/>
  <c r="AE325" i="3"/>
  <c r="K453" i="3"/>
  <c r="J453" i="3"/>
  <c r="L453" i="3"/>
  <c r="M453" i="3"/>
  <c r="O453" i="3"/>
  <c r="AF325" i="3" l="1"/>
  <c r="P453" i="3"/>
  <c r="I454" i="3" s="1"/>
  <c r="L454" i="3" s="1"/>
  <c r="AA326" i="3"/>
  <c r="W326" i="3"/>
  <c r="Z326" i="3"/>
  <c r="X326" i="3"/>
  <c r="AB326" i="3"/>
  <c r="O454" i="3"/>
  <c r="M454" i="3"/>
  <c r="N454" i="3"/>
  <c r="K454" i="3" l="1"/>
  <c r="J454" i="3"/>
  <c r="AC326" i="3"/>
  <c r="AF326" i="3" s="1"/>
  <c r="AE326" i="3"/>
  <c r="P454" i="3"/>
  <c r="I455" i="3" s="1"/>
  <c r="J455" i="3" s="1"/>
  <c r="V327" i="3" l="1"/>
  <c r="AA327" i="3" s="1"/>
  <c r="Y327" i="3"/>
  <c r="AB327" i="3"/>
  <c r="AE327" i="3" s="1"/>
  <c r="Z327" i="3"/>
  <c r="X327" i="3"/>
  <c r="W327" i="3"/>
  <c r="M455" i="3"/>
  <c r="L455" i="3"/>
  <c r="N455" i="3"/>
  <c r="O455" i="3"/>
  <c r="K455" i="3"/>
  <c r="AC327" i="3" l="1"/>
  <c r="V328" i="3" s="1"/>
  <c r="Y328" i="3" s="1"/>
  <c r="P455" i="3"/>
  <c r="I456" i="3" s="1"/>
  <c r="L456" i="3" s="1"/>
  <c r="AF327" i="3" l="1"/>
  <c r="N456" i="3"/>
  <c r="J456" i="3"/>
  <c r="K456" i="3"/>
  <c r="O456" i="3"/>
  <c r="X328" i="3"/>
  <c r="AB328" i="3"/>
  <c r="AE328" i="3" s="1"/>
  <c r="W328" i="3"/>
  <c r="Z328" i="3"/>
  <c r="AA328" i="3"/>
  <c r="M456" i="3"/>
  <c r="P456" i="3" l="1"/>
  <c r="I457" i="3" s="1"/>
  <c r="L457" i="3" s="1"/>
  <c r="AC328" i="3"/>
  <c r="O457" i="3"/>
  <c r="N457" i="3"/>
  <c r="M457" i="3"/>
  <c r="K457" i="3"/>
  <c r="J457" i="3" l="1"/>
  <c r="V329" i="3"/>
  <c r="AF328" i="3"/>
  <c r="P457" i="3"/>
  <c r="I458" i="3" s="1"/>
  <c r="M458" i="3" s="1"/>
  <c r="W329" i="3" l="1"/>
  <c r="Z329" i="3"/>
  <c r="AB329" i="3"/>
  <c r="AE329" i="3" s="1"/>
  <c r="Y329" i="3"/>
  <c r="X329" i="3"/>
  <c r="AA329" i="3"/>
  <c r="J458" i="3"/>
  <c r="K458" i="3"/>
  <c r="O458" i="3"/>
  <c r="L458" i="3"/>
  <c r="N458" i="3"/>
  <c r="AC329" i="3" l="1"/>
  <c r="AF329" i="3" s="1"/>
  <c r="P458" i="3"/>
  <c r="I459" i="3" s="1"/>
  <c r="V330" i="3" l="1"/>
  <c r="AA330" i="3" s="1"/>
  <c r="Y330" i="3"/>
  <c r="AB330" i="3"/>
  <c r="AE330" i="3" s="1"/>
  <c r="W330" i="3"/>
  <c r="Z330" i="3"/>
  <c r="X330" i="3"/>
  <c r="K459" i="3"/>
  <c r="O459" i="3"/>
  <c r="J459" i="3"/>
  <c r="L459" i="3"/>
  <c r="M459" i="3"/>
  <c r="N459" i="3"/>
  <c r="AC330" i="3" l="1"/>
  <c r="P459" i="3"/>
  <c r="I460" i="3" s="1"/>
  <c r="N460" i="3" s="1"/>
  <c r="V331" i="3" l="1"/>
  <c r="AF330" i="3"/>
  <c r="K460" i="3"/>
  <c r="O460" i="3"/>
  <c r="J460" i="3"/>
  <c r="L460" i="3"/>
  <c r="M460" i="3"/>
  <c r="X331" i="3" l="1"/>
  <c r="W331" i="3"/>
  <c r="Y331" i="3"/>
  <c r="AA331" i="3"/>
  <c r="Z331" i="3"/>
  <c r="AB331" i="3"/>
  <c r="P460" i="3"/>
  <c r="I461" i="3" s="1"/>
  <c r="N461" i="3" s="1"/>
  <c r="AC331" i="3" l="1"/>
  <c r="AF331" i="3" s="1"/>
  <c r="V332" i="3"/>
  <c r="Y332" i="3" s="1"/>
  <c r="AE331" i="3"/>
  <c r="O461" i="3"/>
  <c r="K461" i="3"/>
  <c r="M461" i="3"/>
  <c r="J461" i="3"/>
  <c r="L461" i="3"/>
  <c r="AA332" i="3" l="1"/>
  <c r="X332" i="3"/>
  <c r="W332" i="3"/>
  <c r="Z332" i="3"/>
  <c r="AB332" i="3"/>
  <c r="AC332" i="3" s="1"/>
  <c r="P461" i="3"/>
  <c r="I462" i="3" s="1"/>
  <c r="N462" i="3" s="1"/>
  <c r="AF332" i="3" l="1"/>
  <c r="V333" i="3"/>
  <c r="AA333" i="3" s="1"/>
  <c r="AE332" i="3"/>
  <c r="M462" i="3"/>
  <c r="L462" i="3"/>
  <c r="O462" i="3"/>
  <c r="K462" i="3"/>
  <c r="J462" i="3"/>
  <c r="Y333" i="3" l="1"/>
  <c r="Z333" i="3"/>
  <c r="W333" i="3"/>
  <c r="AB333" i="3"/>
  <c r="AE333" i="3" s="1"/>
  <c r="X333" i="3"/>
  <c r="P462" i="3"/>
  <c r="I463" i="3" s="1"/>
  <c r="L463" i="3" s="1"/>
  <c r="AC333" i="3" l="1"/>
  <c r="AF333" i="3" s="1"/>
  <c r="V334" i="3"/>
  <c r="O463" i="3"/>
  <c r="M463" i="3"/>
  <c r="K463" i="3"/>
  <c r="N463" i="3"/>
  <c r="J463" i="3"/>
  <c r="W334" i="3" l="1"/>
  <c r="AB334" i="3"/>
  <c r="AE334" i="3" s="1"/>
  <c r="Z334" i="3"/>
  <c r="X334" i="3"/>
  <c r="AA334" i="3"/>
  <c r="Y334" i="3"/>
  <c r="P463" i="3"/>
  <c r="I464" i="3" s="1"/>
  <c r="J464" i="3" s="1"/>
  <c r="AC334" i="3" l="1"/>
  <c r="L464" i="3"/>
  <c r="O464" i="3"/>
  <c r="M464" i="3"/>
  <c r="K464" i="3"/>
  <c r="N464" i="3"/>
  <c r="AF334" i="3" l="1"/>
  <c r="V335" i="3"/>
  <c r="P464" i="3"/>
  <c r="I465" i="3" s="1"/>
  <c r="J465" i="3" s="1"/>
  <c r="Z335" i="3" l="1"/>
  <c r="AB335" i="3"/>
  <c r="X335" i="3"/>
  <c r="AA335" i="3"/>
  <c r="Y335" i="3"/>
  <c r="W335" i="3"/>
  <c r="O465" i="3"/>
  <c r="N465" i="3"/>
  <c r="K465" i="3"/>
  <c r="L465" i="3"/>
  <c r="M465" i="3"/>
  <c r="AC335" i="3" l="1"/>
  <c r="V336" i="3" s="1"/>
  <c r="Y336" i="3" s="1"/>
  <c r="AE335" i="3"/>
  <c r="AA336" i="3"/>
  <c r="P465" i="3"/>
  <c r="I466" i="3" s="1"/>
  <c r="N466" i="3" s="1"/>
  <c r="AF335" i="3" l="1"/>
  <c r="X336" i="3"/>
  <c r="AB336" i="3"/>
  <c r="W336" i="3"/>
  <c r="Z336" i="3"/>
  <c r="O466" i="3"/>
  <c r="J466" i="3"/>
  <c r="M466" i="3"/>
  <c r="L466" i="3"/>
  <c r="K466" i="3"/>
  <c r="AC336" i="3" l="1"/>
  <c r="V337" i="3" s="1"/>
  <c r="AE336" i="3"/>
  <c r="P466" i="3"/>
  <c r="I467" i="3" s="1"/>
  <c r="J467" i="3" s="1"/>
  <c r="AA337" i="3" l="1"/>
  <c r="Y337" i="3"/>
  <c r="AF336" i="3"/>
  <c r="L467" i="3"/>
  <c r="O467" i="3"/>
  <c r="M467" i="3"/>
  <c r="N467" i="3"/>
  <c r="Z337" i="3"/>
  <c r="X337" i="3"/>
  <c r="W337" i="3"/>
  <c r="AB337" i="3"/>
  <c r="K467" i="3"/>
  <c r="P467" i="3" l="1"/>
  <c r="I468" i="3" s="1"/>
  <c r="K468" i="3" s="1"/>
  <c r="AC337" i="3"/>
  <c r="V338" i="3" s="1"/>
  <c r="AE337" i="3"/>
  <c r="AA338" i="3"/>
  <c r="Y338" i="3"/>
  <c r="M468" i="3"/>
  <c r="O468" i="3"/>
  <c r="L468" i="3"/>
  <c r="N468" i="3"/>
  <c r="J468" i="3"/>
  <c r="AF337" i="3" l="1"/>
  <c r="Z338" i="3"/>
  <c r="AB338" i="3"/>
  <c r="X338" i="3"/>
  <c r="W338" i="3"/>
  <c r="P468" i="3"/>
  <c r="I469" i="3" s="1"/>
  <c r="M469" i="3" s="1"/>
  <c r="O469" i="3" l="1"/>
  <c r="AC338" i="3"/>
  <c r="AF338" i="3" s="1"/>
  <c r="J469" i="3"/>
  <c r="K469" i="3"/>
  <c r="L469" i="3"/>
  <c r="N469" i="3"/>
  <c r="V339" i="3"/>
  <c r="Y339" i="3" s="1"/>
  <c r="AE338" i="3"/>
  <c r="AA339" i="3" l="1"/>
  <c r="P469" i="3"/>
  <c r="I470" i="3" s="1"/>
  <c r="J470" i="3" s="1"/>
  <c r="M470" i="3"/>
  <c r="L470" i="3"/>
  <c r="N470" i="3"/>
  <c r="W339" i="3"/>
  <c r="X339" i="3"/>
  <c r="Z339" i="3"/>
  <c r="AB339" i="3"/>
  <c r="O470" i="3" l="1"/>
  <c r="AC339" i="3"/>
  <c r="K470" i="3"/>
  <c r="V340" i="3"/>
  <c r="Y340" i="3" s="1"/>
  <c r="AF339" i="3"/>
  <c r="AE339" i="3"/>
  <c r="M471" i="3"/>
  <c r="P470" i="3" l="1"/>
  <c r="I471" i="3" s="1"/>
  <c r="N471" i="3" s="1"/>
  <c r="L471" i="3"/>
  <c r="K471" i="3"/>
  <c r="O471" i="3"/>
  <c r="M472" i="3" s="1"/>
  <c r="J471" i="3"/>
  <c r="AA340" i="3"/>
  <c r="X340" i="3"/>
  <c r="AB340" i="3"/>
  <c r="Z340" i="3"/>
  <c r="W340" i="3"/>
  <c r="P471" i="3" l="1"/>
  <c r="I472" i="3" s="1"/>
  <c r="J472" i="3" s="1"/>
  <c r="N472" i="3"/>
  <c r="L472" i="3"/>
  <c r="K472" i="3"/>
  <c r="O472" i="3"/>
  <c r="P472" i="3" s="1"/>
  <c r="I473" i="3" s="1"/>
  <c r="J473" i="3" s="1"/>
  <c r="AC340" i="3"/>
  <c r="V341" i="3" s="1"/>
  <c r="AE340" i="3"/>
  <c r="AA341" i="3"/>
  <c r="Y341" i="3"/>
  <c r="AF340" i="3" l="1"/>
  <c r="W341" i="3"/>
  <c r="X341" i="3"/>
  <c r="Z341" i="3"/>
  <c r="AB341" i="3"/>
  <c r="AC341" i="3" s="1"/>
  <c r="M473" i="3"/>
  <c r="O473" i="3"/>
  <c r="K473" i="3"/>
  <c r="N473" i="3"/>
  <c r="L473" i="3"/>
  <c r="V342" i="3" l="1"/>
  <c r="Y342" i="3" s="1"/>
  <c r="AF341" i="3"/>
  <c r="AE341" i="3"/>
  <c r="P473" i="3"/>
  <c r="I474" i="3" s="1"/>
  <c r="K474" i="3" s="1"/>
  <c r="AA342" i="3" l="1"/>
  <c r="W342" i="3"/>
  <c r="Z342" i="3"/>
  <c r="X342" i="3"/>
  <c r="AB342" i="3"/>
  <c r="AC342" i="3" s="1"/>
  <c r="J474" i="3"/>
  <c r="O474" i="3"/>
  <c r="N474" i="3"/>
  <c r="L474" i="3"/>
  <c r="M474" i="3"/>
  <c r="V343" i="3" l="1"/>
  <c r="Y343" i="3" s="1"/>
  <c r="AF342" i="3"/>
  <c r="AE342" i="3"/>
  <c r="P474" i="3"/>
  <c r="I475" i="3" s="1"/>
  <c r="L475" i="3" s="1"/>
  <c r="J475" i="3" l="1"/>
  <c r="O475" i="3"/>
  <c r="K475" i="3"/>
  <c r="N475" i="3"/>
  <c r="M475" i="3"/>
  <c r="AA343" i="3"/>
  <c r="AB343" i="3"/>
  <c r="W343" i="3"/>
  <c r="X343" i="3"/>
  <c r="Z343" i="3"/>
  <c r="P475" i="3" l="1"/>
  <c r="I476" i="3" s="1"/>
  <c r="J476" i="3" s="1"/>
  <c r="AC343" i="3"/>
  <c r="AF343" i="3" s="1"/>
  <c r="AE343" i="3"/>
  <c r="M476" i="3"/>
  <c r="O476" i="3"/>
  <c r="N476" i="3"/>
  <c r="K476" i="3"/>
  <c r="L476" i="3"/>
  <c r="V344" i="3" l="1"/>
  <c r="P476" i="3"/>
  <c r="I477" i="3" s="1"/>
  <c r="J477" i="3" s="1"/>
  <c r="X344" i="3"/>
  <c r="W344" i="3"/>
  <c r="AB344" i="3"/>
  <c r="Z344" i="3"/>
  <c r="O477" i="3"/>
  <c r="L477" i="3"/>
  <c r="N477" i="3"/>
  <c r="M477" i="3"/>
  <c r="K477" i="3" l="1"/>
  <c r="AA344" i="3"/>
  <c r="Y344" i="3"/>
  <c r="AE344" i="3"/>
  <c r="P477" i="3"/>
  <c r="I478" i="3" s="1"/>
  <c r="M478" i="3" s="1"/>
  <c r="AC344" i="3" l="1"/>
  <c r="AF344" i="3" s="1"/>
  <c r="L478" i="3"/>
  <c r="J478" i="3"/>
  <c r="K478" i="3"/>
  <c r="O478" i="3"/>
  <c r="N478" i="3"/>
  <c r="V345" i="3" l="1"/>
  <c r="Y345" i="3"/>
  <c r="AA345" i="3"/>
  <c r="P478" i="3"/>
  <c r="I479" i="3" s="1"/>
  <c r="J479" i="3" s="1"/>
  <c r="Z345" i="3" l="1"/>
  <c r="W345" i="3"/>
  <c r="X345" i="3"/>
  <c r="AB345" i="3"/>
  <c r="AE345" i="3" s="1"/>
  <c r="O479" i="3"/>
  <c r="L479" i="3"/>
  <c r="K479" i="3"/>
  <c r="M479" i="3"/>
  <c r="N479" i="3"/>
  <c r="AC345" i="3" l="1"/>
  <c r="V346" i="3" s="1"/>
  <c r="W346" i="3" s="1"/>
  <c r="P479" i="3"/>
  <c r="I480" i="3" s="1"/>
  <c r="L480" i="3" s="1"/>
  <c r="AA346" i="3"/>
  <c r="Y346" i="3"/>
  <c r="N480" i="3"/>
  <c r="M480" i="3"/>
  <c r="AB346" i="3" l="1"/>
  <c r="AE346" i="3" s="1"/>
  <c r="Z346" i="3"/>
  <c r="X346" i="3"/>
  <c r="AF345" i="3"/>
  <c r="AC346" i="3"/>
  <c r="V347" i="3" s="1"/>
  <c r="W347" i="3" s="1"/>
  <c r="J480" i="3"/>
  <c r="K480" i="3"/>
  <c r="O480" i="3"/>
  <c r="M481" i="3" s="1"/>
  <c r="AF346" i="3" l="1"/>
  <c r="L481" i="3"/>
  <c r="P480" i="3"/>
  <c r="I481" i="3" s="1"/>
  <c r="N481" i="3" s="1"/>
  <c r="AB347" i="3"/>
  <c r="AE347" i="3" s="1"/>
  <c r="Z347" i="3"/>
  <c r="X347" i="3"/>
  <c r="K481" i="3"/>
  <c r="AA347" i="3"/>
  <c r="Y347" i="3"/>
  <c r="O481" i="3" l="1"/>
  <c r="N482" i="3" s="1"/>
  <c r="J481" i="3"/>
  <c r="AC347" i="3"/>
  <c r="AF347" i="3" s="1"/>
  <c r="V348" i="3"/>
  <c r="X348" i="3" s="1"/>
  <c r="M482" i="3"/>
  <c r="L482" i="3"/>
  <c r="P481" i="3" l="1"/>
  <c r="I482" i="3" s="1"/>
  <c r="K482" i="3" s="1"/>
  <c r="O482" i="3"/>
  <c r="W348" i="3"/>
  <c r="AB348" i="3"/>
  <c r="AE348" i="3" s="1"/>
  <c r="Z348" i="3"/>
  <c r="AA348" i="3"/>
  <c r="Y348" i="3"/>
  <c r="J482" i="3" l="1"/>
  <c r="M483" i="3"/>
  <c r="P482" i="3"/>
  <c r="I483" i="3" s="1"/>
  <c r="K483" i="3" s="1"/>
  <c r="O483" i="3"/>
  <c r="AC348" i="3"/>
  <c r="V349" i="3" s="1"/>
  <c r="L483" i="3"/>
  <c r="N483" i="3"/>
  <c r="J483" i="3"/>
  <c r="Y349" i="3"/>
  <c r="AA349" i="3"/>
  <c r="X349" i="3" l="1"/>
  <c r="AB349" i="3"/>
  <c r="AE349" i="3" s="1"/>
  <c r="Z349" i="3"/>
  <c r="AF348" i="3"/>
  <c r="P483" i="3"/>
  <c r="I484" i="3" s="1"/>
  <c r="M484" i="3" s="1"/>
  <c r="W349" i="3"/>
  <c r="L484" i="3"/>
  <c r="N484" i="3"/>
  <c r="AC349" i="3" l="1"/>
  <c r="O484" i="3"/>
  <c r="K484" i="3"/>
  <c r="J484" i="3"/>
  <c r="AF349" i="3"/>
  <c r="V350" i="3"/>
  <c r="P484" i="3"/>
  <c r="I485" i="3" s="1"/>
  <c r="L485" i="3" s="1"/>
  <c r="X350" i="3" l="1"/>
  <c r="W350" i="3"/>
  <c r="AB350" i="3"/>
  <c r="AE350" i="3" s="1"/>
  <c r="Z350" i="3"/>
  <c r="AA350" i="3"/>
  <c r="Y350" i="3"/>
  <c r="J485" i="3"/>
  <c r="M485" i="3"/>
  <c r="N485" i="3"/>
  <c r="K485" i="3"/>
  <c r="O485" i="3"/>
  <c r="AC350" i="3" l="1"/>
  <c r="P485" i="3"/>
  <c r="I486" i="3" s="1"/>
  <c r="K486" i="3" s="1"/>
  <c r="M486" i="3"/>
  <c r="O486" i="3"/>
  <c r="AF350" i="3" l="1"/>
  <c r="V351" i="3"/>
  <c r="J486" i="3"/>
  <c r="L486" i="3"/>
  <c r="N486" i="3"/>
  <c r="X351" i="3" l="1"/>
  <c r="AB351" i="3"/>
  <c r="AE351" i="3" s="1"/>
  <c r="AA351" i="3"/>
  <c r="Z351" i="3"/>
  <c r="Y351" i="3"/>
  <c r="W351" i="3"/>
  <c r="P486" i="3"/>
  <c r="I487" i="3" s="1"/>
  <c r="M487" i="3" s="1"/>
  <c r="AC351" i="3" l="1"/>
  <c r="V352" i="3" s="1"/>
  <c r="N487" i="3"/>
  <c r="L487" i="3"/>
  <c r="J487" i="3"/>
  <c r="K487" i="3"/>
  <c r="O487" i="3"/>
  <c r="P487" i="3" s="1"/>
  <c r="I488" i="3" s="1"/>
  <c r="J488" i="3" s="1"/>
  <c r="AF351" i="3"/>
  <c r="AB352" i="3" l="1"/>
  <c r="AE352" i="3" s="1"/>
  <c r="AA352" i="3"/>
  <c r="X352" i="3"/>
  <c r="Y352" i="3"/>
  <c r="Z352" i="3"/>
  <c r="W352" i="3"/>
  <c r="O488" i="3"/>
  <c r="K488" i="3"/>
  <c r="N488" i="3"/>
  <c r="M488" i="3"/>
  <c r="L488" i="3"/>
  <c r="AC352" i="3" l="1"/>
  <c r="P488" i="3"/>
  <c r="I489" i="3" s="1"/>
  <c r="O489" i="3" s="1"/>
  <c r="AF352" i="3" l="1"/>
  <c r="V353" i="3"/>
  <c r="J489" i="3"/>
  <c r="K489" i="3"/>
  <c r="L489" i="3"/>
  <c r="M489" i="3"/>
  <c r="N489" i="3"/>
  <c r="AB353" i="3" l="1"/>
  <c r="AE353" i="3" s="1"/>
  <c r="AA353" i="3"/>
  <c r="Z353" i="3"/>
  <c r="W353" i="3"/>
  <c r="X353" i="3"/>
  <c r="Y353" i="3"/>
  <c r="P489" i="3"/>
  <c r="I490" i="3" s="1"/>
  <c r="L490" i="3" s="1"/>
  <c r="M490" i="3" l="1"/>
  <c r="AC353" i="3"/>
  <c r="K490" i="3"/>
  <c r="N490" i="3"/>
  <c r="O490" i="3"/>
  <c r="J490" i="3"/>
  <c r="AF353" i="3" l="1"/>
  <c r="V354" i="3"/>
  <c r="P490" i="3"/>
  <c r="I491" i="3" s="1"/>
  <c r="M491" i="3" s="1"/>
  <c r="W354" i="3" l="1"/>
  <c r="X354" i="3"/>
  <c r="AB354" i="3"/>
  <c r="Z354" i="3"/>
  <c r="AA354" i="3"/>
  <c r="Y354" i="3"/>
  <c r="N491" i="3"/>
  <c r="K491" i="3"/>
  <c r="O491" i="3"/>
  <c r="J491" i="3"/>
  <c r="L491" i="3"/>
  <c r="AC354" i="3" l="1"/>
  <c r="V355" i="3" s="1"/>
  <c r="AE354" i="3"/>
  <c r="Y355" i="3"/>
  <c r="AA355" i="3"/>
  <c r="P491" i="3"/>
  <c r="I492" i="3" s="1"/>
  <c r="AF354" i="3" l="1"/>
  <c r="X355" i="3"/>
  <c r="Z355" i="3"/>
  <c r="AB355" i="3"/>
  <c r="W355" i="3"/>
  <c r="L492" i="3"/>
  <c r="K492" i="3"/>
  <c r="O492" i="3"/>
  <c r="J492" i="3"/>
  <c r="M492" i="3"/>
  <c r="N492" i="3"/>
  <c r="AC355" i="3" l="1"/>
  <c r="AF355" i="3" s="1"/>
  <c r="AE355" i="3"/>
  <c r="Y356" i="3"/>
  <c r="AA356" i="3"/>
  <c r="P492" i="3"/>
  <c r="I493" i="3" s="1"/>
  <c r="K493" i="3" s="1"/>
  <c r="L493" i="3"/>
  <c r="V356" i="3" l="1"/>
  <c r="N493" i="3"/>
  <c r="M493" i="3"/>
  <c r="O493" i="3"/>
  <c r="X356" i="3"/>
  <c r="W356" i="3"/>
  <c r="Z356" i="3"/>
  <c r="AB356" i="3"/>
  <c r="AE356" i="3" s="1"/>
  <c r="J493" i="3"/>
  <c r="P493" i="3" l="1"/>
  <c r="I494" i="3" s="1"/>
  <c r="L494" i="3" s="1"/>
  <c r="M494" i="3"/>
  <c r="AC356" i="3"/>
  <c r="J494" i="3"/>
  <c r="O494" i="3"/>
  <c r="V357" i="3"/>
  <c r="AF356" i="3"/>
  <c r="K494" i="3"/>
  <c r="N494" i="3"/>
  <c r="P494" i="3" l="1"/>
  <c r="I495" i="3" s="1"/>
  <c r="N495" i="3"/>
  <c r="M495" i="3"/>
  <c r="L495" i="3"/>
  <c r="J495" i="3"/>
  <c r="AB357" i="3"/>
  <c r="AE357" i="3" s="1"/>
  <c r="X357" i="3"/>
  <c r="Z357" i="3"/>
  <c r="Y357" i="3"/>
  <c r="W357" i="3"/>
  <c r="AA357" i="3"/>
  <c r="O495" i="3"/>
  <c r="K495" i="3"/>
  <c r="P495" i="3" l="1"/>
  <c r="I496" i="3" s="1"/>
  <c r="L496" i="3" s="1"/>
  <c r="M496" i="3"/>
  <c r="N496" i="3"/>
  <c r="AC357" i="3"/>
  <c r="J496" i="3" l="1"/>
  <c r="O496" i="3"/>
  <c r="K496" i="3"/>
  <c r="V358" i="3"/>
  <c r="AF357" i="3"/>
  <c r="N497" i="3"/>
  <c r="P496" i="3" l="1"/>
  <c r="I497" i="3" s="1"/>
  <c r="O497" i="3" s="1"/>
  <c r="L497" i="3"/>
  <c r="M497" i="3"/>
  <c r="X358" i="3"/>
  <c r="W358" i="3"/>
  <c r="AA358" i="3"/>
  <c r="Y358" i="3"/>
  <c r="Z358" i="3"/>
  <c r="AB358" i="3"/>
  <c r="K497" i="3" l="1"/>
  <c r="J497" i="3"/>
  <c r="AC358" i="3"/>
  <c r="P497" i="3"/>
  <c r="I498" i="3" s="1"/>
  <c r="AF358" i="3"/>
  <c r="V359" i="3"/>
  <c r="AA359" i="3" s="1"/>
  <c r="AE358" i="3"/>
  <c r="Y359" i="3" l="1"/>
  <c r="L498" i="3"/>
  <c r="J498" i="3"/>
  <c r="K498" i="3"/>
  <c r="M498" i="3"/>
  <c r="N498" i="3"/>
  <c r="O498" i="3"/>
  <c r="AB359" i="3"/>
  <c r="AE359" i="3" s="1"/>
  <c r="W359" i="3"/>
  <c r="X359" i="3"/>
  <c r="Z359" i="3"/>
  <c r="AC359" i="3" l="1"/>
  <c r="P498" i="3"/>
  <c r="I499" i="3" s="1"/>
  <c r="AF359" i="3"/>
  <c r="V360" i="3"/>
  <c r="N499" i="3" l="1"/>
  <c r="J499" i="3"/>
  <c r="O499" i="3"/>
  <c r="K499" i="3"/>
  <c r="L499" i="3"/>
  <c r="M499" i="3"/>
  <c r="Z360" i="3"/>
  <c r="AB360" i="3"/>
  <c r="AE360" i="3" s="1"/>
  <c r="Y360" i="3"/>
  <c r="AA360" i="3"/>
  <c r="W360" i="3"/>
  <c r="X360" i="3"/>
  <c r="P499" i="3" l="1"/>
  <c r="I500" i="3" s="1"/>
  <c r="K500" i="3" s="1"/>
  <c r="O500" i="3"/>
  <c r="N500" i="3"/>
  <c r="L500" i="3"/>
  <c r="M500" i="3"/>
  <c r="AC360" i="3"/>
  <c r="J500" i="3" l="1"/>
  <c r="P500" i="3" s="1"/>
  <c r="I501" i="3" s="1"/>
  <c r="N501" i="3"/>
  <c r="L501" i="3"/>
  <c r="M501" i="3"/>
  <c r="AF360" i="3"/>
  <c r="V361" i="3"/>
  <c r="K501" i="3" l="1"/>
  <c r="J501" i="3"/>
  <c r="O501" i="3"/>
  <c r="M502" i="3" s="1"/>
  <c r="X361" i="3"/>
  <c r="AA361" i="3"/>
  <c r="Y361" i="3"/>
  <c r="Z361" i="3"/>
  <c r="AB361" i="3"/>
  <c r="AE361" i="3" s="1"/>
  <c r="W361" i="3"/>
  <c r="L502" i="3" l="1"/>
  <c r="N502" i="3"/>
  <c r="P501" i="3"/>
  <c r="I502" i="3" s="1"/>
  <c r="AC361" i="3"/>
  <c r="AF361" i="3" s="1"/>
  <c r="K502" i="3" l="1"/>
  <c r="J502" i="3"/>
  <c r="O502" i="3"/>
  <c r="V362" i="3"/>
  <c r="W362" i="3" s="1"/>
  <c r="AA362" i="3"/>
  <c r="Y362" i="3"/>
  <c r="AB362" i="3" l="1"/>
  <c r="AE362" i="3" s="1"/>
  <c r="Z362" i="3"/>
  <c r="M503" i="3"/>
  <c r="N503" i="3"/>
  <c r="P502" i="3"/>
  <c r="I503" i="3" s="1"/>
  <c r="X362" i="3"/>
  <c r="AC362" i="3" s="1"/>
  <c r="L503" i="3" l="1"/>
  <c r="O503" i="3"/>
  <c r="J503" i="3"/>
  <c r="K503" i="3"/>
  <c r="P503" i="3"/>
  <c r="I504" i="3" s="1"/>
  <c r="V363" i="3"/>
  <c r="AF362" i="3"/>
  <c r="N504" i="3" l="1"/>
  <c r="M504" i="3"/>
  <c r="L504" i="3"/>
  <c r="J504" i="3"/>
  <c r="K504" i="3"/>
  <c r="O504" i="3"/>
  <c r="P504" i="3" s="1"/>
  <c r="I505" i="3" s="1"/>
  <c r="AA363" i="3"/>
  <c r="X363" i="3"/>
  <c r="AB363" i="3"/>
  <c r="AE363" i="3" s="1"/>
  <c r="Z363" i="3"/>
  <c r="W363" i="3"/>
  <c r="Y363" i="3"/>
  <c r="N505" i="3" l="1"/>
  <c r="M505" i="3"/>
  <c r="L505" i="3"/>
  <c r="K505" i="3"/>
  <c r="J505" i="3"/>
  <c r="O505" i="3"/>
  <c r="L506" i="3" s="1"/>
  <c r="AC363" i="3"/>
  <c r="N506" i="3" l="1"/>
  <c r="P505" i="3"/>
  <c r="I506" i="3" s="1"/>
  <c r="AF363" i="3"/>
  <c r="V364" i="3"/>
  <c r="M506" i="3" l="1"/>
  <c r="O506" i="3"/>
  <c r="K506" i="3"/>
  <c r="J506" i="3"/>
  <c r="AA364" i="3"/>
  <c r="Z364" i="3"/>
  <c r="X364" i="3"/>
  <c r="W364" i="3"/>
  <c r="AB364" i="3"/>
  <c r="AE364" i="3" s="1"/>
  <c r="Y364" i="3"/>
  <c r="L507" i="3" l="1"/>
  <c r="M507" i="3"/>
  <c r="P506" i="3"/>
  <c r="I507" i="3" s="1"/>
  <c r="N507" i="3"/>
  <c r="AC364" i="3"/>
  <c r="O507" i="3" l="1"/>
  <c r="K507" i="3"/>
  <c r="J507" i="3"/>
  <c r="V365" i="3"/>
  <c r="AF364" i="3"/>
  <c r="N508" i="3"/>
  <c r="M508" i="3"/>
  <c r="L508" i="3"/>
  <c r="P507" i="3" l="1"/>
  <c r="I508" i="3" s="1"/>
  <c r="O508" i="3" s="1"/>
  <c r="Y365" i="3"/>
  <c r="X365" i="3"/>
  <c r="W365" i="3"/>
  <c r="Z365" i="3"/>
  <c r="AA365" i="3"/>
  <c r="AB365" i="3"/>
  <c r="AE365" i="3" s="1"/>
  <c r="K508" i="3" l="1"/>
  <c r="J508" i="3"/>
  <c r="P508" i="3" s="1"/>
  <c r="I509" i="3" s="1"/>
  <c r="L509" i="3" s="1"/>
  <c r="AC365" i="3"/>
  <c r="V366" i="3" s="1"/>
  <c r="M509" i="3"/>
  <c r="O509" i="3"/>
  <c r="N509" i="3"/>
  <c r="J509" i="3"/>
  <c r="K509" i="3"/>
  <c r="AF365" i="3" l="1"/>
  <c r="AA366" i="3"/>
  <c r="Z366" i="3"/>
  <c r="X366" i="3"/>
  <c r="W366" i="3"/>
  <c r="AB366" i="3"/>
  <c r="Y366" i="3"/>
  <c r="P509" i="3"/>
  <c r="I510" i="3" s="1"/>
  <c r="N510" i="3" s="1"/>
  <c r="AC366" i="3" l="1"/>
  <c r="M510" i="3"/>
  <c r="O510" i="3"/>
  <c r="L510" i="3"/>
  <c r="AF366" i="3"/>
  <c r="V367" i="3"/>
  <c r="AA367" i="3" s="1"/>
  <c r="AE366" i="3"/>
  <c r="J510" i="3"/>
  <c r="K510" i="3"/>
  <c r="P510" i="3" l="1"/>
  <c r="I511" i="3" s="1"/>
  <c r="O511" i="3" s="1"/>
  <c r="X367" i="3"/>
  <c r="AB367" i="3"/>
  <c r="Z367" i="3"/>
  <c r="W367" i="3"/>
  <c r="Y367" i="3"/>
  <c r="L511" i="3"/>
  <c r="M511" i="3"/>
  <c r="N511" i="3"/>
  <c r="K511" i="3" l="1"/>
  <c r="J511" i="3"/>
  <c r="AC367" i="3"/>
  <c r="V368" i="3" s="1"/>
  <c r="AE367" i="3"/>
  <c r="P511" i="3"/>
  <c r="I512" i="3" s="1"/>
  <c r="M512" i="3" s="1"/>
  <c r="AF367" i="3" l="1"/>
  <c r="AA368" i="3"/>
  <c r="Y368" i="3"/>
  <c r="Z368" i="3"/>
  <c r="AB368" i="3"/>
  <c r="X368" i="3"/>
  <c r="W368" i="3"/>
  <c r="O512" i="3"/>
  <c r="L512" i="3"/>
  <c r="N512" i="3"/>
  <c r="K512" i="3"/>
  <c r="J512" i="3"/>
  <c r="AC368" i="3" l="1"/>
  <c r="V369" i="3" s="1"/>
  <c r="AF368" i="3"/>
  <c r="AE368" i="3"/>
  <c r="Y369" i="3"/>
  <c r="P512" i="3"/>
  <c r="I513" i="3" s="1"/>
  <c r="J513" i="3" s="1"/>
  <c r="AB369" i="3" l="1"/>
  <c r="Z369" i="3"/>
  <c r="X369" i="3"/>
  <c r="W369" i="3"/>
  <c r="AA369" i="3"/>
  <c r="O513" i="3"/>
  <c r="M513" i="3"/>
  <c r="K513" i="3"/>
  <c r="L513" i="3"/>
  <c r="N513" i="3"/>
  <c r="AC369" i="3" l="1"/>
  <c r="V370" i="3" s="1"/>
  <c r="AA370" i="3" s="1"/>
  <c r="AE369" i="3"/>
  <c r="P513" i="3"/>
  <c r="I514" i="3" s="1"/>
  <c r="J514" i="3" s="1"/>
  <c r="AF369" i="3" l="1"/>
  <c r="Y370" i="3"/>
  <c r="AB370" i="3"/>
  <c r="X370" i="3"/>
  <c r="W370" i="3"/>
  <c r="Z370" i="3"/>
  <c r="N514" i="3"/>
  <c r="L514" i="3"/>
  <c r="M514" i="3"/>
  <c r="K514" i="3"/>
  <c r="O514" i="3"/>
  <c r="AC370" i="3" l="1"/>
  <c r="AF370" i="3" s="1"/>
  <c r="AE370" i="3"/>
  <c r="Y371" i="3"/>
  <c r="P514" i="3"/>
  <c r="I515" i="3" s="1"/>
  <c r="N515" i="3" s="1"/>
  <c r="V371" i="3" l="1"/>
  <c r="AA371" i="3" s="1"/>
  <c r="AB371" i="3"/>
  <c r="AE371" i="3" s="1"/>
  <c r="Z371" i="3"/>
  <c r="M515" i="3"/>
  <c r="L515" i="3"/>
  <c r="J515" i="3"/>
  <c r="O515" i="3"/>
  <c r="K515" i="3"/>
  <c r="W371" i="3" l="1"/>
  <c r="X371" i="3"/>
  <c r="AC371" i="3"/>
  <c r="V372" i="3"/>
  <c r="AF371" i="3"/>
  <c r="P515" i="3"/>
  <c r="I516" i="3" s="1"/>
  <c r="K516" i="3" s="1"/>
  <c r="M516" i="3"/>
  <c r="N516" i="3" l="1"/>
  <c r="L516" i="3"/>
  <c r="X372" i="3"/>
  <c r="W372" i="3"/>
  <c r="AB372" i="3"/>
  <c r="AE372" i="3" s="1"/>
  <c r="AA372" i="3"/>
  <c r="Z372" i="3"/>
  <c r="Y372" i="3"/>
  <c r="J516" i="3"/>
  <c r="O516" i="3"/>
  <c r="P516" i="3" l="1"/>
  <c r="I517" i="3" s="1"/>
  <c r="O517" i="3" s="1"/>
  <c r="AC372" i="3"/>
  <c r="L517" i="3"/>
  <c r="N517" i="3"/>
  <c r="M517" i="3"/>
  <c r="J517" i="3" l="1"/>
  <c r="K517" i="3"/>
  <c r="V373" i="3"/>
  <c r="AF372" i="3"/>
  <c r="P517" i="3"/>
  <c r="I518" i="3" s="1"/>
  <c r="Y373" i="3" l="1"/>
  <c r="X373" i="3"/>
  <c r="Z373" i="3"/>
  <c r="W373" i="3"/>
  <c r="AB373" i="3"/>
  <c r="AA373" i="3"/>
  <c r="O518" i="3"/>
  <c r="J518" i="3"/>
  <c r="K518" i="3"/>
  <c r="L518" i="3"/>
  <c r="M518" i="3"/>
  <c r="N518" i="3"/>
  <c r="AC373" i="3" l="1"/>
  <c r="AF373" i="3" s="1"/>
  <c r="AE373" i="3"/>
  <c r="Y374" i="3"/>
  <c r="P518" i="3"/>
  <c r="I519" i="3" s="1"/>
  <c r="V374" i="3" l="1"/>
  <c r="AA374" i="3" s="1"/>
  <c r="AB374" i="3"/>
  <c r="O519" i="3"/>
  <c r="K519" i="3"/>
  <c r="J519" i="3"/>
  <c r="N519" i="3"/>
  <c r="M519" i="3"/>
  <c r="L519" i="3"/>
  <c r="X374" i="3" l="1"/>
  <c r="W374" i="3"/>
  <c r="Z374" i="3"/>
  <c r="AC374" i="3" s="1"/>
  <c r="AE374" i="3"/>
  <c r="Y375" i="3"/>
  <c r="AA375" i="3"/>
  <c r="P519" i="3"/>
  <c r="I520" i="3" s="1"/>
  <c r="V375" i="3" l="1"/>
  <c r="AF374" i="3"/>
  <c r="Z375" i="3"/>
  <c r="X375" i="3"/>
  <c r="W375" i="3"/>
  <c r="AB375" i="3"/>
  <c r="AE375" i="3" s="1"/>
  <c r="O520" i="3"/>
  <c r="K520" i="3"/>
  <c r="J520" i="3"/>
  <c r="L520" i="3"/>
  <c r="M520" i="3"/>
  <c r="N520" i="3"/>
  <c r="AC375" i="3" l="1"/>
  <c r="AF375" i="3" s="1"/>
  <c r="P520" i="3"/>
  <c r="I521" i="3" s="1"/>
  <c r="L521" i="3" s="1"/>
  <c r="V376" i="3" l="1"/>
  <c r="AA376" i="3"/>
  <c r="X376" i="3"/>
  <c r="AB376" i="3"/>
  <c r="AE376" i="3" s="1"/>
  <c r="W376" i="3"/>
  <c r="Z376" i="3"/>
  <c r="Y376" i="3"/>
  <c r="O521" i="3"/>
  <c r="J521" i="3"/>
  <c r="K521" i="3"/>
  <c r="M521" i="3"/>
  <c r="N521" i="3"/>
  <c r="AC376" i="3" l="1"/>
  <c r="AF376" i="3" s="1"/>
  <c r="Y377" i="3"/>
  <c r="P521" i="3"/>
  <c r="I522" i="3" s="1"/>
  <c r="V377" i="3" l="1"/>
  <c r="X377" i="3" s="1"/>
  <c r="AB377" i="3"/>
  <c r="AE377" i="3" s="1"/>
  <c r="AA377" i="3"/>
  <c r="Z377" i="3"/>
  <c r="O522" i="3"/>
  <c r="J522" i="3"/>
  <c r="K522" i="3"/>
  <c r="N522" i="3"/>
  <c r="M522" i="3"/>
  <c r="L522" i="3"/>
  <c r="W377" i="3" l="1"/>
  <c r="AC377" i="3"/>
  <c r="P522" i="3"/>
  <c r="I523" i="3" s="1"/>
  <c r="V378" i="3" l="1"/>
  <c r="AF377" i="3"/>
  <c r="O523" i="3"/>
  <c r="K523" i="3"/>
  <c r="J523" i="3"/>
  <c r="N523" i="3"/>
  <c r="M523" i="3"/>
  <c r="L523" i="3"/>
  <c r="AA378" i="3" l="1"/>
  <c r="W378" i="3"/>
  <c r="Z378" i="3"/>
  <c r="Y378" i="3"/>
  <c r="X378" i="3"/>
  <c r="AB378" i="3"/>
  <c r="P523" i="3"/>
  <c r="I524" i="3" s="1"/>
  <c r="M524" i="3" s="1"/>
  <c r="AC378" i="3" l="1"/>
  <c r="AF378" i="3" s="1"/>
  <c r="AG378" i="3" s="1"/>
  <c r="AE378" i="3"/>
  <c r="AA379" i="3"/>
  <c r="Y379" i="3"/>
  <c r="O524" i="3"/>
  <c r="J524" i="3"/>
  <c r="N524" i="3"/>
  <c r="L524" i="3"/>
  <c r="K524" i="3"/>
  <c r="V379" i="3" l="1"/>
  <c r="Z379" i="3"/>
  <c r="X379" i="3"/>
  <c r="AB379" i="3"/>
  <c r="W379" i="3"/>
  <c r="P524" i="3"/>
  <c r="I525" i="3" s="1"/>
  <c r="L525" i="3" s="1"/>
  <c r="AC379" i="3" l="1"/>
  <c r="AF379" i="3" s="1"/>
  <c r="AG379" i="3" s="1"/>
  <c r="V380" i="3"/>
  <c r="Y380" i="3" s="1"/>
  <c r="AE379" i="3"/>
  <c r="O525" i="3"/>
  <c r="N525" i="3"/>
  <c r="M525" i="3"/>
  <c r="J525" i="3"/>
  <c r="K525" i="3"/>
  <c r="AA380" i="3" l="1"/>
  <c r="W380" i="3"/>
  <c r="Z380" i="3"/>
  <c r="X380" i="3"/>
  <c r="AB380" i="3"/>
  <c r="AE380" i="3" s="1"/>
  <c r="P525" i="3"/>
  <c r="I526" i="3" s="1"/>
  <c r="N526" i="3" s="1"/>
  <c r="AC380" i="3" l="1"/>
  <c r="L526" i="3"/>
  <c r="O526" i="3"/>
  <c r="J526" i="3"/>
  <c r="K526" i="3"/>
  <c r="M526" i="3"/>
  <c r="AF380" i="3" l="1"/>
  <c r="AG380" i="3" s="1"/>
  <c r="V381" i="3"/>
  <c r="P526" i="3"/>
  <c r="I527" i="3" s="1"/>
  <c r="J527" i="3" s="1"/>
  <c r="Z381" i="3" l="1"/>
  <c r="W381" i="3"/>
  <c r="X381" i="3"/>
  <c r="AB381" i="3"/>
  <c r="AE381" i="3" s="1"/>
  <c r="Y381" i="3"/>
  <c r="AA381" i="3"/>
  <c r="N527" i="3"/>
  <c r="M527" i="3"/>
  <c r="L527" i="3"/>
  <c r="K527" i="3"/>
  <c r="O527" i="3"/>
  <c r="AC381" i="3" l="1"/>
  <c r="V382" i="3" s="1"/>
  <c r="P527" i="3"/>
  <c r="I528" i="3" s="1"/>
  <c r="L528" i="3" s="1"/>
  <c r="AF381" i="3" l="1"/>
  <c r="AG381" i="3" s="1"/>
  <c r="AA382" i="3"/>
  <c r="W382" i="3"/>
  <c r="Z382" i="3"/>
  <c r="AB382" i="3"/>
  <c r="X382" i="3"/>
  <c r="Y382" i="3"/>
  <c r="N528" i="3"/>
  <c r="K528" i="3"/>
  <c r="J528" i="3"/>
  <c r="O528" i="3"/>
  <c r="M528" i="3"/>
  <c r="AE382" i="3" l="1"/>
  <c r="AC382" i="3"/>
  <c r="P528" i="3"/>
  <c r="I529" i="3" s="1"/>
  <c r="AF382" i="3" l="1"/>
  <c r="V383" i="3"/>
  <c r="K529" i="3"/>
  <c r="O529" i="3"/>
  <c r="J529" i="3"/>
  <c r="L529" i="3"/>
  <c r="M529" i="3"/>
  <c r="N529" i="3"/>
  <c r="AA383" i="3" l="1"/>
  <c r="AB383" i="3"/>
  <c r="AE383" i="3" s="1"/>
  <c r="Z383" i="3"/>
  <c r="X383" i="3"/>
  <c r="W383" i="3"/>
  <c r="Y383" i="3"/>
  <c r="P529" i="3"/>
  <c r="I530" i="3" s="1"/>
  <c r="J530" i="3" s="1"/>
  <c r="AC383" i="3" l="1"/>
  <c r="M530" i="3"/>
  <c r="O530" i="3"/>
  <c r="K530" i="3"/>
  <c r="N530" i="3"/>
  <c r="L530" i="3"/>
  <c r="V384" i="3" l="1"/>
  <c r="AF383" i="3"/>
  <c r="P530" i="3"/>
  <c r="I531" i="3" s="1"/>
  <c r="K531" i="3" s="1"/>
  <c r="Z384" i="3" l="1"/>
  <c r="X384" i="3"/>
  <c r="AB384" i="3"/>
  <c r="AE384" i="3" s="1"/>
  <c r="W384" i="3"/>
  <c r="AA384" i="3"/>
  <c r="Y384" i="3"/>
  <c r="N531" i="3"/>
  <c r="J531" i="3"/>
  <c r="L531" i="3"/>
  <c r="M531" i="3"/>
  <c r="O531" i="3"/>
  <c r="AC384" i="3" l="1"/>
  <c r="V385" i="3" s="1"/>
  <c r="P531" i="3"/>
  <c r="I532" i="3" s="1"/>
  <c r="K532" i="3" s="1"/>
  <c r="AF384" i="3" l="1"/>
  <c r="AB385" i="3"/>
  <c r="X385" i="3"/>
  <c r="W385" i="3"/>
  <c r="Z385" i="3"/>
  <c r="Y385" i="3"/>
  <c r="AA385" i="3"/>
  <c r="O532" i="3"/>
  <c r="M532" i="3"/>
  <c r="N532" i="3"/>
  <c r="L532" i="3"/>
  <c r="J532" i="3"/>
  <c r="AC385" i="3" l="1"/>
  <c r="AF385" i="3" s="1"/>
  <c r="AE385" i="3"/>
  <c r="Y386" i="3"/>
  <c r="AA386" i="3"/>
  <c r="P532" i="3"/>
  <c r="I533" i="3" s="1"/>
  <c r="L533" i="3" s="1"/>
  <c r="V386" i="3" l="1"/>
  <c r="W386" i="3" s="1"/>
  <c r="N533" i="3"/>
  <c r="K533" i="3"/>
  <c r="J533" i="3"/>
  <c r="O533" i="3"/>
  <c r="M533" i="3"/>
  <c r="X386" i="3" l="1"/>
  <c r="AB386" i="3"/>
  <c r="AE386" i="3" s="1"/>
  <c r="Z386" i="3"/>
  <c r="AC386" i="3" s="1"/>
  <c r="AF386" i="3" s="1"/>
  <c r="Y387" i="3"/>
  <c r="P533" i="3"/>
  <c r="I534" i="3" s="1"/>
  <c r="N534" i="3" s="1"/>
  <c r="V387" i="3" l="1"/>
  <c r="AA387" i="3" s="1"/>
  <c r="Z387" i="3"/>
  <c r="AB387" i="3"/>
  <c r="AE387" i="3" s="1"/>
  <c r="O534" i="3"/>
  <c r="L534" i="3"/>
  <c r="M534" i="3"/>
  <c r="K534" i="3"/>
  <c r="J534" i="3"/>
  <c r="W387" i="3" l="1"/>
  <c r="X387" i="3"/>
  <c r="AC387" i="3" s="1"/>
  <c r="V388" i="3" s="1"/>
  <c r="P534" i="3"/>
  <c r="I535" i="3" s="1"/>
  <c r="L535" i="3" s="1"/>
  <c r="M535" i="3"/>
  <c r="K535" i="3" l="1"/>
  <c r="AF387" i="3"/>
  <c r="O535" i="3"/>
  <c r="AB388" i="3"/>
  <c r="AE388" i="3" s="1"/>
  <c r="Y388" i="3"/>
  <c r="Z388" i="3"/>
  <c r="AA388" i="3"/>
  <c r="W388" i="3"/>
  <c r="X388" i="3"/>
  <c r="J535" i="3"/>
  <c r="N535" i="3"/>
  <c r="P535" i="3" l="1"/>
  <c r="I536" i="3" s="1"/>
  <c r="J536" i="3" s="1"/>
  <c r="AC388" i="3"/>
  <c r="V389" i="3" s="1"/>
  <c r="AB389" i="3" s="1"/>
  <c r="AE389" i="3" s="1"/>
  <c r="O536" i="3"/>
  <c r="X389" i="3"/>
  <c r="W389" i="3"/>
  <c r="Z389" i="3"/>
  <c r="Y389" i="3"/>
  <c r="AA389" i="3"/>
  <c r="N536" i="3"/>
  <c r="AF388" i="3" l="1"/>
  <c r="K536" i="3"/>
  <c r="L536" i="3"/>
  <c r="M536" i="3"/>
  <c r="AC389" i="3"/>
  <c r="AF389" i="3" s="1"/>
  <c r="V390" i="3" l="1"/>
  <c r="X390" i="3" s="1"/>
  <c r="P536" i="3"/>
  <c r="I537" i="3" s="1"/>
  <c r="K537" i="3" s="1"/>
  <c r="L537" i="3"/>
  <c r="N537" i="3"/>
  <c r="O537" i="3" l="1"/>
  <c r="J537" i="3"/>
  <c r="Z390" i="3"/>
  <c r="Y390" i="3"/>
  <c r="W390" i="3"/>
  <c r="AA390" i="3"/>
  <c r="AB390" i="3"/>
  <c r="AE390" i="3" s="1"/>
  <c r="M537" i="3"/>
  <c r="P537" i="3" s="1"/>
  <c r="I538" i="3" s="1"/>
  <c r="O538" i="3" s="1"/>
  <c r="AC390" i="3" l="1"/>
  <c r="AF390" i="3" s="1"/>
  <c r="M538" i="3"/>
  <c r="J538" i="3"/>
  <c r="K538" i="3"/>
  <c r="L538" i="3"/>
  <c r="N538" i="3"/>
  <c r="V391" i="3"/>
  <c r="Y391" i="3" s="1"/>
  <c r="AB391" i="3"/>
  <c r="AE391" i="3" s="1"/>
  <c r="X391" i="3" l="1"/>
  <c r="W391" i="3"/>
  <c r="Z391" i="3"/>
  <c r="AA391" i="3"/>
  <c r="P538" i="3"/>
  <c r="I539" i="3" s="1"/>
  <c r="M539" i="3" s="1"/>
  <c r="N539" i="3"/>
  <c r="L539" i="3"/>
  <c r="AC391" i="3" l="1"/>
  <c r="AF391" i="3" s="1"/>
  <c r="J539" i="3"/>
  <c r="V392" i="3"/>
  <c r="AB392" i="3" s="1"/>
  <c r="K539" i="3"/>
  <c r="O539" i="3"/>
  <c r="Z392" i="3"/>
  <c r="Y392" i="3"/>
  <c r="AA392" i="3"/>
  <c r="X392" i="3" l="1"/>
  <c r="W392" i="3"/>
  <c r="P539" i="3"/>
  <c r="I540" i="3" s="1"/>
  <c r="AC392" i="3"/>
  <c r="V393" i="3" s="1"/>
  <c r="Y393" i="3" s="1"/>
  <c r="AE392" i="3"/>
  <c r="L540" i="3" l="1"/>
  <c r="O540" i="3"/>
  <c r="J540" i="3"/>
  <c r="N540" i="3"/>
  <c r="K540" i="3"/>
  <c r="M540" i="3"/>
  <c r="AF392" i="3"/>
  <c r="W393" i="3"/>
  <c r="AB393" i="3"/>
  <c r="AE393" i="3" s="1"/>
  <c r="Z393" i="3"/>
  <c r="X393" i="3"/>
  <c r="AA393" i="3"/>
  <c r="P540" i="3" l="1"/>
  <c r="I541" i="3" s="1"/>
  <c r="N541" i="3"/>
  <c r="M541" i="3"/>
  <c r="AC393" i="3"/>
  <c r="AF393" i="3" s="1"/>
  <c r="V394" i="3" l="1"/>
  <c r="X394" i="3" s="1"/>
  <c r="J541" i="3"/>
  <c r="O541" i="3"/>
  <c r="K541" i="3"/>
  <c r="L541" i="3"/>
  <c r="AA394" i="3"/>
  <c r="Y394" i="3"/>
  <c r="AB394" i="3"/>
  <c r="AE394" i="3" s="1"/>
  <c r="W394" i="3"/>
  <c r="Z394" i="3" l="1"/>
  <c r="P541" i="3"/>
  <c r="I542" i="3" s="1"/>
  <c r="N542" i="3" s="1"/>
  <c r="M542" i="3"/>
  <c r="L542" i="3"/>
  <c r="O542" i="3"/>
  <c r="AC394" i="3"/>
  <c r="V395" i="3" s="1"/>
  <c r="Y395" i="3" s="1"/>
  <c r="K542" i="3" l="1"/>
  <c r="J542" i="3"/>
  <c r="P542" i="3" s="1"/>
  <c r="I543" i="3" s="1"/>
  <c r="M543" i="3"/>
  <c r="AF394" i="3"/>
  <c r="N543" i="3"/>
  <c r="AA395" i="3"/>
  <c r="AB395" i="3"/>
  <c r="AE395" i="3" s="1"/>
  <c r="X395" i="3"/>
  <c r="W395" i="3"/>
  <c r="Z395" i="3"/>
  <c r="L543" i="3" l="1"/>
  <c r="J543" i="3"/>
  <c r="O543" i="3"/>
  <c r="K543" i="3"/>
  <c r="AC395" i="3"/>
  <c r="P543" i="3" l="1"/>
  <c r="I544" i="3" s="1"/>
  <c r="N544" i="3"/>
  <c r="K544" i="3"/>
  <c r="J544" i="3"/>
  <c r="O544" i="3"/>
  <c r="M544" i="3"/>
  <c r="L544" i="3"/>
  <c r="AF395" i="3"/>
  <c r="V396" i="3"/>
  <c r="P544" i="3" l="1"/>
  <c r="I545" i="3" s="1"/>
  <c r="Z396" i="3"/>
  <c r="W396" i="3"/>
  <c r="AB396" i="3"/>
  <c r="AE396" i="3" s="1"/>
  <c r="X396" i="3"/>
  <c r="Y396" i="3"/>
  <c r="AA396" i="3"/>
  <c r="K545" i="3" l="1"/>
  <c r="O545" i="3"/>
  <c r="J545" i="3"/>
  <c r="L545" i="3"/>
  <c r="N545" i="3"/>
  <c r="M545" i="3"/>
  <c r="AC396" i="3"/>
  <c r="V397" i="3" s="1"/>
  <c r="P545" i="3" l="1"/>
  <c r="I546" i="3" s="1"/>
  <c r="K546" i="3" s="1"/>
  <c r="L546" i="3"/>
  <c r="J546" i="3"/>
  <c r="O546" i="3"/>
  <c r="N546" i="3"/>
  <c r="M546" i="3"/>
  <c r="AF396" i="3"/>
  <c r="Z397" i="3"/>
  <c r="AB397" i="3"/>
  <c r="X397" i="3"/>
  <c r="W397" i="3"/>
  <c r="AA397" i="3"/>
  <c r="Y397" i="3"/>
  <c r="P546" i="3" l="1"/>
  <c r="I547" i="3" s="1"/>
  <c r="O547" i="3" s="1"/>
  <c r="L547" i="3"/>
  <c r="M547" i="3"/>
  <c r="N547" i="3"/>
  <c r="AC397" i="3"/>
  <c r="AF397" i="3" s="1"/>
  <c r="AE397" i="3"/>
  <c r="K547" i="3" l="1"/>
  <c r="J547" i="3"/>
  <c r="V398" i="3"/>
  <c r="Y398" i="3" s="1"/>
  <c r="AA398" i="3"/>
  <c r="P547" i="3"/>
  <c r="I548" i="3" s="1"/>
  <c r="O548" i="3" s="1"/>
  <c r="AB398" i="3"/>
  <c r="AE398" i="3" s="1"/>
  <c r="Z398" i="3"/>
  <c r="X398" i="3"/>
  <c r="M548" i="3"/>
  <c r="L548" i="3"/>
  <c r="N548" i="3"/>
  <c r="W398" i="3" l="1"/>
  <c r="J548" i="3"/>
  <c r="K548" i="3"/>
  <c r="AC398" i="3"/>
  <c r="AF398" i="3" s="1"/>
  <c r="P548" i="3"/>
  <c r="I549" i="3" s="1"/>
  <c r="M549" i="3" s="1"/>
  <c r="V399" i="3" l="1"/>
  <c r="L549" i="3"/>
  <c r="N549" i="3"/>
  <c r="X399" i="3"/>
  <c r="Z399" i="3"/>
  <c r="AB399" i="3"/>
  <c r="W399" i="3"/>
  <c r="AA399" i="3"/>
  <c r="Y399" i="3"/>
  <c r="O549" i="3"/>
  <c r="K549" i="3"/>
  <c r="J549" i="3"/>
  <c r="AC399" i="3" l="1"/>
  <c r="V400" i="3" s="1"/>
  <c r="Y400" i="3" s="1"/>
  <c r="AE399" i="3"/>
  <c r="P549" i="3"/>
  <c r="I550" i="3" s="1"/>
  <c r="J550" i="3" s="1"/>
  <c r="O550" i="3" l="1"/>
  <c r="AF399" i="3"/>
  <c r="K550" i="3"/>
  <c r="AA400" i="3"/>
  <c r="N550" i="3"/>
  <c r="M550" i="3"/>
  <c r="L550" i="3"/>
  <c r="AB400" i="3"/>
  <c r="AE400" i="3" s="1"/>
  <c r="Z400" i="3"/>
  <c r="X400" i="3"/>
  <c r="W400" i="3"/>
  <c r="P550" i="3" l="1"/>
  <c r="I551" i="3" s="1"/>
  <c r="J551" i="3" s="1"/>
  <c r="AC400" i="3"/>
  <c r="AF400" i="3" s="1"/>
  <c r="O551" i="3"/>
  <c r="K551" i="3"/>
  <c r="N551" i="3"/>
  <c r="M551" i="3"/>
  <c r="L551" i="3"/>
  <c r="V401" i="3" l="1"/>
  <c r="W401" i="3"/>
  <c r="AB401" i="3"/>
  <c r="AE401" i="3" s="1"/>
  <c r="Z401" i="3"/>
  <c r="X401" i="3"/>
  <c r="Y401" i="3"/>
  <c r="AA401" i="3"/>
  <c r="P551" i="3"/>
  <c r="I552" i="3" s="1"/>
  <c r="K552" i="3" s="1"/>
  <c r="AC401" i="3" l="1"/>
  <c r="O552" i="3"/>
  <c r="N552" i="3"/>
  <c r="M552" i="3"/>
  <c r="L552" i="3"/>
  <c r="J552" i="3"/>
  <c r="V402" i="3" l="1"/>
  <c r="AF401" i="3"/>
  <c r="P552" i="3"/>
  <c r="I553" i="3" s="1"/>
  <c r="O553" i="3" s="1"/>
  <c r="AA402" i="3" l="1"/>
  <c r="X402" i="3"/>
  <c r="Z402" i="3"/>
  <c r="AB402" i="3"/>
  <c r="AE402" i="3" s="1"/>
  <c r="W402" i="3"/>
  <c r="Y402" i="3"/>
  <c r="L553" i="3"/>
  <c r="N553" i="3"/>
  <c r="M553" i="3"/>
  <c r="K553" i="3"/>
  <c r="J553" i="3"/>
  <c r="AC402" i="3" l="1"/>
  <c r="AF402" i="3" s="1"/>
  <c r="P553" i="3"/>
  <c r="I554" i="3" s="1"/>
  <c r="K554" i="3" s="1"/>
  <c r="V403" i="3" l="1"/>
  <c r="AB403" i="3" s="1"/>
  <c r="AE403" i="3" s="1"/>
  <c r="Y403" i="3"/>
  <c r="AA403" i="3"/>
  <c r="M554" i="3"/>
  <c r="N554" i="3"/>
  <c r="J554" i="3"/>
  <c r="L554" i="3"/>
  <c r="O554" i="3"/>
  <c r="W403" i="3" l="1"/>
  <c r="X403" i="3"/>
  <c r="Z403" i="3"/>
  <c r="AC403" i="3" s="1"/>
  <c r="P554" i="3"/>
  <c r="I555" i="3" s="1"/>
  <c r="L555" i="3" s="1"/>
  <c r="J555" i="3" l="1"/>
  <c r="AF403" i="3"/>
  <c r="V404" i="3"/>
  <c r="O555" i="3"/>
  <c r="K555" i="3"/>
  <c r="M555" i="3"/>
  <c r="N555" i="3"/>
  <c r="AA404" i="3" l="1"/>
  <c r="Y404" i="3"/>
  <c r="W404" i="3"/>
  <c r="Z404" i="3"/>
  <c r="AB404" i="3"/>
  <c r="X404" i="3"/>
  <c r="P555" i="3"/>
  <c r="I556" i="3" s="1"/>
  <c r="L556" i="3" s="1"/>
  <c r="O556" i="3" l="1"/>
  <c r="AE404" i="3"/>
  <c r="AC404" i="3"/>
  <c r="M556" i="3"/>
  <c r="N556" i="3"/>
  <c r="K556" i="3"/>
  <c r="J556" i="3"/>
  <c r="AF404" i="3" l="1"/>
  <c r="V405" i="3"/>
  <c r="P556" i="3"/>
  <c r="I557" i="3" s="1"/>
  <c r="K557" i="3" s="1"/>
  <c r="L557" i="3" l="1"/>
  <c r="N557" i="3"/>
  <c r="M557" i="3"/>
  <c r="AB405" i="3"/>
  <c r="X405" i="3"/>
  <c r="W405" i="3"/>
  <c r="Z405" i="3"/>
  <c r="Y405" i="3"/>
  <c r="AA405" i="3"/>
  <c r="J557" i="3"/>
  <c r="O557" i="3"/>
  <c r="P557" i="3" l="1"/>
  <c r="I558" i="3" s="1"/>
  <c r="M558" i="3" s="1"/>
  <c r="AC405" i="3"/>
  <c r="V406" i="3" s="1"/>
  <c r="Y406" i="3" s="1"/>
  <c r="AE405" i="3"/>
  <c r="N558" i="3"/>
  <c r="L558" i="3"/>
  <c r="O558" i="3" l="1"/>
  <c r="J558" i="3"/>
  <c r="K558" i="3"/>
  <c r="P558" i="3" s="1"/>
  <c r="I559" i="3" s="1"/>
  <c r="N559" i="3" s="1"/>
  <c r="AF405" i="3"/>
  <c r="AA406" i="3"/>
  <c r="Z406" i="3"/>
  <c r="X406" i="3"/>
  <c r="W406" i="3"/>
  <c r="AB406" i="3"/>
  <c r="AE406" i="3" s="1"/>
  <c r="AC406" i="3" l="1"/>
  <c r="AF406" i="3" s="1"/>
  <c r="V407" i="3"/>
  <c r="M559" i="3"/>
  <c r="L559" i="3"/>
  <c r="O559" i="3"/>
  <c r="K559" i="3"/>
  <c r="J559" i="3"/>
  <c r="Y407" i="3" l="1"/>
  <c r="AA407" i="3"/>
  <c r="Z407" i="3"/>
  <c r="X407" i="3"/>
  <c r="AB407" i="3"/>
  <c r="W407" i="3"/>
  <c r="P559" i="3"/>
  <c r="I560" i="3" s="1"/>
  <c r="L560" i="3" s="1"/>
  <c r="AC407" i="3" l="1"/>
  <c r="AE407" i="3"/>
  <c r="O560" i="3"/>
  <c r="J560" i="3"/>
  <c r="K560" i="3"/>
  <c r="N560" i="3"/>
  <c r="M560" i="3"/>
  <c r="V408" i="3" l="1"/>
  <c r="AF407" i="3"/>
  <c r="P560" i="3"/>
  <c r="I561" i="3" s="1"/>
  <c r="N561" i="3" s="1"/>
  <c r="Y408" i="3" l="1"/>
  <c r="AA408" i="3"/>
  <c r="Z408" i="3"/>
  <c r="W408" i="3"/>
  <c r="AB408" i="3"/>
  <c r="AE408" i="3" s="1"/>
  <c r="X408" i="3"/>
  <c r="O561" i="3"/>
  <c r="M561" i="3"/>
  <c r="J561" i="3"/>
  <c r="K561" i="3"/>
  <c r="L561" i="3"/>
  <c r="AC408" i="3" l="1"/>
  <c r="AF408" i="3" s="1"/>
  <c r="P561" i="3"/>
  <c r="I562" i="3" s="1"/>
  <c r="O562" i="3" s="1"/>
  <c r="V409" i="3" l="1"/>
  <c r="X409" i="3" s="1"/>
  <c r="Y409" i="3"/>
  <c r="AA409" i="3"/>
  <c r="J562" i="3"/>
  <c r="N562" i="3"/>
  <c r="M562" i="3"/>
  <c r="L562" i="3"/>
  <c r="K562" i="3"/>
  <c r="AB409" i="3" l="1"/>
  <c r="W409" i="3"/>
  <c r="Z409" i="3"/>
  <c r="AC409" i="3" s="1"/>
  <c r="V410" i="3" s="1"/>
  <c r="AE409" i="3"/>
  <c r="P562" i="3"/>
  <c r="I563" i="3" s="1"/>
  <c r="J563" i="3" s="1"/>
  <c r="AA410" i="3" l="1"/>
  <c r="Y410" i="3"/>
  <c r="AF409" i="3"/>
  <c r="X410" i="3"/>
  <c r="Z410" i="3"/>
  <c r="W410" i="3"/>
  <c r="AB410" i="3"/>
  <c r="K563" i="3"/>
  <c r="L563" i="3"/>
  <c r="O563" i="3"/>
  <c r="N563" i="3"/>
  <c r="M563" i="3"/>
  <c r="AC410" i="3" l="1"/>
  <c r="V411" i="3"/>
  <c r="Y411" i="3" s="1"/>
  <c r="AF410" i="3"/>
  <c r="AE410" i="3"/>
  <c r="P563" i="3"/>
  <c r="I564" i="3" s="1"/>
  <c r="O564" i="3" s="1"/>
  <c r="AA411" i="3" l="1"/>
  <c r="AB411" i="3"/>
  <c r="AE411" i="3" s="1"/>
  <c r="X411" i="3"/>
  <c r="Z411" i="3"/>
  <c r="W411" i="3"/>
  <c r="M564" i="3"/>
  <c r="J564" i="3"/>
  <c r="K564" i="3"/>
  <c r="N564" i="3"/>
  <c r="L564" i="3"/>
  <c r="AC411" i="3" l="1"/>
  <c r="AF411" i="3" s="1"/>
  <c r="P564" i="3"/>
  <c r="I565" i="3" s="1"/>
  <c r="L565" i="3" s="1"/>
  <c r="V412" i="3" l="1"/>
  <c r="Y412" i="3" s="1"/>
  <c r="AA412" i="3"/>
  <c r="N565" i="3"/>
  <c r="Z412" i="3"/>
  <c r="X412" i="3"/>
  <c r="AB412" i="3"/>
  <c r="W412" i="3"/>
  <c r="M565" i="3"/>
  <c r="O565" i="3"/>
  <c r="K565" i="3"/>
  <c r="J565" i="3"/>
  <c r="AC412" i="3" l="1"/>
  <c r="V413" i="3" s="1"/>
  <c r="AE412" i="3"/>
  <c r="P565" i="3"/>
  <c r="I566" i="3" s="1"/>
  <c r="L566" i="3" s="1"/>
  <c r="N566" i="3"/>
  <c r="AA413" i="3" l="1"/>
  <c r="Y413" i="3"/>
  <c r="AF412" i="3"/>
  <c r="K566" i="3"/>
  <c r="J566" i="3"/>
  <c r="M566" i="3"/>
  <c r="O566" i="3"/>
  <c r="W413" i="3"/>
  <c r="X413" i="3"/>
  <c r="AB413" i="3"/>
  <c r="AE413" i="3" s="1"/>
  <c r="Z413" i="3"/>
  <c r="P566" i="3" l="1"/>
  <c r="I567" i="3" s="1"/>
  <c r="N567" i="3" s="1"/>
  <c r="AC413" i="3"/>
  <c r="AF413" i="3" s="1"/>
  <c r="M567" i="3"/>
  <c r="L567" i="3"/>
  <c r="K567" i="3"/>
  <c r="O567" i="3"/>
  <c r="J567" i="3"/>
  <c r="V414" i="3" l="1"/>
  <c r="AA414" i="3"/>
  <c r="AB414" i="3"/>
  <c r="AE414" i="3" s="1"/>
  <c r="Z414" i="3"/>
  <c r="W414" i="3"/>
  <c r="Y414" i="3"/>
  <c r="X414" i="3"/>
  <c r="P567" i="3"/>
  <c r="I568" i="3" s="1"/>
  <c r="N568" i="3" s="1"/>
  <c r="C32" i="3"/>
  <c r="AC414" i="3" l="1"/>
  <c r="O568" i="3"/>
  <c r="M568" i="3"/>
  <c r="K568" i="3"/>
  <c r="L568" i="3"/>
  <c r="J568" i="3"/>
  <c r="V415" i="3" l="1"/>
  <c r="AF414" i="3"/>
  <c r="P568" i="3"/>
  <c r="I569" i="3" s="1"/>
  <c r="K569" i="3" s="1"/>
  <c r="AA415" i="3" l="1"/>
  <c r="W415" i="3"/>
  <c r="X415" i="3"/>
  <c r="AB415" i="3"/>
  <c r="AE415" i="3" s="1"/>
  <c r="Z415" i="3"/>
  <c r="Y415" i="3"/>
  <c r="N569" i="3"/>
  <c r="L569" i="3"/>
  <c r="M569" i="3"/>
  <c r="O569" i="3"/>
  <c r="J569" i="3"/>
  <c r="AC415" i="3" l="1"/>
  <c r="V416" i="3" s="1"/>
  <c r="P569" i="3"/>
  <c r="I570" i="3" s="1"/>
  <c r="M570" i="3" s="1"/>
  <c r="AF415" i="3" l="1"/>
  <c r="N570" i="3"/>
  <c r="Z416" i="3"/>
  <c r="X416" i="3"/>
  <c r="AB416" i="3"/>
  <c r="W416" i="3"/>
  <c r="AA416" i="3"/>
  <c r="Y416" i="3"/>
  <c r="L570" i="3"/>
  <c r="J570" i="3"/>
  <c r="O570" i="3"/>
  <c r="K570" i="3"/>
  <c r="AC416" i="3" l="1"/>
  <c r="AE416" i="3"/>
  <c r="P570" i="3"/>
  <c r="I571" i="3" s="1"/>
  <c r="J571" i="3" s="1"/>
  <c r="AF416" i="3" l="1"/>
  <c r="V417" i="3"/>
  <c r="K571" i="3"/>
  <c r="N571" i="3"/>
  <c r="O571" i="3"/>
  <c r="M571" i="3"/>
  <c r="L571" i="3"/>
  <c r="X417" i="3" l="1"/>
  <c r="Z417" i="3"/>
  <c r="W417" i="3"/>
  <c r="AB417" i="3"/>
  <c r="AE417" i="3" s="1"/>
  <c r="AA417" i="3"/>
  <c r="Y417" i="3"/>
  <c r="P571" i="3"/>
  <c r="I572" i="3" s="1"/>
  <c r="K572" i="3" s="1"/>
  <c r="AC417" i="3" l="1"/>
  <c r="AF417" i="3" s="1"/>
  <c r="L572" i="3"/>
  <c r="O572" i="3"/>
  <c r="J572" i="3"/>
  <c r="N572" i="3"/>
  <c r="M572" i="3"/>
  <c r="V418" i="3" l="1"/>
  <c r="X418" i="3" s="1"/>
  <c r="AB418" i="3"/>
  <c r="AE418" i="3" s="1"/>
  <c r="Z418" i="3"/>
  <c r="AA418" i="3"/>
  <c r="Y418" i="3"/>
  <c r="P572" i="3"/>
  <c r="I573" i="3" s="1"/>
  <c r="N573" i="3" s="1"/>
  <c r="W418" i="3" l="1"/>
  <c r="M573" i="3"/>
  <c r="AC418" i="3"/>
  <c r="AF418" i="3" s="1"/>
  <c r="O573" i="3"/>
  <c r="L573" i="3"/>
  <c r="V419" i="3"/>
  <c r="J573" i="3"/>
  <c r="K573" i="3"/>
  <c r="X419" i="3" l="1"/>
  <c r="W419" i="3"/>
  <c r="AB419" i="3"/>
  <c r="AE419" i="3" s="1"/>
  <c r="Z419" i="3"/>
  <c r="AA419" i="3"/>
  <c r="Y419" i="3"/>
  <c r="P573" i="3"/>
  <c r="I574" i="3" s="1"/>
  <c r="J574" i="3" s="1"/>
  <c r="L574" i="3" l="1"/>
  <c r="K574" i="3"/>
  <c r="O574" i="3"/>
  <c r="M574" i="3"/>
  <c r="AC419" i="3"/>
  <c r="N574" i="3"/>
  <c r="P574" i="3" l="1"/>
  <c r="I575" i="3" s="1"/>
  <c r="J575" i="3" s="1"/>
  <c r="AF419" i="3"/>
  <c r="V420" i="3"/>
  <c r="N575" i="3"/>
  <c r="O575" i="3"/>
  <c r="M575" i="3"/>
  <c r="K575" i="3"/>
  <c r="L575" i="3"/>
  <c r="AB420" i="3" l="1"/>
  <c r="X420" i="3"/>
  <c r="W420" i="3"/>
  <c r="Z420" i="3"/>
  <c r="Y420" i="3"/>
  <c r="AA420" i="3"/>
  <c r="P575" i="3"/>
  <c r="I576" i="3" s="1"/>
  <c r="J576" i="3" s="1"/>
  <c r="O576" i="3" l="1"/>
  <c r="M576" i="3"/>
  <c r="L576" i="3"/>
  <c r="K576" i="3"/>
  <c r="N576" i="3"/>
  <c r="AC420" i="3"/>
  <c r="AE420" i="3"/>
  <c r="P576" i="3" l="1"/>
  <c r="I577" i="3" s="1"/>
  <c r="N577" i="3" s="1"/>
  <c r="M577" i="3"/>
  <c r="L577" i="3"/>
  <c r="AF420" i="3"/>
  <c r="V421" i="3"/>
  <c r="O577" i="3" l="1"/>
  <c r="J577" i="3"/>
  <c r="K577" i="3"/>
  <c r="Y421" i="3"/>
  <c r="W421" i="3"/>
  <c r="Z421" i="3"/>
  <c r="X421" i="3"/>
  <c r="AB421" i="3"/>
  <c r="AE421" i="3" s="1"/>
  <c r="AA421" i="3"/>
  <c r="P577" i="3" l="1"/>
  <c r="I578" i="3" s="1"/>
  <c r="J578" i="3" s="1"/>
  <c r="N578" i="3"/>
  <c r="AC421" i="3"/>
  <c r="AF421" i="3" s="1"/>
  <c r="K578" i="3"/>
  <c r="M578" i="3"/>
  <c r="L578" i="3"/>
  <c r="O578" i="3"/>
  <c r="V422" i="3" l="1"/>
  <c r="P578" i="3"/>
  <c r="I579" i="3" s="1"/>
  <c r="M579" i="3" s="1"/>
  <c r="AA422" i="3"/>
  <c r="X422" i="3"/>
  <c r="Z422" i="3"/>
  <c r="W422" i="3"/>
  <c r="AB422" i="3"/>
  <c r="AE422" i="3" s="1"/>
  <c r="Y422" i="3"/>
  <c r="K579" i="3" l="1"/>
  <c r="N579" i="3"/>
  <c r="O579" i="3"/>
  <c r="L579" i="3"/>
  <c r="J579" i="3"/>
  <c r="AC422" i="3"/>
  <c r="P579" i="3" l="1"/>
  <c r="I580" i="3" s="1"/>
  <c r="J580" i="3" s="1"/>
  <c r="V423" i="3"/>
  <c r="AF422" i="3"/>
  <c r="M580" i="3" l="1"/>
  <c r="O580" i="3"/>
  <c r="K580" i="3"/>
  <c r="L580" i="3"/>
  <c r="N580" i="3"/>
  <c r="P580" i="3" s="1"/>
  <c r="I581" i="3" s="1"/>
  <c r="K581" i="3" s="1"/>
  <c r="M581" i="3"/>
  <c r="Z423" i="3"/>
  <c r="X423" i="3"/>
  <c r="AB423" i="3"/>
  <c r="AE423" i="3" s="1"/>
  <c r="W423" i="3"/>
  <c r="Y423" i="3"/>
  <c r="AA423" i="3"/>
  <c r="N581" i="3" l="1"/>
  <c r="L581" i="3"/>
  <c r="O581" i="3"/>
  <c r="J581" i="3"/>
  <c r="AC423" i="3"/>
  <c r="V424" i="3" s="1"/>
  <c r="AF423" i="3" l="1"/>
  <c r="P581" i="3"/>
  <c r="I582" i="3" s="1"/>
  <c r="N582" i="3"/>
  <c r="W424" i="3"/>
  <c r="Z424" i="3"/>
  <c r="X424" i="3"/>
  <c r="AB424" i="3"/>
  <c r="AE424" i="3" s="1"/>
  <c r="AA424" i="3"/>
  <c r="Y424" i="3"/>
  <c r="L582" i="3" l="1"/>
  <c r="O582" i="3"/>
  <c r="J582" i="3"/>
  <c r="M582" i="3"/>
  <c r="K582" i="3"/>
  <c r="AC424" i="3"/>
  <c r="V425" i="3" s="1"/>
  <c r="AA425" i="3" s="1"/>
  <c r="AF424" i="3" l="1"/>
  <c r="P582" i="3"/>
  <c r="I583" i="3" s="1"/>
  <c r="W425" i="3"/>
  <c r="Z425" i="3"/>
  <c r="X425" i="3"/>
  <c r="AB425" i="3"/>
  <c r="Y425" i="3"/>
  <c r="L583" i="3" l="1"/>
  <c r="J583" i="3"/>
  <c r="N583" i="3"/>
  <c r="M583" i="3"/>
  <c r="O583" i="3"/>
  <c r="K583" i="3"/>
  <c r="AC425" i="3"/>
  <c r="AE425" i="3"/>
  <c r="P583" i="3" l="1"/>
  <c r="I584" i="3" s="1"/>
  <c r="AF425" i="3"/>
  <c r="V426" i="3"/>
  <c r="K584" i="3" l="1"/>
  <c r="J584" i="3"/>
  <c r="M584" i="3"/>
  <c r="L584" i="3"/>
  <c r="O584" i="3"/>
  <c r="N584" i="3"/>
  <c r="AA426" i="3"/>
  <c r="Z426" i="3"/>
  <c r="W426" i="3"/>
  <c r="AB426" i="3"/>
  <c r="AE426" i="3" s="1"/>
  <c r="X426" i="3"/>
  <c r="Y426" i="3"/>
  <c r="P584" i="3" l="1"/>
  <c r="I585" i="3" s="1"/>
  <c r="AC426" i="3"/>
  <c r="AF426" i="3" s="1"/>
  <c r="O585" i="3" l="1"/>
  <c r="J585" i="3"/>
  <c r="K585" i="3"/>
  <c r="N585" i="3"/>
  <c r="L585" i="3"/>
  <c r="M585" i="3"/>
  <c r="V427" i="3"/>
  <c r="AA427" i="3" s="1"/>
  <c r="Y427" i="3"/>
  <c r="Z427" i="3" l="1"/>
  <c r="AB427" i="3"/>
  <c r="AE427" i="3" s="1"/>
  <c r="P585" i="3"/>
  <c r="I586" i="3" s="1"/>
  <c r="K586" i="3" s="1"/>
  <c r="W427" i="3"/>
  <c r="X427" i="3"/>
  <c r="M586" i="3"/>
  <c r="L586" i="3"/>
  <c r="N586" i="3"/>
  <c r="J586" i="3" l="1"/>
  <c r="O586" i="3"/>
  <c r="M587" i="3" s="1"/>
  <c r="AC427" i="3"/>
  <c r="AF427" i="3" s="1"/>
  <c r="L587" i="3" l="1"/>
  <c r="N587" i="3"/>
  <c r="P586" i="3"/>
  <c r="I587" i="3" s="1"/>
  <c r="V428" i="3"/>
  <c r="W428" i="3" s="1"/>
  <c r="Y428" i="3"/>
  <c r="AA428" i="3"/>
  <c r="Z428" i="3"/>
  <c r="X428" i="3" l="1"/>
  <c r="AB428" i="3"/>
  <c r="AE428" i="3" s="1"/>
  <c r="J587" i="3"/>
  <c r="O587" i="3"/>
  <c r="K587" i="3"/>
  <c r="AC428" i="3"/>
  <c r="N588" i="3" l="1"/>
  <c r="M588" i="3"/>
  <c r="L588" i="3"/>
  <c r="P587" i="3"/>
  <c r="I588" i="3" s="1"/>
  <c r="V429" i="3"/>
  <c r="AF428" i="3"/>
  <c r="K588" i="3" l="1"/>
  <c r="O588" i="3"/>
  <c r="L589" i="3" s="1"/>
  <c r="J588" i="3"/>
  <c r="Y429" i="3"/>
  <c r="AA429" i="3"/>
  <c r="AB429" i="3"/>
  <c r="AE429" i="3" s="1"/>
  <c r="X429" i="3"/>
  <c r="Z429" i="3"/>
  <c r="W429" i="3"/>
  <c r="M589" i="3" l="1"/>
  <c r="N589" i="3"/>
  <c r="P588" i="3"/>
  <c r="I589" i="3" s="1"/>
  <c r="K589" i="3" s="1"/>
  <c r="AC429" i="3"/>
  <c r="O589" i="3" l="1"/>
  <c r="M590" i="3" s="1"/>
  <c r="J589" i="3"/>
  <c r="AF429" i="3"/>
  <c r="V430" i="3"/>
  <c r="L590" i="3" l="1"/>
  <c r="N590" i="3"/>
  <c r="P589" i="3"/>
  <c r="I590" i="3" s="1"/>
  <c r="J590" i="3" s="1"/>
  <c r="X430" i="3"/>
  <c r="Z430" i="3"/>
  <c r="W430" i="3"/>
  <c r="AB430" i="3"/>
  <c r="AE430" i="3" s="1"/>
  <c r="Y430" i="3"/>
  <c r="AA430" i="3"/>
  <c r="O590" i="3" l="1"/>
  <c r="K590" i="3"/>
  <c r="P590" i="3"/>
  <c r="I591" i="3" s="1"/>
  <c r="J591" i="3" s="1"/>
  <c r="O591" i="3"/>
  <c r="AC430" i="3"/>
  <c r="K591" i="3" l="1"/>
  <c r="L592" i="3" s="1"/>
  <c r="L591" i="3"/>
  <c r="N591" i="3"/>
  <c r="M591" i="3"/>
  <c r="M592" i="3"/>
  <c r="N592" i="3"/>
  <c r="AF430" i="3"/>
  <c r="V431" i="3"/>
  <c r="P591" i="3" l="1"/>
  <c r="I592" i="3" s="1"/>
  <c r="K592" i="3" s="1"/>
  <c r="O592" i="3"/>
  <c r="J592" i="3"/>
  <c r="W431" i="3"/>
  <c r="X431" i="3"/>
  <c r="Z431" i="3"/>
  <c r="AB431" i="3"/>
  <c r="AE431" i="3" s="1"/>
  <c r="AA431" i="3"/>
  <c r="Y431" i="3"/>
  <c r="N593" i="3" l="1"/>
  <c r="L593" i="3"/>
  <c r="P592" i="3"/>
  <c r="I593" i="3" s="1"/>
  <c r="O593" i="3" s="1"/>
  <c r="M593" i="3"/>
  <c r="J593" i="3"/>
  <c r="AC431" i="3"/>
  <c r="AF431" i="3" s="1"/>
  <c r="K593" i="3" l="1"/>
  <c r="L594" i="3" s="1"/>
  <c r="M594" i="3"/>
  <c r="P593" i="3"/>
  <c r="I594" i="3" s="1"/>
  <c r="K594" i="3" s="1"/>
  <c r="V432" i="3"/>
  <c r="W432" i="3" s="1"/>
  <c r="O594" i="3"/>
  <c r="J594" i="3"/>
  <c r="AA432" i="3"/>
  <c r="Y432" i="3"/>
  <c r="N594" i="3" l="1"/>
  <c r="P594" i="3"/>
  <c r="I595" i="3" s="1"/>
  <c r="K595" i="3" s="1"/>
  <c r="O595" i="3"/>
  <c r="N595" i="3"/>
  <c r="L595" i="3"/>
  <c r="Z432" i="3"/>
  <c r="AB432" i="3"/>
  <c r="AE432" i="3" s="1"/>
  <c r="X432" i="3"/>
  <c r="M595" i="3"/>
  <c r="J595" i="3" l="1"/>
  <c r="L596" i="3"/>
  <c r="M596" i="3"/>
  <c r="AC432" i="3"/>
  <c r="V433" i="3" s="1"/>
  <c r="Z433" i="3" s="1"/>
  <c r="P595" i="3"/>
  <c r="I596" i="3" s="1"/>
  <c r="J596" i="3" s="1"/>
  <c r="N596" i="3"/>
  <c r="O596" i="3"/>
  <c r="AA433" i="3"/>
  <c r="Y433" i="3"/>
  <c r="K596" i="3" l="1"/>
  <c r="L597" i="3"/>
  <c r="AB433" i="3"/>
  <c r="AE433" i="3" s="1"/>
  <c r="X433" i="3"/>
  <c r="W433" i="3"/>
  <c r="AC433" i="3" s="1"/>
  <c r="AF433" i="3" s="1"/>
  <c r="P596" i="3"/>
  <c r="I597" i="3" s="1"/>
  <c r="J597" i="3" s="1"/>
  <c r="AF432" i="3"/>
  <c r="M597" i="3"/>
  <c r="N597" i="3"/>
  <c r="AA434" i="3"/>
  <c r="Y434" i="3" l="1"/>
  <c r="O597" i="3"/>
  <c r="M598" i="3" s="1"/>
  <c r="K597" i="3"/>
  <c r="V434" i="3"/>
  <c r="AB434" i="3" s="1"/>
  <c r="AC434" i="3" s="1"/>
  <c r="P597" i="3"/>
  <c r="I598" i="3" s="1"/>
  <c r="K598" i="3" s="1"/>
  <c r="Z434" i="3"/>
  <c r="W434" i="3"/>
  <c r="X434" i="3"/>
  <c r="N598" i="3"/>
  <c r="L598" i="3" l="1"/>
  <c r="J598" i="3"/>
  <c r="P598" i="3" s="1"/>
  <c r="I599" i="3" s="1"/>
  <c r="K599" i="3" s="1"/>
  <c r="O598" i="3"/>
  <c r="N599" i="3" s="1"/>
  <c r="AF434" i="3"/>
  <c r="V435" i="3"/>
  <c r="AE434" i="3"/>
  <c r="Y435" i="3"/>
  <c r="AA435" i="3"/>
  <c r="M599" i="3" l="1"/>
  <c r="L599" i="3"/>
  <c r="O599" i="3"/>
  <c r="J599" i="3"/>
  <c r="Z435" i="3"/>
  <c r="AB435" i="3"/>
  <c r="W435" i="3"/>
  <c r="X435" i="3"/>
  <c r="P599" i="3" l="1"/>
  <c r="I600" i="3" s="1"/>
  <c r="M600" i="3" s="1"/>
  <c r="AC435" i="3"/>
  <c r="AF435" i="3" s="1"/>
  <c r="AE435" i="3"/>
  <c r="AA436" i="3"/>
  <c r="O600" i="3"/>
  <c r="L600" i="3"/>
  <c r="K600" i="3"/>
  <c r="N600" i="3"/>
  <c r="J600" i="3" l="1"/>
  <c r="V436" i="3"/>
  <c r="Y436" i="3" s="1"/>
  <c r="AB436" i="3"/>
  <c r="AE436" i="3" s="1"/>
  <c r="Z436" i="3"/>
  <c r="W436" i="3"/>
  <c r="P600" i="3"/>
  <c r="I601" i="3" s="1"/>
  <c r="K601" i="3" s="1"/>
  <c r="X436" i="3" l="1"/>
  <c r="AC436" i="3" s="1"/>
  <c r="M601" i="3"/>
  <c r="N601" i="3"/>
  <c r="L601" i="3"/>
  <c r="O601" i="3"/>
  <c r="J601" i="3"/>
  <c r="AF436" i="3" l="1"/>
  <c r="V437" i="3"/>
  <c r="AA437" i="3"/>
  <c r="Z437" i="3"/>
  <c r="AB437" i="3"/>
  <c r="W437" i="3"/>
  <c r="X437" i="3"/>
  <c r="Y437" i="3"/>
  <c r="P601" i="3"/>
  <c r="I602" i="3" s="1"/>
  <c r="J602" i="3" s="1"/>
  <c r="AC437" i="3" l="1"/>
  <c r="AF437" i="3" s="1"/>
  <c r="AE437" i="3"/>
  <c r="Y438" i="3"/>
  <c r="AA438" i="3"/>
  <c r="M602" i="3"/>
  <c r="K602" i="3"/>
  <c r="L602" i="3"/>
  <c r="N602" i="3"/>
  <c r="O602" i="3"/>
  <c r="V438" i="3" l="1"/>
  <c r="W438" i="3" s="1"/>
  <c r="P602" i="3"/>
  <c r="I603" i="3" s="1"/>
  <c r="K603" i="3" s="1"/>
  <c r="Z438" i="3"/>
  <c r="X438" i="3"/>
  <c r="AB438" i="3"/>
  <c r="AE438" i="3" s="1"/>
  <c r="L603" i="3"/>
  <c r="M603" i="3"/>
  <c r="N603" i="3"/>
  <c r="J603" i="3" l="1"/>
  <c r="O603" i="3"/>
  <c r="P603" i="3" s="1"/>
  <c r="I604" i="3" s="1"/>
  <c r="K604" i="3" s="1"/>
  <c r="AC438" i="3"/>
  <c r="AF438" i="3" s="1"/>
  <c r="V439" i="3"/>
  <c r="W439" i="3" l="1"/>
  <c r="Z439" i="3"/>
  <c r="X439" i="3"/>
  <c r="AB439" i="3"/>
  <c r="AE439" i="3" s="1"/>
  <c r="Y439" i="3"/>
  <c r="AA439" i="3"/>
  <c r="M604" i="3"/>
  <c r="N604" i="3"/>
  <c r="L604" i="3"/>
  <c r="J604" i="3"/>
  <c r="O604" i="3"/>
  <c r="AC439" i="3" l="1"/>
  <c r="V440" i="3" s="1"/>
  <c r="P604" i="3"/>
  <c r="I605" i="3" s="1"/>
  <c r="L605" i="3" s="1"/>
  <c r="M605" i="3"/>
  <c r="O605" i="3" l="1"/>
  <c r="AF439" i="3"/>
  <c r="AA440" i="3"/>
  <c r="Y440" i="3"/>
  <c r="Z440" i="3"/>
  <c r="X440" i="3"/>
  <c r="W440" i="3"/>
  <c r="AB440" i="3"/>
  <c r="AE440" i="3" s="1"/>
  <c r="N605" i="3"/>
  <c r="K605" i="3"/>
  <c r="J605" i="3"/>
  <c r="AC440" i="3" l="1"/>
  <c r="P605" i="3"/>
  <c r="I606" i="3" s="1"/>
  <c r="O606" i="3" s="1"/>
  <c r="M606" i="3"/>
  <c r="L606" i="3"/>
  <c r="N606" i="3"/>
  <c r="J606" i="3"/>
  <c r="K606" i="3" l="1"/>
  <c r="AF440" i="3"/>
  <c r="V441" i="3"/>
  <c r="P606" i="3"/>
  <c r="I607" i="3" s="1"/>
  <c r="N607" i="3" s="1"/>
  <c r="Y441" i="3" l="1"/>
  <c r="AA441" i="3"/>
  <c r="AB441" i="3"/>
  <c r="AE441" i="3" s="1"/>
  <c r="Z441" i="3"/>
  <c r="W441" i="3"/>
  <c r="X441" i="3"/>
  <c r="J607" i="3"/>
  <c r="K607" i="3"/>
  <c r="M607" i="3"/>
  <c r="O607" i="3"/>
  <c r="L607" i="3"/>
  <c r="AC441" i="3" l="1"/>
  <c r="P607" i="3"/>
  <c r="I608" i="3" s="1"/>
  <c r="J608" i="3" s="1"/>
  <c r="V442" i="3" l="1"/>
  <c r="AF441" i="3"/>
  <c r="M608" i="3"/>
  <c r="O608" i="3"/>
  <c r="L608" i="3"/>
  <c r="N608" i="3"/>
  <c r="K608" i="3"/>
  <c r="Z442" i="3" l="1"/>
  <c r="X442" i="3"/>
  <c r="Y442" i="3"/>
  <c r="AB442" i="3"/>
  <c r="AA442" i="3"/>
  <c r="W442" i="3"/>
  <c r="P608" i="3"/>
  <c r="I609" i="3" s="1"/>
  <c r="M609" i="3" s="1"/>
  <c r="AC442" i="3" l="1"/>
  <c r="V443" i="3" s="1"/>
  <c r="AE442" i="3"/>
  <c r="Y443" i="3"/>
  <c r="AA443" i="3"/>
  <c r="O609" i="3"/>
  <c r="N609" i="3"/>
  <c r="L609" i="3"/>
  <c r="J609" i="3"/>
  <c r="K609" i="3"/>
  <c r="AF442" i="3" l="1"/>
  <c r="W443" i="3"/>
  <c r="Z443" i="3"/>
  <c r="X443" i="3"/>
  <c r="AB443" i="3"/>
  <c r="P609" i="3"/>
  <c r="I610" i="3" s="1"/>
  <c r="K610" i="3" s="1"/>
  <c r="M610" i="3"/>
  <c r="O610" i="3" l="1"/>
  <c r="AC443" i="3"/>
  <c r="AE443" i="3"/>
  <c r="J610" i="3"/>
  <c r="L610" i="3"/>
  <c r="N610" i="3"/>
  <c r="P610" i="3" l="1"/>
  <c r="I611" i="3" s="1"/>
  <c r="O611" i="3" s="1"/>
  <c r="AF443" i="3"/>
  <c r="V444" i="3"/>
  <c r="M611" i="3"/>
  <c r="J611" i="3"/>
  <c r="L611" i="3"/>
  <c r="N611" i="3"/>
  <c r="K611" i="3"/>
  <c r="AA444" i="3" l="1"/>
  <c r="AB444" i="3"/>
  <c r="W444" i="3"/>
  <c r="Z444" i="3"/>
  <c r="X444" i="3"/>
  <c r="Y444" i="3"/>
  <c r="P611" i="3"/>
  <c r="I612" i="3" s="1"/>
  <c r="J612" i="3" s="1"/>
  <c r="M612" i="3"/>
  <c r="L612" i="3"/>
  <c r="AC444" i="3" l="1"/>
  <c r="V445" i="3"/>
  <c r="AF444" i="3"/>
  <c r="AE444" i="3"/>
  <c r="Y445" i="3"/>
  <c r="AA445" i="3"/>
  <c r="O612" i="3"/>
  <c r="N612" i="3"/>
  <c r="K612" i="3"/>
  <c r="P612" i="3" l="1"/>
  <c r="I613" i="3" s="1"/>
  <c r="J613" i="3" s="1"/>
  <c r="W445" i="3"/>
  <c r="Z445" i="3"/>
  <c r="X445" i="3"/>
  <c r="AB445" i="3"/>
  <c r="N613" i="3"/>
  <c r="M613" i="3"/>
  <c r="L613" i="3"/>
  <c r="AC445" i="3" l="1"/>
  <c r="K613" i="3"/>
  <c r="O613" i="3"/>
  <c r="P613" i="3" s="1"/>
  <c r="I614" i="3" s="1"/>
  <c r="K614" i="3" s="1"/>
  <c r="V446" i="3"/>
  <c r="AF445" i="3"/>
  <c r="AE445" i="3"/>
  <c r="Y446" i="3"/>
  <c r="AA446" i="3" l="1"/>
  <c r="Z446" i="3"/>
  <c r="X446" i="3"/>
  <c r="W446" i="3"/>
  <c r="AB446" i="3"/>
  <c r="AC446" i="3" s="1"/>
  <c r="O614" i="3"/>
  <c r="J614" i="3"/>
  <c r="M614" i="3"/>
  <c r="N614" i="3"/>
  <c r="L614" i="3"/>
  <c r="AF446" i="3" l="1"/>
  <c r="V447" i="3"/>
  <c r="AA447" i="3" s="1"/>
  <c r="AE446" i="3"/>
  <c r="Y447" i="3"/>
  <c r="P614" i="3"/>
  <c r="I615" i="3" s="1"/>
  <c r="O615" i="3" s="1"/>
  <c r="X447" i="3" l="1"/>
  <c r="Z447" i="3"/>
  <c r="AB447" i="3"/>
  <c r="AE447" i="3" s="1"/>
  <c r="W447" i="3"/>
  <c r="K615" i="3"/>
  <c r="N615" i="3"/>
  <c r="J615" i="3"/>
  <c r="L615" i="3"/>
  <c r="M615" i="3"/>
  <c r="AC447" i="3" l="1"/>
  <c r="AF447" i="3" s="1"/>
  <c r="P615" i="3"/>
  <c r="I616" i="3" s="1"/>
  <c r="L616" i="3" s="1"/>
  <c r="V448" i="3" l="1"/>
  <c r="X448" i="3" s="1"/>
  <c r="AB448" i="3"/>
  <c r="Z448" i="3"/>
  <c r="Y448" i="3"/>
  <c r="AA448" i="3"/>
  <c r="N616" i="3"/>
  <c r="M616" i="3"/>
  <c r="K616" i="3"/>
  <c r="O616" i="3"/>
  <c r="J616" i="3"/>
  <c r="W448" i="3" l="1"/>
  <c r="AC448" i="3"/>
  <c r="V449" i="3" s="1"/>
  <c r="AE448" i="3"/>
  <c r="Y449" i="3"/>
  <c r="AA449" i="3"/>
  <c r="P616" i="3"/>
  <c r="I617" i="3" s="1"/>
  <c r="K617" i="3" s="1"/>
  <c r="AF448" i="3" l="1"/>
  <c r="X449" i="3"/>
  <c r="W449" i="3"/>
  <c r="Z449" i="3"/>
  <c r="AB449" i="3"/>
  <c r="AE449" i="3" s="1"/>
  <c r="J617" i="3"/>
  <c r="L617" i="3"/>
  <c r="M617" i="3"/>
  <c r="O617" i="3"/>
  <c r="N617" i="3"/>
  <c r="AC449" i="3" l="1"/>
  <c r="AF449" i="3" s="1"/>
  <c r="P617" i="3"/>
  <c r="I618" i="3" s="1"/>
  <c r="J618" i="3" s="1"/>
  <c r="N618" i="3"/>
  <c r="M618" i="3"/>
  <c r="L618" i="3"/>
  <c r="V450" i="3" l="1"/>
  <c r="K618" i="3"/>
  <c r="O618" i="3"/>
  <c r="P618" i="3" s="1"/>
  <c r="I619" i="3" s="1"/>
  <c r="M619" i="3" s="1"/>
  <c r="W450" i="3"/>
  <c r="Z450" i="3"/>
  <c r="AA450" i="3"/>
  <c r="X450" i="3"/>
  <c r="Y450" i="3"/>
  <c r="AB450" i="3"/>
  <c r="AE450" i="3" s="1"/>
  <c r="AC450" i="3" l="1"/>
  <c r="L619" i="3"/>
  <c r="K619" i="3"/>
  <c r="J619" i="3"/>
  <c r="N619" i="3"/>
  <c r="O619" i="3"/>
  <c r="AF450" i="3" l="1"/>
  <c r="V451" i="3"/>
  <c r="P619" i="3"/>
  <c r="I620" i="3" s="1"/>
  <c r="N620" i="3" s="1"/>
  <c r="Y451" i="3" l="1"/>
  <c r="W451" i="3"/>
  <c r="X451" i="3"/>
  <c r="AB451" i="3"/>
  <c r="Z451" i="3"/>
  <c r="AA451" i="3"/>
  <c r="O620" i="3"/>
  <c r="L620" i="3"/>
  <c r="K620" i="3"/>
  <c r="M620" i="3"/>
  <c r="J620" i="3"/>
  <c r="AC451" i="3" l="1"/>
  <c r="V452" i="3" s="1"/>
  <c r="AE451" i="3"/>
  <c r="P620" i="3"/>
  <c r="I621" i="3" s="1"/>
  <c r="N621" i="3" s="1"/>
  <c r="L621" i="3"/>
  <c r="M621" i="3"/>
  <c r="Y452" i="3" l="1"/>
  <c r="AA452" i="3"/>
  <c r="AF451" i="3"/>
  <c r="K621" i="3"/>
  <c r="J621" i="3"/>
  <c r="AB452" i="3"/>
  <c r="W452" i="3"/>
  <c r="Z452" i="3"/>
  <c r="X452" i="3"/>
  <c r="O621" i="3"/>
  <c r="P621" i="3" l="1"/>
  <c r="I622" i="3" s="1"/>
  <c r="L622" i="3" s="1"/>
  <c r="AC452" i="3"/>
  <c r="AF452" i="3" s="1"/>
  <c r="AE452" i="3"/>
  <c r="Y453" i="3"/>
  <c r="O622" i="3"/>
  <c r="J622" i="3"/>
  <c r="N622" i="3"/>
  <c r="K622" i="3"/>
  <c r="M622" i="3"/>
  <c r="V453" i="3" l="1"/>
  <c r="AA453" i="3"/>
  <c r="Z453" i="3"/>
  <c r="AB453" i="3"/>
  <c r="W453" i="3"/>
  <c r="X453" i="3"/>
  <c r="P622" i="3"/>
  <c r="I623" i="3" s="1"/>
  <c r="J623" i="3" s="1"/>
  <c r="L623" i="3"/>
  <c r="N623" i="3"/>
  <c r="O623" i="3" l="1"/>
  <c r="AC453" i="3"/>
  <c r="AF453" i="3" s="1"/>
  <c r="AE453" i="3"/>
  <c r="M623" i="3"/>
  <c r="K623" i="3"/>
  <c r="V454" i="3" l="1"/>
  <c r="P623" i="3"/>
  <c r="I624" i="3" s="1"/>
  <c r="K624" i="3" s="1"/>
  <c r="W454" i="3"/>
  <c r="X454" i="3"/>
  <c r="Z454" i="3"/>
  <c r="AB454" i="3"/>
  <c r="AE454" i="3" s="1"/>
  <c r="M624" i="3"/>
  <c r="N624" i="3"/>
  <c r="L624" i="3"/>
  <c r="O624" i="3" l="1"/>
  <c r="J624" i="3"/>
  <c r="AA454" i="3"/>
  <c r="Y454" i="3"/>
  <c r="AC454" i="3" s="1"/>
  <c r="AF454" i="3" s="1"/>
  <c r="M625" i="3"/>
  <c r="N625" i="3"/>
  <c r="L625" i="3"/>
  <c r="P624" i="3" l="1"/>
  <c r="I625" i="3" s="1"/>
  <c r="J625" i="3" s="1"/>
  <c r="V455" i="3"/>
  <c r="Y455" i="3" s="1"/>
  <c r="K625" i="3"/>
  <c r="O625" i="3"/>
  <c r="X455" i="3"/>
  <c r="AB455" i="3"/>
  <c r="AE455" i="3" s="1"/>
  <c r="Z455" i="3"/>
  <c r="AA455" i="3"/>
  <c r="W455" i="3" l="1"/>
  <c r="P625" i="3"/>
  <c r="I626" i="3" s="1"/>
  <c r="M626" i="3" s="1"/>
  <c r="AC455" i="3"/>
  <c r="O626" i="3"/>
  <c r="N626" i="3"/>
  <c r="L626" i="3"/>
  <c r="K626" i="3"/>
  <c r="J626" i="3"/>
  <c r="AF455" i="3" l="1"/>
  <c r="V456" i="3"/>
  <c r="P626" i="3"/>
  <c r="I627" i="3" s="1"/>
  <c r="L627" i="3" s="1"/>
  <c r="AB456" i="3" l="1"/>
  <c r="AE456" i="3" s="1"/>
  <c r="W456" i="3"/>
  <c r="AA456" i="3"/>
  <c r="X456" i="3"/>
  <c r="Z456" i="3"/>
  <c r="Y456" i="3"/>
  <c r="M627" i="3"/>
  <c r="N627" i="3"/>
  <c r="O627" i="3"/>
  <c r="J627" i="3"/>
  <c r="K627" i="3"/>
  <c r="AC456" i="3" l="1"/>
  <c r="P627" i="3"/>
  <c r="I628" i="3" s="1"/>
  <c r="N628" i="3" s="1"/>
  <c r="O628" i="3"/>
  <c r="K628" i="3" l="1"/>
  <c r="V457" i="3"/>
  <c r="AF456" i="3"/>
  <c r="J628" i="3"/>
  <c r="M628" i="3"/>
  <c r="L628" i="3"/>
  <c r="P628" i="3" l="1"/>
  <c r="I629" i="3" s="1"/>
  <c r="J629" i="3" s="1"/>
  <c r="X457" i="3"/>
  <c r="Z457" i="3"/>
  <c r="AB457" i="3"/>
  <c r="W457" i="3"/>
  <c r="AA457" i="3"/>
  <c r="Y457" i="3"/>
  <c r="M629" i="3"/>
  <c r="L629" i="3"/>
  <c r="K629" i="3"/>
  <c r="N629" i="3"/>
  <c r="O629" i="3" l="1"/>
  <c r="AC457" i="3"/>
  <c r="V458" i="3" s="1"/>
  <c r="AE457" i="3"/>
  <c r="AA458" i="3"/>
  <c r="Y458" i="3"/>
  <c r="P629" i="3"/>
  <c r="I630" i="3" s="1"/>
  <c r="L630" i="3" s="1"/>
  <c r="AF457" i="3" l="1"/>
  <c r="W458" i="3"/>
  <c r="AB458" i="3"/>
  <c r="X458" i="3"/>
  <c r="Z458" i="3"/>
  <c r="M630" i="3"/>
  <c r="N630" i="3"/>
  <c r="O630" i="3"/>
  <c r="K630" i="3"/>
  <c r="J630" i="3"/>
  <c r="AC458" i="3" l="1"/>
  <c r="V459" i="3"/>
  <c r="AF458" i="3"/>
  <c r="AE458" i="3"/>
  <c r="Y459" i="3"/>
  <c r="AA459" i="3"/>
  <c r="P630" i="3"/>
  <c r="I631" i="3" s="1"/>
  <c r="J631" i="3" s="1"/>
  <c r="N631" i="3"/>
  <c r="L631" i="3"/>
  <c r="M631" i="3"/>
  <c r="O631" i="3" l="1"/>
  <c r="K631" i="3"/>
  <c r="AB459" i="3"/>
  <c r="X459" i="3"/>
  <c r="W459" i="3"/>
  <c r="Z459" i="3"/>
  <c r="P631" i="3"/>
  <c r="I632" i="3" s="1"/>
  <c r="O632" i="3" s="1"/>
  <c r="N632" i="3"/>
  <c r="L632" i="3" l="1"/>
  <c r="M632" i="3"/>
  <c r="AC459" i="3"/>
  <c r="V460" i="3" s="1"/>
  <c r="K632" i="3"/>
  <c r="J632" i="3"/>
  <c r="AF459" i="3"/>
  <c r="AE459" i="3"/>
  <c r="Y460" i="3"/>
  <c r="P632" i="3" l="1"/>
  <c r="I633" i="3" s="1"/>
  <c r="N633" i="3" s="1"/>
  <c r="AA460" i="3"/>
  <c r="W460" i="3"/>
  <c r="AB460" i="3"/>
  <c r="AE460" i="3" s="1"/>
  <c r="X460" i="3"/>
  <c r="Z460" i="3"/>
  <c r="L633" i="3"/>
  <c r="O633" i="3"/>
  <c r="J633" i="3"/>
  <c r="K633" i="3"/>
  <c r="M633" i="3"/>
  <c r="AC460" i="3" l="1"/>
  <c r="AF460" i="3" s="1"/>
  <c r="V461" i="3"/>
  <c r="P633" i="3"/>
  <c r="I634" i="3" s="1"/>
  <c r="J634" i="3" s="1"/>
  <c r="X461" i="3" l="1"/>
  <c r="AB461" i="3"/>
  <c r="AE461" i="3" s="1"/>
  <c r="W461" i="3"/>
  <c r="AA461" i="3"/>
  <c r="Z461" i="3"/>
  <c r="Y461" i="3"/>
  <c r="L634" i="3"/>
  <c r="K634" i="3"/>
  <c r="O634" i="3"/>
  <c r="M634" i="3"/>
  <c r="N634" i="3"/>
  <c r="AC461" i="3" l="1"/>
  <c r="P634" i="3"/>
  <c r="I635" i="3" s="1"/>
  <c r="M635" i="3" s="1"/>
  <c r="AF461" i="3" l="1"/>
  <c r="V462" i="3"/>
  <c r="O635" i="3"/>
  <c r="K635" i="3"/>
  <c r="N635" i="3"/>
  <c r="J635" i="3"/>
  <c r="L635" i="3"/>
  <c r="Z462" i="3" l="1"/>
  <c r="AB462" i="3"/>
  <c r="AE462" i="3" s="1"/>
  <c r="X462" i="3"/>
  <c r="W462" i="3"/>
  <c r="Y462" i="3"/>
  <c r="AA462" i="3"/>
  <c r="P635" i="3"/>
  <c r="I636" i="3" s="1"/>
  <c r="J636" i="3" s="1"/>
  <c r="AC462" i="3" l="1"/>
  <c r="K636" i="3"/>
  <c r="O636" i="3"/>
  <c r="N636" i="3"/>
  <c r="L636" i="3"/>
  <c r="M636" i="3"/>
  <c r="P636" i="3" l="1"/>
  <c r="I637" i="3" s="1"/>
  <c r="K637" i="3" s="1"/>
  <c r="AF462" i="3"/>
  <c r="V463" i="3"/>
  <c r="L637" i="3"/>
  <c r="N637" i="3"/>
  <c r="M637" i="3"/>
  <c r="J637" i="3"/>
  <c r="O637" i="3"/>
  <c r="X463" i="3" l="1"/>
  <c r="W463" i="3"/>
  <c r="AB463" i="3"/>
  <c r="AE463" i="3" s="1"/>
  <c r="Z463" i="3"/>
  <c r="Y463" i="3"/>
  <c r="AA463" i="3"/>
  <c r="P637" i="3"/>
  <c r="I638" i="3" s="1"/>
  <c r="L638" i="3" s="1"/>
  <c r="N638" i="3"/>
  <c r="M638" i="3"/>
  <c r="J638" i="3" l="1"/>
  <c r="K638" i="3"/>
  <c r="AC463" i="3"/>
  <c r="O638" i="3"/>
  <c r="P638" i="3" s="1"/>
  <c r="I639" i="3" s="1"/>
  <c r="O639" i="3" s="1"/>
  <c r="L639" i="3" l="1"/>
  <c r="K639" i="3"/>
  <c r="AF463" i="3"/>
  <c r="V464" i="3"/>
  <c r="N639" i="3"/>
  <c r="M639" i="3"/>
  <c r="J639" i="3"/>
  <c r="P639" i="3" l="1"/>
  <c r="I640" i="3" s="1"/>
  <c r="L640" i="3" s="1"/>
  <c r="W464" i="3"/>
  <c r="X464" i="3"/>
  <c r="Z464" i="3"/>
  <c r="AB464" i="3"/>
  <c r="AE464" i="3" s="1"/>
  <c r="AA464" i="3"/>
  <c r="Y464" i="3"/>
  <c r="O640" i="3"/>
  <c r="M640" i="3"/>
  <c r="N640" i="3"/>
  <c r="K640" i="3" l="1"/>
  <c r="J640" i="3"/>
  <c r="AC464" i="3"/>
  <c r="P640" i="3" l="1"/>
  <c r="I641" i="3" s="1"/>
  <c r="J641" i="3" s="1"/>
  <c r="V465" i="3"/>
  <c r="AF464" i="3"/>
  <c r="M641" i="3"/>
  <c r="L641" i="3"/>
  <c r="N641" i="3"/>
  <c r="K641" i="3"/>
  <c r="O641" i="3"/>
  <c r="Z465" i="3" l="1"/>
  <c r="AB465" i="3"/>
  <c r="AE465" i="3" s="1"/>
  <c r="X465" i="3"/>
  <c r="W465" i="3"/>
  <c r="Y465" i="3"/>
  <c r="AA465" i="3"/>
  <c r="P641" i="3"/>
  <c r="I642" i="3" s="1"/>
  <c r="L642" i="3" s="1"/>
  <c r="AC465" i="3" l="1"/>
  <c r="J642" i="3"/>
  <c r="K642" i="3"/>
  <c r="N642" i="3"/>
  <c r="M642" i="3"/>
  <c r="O642" i="3"/>
  <c r="V466" i="3" l="1"/>
  <c r="AF465" i="3"/>
  <c r="P642" i="3"/>
  <c r="I643" i="3" s="1"/>
  <c r="L643" i="3" s="1"/>
  <c r="O643" i="3"/>
  <c r="M643" i="3"/>
  <c r="N643" i="3"/>
  <c r="J643" i="3"/>
  <c r="K643" i="3" l="1"/>
  <c r="X466" i="3"/>
  <c r="W466" i="3"/>
  <c r="AB466" i="3"/>
  <c r="AE466" i="3" s="1"/>
  <c r="Z466" i="3"/>
  <c r="Y466" i="3"/>
  <c r="AA466" i="3"/>
  <c r="P643" i="3"/>
  <c r="I644" i="3" s="1"/>
  <c r="L644" i="3" s="1"/>
  <c r="AC466" i="3" l="1"/>
  <c r="N644" i="3"/>
  <c r="K644" i="3"/>
  <c r="O644" i="3"/>
  <c r="J644" i="3"/>
  <c r="M644" i="3"/>
  <c r="AF466" i="3" l="1"/>
  <c r="V467" i="3"/>
  <c r="P644" i="3"/>
  <c r="I645" i="3" s="1"/>
  <c r="N645" i="3" s="1"/>
  <c r="Z467" i="3" l="1"/>
  <c r="X467" i="3"/>
  <c r="AB467" i="3"/>
  <c r="AE467" i="3" s="1"/>
  <c r="W467" i="3"/>
  <c r="AA467" i="3"/>
  <c r="Y467" i="3"/>
  <c r="L645" i="3"/>
  <c r="M645" i="3"/>
  <c r="O645" i="3"/>
  <c r="J645" i="3"/>
  <c r="K645" i="3"/>
  <c r="AC467" i="3" l="1"/>
  <c r="P645" i="3"/>
  <c r="I646" i="3" s="1"/>
  <c r="L646" i="3" s="1"/>
  <c r="AF467" i="3" l="1"/>
  <c r="V468" i="3"/>
  <c r="N646" i="3"/>
  <c r="M646" i="3"/>
  <c r="J646" i="3"/>
  <c r="O646" i="3"/>
  <c r="K646" i="3"/>
  <c r="AB468" i="3" l="1"/>
  <c r="AE468" i="3" s="1"/>
  <c r="Y468" i="3"/>
  <c r="Z468" i="3"/>
  <c r="AA468" i="3"/>
  <c r="W468" i="3"/>
  <c r="X468" i="3"/>
  <c r="P646" i="3"/>
  <c r="I647" i="3" s="1"/>
  <c r="J647" i="3" s="1"/>
  <c r="AC468" i="3" l="1"/>
  <c r="AF468" i="3" s="1"/>
  <c r="O647" i="3"/>
  <c r="K647" i="3"/>
  <c r="N647" i="3"/>
  <c r="L647" i="3"/>
  <c r="M647" i="3"/>
  <c r="V469" i="3" l="1"/>
  <c r="X469" i="3" s="1"/>
  <c r="AA469" i="3"/>
  <c r="Z469" i="3"/>
  <c r="Y469" i="3"/>
  <c r="P647" i="3"/>
  <c r="I648" i="3" s="1"/>
  <c r="J648" i="3" s="1"/>
  <c r="M648" i="3"/>
  <c r="AB469" i="3" l="1"/>
  <c r="AE469" i="3" s="1"/>
  <c r="W469" i="3"/>
  <c r="O648" i="3"/>
  <c r="K648" i="3"/>
  <c r="AC469" i="3"/>
  <c r="L648" i="3"/>
  <c r="N648" i="3"/>
  <c r="P648" i="3" l="1"/>
  <c r="I649" i="3" s="1"/>
  <c r="N649" i="3" s="1"/>
  <c r="V470" i="3"/>
  <c r="AF469" i="3"/>
  <c r="M649" i="3"/>
  <c r="O649" i="3"/>
  <c r="L649" i="3"/>
  <c r="J649" i="3" l="1"/>
  <c r="K649" i="3"/>
  <c r="W470" i="3"/>
  <c r="X470" i="3"/>
  <c r="Z470" i="3"/>
  <c r="AB470" i="3"/>
  <c r="AE470" i="3" s="1"/>
  <c r="AA470" i="3"/>
  <c r="Y470" i="3"/>
  <c r="P649" i="3" l="1"/>
  <c r="I650" i="3" s="1"/>
  <c r="L650" i="3" s="1"/>
  <c r="AC470" i="3"/>
  <c r="M650" i="3"/>
  <c r="K650" i="3"/>
  <c r="N650" i="3"/>
  <c r="J650" i="3" l="1"/>
  <c r="O650" i="3"/>
  <c r="P650" i="3"/>
  <c r="I651" i="3" s="1"/>
  <c r="K651" i="3" s="1"/>
  <c r="V471" i="3"/>
  <c r="AF470" i="3"/>
  <c r="M651" i="3"/>
  <c r="N651" i="3"/>
  <c r="L651" i="3"/>
  <c r="O651" i="3" l="1"/>
  <c r="J651" i="3"/>
  <c r="Z471" i="3"/>
  <c r="AB471" i="3"/>
  <c r="X471" i="3"/>
  <c r="AA471" i="3"/>
  <c r="W471" i="3"/>
  <c r="Y471" i="3"/>
  <c r="P651" i="3" l="1"/>
  <c r="I652" i="3" s="1"/>
  <c r="J652" i="3" s="1"/>
  <c r="AC471" i="3"/>
  <c r="AF471" i="3" s="1"/>
  <c r="V472" i="3"/>
  <c r="AE471" i="3"/>
  <c r="AA472" i="3"/>
  <c r="Y472" i="3"/>
  <c r="O652" i="3"/>
  <c r="M652" i="3"/>
  <c r="K652" i="3"/>
  <c r="N652" i="3"/>
  <c r="L652" i="3"/>
  <c r="AB472" i="3" l="1"/>
  <c r="AE472" i="3" s="1"/>
  <c r="W472" i="3"/>
  <c r="X472" i="3"/>
  <c r="Z472" i="3"/>
  <c r="P652" i="3"/>
  <c r="I653" i="3" s="1"/>
  <c r="J653" i="3" s="1"/>
  <c r="AC472" i="3" l="1"/>
  <c r="AF472" i="3" s="1"/>
  <c r="N653" i="3"/>
  <c r="M653" i="3"/>
  <c r="L653" i="3"/>
  <c r="O653" i="3"/>
  <c r="K653" i="3"/>
  <c r="V473" i="3" l="1"/>
  <c r="W473" i="3" s="1"/>
  <c r="Y473" i="3"/>
  <c r="AB473" i="3"/>
  <c r="AE473" i="3" s="1"/>
  <c r="AA473" i="3"/>
  <c r="Z473" i="3"/>
  <c r="P653" i="3"/>
  <c r="I654" i="3" s="1"/>
  <c r="J654" i="3" s="1"/>
  <c r="X473" i="3" l="1"/>
  <c r="O654" i="3"/>
  <c r="AC473" i="3"/>
  <c r="K654" i="3"/>
  <c r="M654" i="3"/>
  <c r="N654" i="3"/>
  <c r="L654" i="3"/>
  <c r="AF473" i="3" l="1"/>
  <c r="V474" i="3"/>
  <c r="P654" i="3"/>
  <c r="I655" i="3" s="1"/>
  <c r="J655" i="3" s="1"/>
  <c r="M655" i="3"/>
  <c r="L655" i="3"/>
  <c r="N655" i="3"/>
  <c r="O655" i="3" l="1"/>
  <c r="Y474" i="3"/>
  <c r="AA474" i="3"/>
  <c r="Z474" i="3"/>
  <c r="AB474" i="3"/>
  <c r="AE474" i="3" s="1"/>
  <c r="X474" i="3"/>
  <c r="W474" i="3"/>
  <c r="K655" i="3"/>
  <c r="P655" i="3" s="1"/>
  <c r="I656" i="3" s="1"/>
  <c r="K656" i="3" s="1"/>
  <c r="AC474" i="3" l="1"/>
  <c r="AF474" i="3" s="1"/>
  <c r="N656" i="3"/>
  <c r="L656" i="3"/>
  <c r="M656" i="3"/>
  <c r="O656" i="3"/>
  <c r="J656" i="3"/>
  <c r="V475" i="3" l="1"/>
  <c r="X475" i="3"/>
  <c r="AA475" i="3"/>
  <c r="W475" i="3"/>
  <c r="Z475" i="3"/>
  <c r="AB475" i="3"/>
  <c r="Y475" i="3"/>
  <c r="P656" i="3"/>
  <c r="I657" i="3" s="1"/>
  <c r="N657" i="3" s="1"/>
  <c r="AE475" i="3" l="1"/>
  <c r="AC475" i="3"/>
  <c r="L657" i="3"/>
  <c r="J657" i="3"/>
  <c r="M657" i="3"/>
  <c r="O657" i="3"/>
  <c r="K657" i="3"/>
  <c r="V476" i="3" l="1"/>
  <c r="AF475" i="3"/>
  <c r="P657" i="3"/>
  <c r="I658" i="3" s="1"/>
  <c r="M658" i="3" s="1"/>
  <c r="L658" i="3"/>
  <c r="N658" i="3"/>
  <c r="K658" i="3"/>
  <c r="J658" i="3"/>
  <c r="O658" i="3" l="1"/>
  <c r="AB476" i="3"/>
  <c r="AE476" i="3" s="1"/>
  <c r="X476" i="3"/>
  <c r="W476" i="3"/>
  <c r="Z476" i="3"/>
  <c r="Y476" i="3"/>
  <c r="AA476" i="3"/>
  <c r="P658" i="3"/>
  <c r="I659" i="3" s="1"/>
  <c r="M659" i="3" s="1"/>
  <c r="AC476" i="3" l="1"/>
  <c r="AF476" i="3" s="1"/>
  <c r="O659" i="3"/>
  <c r="J659" i="3"/>
  <c r="K659" i="3"/>
  <c r="L659" i="3"/>
  <c r="N659" i="3"/>
  <c r="V477" i="3" l="1"/>
  <c r="AB477" i="3" s="1"/>
  <c r="AA477" i="3"/>
  <c r="Y477" i="3"/>
  <c r="P659" i="3"/>
  <c r="I660" i="3" s="1"/>
  <c r="L660" i="3" s="1"/>
  <c r="Z477" i="3" l="1"/>
  <c r="X477" i="3"/>
  <c r="AA478" i="3" s="1"/>
  <c r="W477" i="3"/>
  <c r="AE477" i="3"/>
  <c r="M660" i="3"/>
  <c r="O660" i="3"/>
  <c r="J660" i="3"/>
  <c r="K660" i="3"/>
  <c r="N660" i="3"/>
  <c r="Y478" i="3" l="1"/>
  <c r="AC477" i="3"/>
  <c r="P660" i="3"/>
  <c r="I661" i="3" s="1"/>
  <c r="K661" i="3" s="1"/>
  <c r="N661" i="3"/>
  <c r="L661" i="3"/>
  <c r="M661" i="3"/>
  <c r="O661" i="3" l="1"/>
  <c r="J661" i="3"/>
  <c r="V478" i="3"/>
  <c r="AF477" i="3"/>
  <c r="P661" i="3"/>
  <c r="I662" i="3" s="1"/>
  <c r="J662" i="3" s="1"/>
  <c r="N662" i="3"/>
  <c r="M662" i="3"/>
  <c r="L662" i="3"/>
  <c r="K662" i="3" l="1"/>
  <c r="W478" i="3"/>
  <c r="X478" i="3"/>
  <c r="Z478" i="3"/>
  <c r="AB478" i="3"/>
  <c r="AE478" i="3" s="1"/>
  <c r="O662" i="3"/>
  <c r="P662" i="3" s="1"/>
  <c r="I663" i="3" s="1"/>
  <c r="N663" i="3" s="1"/>
  <c r="Y479" i="3" l="1"/>
  <c r="AC478" i="3"/>
  <c r="AA479" i="3"/>
  <c r="O663" i="3"/>
  <c r="J663" i="3"/>
  <c r="M663" i="3"/>
  <c r="L663" i="3"/>
  <c r="K663" i="3"/>
  <c r="AF478" i="3" l="1"/>
  <c r="V479" i="3"/>
  <c r="P663" i="3"/>
  <c r="I664" i="3" s="1"/>
  <c r="K664" i="3" s="1"/>
  <c r="L664" i="3"/>
  <c r="M664" i="3"/>
  <c r="AB479" i="3" l="1"/>
  <c r="X479" i="3"/>
  <c r="Z479" i="3"/>
  <c r="W479" i="3"/>
  <c r="O664" i="3"/>
  <c r="J664" i="3"/>
  <c r="N664" i="3"/>
  <c r="Y480" i="3" l="1"/>
  <c r="AC479" i="3"/>
  <c r="AF479" i="3" s="1"/>
  <c r="V480" i="3"/>
  <c r="AE479" i="3"/>
  <c r="AA480" i="3"/>
  <c r="P664" i="3"/>
  <c r="I665" i="3" s="1"/>
  <c r="J665" i="3" s="1"/>
  <c r="M665" i="3"/>
  <c r="N665" i="3"/>
  <c r="L665" i="3"/>
  <c r="O665" i="3" l="1"/>
  <c r="AB480" i="3"/>
  <c r="W480" i="3"/>
  <c r="X480" i="3"/>
  <c r="Z480" i="3"/>
  <c r="K665" i="3"/>
  <c r="P665" i="3" s="1"/>
  <c r="I666" i="3" s="1"/>
  <c r="L666" i="3" s="1"/>
  <c r="AC480" i="3" l="1"/>
  <c r="AA481" i="3"/>
  <c r="AF480" i="3"/>
  <c r="V481" i="3"/>
  <c r="Y481" i="3"/>
  <c r="AE480" i="3"/>
  <c r="M666" i="3"/>
  <c r="N666" i="3"/>
  <c r="O666" i="3"/>
  <c r="J666" i="3"/>
  <c r="K666" i="3"/>
  <c r="Z481" i="3" l="1"/>
  <c r="W481" i="3"/>
  <c r="X481" i="3"/>
  <c r="AB481" i="3"/>
  <c r="AE481" i="3" s="1"/>
  <c r="P666" i="3"/>
  <c r="I667" i="3" s="1"/>
  <c r="M667" i="3" s="1"/>
  <c r="N667" i="3"/>
  <c r="Y482" i="3" l="1"/>
  <c r="AA482" i="3"/>
  <c r="AC481" i="3"/>
  <c r="V482" i="3" s="1"/>
  <c r="O667" i="3"/>
  <c r="K667" i="3"/>
  <c r="J667" i="3"/>
  <c r="L667" i="3"/>
  <c r="AF481" i="3" l="1"/>
  <c r="Z482" i="3"/>
  <c r="AB482" i="3"/>
  <c r="AE482" i="3" s="1"/>
  <c r="W482" i="3"/>
  <c r="X482" i="3"/>
  <c r="P667" i="3"/>
  <c r="I668" i="3" s="1"/>
  <c r="N668" i="3" s="1"/>
  <c r="L668" i="3"/>
  <c r="M668" i="3"/>
  <c r="AA483" i="3" l="1"/>
  <c r="AC482" i="3"/>
  <c r="Y483" i="3"/>
  <c r="K668" i="3"/>
  <c r="V483" i="3"/>
  <c r="AF482" i="3"/>
  <c r="J668" i="3"/>
  <c r="O668" i="3"/>
  <c r="P668" i="3" l="1"/>
  <c r="I669" i="3" s="1"/>
  <c r="K669" i="3" s="1"/>
  <c r="X483" i="3"/>
  <c r="Z483" i="3"/>
  <c r="AB483" i="3"/>
  <c r="W483" i="3"/>
  <c r="N669" i="3"/>
  <c r="O669" i="3"/>
  <c r="L669" i="3"/>
  <c r="M669" i="3"/>
  <c r="J669" i="3" l="1"/>
  <c r="AC483" i="3"/>
  <c r="AF483" i="3" s="1"/>
  <c r="AE483" i="3"/>
  <c r="Y484" i="3"/>
  <c r="AA484" i="3"/>
  <c r="V484" i="3"/>
  <c r="P669" i="3"/>
  <c r="I670" i="3" s="1"/>
  <c r="K670" i="3" s="1"/>
  <c r="M670" i="3"/>
  <c r="L670" i="3"/>
  <c r="N670" i="3"/>
  <c r="Z484" i="3" l="1"/>
  <c r="AB484" i="3"/>
  <c r="X484" i="3"/>
  <c r="W484" i="3"/>
  <c r="O670" i="3"/>
  <c r="J670" i="3"/>
  <c r="AA485" i="3" l="1"/>
  <c r="AC484" i="3"/>
  <c r="AE484" i="3"/>
  <c r="Y485" i="3"/>
  <c r="P670" i="3"/>
  <c r="I671" i="3" s="1"/>
  <c r="K671" i="3" s="1"/>
  <c r="AF484" i="3" l="1"/>
  <c r="V485" i="3"/>
  <c r="L671" i="3"/>
  <c r="M671" i="3"/>
  <c r="O671" i="3"/>
  <c r="J671" i="3"/>
  <c r="N671" i="3"/>
  <c r="X485" i="3" l="1"/>
  <c r="AB485" i="3"/>
  <c r="AE485" i="3" s="1"/>
  <c r="Z485" i="3"/>
  <c r="W485" i="3"/>
  <c r="AC485" i="3"/>
  <c r="AA486" i="3"/>
  <c r="P671" i="3"/>
  <c r="I672" i="3" s="1"/>
  <c r="K672" i="3" s="1"/>
  <c r="Y486" i="3" l="1"/>
  <c r="V486" i="3"/>
  <c r="AF485" i="3"/>
  <c r="O672" i="3"/>
  <c r="M672" i="3"/>
  <c r="L672" i="3"/>
  <c r="J672" i="3"/>
  <c r="N672" i="3"/>
  <c r="Z486" i="3" l="1"/>
  <c r="X486" i="3"/>
  <c r="W486" i="3"/>
  <c r="AB486" i="3"/>
  <c r="P672" i="3"/>
  <c r="I673" i="3" s="1"/>
  <c r="L673" i="3" s="1"/>
  <c r="M673" i="3"/>
  <c r="N673" i="3"/>
  <c r="AC486" i="3" l="1"/>
  <c r="Y487" i="3"/>
  <c r="AE486" i="3"/>
  <c r="AA487" i="3"/>
  <c r="O673" i="3"/>
  <c r="J673" i="3"/>
  <c r="K673" i="3"/>
  <c r="AF486" i="3" l="1"/>
  <c r="V487" i="3"/>
  <c r="P673" i="3"/>
  <c r="I674" i="3" s="1"/>
  <c r="K674" i="3" s="1"/>
  <c r="L674" i="3"/>
  <c r="N674" i="3"/>
  <c r="M674" i="3"/>
  <c r="O674" i="3" l="1"/>
  <c r="J674" i="3"/>
  <c r="W487" i="3"/>
  <c r="Z487" i="3"/>
  <c r="X487" i="3"/>
  <c r="AB487" i="3"/>
  <c r="AE487" i="3" s="1"/>
  <c r="P674" i="3"/>
  <c r="I675" i="3" s="1"/>
  <c r="K675" i="3" s="1"/>
  <c r="Y488" i="3" l="1"/>
  <c r="AC487" i="3"/>
  <c r="AA488" i="3"/>
  <c r="J675" i="3"/>
  <c r="M675" i="3"/>
  <c r="L675" i="3"/>
  <c r="N675" i="3"/>
  <c r="O675" i="3"/>
  <c r="AF487" i="3" l="1"/>
  <c r="V488" i="3"/>
  <c r="P675" i="3"/>
  <c r="I676" i="3" s="1"/>
  <c r="K676" i="3" s="1"/>
  <c r="W488" i="3" l="1"/>
  <c r="X488" i="3"/>
  <c r="Z488" i="3"/>
  <c r="AB488" i="3"/>
  <c r="AE488" i="3" s="1"/>
  <c r="M676" i="3"/>
  <c r="J676" i="3"/>
  <c r="L676" i="3"/>
  <c r="N676" i="3"/>
  <c r="O676" i="3"/>
  <c r="AA489" i="3" l="1"/>
  <c r="AC488" i="3"/>
  <c r="Y489" i="3"/>
  <c r="P676" i="3"/>
  <c r="I677" i="3" s="1"/>
  <c r="N677" i="3" s="1"/>
  <c r="AF488" i="3" l="1"/>
  <c r="V489" i="3"/>
  <c r="K677" i="3"/>
  <c r="J677" i="3"/>
  <c r="L677" i="3"/>
  <c r="M677" i="3"/>
  <c r="O677" i="3"/>
  <c r="X489" i="3" l="1"/>
  <c r="Z489" i="3"/>
  <c r="AB489" i="3"/>
  <c r="AE489" i="3" s="1"/>
  <c r="W489" i="3"/>
  <c r="P677" i="3"/>
  <c r="I678" i="3" s="1"/>
  <c r="M678" i="3" s="1"/>
  <c r="N678" i="3"/>
  <c r="L678" i="3"/>
  <c r="AA490" i="3" l="1"/>
  <c r="AC489" i="3"/>
  <c r="Y490" i="3"/>
  <c r="AF489" i="3"/>
  <c r="V490" i="3"/>
  <c r="O678" i="3"/>
  <c r="J678" i="3"/>
  <c r="K678" i="3"/>
  <c r="P678" i="3" l="1"/>
  <c r="I679" i="3" s="1"/>
  <c r="O679" i="3" s="1"/>
  <c r="W490" i="3"/>
  <c r="AB490" i="3"/>
  <c r="AE490" i="3" s="1"/>
  <c r="Z490" i="3"/>
  <c r="X490" i="3"/>
  <c r="K679" i="3"/>
  <c r="J679" i="3"/>
  <c r="N679" i="3"/>
  <c r="L679" i="3"/>
  <c r="M679" i="3"/>
  <c r="Y491" i="3" l="1"/>
  <c r="AA491" i="3"/>
  <c r="AC490" i="3"/>
  <c r="V491" i="3" s="1"/>
  <c r="P679" i="3"/>
  <c r="I680" i="3" s="1"/>
  <c r="L680" i="3" s="1"/>
  <c r="AF490" i="3" l="1"/>
  <c r="Z491" i="3"/>
  <c r="X491" i="3"/>
  <c r="W491" i="3"/>
  <c r="AB491" i="3"/>
  <c r="AE491" i="3" s="1"/>
  <c r="O680" i="3"/>
  <c r="K680" i="3"/>
  <c r="J680" i="3"/>
  <c r="M680" i="3"/>
  <c r="N680" i="3"/>
  <c r="AC491" i="3" l="1"/>
  <c r="AF491" i="3" s="1"/>
  <c r="V492" i="3"/>
  <c r="Y492" i="3"/>
  <c r="AA492" i="3"/>
  <c r="P680" i="3"/>
  <c r="I681" i="3" s="1"/>
  <c r="K681" i="3" s="1"/>
  <c r="X492" i="3" l="1"/>
  <c r="AB492" i="3"/>
  <c r="Y493" i="3" s="1"/>
  <c r="W492" i="3"/>
  <c r="Z492" i="3"/>
  <c r="AC492" i="3" s="1"/>
  <c r="O681" i="3"/>
  <c r="M681" i="3"/>
  <c r="L681" i="3"/>
  <c r="N681" i="3"/>
  <c r="J681" i="3"/>
  <c r="V493" i="3" l="1"/>
  <c r="AF492" i="3"/>
  <c r="AA493" i="3"/>
  <c r="AE492" i="3"/>
  <c r="P681" i="3"/>
  <c r="I682" i="3" s="1"/>
  <c r="O682" i="3" s="1"/>
  <c r="Z493" i="3" l="1"/>
  <c r="W493" i="3"/>
  <c r="X493" i="3"/>
  <c r="AB493" i="3"/>
  <c r="AA494" i="3" s="1"/>
  <c r="M682" i="3"/>
  <c r="L682" i="3"/>
  <c r="N682" i="3"/>
  <c r="J682" i="3"/>
  <c r="K682" i="3"/>
  <c r="Y494" i="3" l="1"/>
  <c r="AC493" i="3"/>
  <c r="AE493" i="3"/>
  <c r="P682" i="3"/>
  <c r="I683" i="3" s="1"/>
  <c r="N683" i="3" s="1"/>
  <c r="L683" i="3"/>
  <c r="M683" i="3"/>
  <c r="AF493" i="3" l="1"/>
  <c r="V494" i="3"/>
  <c r="J683" i="3"/>
  <c r="O683" i="3"/>
  <c r="K683" i="3"/>
  <c r="X494" i="3" l="1"/>
  <c r="Z494" i="3"/>
  <c r="W494" i="3"/>
  <c r="AB494" i="3"/>
  <c r="AE494" i="3" s="1"/>
  <c r="L684" i="3"/>
  <c r="P683" i="3"/>
  <c r="I684" i="3" s="1"/>
  <c r="K684" i="3" s="1"/>
  <c r="N684" i="3"/>
  <c r="M684" i="3"/>
  <c r="AA495" i="3" l="1"/>
  <c r="Y495" i="3"/>
  <c r="O684" i="3"/>
  <c r="L685" i="3" s="1"/>
  <c r="J684" i="3"/>
  <c r="AC494" i="3"/>
  <c r="AF494" i="3"/>
  <c r="V495" i="3"/>
  <c r="P684" i="3"/>
  <c r="I685" i="3" s="1"/>
  <c r="O685" i="3" s="1"/>
  <c r="N685" i="3" l="1"/>
  <c r="J685" i="3"/>
  <c r="M685" i="3"/>
  <c r="K685" i="3"/>
  <c r="AB495" i="3"/>
  <c r="AE495" i="3" s="1"/>
  <c r="W495" i="3"/>
  <c r="X495" i="3"/>
  <c r="Z495" i="3"/>
  <c r="P685" i="3" l="1"/>
  <c r="I686" i="3" s="1"/>
  <c r="AC495" i="3"/>
  <c r="AA496" i="3"/>
  <c r="Y496" i="3"/>
  <c r="V496" i="3"/>
  <c r="AF495" i="3"/>
  <c r="M686" i="3"/>
  <c r="O686" i="3"/>
  <c r="L686" i="3"/>
  <c r="K686" i="3"/>
  <c r="J686" i="3"/>
  <c r="N686" i="3"/>
  <c r="W496" i="3" l="1"/>
  <c r="Z496" i="3"/>
  <c r="AB496" i="3"/>
  <c r="AE496" i="3" s="1"/>
  <c r="X496" i="3"/>
  <c r="P686" i="3"/>
  <c r="I687" i="3" s="1"/>
  <c r="AC496" i="3" l="1"/>
  <c r="Y497" i="3"/>
  <c r="AA497" i="3"/>
  <c r="V497" i="3"/>
  <c r="AF496" i="3"/>
  <c r="K687" i="3"/>
  <c r="M687" i="3"/>
  <c r="O687" i="3"/>
  <c r="J687" i="3"/>
  <c r="L687" i="3"/>
  <c r="N687" i="3"/>
  <c r="X497" i="3" l="1"/>
  <c r="W497" i="3"/>
  <c r="Z497" i="3"/>
  <c r="AB497" i="3"/>
  <c r="AE497" i="3" s="1"/>
  <c r="P687" i="3"/>
  <c r="I688" i="3" s="1"/>
  <c r="AC497" i="3" l="1"/>
  <c r="Y498" i="3"/>
  <c r="J688" i="3"/>
  <c r="O688" i="3"/>
  <c r="K688" i="3"/>
  <c r="L688" i="3"/>
  <c r="N688" i="3"/>
  <c r="M688" i="3"/>
  <c r="V498" i="3" l="1"/>
  <c r="AF497" i="3"/>
  <c r="P688" i="3"/>
  <c r="I689" i="3" s="1"/>
  <c r="AA498" i="3" l="1"/>
  <c r="AB498" i="3"/>
  <c r="AE498" i="3" s="1"/>
  <c r="X498" i="3"/>
  <c r="W498" i="3"/>
  <c r="Z498" i="3"/>
  <c r="AC498" i="3" s="1"/>
  <c r="AA499" i="3"/>
  <c r="K689" i="3"/>
  <c r="J689" i="3"/>
  <c r="O689" i="3"/>
  <c r="N689" i="3"/>
  <c r="M689" i="3"/>
  <c r="L689" i="3"/>
  <c r="V499" i="3" l="1"/>
  <c r="AF498" i="3"/>
  <c r="Y499" i="3"/>
  <c r="P689" i="3"/>
  <c r="I690" i="3" s="1"/>
  <c r="W499" i="3" l="1"/>
  <c r="Z499" i="3"/>
  <c r="X499" i="3"/>
  <c r="AB499" i="3"/>
  <c r="AE499" i="3" s="1"/>
  <c r="K690" i="3"/>
  <c r="O690" i="3"/>
  <c r="J690" i="3"/>
  <c r="N690" i="3"/>
  <c r="M690" i="3"/>
  <c r="L690" i="3"/>
  <c r="AA500" i="3" l="1"/>
  <c r="AC499" i="3"/>
  <c r="Y500" i="3"/>
  <c r="V500" i="3"/>
  <c r="AF499" i="3"/>
  <c r="P690" i="3"/>
  <c r="I691" i="3" s="1"/>
  <c r="M691" i="3" s="1"/>
  <c r="Z500" i="3" l="1"/>
  <c r="AB500" i="3"/>
  <c r="AE500" i="3" s="1"/>
  <c r="W500" i="3"/>
  <c r="X500" i="3"/>
  <c r="AA501" i="3"/>
  <c r="Y501" i="3"/>
  <c r="N691" i="3"/>
  <c r="K691" i="3"/>
  <c r="J691" i="3"/>
  <c r="O691" i="3"/>
  <c r="L691" i="3"/>
  <c r="AC500" i="3" l="1"/>
  <c r="V501" i="3"/>
  <c r="AF500" i="3"/>
  <c r="P691" i="3"/>
  <c r="I692" i="3" s="1"/>
  <c r="L692" i="3" s="1"/>
  <c r="M692" i="3"/>
  <c r="N692" i="3"/>
  <c r="AB501" i="3" l="1"/>
  <c r="AE501" i="3" s="1"/>
  <c r="Z501" i="3"/>
  <c r="X501" i="3"/>
  <c r="Y502" i="3" s="1"/>
  <c r="W501" i="3"/>
  <c r="AC501" i="3" s="1"/>
  <c r="AA502" i="3"/>
  <c r="J692" i="3"/>
  <c r="O692" i="3"/>
  <c r="K692" i="3"/>
  <c r="AF501" i="3" l="1"/>
  <c r="V502" i="3"/>
  <c r="P692" i="3"/>
  <c r="I693" i="3" s="1"/>
  <c r="M693" i="3" s="1"/>
  <c r="O693" i="3"/>
  <c r="K693" i="3"/>
  <c r="N693" i="3"/>
  <c r="L693" i="3"/>
  <c r="J693" i="3" l="1"/>
  <c r="AB502" i="3"/>
  <c r="AE502" i="3" s="1"/>
  <c r="X502" i="3"/>
  <c r="W502" i="3"/>
  <c r="Z502" i="3"/>
  <c r="P693" i="3"/>
  <c r="I694" i="3" s="1"/>
  <c r="J694" i="3" s="1"/>
  <c r="AA503" i="3" l="1"/>
  <c r="Y503" i="3"/>
  <c r="AC502" i="3"/>
  <c r="L694" i="3"/>
  <c r="K694" i="3"/>
  <c r="M694" i="3"/>
  <c r="N694" i="3"/>
  <c r="O694" i="3"/>
  <c r="AF502" i="3" l="1"/>
  <c r="V503" i="3"/>
  <c r="P694" i="3"/>
  <c r="I695" i="3" s="1"/>
  <c r="L695" i="3" s="1"/>
  <c r="Z503" i="3" l="1"/>
  <c r="X503" i="3"/>
  <c r="W503" i="3"/>
  <c r="AB503" i="3"/>
  <c r="AE503" i="3" s="1"/>
  <c r="J695" i="3"/>
  <c r="O695" i="3"/>
  <c r="N695" i="3"/>
  <c r="K695" i="3"/>
  <c r="M695" i="3"/>
  <c r="Y504" i="3" l="1"/>
  <c r="AA504" i="3"/>
  <c r="AC503" i="3"/>
  <c r="AF503" i="3" s="1"/>
  <c r="P695" i="3"/>
  <c r="I696" i="3" s="1"/>
  <c r="K696" i="3" s="1"/>
  <c r="N696" i="3"/>
  <c r="L696" i="3"/>
  <c r="M696" i="3"/>
  <c r="V504" i="3" l="1"/>
  <c r="O696" i="3"/>
  <c r="N697" i="3" s="1"/>
  <c r="J696" i="3"/>
  <c r="W504" i="3"/>
  <c r="X504" i="3"/>
  <c r="Z504" i="3"/>
  <c r="AB504" i="3"/>
  <c r="Y505" i="3" s="1"/>
  <c r="P696" i="3"/>
  <c r="I697" i="3" s="1"/>
  <c r="J697" i="3" s="1"/>
  <c r="M697" i="3" l="1"/>
  <c r="L697" i="3"/>
  <c r="AC504" i="3"/>
  <c r="AF504" i="3" s="1"/>
  <c r="V505" i="3"/>
  <c r="AA505" i="3"/>
  <c r="O697" i="3"/>
  <c r="K697" i="3"/>
  <c r="AB505" i="3" l="1"/>
  <c r="AE505" i="3" s="1"/>
  <c r="W505" i="3"/>
  <c r="Z505" i="3"/>
  <c r="X505" i="3"/>
  <c r="AA506" i="3" s="1"/>
  <c r="L698" i="3"/>
  <c r="P697" i="3"/>
  <c r="I698" i="3" s="1"/>
  <c r="K698" i="3" s="1"/>
  <c r="M698" i="3"/>
  <c r="N698" i="3"/>
  <c r="Y506" i="3" l="1"/>
  <c r="AC505" i="3"/>
  <c r="V506" i="3"/>
  <c r="AF505" i="3"/>
  <c r="O698" i="3"/>
  <c r="L699" i="3" s="1"/>
  <c r="J698" i="3"/>
  <c r="P698" i="3" l="1"/>
  <c r="I699" i="3" s="1"/>
  <c r="J699" i="3" s="1"/>
  <c r="M699" i="3"/>
  <c r="Z506" i="3"/>
  <c r="AB506" i="3"/>
  <c r="AE506" i="3" s="1"/>
  <c r="X506" i="3"/>
  <c r="W506" i="3"/>
  <c r="AC506" i="3" s="1"/>
  <c r="N699" i="3"/>
  <c r="O699" i="3"/>
  <c r="K699" i="3"/>
  <c r="Y507" i="3" l="1"/>
  <c r="AA507" i="3"/>
  <c r="AF506" i="3"/>
  <c r="V507" i="3"/>
  <c r="N700" i="3"/>
  <c r="P699" i="3"/>
  <c r="I700" i="3" s="1"/>
  <c r="L700" i="3"/>
  <c r="W507" i="3" l="1"/>
  <c r="AB507" i="3"/>
  <c r="Z507" i="3"/>
  <c r="X507" i="3"/>
  <c r="AA508" i="3" s="1"/>
  <c r="M700" i="3"/>
  <c r="O700" i="3"/>
  <c r="K700" i="3"/>
  <c r="J700" i="3"/>
  <c r="AC507" i="3" l="1"/>
  <c r="V508" i="3" s="1"/>
  <c r="Y508" i="3"/>
  <c r="Z508" i="3"/>
  <c r="W508" i="3"/>
  <c r="AB508" i="3"/>
  <c r="X508" i="3"/>
  <c r="M701" i="3"/>
  <c r="P700" i="3"/>
  <c r="I701" i="3" s="1"/>
  <c r="N701" i="3" s="1"/>
  <c r="L701" i="3"/>
  <c r="AC508" i="3" l="1"/>
  <c r="V509" i="3" s="1"/>
  <c r="Y509" i="3"/>
  <c r="AA509" i="3"/>
  <c r="W509" i="3"/>
  <c r="AB509" i="3"/>
  <c r="X509" i="3"/>
  <c r="Z509" i="3"/>
  <c r="AC509" i="3"/>
  <c r="V510" i="3" s="1"/>
  <c r="O701" i="3"/>
  <c r="K701" i="3"/>
  <c r="J701" i="3"/>
  <c r="Y510" i="3" l="1"/>
  <c r="AA510" i="3"/>
  <c r="P701" i="3"/>
  <c r="I702" i="3" s="1"/>
  <c r="L702" i="3" s="1"/>
  <c r="X510" i="3"/>
  <c r="AB510" i="3"/>
  <c r="AA511" i="3" s="1"/>
  <c r="W510" i="3"/>
  <c r="Z510" i="3"/>
  <c r="M702" i="3"/>
  <c r="N702" i="3"/>
  <c r="O702" i="3" l="1"/>
  <c r="K702" i="3"/>
  <c r="M703" i="3" s="1"/>
  <c r="Y511" i="3"/>
  <c r="AC510" i="3"/>
  <c r="V511" i="3" s="1"/>
  <c r="Z511" i="3" s="1"/>
  <c r="J702" i="3"/>
  <c r="P702" i="3" s="1"/>
  <c r="I703" i="3" s="1"/>
  <c r="J703" i="3" s="1"/>
  <c r="X511" i="3"/>
  <c r="AB511" i="3"/>
  <c r="AA512" i="3" s="1"/>
  <c r="W511" i="3"/>
  <c r="N703" i="3"/>
  <c r="L703" i="3" l="1"/>
  <c r="Y512" i="3"/>
  <c r="AC511" i="3"/>
  <c r="V512" i="3" s="1"/>
  <c r="O703" i="3"/>
  <c r="K703" i="3"/>
  <c r="P703" i="3" l="1"/>
  <c r="I704" i="3" s="1"/>
  <c r="L704" i="3" s="1"/>
  <c r="AB512" i="3"/>
  <c r="W512" i="3"/>
  <c r="X512" i="3"/>
  <c r="Y513" i="3" s="1"/>
  <c r="Z512" i="3"/>
  <c r="K704" i="3"/>
  <c r="J704" i="3"/>
  <c r="N704" i="3"/>
  <c r="M704" i="3"/>
  <c r="O704" i="3"/>
  <c r="AA513" i="3" l="1"/>
  <c r="AC512" i="3"/>
  <c r="V513" i="3" s="1"/>
  <c r="X513" i="3" s="1"/>
  <c r="AB513" i="3"/>
  <c r="P704" i="3"/>
  <c r="I705" i="3" s="1"/>
  <c r="W513" i="3" l="1"/>
  <c r="AA514" i="3"/>
  <c r="Y514" i="3"/>
  <c r="Z513" i="3"/>
  <c r="AC513" i="3" s="1"/>
  <c r="V514" i="3" s="1"/>
  <c r="O705" i="3"/>
  <c r="K705" i="3"/>
  <c r="J705" i="3"/>
  <c r="L705" i="3"/>
  <c r="M705" i="3"/>
  <c r="N705" i="3"/>
  <c r="Z514" i="3" l="1"/>
  <c r="X514" i="3"/>
  <c r="AB514" i="3"/>
  <c r="Y515" i="3" s="1"/>
  <c r="W514" i="3"/>
  <c r="P705" i="3"/>
  <c r="I706" i="3" s="1"/>
  <c r="L706" i="3" s="1"/>
  <c r="AC514" i="3" l="1"/>
  <c r="V515" i="3" s="1"/>
  <c r="AA515" i="3"/>
  <c r="K706" i="3"/>
  <c r="O706" i="3"/>
  <c r="J706" i="3"/>
  <c r="M706" i="3"/>
  <c r="N706" i="3"/>
  <c r="X515" i="3" l="1"/>
  <c r="W515" i="3"/>
  <c r="AB515" i="3"/>
  <c r="Z515" i="3"/>
  <c r="P706" i="3"/>
  <c r="I707" i="3" s="1"/>
  <c r="N707" i="3" s="1"/>
  <c r="AC515" i="3" l="1"/>
  <c r="V516" i="3" s="1"/>
  <c r="X516" i="3" s="1"/>
  <c r="AB516" i="3"/>
  <c r="Z516" i="3"/>
  <c r="Y516" i="3"/>
  <c r="AA516" i="3"/>
  <c r="M707" i="3"/>
  <c r="J707" i="3"/>
  <c r="K707" i="3"/>
  <c r="O707" i="3"/>
  <c r="L707" i="3"/>
  <c r="W516" i="3" l="1"/>
  <c r="AA517" i="3"/>
  <c r="Y517" i="3"/>
  <c r="AC516" i="3"/>
  <c r="V517" i="3" s="1"/>
  <c r="Z517" i="3" s="1"/>
  <c r="AB517" i="3"/>
  <c r="W517" i="3"/>
  <c r="X517" i="3"/>
  <c r="P707" i="3"/>
  <c r="I708" i="3" s="1"/>
  <c r="J708" i="3" s="1"/>
  <c r="AA518" i="3" l="1"/>
  <c r="AC517" i="3"/>
  <c r="V518" i="3" s="1"/>
  <c r="X518" i="3" s="1"/>
  <c r="Z518" i="3"/>
  <c r="W518" i="3"/>
  <c r="AB518" i="3"/>
  <c r="Y519" i="3" s="1"/>
  <c r="Y518" i="3"/>
  <c r="M708" i="3"/>
  <c r="N708" i="3"/>
  <c r="L708" i="3"/>
  <c r="O708" i="3"/>
  <c r="K708" i="3"/>
  <c r="AC518" i="3" l="1"/>
  <c r="V519" i="3" s="1"/>
  <c r="AA519" i="3"/>
  <c r="X519" i="3"/>
  <c r="Z519" i="3"/>
  <c r="W519" i="3"/>
  <c r="AB519" i="3"/>
  <c r="P708" i="3"/>
  <c r="I709" i="3" s="1"/>
  <c r="O709" i="3" s="1"/>
  <c r="AC519" i="3" l="1"/>
  <c r="V520" i="3" s="1"/>
  <c r="X520" i="3"/>
  <c r="Z520" i="3"/>
  <c r="W520" i="3"/>
  <c r="AB520" i="3"/>
  <c r="AA521" i="3" s="1"/>
  <c r="AA520" i="3"/>
  <c r="Y520" i="3"/>
  <c r="K709" i="3"/>
  <c r="N709" i="3"/>
  <c r="L709" i="3"/>
  <c r="J709" i="3"/>
  <c r="M709" i="3"/>
  <c r="Y521" i="3" l="1"/>
  <c r="AC520" i="3"/>
  <c r="V521" i="3" s="1"/>
  <c r="X521" i="3" s="1"/>
  <c r="AB521" i="3"/>
  <c r="Y522" i="3" s="1"/>
  <c r="W521" i="3"/>
  <c r="Z521" i="3"/>
  <c r="AA522" i="3"/>
  <c r="P709" i="3"/>
  <c r="I710" i="3" s="1"/>
  <c r="L710" i="3" s="1"/>
  <c r="AC521" i="3" l="1"/>
  <c r="V522" i="3" s="1"/>
  <c r="X522" i="3" s="1"/>
  <c r="AB522" i="3"/>
  <c r="W522" i="3"/>
  <c r="Z522" i="3"/>
  <c r="N710" i="3"/>
  <c r="K710" i="3"/>
  <c r="J710" i="3"/>
  <c r="M710" i="3"/>
  <c r="O710" i="3"/>
  <c r="AA523" i="3" l="1"/>
  <c r="Y523" i="3"/>
  <c r="AC522" i="3"/>
  <c r="V523" i="3" s="1"/>
  <c r="W523" i="3"/>
  <c r="AB523" i="3"/>
  <c r="Z523" i="3"/>
  <c r="X523" i="3"/>
  <c r="Y524" i="3" s="1"/>
  <c r="P710" i="3"/>
  <c r="I711" i="3" s="1"/>
  <c r="M711" i="3" s="1"/>
  <c r="N711" i="3"/>
  <c r="L711" i="3"/>
  <c r="AA524" i="3" l="1"/>
  <c r="AC523" i="3"/>
  <c r="V524" i="3" s="1"/>
  <c r="W524" i="3" s="1"/>
  <c r="AB524" i="3"/>
  <c r="Z524" i="3"/>
  <c r="O711" i="3"/>
  <c r="J711" i="3"/>
  <c r="K711" i="3"/>
  <c r="X524" i="3" l="1"/>
  <c r="P711" i="3"/>
  <c r="I712" i="3" s="1"/>
  <c r="K712" i="3" s="1"/>
  <c r="Y525" i="3"/>
  <c r="AA525" i="3"/>
  <c r="AC524" i="3"/>
  <c r="V525" i="3" s="1"/>
  <c r="M712" i="3"/>
  <c r="J712" i="3"/>
  <c r="L712" i="3"/>
  <c r="N712" i="3"/>
  <c r="O712" i="3" l="1"/>
  <c r="AB525" i="3"/>
  <c r="Z525" i="3"/>
  <c r="X525" i="3"/>
  <c r="W525" i="3"/>
  <c r="P712" i="3"/>
  <c r="I713" i="3" s="1"/>
  <c r="M713" i="3" s="1"/>
  <c r="Y526" i="3" l="1"/>
  <c r="AC525" i="3"/>
  <c r="V526" i="3" s="1"/>
  <c r="AA526" i="3"/>
  <c r="Z526" i="3"/>
  <c r="X526" i="3"/>
  <c r="AB526" i="3"/>
  <c r="AA527" i="3" s="1"/>
  <c r="W526" i="3"/>
  <c r="J713" i="3"/>
  <c r="K713" i="3"/>
  <c r="O713" i="3"/>
  <c r="N713" i="3"/>
  <c r="L713" i="3"/>
  <c r="AC526" i="3" l="1"/>
  <c r="V527" i="3" s="1"/>
  <c r="Y527" i="3"/>
  <c r="AB527" i="3"/>
  <c r="Z527" i="3"/>
  <c r="X527" i="3"/>
  <c r="W527" i="3"/>
  <c r="P713" i="3"/>
  <c r="I714" i="3" s="1"/>
  <c r="J714" i="3" s="1"/>
  <c r="M714" i="3"/>
  <c r="N714" i="3"/>
  <c r="L714" i="3"/>
  <c r="AC527" i="3" l="1"/>
  <c r="V528" i="3" s="1"/>
  <c r="W528" i="3" s="1"/>
  <c r="Y528" i="3"/>
  <c r="O714" i="3"/>
  <c r="Z528" i="3"/>
  <c r="AB528" i="3"/>
  <c r="AA528" i="3"/>
  <c r="X528" i="3"/>
  <c r="K714" i="3"/>
  <c r="M715" i="3" s="1"/>
  <c r="P714" i="3" l="1"/>
  <c r="I715" i="3" s="1"/>
  <c r="K715" i="3" s="1"/>
  <c r="AA529" i="3"/>
  <c r="L715" i="3"/>
  <c r="N715" i="3"/>
  <c r="Y529" i="3"/>
  <c r="AC528" i="3"/>
  <c r="V529" i="3" s="1"/>
  <c r="J715" i="3"/>
  <c r="O715" i="3"/>
  <c r="P715" i="3" s="1"/>
  <c r="I716" i="3" s="1"/>
  <c r="L716" i="3" s="1"/>
  <c r="X529" i="3" l="1"/>
  <c r="W529" i="3"/>
  <c r="Z529" i="3"/>
  <c r="AB529" i="3"/>
  <c r="Y530" i="3" s="1"/>
  <c r="J716" i="3"/>
  <c r="K716" i="3"/>
  <c r="M716" i="3"/>
  <c r="O716" i="3"/>
  <c r="N716" i="3"/>
  <c r="AC529" i="3" l="1"/>
  <c r="V530" i="3" s="1"/>
  <c r="AA530" i="3"/>
  <c r="P716" i="3"/>
  <c r="I717" i="3" s="1"/>
  <c r="L717" i="3" s="1"/>
  <c r="M717" i="3"/>
  <c r="N717" i="3"/>
  <c r="J717" i="3" l="1"/>
  <c r="K717" i="3"/>
  <c r="W530" i="3"/>
  <c r="Z530" i="3"/>
  <c r="AB530" i="3"/>
  <c r="X530" i="3"/>
  <c r="O717" i="3"/>
  <c r="P717" i="3" s="1"/>
  <c r="I718" i="3" s="1"/>
  <c r="J718" i="3" s="1"/>
  <c r="Y531" i="3" l="1"/>
  <c r="AA531" i="3"/>
  <c r="AC530" i="3"/>
  <c r="V531" i="3" s="1"/>
  <c r="N718" i="3"/>
  <c r="M718" i="3"/>
  <c r="L718" i="3"/>
  <c r="O718" i="3"/>
  <c r="K718" i="3"/>
  <c r="AB531" i="3" l="1"/>
  <c r="Z531" i="3"/>
  <c r="W531" i="3"/>
  <c r="X531" i="3"/>
  <c r="P718" i="3"/>
  <c r="I719" i="3" s="1"/>
  <c r="M719" i="3" s="1"/>
  <c r="AC531" i="3" l="1"/>
  <c r="V532" i="3" s="1"/>
  <c r="AA532" i="3"/>
  <c r="Y532" i="3"/>
  <c r="W532" i="3"/>
  <c r="AB532" i="3"/>
  <c r="X532" i="3"/>
  <c r="Z532" i="3"/>
  <c r="N719" i="3"/>
  <c r="J719" i="3"/>
  <c r="O719" i="3"/>
  <c r="K719" i="3"/>
  <c r="L719" i="3"/>
  <c r="AA533" i="3" l="1"/>
  <c r="AC532" i="3"/>
  <c r="V533" i="3" s="1"/>
  <c r="P719" i="3"/>
  <c r="I720" i="3" s="1"/>
  <c r="Y533" i="3" l="1"/>
  <c r="X533" i="3"/>
  <c r="W533" i="3"/>
  <c r="Z533" i="3"/>
  <c r="AB533" i="3"/>
  <c r="Y534" i="3" s="1"/>
  <c r="J720" i="3"/>
  <c r="L720" i="3"/>
  <c r="M720" i="3"/>
  <c r="K720" i="3"/>
  <c r="N720" i="3"/>
  <c r="O720" i="3"/>
  <c r="AC533" i="3" l="1"/>
  <c r="V534" i="3" s="1"/>
  <c r="AA534" i="3"/>
  <c r="P720" i="3"/>
  <c r="I721" i="3" s="1"/>
  <c r="J721" i="3" s="1"/>
  <c r="O721" i="3"/>
  <c r="M721" i="3"/>
  <c r="L721" i="3"/>
  <c r="N721" i="3"/>
  <c r="K721" i="3" l="1"/>
  <c r="W534" i="3"/>
  <c r="AB534" i="3"/>
  <c r="Z534" i="3"/>
  <c r="X534" i="3"/>
  <c r="P721" i="3"/>
  <c r="I722" i="3" s="1"/>
  <c r="J722" i="3" s="1"/>
  <c r="M722" i="3"/>
  <c r="N722" i="3"/>
  <c r="L722" i="3"/>
  <c r="Y535" i="3" l="1"/>
  <c r="AA535" i="3"/>
  <c r="AC534" i="3"/>
  <c r="V535" i="3" s="1"/>
  <c r="O722" i="3"/>
  <c r="K722" i="3"/>
  <c r="X535" i="3" l="1"/>
  <c r="AB535" i="3"/>
  <c r="Z535" i="3"/>
  <c r="W535" i="3"/>
  <c r="P722" i="3"/>
  <c r="I723" i="3" s="1"/>
  <c r="N723" i="3" s="1"/>
  <c r="M723" i="3"/>
  <c r="L723" i="3"/>
  <c r="AC535" i="3" l="1"/>
  <c r="V536" i="3" s="1"/>
  <c r="AB536" i="3" s="1"/>
  <c r="X536" i="3"/>
  <c r="Z536" i="3"/>
  <c r="AA536" i="3"/>
  <c r="Y536" i="3"/>
  <c r="AA537" i="3"/>
  <c r="J723" i="3"/>
  <c r="O723" i="3"/>
  <c r="K723" i="3"/>
  <c r="Y537" i="3" l="1"/>
  <c r="W536" i="3"/>
  <c r="P723" i="3"/>
  <c r="I724" i="3" s="1"/>
  <c r="J724" i="3" s="1"/>
  <c r="AC536" i="3"/>
  <c r="V537" i="3" s="1"/>
  <c r="AB537" i="3" s="1"/>
  <c r="Z537" i="3"/>
  <c r="M724" i="3"/>
  <c r="N724" i="3"/>
  <c r="L724" i="3"/>
  <c r="O724" i="3" l="1"/>
  <c r="K724" i="3"/>
  <c r="W537" i="3"/>
  <c r="X537" i="3"/>
  <c r="AA538" i="3"/>
  <c r="AC537" i="3"/>
  <c r="V538" i="3" s="1"/>
  <c r="W538" i="3" s="1"/>
  <c r="Y538" i="3"/>
  <c r="P724" i="3"/>
  <c r="I725" i="3" s="1"/>
  <c r="O725" i="3" s="1"/>
  <c r="N725" i="3"/>
  <c r="M725" i="3"/>
  <c r="L725" i="3"/>
  <c r="Z538" i="3" l="1"/>
  <c r="AB538" i="3"/>
  <c r="X538" i="3"/>
  <c r="J725" i="3"/>
  <c r="P725" i="3" s="1"/>
  <c r="I726" i="3" s="1"/>
  <c r="J726" i="3" s="1"/>
  <c r="K725" i="3"/>
  <c r="N726" i="3" s="1"/>
  <c r="AC538" i="3"/>
  <c r="V539" i="3" s="1"/>
  <c r="AA539" i="3"/>
  <c r="Y539" i="3"/>
  <c r="M726" i="3" l="1"/>
  <c r="L726" i="3"/>
  <c r="O726" i="3"/>
  <c r="X539" i="3"/>
  <c r="Z539" i="3"/>
  <c r="W539" i="3"/>
  <c r="AB539" i="3"/>
  <c r="AC539" i="3" s="1"/>
  <c r="V540" i="3" s="1"/>
  <c r="K726" i="3"/>
  <c r="P726" i="3" s="1"/>
  <c r="I727" i="3" s="1"/>
  <c r="AA540" i="3" l="1"/>
  <c r="Y540" i="3"/>
  <c r="K727" i="3"/>
  <c r="O727" i="3"/>
  <c r="M728" i="3" s="1"/>
  <c r="N727" i="3"/>
  <c r="AB540" i="3"/>
  <c r="X540" i="3"/>
  <c r="Z540" i="3"/>
  <c r="W540" i="3"/>
  <c r="M727" i="3"/>
  <c r="L727" i="3"/>
  <c r="J727" i="3"/>
  <c r="L728" i="3" l="1"/>
  <c r="N728" i="3"/>
  <c r="P727" i="3"/>
  <c r="I728" i="3" s="1"/>
  <c r="J728" i="3" s="1"/>
  <c r="AA541" i="3"/>
  <c r="Y541" i="3"/>
  <c r="AC540" i="3"/>
  <c r="V541" i="3" s="1"/>
  <c r="O728" i="3"/>
  <c r="K728" i="3" l="1"/>
  <c r="W541" i="3"/>
  <c r="AB541" i="3"/>
  <c r="Z541" i="3"/>
  <c r="X541" i="3"/>
  <c r="Y542" i="3" s="1"/>
  <c r="M729" i="3"/>
  <c r="L729" i="3"/>
  <c r="P728" i="3"/>
  <c r="I729" i="3" s="1"/>
  <c r="K729" i="3" s="1"/>
  <c r="N729" i="3"/>
  <c r="O729" i="3" l="1"/>
  <c r="AC541" i="3"/>
  <c r="V542" i="3" s="1"/>
  <c r="AA542" i="3"/>
  <c r="AB542" i="3"/>
  <c r="X542" i="3"/>
  <c r="AA543" i="3" s="1"/>
  <c r="Z542" i="3"/>
  <c r="W542" i="3"/>
  <c r="J729" i="3"/>
  <c r="P729" i="3" s="1"/>
  <c r="I730" i="3" s="1"/>
  <c r="L730" i="3"/>
  <c r="M730" i="3"/>
  <c r="N730" i="3"/>
  <c r="AC542" i="3" l="1"/>
  <c r="V543" i="3" s="1"/>
  <c r="W543" i="3" s="1"/>
  <c r="Y543" i="3"/>
  <c r="O730" i="3"/>
  <c r="J730" i="3"/>
  <c r="K730" i="3"/>
  <c r="AB543" i="3"/>
  <c r="Z543" i="3" l="1"/>
  <c r="X543" i="3"/>
  <c r="AA544" i="3" s="1"/>
  <c r="AC543" i="3"/>
  <c r="V544" i="3" s="1"/>
  <c r="AB544" i="3" s="1"/>
  <c r="P730" i="3"/>
  <c r="I731" i="3" s="1"/>
  <c r="K731" i="3" s="1"/>
  <c r="Z544" i="3"/>
  <c r="L731" i="3"/>
  <c r="N731" i="3"/>
  <c r="M731" i="3"/>
  <c r="X544" i="3" l="1"/>
  <c r="Y545" i="3" s="1"/>
  <c r="W544" i="3"/>
  <c r="Y544" i="3"/>
  <c r="J731" i="3"/>
  <c r="O731" i="3"/>
  <c r="AC544" i="3"/>
  <c r="V545" i="3" s="1"/>
  <c r="AA545" i="3"/>
  <c r="P731" i="3" l="1"/>
  <c r="I732" i="3" s="1"/>
  <c r="L732" i="3" s="1"/>
  <c r="Z545" i="3"/>
  <c r="W545" i="3"/>
  <c r="X545" i="3"/>
  <c r="AB545" i="3"/>
  <c r="N732" i="3"/>
  <c r="M732" i="3"/>
  <c r="J732" i="3" l="1"/>
  <c r="O732" i="3"/>
  <c r="K732" i="3"/>
  <c r="P732" i="3" s="1"/>
  <c r="I733" i="3" s="1"/>
  <c r="L733" i="3" s="1"/>
  <c r="AC545" i="3"/>
  <c r="V546" i="3" s="1"/>
  <c r="Z546" i="3" s="1"/>
  <c r="Y546" i="3"/>
  <c r="AA546" i="3"/>
  <c r="W546" i="3"/>
  <c r="AB546" i="3"/>
  <c r="M733" i="3"/>
  <c r="N733" i="3" l="1"/>
  <c r="X546" i="3"/>
  <c r="AA547" i="3"/>
  <c r="O733" i="3"/>
  <c r="J733" i="3"/>
  <c r="Y547" i="3"/>
  <c r="K733" i="3"/>
  <c r="AC546" i="3"/>
  <c r="V547" i="3" s="1"/>
  <c r="P733" i="3" l="1"/>
  <c r="I734" i="3" s="1"/>
  <c r="M734" i="3" s="1"/>
  <c r="AB547" i="3"/>
  <c r="W547" i="3"/>
  <c r="Z547" i="3"/>
  <c r="X547" i="3"/>
  <c r="Y548" i="3" s="1"/>
  <c r="N734" i="3"/>
  <c r="L734" i="3"/>
  <c r="O734" i="3"/>
  <c r="J734" i="3"/>
  <c r="K734" i="3"/>
  <c r="AA548" i="3" l="1"/>
  <c r="AC547" i="3"/>
  <c r="V548" i="3" s="1"/>
  <c r="X548" i="3" s="1"/>
  <c r="P734" i="3"/>
  <c r="I735" i="3" s="1"/>
  <c r="N735" i="3" s="1"/>
  <c r="M735" i="3"/>
  <c r="L735" i="3"/>
  <c r="Z548" i="3" l="1"/>
  <c r="W548" i="3"/>
  <c r="AB548" i="3"/>
  <c r="AA549" i="3" s="1"/>
  <c r="O735" i="3"/>
  <c r="K735" i="3"/>
  <c r="J735" i="3"/>
  <c r="Y549" i="3" l="1"/>
  <c r="AC548" i="3"/>
  <c r="V549" i="3" s="1"/>
  <c r="X549" i="3" s="1"/>
  <c r="M736" i="3"/>
  <c r="L736" i="3"/>
  <c r="N736" i="3"/>
  <c r="P735" i="3"/>
  <c r="I736" i="3" s="1"/>
  <c r="Z549" i="3" l="1"/>
  <c r="W549" i="3"/>
  <c r="AB549" i="3"/>
  <c r="AA550" i="3" s="1"/>
  <c r="O736" i="3"/>
  <c r="J736" i="3"/>
  <c r="K736" i="3"/>
  <c r="AC549" i="3" l="1"/>
  <c r="V550" i="3" s="1"/>
  <c r="P736" i="3"/>
  <c r="I737" i="3" s="1"/>
  <c r="N737" i="3"/>
  <c r="L737" i="3"/>
  <c r="Y550" i="3" l="1"/>
  <c r="X550" i="3"/>
  <c r="AB550" i="3"/>
  <c r="Z550" i="3"/>
  <c r="W550" i="3"/>
  <c r="M737" i="3"/>
  <c r="O737" i="3"/>
  <c r="J737" i="3"/>
  <c r="K737" i="3"/>
  <c r="AC550" i="3" l="1"/>
  <c r="V551" i="3" s="1"/>
  <c r="X551" i="3" s="1"/>
  <c r="AA552" i="3" s="1"/>
  <c r="AB551" i="3"/>
  <c r="Z551" i="3"/>
  <c r="Y551" i="3"/>
  <c r="AA551" i="3"/>
  <c r="P737" i="3"/>
  <c r="I738" i="3" s="1"/>
  <c r="K738" i="3" s="1"/>
  <c r="M738" i="3"/>
  <c r="N738" i="3"/>
  <c r="L738" i="3"/>
  <c r="Y552" i="3" l="1"/>
  <c r="W551" i="3"/>
  <c r="AC551" i="3"/>
  <c r="V552" i="3" s="1"/>
  <c r="Y553" i="3" s="1"/>
  <c r="X552" i="3"/>
  <c r="AB552" i="3"/>
  <c r="AA553" i="3" s="1"/>
  <c r="Z552" i="3"/>
  <c r="AC552" i="3" s="1"/>
  <c r="V553" i="3" s="1"/>
  <c r="AB553" i="3" s="1"/>
  <c r="W552" i="3"/>
  <c r="J738" i="3"/>
  <c r="O738" i="3"/>
  <c r="N739" i="3" s="1"/>
  <c r="W553" i="3" l="1"/>
  <c r="Z553" i="3"/>
  <c r="X553" i="3"/>
  <c r="Y554" i="3"/>
  <c r="AC553" i="3"/>
  <c r="V554" i="3" s="1"/>
  <c r="W554" i="3" s="1"/>
  <c r="AA554" i="3"/>
  <c r="L739" i="3"/>
  <c r="M739" i="3"/>
  <c r="P738" i="3"/>
  <c r="I739" i="3" s="1"/>
  <c r="Z554" i="3" l="1"/>
  <c r="X554" i="3"/>
  <c r="AB554" i="3"/>
  <c r="AA555" i="3" s="1"/>
  <c r="K739" i="3"/>
  <c r="O739" i="3"/>
  <c r="J739" i="3"/>
  <c r="AC554" i="3"/>
  <c r="V555" i="3" s="1"/>
  <c r="W555" i="3" s="1"/>
  <c r="Y555" i="3"/>
  <c r="AB555" i="3" l="1"/>
  <c r="X555" i="3"/>
  <c r="P739" i="3"/>
  <c r="I740" i="3" s="1"/>
  <c r="J740" i="3" s="1"/>
  <c r="Z555" i="3"/>
  <c r="AC555" i="3" s="1"/>
  <c r="V556" i="3" s="1"/>
  <c r="Y556" i="3" s="1"/>
  <c r="M740" i="3"/>
  <c r="L740" i="3"/>
  <c r="N740" i="3"/>
  <c r="K740" i="3" l="1"/>
  <c r="O740" i="3"/>
  <c r="N741" i="3"/>
  <c r="L741" i="3"/>
  <c r="P740" i="3"/>
  <c r="I741" i="3" s="1"/>
  <c r="M741" i="3"/>
  <c r="AA556" i="3"/>
  <c r="W556" i="3"/>
  <c r="AB556" i="3"/>
  <c r="X556" i="3"/>
  <c r="Z556" i="3"/>
  <c r="J741" i="3" l="1"/>
  <c r="K741" i="3"/>
  <c r="O741" i="3"/>
  <c r="M742" i="3" s="1"/>
  <c r="AC556" i="3"/>
  <c r="V557" i="3" s="1"/>
  <c r="W557" i="3" s="1"/>
  <c r="Y557" i="3"/>
  <c r="AA557" i="3"/>
  <c r="L742" i="3" l="1"/>
  <c r="P741" i="3"/>
  <c r="I742" i="3" s="1"/>
  <c r="N742" i="3"/>
  <c r="K742" i="3"/>
  <c r="O742" i="3"/>
  <c r="L743" i="3" s="1"/>
  <c r="J742" i="3"/>
  <c r="AB557" i="3"/>
  <c r="Z557" i="3"/>
  <c r="X557" i="3"/>
  <c r="AA558" i="3" l="1"/>
  <c r="N743" i="3"/>
  <c r="M743" i="3"/>
  <c r="P742" i="3"/>
  <c r="I743" i="3" s="1"/>
  <c r="J743" i="3" s="1"/>
  <c r="Y558" i="3"/>
  <c r="K743" i="3"/>
  <c r="O743" i="3"/>
  <c r="N744" i="3" s="1"/>
  <c r="AC557" i="3"/>
  <c r="V558" i="3" s="1"/>
  <c r="W558" i="3" s="1"/>
  <c r="M744" i="3" l="1"/>
  <c r="L744" i="3"/>
  <c r="P743" i="3"/>
  <c r="I744" i="3" s="1"/>
  <c r="X558" i="3"/>
  <c r="AB558" i="3"/>
  <c r="Y559" i="3" s="1"/>
  <c r="Z558" i="3"/>
  <c r="J744" i="3" l="1"/>
  <c r="K744" i="3"/>
  <c r="O744" i="3"/>
  <c r="M745" i="3" s="1"/>
  <c r="AC558" i="3"/>
  <c r="V559" i="3" s="1"/>
  <c r="L745" i="3" l="1"/>
  <c r="N745" i="3"/>
  <c r="P744" i="3"/>
  <c r="I745" i="3" s="1"/>
  <c r="K745" i="3" s="1"/>
  <c r="O745" i="3"/>
  <c r="AA559" i="3"/>
  <c r="AB559" i="3"/>
  <c r="Z559" i="3"/>
  <c r="W559" i="3"/>
  <c r="X559" i="3"/>
  <c r="J745" i="3" l="1"/>
  <c r="M746" i="3"/>
  <c r="N746" i="3"/>
  <c r="P745" i="3"/>
  <c r="I746" i="3" s="1"/>
  <c r="K746" i="3" s="1"/>
  <c r="Y560" i="3"/>
  <c r="L746" i="3"/>
  <c r="O746" i="3"/>
  <c r="AC559" i="3"/>
  <c r="V560" i="3" s="1"/>
  <c r="Z560" i="3" s="1"/>
  <c r="AA560" i="3"/>
  <c r="C31" i="3"/>
  <c r="J746" i="3" l="1"/>
  <c r="L747" i="3"/>
  <c r="M747" i="3"/>
  <c r="P746" i="3"/>
  <c r="I747" i="3" s="1"/>
  <c r="K747" i="3" s="1"/>
  <c r="N747" i="3"/>
  <c r="O747" i="3"/>
  <c r="J747" i="3"/>
  <c r="AB560" i="3"/>
  <c r="W560" i="3"/>
  <c r="X560" i="3"/>
  <c r="L748" i="3" l="1"/>
  <c r="P747" i="3"/>
  <c r="I748" i="3" s="1"/>
  <c r="O748" i="3" s="1"/>
  <c r="M748" i="3"/>
  <c r="AA561" i="3"/>
  <c r="N748" i="3"/>
  <c r="Y561" i="3"/>
  <c r="J748" i="3"/>
  <c r="AC560" i="3"/>
  <c r="V561" i="3" s="1"/>
  <c r="K748" i="3" l="1"/>
  <c r="M749" i="3" s="1"/>
  <c r="Z561" i="3"/>
  <c r="W561" i="3"/>
  <c r="X561" i="3"/>
  <c r="AB561" i="3"/>
  <c r="P748" i="3"/>
  <c r="I749" i="3" s="1"/>
  <c r="L749" i="3"/>
  <c r="N749" i="3" l="1"/>
  <c r="K749" i="3"/>
  <c r="J749" i="3"/>
  <c r="O749" i="3"/>
  <c r="L750" i="3" s="1"/>
  <c r="AA562" i="3"/>
  <c r="Y562" i="3"/>
  <c r="AC561" i="3"/>
  <c r="V562" i="3" s="1"/>
  <c r="M750" i="3" l="1"/>
  <c r="P749" i="3"/>
  <c r="I750" i="3" s="1"/>
  <c r="X562" i="3"/>
  <c r="Z562" i="3"/>
  <c r="AB562" i="3"/>
  <c r="Y563" i="3" s="1"/>
  <c r="W562" i="3"/>
  <c r="AC562" i="3" l="1"/>
  <c r="V563" i="3" s="1"/>
  <c r="X563" i="3" s="1"/>
  <c r="AA563" i="3"/>
  <c r="Z563" i="3"/>
  <c r="AB563" i="3"/>
  <c r="N750" i="3"/>
  <c r="J750" i="3"/>
  <c r="K750" i="3"/>
  <c r="O750" i="3"/>
  <c r="W563" i="3" l="1"/>
  <c r="Y564" i="3"/>
  <c r="P750" i="3"/>
  <c r="I751" i="3" s="1"/>
  <c r="K751" i="3" s="1"/>
  <c r="AA564" i="3"/>
  <c r="AC563" i="3"/>
  <c r="V564" i="3" s="1"/>
  <c r="X564" i="3" s="1"/>
  <c r="M751" i="3"/>
  <c r="J751" i="3"/>
  <c r="O751" i="3"/>
  <c r="L751" i="3"/>
  <c r="N751" i="3"/>
  <c r="AG375" i="3"/>
  <c r="W564" i="3" l="1"/>
  <c r="AB564" i="3"/>
  <c r="AA565" i="3" s="1"/>
  <c r="L752" i="3"/>
  <c r="Z564" i="3"/>
  <c r="AC564" i="3" s="1"/>
  <c r="V565" i="3" s="1"/>
  <c r="P751" i="3"/>
  <c r="I752" i="3" s="1"/>
  <c r="K752" i="3" s="1"/>
  <c r="M752" i="3"/>
  <c r="N752" i="3"/>
  <c r="O752" i="3" l="1"/>
  <c r="L753" i="3"/>
  <c r="J752" i="3"/>
  <c r="Y565" i="3"/>
  <c r="P752" i="3"/>
  <c r="I753" i="3" s="1"/>
  <c r="K753" i="3" s="1"/>
  <c r="N753" i="3"/>
  <c r="M753" i="3"/>
  <c r="W565" i="3"/>
  <c r="X565" i="3"/>
  <c r="Z565" i="3"/>
  <c r="AB565" i="3"/>
  <c r="O753" i="3" l="1"/>
  <c r="N754" i="3" s="1"/>
  <c r="J753" i="3"/>
  <c r="AC565" i="3"/>
  <c r="V566" i="3" s="1"/>
  <c r="P753" i="3"/>
  <c r="I754" i="3" s="1"/>
  <c r="M754" i="3" s="1"/>
  <c r="Y566" i="3"/>
  <c r="X566" i="3"/>
  <c r="AB566" i="3"/>
  <c r="AA567" i="3" s="1"/>
  <c r="W566" i="3"/>
  <c r="AA566" i="3"/>
  <c r="O754" i="3" l="1"/>
  <c r="L754" i="3"/>
  <c r="K754" i="3"/>
  <c r="J754" i="3"/>
  <c r="Z566" i="3"/>
  <c r="AC566" i="3" s="1"/>
  <c r="V567" i="3" s="1"/>
  <c r="Y567" i="3"/>
  <c r="P754" i="3"/>
  <c r="I755" i="3" s="1"/>
  <c r="M755" i="3" s="1"/>
  <c r="AB567" i="3" l="1"/>
  <c r="W567" i="3"/>
  <c r="X567" i="3"/>
  <c r="Z567" i="3"/>
  <c r="N755" i="3"/>
  <c r="L755" i="3"/>
  <c r="J755" i="3"/>
  <c r="K755" i="3"/>
  <c r="O755" i="3"/>
  <c r="AC567" i="3" l="1"/>
  <c r="V568" i="3" s="1"/>
  <c r="Y568" i="3"/>
  <c r="Z568" i="3"/>
  <c r="W568" i="3"/>
  <c r="X568" i="3"/>
  <c r="AB568" i="3"/>
  <c r="Y569" i="3" s="1"/>
  <c r="AA568" i="3"/>
  <c r="P755" i="3"/>
  <c r="I756" i="3" s="1"/>
  <c r="M756" i="3" s="1"/>
  <c r="L756" i="3"/>
  <c r="N756" i="3"/>
  <c r="O756" i="3" l="1"/>
  <c r="AC568" i="3"/>
  <c r="V569" i="3" s="1"/>
  <c r="AB569" i="3" s="1"/>
  <c r="AA569" i="3"/>
  <c r="J756" i="3"/>
  <c r="K756" i="3"/>
  <c r="M757" i="3"/>
  <c r="W569" i="3" l="1"/>
  <c r="X569" i="3"/>
  <c r="Z569" i="3"/>
  <c r="P756" i="3"/>
  <c r="I757" i="3" s="1"/>
  <c r="O757" i="3" s="1"/>
  <c r="L757" i="3"/>
  <c r="N757" i="3"/>
  <c r="K757" i="3" l="1"/>
  <c r="J757" i="3"/>
  <c r="AA570" i="3"/>
  <c r="AC569" i="3"/>
  <c r="V570" i="3" s="1"/>
  <c r="Y570" i="3"/>
  <c r="P757" i="3"/>
  <c r="I758" i="3" s="1"/>
  <c r="AB570" i="3" l="1"/>
  <c r="X570" i="3"/>
  <c r="AA571" i="3"/>
  <c r="W570" i="3"/>
  <c r="Z570" i="3"/>
  <c r="K758" i="3"/>
  <c r="J758" i="3"/>
  <c r="O758" i="3"/>
  <c r="M758" i="3"/>
  <c r="L758" i="3"/>
  <c r="N758" i="3"/>
  <c r="AC570" i="3" l="1"/>
  <c r="V571" i="3" s="1"/>
  <c r="Y571" i="3"/>
  <c r="P758" i="3"/>
  <c r="I759" i="3" s="1"/>
  <c r="J759" i="3" s="1"/>
  <c r="L759" i="3"/>
  <c r="M759" i="3"/>
  <c r="N759" i="3"/>
  <c r="X571" i="3" l="1"/>
  <c r="Z571" i="3"/>
  <c r="AB571" i="3"/>
  <c r="AA572" i="3" s="1"/>
  <c r="W571" i="3"/>
  <c r="O759" i="3"/>
  <c r="K759" i="3"/>
  <c r="N760" i="3" l="1"/>
  <c r="Y572" i="3"/>
  <c r="AC571" i="3"/>
  <c r="V572" i="3" s="1"/>
  <c r="P759" i="3"/>
  <c r="I760" i="3" s="1"/>
  <c r="K760" i="3" s="1"/>
  <c r="AB572" i="3"/>
  <c r="Z572" i="3"/>
  <c r="W572" i="3"/>
  <c r="X572" i="3"/>
  <c r="AA573" i="3" s="1"/>
  <c r="M760" i="3"/>
  <c r="L760" i="3"/>
  <c r="O760" i="3" l="1"/>
  <c r="Y573" i="3"/>
  <c r="J760" i="3"/>
  <c r="P760" i="3" s="1"/>
  <c r="I761" i="3" s="1"/>
  <c r="K761" i="3" s="1"/>
  <c r="AC572" i="3"/>
  <c r="V573" i="3" s="1"/>
  <c r="W573" i="3" s="1"/>
  <c r="AB573" i="3"/>
  <c r="Z573" i="3"/>
  <c r="L761" i="3"/>
  <c r="M761" i="3"/>
  <c r="N761" i="3"/>
  <c r="X573" i="3" l="1"/>
  <c r="AC573" i="3"/>
  <c r="V574" i="3" s="1"/>
  <c r="Y574" i="3"/>
  <c r="AB574" i="3"/>
  <c r="X574" i="3"/>
  <c r="W574" i="3"/>
  <c r="Z574" i="3"/>
  <c r="AC574" i="3" s="1"/>
  <c r="V575" i="3" s="1"/>
  <c r="O761" i="3"/>
  <c r="N762" i="3" s="1"/>
  <c r="J761" i="3"/>
  <c r="AA574" i="3"/>
  <c r="AA575" i="3" l="1"/>
  <c r="X575" i="3"/>
  <c r="Z575" i="3"/>
  <c r="W575" i="3"/>
  <c r="AB575" i="3"/>
  <c r="AA576" i="3" s="1"/>
  <c r="M762" i="3"/>
  <c r="P761" i="3"/>
  <c r="I762" i="3" s="1"/>
  <c r="J762" i="3" s="1"/>
  <c r="Y575" i="3"/>
  <c r="L762" i="3"/>
  <c r="AC575" i="3" l="1"/>
  <c r="V576" i="3" s="1"/>
  <c r="O762" i="3"/>
  <c r="K762" i="3"/>
  <c r="Y576" i="3"/>
  <c r="Z576" i="3"/>
  <c r="W576" i="3"/>
  <c r="AB576" i="3"/>
  <c r="X576" i="3"/>
  <c r="L763" i="3" l="1"/>
  <c r="N763" i="3"/>
  <c r="M763" i="3"/>
  <c r="P762" i="3"/>
  <c r="I763" i="3" s="1"/>
  <c r="O763" i="3" s="1"/>
  <c r="AC576" i="3"/>
  <c r="V577" i="3" s="1"/>
  <c r="AA577" i="3"/>
  <c r="Y577" i="3"/>
  <c r="K763" i="3"/>
  <c r="L764" i="3" s="1"/>
  <c r="J763" i="3" l="1"/>
  <c r="W577" i="3"/>
  <c r="X577" i="3"/>
  <c r="Z577" i="3"/>
  <c r="AB577" i="3"/>
  <c r="P763" i="3"/>
  <c r="I764" i="3" s="1"/>
  <c r="O764" i="3" s="1"/>
  <c r="M764" i="3"/>
  <c r="N764" i="3"/>
  <c r="AA578" i="3" l="1"/>
  <c r="Y578" i="3"/>
  <c r="AC577" i="3"/>
  <c r="V578" i="3" s="1"/>
  <c r="J764" i="3"/>
  <c r="K764" i="3"/>
  <c r="L765" i="3" s="1"/>
  <c r="X578" i="3" l="1"/>
  <c r="W578" i="3"/>
  <c r="AB578" i="3"/>
  <c r="AA579" i="3" s="1"/>
  <c r="Z578" i="3"/>
  <c r="AC578" i="3"/>
  <c r="V579" i="3" s="1"/>
  <c r="P764" i="3"/>
  <c r="I765" i="3" s="1"/>
  <c r="K765" i="3" s="1"/>
  <c r="N765" i="3"/>
  <c r="M765" i="3"/>
  <c r="Y579" i="3" l="1"/>
  <c r="X579" i="3"/>
  <c r="W579" i="3"/>
  <c r="AB579" i="3"/>
  <c r="Y580" i="3" s="1"/>
  <c r="Z579" i="3"/>
  <c r="AC579" i="3" s="1"/>
  <c r="V580" i="3" s="1"/>
  <c r="O765" i="3"/>
  <c r="N766" i="3" s="1"/>
  <c r="J765" i="3"/>
  <c r="AA580" i="3" l="1"/>
  <c r="P765" i="3"/>
  <c r="I766" i="3" s="1"/>
  <c r="M766" i="3"/>
  <c r="Z580" i="3"/>
  <c r="AB580" i="3"/>
  <c r="X580" i="3"/>
  <c r="W580" i="3"/>
  <c r="L766" i="3"/>
  <c r="AA581" i="3" l="1"/>
  <c r="AC580" i="3"/>
  <c r="V581" i="3" s="1"/>
  <c r="Y581" i="3"/>
  <c r="Z581" i="3"/>
  <c r="X581" i="3"/>
  <c r="W581" i="3"/>
  <c r="AB581" i="3"/>
  <c r="Y582" i="3" s="1"/>
  <c r="K766" i="3"/>
  <c r="J766" i="3"/>
  <c r="O766" i="3"/>
  <c r="AA582" i="3" l="1"/>
  <c r="P766" i="3"/>
  <c r="I767" i="3" s="1"/>
  <c r="AC581" i="3"/>
  <c r="V582" i="3" s="1"/>
  <c r="N767" i="3"/>
  <c r="M767" i="3"/>
  <c r="L767" i="3"/>
  <c r="W582" i="3" l="1"/>
  <c r="X582" i="3"/>
  <c r="AB582" i="3"/>
  <c r="AA583" i="3" s="1"/>
  <c r="Z582" i="3"/>
  <c r="Y583" i="3"/>
  <c r="J767" i="3"/>
  <c r="K767" i="3"/>
  <c r="O767" i="3"/>
  <c r="AC582" i="3" l="1"/>
  <c r="V583" i="3" s="1"/>
  <c r="P767" i="3"/>
  <c r="I768" i="3" s="1"/>
  <c r="K768" i="3" s="1"/>
  <c r="N768" i="3"/>
  <c r="O768" i="3"/>
  <c r="M768" i="3"/>
  <c r="X583" i="3"/>
  <c r="W583" i="3"/>
  <c r="Z583" i="3"/>
  <c r="AB583" i="3"/>
  <c r="L768" i="3"/>
  <c r="J768" i="3" l="1"/>
  <c r="N769" i="3"/>
  <c r="AC583" i="3"/>
  <c r="V584" i="3" s="1"/>
  <c r="Z584" i="3" s="1"/>
  <c r="M769" i="3"/>
  <c r="P768" i="3"/>
  <c r="I769" i="3" s="1"/>
  <c r="K769" i="3" s="1"/>
  <c r="L769" i="3"/>
  <c r="AA584" i="3"/>
  <c r="Y584" i="3"/>
  <c r="AB584" i="3" l="1"/>
  <c r="X584" i="3"/>
  <c r="W584" i="3"/>
  <c r="Y585" i="3"/>
  <c r="AA585" i="3"/>
  <c r="J769" i="3"/>
  <c r="O769" i="3"/>
  <c r="M770" i="3" s="1"/>
  <c r="AC584" i="3"/>
  <c r="V585" i="3" s="1"/>
  <c r="Z585" i="3" s="1"/>
  <c r="N770" i="3" l="1"/>
  <c r="L770" i="3"/>
  <c r="P769" i="3"/>
  <c r="I770" i="3" s="1"/>
  <c r="W585" i="3"/>
  <c r="X585" i="3"/>
  <c r="AB585" i="3"/>
  <c r="AA586" i="3" s="1"/>
  <c r="O770" i="3" l="1"/>
  <c r="J770" i="3"/>
  <c r="K770" i="3"/>
  <c r="Y586" i="3"/>
  <c r="AC585" i="3"/>
  <c r="V586" i="3" s="1"/>
  <c r="P770" i="3" l="1"/>
  <c r="I771" i="3" s="1"/>
  <c r="K771" i="3" s="1"/>
  <c r="O771" i="3"/>
  <c r="M771" i="3"/>
  <c r="L771" i="3"/>
  <c r="N771" i="3"/>
  <c r="AB586" i="3"/>
  <c r="W586" i="3"/>
  <c r="X586" i="3"/>
  <c r="Z586" i="3"/>
  <c r="J771" i="3" l="1"/>
  <c r="AC586" i="3"/>
  <c r="V587" i="3" s="1"/>
  <c r="W587" i="3" s="1"/>
  <c r="L772" i="3"/>
  <c r="N772" i="3"/>
  <c r="M772" i="3"/>
  <c r="P771" i="3"/>
  <c r="I772" i="3" s="1"/>
  <c r="X587" i="3"/>
  <c r="Z587" i="3"/>
  <c r="AA587" i="3"/>
  <c r="Y587" i="3"/>
  <c r="AB587" i="3" l="1"/>
  <c r="AA588" i="3" s="1"/>
  <c r="J772" i="3"/>
  <c r="K772" i="3"/>
  <c r="O772" i="3"/>
  <c r="M773" i="3" s="1"/>
  <c r="AC587" i="3"/>
  <c r="V588" i="3" s="1"/>
  <c r="X588" i="3" s="1"/>
  <c r="Y588" i="3" l="1"/>
  <c r="L773" i="3"/>
  <c r="Z588" i="3"/>
  <c r="AB588" i="3"/>
  <c r="AA589" i="3" s="1"/>
  <c r="W588" i="3"/>
  <c r="N773" i="3"/>
  <c r="P772" i="3"/>
  <c r="I773" i="3" s="1"/>
  <c r="Y589" i="3"/>
  <c r="AC588" i="3" l="1"/>
  <c r="V589" i="3" s="1"/>
  <c r="W589" i="3" s="1"/>
  <c r="K773" i="3"/>
  <c r="J773" i="3"/>
  <c r="O773" i="3"/>
  <c r="M774" i="3" s="1"/>
  <c r="X589" i="3"/>
  <c r="AB589" i="3"/>
  <c r="Y590" i="3" s="1"/>
  <c r="Z589" i="3"/>
  <c r="L774" i="3" l="1"/>
  <c r="P773" i="3"/>
  <c r="I774" i="3" s="1"/>
  <c r="N774" i="3"/>
  <c r="J774" i="3"/>
  <c r="K774" i="3"/>
  <c r="O774" i="3"/>
  <c r="N775" i="3" s="1"/>
  <c r="AC589" i="3"/>
  <c r="V590" i="3" s="1"/>
  <c r="W590" i="3" s="1"/>
  <c r="AA590" i="3"/>
  <c r="L775" i="3" l="1"/>
  <c r="AB590" i="3"/>
  <c r="P774" i="3"/>
  <c r="I775" i="3" s="1"/>
  <c r="J775" i="3" s="1"/>
  <c r="Z590" i="3"/>
  <c r="M775" i="3"/>
  <c r="K775" i="3"/>
  <c r="O775" i="3"/>
  <c r="M776" i="3" s="1"/>
  <c r="X590" i="3"/>
  <c r="AA591" i="3" l="1"/>
  <c r="Y591" i="3"/>
  <c r="AC590" i="3"/>
  <c r="V591" i="3" s="1"/>
  <c r="Z591" i="3" s="1"/>
  <c r="P775" i="3"/>
  <c r="I776" i="3" s="1"/>
  <c r="K776" i="3" s="1"/>
  <c r="O776" i="3"/>
  <c r="N776" i="3"/>
  <c r="L776" i="3"/>
  <c r="J776" i="3" l="1"/>
  <c r="W591" i="3"/>
  <c r="X591" i="3"/>
  <c r="AB591" i="3"/>
  <c r="Y592" i="3" s="1"/>
  <c r="N777" i="3"/>
  <c r="M777" i="3"/>
  <c r="P776" i="3"/>
  <c r="I777" i="3" s="1"/>
  <c r="O777" i="3" s="1"/>
  <c r="L777" i="3"/>
  <c r="AA592" i="3" l="1"/>
  <c r="J777" i="3"/>
  <c r="AC591" i="3"/>
  <c r="V592" i="3" s="1"/>
  <c r="AB592" i="3" s="1"/>
  <c r="K777" i="3"/>
  <c r="N778" i="3" s="1"/>
  <c r="P777" i="3"/>
  <c r="I778" i="3" s="1"/>
  <c r="K778" i="3" s="1"/>
  <c r="L778" i="3"/>
  <c r="M778" i="3"/>
  <c r="O778" i="3"/>
  <c r="W592" i="3"/>
  <c r="X592" i="3"/>
  <c r="Z592" i="3" l="1"/>
  <c r="J778" i="3"/>
  <c r="P778" i="3"/>
  <c r="I779" i="3" s="1"/>
  <c r="J779" i="3" s="1"/>
  <c r="O779" i="3"/>
  <c r="N779" i="3"/>
  <c r="L779" i="3"/>
  <c r="M779" i="3"/>
  <c r="K779" i="3"/>
  <c r="P779" i="3" s="1"/>
  <c r="I780" i="3" s="1"/>
  <c r="K780" i="3" s="1"/>
  <c r="AC592" i="3"/>
  <c r="V593" i="3" s="1"/>
  <c r="Y593" i="3"/>
  <c r="AA593" i="3"/>
  <c r="O780" i="3" l="1"/>
  <c r="N781" i="3" s="1"/>
  <c r="M780" i="3"/>
  <c r="L780" i="3"/>
  <c r="M781" i="3"/>
  <c r="L781" i="3"/>
  <c r="J780" i="3"/>
  <c r="N780" i="3"/>
  <c r="Z593" i="3"/>
  <c r="W593" i="3"/>
  <c r="X593" i="3"/>
  <c r="AB593" i="3"/>
  <c r="AA594" i="3" s="1"/>
  <c r="P780" i="3" l="1"/>
  <c r="I781" i="3" s="1"/>
  <c r="Y594" i="3"/>
  <c r="AC593" i="3"/>
  <c r="V594" i="3" s="1"/>
  <c r="Z594" i="3" s="1"/>
  <c r="K781" i="3" l="1"/>
  <c r="J781" i="3"/>
  <c r="O781" i="3"/>
  <c r="W594" i="3"/>
  <c r="AB594" i="3"/>
  <c r="X594" i="3"/>
  <c r="AC594" i="3" l="1"/>
  <c r="V595" i="3" s="1"/>
  <c r="P781" i="3"/>
  <c r="I782" i="3" s="1"/>
  <c r="N782" i="3"/>
  <c r="L782" i="3"/>
  <c r="M782" i="3"/>
  <c r="AB595" i="3"/>
  <c r="X595" i="3"/>
  <c r="W595" i="3"/>
  <c r="Z595" i="3"/>
  <c r="AA595" i="3"/>
  <c r="Y595" i="3"/>
  <c r="AC595" i="3" l="1"/>
  <c r="V596" i="3" s="1"/>
  <c r="X596" i="3" s="1"/>
  <c r="Y596" i="3"/>
  <c r="K782" i="3"/>
  <c r="J782" i="3"/>
  <c r="O782" i="3"/>
  <c r="P782" i="3" s="1"/>
  <c r="I783" i="3" s="1"/>
  <c r="W596" i="3"/>
  <c r="AB596" i="3"/>
  <c r="AA597" i="3" s="1"/>
  <c r="AA596" i="3"/>
  <c r="Z596" i="3"/>
  <c r="AC596" i="3" l="1"/>
  <c r="V597" i="3" s="1"/>
  <c r="O783" i="3"/>
  <c r="K783" i="3"/>
  <c r="J783" i="3"/>
  <c r="L783" i="3"/>
  <c r="M783" i="3"/>
  <c r="N783" i="3"/>
  <c r="Y597" i="3"/>
  <c r="X597" i="3"/>
  <c r="AB597" i="3"/>
  <c r="Y598" i="3" s="1"/>
  <c r="W597" i="3"/>
  <c r="Z597" i="3"/>
  <c r="L784" i="3"/>
  <c r="N784" i="3"/>
  <c r="P783" i="3" l="1"/>
  <c r="I784" i="3" s="1"/>
  <c r="M784" i="3"/>
  <c r="K784" i="3"/>
  <c r="O784" i="3"/>
  <c r="J784" i="3"/>
  <c r="AA598" i="3"/>
  <c r="AC597" i="3"/>
  <c r="V598" i="3" s="1"/>
  <c r="AH16" i="3"/>
  <c r="AH17" i="3"/>
  <c r="AH15" i="3"/>
  <c r="AH14" i="3"/>
  <c r="AH3" i="3"/>
  <c r="AH4" i="3"/>
  <c r="AH11" i="3"/>
  <c r="AH12" i="3"/>
  <c r="AH13" i="3" s="1"/>
  <c r="P784" i="3" l="1"/>
  <c r="C28" i="3" s="1"/>
  <c r="AB598" i="3"/>
  <c r="W598" i="3"/>
  <c r="X598" i="3"/>
  <c r="Z598" i="3"/>
  <c r="AH19" i="3"/>
  <c r="AH20" i="3" s="1"/>
  <c r="AH18" i="3"/>
  <c r="AC598" i="3" l="1"/>
  <c r="V599" i="3" s="1"/>
  <c r="AA599" i="3"/>
  <c r="Y599" i="3"/>
  <c r="W599" i="3" l="1"/>
  <c r="Z599" i="3"/>
  <c r="AB599" i="3"/>
  <c r="X599" i="3"/>
  <c r="AC599" i="3" l="1"/>
  <c r="V600" i="3" s="1"/>
  <c r="W600" i="3" s="1"/>
  <c r="AB600" i="3"/>
  <c r="X600" i="3"/>
  <c r="AA600" i="3"/>
  <c r="Y600" i="3"/>
  <c r="Z600" i="3" l="1"/>
  <c r="AC600" i="3" s="1"/>
  <c r="V601" i="3" s="1"/>
  <c r="AA601" i="3"/>
  <c r="Y601" i="3"/>
  <c r="X601" i="3" l="1"/>
  <c r="AB601" i="3"/>
  <c r="AA602" i="3" s="1"/>
  <c r="W601" i="3"/>
  <c r="Z601" i="3"/>
  <c r="AC601" i="3" s="1"/>
  <c r="V602" i="3" s="1"/>
  <c r="Y602" i="3"/>
  <c r="X602" i="3" l="1"/>
  <c r="AB602" i="3"/>
  <c r="Y603" i="3" s="1"/>
  <c r="Z602" i="3"/>
  <c r="W602" i="3"/>
  <c r="AA603" i="3"/>
  <c r="AC602" i="3" l="1"/>
  <c r="V603" i="3" s="1"/>
  <c r="AB603" i="3" s="1"/>
  <c r="Y604" i="3" s="1"/>
  <c r="W603" i="3"/>
  <c r="X603" i="3"/>
  <c r="Z603" i="3"/>
  <c r="AC603" i="3" l="1"/>
  <c r="V604" i="3" s="1"/>
  <c r="AB604" i="3" s="1"/>
  <c r="AA604" i="3"/>
  <c r="W604" i="3"/>
  <c r="X604" i="3"/>
  <c r="Z604" i="3"/>
  <c r="Y605" i="3" l="1"/>
  <c r="AC604" i="3"/>
  <c r="V605" i="3" s="1"/>
  <c r="AA605" i="3"/>
  <c r="Z605" i="3" l="1"/>
  <c r="X605" i="3"/>
  <c r="W605" i="3"/>
  <c r="AB605" i="3"/>
  <c r="AC605" i="3" l="1"/>
  <c r="V606" i="3" s="1"/>
  <c r="Y606" i="3"/>
  <c r="AA606" i="3"/>
  <c r="AB606" i="3" l="1"/>
  <c r="W606" i="3"/>
  <c r="X606" i="3"/>
  <c r="Z606" i="3"/>
  <c r="AC606" i="3" s="1"/>
  <c r="V607" i="3" s="1"/>
  <c r="Y607" i="3"/>
  <c r="AA607" i="3" l="1"/>
  <c r="W607" i="3"/>
  <c r="AB607" i="3"/>
  <c r="AA608" i="3" s="1"/>
  <c r="X607" i="3"/>
  <c r="Z607" i="3"/>
  <c r="AC607" i="3" s="1"/>
  <c r="V608" i="3" s="1"/>
  <c r="Y608" i="3" l="1"/>
  <c r="W608" i="3"/>
  <c r="Z608" i="3"/>
  <c r="AB608" i="3"/>
  <c r="X608" i="3"/>
  <c r="Y609" i="3" l="1"/>
  <c r="AC608" i="3"/>
  <c r="V609" i="3" s="1"/>
  <c r="W609" i="3" s="1"/>
  <c r="AA609" i="3"/>
  <c r="Z609" i="3"/>
  <c r="AB609" i="3"/>
  <c r="X609" i="3"/>
  <c r="AC609" i="3" l="1"/>
  <c r="V610" i="3" s="1"/>
  <c r="W610" i="3" s="1"/>
  <c r="AA610" i="3"/>
  <c r="Y610" i="3"/>
  <c r="AB610" i="3"/>
  <c r="X610" i="3"/>
  <c r="Z610" i="3"/>
  <c r="AC610" i="3" l="1"/>
  <c r="V611" i="3" s="1"/>
  <c r="AA611" i="3" s="1"/>
  <c r="W611" i="3" l="1"/>
  <c r="AB611" i="3"/>
  <c r="Z611" i="3"/>
  <c r="X611" i="3"/>
  <c r="Y611" i="3"/>
  <c r="AC611" i="3" l="1"/>
  <c r="V612" i="3" s="1"/>
  <c r="W612" i="3" s="1"/>
  <c r="Y612" i="3"/>
  <c r="AA612" i="3"/>
  <c r="AB612" i="3" l="1"/>
  <c r="Z612" i="3"/>
  <c r="X612" i="3"/>
  <c r="AC612" i="3" l="1"/>
  <c r="V613" i="3" s="1"/>
  <c r="AA613" i="3" s="1"/>
  <c r="Z613" i="3" l="1"/>
  <c r="AB613" i="3"/>
  <c r="W613" i="3"/>
  <c r="X613" i="3"/>
  <c r="Y613" i="3"/>
  <c r="AC613" i="3" l="1"/>
  <c r="V614" i="3" s="1"/>
  <c r="Y614" i="3" s="1"/>
  <c r="AA614" i="3"/>
  <c r="Z614" i="3"/>
  <c r="AB614" i="3"/>
  <c r="W614" i="3"/>
  <c r="X614" i="3" l="1"/>
  <c r="AC614" i="3" s="1"/>
  <c r="V615" i="3" s="1"/>
  <c r="AA615" i="3" l="1"/>
  <c r="X615" i="3"/>
  <c r="W615" i="3"/>
  <c r="AB615" i="3"/>
  <c r="Z615" i="3"/>
  <c r="Y615" i="3"/>
  <c r="AC615" i="3" l="1"/>
  <c r="V616" i="3" s="1"/>
  <c r="Z616" i="3" s="1"/>
  <c r="AA616" i="3"/>
  <c r="Y616" i="3" l="1"/>
  <c r="X616" i="3"/>
  <c r="AB616" i="3"/>
  <c r="W616" i="3"/>
  <c r="AC616" i="3" l="1"/>
  <c r="V617" i="3" s="1"/>
  <c r="W617" i="3" s="1"/>
  <c r="Y617" i="3"/>
  <c r="Z617" i="3"/>
  <c r="AA617" i="3"/>
  <c r="X617" i="3" l="1"/>
  <c r="AB617" i="3"/>
  <c r="AC617" i="3" s="1"/>
  <c r="V618" i="3" s="1"/>
  <c r="AA618" i="3" l="1"/>
  <c r="Y618" i="3"/>
  <c r="AB618" i="3"/>
  <c r="X618" i="3"/>
  <c r="W618" i="3"/>
  <c r="Z618" i="3"/>
  <c r="AC618" i="3" s="1"/>
  <c r="V619" i="3" s="1"/>
  <c r="W619" i="3" s="1"/>
  <c r="AB619" i="3" l="1"/>
  <c r="X619" i="3"/>
  <c r="AA619" i="3"/>
  <c r="Z619" i="3"/>
  <c r="Y619" i="3"/>
  <c r="AC619" i="3" l="1"/>
  <c r="V620" i="3" s="1"/>
  <c r="X620" i="3" s="1"/>
  <c r="AA620" i="3" l="1"/>
  <c r="Y620" i="3"/>
  <c r="W620" i="3"/>
  <c r="AB620" i="3"/>
  <c r="Z620" i="3"/>
  <c r="AC620" i="3" l="1"/>
  <c r="V621" i="3" s="1"/>
  <c r="X621" i="3" s="1"/>
  <c r="AA621" i="3"/>
  <c r="Y621" i="3"/>
  <c r="Z621" i="3" l="1"/>
  <c r="W621" i="3"/>
  <c r="AB621" i="3"/>
  <c r="AC621" i="3" s="1"/>
  <c r="V622" i="3" s="1"/>
  <c r="AA622" i="3" s="1"/>
  <c r="Z622" i="3" l="1"/>
  <c r="AB622" i="3"/>
  <c r="W622" i="3"/>
  <c r="X622" i="3"/>
  <c r="Y622" i="3"/>
  <c r="AC622" i="3" l="1"/>
  <c r="V623" i="3" s="1"/>
  <c r="W623" i="3" s="1"/>
  <c r="X623" i="3" l="1"/>
  <c r="AB623" i="3"/>
  <c r="AA623" i="3"/>
  <c r="Z623" i="3"/>
  <c r="Y623" i="3"/>
  <c r="AC623" i="3" l="1"/>
  <c r="V624" i="3" s="1"/>
  <c r="X624" i="3" s="1"/>
  <c r="AB624" i="3" l="1"/>
  <c r="Y624" i="3"/>
  <c r="AA624" i="3"/>
  <c r="Z624" i="3"/>
  <c r="W624" i="3"/>
  <c r="AC624" i="3" l="1"/>
  <c r="V625" i="3" s="1"/>
  <c r="W625" i="3" s="1"/>
  <c r="Y625" i="3" l="1"/>
  <c r="AA625" i="3"/>
  <c r="X625" i="3"/>
  <c r="AB625" i="3"/>
  <c r="Z625" i="3"/>
  <c r="AC625" i="3" l="1"/>
  <c r="V626" i="3" s="1"/>
  <c r="W626" i="3" s="1"/>
  <c r="Z626" i="3" l="1"/>
  <c r="X626" i="3"/>
  <c r="AB626" i="3"/>
  <c r="Y626" i="3"/>
  <c r="AA626" i="3"/>
  <c r="AC626" i="3" l="1"/>
  <c r="V627" i="3" s="1"/>
  <c r="W627" i="3" s="1"/>
  <c r="Y627" i="3"/>
  <c r="AA627" i="3"/>
  <c r="AB627" i="3"/>
  <c r="Z627" i="3" l="1"/>
  <c r="X627" i="3"/>
  <c r="Y628" i="3" s="1"/>
  <c r="AA628" i="3"/>
  <c r="AC627" i="3" l="1"/>
  <c r="V628" i="3" s="1"/>
  <c r="X628" i="3" s="1"/>
  <c r="W628" i="3" l="1"/>
  <c r="Z628" i="3"/>
  <c r="AB628" i="3"/>
  <c r="Y629" i="3" s="1"/>
  <c r="AC628" i="3" l="1"/>
  <c r="V629" i="3" s="1"/>
  <c r="W629" i="3" s="1"/>
  <c r="AA629" i="3"/>
  <c r="X629" i="3"/>
  <c r="AB629" i="3"/>
  <c r="Y630" i="3" s="1"/>
  <c r="Z629" i="3"/>
  <c r="AA630" i="3" l="1"/>
  <c r="AC629" i="3"/>
  <c r="V630" i="3" s="1"/>
  <c r="W630" i="3" s="1"/>
  <c r="AB630" i="3"/>
  <c r="X630" i="3" l="1"/>
  <c r="AA631" i="3" s="1"/>
  <c r="Z630" i="3"/>
  <c r="Y631" i="3"/>
  <c r="AC630" i="3" l="1"/>
  <c r="V631" i="3" s="1"/>
  <c r="AB631" i="3" l="1"/>
  <c r="W631" i="3"/>
  <c r="Z631" i="3"/>
  <c r="X631" i="3"/>
  <c r="AC631" i="3" l="1"/>
  <c r="V632" i="3" s="1"/>
  <c r="AA632" i="3"/>
  <c r="Y632" i="3"/>
  <c r="Z632" i="3" l="1"/>
  <c r="X632" i="3"/>
  <c r="AB632" i="3"/>
  <c r="W632" i="3"/>
  <c r="AC632" i="3" l="1"/>
  <c r="V633" i="3" s="1"/>
  <c r="Z633" i="3" s="1"/>
  <c r="Y633" i="3"/>
  <c r="AA633" i="3"/>
  <c r="W633" i="3" l="1"/>
  <c r="AB633" i="3"/>
  <c r="Y634" i="3" s="1"/>
  <c r="X633" i="3"/>
  <c r="AC633" i="3" l="1"/>
  <c r="V634" i="3" s="1"/>
  <c r="AA634" i="3"/>
  <c r="Z634" i="3"/>
  <c r="W634" i="3"/>
  <c r="AB634" i="3"/>
  <c r="X634" i="3"/>
  <c r="AA635" i="3" l="1"/>
  <c r="Y635" i="3"/>
  <c r="AC634" i="3"/>
  <c r="V635" i="3" s="1"/>
  <c r="X635" i="3" s="1"/>
  <c r="Z635" i="3"/>
  <c r="AB635" i="3"/>
  <c r="W635" i="3" l="1"/>
  <c r="AC635" i="3"/>
  <c r="V636" i="3" s="1"/>
  <c r="X636" i="3" s="1"/>
  <c r="Y636" i="3"/>
  <c r="Z636" i="3"/>
  <c r="AB636" i="3"/>
  <c r="W636" i="3"/>
  <c r="AA636" i="3"/>
  <c r="Y637" i="3" l="1"/>
  <c r="AC636" i="3"/>
  <c r="V637" i="3" s="1"/>
  <c r="W637" i="3" s="1"/>
  <c r="AB637" i="3"/>
  <c r="Z637" i="3"/>
  <c r="AA637" i="3"/>
  <c r="X637" i="3" l="1"/>
  <c r="AC637" i="3"/>
  <c r="V638" i="3" s="1"/>
  <c r="Y638" i="3" s="1"/>
  <c r="AB638" i="3"/>
  <c r="AA638" i="3"/>
  <c r="W638" i="3"/>
  <c r="Z638" i="3" l="1"/>
  <c r="X638" i="3"/>
  <c r="AC638" i="3" s="1"/>
  <c r="V639" i="3" s="1"/>
  <c r="AB639" i="3" s="1"/>
  <c r="AA639" i="3"/>
  <c r="Y639" i="3" l="1"/>
  <c r="Z639" i="3"/>
  <c r="X639" i="3"/>
  <c r="W639" i="3"/>
  <c r="AC639" i="3" l="1"/>
  <c r="V640" i="3" s="1"/>
  <c r="AA640" i="3"/>
  <c r="AB640" i="3"/>
  <c r="Y640" i="3"/>
  <c r="Z640" i="3"/>
  <c r="X640" i="3"/>
  <c r="W640" i="3"/>
  <c r="AC640" i="3" l="1"/>
  <c r="V641" i="3" s="1"/>
  <c r="AA641" i="3" s="1"/>
  <c r="Y641" i="3"/>
  <c r="Z641" i="3" l="1"/>
  <c r="X641" i="3"/>
  <c r="W641" i="3"/>
  <c r="AB641" i="3"/>
  <c r="AC641" i="3" s="1"/>
  <c r="V642" i="3" s="1"/>
  <c r="Y642" i="3" l="1"/>
  <c r="AA642" i="3"/>
  <c r="AB642" i="3"/>
  <c r="Z642" i="3"/>
  <c r="X642" i="3"/>
  <c r="W642" i="3"/>
  <c r="AC642" i="3" l="1"/>
  <c r="V643" i="3" s="1"/>
  <c r="AB643" i="3" s="1"/>
  <c r="AA643" i="3"/>
  <c r="Y643" i="3"/>
  <c r="X643" i="3"/>
  <c r="W643" i="3"/>
  <c r="Z643" i="3" l="1"/>
  <c r="AC643" i="3" s="1"/>
  <c r="V644" i="3" s="1"/>
  <c r="Y644" i="3"/>
  <c r="AA644" i="3"/>
  <c r="Z644" i="3" l="1"/>
  <c r="AB644" i="3"/>
  <c r="W644" i="3"/>
  <c r="X644" i="3"/>
  <c r="AC644" i="3" l="1"/>
  <c r="V645" i="3" s="1"/>
  <c r="Y645" i="3" s="1"/>
  <c r="AA645" i="3"/>
  <c r="W645" i="3"/>
  <c r="AB645" i="3"/>
  <c r="Z645" i="3"/>
  <c r="X645" i="3"/>
  <c r="AC645" i="3" l="1"/>
  <c r="V646" i="3" s="1"/>
  <c r="Y646" i="3" s="1"/>
  <c r="Z646" i="3" l="1"/>
  <c r="X646" i="3"/>
  <c r="W646" i="3"/>
  <c r="AB646" i="3"/>
  <c r="AA646" i="3"/>
  <c r="AC646" i="3" l="1"/>
  <c r="V647" i="3" s="1"/>
  <c r="Z647" i="3" s="1"/>
  <c r="AA647" i="3"/>
  <c r="Y647" i="3"/>
  <c r="AB647" i="3" l="1"/>
  <c r="W647" i="3"/>
  <c r="X647" i="3"/>
  <c r="AC647" i="3" l="1"/>
  <c r="V648" i="3" s="1"/>
  <c r="X648" i="3" s="1"/>
  <c r="AA648" i="3"/>
  <c r="Y648" i="3"/>
  <c r="Z648" i="3" l="1"/>
  <c r="AB648" i="3"/>
  <c r="AA649" i="3" s="1"/>
  <c r="W648" i="3"/>
  <c r="AC648" i="3" l="1"/>
  <c r="V649" i="3" s="1"/>
  <c r="Y649" i="3" s="1"/>
  <c r="AB649" i="3" l="1"/>
  <c r="Z649" i="3"/>
  <c r="W649" i="3"/>
  <c r="X649" i="3"/>
  <c r="Y650" i="3"/>
  <c r="AC649" i="3" l="1"/>
  <c r="V650" i="3" s="1"/>
  <c r="AA650" i="3"/>
  <c r="AB650" i="3"/>
  <c r="Z650" i="3"/>
  <c r="W650" i="3"/>
  <c r="X650" i="3"/>
  <c r="Y651" i="3" s="1"/>
  <c r="AA651" i="3" l="1"/>
  <c r="AC650" i="3"/>
  <c r="V651" i="3" s="1"/>
  <c r="Z651" i="3" s="1"/>
  <c r="AB651" i="3"/>
  <c r="X651" i="3"/>
  <c r="W651" i="3"/>
  <c r="Y652" i="3" l="1"/>
  <c r="AA652" i="3"/>
  <c r="AC651" i="3"/>
  <c r="V652" i="3" s="1"/>
  <c r="W652" i="3" s="1"/>
  <c r="Z652" i="3" l="1"/>
  <c r="AB652" i="3"/>
  <c r="X652" i="3"/>
  <c r="AC652" i="3" l="1"/>
  <c r="V653" i="3" s="1"/>
  <c r="AA653" i="3"/>
  <c r="Y653" i="3"/>
  <c r="AB653" i="3"/>
  <c r="Z653" i="3"/>
  <c r="W653" i="3"/>
  <c r="X653" i="3"/>
  <c r="AC653" i="3" l="1"/>
  <c r="V654" i="3" s="1"/>
  <c r="X654" i="3" s="1"/>
  <c r="AA654" i="3"/>
  <c r="Y654" i="3"/>
  <c r="AB654" i="3"/>
  <c r="W654" i="3"/>
  <c r="Z654" i="3"/>
  <c r="AC654" i="3" l="1"/>
  <c r="V655" i="3" s="1"/>
  <c r="AA655" i="3" s="1"/>
  <c r="Y655" i="3"/>
  <c r="AB655" i="3"/>
  <c r="X655" i="3" l="1"/>
  <c r="W655" i="3"/>
  <c r="Z655" i="3"/>
  <c r="AA656" i="3"/>
  <c r="Y656" i="3"/>
  <c r="AC655" i="3" l="1"/>
  <c r="V656" i="3" s="1"/>
  <c r="X656" i="3" s="1"/>
  <c r="Z656" i="3" l="1"/>
  <c r="AB656" i="3"/>
  <c r="Y657" i="3" s="1"/>
  <c r="W656" i="3"/>
  <c r="AC656" i="3" l="1"/>
  <c r="V657" i="3" s="1"/>
  <c r="X657" i="3" s="1"/>
  <c r="AA657" i="3"/>
  <c r="Z657" i="3"/>
  <c r="AB657" i="3"/>
  <c r="W657" i="3"/>
  <c r="AA658" i="3" l="1"/>
  <c r="AC657" i="3"/>
  <c r="V658" i="3" s="1"/>
  <c r="W658" i="3" s="1"/>
  <c r="Y658" i="3"/>
  <c r="AB658" i="3"/>
  <c r="Z658" i="3"/>
  <c r="X658" i="3" l="1"/>
  <c r="Y659" i="3" s="1"/>
  <c r="AC658" i="3"/>
  <c r="V659" i="3" s="1"/>
  <c r="AA659" i="3" l="1"/>
  <c r="W659" i="3"/>
  <c r="Z659" i="3"/>
  <c r="X659" i="3"/>
  <c r="AB659" i="3"/>
  <c r="AA660" i="3" s="1"/>
  <c r="AC659" i="3" l="1"/>
  <c r="V660" i="3" s="1"/>
  <c r="Y660" i="3" l="1"/>
  <c r="X660" i="3"/>
  <c r="Z660" i="3"/>
  <c r="W660" i="3"/>
  <c r="AB660" i="3"/>
  <c r="AA661" i="3" s="1"/>
  <c r="AC660" i="3" l="1"/>
  <c r="V661" i="3" s="1"/>
  <c r="X661" i="3" s="1"/>
  <c r="Y661" i="3"/>
  <c r="AB661" i="3"/>
  <c r="Z661" i="3"/>
  <c r="W661" i="3"/>
  <c r="Y662" i="3" l="1"/>
  <c r="AA662" i="3"/>
  <c r="AC661" i="3"/>
  <c r="V662" i="3" s="1"/>
  <c r="X662" i="3" s="1"/>
  <c r="AB662" i="3" l="1"/>
  <c r="Y663" i="3" s="1"/>
  <c r="W662" i="3"/>
  <c r="Z662" i="3"/>
  <c r="AC662" i="3" s="1"/>
  <c r="V663" i="3" s="1"/>
  <c r="AA663" i="3"/>
  <c r="X663" i="3" l="1"/>
  <c r="W663" i="3"/>
  <c r="Z663" i="3"/>
  <c r="AB663" i="3"/>
  <c r="Y664" i="3" s="1"/>
  <c r="AC663" i="3" l="1"/>
  <c r="V664" i="3" s="1"/>
  <c r="W664" i="3" s="1"/>
  <c r="AA664" i="3"/>
  <c r="AB664" i="3"/>
  <c r="X664" i="3" l="1"/>
  <c r="Y665" i="3" s="1"/>
  <c r="Z664" i="3"/>
  <c r="AC664" i="3" s="1"/>
  <c r="V665" i="3" s="1"/>
  <c r="AA665" i="3"/>
  <c r="X665" i="3" l="1"/>
  <c r="AB665" i="3"/>
  <c r="Y666" i="3" s="1"/>
  <c r="W665" i="3"/>
  <c r="Z665" i="3"/>
  <c r="AC665" i="3" s="1"/>
  <c r="V666" i="3" s="1"/>
  <c r="AA666" i="3" l="1"/>
  <c r="W666" i="3"/>
  <c r="AB666" i="3"/>
  <c r="X666" i="3"/>
  <c r="Z666" i="3"/>
  <c r="AA667" i="3" l="1"/>
  <c r="AC666" i="3"/>
  <c r="V667" i="3" s="1"/>
  <c r="X667" i="3" s="1"/>
  <c r="Y667" i="3"/>
  <c r="Z667" i="3"/>
  <c r="W667" i="3"/>
  <c r="AB667" i="3"/>
  <c r="AA668" i="3" l="1"/>
  <c r="AC667" i="3"/>
  <c r="V668" i="3" s="1"/>
  <c r="AB668" i="3" s="1"/>
  <c r="X668" i="3"/>
  <c r="Y668" i="3"/>
  <c r="Z668" i="3" l="1"/>
  <c r="W668" i="3"/>
  <c r="AC668" i="3"/>
  <c r="V669" i="3" s="1"/>
  <c r="X669" i="3" s="1"/>
  <c r="AA669" i="3"/>
  <c r="Y669" i="3"/>
  <c r="Z669" i="3"/>
  <c r="W669" i="3"/>
  <c r="AB669" i="3"/>
  <c r="AA670" i="3" s="1"/>
  <c r="AC669" i="3" l="1"/>
  <c r="V670" i="3" s="1"/>
  <c r="Y670" i="3"/>
  <c r="X670" i="3" l="1"/>
  <c r="Z670" i="3"/>
  <c r="W670" i="3"/>
  <c r="AB670" i="3"/>
  <c r="Y671" i="3" l="1"/>
  <c r="AA671" i="3"/>
  <c r="AC670" i="3"/>
  <c r="V671" i="3" s="1"/>
  <c r="W671" i="3" l="1"/>
  <c r="Z671" i="3"/>
  <c r="X671" i="3"/>
  <c r="AB671" i="3"/>
  <c r="Y672" i="3" s="1"/>
  <c r="AC671" i="3" l="1"/>
  <c r="V672" i="3" s="1"/>
  <c r="X672" i="3" s="1"/>
  <c r="AA672" i="3"/>
  <c r="AB672" i="3"/>
  <c r="Z672" i="3"/>
  <c r="W672" i="3" l="1"/>
  <c r="AC672" i="3"/>
  <c r="V673" i="3" s="1"/>
  <c r="W673" i="3" s="1"/>
  <c r="AA673" i="3"/>
  <c r="Y673" i="3"/>
  <c r="Z673" i="3" l="1"/>
  <c r="AB673" i="3"/>
  <c r="X673" i="3"/>
  <c r="AC673" i="3"/>
  <c r="V674" i="3" s="1"/>
  <c r="AB674" i="3" s="1"/>
  <c r="AA674" i="3"/>
  <c r="Z674" i="3" l="1"/>
  <c r="X674" i="3"/>
  <c r="AA675" i="3" s="1"/>
  <c r="W674" i="3"/>
  <c r="Y674" i="3"/>
  <c r="Y675" i="3"/>
  <c r="AC674" i="3"/>
  <c r="V675" i="3" s="1"/>
  <c r="X675" i="3" l="1"/>
  <c r="Z675" i="3"/>
  <c r="AB675" i="3"/>
  <c r="W675" i="3"/>
  <c r="AC675" i="3" l="1"/>
  <c r="V676" i="3" s="1"/>
  <c r="W676" i="3" s="1"/>
  <c r="X676" i="3"/>
  <c r="Z676" i="3"/>
  <c r="Y676" i="3"/>
  <c r="AA676" i="3"/>
  <c r="AB676" i="3" l="1"/>
  <c r="Y677" i="3" s="1"/>
  <c r="AC676" i="3" l="1"/>
  <c r="V677" i="3" s="1"/>
  <c r="W677" i="3" s="1"/>
  <c r="AA677" i="3"/>
  <c r="AB677" i="3"/>
  <c r="Z677" i="3"/>
  <c r="X677" i="3" l="1"/>
  <c r="Y678" i="3" s="1"/>
  <c r="AC677" i="3"/>
  <c r="V678" i="3" s="1"/>
  <c r="X678" i="3" s="1"/>
  <c r="AB678" i="3"/>
  <c r="AA678" i="3"/>
  <c r="Z678" i="3"/>
  <c r="W678" i="3"/>
  <c r="AA679" i="3" l="1"/>
  <c r="Y679" i="3"/>
  <c r="AC678" i="3"/>
  <c r="V679" i="3" s="1"/>
  <c r="X679" i="3" s="1"/>
  <c r="AB679" i="3"/>
  <c r="W679" i="3"/>
  <c r="Z679" i="3"/>
  <c r="AC679" i="3" l="1"/>
  <c r="V680" i="3" s="1"/>
  <c r="Y680" i="3"/>
  <c r="AA680" i="3"/>
  <c r="W680" i="3" l="1"/>
  <c r="AB680" i="3"/>
  <c r="Z680" i="3"/>
  <c r="X680" i="3"/>
  <c r="AA681" i="3" s="1"/>
  <c r="Y681" i="3" l="1"/>
  <c r="AC680" i="3"/>
  <c r="V681" i="3" s="1"/>
  <c r="W681" i="3" s="1"/>
  <c r="AB681" i="3" l="1"/>
  <c r="X681" i="3"/>
  <c r="Z681" i="3"/>
  <c r="AC681" i="3" s="1"/>
  <c r="V682" i="3" s="1"/>
  <c r="Y682" i="3" l="1"/>
  <c r="AA682" i="3"/>
  <c r="X682" i="3"/>
  <c r="AB682" i="3"/>
  <c r="Y683" i="3" s="1"/>
  <c r="W682" i="3"/>
  <c r="Z682" i="3"/>
  <c r="AC682" i="3" l="1"/>
  <c r="V683" i="3" s="1"/>
  <c r="Z683" i="3" s="1"/>
  <c r="AA683" i="3"/>
  <c r="X683" i="3" l="1"/>
  <c r="AB683" i="3"/>
  <c r="Y684" i="3"/>
  <c r="W683" i="3"/>
  <c r="AA684" i="3"/>
  <c r="AC683" i="3"/>
  <c r="V684" i="3" s="1"/>
  <c r="W684" i="3" s="1"/>
  <c r="Z684" i="3" l="1"/>
  <c r="AB684" i="3"/>
  <c r="X684" i="3"/>
  <c r="AA685" i="3" l="1"/>
  <c r="AC684" i="3"/>
  <c r="V685" i="3" s="1"/>
  <c r="X685" i="3" s="1"/>
  <c r="Y685" i="3"/>
  <c r="AB685" i="3"/>
  <c r="W685" i="3"/>
  <c r="Z685" i="3"/>
  <c r="Y686" i="3" l="1"/>
  <c r="AC685" i="3"/>
  <c r="V686" i="3" s="1"/>
  <c r="AB686" i="3" s="1"/>
  <c r="AA686" i="3"/>
  <c r="Z686" i="3"/>
  <c r="X686" i="3"/>
  <c r="W686" i="3" l="1"/>
  <c r="AC686" i="3"/>
  <c r="V687" i="3" s="1"/>
  <c r="AA687" i="3" s="1"/>
  <c r="Y687" i="3"/>
  <c r="Z687" i="3"/>
  <c r="W687" i="3" l="1"/>
  <c r="X687" i="3"/>
  <c r="AB687" i="3"/>
  <c r="AC687" i="3" s="1"/>
  <c r="V688" i="3" s="1"/>
  <c r="Y688" i="3" l="1"/>
  <c r="AA688" i="3"/>
  <c r="AB688" i="3"/>
  <c r="W688" i="3"/>
  <c r="Z688" i="3"/>
  <c r="X688" i="3"/>
  <c r="AC688" i="3" s="1"/>
  <c r="V689" i="3" s="1"/>
  <c r="Y689" i="3" s="1"/>
  <c r="X689" i="3" l="1"/>
  <c r="Z689" i="3"/>
  <c r="W689" i="3"/>
  <c r="AB689" i="3"/>
  <c r="AA689" i="3"/>
  <c r="AC689" i="3" l="1"/>
  <c r="V690" i="3" s="1"/>
  <c r="X690" i="3" s="1"/>
  <c r="AA690" i="3"/>
  <c r="Y690" i="3"/>
  <c r="AB690" i="3"/>
  <c r="Z690" i="3"/>
  <c r="W690" i="3"/>
  <c r="AC690" i="3" l="1"/>
  <c r="V691" i="3" s="1"/>
  <c r="X691" i="3" s="1"/>
  <c r="AA691" i="3"/>
  <c r="Y691" i="3"/>
  <c r="AB691" i="3" l="1"/>
  <c r="Y692" i="3" s="1"/>
  <c r="Z691" i="3"/>
  <c r="W691" i="3"/>
  <c r="AA692" i="3"/>
  <c r="AC691" i="3" l="1"/>
  <c r="V692" i="3" s="1"/>
  <c r="X692" i="3" s="1"/>
  <c r="AB692" i="3"/>
  <c r="Z692" i="3"/>
  <c r="W692" i="3"/>
  <c r="AC692" i="3" l="1"/>
  <c r="V693" i="3" s="1"/>
  <c r="AA693" i="3" s="1"/>
  <c r="Y693" i="3"/>
  <c r="W693" i="3" l="1"/>
  <c r="X693" i="3"/>
  <c r="Z693" i="3"/>
  <c r="AB693" i="3"/>
  <c r="AC693" i="3" s="1"/>
  <c r="V694" i="3" s="1"/>
  <c r="AA694" i="3" s="1"/>
  <c r="Z694" i="3" l="1"/>
  <c r="W694" i="3"/>
  <c r="X694" i="3"/>
  <c r="AB694" i="3"/>
  <c r="Y694" i="3"/>
  <c r="AC694" i="3" l="1"/>
  <c r="V695" i="3" s="1"/>
  <c r="Z695" i="3" s="1"/>
  <c r="Y695" i="3"/>
  <c r="AA695" i="3"/>
  <c r="W695" i="3" l="1"/>
  <c r="X695" i="3"/>
  <c r="AB695" i="3"/>
  <c r="AC695" i="3" s="1"/>
  <c r="V696" i="3" s="1"/>
  <c r="AA696" i="3" s="1"/>
  <c r="Z696" i="3" l="1"/>
  <c r="W696" i="3"/>
  <c r="AB696" i="3"/>
  <c r="X696" i="3"/>
  <c r="Y696" i="3"/>
  <c r="AC696" i="3" l="1"/>
  <c r="V697" i="3" s="1"/>
  <c r="X697" i="3" s="1"/>
  <c r="Y697" i="3"/>
  <c r="AA697" i="3" l="1"/>
  <c r="AB697" i="3"/>
  <c r="W697" i="3"/>
  <c r="Z697" i="3"/>
  <c r="AC697" i="3" l="1"/>
  <c r="V698" i="3" s="1"/>
  <c r="W698" i="3" s="1"/>
  <c r="AA698" i="3"/>
  <c r="AB698" i="3"/>
  <c r="X698" i="3"/>
  <c r="Y698" i="3"/>
  <c r="Z698" i="3" l="1"/>
  <c r="AC698" i="3" s="1"/>
  <c r="V699" i="3" s="1"/>
  <c r="W699" i="3" s="1"/>
  <c r="AB699" i="3" l="1"/>
  <c r="AA699" i="3"/>
  <c r="Y699" i="3"/>
  <c r="Z699" i="3"/>
  <c r="X699" i="3"/>
  <c r="AC699" i="3" l="1"/>
  <c r="V700" i="3" s="1"/>
  <c r="Y700" i="3" s="1"/>
  <c r="AA700" i="3"/>
  <c r="W700" i="3" l="1"/>
  <c r="Z700" i="3"/>
  <c r="X700" i="3"/>
  <c r="AB700" i="3"/>
  <c r="AC700" i="3" s="1"/>
  <c r="V701" i="3" s="1"/>
  <c r="W701" i="3" s="1"/>
  <c r="Z701" i="3" l="1"/>
  <c r="Y701" i="3"/>
  <c r="X701" i="3"/>
  <c r="AA701" i="3"/>
  <c r="AB701" i="3"/>
  <c r="AC701" i="3" l="1"/>
  <c r="V702" i="3" s="1"/>
  <c r="X702" i="3" s="1"/>
  <c r="AA702" i="3"/>
  <c r="Y702" i="3"/>
  <c r="Z702" i="3" l="1"/>
  <c r="AB702" i="3"/>
  <c r="W702" i="3"/>
  <c r="AC702" i="3" s="1"/>
  <c r="V703" i="3" s="1"/>
  <c r="X703" i="3" l="1"/>
  <c r="W703" i="3"/>
  <c r="Y703" i="3"/>
  <c r="AB703" i="3"/>
  <c r="Z703" i="3"/>
  <c r="AA703" i="3"/>
  <c r="AC703" i="3" l="1"/>
  <c r="V704" i="3" s="1"/>
  <c r="X704" i="3" s="1"/>
  <c r="AA704" i="3"/>
  <c r="Y704" i="3"/>
  <c r="Z704" i="3"/>
  <c r="AB704" i="3"/>
  <c r="W704" i="3"/>
  <c r="AC704" i="3" l="1"/>
  <c r="V705" i="3" s="1"/>
  <c r="Y705" i="3" l="1"/>
  <c r="Z705" i="3"/>
  <c r="AA705" i="3"/>
  <c r="W705" i="3"/>
  <c r="X705" i="3"/>
  <c r="AB705" i="3"/>
  <c r="AC705" i="3" l="1"/>
  <c r="V706" i="3" s="1"/>
  <c r="Y706" i="3" s="1"/>
  <c r="AA706" i="3" l="1"/>
  <c r="W706" i="3"/>
  <c r="AB706" i="3"/>
  <c r="Z706" i="3"/>
  <c r="X706" i="3"/>
  <c r="AC706" i="3" l="1"/>
  <c r="V707" i="3" s="1"/>
  <c r="Z707" i="3" l="1"/>
  <c r="X707" i="3"/>
  <c r="W707" i="3"/>
  <c r="AB707" i="3"/>
  <c r="AA707" i="3"/>
  <c r="Y707" i="3"/>
  <c r="AC707" i="3" l="1"/>
  <c r="V708" i="3" s="1"/>
  <c r="Y708" i="3"/>
  <c r="AB708" i="3"/>
  <c r="W708" i="3"/>
  <c r="X708" i="3"/>
  <c r="Z708" i="3"/>
  <c r="AA708" i="3"/>
  <c r="AC708" i="3" l="1"/>
  <c r="V709" i="3" s="1"/>
  <c r="X709" i="3" s="1"/>
  <c r="AA709" i="3" l="1"/>
  <c r="Y709" i="3"/>
  <c r="AB709" i="3"/>
  <c r="W709" i="3"/>
  <c r="Z709" i="3"/>
  <c r="AC709" i="3" l="1"/>
  <c r="V710" i="3" s="1"/>
  <c r="Y710" i="3" s="1"/>
  <c r="X710" i="3" l="1"/>
  <c r="Z710" i="3"/>
  <c r="AB710" i="3"/>
  <c r="W710" i="3"/>
  <c r="AA710" i="3"/>
  <c r="AC710" i="3" l="1"/>
  <c r="V711" i="3" s="1"/>
  <c r="W711" i="3" s="1"/>
  <c r="AA711" i="3"/>
  <c r="Y711" i="3"/>
  <c r="X711" i="3" l="1"/>
  <c r="AB711" i="3"/>
  <c r="Z711" i="3"/>
  <c r="AC711" i="3"/>
  <c r="V712" i="3" s="1"/>
  <c r="W712" i="3" s="1"/>
  <c r="Y712" i="3" l="1"/>
  <c r="AB712" i="3"/>
  <c r="AA712" i="3"/>
  <c r="X712" i="3"/>
  <c r="Z712" i="3"/>
  <c r="AC712" i="3" l="1"/>
  <c r="V713" i="3" s="1"/>
  <c r="W713" i="3" s="1"/>
  <c r="Y713" i="3" l="1"/>
  <c r="AA713" i="3"/>
  <c r="X713" i="3"/>
  <c r="Z713" i="3"/>
  <c r="AB713" i="3"/>
  <c r="AC713" i="3" s="1"/>
  <c r="V714" i="3" s="1"/>
  <c r="AB714" i="3" l="1"/>
  <c r="W714" i="3"/>
  <c r="Z714" i="3"/>
  <c r="X714" i="3"/>
  <c r="AA714" i="3"/>
  <c r="Y714" i="3"/>
  <c r="AC714" i="3" l="1"/>
  <c r="V715" i="3" s="1"/>
  <c r="W715" i="3" s="1"/>
  <c r="AA715" i="3"/>
  <c r="Y715" i="3"/>
  <c r="Z715" i="3" l="1"/>
  <c r="AB715" i="3"/>
  <c r="X715" i="3"/>
  <c r="AC715" i="3" l="1"/>
  <c r="V716" i="3" s="1"/>
  <c r="W716" i="3" s="1"/>
  <c r="X716" i="3"/>
  <c r="Y716" i="3"/>
  <c r="AA716" i="3"/>
  <c r="Z716" i="3" l="1"/>
  <c r="AB716" i="3"/>
  <c r="Y717" i="3" s="1"/>
  <c r="AA717" i="3" l="1"/>
  <c r="AC716" i="3"/>
  <c r="V717" i="3" s="1"/>
  <c r="X717" i="3" s="1"/>
  <c r="Z717" i="3" l="1"/>
  <c r="AB717" i="3"/>
  <c r="Y718" i="3" s="1"/>
  <c r="W717" i="3"/>
  <c r="AA718" i="3" l="1"/>
  <c r="AC717" i="3"/>
  <c r="V718" i="3" s="1"/>
  <c r="Z718" i="3" s="1"/>
  <c r="AB718" i="3"/>
  <c r="W718" i="3" l="1"/>
  <c r="X718" i="3"/>
  <c r="AA719" i="3" s="1"/>
  <c r="Y719" i="3"/>
  <c r="AC718" i="3" l="1"/>
  <c r="V719" i="3" s="1"/>
  <c r="W719" i="3"/>
  <c r="Z719" i="3"/>
  <c r="X719" i="3"/>
  <c r="AB719" i="3"/>
  <c r="AA720" i="3" l="1"/>
  <c r="AC719" i="3"/>
  <c r="V720" i="3" s="1"/>
  <c r="X720" i="3" s="1"/>
  <c r="AB720" i="3"/>
  <c r="Z720" i="3"/>
  <c r="W720" i="3"/>
  <c r="Y720" i="3"/>
  <c r="AA721" i="3" l="1"/>
  <c r="AC720" i="3"/>
  <c r="V721" i="3" s="1"/>
  <c r="Y721" i="3"/>
  <c r="W721" i="3"/>
  <c r="Z721" i="3"/>
  <c r="AB721" i="3"/>
  <c r="X721" i="3"/>
  <c r="AA722" i="3" l="1"/>
  <c r="Y722" i="3"/>
  <c r="AC721" i="3"/>
  <c r="V722" i="3" s="1"/>
  <c r="AB722" i="3" s="1"/>
  <c r="Z722" i="3" l="1"/>
  <c r="W722" i="3"/>
  <c r="X722" i="3"/>
  <c r="AC722" i="3"/>
  <c r="V723" i="3" s="1"/>
  <c r="AB723" i="3" s="1"/>
  <c r="AA723" i="3"/>
  <c r="Y723" i="3"/>
  <c r="Z723" i="3"/>
  <c r="W723" i="3"/>
  <c r="X723" i="3" l="1"/>
  <c r="AC723" i="3"/>
  <c r="V724" i="3" s="1"/>
  <c r="W724" i="3" s="1"/>
  <c r="Z724" i="3" l="1"/>
  <c r="X724" i="3"/>
  <c r="AB724" i="3"/>
  <c r="AA724" i="3"/>
  <c r="Y724" i="3"/>
  <c r="AC724" i="3" l="1"/>
  <c r="V725" i="3" s="1"/>
  <c r="Y725" i="3" s="1"/>
  <c r="W725" i="3" l="1"/>
  <c r="AB725" i="3"/>
  <c r="X725" i="3"/>
  <c r="Z725" i="3"/>
  <c r="AA725" i="3"/>
  <c r="AC725" i="3" l="1"/>
  <c r="V726" i="3" s="1"/>
  <c r="AA726" i="3" s="1"/>
  <c r="Y726" i="3"/>
  <c r="X726" i="3" l="1"/>
  <c r="W726" i="3"/>
  <c r="Z726" i="3"/>
  <c r="AB726" i="3"/>
  <c r="AC726" i="3" l="1"/>
  <c r="V727" i="3" s="1"/>
  <c r="Y727" i="3" s="1"/>
  <c r="AA727" i="3"/>
  <c r="X727" i="3" l="1"/>
  <c r="AB727" i="3"/>
  <c r="Z727" i="3"/>
  <c r="W727" i="3"/>
  <c r="AC727" i="3" l="1"/>
  <c r="V728" i="3" s="1"/>
  <c r="W728" i="3" s="1"/>
  <c r="Y728" i="3"/>
  <c r="AA728" i="3"/>
  <c r="AB728" i="3"/>
  <c r="X728" i="3" l="1"/>
  <c r="Z728" i="3"/>
  <c r="AC728" i="3" s="1"/>
  <c r="V729" i="3" s="1"/>
  <c r="Y729" i="3"/>
  <c r="AA729" i="3"/>
  <c r="AB729" i="3" l="1"/>
  <c r="X729" i="3"/>
  <c r="Z729" i="3"/>
  <c r="W729" i="3"/>
  <c r="AC729" i="3"/>
  <c r="V730" i="3" s="1"/>
  <c r="X730" i="3" s="1"/>
  <c r="W730" i="3" l="1"/>
  <c r="Z730" i="3"/>
  <c r="Y730" i="3"/>
  <c r="AA730" i="3"/>
  <c r="AB730" i="3"/>
  <c r="AC730" i="3" l="1"/>
  <c r="V731" i="3" s="1"/>
  <c r="Z731" i="3" s="1"/>
  <c r="Y731" i="3"/>
  <c r="AB731" i="3"/>
  <c r="W731" i="3"/>
  <c r="AA731" i="3"/>
  <c r="X731" i="3" l="1"/>
  <c r="AA732" i="3" s="1"/>
  <c r="AC731" i="3"/>
  <c r="V732" i="3" s="1"/>
  <c r="Y732" i="3" l="1"/>
  <c r="X732" i="3"/>
  <c r="Z732" i="3"/>
  <c r="W732" i="3"/>
  <c r="AB732" i="3"/>
  <c r="AC732" i="3" s="1"/>
  <c r="V733" i="3" s="1"/>
  <c r="Y733" i="3" l="1"/>
  <c r="Z733" i="3"/>
  <c r="AB733" i="3"/>
  <c r="W733" i="3"/>
  <c r="X733" i="3"/>
  <c r="AA733" i="3"/>
  <c r="AC733" i="3" l="1"/>
  <c r="V734" i="3" s="1"/>
  <c r="Y734" i="3" s="1"/>
  <c r="AA734" i="3" l="1"/>
  <c r="AB734" i="3"/>
  <c r="W734" i="3"/>
  <c r="X734" i="3"/>
  <c r="Z734" i="3"/>
  <c r="AC734" i="3" l="1"/>
  <c r="V735" i="3" s="1"/>
  <c r="Z735" i="3" s="1"/>
  <c r="AA735" i="3"/>
  <c r="Y735" i="3"/>
  <c r="X735" i="3"/>
  <c r="W735" i="3" l="1"/>
  <c r="AB735" i="3"/>
  <c r="AA736" i="3" s="1"/>
  <c r="AC735" i="3" l="1"/>
  <c r="V736" i="3" s="1"/>
  <c r="Y736" i="3"/>
  <c r="W736" i="3" l="1"/>
  <c r="AB736" i="3"/>
  <c r="Z736" i="3"/>
  <c r="X736" i="3"/>
  <c r="Y737" i="3" l="1"/>
  <c r="AC736" i="3"/>
  <c r="V737" i="3" s="1"/>
  <c r="AA737" i="3" l="1"/>
  <c r="X737" i="3"/>
  <c r="AB737" i="3"/>
  <c r="W737" i="3"/>
  <c r="Z737" i="3"/>
  <c r="AC737" i="3" s="1"/>
  <c r="V738" i="3" s="1"/>
  <c r="W738" i="3" l="1"/>
  <c r="Z738" i="3"/>
  <c r="AB738" i="3"/>
  <c r="X738" i="3"/>
  <c r="Y738" i="3"/>
  <c r="AA738" i="3"/>
  <c r="Y739" i="3" l="1"/>
  <c r="AA739" i="3"/>
  <c r="AC738" i="3"/>
  <c r="V739" i="3" s="1"/>
  <c r="X739" i="3" l="1"/>
  <c r="Z739" i="3"/>
  <c r="AB739" i="3"/>
  <c r="Y740" i="3" s="1"/>
  <c r="W739" i="3"/>
  <c r="AC739" i="3" l="1"/>
  <c r="V740" i="3" s="1"/>
  <c r="AA740" i="3"/>
  <c r="AB740" i="3"/>
  <c r="X740" i="3"/>
  <c r="Z740" i="3"/>
  <c r="W740" i="3"/>
  <c r="AC740" i="3" l="1"/>
  <c r="V741" i="3" s="1"/>
  <c r="W741" i="3" s="1"/>
  <c r="Y741" i="3"/>
  <c r="AA741" i="3"/>
  <c r="Z741" i="3" l="1"/>
  <c r="X741" i="3"/>
  <c r="AB741" i="3"/>
  <c r="AA742" i="3" s="1"/>
  <c r="AC741" i="3" l="1"/>
  <c r="V742" i="3" s="1"/>
  <c r="X742" i="3" s="1"/>
  <c r="Y742" i="3"/>
  <c r="AB742" i="3"/>
  <c r="W742" i="3"/>
  <c r="Z742" i="3"/>
  <c r="AC742" i="3" l="1"/>
  <c r="V743" i="3" s="1"/>
  <c r="Y743" i="3"/>
  <c r="AA743" i="3"/>
  <c r="W743" i="3" l="1"/>
  <c r="X743" i="3"/>
  <c r="Z743" i="3"/>
  <c r="AB743" i="3"/>
  <c r="AA744" i="3" l="1"/>
  <c r="Y744" i="3"/>
  <c r="AC743" i="3"/>
  <c r="V744" i="3" s="1"/>
  <c r="W744" i="3" l="1"/>
  <c r="Z744" i="3"/>
  <c r="AB744" i="3"/>
  <c r="X744" i="3"/>
  <c r="AC744" i="3" l="1"/>
  <c r="V745" i="3" s="1"/>
  <c r="Y745" i="3"/>
  <c r="Z745" i="3"/>
  <c r="AB745" i="3"/>
  <c r="X745" i="3"/>
  <c r="W745" i="3"/>
  <c r="AA745" i="3"/>
  <c r="AC745" i="3" l="1"/>
  <c r="V746" i="3" s="1"/>
  <c r="AA746" i="3"/>
  <c r="Y746" i="3"/>
  <c r="AB746" i="3"/>
  <c r="W746" i="3"/>
  <c r="X746" i="3"/>
  <c r="Z746" i="3"/>
  <c r="Y747" i="3"/>
  <c r="AC746" i="3" l="1"/>
  <c r="V747" i="3" s="1"/>
  <c r="AA747" i="3"/>
  <c r="Z747" i="3"/>
  <c r="W747" i="3"/>
  <c r="X747" i="3"/>
  <c r="AB747" i="3"/>
  <c r="AA748" i="3" s="1"/>
  <c r="Y748" i="3" l="1"/>
  <c r="AC747" i="3"/>
  <c r="V748" i="3" s="1"/>
  <c r="AB748" i="3"/>
  <c r="W748" i="3"/>
  <c r="X748" i="3"/>
  <c r="Z748" i="3"/>
  <c r="Y749" i="3" l="1"/>
  <c r="AC748" i="3"/>
  <c r="V749" i="3" s="1"/>
  <c r="Z749" i="3" s="1"/>
  <c r="AA749" i="3"/>
  <c r="AB749" i="3" l="1"/>
  <c r="X749" i="3"/>
  <c r="W749" i="3"/>
  <c r="Y750" i="3"/>
  <c r="AA750" i="3"/>
  <c r="AC749" i="3"/>
  <c r="V750" i="3" s="1"/>
  <c r="W750" i="3" l="1"/>
  <c r="AB750" i="3"/>
  <c r="Z750" i="3"/>
  <c r="X750" i="3"/>
  <c r="AC750" i="3" l="1"/>
  <c r="V751" i="3" s="1"/>
  <c r="W751" i="3" s="1"/>
  <c r="AA751" i="3"/>
  <c r="X751" i="3"/>
  <c r="AB751" i="3"/>
  <c r="Y752" i="3" s="1"/>
  <c r="Z751" i="3"/>
  <c r="Y751" i="3"/>
  <c r="AA752" i="3" l="1"/>
  <c r="AC751" i="3"/>
  <c r="V752" i="3" s="1"/>
  <c r="W752" i="3"/>
  <c r="Z752" i="3"/>
  <c r="AB752" i="3"/>
  <c r="X752" i="3"/>
  <c r="Y753" i="3" l="1"/>
  <c r="AA753" i="3"/>
  <c r="AC752" i="3"/>
  <c r="V753" i="3" s="1"/>
  <c r="Z753" i="3" s="1"/>
  <c r="AB753" i="3"/>
  <c r="W753" i="3" l="1"/>
  <c r="X753" i="3"/>
  <c r="AA754" i="3" s="1"/>
  <c r="AC753" i="3"/>
  <c r="V754" i="3" s="1"/>
  <c r="AB754" i="3"/>
  <c r="X754" i="3"/>
  <c r="Z754" i="3"/>
  <c r="W754" i="3"/>
  <c r="Y754" i="3"/>
  <c r="Y755" i="3" l="1"/>
  <c r="AC754" i="3"/>
  <c r="V755" i="3" s="1"/>
  <c r="W755" i="3" s="1"/>
  <c r="AB755" i="3"/>
  <c r="AA756" i="3" s="1"/>
  <c r="Z755" i="3"/>
  <c r="X755" i="3"/>
  <c r="AA755" i="3"/>
  <c r="AC755" i="3" l="1"/>
  <c r="V756" i="3" s="1"/>
  <c r="Y756" i="3"/>
  <c r="X756" i="3" l="1"/>
  <c r="AB756" i="3"/>
  <c r="Y757" i="3" s="1"/>
  <c r="Z756" i="3"/>
  <c r="W756" i="3"/>
  <c r="AC756" i="3" s="1"/>
  <c r="V757" i="3" s="1"/>
  <c r="X757" i="3" s="1"/>
  <c r="AA757" i="3"/>
  <c r="AB757" i="3"/>
  <c r="Z757" i="3" l="1"/>
  <c r="W757" i="3"/>
  <c r="AA758" i="3"/>
  <c r="Y758" i="3"/>
  <c r="AC757" i="3"/>
  <c r="V758" i="3" s="1"/>
  <c r="X758" i="3" l="1"/>
  <c r="AB758" i="3"/>
  <c r="W758" i="3"/>
  <c r="Z758" i="3"/>
  <c r="AC758" i="3" l="1"/>
  <c r="V759" i="3" s="1"/>
  <c r="Y759" i="3"/>
  <c r="AA759" i="3"/>
  <c r="W759" i="3" l="1"/>
  <c r="AB759" i="3"/>
  <c r="Z759" i="3"/>
  <c r="AC759" i="3" s="1"/>
  <c r="V760" i="3" s="1"/>
  <c r="X759" i="3"/>
  <c r="AA760" i="3"/>
  <c r="Y760" i="3"/>
  <c r="Z760" i="3" l="1"/>
  <c r="AB760" i="3"/>
  <c r="W760" i="3"/>
  <c r="X760" i="3"/>
  <c r="AA761" i="3"/>
  <c r="AC760" i="3" l="1"/>
  <c r="V761" i="3" s="1"/>
  <c r="W761" i="3" s="1"/>
  <c r="Y761" i="3"/>
  <c r="AB761" i="3"/>
  <c r="X761" i="3"/>
  <c r="Z761" i="3"/>
  <c r="Y762" i="3" l="1"/>
  <c r="AA762" i="3"/>
  <c r="AC761" i="3"/>
  <c r="V762" i="3" s="1"/>
  <c r="W762" i="3" l="1"/>
  <c r="AB762" i="3"/>
  <c r="X762" i="3"/>
  <c r="Z762" i="3"/>
  <c r="Y763" i="3"/>
  <c r="AA763" i="3" l="1"/>
  <c r="AC762" i="3"/>
  <c r="V763" i="3" s="1"/>
  <c r="W763" i="3" l="1"/>
  <c r="Z763" i="3"/>
  <c r="X763" i="3"/>
  <c r="AB763" i="3"/>
  <c r="AA764" i="3" l="1"/>
  <c r="Y764" i="3"/>
  <c r="AC763" i="3"/>
  <c r="V764" i="3" s="1"/>
  <c r="W764" i="3" l="1"/>
  <c r="X764" i="3"/>
  <c r="AB764" i="3"/>
  <c r="AA765" i="3" s="1"/>
  <c r="Z764" i="3"/>
  <c r="AC764" i="3" l="1"/>
  <c r="V765" i="3" s="1"/>
  <c r="W765" i="3" s="1"/>
  <c r="AB765" i="3"/>
  <c r="Z765" i="3"/>
  <c r="X765" i="3"/>
  <c r="Y765" i="3"/>
  <c r="AA766" i="3" l="1"/>
  <c r="Y766" i="3"/>
  <c r="AC765" i="3"/>
  <c r="V766" i="3" s="1"/>
  <c r="X766" i="3" s="1"/>
  <c r="AB766" i="3" l="1"/>
  <c r="W766" i="3"/>
  <c r="Z766" i="3"/>
  <c r="AA767" i="3"/>
  <c r="Y767" i="3"/>
  <c r="AC766" i="3" l="1"/>
  <c r="V767" i="3" s="1"/>
  <c r="Z767" i="3"/>
  <c r="W767" i="3"/>
  <c r="AB767" i="3"/>
  <c r="X767" i="3"/>
  <c r="AC767" i="3"/>
  <c r="V768" i="3" s="1"/>
  <c r="Y768" i="3" s="1"/>
  <c r="AA768" i="3"/>
  <c r="AB768" i="3"/>
  <c r="W768" i="3" l="1"/>
  <c r="X768" i="3"/>
  <c r="Z768" i="3"/>
  <c r="AC768" i="3" s="1"/>
  <c r="V769" i="3" s="1"/>
  <c r="Y769" i="3" l="1"/>
  <c r="AB769" i="3"/>
  <c r="W769" i="3"/>
  <c r="X769" i="3"/>
  <c r="Z769" i="3"/>
  <c r="AA769" i="3"/>
  <c r="AC769" i="3" l="1"/>
  <c r="V770" i="3" s="1"/>
  <c r="Y770" i="3" s="1"/>
  <c r="AA770" i="3"/>
  <c r="X770" i="3" l="1"/>
  <c r="W770" i="3"/>
  <c r="Z770" i="3"/>
  <c r="AB770" i="3"/>
  <c r="AC770" i="3" s="1"/>
  <c r="V771" i="3" s="1"/>
  <c r="X771" i="3" s="1"/>
  <c r="AB771" i="3" l="1"/>
  <c r="W771" i="3"/>
  <c r="Y771" i="3"/>
  <c r="AA771" i="3"/>
  <c r="Z771" i="3"/>
  <c r="AC771" i="3" l="1"/>
  <c r="V772" i="3" s="1"/>
  <c r="Z772" i="3" s="1"/>
  <c r="AA772" i="3"/>
  <c r="Y772" i="3"/>
  <c r="AB772" i="3" l="1"/>
  <c r="W772" i="3"/>
  <c r="X772" i="3"/>
  <c r="AA773" i="3" l="1"/>
  <c r="Y773" i="3"/>
  <c r="AC772" i="3"/>
  <c r="V773" i="3" s="1"/>
  <c r="X773" i="3" s="1"/>
  <c r="W773" i="3" l="1"/>
  <c r="AB773" i="3"/>
  <c r="Y774" i="3" s="1"/>
  <c r="Z773" i="3"/>
  <c r="AC773" i="3"/>
  <c r="V774" i="3" s="1"/>
  <c r="X774" i="3" s="1"/>
  <c r="AA774" i="3"/>
  <c r="Z774" i="3" l="1"/>
  <c r="W774" i="3"/>
  <c r="AB774" i="3"/>
  <c r="AC774" i="3" s="1"/>
  <c r="V775" i="3" s="1"/>
  <c r="AA775" i="3" l="1"/>
  <c r="X775" i="3"/>
  <c r="W775" i="3"/>
  <c r="Z775" i="3"/>
  <c r="AB775" i="3"/>
  <c r="Y775" i="3"/>
  <c r="AC775" i="3" l="1"/>
  <c r="V776" i="3" s="1"/>
  <c r="W776" i="3" s="1"/>
  <c r="Y776" i="3"/>
  <c r="AA776" i="3"/>
  <c r="X776" i="3" l="1"/>
  <c r="Z776" i="3"/>
  <c r="AB776" i="3"/>
  <c r="AC776" i="3" l="1"/>
  <c r="V777" i="3" s="1"/>
  <c r="AA777" i="3"/>
  <c r="Y777" i="3"/>
  <c r="AB777" i="3"/>
  <c r="X777" i="3"/>
  <c r="Z777" i="3"/>
  <c r="W777" i="3"/>
  <c r="AA778" i="3" l="1"/>
  <c r="AC777" i="3"/>
  <c r="V778" i="3" s="1"/>
  <c r="X778" i="3" s="1"/>
  <c r="Y778" i="3"/>
  <c r="AB778" i="3"/>
  <c r="W778" i="3" l="1"/>
  <c r="Z778" i="3"/>
  <c r="AC778" i="3" s="1"/>
  <c r="V779" i="3" s="1"/>
  <c r="AA779" i="3"/>
  <c r="Y779" i="3"/>
  <c r="X779" i="3" l="1"/>
  <c r="W779" i="3"/>
  <c r="AB779" i="3"/>
  <c r="Z779" i="3"/>
  <c r="AC779" i="3" l="1"/>
  <c r="V780" i="3" s="1"/>
  <c r="AB780" i="3"/>
  <c r="X780" i="3"/>
  <c r="W780" i="3"/>
  <c r="Z780" i="3"/>
  <c r="Y780" i="3"/>
  <c r="AA780" i="3"/>
  <c r="AC780" i="3" l="1"/>
  <c r="V781" i="3" s="1"/>
  <c r="X781" i="3" l="1"/>
  <c r="Z781" i="3"/>
  <c r="W781" i="3"/>
  <c r="AB781" i="3"/>
  <c r="AA781" i="3"/>
  <c r="Y781" i="3"/>
  <c r="AC781" i="3" l="1"/>
  <c r="V782" i="3" s="1"/>
  <c r="W782" i="3" s="1"/>
  <c r="Y782" i="3"/>
  <c r="AA782" i="3"/>
  <c r="Z782" i="3" l="1"/>
  <c r="AB782" i="3"/>
  <c r="X782" i="3"/>
  <c r="AC782" i="3" l="1"/>
  <c r="V783" i="3" s="1"/>
  <c r="X783" i="3" s="1"/>
  <c r="AB783" i="3"/>
  <c r="Z783" i="3"/>
  <c r="W783" i="3"/>
  <c r="Y783" i="3"/>
  <c r="AA783" i="3"/>
  <c r="AC783" i="3" l="1"/>
  <c r="V784" i="3" s="1"/>
  <c r="Z784" i="3" s="1"/>
  <c r="Y784" i="3"/>
  <c r="AA784" i="3"/>
  <c r="AB784" i="3" l="1"/>
  <c r="X784" i="3"/>
  <c r="W784" i="3"/>
  <c r="AC784" i="3" l="1"/>
</calcChain>
</file>

<file path=xl/sharedStrings.xml><?xml version="1.0" encoding="utf-8"?>
<sst xmlns="http://schemas.openxmlformats.org/spreadsheetml/2006/main" count="208" uniqueCount="98">
  <si>
    <t>Purchase amount</t>
  </si>
  <si>
    <t>SA85-90 Light</t>
  </si>
  <si>
    <t>Start</t>
  </si>
  <si>
    <t>Interest</t>
  </si>
  <si>
    <t>End</t>
  </si>
  <si>
    <t>Mort</t>
  </si>
  <si>
    <t>Month</t>
  </si>
  <si>
    <t>Year</t>
  </si>
  <si>
    <t>Tpx</t>
  </si>
  <si>
    <t>TpxVt</t>
  </si>
  <si>
    <t>Annual interest</t>
  </si>
  <si>
    <t>Interest Accrual</t>
  </si>
  <si>
    <t>Monthly interest</t>
  </si>
  <si>
    <t>Annual Amount</t>
  </si>
  <si>
    <t xml:space="preserve">From </t>
  </si>
  <si>
    <t>To</t>
  </si>
  <si>
    <t>Tax Rate</t>
  </si>
  <si>
    <t>P 0 + 5% of the excess of P 48 000</t>
  </si>
  <si>
    <t>P 1 800 + 12.5% of the excess of P 84 000</t>
  </si>
  <si>
    <t>P 6 300 + 18.75% of the excess of P 120 000</t>
  </si>
  <si>
    <t>P 13 050 + 25% of the excess of P 156 000</t>
  </si>
  <si>
    <t>P 4 200 + 12.5% of the excess of P 84 000</t>
  </si>
  <si>
    <t>P 8 700 + 18.75% of the excess of P 120 000</t>
  </si>
  <si>
    <t>P 15 450 + 25% of the excess of P 156 000</t>
  </si>
  <si>
    <t>Fixed amount</t>
  </si>
  <si>
    <t>-</t>
  </si>
  <si>
    <t>Lowe end</t>
  </si>
  <si>
    <t>VAT</t>
  </si>
  <si>
    <t>Funeral Premium</t>
  </si>
  <si>
    <t>Ongoing Commission (2nd yr+)</t>
  </si>
  <si>
    <t>Upfront Commission (yr 1 only)</t>
  </si>
  <si>
    <t>Annual or Month</t>
  </si>
  <si>
    <t xml:space="preserve">	Purchase premium charge</t>
  </si>
  <si>
    <t>Allocation Amt</t>
  </si>
  <si>
    <t>Funeral</t>
  </si>
  <si>
    <t>Sum of benefits to Annuitant</t>
  </si>
  <si>
    <t>Present value of benefits to annuitant</t>
  </si>
  <si>
    <t>Amount invested</t>
  </si>
  <si>
    <t>Sum of fees to Insurer</t>
  </si>
  <si>
    <t>No of full pmts to annuitant</t>
  </si>
  <si>
    <t>Remainder paid in final payment</t>
  </si>
  <si>
    <t>Expected payment period</t>
  </si>
  <si>
    <t>Assumption Set</t>
  </si>
  <si>
    <t>Present value of fees to Insurer</t>
  </si>
  <si>
    <t>SA85-90</t>
  </si>
  <si>
    <t>Note: Tax not incoprated in model yet</t>
  </si>
  <si>
    <t>Sum of Asset management charges</t>
  </si>
  <si>
    <t>Present value of asset management charges</t>
  </si>
  <si>
    <t>Present value of Commission payments</t>
  </si>
  <si>
    <t>Sum of Commission payments</t>
  </si>
  <si>
    <t>Present value of all charges</t>
  </si>
  <si>
    <t>Present value of benefits to annuitant (excl funeral)</t>
  </si>
  <si>
    <t>Check total</t>
  </si>
  <si>
    <t>Admin
fee</t>
  </si>
  <si>
    <t>Asset
Man Fee</t>
  </si>
  <si>
    <t>Ongoing
Comm</t>
  </si>
  <si>
    <t>Annuity
Amount</t>
  </si>
  <si>
    <t>PV of Fees as % of assets managed</t>
  </si>
  <si>
    <t>Monthly</t>
  </si>
  <si>
    <t>Living Annuity Drawdown Percentage</t>
  </si>
  <si>
    <t>Expected life years remaining after start of Longevity insurance</t>
  </si>
  <si>
    <t>Asset Management fee (p.a.)</t>
  </si>
  <si>
    <t>Qx</t>
  </si>
  <si>
    <t>Age at which Annuity Drawdown stopped</t>
  </si>
  <si>
    <t>Starting
Age</t>
  </si>
  <si>
    <t>Age at which Life Guaranteed amount starts for Life</t>
  </si>
  <si>
    <t>Age at start of Living Annuity</t>
  </si>
  <si>
    <t>Total Fees</t>
  </si>
  <si>
    <t>Find 100</t>
  </si>
  <si>
    <t>Zero at Aged 100</t>
  </si>
  <si>
    <t>Zero at Aged 100 x 10,000</t>
  </si>
  <si>
    <t>Inputs</t>
  </si>
  <si>
    <t>If a Retirement annuity is selected to commence form the start.</t>
  </si>
  <si>
    <t>This is the calculation of the Life long annuity that would be starting, as soon as the Living annuity and Term for Living annuit had been selected</t>
  </si>
  <si>
    <t>This is a good guidline to what Living annuity can be afforded such that the same living standards can be maintained after the Longevity Guarantee (Retirement Annuity Starts)</t>
  </si>
  <si>
    <t>Disc factor Base</t>
  </si>
  <si>
    <t>Int in period
Base</t>
  </si>
  <si>
    <t>Minimum</t>
  </si>
  <si>
    <t>Check</t>
  </si>
  <si>
    <t>Living Annuity Certain Phase (before Transition Point)</t>
  </si>
  <si>
    <t>Retirement Annuity Phase (after Transition Point)</t>
  </si>
  <si>
    <t>Output</t>
  </si>
  <si>
    <t>Administration fee (p.a.) - For Living Annuity</t>
  </si>
  <si>
    <t>Administration fee (p.a.) - For Life Annuity</t>
  </si>
  <si>
    <t>Investment Return</t>
  </si>
  <si>
    <t>Mortality Adjustment</t>
  </si>
  <si>
    <t>Age</t>
  </si>
  <si>
    <t>[x]</t>
  </si>
  <si>
    <t>q[x]</t>
  </si>
  <si>
    <t>q[x]+1</t>
  </si>
  <si>
    <t>q[x]+2</t>
  </si>
  <si>
    <t>q x+3</t>
  </si>
  <si>
    <t>x+3</t>
  </si>
  <si>
    <t>SA85-90 (light)</t>
  </si>
  <si>
    <t>Expected life years remaining after start of Reitrement Annuity</t>
  </si>
  <si>
    <t>Age at start of Reitrement Annuity</t>
  </si>
  <si>
    <t>Funds remaining at end of drawdown period is zero!</t>
  </si>
  <si>
    <t>Guarantee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</si>
</sst>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-* #,##0.00_-;\-* #,##0.00_-;_-* &quot;-&quot;??_-;_-@_-"/>
    <numFmt numFmtId="165" formatCode="#,##0.00000_);\(#,##0.00000\)"/>
    <numFmt numFmtId="166" formatCode="_-* #,##0_-;\-* #,##0_-;_-* &quot;-&quot;??_-;_-@_-"/>
    <numFmt numFmtId="167" formatCode="_-* #,##0.0000_-;\-* #,##0.0000_-;_-* &quot;-&quot;??_-;_-@_-"/>
    <numFmt numFmtId="168" formatCode="0.000%"/>
    <numFmt numFmtId="169" formatCode="_-* #,##0.0000000_-;\-* #,##0.0000000_-;_-* &quot;-&quot;??_-;_-@_-"/>
    <numFmt numFmtId="170" formatCode="0.0000000"/>
    <numFmt numFmtId="171" formatCode="#,##0.0000_ ;\-#,##0.0000\ "/>
    <numFmt numFmtId="172" formatCode="#,##0_ ;\-#,##0\ "/>
    <numFmt numFmtId="173" formatCode="0.0000%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wissReSans"/>
      <family val="2"/>
    </font>
    <font>
      <sz val="11"/>
      <color rgb="FF0000FF"/>
      <name val="Calibri"/>
      <family val="2"/>
      <scheme val="minor"/>
    </font>
    <font>
      <sz val="11"/>
      <color rgb="FF0000FF"/>
      <name val="SwissReSans"/>
      <family val="2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FFFFFF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0"/>
      <name val="Times New Roman"/>
      <family val="1"/>
    </font>
    <font>
      <b/>
      <sz val="12"/>
      <name val="Times New Roman"/>
      <family val="1"/>
    </font>
    <font>
      <sz val="10"/>
      <color rgb="FFFF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0" fillId="0" borderId="0"/>
  </cellStyleXfs>
  <cellXfs count="172">
    <xf numFmtId="0" fontId="0" fillId="0" borderId="0" xfId="0"/>
    <xf numFmtId="0" fontId="2" fillId="0" borderId="0" xfId="0" applyFont="1"/>
    <xf numFmtId="166" fontId="0" fillId="0" borderId="0" xfId="1" applyNumberFormat="1" applyFont="1"/>
    <xf numFmtId="0" fontId="8" fillId="2" borderId="1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64" fontId="10" fillId="0" borderId="0" xfId="1" applyFont="1" applyAlignment="1">
      <alignment vertical="center"/>
    </xf>
    <xf numFmtId="164" fontId="0" fillId="0" borderId="0" xfId="1" applyFont="1" applyAlignment="1"/>
    <xf numFmtId="172" fontId="9" fillId="3" borderId="5" xfId="1" applyNumberFormat="1" applyFont="1" applyFill="1" applyBorder="1" applyAlignment="1">
      <alignment horizontal="center" vertical="center"/>
    </xf>
    <xf numFmtId="172" fontId="9" fillId="3" borderId="6" xfId="1" applyNumberFormat="1" applyFont="1" applyFill="1" applyBorder="1" applyAlignment="1">
      <alignment horizontal="center" vertical="center"/>
    </xf>
    <xf numFmtId="172" fontId="9" fillId="3" borderId="7" xfId="1" applyNumberFormat="1" applyFont="1" applyFill="1" applyBorder="1" applyAlignment="1">
      <alignment horizontal="center" vertical="center"/>
    </xf>
    <xf numFmtId="172" fontId="9" fillId="3" borderId="8" xfId="1" applyNumberFormat="1" applyFont="1" applyFill="1" applyBorder="1" applyAlignment="1">
      <alignment horizontal="center" vertical="center"/>
    </xf>
    <xf numFmtId="172" fontId="9" fillId="3" borderId="7" xfId="1" applyNumberFormat="1" applyFont="1" applyFill="1" applyBorder="1" applyAlignment="1">
      <alignment horizontal="center" vertical="center" wrapText="1"/>
    </xf>
    <xf numFmtId="172" fontId="0" fillId="0" borderId="0" xfId="0" applyNumberFormat="1"/>
    <xf numFmtId="10" fontId="0" fillId="0" borderId="0" xfId="2" applyNumberFormat="1" applyFont="1"/>
    <xf numFmtId="166" fontId="0" fillId="6" borderId="12" xfId="1" applyNumberFormat="1" applyFont="1" applyFill="1" applyBorder="1" applyProtection="1">
      <protection locked="0"/>
    </xf>
    <xf numFmtId="166" fontId="0" fillId="6" borderId="0" xfId="1" applyNumberFormat="1" applyFont="1" applyFill="1" applyBorder="1" applyProtection="1">
      <protection locked="0"/>
    </xf>
    <xf numFmtId="10" fontId="0" fillId="6" borderId="0" xfId="0" applyNumberFormat="1" applyFill="1" applyProtection="1">
      <protection locked="0"/>
    </xf>
    <xf numFmtId="0" fontId="21" fillId="0" borderId="0" xfId="4" applyFont="1" applyAlignment="1">
      <alignment horizontal="centerContinuous"/>
    </xf>
    <xf numFmtId="165" fontId="20" fillId="0" borderId="0" xfId="4" applyNumberFormat="1" applyAlignment="1">
      <alignment horizontal="centerContinuous"/>
    </xf>
    <xf numFmtId="0" fontId="20" fillId="0" borderId="0" xfId="4" applyAlignment="1">
      <alignment horizontal="centerContinuous"/>
    </xf>
    <xf numFmtId="0" fontId="20" fillId="0" borderId="0" xfId="4"/>
    <xf numFmtId="0" fontId="20" fillId="0" borderId="0" xfId="4" applyAlignment="1">
      <alignment horizontal="right"/>
    </xf>
    <xf numFmtId="165" fontId="20" fillId="0" borderId="0" xfId="4" applyNumberFormat="1" applyAlignment="1">
      <alignment horizontal="right"/>
    </xf>
    <xf numFmtId="165" fontId="20" fillId="0" borderId="0" xfId="4" applyNumberFormat="1"/>
    <xf numFmtId="0" fontId="22" fillId="0" borderId="0" xfId="4" applyFont="1"/>
    <xf numFmtId="0" fontId="7" fillId="7" borderId="11" xfId="0" applyFont="1" applyFill="1" applyBorder="1" applyAlignment="1">
      <alignment horizontal="center"/>
    </xf>
    <xf numFmtId="9" fontId="0" fillId="0" borderId="0" xfId="0" applyNumberFormat="1"/>
    <xf numFmtId="166" fontId="0" fillId="0" borderId="0" xfId="0" applyNumberFormat="1"/>
    <xf numFmtId="3" fontId="2" fillId="0" borderId="0" xfId="0" applyNumberFormat="1" applyFont="1"/>
    <xf numFmtId="0" fontId="2" fillId="0" borderId="12" xfId="0" applyFont="1" applyBorder="1"/>
    <xf numFmtId="0" fontId="2" fillId="0" borderId="12" xfId="0" applyFont="1" applyBorder="1" applyAlignment="1">
      <alignment horizontal="center" wrapText="1"/>
    </xf>
    <xf numFmtId="0" fontId="0" fillId="0" borderId="12" xfId="0" applyBorder="1"/>
    <xf numFmtId="0" fontId="2" fillId="0" borderId="13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left"/>
    </xf>
    <xf numFmtId="37" fontId="0" fillId="0" borderId="12" xfId="0" applyNumberFormat="1" applyBorder="1"/>
    <xf numFmtId="0" fontId="2" fillId="0" borderId="14" xfId="0" applyFont="1" applyBorder="1"/>
    <xf numFmtId="0" fontId="2" fillId="0" borderId="15" xfId="0" applyFont="1" applyBorder="1"/>
    <xf numFmtId="0" fontId="4" fillId="0" borderId="14" xfId="0" applyFont="1" applyBorder="1"/>
    <xf numFmtId="0" fontId="4" fillId="0" borderId="12" xfId="0" applyFont="1" applyBorder="1"/>
    <xf numFmtId="0" fontId="5" fillId="0" borderId="12" xfId="3" applyFont="1" applyBorder="1"/>
    <xf numFmtId="0" fontId="5" fillId="0" borderId="15" xfId="3" applyFont="1" applyBorder="1"/>
    <xf numFmtId="0" fontId="6" fillId="0" borderId="14" xfId="0" applyFont="1" applyBorder="1" applyAlignment="1">
      <alignment horizontal="center"/>
    </xf>
    <xf numFmtId="0" fontId="6" fillId="0" borderId="12" xfId="0" applyFont="1" applyBorder="1"/>
    <xf numFmtId="170" fontId="7" fillId="0" borderId="12" xfId="0" applyNumberFormat="1" applyFont="1" applyBorder="1"/>
    <xf numFmtId="170" fontId="7" fillId="0" borderId="15" xfId="0" applyNumberFormat="1" applyFont="1" applyBorder="1"/>
    <xf numFmtId="164" fontId="2" fillId="0" borderId="0" xfId="0" applyNumberFormat="1" applyFont="1"/>
    <xf numFmtId="167" fontId="4" fillId="0" borderId="0" xfId="0" applyNumberFormat="1" applyFont="1"/>
    <xf numFmtId="164" fontId="13" fillId="0" borderId="0" xfId="0" applyNumberFormat="1" applyFont="1"/>
    <xf numFmtId="3" fontId="0" fillId="4" borderId="0" xfId="0" applyNumberFormat="1" applyFill="1" applyAlignment="1">
      <alignment horizontal="center" vertical="center"/>
    </xf>
    <xf numFmtId="37" fontId="18" fillId="4" borderId="0" xfId="1" applyNumberFormat="1" applyFont="1" applyFill="1" applyAlignment="1" applyProtection="1">
      <alignment horizontal="center" vertical="center"/>
    </xf>
    <xf numFmtId="37" fontId="4" fillId="4" borderId="0" xfId="1" applyNumberFormat="1" applyFont="1" applyFill="1" applyAlignment="1" applyProtection="1">
      <alignment horizontal="center" vertical="center"/>
    </xf>
    <xf numFmtId="0" fontId="0" fillId="4" borderId="0" xfId="0" applyFill="1"/>
    <xf numFmtId="164" fontId="13" fillId="4" borderId="0" xfId="0" applyNumberFormat="1" applyFont="1" applyFill="1"/>
    <xf numFmtId="166" fontId="17" fillId="0" borderId="0" xfId="0" applyNumberFormat="1" applyFont="1"/>
    <xf numFmtId="0" fontId="2" fillId="0" borderId="0" xfId="0" applyFont="1" applyAlignment="1">
      <alignment horizontal="left"/>
    </xf>
    <xf numFmtId="164" fontId="0" fillId="0" borderId="0" xfId="0" applyNumberFormat="1"/>
    <xf numFmtId="0" fontId="0" fillId="0" borderId="16" xfId="0" applyBorder="1"/>
    <xf numFmtId="165" fontId="0" fillId="0" borderId="0" xfId="0" applyNumberFormat="1"/>
    <xf numFmtId="164" fontId="0" fillId="0" borderId="0" xfId="1" applyFont="1" applyBorder="1" applyProtection="1"/>
    <xf numFmtId="164" fontId="0" fillId="0" borderId="17" xfId="0" applyNumberFormat="1" applyBorder="1"/>
    <xf numFmtId="0" fontId="4" fillId="0" borderId="16" xfId="0" applyFont="1" applyBorder="1"/>
    <xf numFmtId="0" fontId="4" fillId="0" borderId="0" xfId="0" applyFont="1"/>
    <xf numFmtId="168" fontId="5" fillId="0" borderId="0" xfId="3" applyNumberFormat="1" applyFont="1"/>
    <xf numFmtId="171" fontId="5" fillId="0" borderId="0" xfId="1" applyNumberFormat="1" applyFont="1" applyBorder="1" applyAlignment="1" applyProtection="1">
      <alignment horizontal="center"/>
    </xf>
    <xf numFmtId="171" fontId="5" fillId="0" borderId="0" xfId="1" applyNumberFormat="1" applyFont="1" applyBorder="1" applyAlignment="1" applyProtection="1">
      <alignment horizontal="center" vertical="center"/>
    </xf>
    <xf numFmtId="171" fontId="5" fillId="0" borderId="17" xfId="1" applyNumberFormat="1" applyFont="1" applyBorder="1" applyAlignment="1" applyProtection="1">
      <alignment horizontal="center" vertical="center"/>
    </xf>
    <xf numFmtId="0" fontId="6" fillId="0" borderId="16" xfId="0" applyFont="1" applyBorder="1" applyAlignment="1">
      <alignment horizontal="center"/>
    </xf>
    <xf numFmtId="170" fontId="6" fillId="0" borderId="0" xfId="0" applyNumberFormat="1" applyFont="1"/>
    <xf numFmtId="164" fontId="6" fillId="0" borderId="17" xfId="1" applyFont="1" applyBorder="1" applyProtection="1"/>
    <xf numFmtId="164" fontId="4" fillId="0" borderId="0" xfId="0" applyNumberFormat="1" applyFont="1"/>
    <xf numFmtId="3" fontId="0" fillId="0" borderId="0" xfId="0" applyNumberFormat="1" applyAlignment="1">
      <alignment horizontal="center" vertical="center"/>
    </xf>
    <xf numFmtId="37" fontId="18" fillId="0" borderId="0" xfId="1" applyNumberFormat="1" applyFont="1" applyAlignment="1" applyProtection="1">
      <alignment horizontal="center" vertical="center"/>
    </xf>
    <xf numFmtId="37" fontId="4" fillId="0" borderId="0" xfId="1" applyNumberFormat="1" applyFont="1" applyAlignment="1" applyProtection="1">
      <alignment horizontal="center" vertical="center"/>
    </xf>
    <xf numFmtId="0" fontId="0" fillId="0" borderId="13" xfId="0" applyBorder="1"/>
    <xf numFmtId="0" fontId="0" fillId="0" borderId="12" xfId="0" applyBorder="1" applyAlignment="1">
      <alignment horizontal="center"/>
    </xf>
    <xf numFmtId="0" fontId="12" fillId="0" borderId="12" xfId="0" applyFont="1" applyBorder="1"/>
    <xf numFmtId="166" fontId="12" fillId="0" borderId="12" xfId="1" applyNumberFormat="1" applyFont="1" applyBorder="1" applyProtection="1"/>
    <xf numFmtId="0" fontId="0" fillId="0" borderId="13" xfId="0" applyBorder="1" applyAlignment="1">
      <alignment horizontal="center"/>
    </xf>
    <xf numFmtId="0" fontId="12" fillId="0" borderId="12" xfId="0" applyFont="1" applyBorder="1" applyAlignment="1">
      <alignment horizontal="left"/>
    </xf>
    <xf numFmtId="166" fontId="12" fillId="0" borderId="12" xfId="1" applyNumberFormat="1" applyFont="1" applyBorder="1" applyAlignment="1" applyProtection="1">
      <alignment horizontal="right"/>
    </xf>
    <xf numFmtId="166" fontId="0" fillId="0" borderId="12" xfId="1" applyNumberFormat="1" applyFont="1" applyBorder="1" applyProtection="1"/>
    <xf numFmtId="0" fontId="12" fillId="0" borderId="13" xfId="0" applyFont="1" applyBorder="1" applyAlignment="1">
      <alignment horizontal="left"/>
    </xf>
    <xf numFmtId="166" fontId="12" fillId="0" borderId="13" xfId="1" applyNumberFormat="1" applyFont="1" applyBorder="1" applyAlignment="1" applyProtection="1">
      <alignment horizontal="right"/>
    </xf>
    <xf numFmtId="0" fontId="12" fillId="0" borderId="0" xfId="0" applyFont="1"/>
    <xf numFmtId="166" fontId="12" fillId="0" borderId="0" xfId="1" applyNumberFormat="1" applyFont="1" applyBorder="1" applyProtection="1"/>
    <xf numFmtId="0" fontId="14" fillId="0" borderId="12" xfId="0" applyFont="1" applyBorder="1" applyAlignment="1">
      <alignment horizontal="left"/>
    </xf>
    <xf numFmtId="37" fontId="14" fillId="0" borderId="12" xfId="0" applyNumberFormat="1" applyFont="1" applyBorder="1"/>
    <xf numFmtId="0" fontId="12" fillId="0" borderId="13" xfId="0" applyFont="1" applyBorder="1"/>
    <xf numFmtId="166" fontId="12" fillId="0" borderId="13" xfId="1" applyNumberFormat="1" applyFont="1" applyBorder="1" applyProtection="1"/>
    <xf numFmtId="166" fontId="0" fillId="0" borderId="13" xfId="1" applyNumberFormat="1" applyFont="1" applyBorder="1" applyProtection="1"/>
    <xf numFmtId="0" fontId="14" fillId="0" borderId="0" xfId="0" applyFont="1" applyAlignment="1">
      <alignment horizontal="left"/>
    </xf>
    <xf numFmtId="166" fontId="14" fillId="0" borderId="0" xfId="0" applyNumberFormat="1" applyFont="1"/>
    <xf numFmtId="166" fontId="0" fillId="0" borderId="11" xfId="1" applyNumberFormat="1" applyFont="1" applyBorder="1" applyProtection="1"/>
    <xf numFmtId="0" fontId="14" fillId="0" borderId="13" xfId="0" applyFont="1" applyBorder="1" applyAlignment="1">
      <alignment horizontal="left"/>
    </xf>
    <xf numFmtId="10" fontId="14" fillId="0" borderId="13" xfId="2" applyNumberFormat="1" applyFont="1" applyBorder="1" applyProtection="1"/>
    <xf numFmtId="10" fontId="0" fillId="7" borderId="12" xfId="0" applyNumberFormat="1" applyFill="1" applyBorder="1"/>
    <xf numFmtId="10" fontId="0" fillId="5" borderId="0" xfId="0" applyNumberFormat="1" applyFill="1"/>
    <xf numFmtId="0" fontId="2" fillId="0" borderId="13" xfId="0" applyFont="1" applyBorder="1" applyAlignment="1">
      <alignment horizontal="left"/>
    </xf>
    <xf numFmtId="166" fontId="0" fillId="0" borderId="13" xfId="0" applyNumberFormat="1" applyBorder="1"/>
    <xf numFmtId="10" fontId="0" fillId="7" borderId="0" xfId="0" applyNumberFormat="1" applyFill="1"/>
    <xf numFmtId="166" fontId="0" fillId="0" borderId="12" xfId="0" applyNumberFormat="1" applyBorder="1"/>
    <xf numFmtId="164" fontId="0" fillId="5" borderId="0" xfId="1" applyFont="1" applyFill="1" applyBorder="1" applyProtection="1"/>
    <xf numFmtId="10" fontId="0" fillId="0" borderId="13" xfId="0" applyNumberFormat="1" applyBorder="1"/>
    <xf numFmtId="166" fontId="0" fillId="0" borderId="14" xfId="0" applyNumberFormat="1" applyBorder="1"/>
    <xf numFmtId="10" fontId="0" fillId="6" borderId="15" xfId="0" applyNumberFormat="1" applyFill="1" applyBorder="1"/>
    <xf numFmtId="166" fontId="0" fillId="0" borderId="18" xfId="0" applyNumberFormat="1" applyBorder="1"/>
    <xf numFmtId="10" fontId="0" fillId="6" borderId="19" xfId="0" applyNumberFormat="1" applyFill="1" applyBorder="1"/>
    <xf numFmtId="164" fontId="0" fillId="0" borderId="23" xfId="0" applyNumberFormat="1" applyBorder="1"/>
    <xf numFmtId="164" fontId="0" fillId="0" borderId="20" xfId="0" applyNumberFormat="1" applyBorder="1"/>
    <xf numFmtId="169" fontId="0" fillId="0" borderId="0" xfId="0" applyNumberFormat="1"/>
    <xf numFmtId="0" fontId="0" fillId="0" borderId="14" xfId="0" applyBorder="1"/>
    <xf numFmtId="166" fontId="0" fillId="0" borderId="15" xfId="1" applyNumberFormat="1" applyFont="1" applyBorder="1" applyProtection="1"/>
    <xf numFmtId="173" fontId="0" fillId="0" borderId="21" xfId="0" applyNumberFormat="1" applyBorder="1"/>
    <xf numFmtId="164" fontId="0" fillId="0" borderId="22" xfId="0" applyNumberFormat="1" applyBorder="1"/>
    <xf numFmtId="166" fontId="0" fillId="0" borderId="22" xfId="0" applyNumberFormat="1" applyBorder="1"/>
    <xf numFmtId="0" fontId="16" fillId="4" borderId="16" xfId="0" applyFont="1" applyFill="1" applyBorder="1"/>
    <xf numFmtId="166" fontId="16" fillId="4" borderId="22" xfId="0" applyNumberFormat="1" applyFont="1" applyFill="1" applyBorder="1"/>
    <xf numFmtId="0" fontId="16" fillId="4" borderId="18" xfId="0" applyFont="1" applyFill="1" applyBorder="1"/>
    <xf numFmtId="0" fontId="0" fillId="0" borderId="18" xfId="0" applyBorder="1"/>
    <xf numFmtId="166" fontId="0" fillId="0" borderId="19" xfId="0" applyNumberFormat="1" applyBorder="1"/>
    <xf numFmtId="165" fontId="0" fillId="0" borderId="13" xfId="0" applyNumberFormat="1" applyBorder="1"/>
    <xf numFmtId="164" fontId="0" fillId="0" borderId="13" xfId="1" applyFont="1" applyBorder="1" applyProtection="1"/>
    <xf numFmtId="164" fontId="0" fillId="0" borderId="19" xfId="0" applyNumberFormat="1" applyBorder="1"/>
    <xf numFmtId="0" fontId="6" fillId="0" borderId="18" xfId="0" applyFont="1" applyBorder="1" applyAlignment="1">
      <alignment horizontal="center"/>
    </xf>
    <xf numFmtId="170" fontId="6" fillId="0" borderId="13" xfId="0" applyNumberFormat="1" applyFont="1" applyBorder="1"/>
    <xf numFmtId="164" fontId="6" fillId="0" borderId="19" xfId="1" applyFont="1" applyBorder="1" applyProtection="1"/>
    <xf numFmtId="164" fontId="0" fillId="0" borderId="0" xfId="1" applyFont="1" applyProtection="1"/>
    <xf numFmtId="169" fontId="17" fillId="0" borderId="0" xfId="0" applyNumberFormat="1" applyFont="1"/>
    <xf numFmtId="166" fontId="0" fillId="4" borderId="0" xfId="0" applyNumberFormat="1" applyFill="1" applyAlignment="1">
      <alignment horizontal="center"/>
    </xf>
    <xf numFmtId="0" fontId="18" fillId="0" borderId="0" xfId="0" applyFont="1"/>
    <xf numFmtId="0" fontId="4" fillId="0" borderId="18" xfId="0" applyFont="1" applyBorder="1"/>
    <xf numFmtId="0" fontId="4" fillId="0" borderId="13" xfId="0" applyFont="1" applyBorder="1"/>
    <xf numFmtId="168" fontId="5" fillId="0" borderId="13" xfId="3" applyNumberFormat="1" applyFont="1" applyBorder="1"/>
    <xf numFmtId="171" fontId="5" fillId="0" borderId="13" xfId="1" applyNumberFormat="1" applyFont="1" applyBorder="1" applyAlignment="1" applyProtection="1">
      <alignment horizontal="center"/>
    </xf>
    <xf numFmtId="171" fontId="5" fillId="0" borderId="13" xfId="1" applyNumberFormat="1" applyFont="1" applyBorder="1" applyAlignment="1" applyProtection="1">
      <alignment horizontal="center" vertical="center"/>
    </xf>
    <xf numFmtId="171" fontId="5" fillId="0" borderId="19" xfId="1" applyNumberFormat="1" applyFont="1" applyBorder="1" applyAlignment="1" applyProtection="1">
      <alignment horizontal="center" vertical="center"/>
    </xf>
    <xf numFmtId="37" fontId="0" fillId="0" borderId="0" xfId="1" applyNumberFormat="1" applyFont="1" applyAlignment="1" applyProtection="1">
      <alignment horizontal="center" vertical="center"/>
    </xf>
    <xf numFmtId="168" fontId="3" fillId="0" borderId="0" xfId="3" applyNumberFormat="1"/>
    <xf numFmtId="167" fontId="3" fillId="0" borderId="0" xfId="1" applyNumberFormat="1" applyFont="1" applyProtection="1"/>
    <xf numFmtId="164" fontId="3" fillId="0" borderId="0" xfId="3" applyNumberFormat="1"/>
    <xf numFmtId="0" fontId="0" fillId="6" borderId="13" xfId="0" applyFill="1" applyBorder="1" applyAlignment="1" applyProtection="1">
      <alignment horizontal="center"/>
      <protection locked="0"/>
    </xf>
    <xf numFmtId="10" fontId="0" fillId="5" borderId="12" xfId="0" applyNumberFormat="1" applyFill="1" applyBorder="1"/>
    <xf numFmtId="166" fontId="16" fillId="4" borderId="23" xfId="0" applyNumberFormat="1" applyFont="1" applyFill="1" applyBorder="1" applyProtection="1">
      <protection locked="0"/>
    </xf>
    <xf numFmtId="0" fontId="7" fillId="7" borderId="11" xfId="0" applyFont="1" applyFill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12" fillId="0" borderId="11" xfId="0" applyFont="1" applyBorder="1" applyAlignment="1" applyProtection="1">
      <alignment wrapText="1"/>
      <protection locked="0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2" fillId="0" borderId="12" xfId="0" applyFont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3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12" fillId="0" borderId="11" xfId="0" applyFont="1" applyBorder="1" applyAlignment="1">
      <alignment wrapText="1"/>
    </xf>
  </cellXfs>
  <cellStyles count="5">
    <cellStyle name="Comma" xfId="1" builtinId="3"/>
    <cellStyle name="Normal" xfId="0" builtinId="0"/>
    <cellStyle name="Normal 2" xfId="4" xr:uid="{81298274-99FF-4306-A3B4-6A917F20E71F}"/>
    <cellStyle name="Normal 3" xfId="3" xr:uid="{2EE152C3-315B-4BA8-A8C5-7CE25F033B4B}"/>
    <cellStyle name="Per cent" xfId="2" builtinId="5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2882900</xdr:colOff>
          <xdr:row>23</xdr:row>
          <xdr:rowOff>38100</xdr:rowOff>
        </xdr:from>
        <xdr:to>
          <xdr:col>2</xdr:col>
          <xdr:colOff>673100</xdr:colOff>
          <xdr:row>25</xdr:row>
          <xdr:rowOff>139700</xdr:rowOff>
        </xdr:to>
        <xdr:sp macro="" textlink="">
          <xdr:nvSpPr>
            <xdr:cNvPr id="8561" name="Button 5489" hidden="1">
              <a:extLst>
                <a:ext uri="{63B3BB69-23CF-44E3-9099-C40C66FF867C}">
                  <a14:compatExt spid="_x0000_s8561"/>
                </a:ext>
                <a:ext uri="{FF2B5EF4-FFF2-40B4-BE49-F238E27FC236}">
                  <a16:creationId xmlns:a16="http://schemas.microsoft.com/office/drawing/2014/main" id="{00000000-0008-0000-0000-00007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Life Annuity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after Living Annuity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2235200</xdr:colOff>
          <xdr:row>24</xdr:row>
          <xdr:rowOff>12700</xdr:rowOff>
        </xdr:from>
        <xdr:to>
          <xdr:col>2</xdr:col>
          <xdr:colOff>660400</xdr:colOff>
          <xdr:row>25</xdr:row>
          <xdr:rowOff>165100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Life Annuity From day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3E767-289A-4974-9A2F-47F54EC4AFB2}">
  <sheetPr codeName="Sheet1"/>
  <dimension ref="B1:BM2218"/>
  <sheetViews>
    <sheetView showGridLines="0" tabSelected="1" zoomScale="106" zoomScaleNormal="85" workbookViewId="0">
      <selection activeCell="C11" sqref="C11"/>
    </sheetView>
  </sheetViews>
  <sheetFormatPr baseColWidth="10" defaultColWidth="9.1640625" defaultRowHeight="15"/>
  <cols>
    <col min="1" max="1" width="2.5" customWidth="1"/>
    <col min="2" max="2" width="49.83203125" customWidth="1"/>
    <col min="3" max="3" width="12.1640625" bestFit="1" customWidth="1"/>
    <col min="4" max="4" width="8.6640625" bestFit="1" customWidth="1"/>
    <col min="5" max="5" width="8.1640625" customWidth="1"/>
    <col min="6" max="6" width="8" customWidth="1"/>
    <col min="7" max="7" width="7" customWidth="1"/>
    <col min="8" max="8" width="6" bestFit="1" customWidth="1"/>
    <col min="9" max="9" width="13" bestFit="1" customWidth="1"/>
    <col min="10" max="10" width="7.5" bestFit="1" customWidth="1"/>
    <col min="11" max="11" width="7" style="138" bestFit="1" customWidth="1"/>
    <col min="12" max="12" width="6.83203125" style="138" bestFit="1" customWidth="1"/>
    <col min="13" max="13" width="8" style="138" bestFit="1" customWidth="1"/>
    <col min="14" max="14" width="7.6640625" style="138" bestFit="1" customWidth="1"/>
    <col min="15" max="15" width="7.83203125" bestFit="1" customWidth="1"/>
    <col min="16" max="16" width="9" bestFit="1" customWidth="1"/>
    <col min="17" max="17" width="2.5" customWidth="1"/>
    <col min="18" max="18" width="6.5" bestFit="1" customWidth="1"/>
    <col min="19" max="19" width="7.83203125" bestFit="1" customWidth="1"/>
    <col min="20" max="20" width="7.6640625" customWidth="1"/>
    <col min="21" max="21" width="6" bestFit="1" customWidth="1"/>
    <col min="22" max="22" width="13" bestFit="1" customWidth="1"/>
    <col min="23" max="23" width="7.33203125" customWidth="1"/>
    <col min="24" max="24" width="7" style="138" bestFit="1" customWidth="1"/>
    <col min="25" max="25" width="6.83203125" style="138" bestFit="1" customWidth="1"/>
    <col min="26" max="26" width="8" style="138" bestFit="1" customWidth="1"/>
    <col min="27" max="27" width="7.6640625" style="138" bestFit="1" customWidth="1"/>
    <col min="28" max="28" width="7.83203125" bestFit="1" customWidth="1"/>
    <col min="29" max="29" width="9" bestFit="1" customWidth="1"/>
    <col min="30" max="30" width="2.1640625" customWidth="1"/>
    <col min="31" max="31" width="9.83203125" customWidth="1"/>
    <col min="32" max="32" width="15.33203125" customWidth="1"/>
    <col min="33" max="33" width="37.1640625" customWidth="1"/>
    <col min="34" max="34" width="11.83203125" customWidth="1"/>
    <col min="35" max="35" width="2.5" hidden="1" customWidth="1"/>
    <col min="36" max="36" width="4.83203125" hidden="1" customWidth="1"/>
    <col min="37" max="37" width="8.1640625" hidden="1" customWidth="1"/>
    <col min="38" max="40" width="11.83203125" hidden="1" customWidth="1"/>
    <col min="41" max="42" width="6.6640625" hidden="1" customWidth="1"/>
    <col min="43" max="43" width="2.5" hidden="1" customWidth="1"/>
    <col min="44" max="44" width="4.5" hidden="1" customWidth="1"/>
    <col min="45" max="45" width="6.1640625" hidden="1" customWidth="1"/>
    <col min="46" max="46" width="17.33203125" hidden="1" customWidth="1"/>
    <col min="47" max="48" width="9.1640625" hidden="1" customWidth="1"/>
    <col min="49" max="49" width="16.33203125" hidden="1" customWidth="1"/>
    <col min="50" max="50" width="2.5" hidden="1" customWidth="1"/>
    <col min="51" max="51" width="4.83203125" hidden="1" customWidth="1"/>
    <col min="52" max="63" width="10.5" hidden="1" customWidth="1"/>
    <col min="64" max="64" width="13.5" hidden="1" customWidth="1"/>
    <col min="65" max="65" width="13.83203125" hidden="1" customWidth="1"/>
  </cols>
  <sheetData>
    <row r="1" spans="2:65">
      <c r="E1" s="33" t="s">
        <v>81</v>
      </c>
      <c r="F1" s="152" t="s">
        <v>79</v>
      </c>
      <c r="G1" s="153"/>
      <c r="H1" s="153"/>
      <c r="I1" s="153"/>
      <c r="J1" s="153"/>
      <c r="K1" s="153"/>
      <c r="L1" s="153"/>
      <c r="M1" s="153"/>
      <c r="N1" s="153"/>
      <c r="O1" s="153"/>
      <c r="P1" s="153"/>
      <c r="R1" s="33" t="s">
        <v>81</v>
      </c>
      <c r="S1" s="152" t="s">
        <v>80</v>
      </c>
      <c r="T1" s="153"/>
      <c r="U1" s="153"/>
      <c r="V1" s="153"/>
      <c r="W1" s="153"/>
      <c r="X1" s="153"/>
      <c r="Y1" s="153"/>
      <c r="Z1" s="153"/>
      <c r="AA1" s="153"/>
      <c r="AB1" s="153"/>
      <c r="AC1" s="153"/>
      <c r="AF1" s="34"/>
      <c r="AG1" s="35"/>
      <c r="AH1" s="36"/>
    </row>
    <row r="2" spans="2:65">
      <c r="B2" s="33" t="s">
        <v>42</v>
      </c>
      <c r="C2" s="33" t="s">
        <v>71</v>
      </c>
      <c r="E2" s="37"/>
      <c r="F2" s="167" t="s">
        <v>64</v>
      </c>
      <c r="G2" s="38"/>
      <c r="H2" s="38"/>
      <c r="I2" s="37" t="s">
        <v>33</v>
      </c>
      <c r="J2" s="154" t="s">
        <v>3</v>
      </c>
      <c r="K2" s="156" t="s">
        <v>34</v>
      </c>
      <c r="L2" s="156" t="s">
        <v>53</v>
      </c>
      <c r="M2" s="156" t="s">
        <v>54</v>
      </c>
      <c r="N2" s="156" t="s">
        <v>55</v>
      </c>
      <c r="O2" s="158" t="s">
        <v>56</v>
      </c>
      <c r="P2" s="154" t="s">
        <v>4</v>
      </c>
      <c r="R2" s="37"/>
      <c r="S2" s="169" t="s">
        <v>64</v>
      </c>
      <c r="T2" s="37"/>
      <c r="U2" s="37"/>
      <c r="V2" s="37" t="s">
        <v>33</v>
      </c>
      <c r="W2" s="154" t="s">
        <v>3</v>
      </c>
      <c r="X2" s="156" t="s">
        <v>34</v>
      </c>
      <c r="Y2" s="156" t="s">
        <v>53</v>
      </c>
      <c r="Z2" s="156" t="s">
        <v>54</v>
      </c>
      <c r="AA2" s="156" t="s">
        <v>55</v>
      </c>
      <c r="AB2" s="158" t="s">
        <v>56</v>
      </c>
      <c r="AC2" s="154" t="s">
        <v>4</v>
      </c>
      <c r="AH2" s="36"/>
    </row>
    <row r="3" spans="2:65">
      <c r="B3" s="39" t="s">
        <v>66</v>
      </c>
      <c r="C3" s="22">
        <v>55</v>
      </c>
      <c r="E3" s="40" t="s">
        <v>6</v>
      </c>
      <c r="F3" s="168"/>
      <c r="G3" s="41" t="s">
        <v>62</v>
      </c>
      <c r="H3" s="41" t="s">
        <v>8</v>
      </c>
      <c r="I3" s="40" t="s">
        <v>2</v>
      </c>
      <c r="J3" s="155"/>
      <c r="K3" s="157"/>
      <c r="L3" s="157"/>
      <c r="M3" s="157"/>
      <c r="N3" s="157"/>
      <c r="O3" s="159"/>
      <c r="P3" s="155"/>
      <c r="R3" s="40" t="s">
        <v>6</v>
      </c>
      <c r="S3" s="170"/>
      <c r="T3" s="41" t="s">
        <v>62</v>
      </c>
      <c r="U3" s="41" t="s">
        <v>8</v>
      </c>
      <c r="V3" s="40" t="s">
        <v>2</v>
      </c>
      <c r="W3" s="155"/>
      <c r="X3" s="157"/>
      <c r="Y3" s="157"/>
      <c r="Z3" s="157"/>
      <c r="AA3" s="157"/>
      <c r="AB3" s="159"/>
      <c r="AC3" s="155"/>
      <c r="AG3" s="42" t="s">
        <v>35</v>
      </c>
      <c r="AH3" s="43">
        <f>-SUM(O:O)</f>
        <v>1360624.3612608591</v>
      </c>
      <c r="AJ3" s="44" t="s">
        <v>5</v>
      </c>
      <c r="AK3" s="37" t="s">
        <v>44</v>
      </c>
      <c r="AL3" s="37" t="s">
        <v>1</v>
      </c>
      <c r="AM3" s="37"/>
      <c r="AN3" s="37"/>
      <c r="AO3" s="37" t="s">
        <v>8</v>
      </c>
      <c r="AP3" s="45" t="s">
        <v>9</v>
      </c>
      <c r="AR3" s="46" t="s">
        <v>7</v>
      </c>
      <c r="AS3" s="47" t="s">
        <v>6</v>
      </c>
      <c r="AT3" s="48" t="s">
        <v>75</v>
      </c>
      <c r="AU3" s="48" t="s">
        <v>76</v>
      </c>
      <c r="AV3" s="48" t="s">
        <v>12</v>
      </c>
      <c r="AW3" s="49" t="s">
        <v>11</v>
      </c>
      <c r="AY3" s="50" t="s">
        <v>7</v>
      </c>
      <c r="AZ3" s="51">
        <v>1</v>
      </c>
      <c r="BA3" s="51">
        <v>2</v>
      </c>
      <c r="BB3" s="51">
        <v>3</v>
      </c>
      <c r="BC3" s="51">
        <v>4</v>
      </c>
      <c r="BD3" s="51">
        <v>5</v>
      </c>
      <c r="BE3" s="51">
        <v>6</v>
      </c>
      <c r="BF3" s="51">
        <v>7</v>
      </c>
      <c r="BG3" s="51">
        <v>8</v>
      </c>
      <c r="BH3" s="51">
        <v>9</v>
      </c>
      <c r="BI3" s="51">
        <v>10</v>
      </c>
      <c r="BJ3" s="51">
        <v>11</v>
      </c>
      <c r="BK3" s="51">
        <v>12</v>
      </c>
      <c r="BL3" s="52" t="s">
        <v>10</v>
      </c>
      <c r="BM3" s="53" t="s">
        <v>11</v>
      </c>
    </row>
    <row r="4" spans="2:65">
      <c r="B4" t="s">
        <v>0</v>
      </c>
      <c r="C4" s="23">
        <v>500000</v>
      </c>
      <c r="E4">
        <v>1</v>
      </c>
      <c r="F4" s="54">
        <f>$C$3</f>
        <v>55</v>
      </c>
      <c r="G4" s="55">
        <f t="shared" ref="G4:G67" si="0">(1-(1-IF(F4&gt;$AJ$90,0,VLOOKUP(ROUND(F4,0),$AJ$4:$AK$90,2,FALSE)))^(1/12))*0</f>
        <v>0</v>
      </c>
      <c r="H4" s="56">
        <v>1</v>
      </c>
      <c r="I4" s="57">
        <f>C4*(1-$C$14-$C$15*(1+$C$20))</f>
        <v>484300</v>
      </c>
      <c r="J4" s="57">
        <f t="shared" ref="J4:J67" si="1">(I4)*$AU4</f>
        <v>3303.6492371355284</v>
      </c>
      <c r="K4" s="58">
        <f t="shared" ref="K4:K67" si="2">IF(I4=0,0,-$C$19)*H4</f>
        <v>-15</v>
      </c>
      <c r="L4" s="58">
        <f>-I4*($C$16/12)</f>
        <v>-403.58333333333337</v>
      </c>
      <c r="M4" s="58">
        <f>-IF(MOD(E4-1,12)=0,1,0)*I4*($C$17)</f>
        <v>-3632.25</v>
      </c>
      <c r="N4" s="58">
        <f>-I4*($C$18*(1+$C$20))/12</f>
        <v>-460.08500000000009</v>
      </c>
      <c r="O4" s="59">
        <f t="shared" ref="O4:O67" si="3">-MIN(
IF(MOD(E4-1,IF($C$7="Annual",12,1))=0,1,0)
*IF(F4&lt;=$C$6,H4*$C$5*$C$4/IF($C$7="Monthly",12,1),$C$12),I4)</f>
        <v>-2083.3333333333335</v>
      </c>
      <c r="P4" s="57">
        <f t="shared" ref="P4:P67" si="4">SUM(I4:O4)</f>
        <v>481009.39757046889</v>
      </c>
      <c r="Q4" s="35"/>
      <c r="R4" s="60">
        <f ca="1">OFFSET($E$3,MATCH(C6,F4:F784,1),0)</f>
        <v>126</v>
      </c>
      <c r="S4" s="56">
        <f>$C$6</f>
        <v>65</v>
      </c>
      <c r="T4" s="55">
        <f t="shared" ref="T4:T67" si="5">(1-(1-IF(S4&gt;$AJ$90,0,VLOOKUP(ROUND(S4,0),$AJ$4:$AK$90,2,FALSE)))^(1/12))</f>
        <v>2.2646626432303307E-3</v>
      </c>
      <c r="U4" s="61">
        <f ca="1">OFFSET($H$3,MATCH(C6,F4:F784,1),0)</f>
        <v>1</v>
      </c>
      <c r="V4" s="57">
        <f ca="1">OFFSET($I$4,MATCH(C6,$F$4:$F$784,1)-1,0)</f>
        <v>487237.14166762872</v>
      </c>
      <c r="W4" s="57">
        <f t="shared" ref="W4:W67" ca="1" si="6">(V4)*$AU4</f>
        <v>3323.684929536149</v>
      </c>
      <c r="X4" s="58">
        <f ca="1">IF(V4=0,0,-$C$19)*U4</f>
        <v>-15</v>
      </c>
      <c r="Y4" s="58">
        <f ca="1">-V4*($C$16/12)</f>
        <v>-406.03095138969064</v>
      </c>
      <c r="Z4" s="58">
        <f ca="1">-IF(MOD(R4-1,12)=0,1,0)*V4*($C$17)</f>
        <v>0</v>
      </c>
      <c r="AA4" s="58">
        <f ca="1">-V4*($C$18*(1+$C$20))/12</f>
        <v>-462.87528458424737</v>
      </c>
      <c r="AB4" s="59">
        <f t="shared" ref="AB4:AB67" ca="1" si="7">-MIN(IF(MOD(R4,IF($C$7="Annual",12,1))=0,1,0)*$C$39*U4/IF($C$7="Monthly",12,1),V4)</f>
        <v>-2500.6101455486769</v>
      </c>
      <c r="AC4" s="57">
        <f t="shared" ref="AC4:AC67" ca="1" si="8">SUM(V4:AB4)</f>
        <v>487176.31021564227</v>
      </c>
      <c r="AD4" s="35"/>
      <c r="AE4" s="62">
        <f t="shared" ref="AE4:AE67" ca="1" si="9">AB4/U4</f>
        <v>-2500.6101455486769</v>
      </c>
      <c r="AF4" s="62">
        <f t="shared" ref="AF4:AF67" ca="1" si="10">AC4/U4</f>
        <v>487176.31021564227</v>
      </c>
      <c r="AG4" s="63" t="s">
        <v>36</v>
      </c>
      <c r="AH4" s="35">
        <f>-SUMPRODUCT(O4:O1803,AT4:AT1803)</f>
        <v>321362.70967755443</v>
      </c>
      <c r="AI4" s="64"/>
      <c r="AJ4" s="65">
        <v>18</v>
      </c>
      <c r="AK4" s="66">
        <f>'SA85-90'!F10*(1+$AH$22)</f>
        <v>3.6300000000000004E-3</v>
      </c>
      <c r="AL4" s="66">
        <f>'SA85-90 (light)'!F10*(1+$AH$22)</f>
        <v>1.7819999999999999E-3</v>
      </c>
      <c r="AM4" s="66"/>
      <c r="AN4" s="66"/>
      <c r="AO4" s="67">
        <f>(1-VLOOKUP($C$3+E4-1,$AJ$4:$AK$90,2,FALSE))</f>
        <v>0.98923099999999997</v>
      </c>
      <c r="AP4" s="68">
        <f>AO4</f>
        <v>0.98923099999999997</v>
      </c>
      <c r="AR4" s="69">
        <f>ROUNDDOWN((AS4-1)/12,0)+1</f>
        <v>1</v>
      </c>
      <c r="AS4" s="70">
        <v>1</v>
      </c>
      <c r="AT4" s="71">
        <f>1-AU4</f>
        <v>0.99317850663403773</v>
      </c>
      <c r="AU4" s="72">
        <f t="shared" ref="AU4:AU67" si="11">((1+$AH$21)^(1/12))-1</f>
        <v>6.8214933659622723E-3</v>
      </c>
      <c r="AV4" s="73">
        <f>(1+AU4)</f>
        <v>1.0068214933659623</v>
      </c>
      <c r="AW4" s="74">
        <f>AV4</f>
        <v>1.0068214933659623</v>
      </c>
      <c r="AY4" s="75">
        <f>1</f>
        <v>1</v>
      </c>
      <c r="AZ4" s="76">
        <f t="shared" ref="AZ4:BK4" ca="1" si="12">OFFSET($AV$3,($AY4*12-11)*AZ$3,0)</f>
        <v>1.0068214933659623</v>
      </c>
      <c r="BA4" s="76">
        <f t="shared" ca="1" si="12"/>
        <v>1.0068214933659623</v>
      </c>
      <c r="BB4" s="76">
        <f t="shared" ca="1" si="12"/>
        <v>1.0068214933659623</v>
      </c>
      <c r="BC4" s="76">
        <f t="shared" ca="1" si="12"/>
        <v>1.0068214933659623</v>
      </c>
      <c r="BD4" s="76">
        <f t="shared" ca="1" si="12"/>
        <v>1.0068214933659623</v>
      </c>
      <c r="BE4" s="76">
        <f t="shared" ca="1" si="12"/>
        <v>1.0068214933659623</v>
      </c>
      <c r="BF4" s="76">
        <f t="shared" ca="1" si="12"/>
        <v>1.0068214933659623</v>
      </c>
      <c r="BG4" s="76">
        <f t="shared" ca="1" si="12"/>
        <v>1.0068214933659623</v>
      </c>
      <c r="BH4" s="76">
        <f t="shared" ca="1" si="12"/>
        <v>1.0068214933659623</v>
      </c>
      <c r="BI4" s="76">
        <f t="shared" ca="1" si="12"/>
        <v>1.0068214933659623</v>
      </c>
      <c r="BJ4" s="76">
        <f t="shared" ca="1" si="12"/>
        <v>1.0068214933659623</v>
      </c>
      <c r="BK4" s="76">
        <f t="shared" ca="1" si="12"/>
        <v>1.0068214933659623</v>
      </c>
      <c r="BL4" s="76">
        <f t="shared" ref="BL4:BL35" ca="1" si="13">PRODUCT(AZ4:BK4)-1</f>
        <v>8.5000000000000853E-2</v>
      </c>
      <c r="BM4" s="77">
        <f ca="1">PRODUCT(AZ4:BK4)</f>
        <v>1.0850000000000009</v>
      </c>
    </row>
    <row r="5" spans="2:65">
      <c r="B5" t="s">
        <v>59</v>
      </c>
      <c r="C5" s="24">
        <v>0.05</v>
      </c>
      <c r="E5">
        <f>E4+1</f>
        <v>2</v>
      </c>
      <c r="F5" s="64">
        <f t="shared" ref="F5:F68" si="14">ROUND((E5-E4)/12+F4,2)</f>
        <v>55.08</v>
      </c>
      <c r="G5" s="55">
        <f t="shared" si="0"/>
        <v>0</v>
      </c>
      <c r="H5" s="78">
        <f>H4*(1-G4)</f>
        <v>1</v>
      </c>
      <c r="I5" s="79">
        <f t="shared" ref="I5:I68" si="15">MAX(P4,0)*(1-G5)</f>
        <v>481009.39757046889</v>
      </c>
      <c r="J5" s="79">
        <f t="shared" si="1"/>
        <v>3281.2024144924626</v>
      </c>
      <c r="K5" s="80">
        <f t="shared" si="2"/>
        <v>-15</v>
      </c>
      <c r="L5" s="80">
        <f t="shared" ref="L5:L68" si="16">IF(OR(I4+O4=0,K4=0),0,-I5*($C$16/12))</f>
        <v>-400.84116464205744</v>
      </c>
      <c r="M5" s="80">
        <f t="shared" ref="M5:M14" si="17">IF(OR(I4+O4=0,K4=0),0,-IF(MOD(E5-1,12)=0,1,0)*I5*($C$17))</f>
        <v>0</v>
      </c>
      <c r="N5" s="80">
        <f t="shared" ref="N5:N68" si="18">IF(OR(I4+O4=0,K4=0),0,-I5*($C$18*(1+$C$20))/12)</f>
        <v>-456.95892769194552</v>
      </c>
      <c r="O5" s="81">
        <f t="shared" si="3"/>
        <v>-2083.3333333333335</v>
      </c>
      <c r="P5" s="79">
        <f t="shared" si="4"/>
        <v>481334.46655929397</v>
      </c>
      <c r="Q5" s="35"/>
      <c r="R5">
        <f t="shared" ref="R5:R68" ca="1" si="19">R4+1</f>
        <v>127</v>
      </c>
      <c r="S5" s="78">
        <f t="shared" ref="S5:S68" ca="1" si="20">ROUND((R5-R4)/12+S4,2)</f>
        <v>65.08</v>
      </c>
      <c r="T5" s="55">
        <f t="shared" ca="1" si="5"/>
        <v>2.2646626432303307E-3</v>
      </c>
      <c r="U5" s="78">
        <f ca="1">U4*(1-T5)</f>
        <v>0.99773533735676967</v>
      </c>
      <c r="V5" s="79">
        <f t="shared" ref="V5:V68" ca="1" si="21">MAX(AC4,0)*(1-T5)</f>
        <v>486073.02022523014</v>
      </c>
      <c r="W5" s="79">
        <f t="shared" ca="1" si="6"/>
        <v>3315.743882839653</v>
      </c>
      <c r="X5" s="80">
        <f t="shared" ref="X5" ca="1" si="22">IF(V5=0,0,-$C$19)*U5</f>
        <v>-14.966030060351546</v>
      </c>
      <c r="Y5" s="80">
        <f ca="1">IF(OR(V4+AB4=0,X4=0),0,-V5*($C$16/12))</f>
        <v>-405.06085018769181</v>
      </c>
      <c r="Z5" s="80">
        <f t="shared" ref="Z5:Z68" ca="1" si="23">-IF(MOD(R5-1,12)=0,1,0)*V5*($C$17)</f>
        <v>0</v>
      </c>
      <c r="AA5" s="80">
        <f ca="1">IF(OR(V4+AB4=0,X4=0),0,-V5*($C$18*(1+$C$20))/12)</f>
        <v>-461.76936921396873</v>
      </c>
      <c r="AB5" s="81">
        <f t="shared" ca="1" si="7"/>
        <v>-2494.9471071667699</v>
      </c>
      <c r="AC5" s="79">
        <f t="shared" ca="1" si="8"/>
        <v>486012.02075144101</v>
      </c>
      <c r="AD5" s="35"/>
      <c r="AE5" s="62">
        <f t="shared" ca="1" si="9"/>
        <v>-2500.6101455486769</v>
      </c>
      <c r="AF5" s="62">
        <f t="shared" ca="1" si="10"/>
        <v>487115.1722850657</v>
      </c>
      <c r="AG5" s="63" t="s">
        <v>37</v>
      </c>
      <c r="AH5" s="35">
        <f>C4</f>
        <v>500000</v>
      </c>
      <c r="AI5" s="35"/>
      <c r="AJ5" s="65">
        <v>19</v>
      </c>
      <c r="AK5" s="66">
        <f>'SA85-90'!F11*(1+$AH$22)</f>
        <v>3.6850000000000003E-3</v>
      </c>
      <c r="AL5" s="66">
        <f>'SA85-90 (light)'!F11*(1+$AH$22)</f>
        <v>2.068E-3</v>
      </c>
      <c r="AM5" s="66">
        <f t="shared" ref="AM5:AM36" si="24">$C$6+E5-1</f>
        <v>66</v>
      </c>
      <c r="AN5" s="66">
        <f t="shared" ref="AN5:AN36" si="25">IF(AM5&gt;$AJ$90,0,VLOOKUP($C$6+E5-1,$AJ$4:$AK$90,2,FALSE))</f>
        <v>2.9425000000000003E-2</v>
      </c>
      <c r="AO5" s="67">
        <f>(1-IFERROR(AN5,1))*AO4</f>
        <v>0.96012287782499994</v>
      </c>
      <c r="AP5" s="68">
        <f t="shared" ref="AP5:AP36" ca="1" si="26">AO5/BM4</f>
        <v>0.88490587817972277</v>
      </c>
      <c r="AR5" s="69">
        <f t="shared" ref="AR5:AR68" si="27">ROUNDDOWN((AS5-1)/12,0)+1</f>
        <v>1</v>
      </c>
      <c r="AS5" s="70">
        <f>AS4+1</f>
        <v>2</v>
      </c>
      <c r="AT5" s="71">
        <f>(1-AU5)*AT4</f>
        <v>0.98640354603981728</v>
      </c>
      <c r="AU5" s="72">
        <f t="shared" si="11"/>
        <v>6.8214933659622723E-3</v>
      </c>
      <c r="AV5" s="73">
        <f t="shared" ref="AV5:AV68" si="28">(1+AU5)</f>
        <v>1.0068214933659623</v>
      </c>
      <c r="AW5" s="74">
        <f>PRODUCT(AV$4:AV5)</f>
        <v>1.0136895195036664</v>
      </c>
      <c r="AY5" s="75">
        <f>AY4+1</f>
        <v>2</v>
      </c>
      <c r="AZ5" s="76">
        <f t="shared" ref="AZ5:BK14" ca="1" si="29">OFFSET($AV$3,($AY5*12-12)+AZ$3,0)</f>
        <v>1.0068214933659623</v>
      </c>
      <c r="BA5" s="76">
        <f t="shared" ca="1" si="29"/>
        <v>1.0068214933659623</v>
      </c>
      <c r="BB5" s="76">
        <f t="shared" ca="1" si="29"/>
        <v>1.0068214933659623</v>
      </c>
      <c r="BC5" s="76">
        <f t="shared" ca="1" si="29"/>
        <v>1.0068214933659623</v>
      </c>
      <c r="BD5" s="76">
        <f t="shared" ca="1" si="29"/>
        <v>1.0068214933659623</v>
      </c>
      <c r="BE5" s="76">
        <f t="shared" ca="1" si="29"/>
        <v>1.0068214933659623</v>
      </c>
      <c r="BF5" s="76">
        <f t="shared" ca="1" si="29"/>
        <v>1.0068214933659623</v>
      </c>
      <c r="BG5" s="76">
        <f t="shared" ca="1" si="29"/>
        <v>1.0068214933659623</v>
      </c>
      <c r="BH5" s="76">
        <f t="shared" ca="1" si="29"/>
        <v>1.0068214933659623</v>
      </c>
      <c r="BI5" s="76">
        <f t="shared" ca="1" si="29"/>
        <v>1.0068214933659623</v>
      </c>
      <c r="BJ5" s="76">
        <f t="shared" ca="1" si="29"/>
        <v>1.0068214933659623</v>
      </c>
      <c r="BK5" s="76">
        <f t="shared" ca="1" si="29"/>
        <v>1.0068214933659623</v>
      </c>
      <c r="BL5" s="76">
        <f t="shared" ca="1" si="13"/>
        <v>8.5000000000000853E-2</v>
      </c>
      <c r="BM5" s="77">
        <f t="shared" ref="BM5:BM36" ca="1" si="30">PRODUCT(AZ5:BK5)*BM4</f>
        <v>1.1772250000000017</v>
      </c>
    </row>
    <row r="6" spans="2:65">
      <c r="B6" t="s">
        <v>65</v>
      </c>
      <c r="C6" s="23">
        <v>65</v>
      </c>
      <c r="E6">
        <f t="shared" ref="E6:E69" si="31">E5+1</f>
        <v>3</v>
      </c>
      <c r="F6" s="64">
        <f t="shared" si="14"/>
        <v>55.16</v>
      </c>
      <c r="G6" s="55">
        <f t="shared" si="0"/>
        <v>0</v>
      </c>
      <c r="H6" s="78">
        <f>H5*(1-G6)</f>
        <v>1</v>
      </c>
      <c r="I6" s="79">
        <f t="shared" si="15"/>
        <v>481334.46655929397</v>
      </c>
      <c r="J6" s="79">
        <f t="shared" si="1"/>
        <v>3283.4198704432129</v>
      </c>
      <c r="K6" s="80">
        <f t="shared" si="2"/>
        <v>-15</v>
      </c>
      <c r="L6" s="80">
        <f t="shared" si="16"/>
        <v>-401.11205546607835</v>
      </c>
      <c r="M6" s="80">
        <f t="shared" si="17"/>
        <v>0</v>
      </c>
      <c r="N6" s="80">
        <f t="shared" si="18"/>
        <v>-457.26774323132935</v>
      </c>
      <c r="O6" s="81">
        <f t="shared" si="3"/>
        <v>-2083.3333333333335</v>
      </c>
      <c r="P6" s="79">
        <f t="shared" si="4"/>
        <v>481661.17329770647</v>
      </c>
      <c r="Q6" s="35"/>
      <c r="R6">
        <f t="shared" ca="1" si="19"/>
        <v>128</v>
      </c>
      <c r="S6" s="78">
        <f t="shared" ca="1" si="20"/>
        <v>65.16</v>
      </c>
      <c r="T6" s="55">
        <f t="shared" ca="1" si="5"/>
        <v>2.2646626432303307E-3</v>
      </c>
      <c r="U6" s="78">
        <f t="shared" ref="U6:U69" ca="1" si="32">U5*(1-T6)</f>
        <v>0.99547580341042696</v>
      </c>
      <c r="V6" s="79">
        <f t="shared" ca="1" si="21"/>
        <v>484911.36748388433</v>
      </c>
      <c r="W6" s="79">
        <f t="shared" ca="1" si="6"/>
        <v>3307.8196763710102</v>
      </c>
      <c r="X6" s="80">
        <f t="shared" ref="X6:X69" ca="1" si="33">IF(V6=0,0,-$C$19)*U6</f>
        <v>-14.932137051156404</v>
      </c>
      <c r="Y6" s="80">
        <f t="shared" ref="Y6:Y69" ca="1" si="34">IF(OR(V5+AB5=0,X5=0),0,-V6*($C$16/12))</f>
        <v>-404.09280623657031</v>
      </c>
      <c r="Z6" s="80">
        <f t="shared" ca="1" si="23"/>
        <v>0</v>
      </c>
      <c r="AA6" s="80">
        <f t="shared" ref="AA6:AA69" ca="1" si="35">IF(OR(V5+AB5=0,X5=0),0,-V6*($C$18*(1+$C$20))/12)</f>
        <v>-460.66579910969017</v>
      </c>
      <c r="AB6" s="81">
        <f t="shared" ca="1" si="7"/>
        <v>-2489.2968936563339</v>
      </c>
      <c r="AC6" s="79">
        <f t="shared" ca="1" si="8"/>
        <v>484850.19952420163</v>
      </c>
      <c r="AD6" s="35"/>
      <c r="AE6" s="62">
        <f t="shared" ca="1" si="9"/>
        <v>-2500.6101455486769</v>
      </c>
      <c r="AF6" s="62">
        <f t="shared" ca="1" si="10"/>
        <v>487053.72633181087</v>
      </c>
      <c r="AG6" s="1" t="str">
        <f>C7&amp;" "&amp;"benefit under Living Annuity"</f>
        <v>Monthly benefit under Living Annuity</v>
      </c>
      <c r="AH6" s="35">
        <f>$C$4*$C$5/IF($C$7="Monthly",12,1)</f>
        <v>2083.3333333333335</v>
      </c>
      <c r="AI6" s="35"/>
      <c r="AJ6" s="65">
        <v>20</v>
      </c>
      <c r="AK6" s="66">
        <f>'SA85-90'!F12*(1+$AH$22)</f>
        <v>3.3220000000000003E-3</v>
      </c>
      <c r="AL6" s="66">
        <f>'SA85-90 (light)'!F12*(1+$AH$22)</f>
        <v>2.3650000000000003E-3</v>
      </c>
      <c r="AM6" s="66">
        <f t="shared" si="24"/>
        <v>67</v>
      </c>
      <c r="AN6" s="66">
        <f t="shared" si="25"/>
        <v>3.2252000000000003E-2</v>
      </c>
      <c r="AO6" s="67">
        <f t="shared" ref="AO6:AO69" si="36">(1-IFERROR(AN6,1))*AO5</f>
        <v>0.92915699476938807</v>
      </c>
      <c r="AP6" s="68">
        <f t="shared" ca="1" si="26"/>
        <v>0.78927732147158502</v>
      </c>
      <c r="AR6" s="69">
        <f t="shared" si="27"/>
        <v>1</v>
      </c>
      <c r="AS6" s="70">
        <f t="shared" ref="AS6:AS69" si="37">AS5+1</f>
        <v>3</v>
      </c>
      <c r="AT6" s="71">
        <f t="shared" ref="AT6:AT69" si="38">(1-AU6)*AT5</f>
        <v>0.97967480079434499</v>
      </c>
      <c r="AU6" s="72">
        <f t="shared" si="11"/>
        <v>6.8214933659622723E-3</v>
      </c>
      <c r="AV6" s="73">
        <f t="shared" si="28"/>
        <v>1.0068214933659623</v>
      </c>
      <c r="AW6" s="74">
        <f>PRODUCT(AV$4:AV6)</f>
        <v>1.0206043958361062</v>
      </c>
      <c r="AY6" s="75">
        <f t="shared" ref="AY6:AY69" si="39">AY5+1</f>
        <v>3</v>
      </c>
      <c r="AZ6" s="76">
        <f t="shared" ca="1" si="29"/>
        <v>1.0068214933659623</v>
      </c>
      <c r="BA6" s="76">
        <f t="shared" ca="1" si="29"/>
        <v>1.0068214933659623</v>
      </c>
      <c r="BB6" s="76">
        <f t="shared" ca="1" si="29"/>
        <v>1.0068214933659623</v>
      </c>
      <c r="BC6" s="76">
        <f t="shared" ca="1" si="29"/>
        <v>1.0068214933659623</v>
      </c>
      <c r="BD6" s="76">
        <f t="shared" ca="1" si="29"/>
        <v>1.0068214933659623</v>
      </c>
      <c r="BE6" s="76">
        <f t="shared" ca="1" si="29"/>
        <v>1.0068214933659623</v>
      </c>
      <c r="BF6" s="76">
        <f t="shared" ca="1" si="29"/>
        <v>1.0068214933659623</v>
      </c>
      <c r="BG6" s="76">
        <f t="shared" ca="1" si="29"/>
        <v>1.0068214933659623</v>
      </c>
      <c r="BH6" s="76">
        <f t="shared" ca="1" si="29"/>
        <v>1.0068214933659623</v>
      </c>
      <c r="BI6" s="76">
        <f t="shared" ca="1" si="29"/>
        <v>1.0068214933659623</v>
      </c>
      <c r="BJ6" s="76">
        <f t="shared" ca="1" si="29"/>
        <v>1.0068214933659623</v>
      </c>
      <c r="BK6" s="76">
        <f t="shared" ca="1" si="29"/>
        <v>1.0068214933659623</v>
      </c>
      <c r="BL6" s="76">
        <f t="shared" ca="1" si="13"/>
        <v>8.5000000000000853E-2</v>
      </c>
      <c r="BM6" s="77">
        <f t="shared" ca="1" si="30"/>
        <v>1.2772891250000029</v>
      </c>
    </row>
    <row r="7" spans="2:65">
      <c r="B7" s="82" t="s">
        <v>31</v>
      </c>
      <c r="C7" s="149" t="s">
        <v>58</v>
      </c>
      <c r="E7">
        <f t="shared" si="31"/>
        <v>4</v>
      </c>
      <c r="F7" s="64">
        <f t="shared" si="14"/>
        <v>55.24</v>
      </c>
      <c r="G7" s="55">
        <f t="shared" si="0"/>
        <v>0</v>
      </c>
      <c r="H7" s="78">
        <f t="shared" ref="H7:H70" si="40">H6*(1-G7)</f>
        <v>1</v>
      </c>
      <c r="I7" s="79">
        <f t="shared" si="15"/>
        <v>481661.17329770647</v>
      </c>
      <c r="J7" s="79">
        <f t="shared" si="1"/>
        <v>3285.6484982919092</v>
      </c>
      <c r="K7" s="80">
        <f t="shared" si="2"/>
        <v>-15</v>
      </c>
      <c r="L7" s="80">
        <f t="shared" si="16"/>
        <v>-401.38431108142208</v>
      </c>
      <c r="M7" s="80">
        <f t="shared" si="17"/>
        <v>0</v>
      </c>
      <c r="N7" s="80">
        <f t="shared" si="18"/>
        <v>-457.57811463282127</v>
      </c>
      <c r="O7" s="81">
        <f t="shared" si="3"/>
        <v>-2083.3333333333335</v>
      </c>
      <c r="P7" s="79">
        <f t="shared" si="4"/>
        <v>481989.52603695082</v>
      </c>
      <c r="Q7" s="35"/>
      <c r="R7">
        <f t="shared" ca="1" si="19"/>
        <v>129</v>
      </c>
      <c r="S7" s="78">
        <f t="shared" ca="1" si="20"/>
        <v>65.239999999999995</v>
      </c>
      <c r="T7" s="55">
        <f t="shared" ca="1" si="5"/>
        <v>2.2646626432303307E-3</v>
      </c>
      <c r="U7" s="78">
        <f t="shared" ca="1" si="32"/>
        <v>0.99322138654620362</v>
      </c>
      <c r="V7" s="79">
        <f t="shared" ca="1" si="21"/>
        <v>483752.17738977639</v>
      </c>
      <c r="W7" s="79">
        <f t="shared" ca="1" si="6"/>
        <v>3299.912268834164</v>
      </c>
      <c r="X7" s="80">
        <f t="shared" ca="1" si="33"/>
        <v>-14.898320798193055</v>
      </c>
      <c r="Y7" s="80">
        <f t="shared" ca="1" si="34"/>
        <v>-403.12681449148033</v>
      </c>
      <c r="Z7" s="80">
        <f t="shared" ca="1" si="23"/>
        <v>0</v>
      </c>
      <c r="AA7" s="80">
        <f t="shared" ca="1" si="35"/>
        <v>-459.56456852028765</v>
      </c>
      <c r="AB7" s="81">
        <f t="shared" ca="1" si="7"/>
        <v>-2483.6594759733612</v>
      </c>
      <c r="AC7" s="79">
        <f t="shared" ca="1" si="8"/>
        <v>483690.8404788273</v>
      </c>
      <c r="AD7" s="35"/>
      <c r="AE7" s="62">
        <f t="shared" ca="1" si="9"/>
        <v>-2500.6101455486773</v>
      </c>
      <c r="AF7" s="62">
        <f t="shared" ca="1" si="10"/>
        <v>486991.97080401017</v>
      </c>
      <c r="AG7" s="63" t="s">
        <v>39</v>
      </c>
      <c r="AH7" s="35">
        <f>COUNTIFS(O4:O1803,-AH6)</f>
        <v>126</v>
      </c>
      <c r="AI7" s="35"/>
      <c r="AJ7" s="65">
        <v>21</v>
      </c>
      <c r="AK7" s="66">
        <f>'SA85-90'!F13*(1+$AH$22)</f>
        <v>3.1130000000000003E-3</v>
      </c>
      <c r="AL7" s="66">
        <f>'SA85-90 (light)'!F13*(1+$AH$22)</f>
        <v>2.5850000000000005E-3</v>
      </c>
      <c r="AM7" s="66">
        <f t="shared" si="24"/>
        <v>68</v>
      </c>
      <c r="AN7" s="66">
        <f t="shared" si="25"/>
        <v>3.5321000000000005E-2</v>
      </c>
      <c r="AO7" s="67">
        <f t="shared" si="36"/>
        <v>0.89633824055713851</v>
      </c>
      <c r="AP7" s="68">
        <f t="shared" ca="1" si="26"/>
        <v>0.70175046746533321</v>
      </c>
      <c r="AR7" s="69">
        <f t="shared" si="27"/>
        <v>1</v>
      </c>
      <c r="AS7" s="70">
        <f t="shared" si="37"/>
        <v>4</v>
      </c>
      <c r="AT7" s="71">
        <f t="shared" si="38"/>
        <v>0.97299195563992591</v>
      </c>
      <c r="AU7" s="72">
        <f t="shared" si="11"/>
        <v>6.8214933659622723E-3</v>
      </c>
      <c r="AV7" s="73">
        <f t="shared" si="28"/>
        <v>1.0068214933659623</v>
      </c>
      <c r="AW7" s="74">
        <f>PRODUCT(AV$4:AV7)</f>
        <v>1.0275664419515742</v>
      </c>
      <c r="AY7" s="75">
        <f t="shared" si="39"/>
        <v>4</v>
      </c>
      <c r="AZ7" s="76">
        <f t="shared" ca="1" si="29"/>
        <v>1.0068214933659623</v>
      </c>
      <c r="BA7" s="76">
        <f t="shared" ca="1" si="29"/>
        <v>1.0068214933659623</v>
      </c>
      <c r="BB7" s="76">
        <f t="shared" ca="1" si="29"/>
        <v>1.0068214933659623</v>
      </c>
      <c r="BC7" s="76">
        <f t="shared" ca="1" si="29"/>
        <v>1.0068214933659623</v>
      </c>
      <c r="BD7" s="76">
        <f t="shared" ca="1" si="29"/>
        <v>1.0068214933659623</v>
      </c>
      <c r="BE7" s="76">
        <f t="shared" ca="1" si="29"/>
        <v>1.0068214933659623</v>
      </c>
      <c r="BF7" s="76">
        <f t="shared" ca="1" si="29"/>
        <v>1.0068214933659623</v>
      </c>
      <c r="BG7" s="76">
        <f t="shared" ca="1" si="29"/>
        <v>1.0068214933659623</v>
      </c>
      <c r="BH7" s="76">
        <f t="shared" ca="1" si="29"/>
        <v>1.0068214933659623</v>
      </c>
      <c r="BI7" s="76">
        <f t="shared" ca="1" si="29"/>
        <v>1.0068214933659623</v>
      </c>
      <c r="BJ7" s="76">
        <f t="shared" ca="1" si="29"/>
        <v>1.0068214933659623</v>
      </c>
      <c r="BK7" s="76">
        <f t="shared" ca="1" si="29"/>
        <v>1.0068214933659623</v>
      </c>
      <c r="BL7" s="76">
        <f t="shared" ca="1" si="13"/>
        <v>8.5000000000000853E-2</v>
      </c>
      <c r="BM7" s="77">
        <f t="shared" ca="1" si="30"/>
        <v>1.3858587006250043</v>
      </c>
    </row>
    <row r="8" spans="2:65">
      <c r="D8" s="83" t="s">
        <v>78</v>
      </c>
      <c r="E8">
        <f t="shared" si="31"/>
        <v>5</v>
      </c>
      <c r="F8" s="64">
        <f t="shared" si="14"/>
        <v>55.32</v>
      </c>
      <c r="G8" s="55">
        <f t="shared" si="0"/>
        <v>0</v>
      </c>
      <c r="H8" s="78">
        <f t="shared" si="40"/>
        <v>1</v>
      </c>
      <c r="I8" s="79">
        <f t="shared" si="15"/>
        <v>481989.52603695082</v>
      </c>
      <c r="J8" s="79">
        <f t="shared" si="1"/>
        <v>3287.8883543243601</v>
      </c>
      <c r="K8" s="80">
        <f t="shared" si="2"/>
        <v>-15</v>
      </c>
      <c r="L8" s="80">
        <f t="shared" si="16"/>
        <v>-401.6579383641257</v>
      </c>
      <c r="M8" s="80">
        <f t="shared" si="17"/>
        <v>0</v>
      </c>
      <c r="N8" s="80">
        <f t="shared" si="18"/>
        <v>-457.89004973510333</v>
      </c>
      <c r="O8" s="81">
        <f t="shared" si="3"/>
        <v>-2083.3333333333335</v>
      </c>
      <c r="P8" s="79">
        <f t="shared" si="4"/>
        <v>482319.53306984267</v>
      </c>
      <c r="Q8" s="35"/>
      <c r="R8">
        <f t="shared" ca="1" si="19"/>
        <v>130</v>
      </c>
      <c r="S8" s="78">
        <f t="shared" ca="1" si="20"/>
        <v>65.319999999999993</v>
      </c>
      <c r="T8" s="55">
        <f t="shared" ca="1" si="5"/>
        <v>2.2646626432303307E-3</v>
      </c>
      <c r="U8" s="78">
        <f t="shared" ca="1" si="32"/>
        <v>0.99097207517563501</v>
      </c>
      <c r="V8" s="79">
        <f t="shared" ca="1" si="21"/>
        <v>482595.4439015222</v>
      </c>
      <c r="W8" s="79">
        <f t="shared" ca="1" si="6"/>
        <v>3292.0216190178517</v>
      </c>
      <c r="X8" s="80">
        <f t="shared" ca="1" si="33"/>
        <v>-14.864581127634525</v>
      </c>
      <c r="Y8" s="80">
        <f t="shared" ca="1" si="34"/>
        <v>-402.16286991793521</v>
      </c>
      <c r="Z8" s="80">
        <f t="shared" ca="1" si="23"/>
        <v>0</v>
      </c>
      <c r="AA8" s="80">
        <f t="shared" ca="1" si="35"/>
        <v>-458.46567170644613</v>
      </c>
      <c r="AB8" s="81">
        <f t="shared" ca="1" si="7"/>
        <v>-2478.034825139619</v>
      </c>
      <c r="AC8" s="79">
        <f t="shared" ca="1" si="8"/>
        <v>482533.93757264846</v>
      </c>
      <c r="AD8" s="35"/>
      <c r="AE8" s="62">
        <f t="shared" ca="1" si="9"/>
        <v>-2500.6101455486769</v>
      </c>
      <c r="AF8" s="62">
        <f t="shared" ca="1" si="10"/>
        <v>486929.90414197749</v>
      </c>
      <c r="AG8" s="63" t="s">
        <v>40</v>
      </c>
      <c r="AH8" s="35">
        <f>AH3-AH6*AH7</f>
        <v>1098124.3612608591</v>
      </c>
      <c r="AI8" s="35"/>
      <c r="AJ8" s="65">
        <v>22</v>
      </c>
      <c r="AK8" s="66">
        <f>'SA85-90'!F14*(1+$AH$22)</f>
        <v>2.9260000000000002E-3</v>
      </c>
      <c r="AL8" s="66">
        <f>'SA85-90 (light)'!F14*(1+$AH$22)</f>
        <v>2.64E-3</v>
      </c>
      <c r="AM8" s="66">
        <f t="shared" si="24"/>
        <v>69</v>
      </c>
      <c r="AN8" s="66">
        <f t="shared" si="25"/>
        <v>3.8643000000000004E-2</v>
      </c>
      <c r="AO8" s="67">
        <f t="shared" si="36"/>
        <v>0.86170104192728902</v>
      </c>
      <c r="AP8" s="68">
        <f t="shared" ca="1" si="26"/>
        <v>0.62178131258163116</v>
      </c>
      <c r="AR8" s="69">
        <f t="shared" si="27"/>
        <v>1</v>
      </c>
      <c r="AS8" s="70">
        <f t="shared" si="37"/>
        <v>5</v>
      </c>
      <c r="AT8" s="71">
        <f t="shared" si="38"/>
        <v>0.96635469746939351</v>
      </c>
      <c r="AU8" s="72">
        <f t="shared" si="11"/>
        <v>6.8214933659622723E-3</v>
      </c>
      <c r="AV8" s="73">
        <f t="shared" si="28"/>
        <v>1.0068214933659623</v>
      </c>
      <c r="AW8" s="74">
        <f>PRODUCT(AV$4:AV8)</f>
        <v>1.0345759796184324</v>
      </c>
      <c r="AY8" s="75">
        <f t="shared" si="39"/>
        <v>5</v>
      </c>
      <c r="AZ8" s="76">
        <f t="shared" ca="1" si="29"/>
        <v>1.0068214933659623</v>
      </c>
      <c r="BA8" s="76">
        <f t="shared" ca="1" si="29"/>
        <v>1.0068214933659623</v>
      </c>
      <c r="BB8" s="76">
        <f t="shared" ca="1" si="29"/>
        <v>1.0068214933659623</v>
      </c>
      <c r="BC8" s="76">
        <f t="shared" ca="1" si="29"/>
        <v>1.0068214933659623</v>
      </c>
      <c r="BD8" s="76">
        <f t="shared" ca="1" si="29"/>
        <v>1.0068214933659623</v>
      </c>
      <c r="BE8" s="76">
        <f t="shared" ca="1" si="29"/>
        <v>1.0068214933659623</v>
      </c>
      <c r="BF8" s="76">
        <f t="shared" ca="1" si="29"/>
        <v>1.0068214933659623</v>
      </c>
      <c r="BG8" s="76">
        <f t="shared" ca="1" si="29"/>
        <v>1.0068214933659623</v>
      </c>
      <c r="BH8" s="76">
        <f t="shared" ca="1" si="29"/>
        <v>1.0068214933659623</v>
      </c>
      <c r="BI8" s="76">
        <f t="shared" ca="1" si="29"/>
        <v>1.0068214933659623</v>
      </c>
      <c r="BJ8" s="76">
        <f t="shared" ca="1" si="29"/>
        <v>1.0068214933659623</v>
      </c>
      <c r="BK8" s="76">
        <f t="shared" ca="1" si="29"/>
        <v>1.0068214933659623</v>
      </c>
      <c r="BL8" s="76">
        <f t="shared" ca="1" si="13"/>
        <v>8.5000000000000853E-2</v>
      </c>
      <c r="BM8" s="77">
        <f t="shared" ca="1" si="30"/>
        <v>1.5036566901781308</v>
      </c>
    </row>
    <row r="9" spans="2:65">
      <c r="B9" s="84" t="s">
        <v>97</v>
      </c>
      <c r="C9" s="85">
        <f>StartofRA-StartofLA</f>
        <v>10</v>
      </c>
      <c r="D9" s="86" t="s">
        <v>77</v>
      </c>
      <c r="E9">
        <f t="shared" si="31"/>
        <v>6</v>
      </c>
      <c r="F9" s="64">
        <f t="shared" si="14"/>
        <v>55.4</v>
      </c>
      <c r="G9" s="55">
        <f t="shared" si="0"/>
        <v>0</v>
      </c>
      <c r="H9" s="78">
        <f t="shared" si="40"/>
        <v>1</v>
      </c>
      <c r="I9" s="79">
        <f t="shared" si="15"/>
        <v>482319.53306984267</v>
      </c>
      <c r="J9" s="79">
        <f t="shared" si="1"/>
        <v>3290.1394951099523</v>
      </c>
      <c r="K9" s="80">
        <f t="shared" si="2"/>
        <v>-15</v>
      </c>
      <c r="L9" s="80">
        <f t="shared" si="16"/>
        <v>-401.93294422486889</v>
      </c>
      <c r="M9" s="80">
        <f t="shared" si="17"/>
        <v>0</v>
      </c>
      <c r="N9" s="80">
        <f t="shared" si="18"/>
        <v>-458.20355641635064</v>
      </c>
      <c r="O9" s="81">
        <f t="shared" si="3"/>
        <v>-2083.3333333333335</v>
      </c>
      <c r="P9" s="79">
        <f t="shared" si="4"/>
        <v>482651.20273097814</v>
      </c>
      <c r="Q9" s="35"/>
      <c r="R9">
        <f t="shared" ca="1" si="19"/>
        <v>131</v>
      </c>
      <c r="S9" s="78">
        <f t="shared" ca="1" si="20"/>
        <v>65.400000000000006</v>
      </c>
      <c r="T9" s="55">
        <f t="shared" ca="1" si="5"/>
        <v>2.2646626432303307E-3</v>
      </c>
      <c r="U9" s="78">
        <f t="shared" ca="1" si="32"/>
        <v>0.98872785773650029</v>
      </c>
      <c r="V9" s="79">
        <f t="shared" ca="1" si="21"/>
        <v>481441.16099013685</v>
      </c>
      <c r="W9" s="79">
        <f t="shared" ca="1" si="6"/>
        <v>3284.147685795393</v>
      </c>
      <c r="X9" s="80">
        <f t="shared" ca="1" si="33"/>
        <v>-14.830917866047505</v>
      </c>
      <c r="Y9" s="80">
        <f t="shared" ca="1" si="34"/>
        <v>-401.20096749178072</v>
      </c>
      <c r="Z9" s="80">
        <f t="shared" ca="1" si="23"/>
        <v>0</v>
      </c>
      <c r="AA9" s="80">
        <f t="shared" ca="1" si="35"/>
        <v>-457.36910294063006</v>
      </c>
      <c r="AB9" s="81">
        <f t="shared" ca="1" si="7"/>
        <v>-2472.4229122425018</v>
      </c>
      <c r="AC9" s="79">
        <f t="shared" ca="1" si="8"/>
        <v>481379.48477539135</v>
      </c>
      <c r="AD9" s="35"/>
      <c r="AE9" s="62">
        <f t="shared" ca="1" si="9"/>
        <v>-2500.6101455486773</v>
      </c>
      <c r="AF9" s="62">
        <f t="shared" ca="1" si="10"/>
        <v>486867.52477816882</v>
      </c>
      <c r="AG9" s="87" t="s">
        <v>41</v>
      </c>
      <c r="AH9" s="88" t="str">
        <f>TEXT(AH7/IF(C7="Annual",1,12),"##0.00")&amp;" "&amp;"Years"</f>
        <v>10.50 Years</v>
      </c>
      <c r="AI9" s="35"/>
      <c r="AJ9" s="65">
        <v>23</v>
      </c>
      <c r="AK9" s="66">
        <f>'SA85-90'!F15*(1+$AH$22)</f>
        <v>2.7610000000000004E-3</v>
      </c>
      <c r="AL9" s="66">
        <f>'SA85-90 (light)'!F15*(1+$AH$22)</f>
        <v>2.552E-3</v>
      </c>
      <c r="AM9" s="66">
        <f t="shared" si="24"/>
        <v>70</v>
      </c>
      <c r="AN9" s="66">
        <f t="shared" si="25"/>
        <v>4.224E-2</v>
      </c>
      <c r="AO9" s="67">
        <f t="shared" si="36"/>
        <v>0.82530278991628025</v>
      </c>
      <c r="AP9" s="68">
        <f t="shared" ca="1" si="26"/>
        <v>0.5488638432609978</v>
      </c>
      <c r="AR9" s="69">
        <f t="shared" si="27"/>
        <v>1</v>
      </c>
      <c r="AS9" s="70">
        <f t="shared" si="37"/>
        <v>6</v>
      </c>
      <c r="AT9" s="71">
        <f t="shared" si="38"/>
        <v>0.95976271531143953</v>
      </c>
      <c r="AU9" s="72">
        <f t="shared" si="11"/>
        <v>6.8214933659622723E-3</v>
      </c>
      <c r="AV9" s="73">
        <f t="shared" si="28"/>
        <v>1.0068214933659623</v>
      </c>
      <c r="AW9" s="74">
        <f>PRODUCT(AV$4:AV9)</f>
        <v>1.0416333327999834</v>
      </c>
      <c r="AY9" s="75">
        <f t="shared" si="39"/>
        <v>6</v>
      </c>
      <c r="AZ9" s="76">
        <f t="shared" ca="1" si="29"/>
        <v>1.0068214933659623</v>
      </c>
      <c r="BA9" s="76">
        <f t="shared" ca="1" si="29"/>
        <v>1.0068214933659623</v>
      </c>
      <c r="BB9" s="76">
        <f t="shared" ca="1" si="29"/>
        <v>1.0068214933659623</v>
      </c>
      <c r="BC9" s="76">
        <f t="shared" ca="1" si="29"/>
        <v>1.0068214933659623</v>
      </c>
      <c r="BD9" s="76">
        <f t="shared" ca="1" si="29"/>
        <v>1.0068214933659623</v>
      </c>
      <c r="BE9" s="76">
        <f t="shared" ca="1" si="29"/>
        <v>1.0068214933659623</v>
      </c>
      <c r="BF9" s="76">
        <f t="shared" ca="1" si="29"/>
        <v>1.0068214933659623</v>
      </c>
      <c r="BG9" s="76">
        <f t="shared" ca="1" si="29"/>
        <v>1.0068214933659623</v>
      </c>
      <c r="BH9" s="76">
        <f t="shared" ca="1" si="29"/>
        <v>1.0068214933659623</v>
      </c>
      <c r="BI9" s="76">
        <f t="shared" ca="1" si="29"/>
        <v>1.0068214933659623</v>
      </c>
      <c r="BJ9" s="76">
        <f t="shared" ca="1" si="29"/>
        <v>1.0068214933659623</v>
      </c>
      <c r="BK9" s="76">
        <f t="shared" ca="1" si="29"/>
        <v>1.0068214933659623</v>
      </c>
      <c r="BL9" s="76">
        <f t="shared" ca="1" si="13"/>
        <v>8.5000000000000853E-2</v>
      </c>
      <c r="BM9" s="77">
        <f t="shared" ca="1" si="30"/>
        <v>1.6314675088432731</v>
      </c>
    </row>
    <row r="10" spans="2:65">
      <c r="B10" s="84" t="str">
        <f>"Living (Guaranteed) Annuity per "&amp;IF($C$7="Annual", "Annum", "Month")&amp; " between "&amp;ROUND(C3,0)&amp;" and "&amp;ROUND(C6,0)</f>
        <v>Living (Guaranteed) Annuity per Month between 55 and 65</v>
      </c>
      <c r="C10" s="85">
        <f>H4*$C$5*$C$4/IF($C$7="Monthly",12,1)</f>
        <v>2083.3333333333335</v>
      </c>
      <c r="D10" s="89">
        <f>C10*IF($C$7="Monthly",12,1)</f>
        <v>25000</v>
      </c>
      <c r="E10">
        <f t="shared" si="31"/>
        <v>7</v>
      </c>
      <c r="F10" s="64">
        <f t="shared" si="14"/>
        <v>55.48</v>
      </c>
      <c r="G10" s="55">
        <f t="shared" si="0"/>
        <v>0</v>
      </c>
      <c r="H10" s="78">
        <f t="shared" si="40"/>
        <v>1</v>
      </c>
      <c r="I10" s="79">
        <f t="shared" si="15"/>
        <v>482651.20273097814</v>
      </c>
      <c r="J10" s="79">
        <f t="shared" si="1"/>
        <v>3292.4019775030793</v>
      </c>
      <c r="K10" s="80">
        <f t="shared" si="2"/>
        <v>-15</v>
      </c>
      <c r="L10" s="80">
        <f t="shared" si="16"/>
        <v>-402.20933560914847</v>
      </c>
      <c r="M10" s="80">
        <f t="shared" si="17"/>
        <v>0</v>
      </c>
      <c r="N10" s="80">
        <f t="shared" si="18"/>
        <v>-458.51864259442931</v>
      </c>
      <c r="O10" s="81">
        <f t="shared" si="3"/>
        <v>-2083.3333333333335</v>
      </c>
      <c r="P10" s="79">
        <f t="shared" si="4"/>
        <v>482984.5433969443</v>
      </c>
      <c r="Q10" s="35"/>
      <c r="R10">
        <f t="shared" ca="1" si="19"/>
        <v>132</v>
      </c>
      <c r="S10" s="78">
        <f t="shared" ca="1" si="20"/>
        <v>65.48</v>
      </c>
      <c r="T10" s="55">
        <f t="shared" ca="1" si="5"/>
        <v>2.2646626432303307E-3</v>
      </c>
      <c r="U10" s="78">
        <f t="shared" ca="1" si="32"/>
        <v>0.98648872269276333</v>
      </c>
      <c r="V10" s="79">
        <f t="shared" ca="1" si="21"/>
        <v>480289.32263900305</v>
      </c>
      <c r="W10" s="79">
        <f t="shared" ca="1" si="6"/>
        <v>3276.2904281244728</v>
      </c>
      <c r="X10" s="80">
        <f t="shared" ca="1" si="33"/>
        <v>-14.797330840391449</v>
      </c>
      <c r="Y10" s="80">
        <f t="shared" ca="1" si="34"/>
        <v>-400.24110219916923</v>
      </c>
      <c r="Z10" s="80">
        <f t="shared" ca="1" si="23"/>
        <v>0</v>
      </c>
      <c r="AA10" s="80">
        <f t="shared" ca="1" si="35"/>
        <v>-456.27485650705302</v>
      </c>
      <c r="AB10" s="81">
        <f t="shared" ca="1" si="7"/>
        <v>-2466.8237084348793</v>
      </c>
      <c r="AC10" s="79">
        <f t="shared" ca="1" si="8"/>
        <v>480227.47606914601</v>
      </c>
      <c r="AD10" s="35"/>
      <c r="AE10" s="62">
        <f t="shared" ca="1" si="9"/>
        <v>-2500.6101455486769</v>
      </c>
      <c r="AF10" s="62">
        <f t="shared" ca="1" si="10"/>
        <v>486804.83113714244</v>
      </c>
      <c r="AG10" s="90" t="s">
        <v>60</v>
      </c>
      <c r="AH10" s="91" t="str">
        <f>TEXT(SUM(AO:AO),"##0.00")&amp;" "&amp;"Years"</f>
        <v>0.14 Years</v>
      </c>
      <c r="AI10" s="35"/>
      <c r="AJ10" s="65">
        <v>24</v>
      </c>
      <c r="AK10" s="66">
        <f>'SA85-90'!F16*(1+$AH$22)</f>
        <v>2.6290000000000003E-3</v>
      </c>
      <c r="AL10" s="66">
        <f>'SA85-90 (light)'!F16*(1+$AH$22)</f>
        <v>2.3980000000000004E-3</v>
      </c>
      <c r="AM10" s="66">
        <f t="shared" si="24"/>
        <v>71</v>
      </c>
      <c r="AN10" s="66">
        <f t="shared" si="25"/>
        <v>4.6112E-2</v>
      </c>
      <c r="AO10" s="67">
        <f t="shared" si="36"/>
        <v>0.78724642766766073</v>
      </c>
      <c r="AP10" s="68">
        <f t="shared" ca="1" si="26"/>
        <v>0.48253883292216243</v>
      </c>
      <c r="AR10" s="69">
        <f t="shared" si="27"/>
        <v>1</v>
      </c>
      <c r="AS10" s="70">
        <f t="shared" si="37"/>
        <v>7</v>
      </c>
      <c r="AT10" s="71">
        <f t="shared" si="38"/>
        <v>0.95321570031604463</v>
      </c>
      <c r="AU10" s="72">
        <f t="shared" si="11"/>
        <v>6.8214933659622723E-3</v>
      </c>
      <c r="AV10" s="73">
        <f t="shared" si="28"/>
        <v>1.0068214933659623</v>
      </c>
      <c r="AW10" s="74">
        <f>PRODUCT(AV$4:AV10)</f>
        <v>1.0487388276694436</v>
      </c>
      <c r="AY10" s="75">
        <f t="shared" si="39"/>
        <v>7</v>
      </c>
      <c r="AZ10" s="76">
        <f t="shared" ca="1" si="29"/>
        <v>1.0068214933659623</v>
      </c>
      <c r="BA10" s="76">
        <f t="shared" ca="1" si="29"/>
        <v>1.0068214933659623</v>
      </c>
      <c r="BB10" s="76">
        <f t="shared" ca="1" si="29"/>
        <v>1.0068214933659623</v>
      </c>
      <c r="BC10" s="76">
        <f t="shared" ca="1" si="29"/>
        <v>1.0068214933659623</v>
      </c>
      <c r="BD10" s="76">
        <f t="shared" ca="1" si="29"/>
        <v>1.0068214933659623</v>
      </c>
      <c r="BE10" s="76">
        <f t="shared" ca="1" si="29"/>
        <v>1.0068214933659623</v>
      </c>
      <c r="BF10" s="76">
        <f t="shared" ca="1" si="29"/>
        <v>1.0068214933659623</v>
      </c>
      <c r="BG10" s="76">
        <f t="shared" ca="1" si="29"/>
        <v>1.0068214933659623</v>
      </c>
      <c r="BH10" s="76">
        <f t="shared" ca="1" si="29"/>
        <v>1.0068214933659623</v>
      </c>
      <c r="BI10" s="76">
        <f t="shared" ca="1" si="29"/>
        <v>1.0068214933659623</v>
      </c>
      <c r="BJ10" s="76">
        <f t="shared" ca="1" si="29"/>
        <v>1.0068214933659623</v>
      </c>
      <c r="BK10" s="76">
        <f t="shared" ca="1" si="29"/>
        <v>1.0068214933659623</v>
      </c>
      <c r="BL10" s="76">
        <f t="shared" ca="1" si="13"/>
        <v>8.5000000000000853E-2</v>
      </c>
      <c r="BM10" s="77">
        <f t="shared" ca="1" si="30"/>
        <v>1.7701422470949526</v>
      </c>
    </row>
    <row r="11" spans="2:65">
      <c r="B11" s="92" t="str">
        <f>"Funds remaining at end of drawdown period aged "&amp;ROUND(C6,0)</f>
        <v>Funds remaining at end of drawdown period aged 65</v>
      </c>
      <c r="C11" s="93">
        <f ca="1">OFFSET($I$4,MATCH(C6,$F$4:$F$784,1),0)</f>
        <v>487593.5870278576</v>
      </c>
      <c r="E11">
        <f t="shared" si="31"/>
        <v>8</v>
      </c>
      <c r="F11" s="64">
        <f t="shared" si="14"/>
        <v>55.56</v>
      </c>
      <c r="G11" s="55">
        <f t="shared" si="0"/>
        <v>0</v>
      </c>
      <c r="H11" s="78">
        <f t="shared" si="40"/>
        <v>1</v>
      </c>
      <c r="I11" s="79">
        <f t="shared" si="15"/>
        <v>482984.5433969443</v>
      </c>
      <c r="J11" s="79">
        <f t="shared" si="1"/>
        <v>3294.6758586445726</v>
      </c>
      <c r="K11" s="80">
        <f t="shared" si="2"/>
        <v>-15</v>
      </c>
      <c r="L11" s="80">
        <f t="shared" si="16"/>
        <v>-402.48711949745359</v>
      </c>
      <c r="M11" s="80">
        <f t="shared" si="17"/>
        <v>0</v>
      </c>
      <c r="N11" s="80">
        <f t="shared" si="18"/>
        <v>-458.83531622709717</v>
      </c>
      <c r="O11" s="81">
        <f t="shared" si="3"/>
        <v>-2083.3333333333335</v>
      </c>
      <c r="P11" s="79">
        <f t="shared" si="4"/>
        <v>483319.56348653103</v>
      </c>
      <c r="Q11" s="35"/>
      <c r="R11">
        <f t="shared" ca="1" si="19"/>
        <v>133</v>
      </c>
      <c r="S11" s="78">
        <f t="shared" ca="1" si="20"/>
        <v>65.56</v>
      </c>
      <c r="T11" s="55">
        <f t="shared" ca="1" si="5"/>
        <v>2.4857885984658212E-3</v>
      </c>
      <c r="U11" s="78">
        <f t="shared" ca="1" si="32"/>
        <v>0.98403652027337851</v>
      </c>
      <c r="V11" s="79">
        <f t="shared" ca="1" si="21"/>
        <v>479033.73208446329</v>
      </c>
      <c r="W11" s="79">
        <f t="shared" ca="1" si="6"/>
        <v>3267.7254254863146</v>
      </c>
      <c r="X11" s="80">
        <f t="shared" ca="1" si="33"/>
        <v>-14.760547804100678</v>
      </c>
      <c r="Y11" s="80">
        <f t="shared" ca="1" si="34"/>
        <v>-399.19477673705279</v>
      </c>
      <c r="Z11" s="80">
        <f t="shared" ca="1" si="23"/>
        <v>-3592.7529906334744</v>
      </c>
      <c r="AA11" s="80">
        <f t="shared" ca="1" si="35"/>
        <v>-455.0820454802402</v>
      </c>
      <c r="AB11" s="81">
        <f t="shared" ca="1" si="7"/>
        <v>-2460.6917061860263</v>
      </c>
      <c r="AC11" s="79">
        <f t="shared" ca="1" si="8"/>
        <v>475378.97544310865</v>
      </c>
      <c r="AD11" s="35"/>
      <c r="AE11" s="62">
        <f t="shared" ca="1" si="9"/>
        <v>-2500.6101455486764</v>
      </c>
      <c r="AF11" s="62">
        <f t="shared" ca="1" si="10"/>
        <v>483090.78540199099</v>
      </c>
      <c r="AG11" s="94" t="s">
        <v>38</v>
      </c>
      <c r="AH11" s="95">
        <f>-SUM(L4:L1803)+$C$14*C4</f>
        <v>177471.52157501885</v>
      </c>
      <c r="AI11" s="35"/>
      <c r="AJ11" s="65">
        <v>25</v>
      </c>
      <c r="AK11" s="66">
        <f>'SA85-90'!F17*(1+$AH$22)</f>
        <v>2.5080000000000002E-3</v>
      </c>
      <c r="AL11" s="66">
        <f>'SA85-90 (light)'!F17*(1+$AH$22)</f>
        <v>2.2110000000000003E-3</v>
      </c>
      <c r="AM11" s="66">
        <f t="shared" si="24"/>
        <v>72</v>
      </c>
      <c r="AN11" s="66">
        <f t="shared" si="25"/>
        <v>5.0292000000000003E-2</v>
      </c>
      <c r="AO11" s="67">
        <f t="shared" si="36"/>
        <v>0.74765423032739875</v>
      </c>
      <c r="AP11" s="68">
        <f t="shared" ca="1" si="26"/>
        <v>0.42236957597865504</v>
      </c>
      <c r="AR11" s="69">
        <f t="shared" si="27"/>
        <v>1</v>
      </c>
      <c r="AS11" s="70">
        <f t="shared" si="37"/>
        <v>8</v>
      </c>
      <c r="AT11" s="71">
        <f t="shared" si="38"/>
        <v>0.94671334574000765</v>
      </c>
      <c r="AU11" s="72">
        <f t="shared" si="11"/>
        <v>6.8214933659622723E-3</v>
      </c>
      <c r="AV11" s="73">
        <f t="shared" si="28"/>
        <v>1.0068214933659623</v>
      </c>
      <c r="AW11" s="74">
        <f>PRODUCT(AV$4:AV11)</f>
        <v>1.0558927926250177</v>
      </c>
      <c r="AY11" s="75">
        <f t="shared" si="39"/>
        <v>8</v>
      </c>
      <c r="AZ11" s="76">
        <f t="shared" ca="1" si="29"/>
        <v>1.0068214933659623</v>
      </c>
      <c r="BA11" s="76">
        <f t="shared" ca="1" si="29"/>
        <v>1.0068214933659623</v>
      </c>
      <c r="BB11" s="76">
        <f t="shared" ca="1" si="29"/>
        <v>1.0068214933659623</v>
      </c>
      <c r="BC11" s="76">
        <f t="shared" ca="1" si="29"/>
        <v>1.0068214933659623</v>
      </c>
      <c r="BD11" s="76">
        <f t="shared" ca="1" si="29"/>
        <v>1.0068214933659623</v>
      </c>
      <c r="BE11" s="76">
        <f t="shared" ca="1" si="29"/>
        <v>1.0068214933659623</v>
      </c>
      <c r="BF11" s="76">
        <f t="shared" ca="1" si="29"/>
        <v>1.0068214933659623</v>
      </c>
      <c r="BG11" s="76">
        <f t="shared" ca="1" si="29"/>
        <v>1.0068214933659623</v>
      </c>
      <c r="BH11" s="76">
        <f t="shared" ca="1" si="29"/>
        <v>1.0068214933659623</v>
      </c>
      <c r="BI11" s="76">
        <f t="shared" ca="1" si="29"/>
        <v>1.0068214933659623</v>
      </c>
      <c r="BJ11" s="76">
        <f t="shared" ca="1" si="29"/>
        <v>1.0068214933659623</v>
      </c>
      <c r="BK11" s="76">
        <f t="shared" ca="1" si="29"/>
        <v>1.0068214933659623</v>
      </c>
      <c r="BL11" s="76">
        <f t="shared" ca="1" si="13"/>
        <v>8.5000000000000853E-2</v>
      </c>
      <c r="BM11" s="77">
        <f t="shared" ca="1" si="30"/>
        <v>1.9206043380980251</v>
      </c>
    </row>
    <row r="12" spans="2:65">
      <c r="B12" s="96" t="str">
        <f>"Retirement Annuity per "&amp;IF($C$7="Annual", "Annum", "Month")&amp; " starting at "&amp;ROUND(C6,0)</f>
        <v>Retirement Annuity per Month starting at 65</v>
      </c>
      <c r="C12" s="97">
        <f>SolveLifeAnnuity/IF($C$7="Monthly",12,1)</f>
        <v>2500.6101455486769</v>
      </c>
      <c r="D12" s="98">
        <f>C12*IF($C$7="Monthly",12,1)</f>
        <v>30007.321746584123</v>
      </c>
      <c r="E12">
        <f t="shared" si="31"/>
        <v>9</v>
      </c>
      <c r="F12" s="64">
        <f t="shared" si="14"/>
        <v>55.64</v>
      </c>
      <c r="G12" s="55">
        <f t="shared" si="0"/>
        <v>0</v>
      </c>
      <c r="H12" s="78">
        <f t="shared" si="40"/>
        <v>1</v>
      </c>
      <c r="I12" s="79">
        <f t="shared" si="15"/>
        <v>483319.56348653103</v>
      </c>
      <c r="J12" s="79">
        <f t="shared" si="1"/>
        <v>3296.9611959631525</v>
      </c>
      <c r="K12" s="80">
        <f t="shared" si="2"/>
        <v>-15</v>
      </c>
      <c r="L12" s="80">
        <f t="shared" si="16"/>
        <v>-402.76630290544256</v>
      </c>
      <c r="M12" s="80">
        <f t="shared" si="17"/>
        <v>0</v>
      </c>
      <c r="N12" s="80">
        <f t="shared" si="18"/>
        <v>-459.15358531220454</v>
      </c>
      <c r="O12" s="81">
        <f t="shared" si="3"/>
        <v>-2083.3333333333335</v>
      </c>
      <c r="P12" s="79">
        <f t="shared" si="4"/>
        <v>483656.27146094322</v>
      </c>
      <c r="Q12" s="35"/>
      <c r="R12">
        <f t="shared" ca="1" si="19"/>
        <v>134</v>
      </c>
      <c r="S12" s="78">
        <f t="shared" ca="1" si="20"/>
        <v>65.64</v>
      </c>
      <c r="T12" s="55">
        <f t="shared" ca="1" si="5"/>
        <v>2.4857885984658212E-3</v>
      </c>
      <c r="U12" s="78">
        <f t="shared" ca="1" si="32"/>
        <v>0.981590413510809</v>
      </c>
      <c r="V12" s="79">
        <f t="shared" ca="1" si="21"/>
        <v>474197.28380600183</v>
      </c>
      <c r="W12" s="79">
        <f t="shared" ca="1" si="6"/>
        <v>3234.7336256399703</v>
      </c>
      <c r="X12" s="80">
        <f t="shared" ca="1" si="33"/>
        <v>-14.723856202662136</v>
      </c>
      <c r="Y12" s="80">
        <f t="shared" ca="1" si="34"/>
        <v>-395.1644031716682</v>
      </c>
      <c r="Z12" s="80">
        <f t="shared" ca="1" si="23"/>
        <v>0</v>
      </c>
      <c r="AA12" s="80">
        <f t="shared" ca="1" si="35"/>
        <v>-450.48741961570181</v>
      </c>
      <c r="AB12" s="81">
        <f t="shared" ca="1" si="7"/>
        <v>-2454.5749467984501</v>
      </c>
      <c r="AC12" s="79">
        <f t="shared" ca="1" si="8"/>
        <v>474117.06680585333</v>
      </c>
      <c r="AD12" s="35"/>
      <c r="AE12" s="62">
        <f t="shared" ca="1" si="9"/>
        <v>-2500.6101455486769</v>
      </c>
      <c r="AF12" s="62">
        <f t="shared" ca="1" si="10"/>
        <v>483009.06394358596</v>
      </c>
      <c r="AG12" s="99" t="s">
        <v>43</v>
      </c>
      <c r="AH12" s="100">
        <f>-SUMPRODUCT(L4:L1803,AT4:AT1803)+$C$14*C4</f>
        <v>63960.73694095511</v>
      </c>
      <c r="AI12" s="35"/>
      <c r="AJ12" s="65">
        <v>26</v>
      </c>
      <c r="AK12" s="66">
        <f>'SA85-90'!F18*(1+$AH$22)</f>
        <v>2.4200000000000003E-3</v>
      </c>
      <c r="AL12" s="66">
        <f>'SA85-90 (light)'!F18*(1+$AH$22)</f>
        <v>2.0460000000000001E-3</v>
      </c>
      <c r="AM12" s="66">
        <f t="shared" si="24"/>
        <v>73</v>
      </c>
      <c r="AN12" s="66">
        <f t="shared" si="25"/>
        <v>5.4780000000000002E-2</v>
      </c>
      <c r="AO12" s="67">
        <f t="shared" si="36"/>
        <v>0.70669773159006377</v>
      </c>
      <c r="AP12" s="68">
        <f t="shared" ca="1" si="26"/>
        <v>0.36795591760971791</v>
      </c>
      <c r="AR12" s="69">
        <f t="shared" si="27"/>
        <v>1</v>
      </c>
      <c r="AS12" s="70">
        <f t="shared" si="37"/>
        <v>9</v>
      </c>
      <c r="AT12" s="71">
        <f t="shared" si="38"/>
        <v>0.94025534693257429</v>
      </c>
      <c r="AU12" s="72">
        <f t="shared" si="11"/>
        <v>6.8214933659622723E-3</v>
      </c>
      <c r="AV12" s="73">
        <f t="shared" si="28"/>
        <v>1.0068214933659623</v>
      </c>
      <c r="AW12" s="74">
        <f>PRODUCT(AV$4:AV12)</f>
        <v>1.0630955583050765</v>
      </c>
      <c r="AY12" s="75">
        <f t="shared" si="39"/>
        <v>9</v>
      </c>
      <c r="AZ12" s="76">
        <f t="shared" ca="1" si="29"/>
        <v>1.0068214933659623</v>
      </c>
      <c r="BA12" s="76">
        <f t="shared" ca="1" si="29"/>
        <v>1.0068214933659623</v>
      </c>
      <c r="BB12" s="76">
        <f t="shared" ca="1" si="29"/>
        <v>1.0068214933659623</v>
      </c>
      <c r="BC12" s="76">
        <f t="shared" ca="1" si="29"/>
        <v>1.0068214933659623</v>
      </c>
      <c r="BD12" s="76">
        <f t="shared" ca="1" si="29"/>
        <v>1.0068214933659623</v>
      </c>
      <c r="BE12" s="76">
        <f t="shared" ca="1" si="29"/>
        <v>1.0068214933659623</v>
      </c>
      <c r="BF12" s="76">
        <f t="shared" ca="1" si="29"/>
        <v>1.0068214933659623</v>
      </c>
      <c r="BG12" s="76">
        <f t="shared" ca="1" si="29"/>
        <v>1.0068214933659623</v>
      </c>
      <c r="BH12" s="76">
        <f t="shared" ca="1" si="29"/>
        <v>1.0068214933659623</v>
      </c>
      <c r="BI12" s="76">
        <f t="shared" ca="1" si="29"/>
        <v>1.0068214933659623</v>
      </c>
      <c r="BJ12" s="76">
        <f t="shared" ca="1" si="29"/>
        <v>1.0068214933659623</v>
      </c>
      <c r="BK12" s="76">
        <f t="shared" ca="1" si="29"/>
        <v>1.0068214933659623</v>
      </c>
      <c r="BL12" s="76">
        <f t="shared" ca="1" si="13"/>
        <v>8.5000000000000853E-2</v>
      </c>
      <c r="BM12" s="77">
        <f t="shared" ca="1" si="30"/>
        <v>2.083855706836359</v>
      </c>
    </row>
    <row r="13" spans="2:65">
      <c r="B13" s="160"/>
      <c r="C13" s="160"/>
      <c r="D13" s="101">
        <f>C12/C4*IF(C7="Annual",1,12)</f>
        <v>6.0014643493168242E-2</v>
      </c>
      <c r="E13">
        <f t="shared" si="31"/>
        <v>10</v>
      </c>
      <c r="F13" s="64">
        <f t="shared" si="14"/>
        <v>55.72</v>
      </c>
      <c r="G13" s="55">
        <f t="shared" si="0"/>
        <v>0</v>
      </c>
      <c r="H13" s="78">
        <f t="shared" si="40"/>
        <v>1</v>
      </c>
      <c r="I13" s="79">
        <f t="shared" si="15"/>
        <v>483656.27146094322</v>
      </c>
      <c r="J13" s="79">
        <f t="shared" si="1"/>
        <v>3299.258047176872</v>
      </c>
      <c r="K13" s="80">
        <f t="shared" si="2"/>
        <v>-15</v>
      </c>
      <c r="L13" s="80">
        <f t="shared" si="16"/>
        <v>-403.04689288411936</v>
      </c>
      <c r="M13" s="80">
        <f t="shared" si="17"/>
        <v>0</v>
      </c>
      <c r="N13" s="80">
        <f t="shared" si="18"/>
        <v>-459.47345788789613</v>
      </c>
      <c r="O13" s="81">
        <f t="shared" si="3"/>
        <v>-2083.3333333333335</v>
      </c>
      <c r="P13" s="79">
        <f t="shared" si="4"/>
        <v>483994.67582401476</v>
      </c>
      <c r="Q13" s="35"/>
      <c r="R13">
        <f t="shared" ca="1" si="19"/>
        <v>135</v>
      </c>
      <c r="S13" s="78">
        <f t="shared" ca="1" si="20"/>
        <v>65.72</v>
      </c>
      <c r="T13" s="55">
        <f t="shared" ca="1" si="5"/>
        <v>2.4857885984658212E-3</v>
      </c>
      <c r="U13" s="78">
        <f t="shared" ca="1" si="32"/>
        <v>0.97915038725254044</v>
      </c>
      <c r="V13" s="79">
        <f t="shared" ca="1" si="21"/>
        <v>472938.51200684928</v>
      </c>
      <c r="W13" s="79">
        <f t="shared" ca="1" si="6"/>
        <v>3226.1469221627908</v>
      </c>
      <c r="X13" s="80">
        <f t="shared" ca="1" si="33"/>
        <v>-14.687255808788107</v>
      </c>
      <c r="Y13" s="80">
        <f t="shared" ca="1" si="34"/>
        <v>-394.11542667237444</v>
      </c>
      <c r="Z13" s="80">
        <f t="shared" ca="1" si="23"/>
        <v>0</v>
      </c>
      <c r="AA13" s="80">
        <f t="shared" ca="1" si="35"/>
        <v>-449.29158640650689</v>
      </c>
      <c r="AB13" s="81">
        <f t="shared" ca="1" si="7"/>
        <v>-2448.4733923816184</v>
      </c>
      <c r="AC13" s="79">
        <f t="shared" ca="1" si="8"/>
        <v>472858.09126774274</v>
      </c>
      <c r="AD13" s="35"/>
      <c r="AE13" s="62">
        <f t="shared" ca="1" si="9"/>
        <v>-2500.6101455486769</v>
      </c>
      <c r="AF13" s="62">
        <f t="shared" ca="1" si="10"/>
        <v>482926.93075939536</v>
      </c>
      <c r="AG13" s="102" t="s">
        <v>57</v>
      </c>
      <c r="AH13" s="103">
        <f>AH12/C4</f>
        <v>0.12792147388191022</v>
      </c>
      <c r="AI13" s="35"/>
      <c r="AJ13" s="65">
        <v>27</v>
      </c>
      <c r="AK13" s="66">
        <f>'SA85-90'!F19*(1+$AH$22)</f>
        <v>2.343E-3</v>
      </c>
      <c r="AL13" s="66">
        <f>'SA85-90 (light)'!F19*(1+$AH$22)</f>
        <v>1.9470000000000002E-3</v>
      </c>
      <c r="AM13" s="66">
        <f t="shared" si="24"/>
        <v>74</v>
      </c>
      <c r="AN13" s="66">
        <f t="shared" si="25"/>
        <v>5.9609000000000009E-2</v>
      </c>
      <c r="AO13" s="67">
        <f t="shared" si="36"/>
        <v>0.66457218650771166</v>
      </c>
      <c r="AP13" s="68">
        <f t="shared" ca="1" si="26"/>
        <v>0.31891468508471887</v>
      </c>
      <c r="AR13" s="69">
        <f t="shared" si="27"/>
        <v>1</v>
      </c>
      <c r="AS13" s="70">
        <f t="shared" si="37"/>
        <v>10</v>
      </c>
      <c r="AT13" s="71">
        <f t="shared" si="38"/>
        <v>0.93384140132116322</v>
      </c>
      <c r="AU13" s="72">
        <f t="shared" si="11"/>
        <v>6.8214933659622723E-3</v>
      </c>
      <c r="AV13" s="73">
        <f t="shared" si="28"/>
        <v>1.0068214933659623</v>
      </c>
      <c r="AW13" s="74">
        <f>PRODUCT(AV$4:AV13)</f>
        <v>1.0703474576034386</v>
      </c>
      <c r="AY13" s="75">
        <f t="shared" si="39"/>
        <v>10</v>
      </c>
      <c r="AZ13" s="76">
        <f t="shared" ca="1" si="29"/>
        <v>1.0068214933659623</v>
      </c>
      <c r="BA13" s="76">
        <f t="shared" ca="1" si="29"/>
        <v>1.0068214933659623</v>
      </c>
      <c r="BB13" s="76">
        <f t="shared" ca="1" si="29"/>
        <v>1.0068214933659623</v>
      </c>
      <c r="BC13" s="76">
        <f t="shared" ca="1" si="29"/>
        <v>1.0068214933659623</v>
      </c>
      <c r="BD13" s="76">
        <f t="shared" ca="1" si="29"/>
        <v>1.0068214933659623</v>
      </c>
      <c r="BE13" s="76">
        <f t="shared" ca="1" si="29"/>
        <v>1.0068214933659623</v>
      </c>
      <c r="BF13" s="76">
        <f t="shared" ca="1" si="29"/>
        <v>1.0068214933659623</v>
      </c>
      <c r="BG13" s="76">
        <f t="shared" ca="1" si="29"/>
        <v>1.0068214933659623</v>
      </c>
      <c r="BH13" s="76">
        <f t="shared" ca="1" si="29"/>
        <v>1.0068214933659623</v>
      </c>
      <c r="BI13" s="76">
        <f t="shared" ca="1" si="29"/>
        <v>1.0068214933659623</v>
      </c>
      <c r="BJ13" s="76">
        <f t="shared" ca="1" si="29"/>
        <v>1.0068214933659623</v>
      </c>
      <c r="BK13" s="76">
        <f t="shared" ca="1" si="29"/>
        <v>1.0068214933659623</v>
      </c>
      <c r="BL13" s="76">
        <f t="shared" ca="1" si="13"/>
        <v>8.5000000000000853E-2</v>
      </c>
      <c r="BM13" s="77">
        <f t="shared" ca="1" si="30"/>
        <v>2.2609834419174515</v>
      </c>
    </row>
    <row r="14" spans="2:65">
      <c r="B14" s="39" t="s">
        <v>32</v>
      </c>
      <c r="C14" s="104">
        <v>0.02</v>
      </c>
      <c r="D14" s="34"/>
      <c r="E14">
        <f t="shared" si="31"/>
        <v>11</v>
      </c>
      <c r="F14" s="64">
        <f t="shared" si="14"/>
        <v>55.8</v>
      </c>
      <c r="G14" s="55">
        <f t="shared" si="0"/>
        <v>0</v>
      </c>
      <c r="H14" s="78">
        <f t="shared" si="40"/>
        <v>1</v>
      </c>
      <c r="I14" s="79">
        <f t="shared" si="15"/>
        <v>483994.67582401476</v>
      </c>
      <c r="J14" s="79">
        <f t="shared" si="1"/>
        <v>3301.5664702945774</v>
      </c>
      <c r="K14" s="80">
        <f t="shared" si="2"/>
        <v>-15</v>
      </c>
      <c r="L14" s="80">
        <f t="shared" si="16"/>
        <v>-403.32889652001234</v>
      </c>
      <c r="M14" s="80">
        <f t="shared" si="17"/>
        <v>0</v>
      </c>
      <c r="N14" s="80">
        <f t="shared" si="18"/>
        <v>-459.79494203281411</v>
      </c>
      <c r="O14" s="81">
        <f t="shared" si="3"/>
        <v>-2083.3333333333335</v>
      </c>
      <c r="P14" s="79">
        <f t="shared" si="4"/>
        <v>484334.78512242314</v>
      </c>
      <c r="Q14" s="35"/>
      <c r="R14">
        <f t="shared" ca="1" si="19"/>
        <v>136</v>
      </c>
      <c r="S14" s="78">
        <f t="shared" ca="1" si="20"/>
        <v>65.8</v>
      </c>
      <c r="T14" s="55">
        <f t="shared" ca="1" si="5"/>
        <v>2.4857885984658212E-3</v>
      </c>
      <c r="U14" s="78">
        <f t="shared" ca="1" si="32"/>
        <v>0.97671642638372469</v>
      </c>
      <c r="V14" s="79">
        <f t="shared" ca="1" si="21"/>
        <v>471682.6660157771</v>
      </c>
      <c r="W14" s="79">
        <f t="shared" ca="1" si="6"/>
        <v>3217.5801770660214</v>
      </c>
      <c r="X14" s="80">
        <f t="shared" ca="1" si="33"/>
        <v>-14.650746395755871</v>
      </c>
      <c r="Y14" s="80">
        <f t="shared" ca="1" si="34"/>
        <v>-393.06888834648095</v>
      </c>
      <c r="Z14" s="80">
        <f t="shared" ca="1" si="23"/>
        <v>0</v>
      </c>
      <c r="AA14" s="80">
        <f t="shared" ca="1" si="35"/>
        <v>-448.09853271498832</v>
      </c>
      <c r="AB14" s="81">
        <f t="shared" ca="1" si="7"/>
        <v>-2442.3870051391891</v>
      </c>
      <c r="AC14" s="79">
        <f t="shared" ca="1" si="8"/>
        <v>471602.04102024669</v>
      </c>
      <c r="AD14" s="35"/>
      <c r="AE14" s="62">
        <f t="shared" ca="1" si="9"/>
        <v>-2500.6101455486764</v>
      </c>
      <c r="AF14" s="62">
        <f t="shared" ca="1" si="10"/>
        <v>482844.38377507881</v>
      </c>
      <c r="AG14" s="42" t="s">
        <v>46</v>
      </c>
      <c r="AH14" s="43">
        <f>-SUM(M4:M1803)</f>
        <v>127696.83452136585</v>
      </c>
      <c r="AI14" s="35"/>
      <c r="AJ14" s="65">
        <v>28</v>
      </c>
      <c r="AK14" s="66">
        <f>'SA85-90'!F20*(1+$AH$22)</f>
        <v>2.2880000000000001E-3</v>
      </c>
      <c r="AL14" s="66">
        <f>'SA85-90 (light)'!F20*(1+$AH$22)</f>
        <v>1.8700000000000001E-3</v>
      </c>
      <c r="AM14" s="66">
        <f t="shared" si="24"/>
        <v>75</v>
      </c>
      <c r="AN14" s="66">
        <f t="shared" si="25"/>
        <v>6.4834000000000003E-2</v>
      </c>
      <c r="AO14" s="67">
        <f t="shared" si="36"/>
        <v>0.62148531336767066</v>
      </c>
      <c r="AP14" s="68">
        <f t="shared" ca="1" si="26"/>
        <v>0.27487388976215293</v>
      </c>
      <c r="AR14" s="69">
        <f t="shared" si="27"/>
        <v>1</v>
      </c>
      <c r="AS14" s="70">
        <f t="shared" si="37"/>
        <v>11</v>
      </c>
      <c r="AT14" s="71">
        <f t="shared" si="38"/>
        <v>0.92747120839718999</v>
      </c>
      <c r="AU14" s="72">
        <f t="shared" si="11"/>
        <v>6.8214933659622723E-3</v>
      </c>
      <c r="AV14" s="73">
        <f t="shared" si="28"/>
        <v>1.0068214933659623</v>
      </c>
      <c r="AW14" s="74">
        <f>PRODUCT(AV$4:AV14)</f>
        <v>1.0776488256847552</v>
      </c>
      <c r="AY14" s="75">
        <f t="shared" si="39"/>
        <v>11</v>
      </c>
      <c r="AZ14" s="76">
        <f t="shared" ca="1" si="29"/>
        <v>1.0068214933659623</v>
      </c>
      <c r="BA14" s="76">
        <f t="shared" ca="1" si="29"/>
        <v>1.0068214933659623</v>
      </c>
      <c r="BB14" s="76">
        <f t="shared" ca="1" si="29"/>
        <v>1.0068214933659623</v>
      </c>
      <c r="BC14" s="76">
        <f t="shared" ca="1" si="29"/>
        <v>1.0068214933659623</v>
      </c>
      <c r="BD14" s="76">
        <f t="shared" ca="1" si="29"/>
        <v>1.0068214933659623</v>
      </c>
      <c r="BE14" s="76">
        <f t="shared" ca="1" si="29"/>
        <v>1.0068214933659623</v>
      </c>
      <c r="BF14" s="76">
        <f t="shared" ca="1" si="29"/>
        <v>1.0068214933659623</v>
      </c>
      <c r="BG14" s="76">
        <f t="shared" ca="1" si="29"/>
        <v>1.0068214933659623</v>
      </c>
      <c r="BH14" s="76">
        <f t="shared" ca="1" si="29"/>
        <v>1.0068214933659623</v>
      </c>
      <c r="BI14" s="76">
        <f t="shared" ca="1" si="29"/>
        <v>1.0068214933659623</v>
      </c>
      <c r="BJ14" s="76">
        <f t="shared" ca="1" si="29"/>
        <v>1.0068214933659623</v>
      </c>
      <c r="BK14" s="76">
        <f t="shared" ca="1" si="29"/>
        <v>1.0068214933659623</v>
      </c>
      <c r="BL14" s="76">
        <f t="shared" ca="1" si="13"/>
        <v>8.5000000000000853E-2</v>
      </c>
      <c r="BM14" s="77">
        <f t="shared" ca="1" si="30"/>
        <v>2.4531670344804368</v>
      </c>
    </row>
    <row r="15" spans="2:65">
      <c r="B15" t="s">
        <v>30</v>
      </c>
      <c r="C15" s="105">
        <v>0.01</v>
      </c>
      <c r="E15">
        <f t="shared" si="31"/>
        <v>12</v>
      </c>
      <c r="F15" s="64">
        <f t="shared" si="14"/>
        <v>55.88</v>
      </c>
      <c r="G15" s="55">
        <f t="shared" si="0"/>
        <v>0</v>
      </c>
      <c r="H15" s="78">
        <f t="shared" si="40"/>
        <v>1</v>
      </c>
      <c r="I15" s="79">
        <f t="shared" si="15"/>
        <v>484334.78512242314</v>
      </c>
      <c r="J15" s="79">
        <f t="shared" si="1"/>
        <v>3303.8865236173719</v>
      </c>
      <c r="K15" s="80">
        <f t="shared" si="2"/>
        <v>-15</v>
      </c>
      <c r="L15" s="80">
        <f t="shared" si="16"/>
        <v>-403.61232093535267</v>
      </c>
      <c r="M15" s="80">
        <f>IF(OR(I14+O14=0,K14=0),0,-IF(MOD(E15-1,12)=0,1,0)*I15*($C$17))</f>
        <v>0</v>
      </c>
      <c r="N15" s="80">
        <f t="shared" si="18"/>
        <v>-460.11804586630205</v>
      </c>
      <c r="O15" s="81">
        <f t="shared" si="3"/>
        <v>-2083.3333333333335</v>
      </c>
      <c r="P15" s="79">
        <f t="shared" si="4"/>
        <v>484676.60794590553</v>
      </c>
      <c r="Q15" s="35"/>
      <c r="R15">
        <f t="shared" ca="1" si="19"/>
        <v>137</v>
      </c>
      <c r="S15" s="78">
        <f t="shared" ca="1" si="20"/>
        <v>65.88</v>
      </c>
      <c r="T15" s="55">
        <f t="shared" ca="1" si="5"/>
        <v>2.4857885984658212E-3</v>
      </c>
      <c r="U15" s="78">
        <f t="shared" ca="1" si="32"/>
        <v>0.97428851582708575</v>
      </c>
      <c r="V15" s="79">
        <f t="shared" ca="1" si="21"/>
        <v>470429.73804366536</v>
      </c>
      <c r="W15" s="79">
        <f t="shared" ca="1" si="6"/>
        <v>3209.0333372162327</v>
      </c>
      <c r="X15" s="80">
        <f t="shared" ca="1" si="33"/>
        <v>-14.614327737406287</v>
      </c>
      <c r="Y15" s="80">
        <f t="shared" ca="1" si="34"/>
        <v>-392.02478170305449</v>
      </c>
      <c r="Z15" s="80">
        <f t="shared" ca="1" si="23"/>
        <v>0</v>
      </c>
      <c r="AA15" s="80">
        <f t="shared" ca="1" si="35"/>
        <v>-446.9082511414822</v>
      </c>
      <c r="AB15" s="81">
        <f t="shared" ca="1" si="7"/>
        <v>-2436.3157473687734</v>
      </c>
      <c r="AC15" s="79">
        <f t="shared" ca="1" si="8"/>
        <v>470348.90827293083</v>
      </c>
      <c r="AD15" s="35"/>
      <c r="AE15" s="62">
        <f t="shared" ca="1" si="9"/>
        <v>-2500.6101455486769</v>
      </c>
      <c r="AF15" s="62">
        <f t="shared" ca="1" si="10"/>
        <v>482761.42090584507</v>
      </c>
      <c r="AG15" s="106" t="s">
        <v>47</v>
      </c>
      <c r="AH15" s="107">
        <f>-SUMPRODUCT(M4:M1803,AT4:AT1803)</f>
        <v>42289.191721811185</v>
      </c>
      <c r="AI15" s="35"/>
      <c r="AJ15" s="65">
        <v>29</v>
      </c>
      <c r="AK15" s="66">
        <f>'SA85-90'!F21*(1+$AH$22)</f>
        <v>2.2550000000000005E-3</v>
      </c>
      <c r="AL15" s="66">
        <f>'SA85-90 (light)'!F21*(1+$AH$22)</f>
        <v>1.8370000000000001E-3</v>
      </c>
      <c r="AM15" s="66">
        <f t="shared" si="24"/>
        <v>76</v>
      </c>
      <c r="AN15" s="66">
        <f t="shared" si="25"/>
        <v>7.0521E-2</v>
      </c>
      <c r="AO15" s="67">
        <f t="shared" si="36"/>
        <v>0.57765754758366916</v>
      </c>
      <c r="AP15" s="68">
        <f t="shared" ca="1" si="26"/>
        <v>0.23547420108961839</v>
      </c>
      <c r="AR15" s="69">
        <f t="shared" si="27"/>
        <v>1</v>
      </c>
      <c r="AS15" s="70">
        <f t="shared" si="37"/>
        <v>12</v>
      </c>
      <c r="AT15" s="71">
        <f t="shared" si="38"/>
        <v>0.9211444697019876</v>
      </c>
      <c r="AU15" s="72">
        <f t="shared" si="11"/>
        <v>6.8214933659622723E-3</v>
      </c>
      <c r="AV15" s="73">
        <f t="shared" si="28"/>
        <v>1.0068214933659623</v>
      </c>
      <c r="AW15" s="74">
        <f>PRODUCT(AV$4:AV15)</f>
        <v>1.0850000000000009</v>
      </c>
      <c r="AY15" s="75">
        <f t="shared" si="39"/>
        <v>12</v>
      </c>
      <c r="AZ15" s="76">
        <f t="shared" ref="AZ15:BK24" ca="1" si="41">OFFSET($AV$3,($AY15*12-12)+AZ$3,0)</f>
        <v>1.0068214933659623</v>
      </c>
      <c r="BA15" s="76">
        <f t="shared" ca="1" si="41"/>
        <v>1.0068214933659623</v>
      </c>
      <c r="BB15" s="76">
        <f t="shared" ca="1" si="41"/>
        <v>1.0068214933659623</v>
      </c>
      <c r="BC15" s="76">
        <f t="shared" ca="1" si="41"/>
        <v>1.0068214933659623</v>
      </c>
      <c r="BD15" s="76">
        <f t="shared" ca="1" si="41"/>
        <v>1.0068214933659623</v>
      </c>
      <c r="BE15" s="76">
        <f t="shared" ca="1" si="41"/>
        <v>1.0068214933659623</v>
      </c>
      <c r="BF15" s="76">
        <f t="shared" ca="1" si="41"/>
        <v>1.0068214933659623</v>
      </c>
      <c r="BG15" s="76">
        <f t="shared" ca="1" si="41"/>
        <v>1.0068214933659623</v>
      </c>
      <c r="BH15" s="76">
        <f t="shared" ca="1" si="41"/>
        <v>1.0068214933659623</v>
      </c>
      <c r="BI15" s="76">
        <f t="shared" ca="1" si="41"/>
        <v>1.0068214933659623</v>
      </c>
      <c r="BJ15" s="76">
        <f t="shared" ca="1" si="41"/>
        <v>1.0068214933659623</v>
      </c>
      <c r="BK15" s="76">
        <f t="shared" ca="1" si="41"/>
        <v>1.0068214933659623</v>
      </c>
      <c r="BL15" s="76">
        <f t="shared" ca="1" si="13"/>
        <v>8.5000000000000853E-2</v>
      </c>
      <c r="BM15" s="77">
        <f t="shared" ca="1" si="30"/>
        <v>2.661686232411276</v>
      </c>
    </row>
    <row r="16" spans="2:65">
      <c r="B16" t="s">
        <v>82</v>
      </c>
      <c r="C16" s="108">
        <v>0.01</v>
      </c>
      <c r="D16" s="34"/>
      <c r="E16">
        <f t="shared" si="31"/>
        <v>13</v>
      </c>
      <c r="F16" s="64">
        <f t="shared" si="14"/>
        <v>55.96</v>
      </c>
      <c r="G16" s="55">
        <f t="shared" si="0"/>
        <v>0</v>
      </c>
      <c r="H16" s="78">
        <f t="shared" si="40"/>
        <v>1</v>
      </c>
      <c r="I16" s="79">
        <f t="shared" si="15"/>
        <v>484676.60794590553</v>
      </c>
      <c r="J16" s="79">
        <f t="shared" si="1"/>
        <v>3306.2182657400917</v>
      </c>
      <c r="K16" s="80">
        <f t="shared" si="2"/>
        <v>-15</v>
      </c>
      <c r="L16" s="80">
        <f t="shared" si="16"/>
        <v>-403.89717328825463</v>
      </c>
      <c r="M16" s="80">
        <f t="shared" ref="M16:M79" si="42">IF(OR(I15+O15=0,K15=0),0,-IF(MOD(E16-1,12)=0,1,0)*I16*($C$17))</f>
        <v>-3635.0745595942913</v>
      </c>
      <c r="N16" s="80">
        <f t="shared" si="18"/>
        <v>-460.44277754861037</v>
      </c>
      <c r="O16" s="81">
        <f t="shared" si="3"/>
        <v>-2083.3333333333335</v>
      </c>
      <c r="P16" s="79">
        <f t="shared" si="4"/>
        <v>481385.07836788113</v>
      </c>
      <c r="Q16" s="35"/>
      <c r="R16">
        <f t="shared" ca="1" si="19"/>
        <v>138</v>
      </c>
      <c r="S16" s="78">
        <f t="shared" ca="1" si="20"/>
        <v>65.959999999999994</v>
      </c>
      <c r="T16" s="55">
        <f t="shared" ca="1" si="5"/>
        <v>2.4857885984658212E-3</v>
      </c>
      <c r="U16" s="78">
        <f t="shared" ca="1" si="32"/>
        <v>0.97186664054282657</v>
      </c>
      <c r="V16" s="79">
        <f t="shared" ca="1" si="21"/>
        <v>469179.72031944513</v>
      </c>
      <c r="W16" s="79">
        <f t="shared" ca="1" si="6"/>
        <v>3200.5063496031294</v>
      </c>
      <c r="X16" s="80">
        <f t="shared" ca="1" si="33"/>
        <v>-14.577999608142399</v>
      </c>
      <c r="Y16" s="80">
        <f t="shared" ca="1" si="34"/>
        <v>-390.9831002662043</v>
      </c>
      <c r="Z16" s="80">
        <f t="shared" ca="1" si="23"/>
        <v>0</v>
      </c>
      <c r="AA16" s="80">
        <f t="shared" ca="1" si="35"/>
        <v>-445.72073430347297</v>
      </c>
      <c r="AB16" s="81">
        <f t="shared" ca="1" si="7"/>
        <v>-2430.2595814617011</v>
      </c>
      <c r="AC16" s="79">
        <f t="shared" ca="1" si="8"/>
        <v>469098.68525340874</v>
      </c>
      <c r="AD16" s="35"/>
      <c r="AE16" s="62">
        <f t="shared" ca="1" si="9"/>
        <v>-2500.6101455486769</v>
      </c>
      <c r="AF16" s="62">
        <f t="shared" ca="1" si="10"/>
        <v>482678.04005639936</v>
      </c>
      <c r="AG16" s="42" t="s">
        <v>49</v>
      </c>
      <c r="AH16" s="43">
        <f>-SUM(N4:N1803)+C15*C4</f>
        <v>195917.53459552155</v>
      </c>
      <c r="AI16" s="35"/>
      <c r="AJ16" s="65">
        <v>30</v>
      </c>
      <c r="AK16" s="66">
        <f>'SA85-90'!F22*(1+$AH$22)</f>
        <v>2.2440000000000003E-3</v>
      </c>
      <c r="AL16" s="66">
        <f>'SA85-90 (light)'!F22*(1+$AH$22)</f>
        <v>1.8150000000000002E-3</v>
      </c>
      <c r="AM16" s="66">
        <f t="shared" si="24"/>
        <v>77</v>
      </c>
      <c r="AN16" s="66">
        <f t="shared" si="25"/>
        <v>7.6714000000000004E-2</v>
      </c>
      <c r="AO16" s="67">
        <f t="shared" si="36"/>
        <v>0.53334312647833559</v>
      </c>
      <c r="AP16" s="68">
        <f t="shared" ca="1" si="26"/>
        <v>0.2003779108085062</v>
      </c>
      <c r="AR16" s="69">
        <f t="shared" si="27"/>
        <v>2</v>
      </c>
      <c r="AS16" s="70">
        <f t="shared" si="37"/>
        <v>13</v>
      </c>
      <c r="AT16" s="71">
        <f t="shared" si="38"/>
        <v>0.91486088881282268</v>
      </c>
      <c r="AU16" s="72">
        <f t="shared" si="11"/>
        <v>6.8214933659622723E-3</v>
      </c>
      <c r="AV16" s="73">
        <f t="shared" si="28"/>
        <v>1.0068214933659623</v>
      </c>
      <c r="AW16" s="74">
        <f>PRODUCT(AV$4:AV16)</f>
        <v>1.0924013203020699</v>
      </c>
      <c r="AY16" s="75">
        <f t="shared" si="39"/>
        <v>13</v>
      </c>
      <c r="AZ16" s="76">
        <f t="shared" ca="1" si="41"/>
        <v>1.0068214933659623</v>
      </c>
      <c r="BA16" s="76">
        <f t="shared" ca="1" si="41"/>
        <v>1.0068214933659623</v>
      </c>
      <c r="BB16" s="76">
        <f t="shared" ca="1" si="41"/>
        <v>1.0068214933659623</v>
      </c>
      <c r="BC16" s="76">
        <f t="shared" ca="1" si="41"/>
        <v>1.0068214933659623</v>
      </c>
      <c r="BD16" s="76">
        <f t="shared" ca="1" si="41"/>
        <v>1.0068214933659623</v>
      </c>
      <c r="BE16" s="76">
        <f t="shared" ca="1" si="41"/>
        <v>1.0068214933659623</v>
      </c>
      <c r="BF16" s="76">
        <f t="shared" ca="1" si="41"/>
        <v>1.0068214933659623</v>
      </c>
      <c r="BG16" s="76">
        <f t="shared" ca="1" si="41"/>
        <v>1.0068214933659623</v>
      </c>
      <c r="BH16" s="76">
        <f t="shared" ca="1" si="41"/>
        <v>1.0068214933659623</v>
      </c>
      <c r="BI16" s="76">
        <f t="shared" ca="1" si="41"/>
        <v>1.0068214933659623</v>
      </c>
      <c r="BJ16" s="76">
        <f t="shared" ca="1" si="41"/>
        <v>1.0068214933659623</v>
      </c>
      <c r="BK16" s="76">
        <f t="shared" ca="1" si="41"/>
        <v>1.0068214933659623</v>
      </c>
      <c r="BL16" s="76">
        <f t="shared" ca="1" si="13"/>
        <v>8.5000000000000853E-2</v>
      </c>
      <c r="BM16" s="77">
        <f t="shared" ca="1" si="30"/>
        <v>2.8879295621662369</v>
      </c>
    </row>
    <row r="17" spans="2:65">
      <c r="B17" t="s">
        <v>61</v>
      </c>
      <c r="C17" s="105">
        <v>7.4999999999999997E-3</v>
      </c>
      <c r="E17">
        <f t="shared" si="31"/>
        <v>14</v>
      </c>
      <c r="F17" s="64">
        <f t="shared" si="14"/>
        <v>56.04</v>
      </c>
      <c r="G17" s="55">
        <f t="shared" si="0"/>
        <v>0</v>
      </c>
      <c r="H17" s="78">
        <f t="shared" si="40"/>
        <v>1</v>
      </c>
      <c r="I17" s="79">
        <f t="shared" si="15"/>
        <v>481385.07836788113</v>
      </c>
      <c r="J17" s="79">
        <f t="shared" si="1"/>
        <v>3283.7651185597297</v>
      </c>
      <c r="K17" s="80">
        <f t="shared" si="2"/>
        <v>-15</v>
      </c>
      <c r="L17" s="80">
        <f t="shared" si="16"/>
        <v>-401.15423197323429</v>
      </c>
      <c r="M17" s="80">
        <f t="shared" si="42"/>
        <v>0</v>
      </c>
      <c r="N17" s="80">
        <f t="shared" si="18"/>
        <v>-457.31582444948714</v>
      </c>
      <c r="O17" s="81">
        <f t="shared" si="3"/>
        <v>-2083.3333333333335</v>
      </c>
      <c r="P17" s="79">
        <f t="shared" si="4"/>
        <v>481712.04009668482</v>
      </c>
      <c r="Q17" s="35"/>
      <c r="R17">
        <f t="shared" ca="1" si="19"/>
        <v>139</v>
      </c>
      <c r="S17" s="78">
        <f t="shared" ca="1" si="20"/>
        <v>66.040000000000006</v>
      </c>
      <c r="T17" s="55">
        <f t="shared" ca="1" si="5"/>
        <v>2.4857885984658212E-3</v>
      </c>
      <c r="U17" s="78">
        <f t="shared" ca="1" si="32"/>
        <v>0.96945078552853592</v>
      </c>
      <c r="V17" s="79">
        <f t="shared" ca="1" si="21"/>
        <v>467932.60509005049</v>
      </c>
      <c r="W17" s="79">
        <f t="shared" ca="1" si="6"/>
        <v>3191.9991613392231</v>
      </c>
      <c r="X17" s="80">
        <f t="shared" ca="1" si="33"/>
        <v>-14.541761782928038</v>
      </c>
      <c r="Y17" s="80">
        <f t="shared" ca="1" si="34"/>
        <v>-389.9438375750421</v>
      </c>
      <c r="Z17" s="80">
        <f t="shared" ca="1" si="23"/>
        <v>0</v>
      </c>
      <c r="AA17" s="80">
        <f t="shared" ca="1" si="35"/>
        <v>-444.53597483554807</v>
      </c>
      <c r="AB17" s="81">
        <f t="shared" ca="1" si="7"/>
        <v>-2424.2184699027916</v>
      </c>
      <c r="AC17" s="79">
        <f t="shared" ca="1" si="8"/>
        <v>467851.36420729337</v>
      </c>
      <c r="AD17" s="35"/>
      <c r="AE17" s="62">
        <f t="shared" ca="1" si="9"/>
        <v>-2500.6101455486773</v>
      </c>
      <c r="AF17" s="62">
        <f t="shared" ca="1" si="10"/>
        <v>482594.2391208905</v>
      </c>
      <c r="AG17" s="106" t="s">
        <v>48</v>
      </c>
      <c r="AH17" s="107">
        <f>-SUMPRODUCT(N4:N1803,AT4:AT1803)+C15*C4</f>
        <v>66515.240112688713</v>
      </c>
      <c r="AI17" s="35"/>
      <c r="AJ17" s="65">
        <v>31</v>
      </c>
      <c r="AK17" s="66">
        <f>'SA85-90'!F23*(1+$AH$22)</f>
        <v>2.2550000000000005E-3</v>
      </c>
      <c r="AL17" s="66">
        <f>'SA85-90 (light)'!F23*(1+$AH$22)</f>
        <v>1.8150000000000002E-3</v>
      </c>
      <c r="AM17" s="66">
        <f t="shared" si="24"/>
        <v>78</v>
      </c>
      <c r="AN17" s="66">
        <f t="shared" si="25"/>
        <v>8.3468000000000014E-2</v>
      </c>
      <c r="AO17" s="67">
        <f t="shared" si="36"/>
        <v>0.48882604239744187</v>
      </c>
      <c r="AP17" s="68">
        <f t="shared" ca="1" si="26"/>
        <v>0.16926522336326419</v>
      </c>
      <c r="AR17" s="69">
        <f t="shared" si="27"/>
        <v>2</v>
      </c>
      <c r="AS17" s="70">
        <f t="shared" si="37"/>
        <v>14</v>
      </c>
      <c r="AT17" s="71">
        <f t="shared" si="38"/>
        <v>0.90862017132900763</v>
      </c>
      <c r="AU17" s="72">
        <f t="shared" si="11"/>
        <v>6.8214933659622723E-3</v>
      </c>
      <c r="AV17" s="73">
        <f t="shared" si="28"/>
        <v>1.0068214933659623</v>
      </c>
      <c r="AW17" s="74">
        <f>PRODUCT(AV$4:AV17)</f>
        <v>1.099853128661479</v>
      </c>
      <c r="AY17" s="75">
        <f t="shared" si="39"/>
        <v>14</v>
      </c>
      <c r="AZ17" s="76">
        <f t="shared" ca="1" si="41"/>
        <v>1.0068214933659623</v>
      </c>
      <c r="BA17" s="76">
        <f t="shared" ca="1" si="41"/>
        <v>1.0068214933659623</v>
      </c>
      <c r="BB17" s="76">
        <f t="shared" ca="1" si="41"/>
        <v>1.0068214933659623</v>
      </c>
      <c r="BC17" s="76">
        <f t="shared" ca="1" si="41"/>
        <v>1.0068214933659623</v>
      </c>
      <c r="BD17" s="76">
        <f t="shared" ca="1" si="41"/>
        <v>1.0068214933659623</v>
      </c>
      <c r="BE17" s="76">
        <f t="shared" ca="1" si="41"/>
        <v>1.0068214933659623</v>
      </c>
      <c r="BF17" s="76">
        <f t="shared" ca="1" si="41"/>
        <v>1.0068214933659623</v>
      </c>
      <c r="BG17" s="76">
        <f t="shared" ca="1" si="41"/>
        <v>1.0068214933659623</v>
      </c>
      <c r="BH17" s="76">
        <f t="shared" ca="1" si="41"/>
        <v>1.0068214933659623</v>
      </c>
      <c r="BI17" s="76">
        <f t="shared" ca="1" si="41"/>
        <v>1.0068214933659623</v>
      </c>
      <c r="BJ17" s="76">
        <f t="shared" ca="1" si="41"/>
        <v>1.0068214933659623</v>
      </c>
      <c r="BK17" s="76">
        <f t="shared" ca="1" si="41"/>
        <v>1.0068214933659623</v>
      </c>
      <c r="BL17" s="76">
        <f t="shared" ca="1" si="13"/>
        <v>8.5000000000000853E-2</v>
      </c>
      <c r="BM17" s="77">
        <f t="shared" ca="1" si="30"/>
        <v>3.1334035749503695</v>
      </c>
    </row>
    <row r="18" spans="2:65">
      <c r="B18" t="s">
        <v>29</v>
      </c>
      <c r="C18" s="105">
        <v>0.01</v>
      </c>
      <c r="E18">
        <f t="shared" si="31"/>
        <v>15</v>
      </c>
      <c r="F18" s="64">
        <f t="shared" si="14"/>
        <v>56.12</v>
      </c>
      <c r="G18" s="55">
        <f t="shared" si="0"/>
        <v>0</v>
      </c>
      <c r="H18" s="78">
        <f t="shared" si="40"/>
        <v>1</v>
      </c>
      <c r="I18" s="79">
        <f t="shared" si="15"/>
        <v>481712.04009668482</v>
      </c>
      <c r="J18" s="79">
        <f t="shared" si="1"/>
        <v>3285.9954858236874</v>
      </c>
      <c r="K18" s="80">
        <f t="shared" si="2"/>
        <v>-15</v>
      </c>
      <c r="L18" s="80">
        <f t="shared" si="16"/>
        <v>-401.4267000805707</v>
      </c>
      <c r="M18" s="80">
        <f t="shared" si="42"/>
        <v>0</v>
      </c>
      <c r="N18" s="80">
        <f t="shared" si="18"/>
        <v>-457.62643809185062</v>
      </c>
      <c r="O18" s="81">
        <f t="shared" si="3"/>
        <v>-2083.3333333333335</v>
      </c>
      <c r="P18" s="79">
        <f t="shared" si="4"/>
        <v>482040.64911100274</v>
      </c>
      <c r="Q18" s="35"/>
      <c r="R18">
        <f t="shared" ca="1" si="19"/>
        <v>140</v>
      </c>
      <c r="S18" s="78">
        <f t="shared" ca="1" si="20"/>
        <v>66.12</v>
      </c>
      <c r="T18" s="55">
        <f t="shared" ca="1" si="5"/>
        <v>2.4857885984658212E-3</v>
      </c>
      <c r="U18" s="78">
        <f t="shared" ca="1" si="32"/>
        <v>0.96704093581909534</v>
      </c>
      <c r="V18" s="79">
        <f t="shared" ca="1" si="21"/>
        <v>466688.38462037023</v>
      </c>
      <c r="W18" s="79">
        <f t="shared" ca="1" si="6"/>
        <v>3183.5117196595047</v>
      </c>
      <c r="X18" s="80">
        <f t="shared" ca="1" si="33"/>
        <v>-14.50561403728643</v>
      </c>
      <c r="Y18" s="80">
        <f t="shared" ca="1" si="34"/>
        <v>-388.90698718364189</v>
      </c>
      <c r="Z18" s="80">
        <f t="shared" ca="1" si="23"/>
        <v>0</v>
      </c>
      <c r="AA18" s="80">
        <f t="shared" ca="1" si="35"/>
        <v>-443.3539653893518</v>
      </c>
      <c r="AB18" s="81">
        <f t="shared" ca="1" si="7"/>
        <v>-2418.1923752701168</v>
      </c>
      <c r="AC18" s="79">
        <f t="shared" ca="1" si="8"/>
        <v>466606.93739814928</v>
      </c>
      <c r="AD18" s="35"/>
      <c r="AE18" s="62">
        <f t="shared" ca="1" si="9"/>
        <v>-2500.6101455486769</v>
      </c>
      <c r="AF18" s="62">
        <f t="shared" ca="1" si="10"/>
        <v>482510.01598285761</v>
      </c>
      <c r="AG18" s="109" t="s">
        <v>50</v>
      </c>
      <c r="AH18" s="109">
        <f>SumOfFeesToInsurer
+SumOfAssetManagementCharges
+SumOfCommissionPayments
-SUM(K4:K1803)</f>
        <v>509575.89069190621</v>
      </c>
      <c r="AI18" s="35"/>
      <c r="AJ18" s="65">
        <v>32</v>
      </c>
      <c r="AK18" s="66">
        <f>'SA85-90'!F24*(1+$AH$22)</f>
        <v>2.2880000000000001E-3</v>
      </c>
      <c r="AL18" s="66">
        <f>'SA85-90 (light)'!F24*(1+$AH$22)</f>
        <v>1.8480000000000003E-3</v>
      </c>
      <c r="AM18" s="66">
        <f t="shared" si="24"/>
        <v>79</v>
      </c>
      <c r="AN18" s="66">
        <f t="shared" si="25"/>
        <v>9.0848999999999999E-2</v>
      </c>
      <c r="AO18" s="67">
        <f t="shared" si="36"/>
        <v>0.44441668527167671</v>
      </c>
      <c r="AP18" s="68">
        <f t="shared" ca="1" si="26"/>
        <v>0.14183193279809669</v>
      </c>
      <c r="AR18" s="69">
        <f t="shared" si="27"/>
        <v>2</v>
      </c>
      <c r="AS18" s="70">
        <f t="shared" si="37"/>
        <v>15</v>
      </c>
      <c r="AT18" s="71">
        <f t="shared" si="38"/>
        <v>0.9024220248581073</v>
      </c>
      <c r="AU18" s="72">
        <f t="shared" si="11"/>
        <v>6.8214933659622723E-3</v>
      </c>
      <c r="AV18" s="73">
        <f t="shared" si="28"/>
        <v>1.0068214933659623</v>
      </c>
      <c r="AW18" s="74">
        <f>PRODUCT(AV$4:AV18)</f>
        <v>1.1073557694821761</v>
      </c>
      <c r="AY18" s="75">
        <f t="shared" si="39"/>
        <v>15</v>
      </c>
      <c r="AZ18" s="76">
        <f t="shared" ca="1" si="41"/>
        <v>1.0068214933659623</v>
      </c>
      <c r="BA18" s="76">
        <f t="shared" ca="1" si="41"/>
        <v>1.0068214933659623</v>
      </c>
      <c r="BB18" s="76">
        <f t="shared" ca="1" si="41"/>
        <v>1.0068214933659623</v>
      </c>
      <c r="BC18" s="76">
        <f t="shared" ca="1" si="41"/>
        <v>1.0068214933659623</v>
      </c>
      <c r="BD18" s="76">
        <f t="shared" ca="1" si="41"/>
        <v>1.0068214933659623</v>
      </c>
      <c r="BE18" s="76">
        <f t="shared" ca="1" si="41"/>
        <v>1.0068214933659623</v>
      </c>
      <c r="BF18" s="76">
        <f t="shared" ca="1" si="41"/>
        <v>1.0068214933659623</v>
      </c>
      <c r="BG18" s="76">
        <f t="shared" ca="1" si="41"/>
        <v>1.0068214933659623</v>
      </c>
      <c r="BH18" s="76">
        <f t="shared" ca="1" si="41"/>
        <v>1.0068214933659623</v>
      </c>
      <c r="BI18" s="76">
        <f t="shared" ca="1" si="41"/>
        <v>1.0068214933659623</v>
      </c>
      <c r="BJ18" s="76">
        <f t="shared" ca="1" si="41"/>
        <v>1.0068214933659623</v>
      </c>
      <c r="BK18" s="76">
        <f t="shared" ca="1" si="41"/>
        <v>1.0068214933659623</v>
      </c>
      <c r="BL18" s="76">
        <f t="shared" ca="1" si="13"/>
        <v>8.5000000000000853E-2</v>
      </c>
      <c r="BM18" s="77">
        <f t="shared" ca="1" si="30"/>
        <v>3.3997428788211534</v>
      </c>
    </row>
    <row r="19" spans="2:65">
      <c r="B19" t="s">
        <v>28</v>
      </c>
      <c r="C19" s="110">
        <v>15</v>
      </c>
      <c r="E19">
        <f t="shared" si="31"/>
        <v>16</v>
      </c>
      <c r="F19" s="64">
        <f t="shared" si="14"/>
        <v>56.2</v>
      </c>
      <c r="G19" s="55">
        <f t="shared" si="0"/>
        <v>0</v>
      </c>
      <c r="H19" s="78">
        <f t="shared" si="40"/>
        <v>1</v>
      </c>
      <c r="I19" s="79">
        <f t="shared" si="15"/>
        <v>482040.64911100274</v>
      </c>
      <c r="J19" s="79">
        <f t="shared" si="1"/>
        <v>3288.2370900348528</v>
      </c>
      <c r="K19" s="80">
        <f t="shared" si="2"/>
        <v>-15</v>
      </c>
      <c r="L19" s="80">
        <f t="shared" si="16"/>
        <v>-401.70054092583564</v>
      </c>
      <c r="M19" s="80">
        <f t="shared" si="42"/>
        <v>0</v>
      </c>
      <c r="N19" s="80">
        <f t="shared" si="18"/>
        <v>-457.93861665545268</v>
      </c>
      <c r="O19" s="81">
        <f t="shared" si="3"/>
        <v>-2083.3333333333335</v>
      </c>
      <c r="P19" s="79">
        <f t="shared" si="4"/>
        <v>482370.91371012299</v>
      </c>
      <c r="Q19" s="35"/>
      <c r="R19">
        <f t="shared" ca="1" si="19"/>
        <v>141</v>
      </c>
      <c r="S19" s="78">
        <f t="shared" ca="1" si="20"/>
        <v>66.2</v>
      </c>
      <c r="T19" s="55">
        <f t="shared" ca="1" si="5"/>
        <v>2.4857885984658212E-3</v>
      </c>
      <c r="U19" s="78">
        <f t="shared" ca="1" si="32"/>
        <v>0.96463707648658648</v>
      </c>
      <c r="V19" s="79">
        <f t="shared" ca="1" si="21"/>
        <v>465447.05119319994</v>
      </c>
      <c r="W19" s="79">
        <f t="shared" ca="1" si="6"/>
        <v>3175.0439719211154</v>
      </c>
      <c r="X19" s="80">
        <f t="shared" ca="1" si="33"/>
        <v>-14.469556147298798</v>
      </c>
      <c r="Y19" s="80">
        <f t="shared" ca="1" si="34"/>
        <v>-387.87254266099995</v>
      </c>
      <c r="Z19" s="80">
        <f t="shared" ca="1" si="23"/>
        <v>0</v>
      </c>
      <c r="AA19" s="80">
        <f t="shared" ca="1" si="35"/>
        <v>-442.17469863354</v>
      </c>
      <c r="AB19" s="81">
        <f t="shared" ca="1" si="7"/>
        <v>-2412.1812602347732</v>
      </c>
      <c r="AC19" s="79">
        <f t="shared" ca="1" si="8"/>
        <v>465365.39710744447</v>
      </c>
      <c r="AD19" s="35"/>
      <c r="AE19" s="62">
        <f t="shared" ca="1" si="9"/>
        <v>-2500.6101455486769</v>
      </c>
      <c r="AF19" s="62">
        <f t="shared" ca="1" si="10"/>
        <v>482425.36851517699</v>
      </c>
      <c r="AG19" s="35" t="s">
        <v>51</v>
      </c>
      <c r="AH19" s="35">
        <f>PresentValueOfFeesToInsurer
+PresentValueOfAssetManagementCharges
+PresentValueOfCommissionPayments
-SUMPRODUCT(K4:K1803,AT4:AT1803)</f>
        <v>174903.7381678356</v>
      </c>
      <c r="AI19" s="35"/>
      <c r="AJ19" s="65">
        <v>33</v>
      </c>
      <c r="AK19" s="66">
        <f>'SA85-90'!F25*(1+$AH$22)</f>
        <v>2.3320000000000003E-3</v>
      </c>
      <c r="AL19" s="66">
        <f>'SA85-90 (light)'!F25*(1+$AH$22)</f>
        <v>1.9030000000000002E-3</v>
      </c>
      <c r="AM19" s="66">
        <f t="shared" si="24"/>
        <v>80</v>
      </c>
      <c r="AN19" s="66">
        <f t="shared" si="25"/>
        <v>9.8912000000000014E-2</v>
      </c>
      <c r="AO19" s="67">
        <f t="shared" si="36"/>
        <v>0.40045854209808462</v>
      </c>
      <c r="AP19" s="68">
        <f t="shared" ca="1" si="26"/>
        <v>0.11779083194577995</v>
      </c>
      <c r="AR19" s="69">
        <f t="shared" si="27"/>
        <v>2</v>
      </c>
      <c r="AS19" s="70">
        <f t="shared" si="37"/>
        <v>16</v>
      </c>
      <c r="AT19" s="71">
        <f t="shared" si="38"/>
        <v>0.89626615900223949</v>
      </c>
      <c r="AU19" s="72">
        <f t="shared" si="11"/>
        <v>6.8214933659622723E-3</v>
      </c>
      <c r="AV19" s="73">
        <f t="shared" si="28"/>
        <v>1.0068214933659623</v>
      </c>
      <c r="AW19" s="74">
        <f>PRODUCT(AV$4:AV19)</f>
        <v>1.1149095895174588</v>
      </c>
      <c r="AY19" s="75">
        <f t="shared" si="39"/>
        <v>16</v>
      </c>
      <c r="AZ19" s="76">
        <f t="shared" ca="1" si="41"/>
        <v>1.0068214933659623</v>
      </c>
      <c r="BA19" s="76">
        <f t="shared" ca="1" si="41"/>
        <v>1.0068214933659623</v>
      </c>
      <c r="BB19" s="76">
        <f t="shared" ca="1" si="41"/>
        <v>1.0068214933659623</v>
      </c>
      <c r="BC19" s="76">
        <f t="shared" ca="1" si="41"/>
        <v>1.0068214933659623</v>
      </c>
      <c r="BD19" s="76">
        <f t="shared" ca="1" si="41"/>
        <v>1.0068214933659623</v>
      </c>
      <c r="BE19" s="76">
        <f t="shared" ca="1" si="41"/>
        <v>1.0068214933659623</v>
      </c>
      <c r="BF19" s="76">
        <f t="shared" ca="1" si="41"/>
        <v>1.0068214933659623</v>
      </c>
      <c r="BG19" s="76">
        <f t="shared" ca="1" si="41"/>
        <v>1.0068214933659623</v>
      </c>
      <c r="BH19" s="76">
        <f t="shared" ca="1" si="41"/>
        <v>1.0068214933659623</v>
      </c>
      <c r="BI19" s="76">
        <f t="shared" ca="1" si="41"/>
        <v>1.0068214933659623</v>
      </c>
      <c r="BJ19" s="76">
        <f t="shared" ca="1" si="41"/>
        <v>1.0068214933659623</v>
      </c>
      <c r="BK19" s="76">
        <f t="shared" ca="1" si="41"/>
        <v>1.0068214933659623</v>
      </c>
      <c r="BL19" s="76">
        <f t="shared" ca="1" si="13"/>
        <v>8.5000000000000853E-2</v>
      </c>
      <c r="BM19" s="77">
        <f t="shared" ca="1" si="30"/>
        <v>3.6887210235209542</v>
      </c>
    </row>
    <row r="20" spans="2:65">
      <c r="B20" s="82" t="s">
        <v>27</v>
      </c>
      <c r="C20" s="111">
        <v>0.14000000000000001</v>
      </c>
      <c r="E20">
        <f t="shared" si="31"/>
        <v>17</v>
      </c>
      <c r="F20" s="64">
        <f t="shared" si="14"/>
        <v>56.28</v>
      </c>
      <c r="G20" s="55">
        <f t="shared" si="0"/>
        <v>0</v>
      </c>
      <c r="H20" s="78">
        <f t="shared" si="40"/>
        <v>1</v>
      </c>
      <c r="I20" s="79">
        <f t="shared" si="15"/>
        <v>482370.91371012299</v>
      </c>
      <c r="J20" s="79">
        <f t="shared" si="1"/>
        <v>3290.4899878067636</v>
      </c>
      <c r="K20" s="80">
        <f t="shared" si="2"/>
        <v>-15</v>
      </c>
      <c r="L20" s="80">
        <f t="shared" si="16"/>
        <v>-401.97576142510252</v>
      </c>
      <c r="M20" s="80">
        <f t="shared" si="42"/>
        <v>0</v>
      </c>
      <c r="N20" s="80">
        <f t="shared" si="18"/>
        <v>-458.25236802461694</v>
      </c>
      <c r="O20" s="81">
        <f t="shared" si="3"/>
        <v>-2083.3333333333335</v>
      </c>
      <c r="P20" s="79">
        <f t="shared" si="4"/>
        <v>482702.84223514673</v>
      </c>
      <c r="Q20" s="35"/>
      <c r="R20">
        <f t="shared" ca="1" si="19"/>
        <v>142</v>
      </c>
      <c r="S20" s="78">
        <f t="shared" ca="1" si="20"/>
        <v>66.28</v>
      </c>
      <c r="T20" s="55">
        <f t="shared" ca="1" si="5"/>
        <v>2.4857885984658212E-3</v>
      </c>
      <c r="U20" s="78">
        <f t="shared" ca="1" si="32"/>
        <v>0.96223919264019875</v>
      </c>
      <c r="V20" s="79">
        <f t="shared" ca="1" si="21"/>
        <v>464208.59710919426</v>
      </c>
      <c r="W20" s="79">
        <f t="shared" ca="1" si="6"/>
        <v>3166.595865603022</v>
      </c>
      <c r="X20" s="80">
        <f t="shared" ca="1" si="33"/>
        <v>-14.433587889602981</v>
      </c>
      <c r="Y20" s="80">
        <f t="shared" ca="1" si="34"/>
        <v>-386.84049759099526</v>
      </c>
      <c r="Z20" s="80">
        <f t="shared" ca="1" si="23"/>
        <v>0</v>
      </c>
      <c r="AA20" s="80">
        <f t="shared" ca="1" si="35"/>
        <v>-440.99816725373466</v>
      </c>
      <c r="AB20" s="81">
        <f t="shared" ca="1" si="7"/>
        <v>-2406.1850875606488</v>
      </c>
      <c r="AC20" s="79">
        <f t="shared" ca="1" si="8"/>
        <v>464126.73563450226</v>
      </c>
      <c r="AD20" s="35"/>
      <c r="AE20" s="62">
        <f t="shared" ca="1" si="9"/>
        <v>-2500.6101455486769</v>
      </c>
      <c r="AF20" s="62">
        <f t="shared" ca="1" si="10"/>
        <v>482340.29458000773</v>
      </c>
      <c r="AG20" s="107" t="s">
        <v>52</v>
      </c>
      <c r="AH20" s="107">
        <f>PresentValueOfBenefitsToAnnuitant+PresentValueOfBenefitsToAnnuitantExclFuneral</f>
        <v>496266.44784539007</v>
      </c>
      <c r="AI20" s="35"/>
      <c r="AJ20" s="65">
        <v>34</v>
      </c>
      <c r="AK20" s="66">
        <f>'SA85-90'!F26*(1+$AH$22)</f>
        <v>2.3870000000000002E-3</v>
      </c>
      <c r="AL20" s="66">
        <f>'SA85-90 (light)'!F26*(1+$AH$22)</f>
        <v>1.9690000000000003E-3</v>
      </c>
      <c r="AM20" s="66">
        <f t="shared" si="24"/>
        <v>81</v>
      </c>
      <c r="AN20" s="66">
        <f t="shared" si="25"/>
        <v>0.107712</v>
      </c>
      <c r="AO20" s="67">
        <f t="shared" si="36"/>
        <v>0.35732435161161574</v>
      </c>
      <c r="AP20" s="68">
        <f t="shared" ca="1" si="26"/>
        <v>9.6869443184549334E-2</v>
      </c>
      <c r="AR20" s="69">
        <f t="shared" si="27"/>
        <v>2</v>
      </c>
      <c r="AS20" s="70">
        <f t="shared" si="37"/>
        <v>17</v>
      </c>
      <c r="AT20" s="71">
        <f t="shared" si="38"/>
        <v>0.89015228534446922</v>
      </c>
      <c r="AU20" s="72">
        <f t="shared" si="11"/>
        <v>6.8214933659622723E-3</v>
      </c>
      <c r="AV20" s="73">
        <f t="shared" si="28"/>
        <v>1.0068214933659623</v>
      </c>
      <c r="AW20" s="74">
        <f>PRODUCT(AV$4:AV20)</f>
        <v>1.1225149378859998</v>
      </c>
      <c r="AY20" s="75">
        <f t="shared" si="39"/>
        <v>17</v>
      </c>
      <c r="AZ20" s="76">
        <f t="shared" ca="1" si="41"/>
        <v>1.0068214933659623</v>
      </c>
      <c r="BA20" s="76">
        <f t="shared" ca="1" si="41"/>
        <v>1.0068214933659623</v>
      </c>
      <c r="BB20" s="76">
        <f t="shared" ca="1" si="41"/>
        <v>1.0068214933659623</v>
      </c>
      <c r="BC20" s="76">
        <f t="shared" ca="1" si="41"/>
        <v>1.0068214933659623</v>
      </c>
      <c r="BD20" s="76">
        <f t="shared" ca="1" si="41"/>
        <v>1.0068214933659623</v>
      </c>
      <c r="BE20" s="76">
        <f t="shared" ca="1" si="41"/>
        <v>1.0068214933659623</v>
      </c>
      <c r="BF20" s="76">
        <f t="shared" ca="1" si="41"/>
        <v>1.0068214933659623</v>
      </c>
      <c r="BG20" s="76">
        <f t="shared" ca="1" si="41"/>
        <v>1.0068214933659623</v>
      </c>
      <c r="BH20" s="76">
        <f t="shared" ca="1" si="41"/>
        <v>1.0068214933659623</v>
      </c>
      <c r="BI20" s="76">
        <f t="shared" ca="1" si="41"/>
        <v>1.0068214933659623</v>
      </c>
      <c r="BJ20" s="76">
        <f t="shared" ca="1" si="41"/>
        <v>1.0068214933659623</v>
      </c>
      <c r="BK20" s="76">
        <f t="shared" ca="1" si="41"/>
        <v>1.0068214933659623</v>
      </c>
      <c r="BL20" s="76">
        <f t="shared" ca="1" si="13"/>
        <v>8.5000000000000853E-2</v>
      </c>
      <c r="BM20" s="77">
        <f t="shared" ca="1" si="30"/>
        <v>4.0022623105202388</v>
      </c>
    </row>
    <row r="21" spans="2:65">
      <c r="E21">
        <f t="shared" si="31"/>
        <v>18</v>
      </c>
      <c r="F21" s="64">
        <f t="shared" si="14"/>
        <v>56.36</v>
      </c>
      <c r="G21" s="55">
        <f t="shared" si="0"/>
        <v>0</v>
      </c>
      <c r="H21" s="78">
        <f t="shared" si="40"/>
        <v>1</v>
      </c>
      <c r="I21" s="79">
        <f t="shared" si="15"/>
        <v>482702.84223514673</v>
      </c>
      <c r="J21" s="79">
        <f t="shared" si="1"/>
        <v>3292.7542360381867</v>
      </c>
      <c r="K21" s="80">
        <f t="shared" si="2"/>
        <v>-15</v>
      </c>
      <c r="L21" s="80">
        <f t="shared" si="16"/>
        <v>-402.25236852928896</v>
      </c>
      <c r="M21" s="80">
        <f t="shared" si="42"/>
        <v>0</v>
      </c>
      <c r="N21" s="80">
        <f t="shared" si="18"/>
        <v>-458.56770012338944</v>
      </c>
      <c r="O21" s="81">
        <f t="shared" si="3"/>
        <v>-2083.3333333333335</v>
      </c>
      <c r="P21" s="79">
        <f t="shared" si="4"/>
        <v>483036.44306919893</v>
      </c>
      <c r="Q21" s="35"/>
      <c r="R21">
        <f t="shared" ca="1" si="19"/>
        <v>143</v>
      </c>
      <c r="S21" s="78">
        <f t="shared" ca="1" si="20"/>
        <v>66.36</v>
      </c>
      <c r="T21" s="55">
        <f t="shared" ca="1" si="5"/>
        <v>2.4857885984658212E-3</v>
      </c>
      <c r="U21" s="78">
        <f t="shared" ca="1" si="32"/>
        <v>0.95984726942613674</v>
      </c>
      <c r="V21" s="79">
        <f t="shared" ca="1" si="21"/>
        <v>462973.01468681887</v>
      </c>
      <c r="W21" s="79">
        <f t="shared" ca="1" si="6"/>
        <v>3158.1673483056884</v>
      </c>
      <c r="X21" s="80">
        <f t="shared" ca="1" si="33"/>
        <v>-14.397709041392051</v>
      </c>
      <c r="Y21" s="80">
        <f t="shared" ca="1" si="34"/>
        <v>-385.81084557234908</v>
      </c>
      <c r="Z21" s="80">
        <f t="shared" ca="1" si="23"/>
        <v>0</v>
      </c>
      <c r="AA21" s="80">
        <f t="shared" ca="1" si="35"/>
        <v>-439.824363952478</v>
      </c>
      <c r="AB21" s="81">
        <f t="shared" ca="1" si="7"/>
        <v>-2400.2038201041919</v>
      </c>
      <c r="AC21" s="79">
        <f t="shared" ca="1" si="8"/>
        <v>462890.94529645419</v>
      </c>
      <c r="AD21" s="35"/>
      <c r="AE21" s="62">
        <f t="shared" ca="1" si="9"/>
        <v>-2500.6101455486769</v>
      </c>
      <c r="AF21" s="62">
        <f t="shared" ca="1" si="10"/>
        <v>482254.79202873859</v>
      </c>
      <c r="AG21" s="112" t="s">
        <v>84</v>
      </c>
      <c r="AH21" s="113">
        <v>8.5000000000000006E-2</v>
      </c>
      <c r="AI21" s="35"/>
      <c r="AJ21" s="65">
        <v>35</v>
      </c>
      <c r="AK21" s="66">
        <f>'SA85-90'!F27*(1+$AH$22)</f>
        <v>2.4750000000000002E-3</v>
      </c>
      <c r="AL21" s="66">
        <f>'SA85-90 (light)'!F27*(1+$AH$22)</f>
        <v>2.0570000000000002E-3</v>
      </c>
      <c r="AM21" s="66">
        <f t="shared" si="24"/>
        <v>82</v>
      </c>
      <c r="AN21" s="66">
        <f t="shared" si="25"/>
        <v>0.11730400000000001</v>
      </c>
      <c r="AO21" s="67">
        <f t="shared" si="36"/>
        <v>0.3154087758701668</v>
      </c>
      <c r="AP21" s="68">
        <f t="shared" ca="1" si="26"/>
        <v>7.8807622139381472E-2</v>
      </c>
      <c r="AR21" s="69">
        <f t="shared" si="27"/>
        <v>2</v>
      </c>
      <c r="AS21" s="70">
        <f t="shared" si="37"/>
        <v>18</v>
      </c>
      <c r="AT21" s="71">
        <f t="shared" si="38"/>
        <v>0.8840801174352958</v>
      </c>
      <c r="AU21" s="72">
        <f t="shared" si="11"/>
        <v>6.8214933659622723E-3</v>
      </c>
      <c r="AV21" s="73">
        <f t="shared" si="28"/>
        <v>1.0068214933659623</v>
      </c>
      <c r="AW21" s="74">
        <f>PRODUCT(AV$4:AV21)</f>
        <v>1.1301721660879827</v>
      </c>
      <c r="AY21" s="75">
        <f t="shared" si="39"/>
        <v>18</v>
      </c>
      <c r="AZ21" s="76">
        <f t="shared" ca="1" si="41"/>
        <v>1.0068214933659623</v>
      </c>
      <c r="BA21" s="76">
        <f t="shared" ca="1" si="41"/>
        <v>1.0068214933659623</v>
      </c>
      <c r="BB21" s="76">
        <f t="shared" ca="1" si="41"/>
        <v>1.0068214933659623</v>
      </c>
      <c r="BC21" s="76">
        <f t="shared" ca="1" si="41"/>
        <v>1.0068214933659623</v>
      </c>
      <c r="BD21" s="76">
        <f t="shared" ca="1" si="41"/>
        <v>1.0068214933659623</v>
      </c>
      <c r="BE21" s="76">
        <f t="shared" ca="1" si="41"/>
        <v>1.0068214933659623</v>
      </c>
      <c r="BF21" s="76">
        <f t="shared" ca="1" si="41"/>
        <v>1.0068214933659623</v>
      </c>
      <c r="BG21" s="76">
        <f t="shared" ca="1" si="41"/>
        <v>1.0068214933659623</v>
      </c>
      <c r="BH21" s="76">
        <f t="shared" ca="1" si="41"/>
        <v>1.0068214933659623</v>
      </c>
      <c r="BI21" s="76">
        <f t="shared" ca="1" si="41"/>
        <v>1.0068214933659623</v>
      </c>
      <c r="BJ21" s="76">
        <f t="shared" ca="1" si="41"/>
        <v>1.0068214933659623</v>
      </c>
      <c r="BK21" s="76">
        <f t="shared" ca="1" si="41"/>
        <v>1.0068214933659623</v>
      </c>
      <c r="BL21" s="76">
        <f t="shared" ca="1" si="13"/>
        <v>8.5000000000000853E-2</v>
      </c>
      <c r="BM21" s="77">
        <f t="shared" ca="1" si="30"/>
        <v>4.3424546069144627</v>
      </c>
    </row>
    <row r="22" spans="2:65">
      <c r="B22" s="161" t="s">
        <v>73</v>
      </c>
      <c r="C22" s="162"/>
      <c r="E22">
        <f t="shared" si="31"/>
        <v>19</v>
      </c>
      <c r="F22" s="64">
        <f t="shared" si="14"/>
        <v>56.44</v>
      </c>
      <c r="G22" s="55">
        <f t="shared" si="0"/>
        <v>0</v>
      </c>
      <c r="H22" s="78">
        <f t="shared" si="40"/>
        <v>1</v>
      </c>
      <c r="I22" s="79">
        <f t="shared" si="15"/>
        <v>483036.44306919893</v>
      </c>
      <c r="J22" s="79">
        <f t="shared" si="1"/>
        <v>3295.0298919145534</v>
      </c>
      <c r="K22" s="80">
        <f t="shared" si="2"/>
        <v>-15</v>
      </c>
      <c r="L22" s="80">
        <f t="shared" si="16"/>
        <v>-402.53036922433245</v>
      </c>
      <c r="M22" s="80">
        <f t="shared" si="42"/>
        <v>0</v>
      </c>
      <c r="N22" s="80">
        <f t="shared" si="18"/>
        <v>-458.88462091573905</v>
      </c>
      <c r="O22" s="81">
        <f t="shared" si="3"/>
        <v>-2083.3333333333335</v>
      </c>
      <c r="P22" s="79">
        <f t="shared" si="4"/>
        <v>483371.72463764012</v>
      </c>
      <c r="Q22" s="35"/>
      <c r="R22">
        <f t="shared" ca="1" si="19"/>
        <v>144</v>
      </c>
      <c r="S22" s="78">
        <f t="shared" ca="1" si="20"/>
        <v>66.44</v>
      </c>
      <c r="T22" s="55">
        <f t="shared" ca="1" si="5"/>
        <v>2.4857885984658212E-3</v>
      </c>
      <c r="U22" s="78">
        <f t="shared" ca="1" si="32"/>
        <v>0.95746129202752872</v>
      </c>
      <c r="V22" s="79">
        <f t="shared" ca="1" si="21"/>
        <v>461740.29626230319</v>
      </c>
      <c r="W22" s="79">
        <f t="shared" ca="1" si="6"/>
        <v>3149.7583677507555</v>
      </c>
      <c r="X22" s="80">
        <f t="shared" ca="1" si="33"/>
        <v>-14.361919380412932</v>
      </c>
      <c r="Y22" s="80">
        <f t="shared" ca="1" si="34"/>
        <v>-384.783580218586</v>
      </c>
      <c r="Z22" s="80">
        <f t="shared" ca="1" si="23"/>
        <v>0</v>
      </c>
      <c r="AA22" s="80">
        <f t="shared" ca="1" si="35"/>
        <v>-438.65328144918811</v>
      </c>
      <c r="AB22" s="81">
        <f t="shared" ca="1" si="7"/>
        <v>-2394.2374208141828</v>
      </c>
      <c r="AC22" s="79">
        <f t="shared" ca="1" si="8"/>
        <v>461658.0184281916</v>
      </c>
      <c r="AD22" s="35"/>
      <c r="AE22" s="62">
        <f t="shared" ca="1" si="9"/>
        <v>-2500.6101455486769</v>
      </c>
      <c r="AF22" s="62">
        <f t="shared" ca="1" si="10"/>
        <v>482168.85870193288</v>
      </c>
      <c r="AG22" s="114" t="s">
        <v>85</v>
      </c>
      <c r="AH22" s="115">
        <v>0.1</v>
      </c>
      <c r="AJ22" s="65">
        <v>36</v>
      </c>
      <c r="AK22" s="66">
        <f>'SA85-90'!F28*(1+$AH$22)</f>
        <v>2.5630000000000002E-3</v>
      </c>
      <c r="AL22" s="66">
        <f>'SA85-90 (light)'!F28*(1+$AH$22)</f>
        <v>2.1670000000000001E-3</v>
      </c>
      <c r="AM22" s="66">
        <f t="shared" si="24"/>
        <v>83</v>
      </c>
      <c r="AN22" s="66">
        <f t="shared" si="25"/>
        <v>0.127743</v>
      </c>
      <c r="AO22" s="67">
        <f t="shared" si="36"/>
        <v>0.2751175126141841</v>
      </c>
      <c r="AP22" s="68">
        <f t="shared" ca="1" si="26"/>
        <v>6.3355299598553377E-2</v>
      </c>
      <c r="AR22" s="69">
        <f t="shared" si="27"/>
        <v>2</v>
      </c>
      <c r="AS22" s="70">
        <f t="shared" si="37"/>
        <v>19</v>
      </c>
      <c r="AT22" s="71">
        <f t="shared" si="38"/>
        <v>0.87804937077923173</v>
      </c>
      <c r="AU22" s="72">
        <f t="shared" si="11"/>
        <v>6.8214933659622723E-3</v>
      </c>
      <c r="AV22" s="73">
        <f t="shared" si="28"/>
        <v>1.0068214933659623</v>
      </c>
      <c r="AW22" s="74">
        <f>PRODUCT(AV$4:AV22)</f>
        <v>1.1378816280213471</v>
      </c>
      <c r="AY22" s="75">
        <f t="shared" si="39"/>
        <v>19</v>
      </c>
      <c r="AZ22" s="76">
        <f t="shared" ca="1" si="41"/>
        <v>1.0068214933659623</v>
      </c>
      <c r="BA22" s="76">
        <f t="shared" ca="1" si="41"/>
        <v>1.0068214933659623</v>
      </c>
      <c r="BB22" s="76">
        <f t="shared" ca="1" si="41"/>
        <v>1.0068214933659623</v>
      </c>
      <c r="BC22" s="76">
        <f t="shared" ca="1" si="41"/>
        <v>1.0068214933659623</v>
      </c>
      <c r="BD22" s="76">
        <f t="shared" ca="1" si="41"/>
        <v>1.0068214933659623</v>
      </c>
      <c r="BE22" s="76">
        <f t="shared" ca="1" si="41"/>
        <v>1.0068214933659623</v>
      </c>
      <c r="BF22" s="76">
        <f t="shared" ca="1" si="41"/>
        <v>1.0068214933659623</v>
      </c>
      <c r="BG22" s="76">
        <f t="shared" ca="1" si="41"/>
        <v>1.0068214933659623</v>
      </c>
      <c r="BH22" s="76">
        <f t="shared" ca="1" si="41"/>
        <v>1.0068214933659623</v>
      </c>
      <c r="BI22" s="76">
        <f t="shared" ca="1" si="41"/>
        <v>1.0068214933659623</v>
      </c>
      <c r="BJ22" s="76">
        <f t="shared" ca="1" si="41"/>
        <v>1.0068214933659623</v>
      </c>
      <c r="BK22" s="76">
        <f t="shared" ca="1" si="41"/>
        <v>1.0068214933659623</v>
      </c>
      <c r="BL22" s="76">
        <f t="shared" ca="1" si="13"/>
        <v>8.5000000000000853E-2</v>
      </c>
      <c r="BM22" s="77">
        <f t="shared" ca="1" si="30"/>
        <v>4.7115632485021957</v>
      </c>
    </row>
    <row r="23" spans="2:65">
      <c r="B23" s="163"/>
      <c r="C23" s="164"/>
      <c r="E23">
        <f t="shared" si="31"/>
        <v>20</v>
      </c>
      <c r="F23" s="64">
        <f t="shared" si="14"/>
        <v>56.52</v>
      </c>
      <c r="G23" s="55">
        <f t="shared" si="0"/>
        <v>0</v>
      </c>
      <c r="H23" s="78">
        <f t="shared" si="40"/>
        <v>1</v>
      </c>
      <c r="I23" s="79">
        <f t="shared" si="15"/>
        <v>483371.72463764012</v>
      </c>
      <c r="J23" s="79">
        <f t="shared" si="1"/>
        <v>3297.3170129094042</v>
      </c>
      <c r="K23" s="80">
        <f t="shared" si="2"/>
        <v>-15</v>
      </c>
      <c r="L23" s="80">
        <f t="shared" si="16"/>
        <v>-402.80977053136678</v>
      </c>
      <c r="M23" s="80">
        <f t="shared" si="42"/>
        <v>0</v>
      </c>
      <c r="N23" s="80">
        <f t="shared" si="18"/>
        <v>-459.20313840575818</v>
      </c>
      <c r="O23" s="81">
        <f t="shared" si="3"/>
        <v>-2083.3333333333335</v>
      </c>
      <c r="P23" s="79">
        <f t="shared" si="4"/>
        <v>483708.69540827908</v>
      </c>
      <c r="Q23" s="35"/>
      <c r="R23">
        <f t="shared" ca="1" si="19"/>
        <v>145</v>
      </c>
      <c r="S23" s="78">
        <f t="shared" ca="1" si="20"/>
        <v>66.52</v>
      </c>
      <c r="T23" s="55">
        <f t="shared" ca="1" si="5"/>
        <v>2.7282345997765578E-3</v>
      </c>
      <c r="U23" s="78">
        <f t="shared" ca="1" si="32"/>
        <v>0.9548491130026725</v>
      </c>
      <c r="V23" s="79">
        <f t="shared" ca="1" si="21"/>
        <v>460398.50704905152</v>
      </c>
      <c r="W23" s="79">
        <f t="shared" ca="1" si="6"/>
        <v>3140.6053615340393</v>
      </c>
      <c r="X23" s="80">
        <f t="shared" ca="1" si="33"/>
        <v>-14.322736695040087</v>
      </c>
      <c r="Y23" s="80">
        <f t="shared" ca="1" si="34"/>
        <v>-383.66542254087631</v>
      </c>
      <c r="Z23" s="80">
        <f t="shared" ca="1" si="23"/>
        <v>-3452.9888028678861</v>
      </c>
      <c r="AA23" s="80">
        <f t="shared" ca="1" si="35"/>
        <v>-437.37858169659904</v>
      </c>
      <c r="AB23" s="81">
        <f t="shared" ca="1" si="7"/>
        <v>-2387.7053794426379</v>
      </c>
      <c r="AC23" s="79">
        <f t="shared" ca="1" si="8"/>
        <v>456863.05148734251</v>
      </c>
      <c r="AD23" s="35"/>
      <c r="AE23" s="62">
        <f t="shared" ca="1" si="9"/>
        <v>-2500.6101455486769</v>
      </c>
      <c r="AF23" s="62">
        <f t="shared" ca="1" si="10"/>
        <v>478466.22598901007</v>
      </c>
      <c r="AH23" s="116">
        <f>SUM(AO4:AO90)</f>
        <v>13.554441138992949</v>
      </c>
      <c r="AI23" s="35"/>
      <c r="AJ23" s="65">
        <v>37</v>
      </c>
      <c r="AK23" s="66">
        <f>'SA85-90'!F29*(1+$AH$22)</f>
        <v>2.6840000000000002E-3</v>
      </c>
      <c r="AL23" s="66">
        <f>'SA85-90 (light)'!F29*(1+$AH$22)</f>
        <v>2.2880000000000001E-3</v>
      </c>
      <c r="AM23" s="66">
        <f t="shared" si="24"/>
        <v>84</v>
      </c>
      <c r="AN23" s="66">
        <f t="shared" si="25"/>
        <v>0.13909500000000002</v>
      </c>
      <c r="AO23" s="67">
        <f t="shared" si="36"/>
        <v>0.23685004219711417</v>
      </c>
      <c r="AP23" s="68">
        <f t="shared" ca="1" si="26"/>
        <v>5.02699485722512E-2</v>
      </c>
      <c r="AR23" s="69">
        <f t="shared" si="27"/>
        <v>2</v>
      </c>
      <c r="AS23" s="70">
        <f t="shared" si="37"/>
        <v>20</v>
      </c>
      <c r="AT23" s="71">
        <f t="shared" si="38"/>
        <v>0.8720597628214739</v>
      </c>
      <c r="AU23" s="72">
        <f t="shared" si="11"/>
        <v>6.8214933659622723E-3</v>
      </c>
      <c r="AV23" s="73">
        <f t="shared" si="28"/>
        <v>1.0068214933659623</v>
      </c>
      <c r="AW23" s="74">
        <f>PRODUCT(AV$4:AV23)</f>
        <v>1.1456436799981451</v>
      </c>
      <c r="AY23" s="75">
        <f t="shared" si="39"/>
        <v>20</v>
      </c>
      <c r="AZ23" s="76">
        <f t="shared" ca="1" si="41"/>
        <v>1.0068214933659623</v>
      </c>
      <c r="BA23" s="76">
        <f t="shared" ca="1" si="41"/>
        <v>1.0068214933659623</v>
      </c>
      <c r="BB23" s="76">
        <f t="shared" ca="1" si="41"/>
        <v>1.0068214933659623</v>
      </c>
      <c r="BC23" s="76">
        <f t="shared" ca="1" si="41"/>
        <v>1.0068214933659623</v>
      </c>
      <c r="BD23" s="76">
        <f t="shared" ca="1" si="41"/>
        <v>1.0068214933659623</v>
      </c>
      <c r="BE23" s="76">
        <f t="shared" ca="1" si="41"/>
        <v>1.0068214933659623</v>
      </c>
      <c r="BF23" s="76">
        <f t="shared" ca="1" si="41"/>
        <v>1.0068214933659623</v>
      </c>
      <c r="BG23" s="76">
        <f t="shared" ca="1" si="41"/>
        <v>1.0068214933659623</v>
      </c>
      <c r="BH23" s="76">
        <f t="shared" ca="1" si="41"/>
        <v>1.0068214933659623</v>
      </c>
      <c r="BI23" s="76">
        <f t="shared" ca="1" si="41"/>
        <v>1.0068214933659623</v>
      </c>
      <c r="BJ23" s="76">
        <f t="shared" ca="1" si="41"/>
        <v>1.0068214933659623</v>
      </c>
      <c r="BK23" s="76">
        <f t="shared" ca="1" si="41"/>
        <v>1.0068214933659623</v>
      </c>
      <c r="BL23" s="76">
        <f t="shared" ca="1" si="13"/>
        <v>8.5000000000000853E-2</v>
      </c>
      <c r="BM23" s="77">
        <f t="shared" ca="1" si="30"/>
        <v>5.1120461246248867</v>
      </c>
    </row>
    <row r="24" spans="2:65">
      <c r="B24" s="163"/>
      <c r="C24" s="164"/>
      <c r="E24">
        <f t="shared" si="31"/>
        <v>21</v>
      </c>
      <c r="F24" s="64">
        <f t="shared" si="14"/>
        <v>56.6</v>
      </c>
      <c r="G24" s="55">
        <f t="shared" si="0"/>
        <v>0</v>
      </c>
      <c r="H24" s="78">
        <f t="shared" si="40"/>
        <v>1</v>
      </c>
      <c r="I24" s="79">
        <f t="shared" si="15"/>
        <v>483708.69540827908</v>
      </c>
      <c r="J24" s="79">
        <f t="shared" si="1"/>
        <v>3299.6156567858411</v>
      </c>
      <c r="K24" s="80">
        <f t="shared" si="2"/>
        <v>-15</v>
      </c>
      <c r="L24" s="80">
        <f t="shared" si="16"/>
        <v>-403.09057950689925</v>
      </c>
      <c r="M24" s="80">
        <f t="shared" si="42"/>
        <v>0</v>
      </c>
      <c r="N24" s="80">
        <f t="shared" si="18"/>
        <v>-459.52326063786518</v>
      </c>
      <c r="O24" s="81">
        <f t="shared" si="3"/>
        <v>-2083.3333333333335</v>
      </c>
      <c r="P24" s="79">
        <f t="shared" si="4"/>
        <v>484047.36389158684</v>
      </c>
      <c r="Q24" s="35"/>
      <c r="R24">
        <f t="shared" ca="1" si="19"/>
        <v>146</v>
      </c>
      <c r="S24" s="78">
        <f t="shared" ca="1" si="20"/>
        <v>66.599999999999994</v>
      </c>
      <c r="T24" s="55">
        <f t="shared" ca="1" si="5"/>
        <v>2.7282345997765578E-3</v>
      </c>
      <c r="U24" s="78">
        <f t="shared" ca="1" si="32"/>
        <v>0.95224406061501266</v>
      </c>
      <c r="V24" s="79">
        <f t="shared" ca="1" si="21"/>
        <v>455616.62190291524</v>
      </c>
      <c r="W24" s="79">
        <f t="shared" ca="1" si="6"/>
        <v>3107.9857637328773</v>
      </c>
      <c r="X24" s="80">
        <f t="shared" ca="1" si="33"/>
        <v>-14.28366090922519</v>
      </c>
      <c r="Y24" s="80">
        <f t="shared" ca="1" si="34"/>
        <v>-379.68051825242941</v>
      </c>
      <c r="Z24" s="80">
        <f t="shared" ca="1" si="23"/>
        <v>0</v>
      </c>
      <c r="AA24" s="80">
        <f t="shared" ca="1" si="35"/>
        <v>-432.83579080776957</v>
      </c>
      <c r="AB24" s="81">
        <f t="shared" ca="1" si="7"/>
        <v>-2381.19115901237</v>
      </c>
      <c r="AC24" s="79">
        <f t="shared" ca="1" si="8"/>
        <v>455516.6165376663</v>
      </c>
      <c r="AD24" s="35"/>
      <c r="AE24" s="62">
        <f t="shared" ca="1" si="9"/>
        <v>-2500.6101455486769</v>
      </c>
      <c r="AF24" s="62">
        <f t="shared" ca="1" si="10"/>
        <v>478361.205260202</v>
      </c>
      <c r="AH24" s="117">
        <f ca="1">SUM(AP4:AP90)</f>
        <v>7.7039912779953656</v>
      </c>
      <c r="AI24" s="35"/>
      <c r="AJ24" s="65">
        <v>38</v>
      </c>
      <c r="AK24" s="66">
        <f>'SA85-90'!F30*(1+$AH$22)</f>
        <v>2.8160000000000004E-3</v>
      </c>
      <c r="AL24" s="66">
        <f>'SA85-90 (light)'!F30*(1+$AH$22)</f>
        <v>2.4200000000000003E-3</v>
      </c>
      <c r="AM24" s="66">
        <f t="shared" si="24"/>
        <v>85</v>
      </c>
      <c r="AN24" s="66">
        <f t="shared" si="25"/>
        <v>0.15140400000000004</v>
      </c>
      <c r="AO24" s="67">
        <f t="shared" si="36"/>
        <v>0.20098999840830228</v>
      </c>
      <c r="AP24" s="68">
        <f t="shared" ca="1" si="26"/>
        <v>3.9316937583979757E-2</v>
      </c>
      <c r="AR24" s="69">
        <f t="shared" si="27"/>
        <v>2</v>
      </c>
      <c r="AS24" s="70">
        <f t="shared" si="37"/>
        <v>21</v>
      </c>
      <c r="AT24" s="71">
        <f t="shared" si="38"/>
        <v>0.86611101293466464</v>
      </c>
      <c r="AU24" s="72">
        <f t="shared" si="11"/>
        <v>6.8214933659622723E-3</v>
      </c>
      <c r="AV24" s="73">
        <f t="shared" si="28"/>
        <v>1.0068214933659623</v>
      </c>
      <c r="AW24" s="74">
        <f>PRODUCT(AV$4:AV24)</f>
        <v>1.153458680761009</v>
      </c>
      <c r="AY24" s="75">
        <f t="shared" si="39"/>
        <v>21</v>
      </c>
      <c r="AZ24" s="76">
        <f t="shared" ca="1" si="41"/>
        <v>1.0068214933659623</v>
      </c>
      <c r="BA24" s="76">
        <f t="shared" ca="1" si="41"/>
        <v>1.0068214933659623</v>
      </c>
      <c r="BB24" s="76">
        <f t="shared" ca="1" si="41"/>
        <v>1.0068214933659623</v>
      </c>
      <c r="BC24" s="76">
        <f t="shared" ca="1" si="41"/>
        <v>1.0068214933659623</v>
      </c>
      <c r="BD24" s="76">
        <f t="shared" ca="1" si="41"/>
        <v>1.0068214933659623</v>
      </c>
      <c r="BE24" s="76">
        <f t="shared" ca="1" si="41"/>
        <v>1.0068214933659623</v>
      </c>
      <c r="BF24" s="76">
        <f t="shared" ca="1" si="41"/>
        <v>1.0068214933659623</v>
      </c>
      <c r="BG24" s="76">
        <f t="shared" ca="1" si="41"/>
        <v>1.0068214933659623</v>
      </c>
      <c r="BH24" s="76">
        <f t="shared" ca="1" si="41"/>
        <v>1.0068214933659623</v>
      </c>
      <c r="BI24" s="76">
        <f t="shared" ca="1" si="41"/>
        <v>1.0068214933659623</v>
      </c>
      <c r="BJ24" s="76">
        <f t="shared" ca="1" si="41"/>
        <v>1.0068214933659623</v>
      </c>
      <c r="BK24" s="76">
        <f t="shared" ca="1" si="41"/>
        <v>1.0068214933659623</v>
      </c>
      <c r="BL24" s="76">
        <f t="shared" ca="1" si="13"/>
        <v>8.5000000000000853E-2</v>
      </c>
      <c r="BM24" s="77">
        <f t="shared" ca="1" si="30"/>
        <v>5.5465700452180062</v>
      </c>
    </row>
    <row r="25" spans="2:65">
      <c r="B25" s="163"/>
      <c r="C25" s="164"/>
      <c r="E25">
        <f t="shared" si="31"/>
        <v>22</v>
      </c>
      <c r="F25" s="64">
        <f t="shared" si="14"/>
        <v>56.68</v>
      </c>
      <c r="G25" s="55">
        <f t="shared" si="0"/>
        <v>0</v>
      </c>
      <c r="H25" s="78">
        <f t="shared" si="40"/>
        <v>1</v>
      </c>
      <c r="I25" s="79">
        <f t="shared" si="15"/>
        <v>484047.36389158684</v>
      </c>
      <c r="J25" s="79">
        <f t="shared" si="1"/>
        <v>3301.9258815979856</v>
      </c>
      <c r="K25" s="80">
        <f t="shared" si="2"/>
        <v>-15</v>
      </c>
      <c r="L25" s="80">
        <f t="shared" si="16"/>
        <v>-403.37280324298905</v>
      </c>
      <c r="M25" s="80">
        <f t="shared" si="42"/>
        <v>0</v>
      </c>
      <c r="N25" s="80">
        <f t="shared" si="18"/>
        <v>-459.84499569700756</v>
      </c>
      <c r="O25" s="81">
        <f t="shared" si="3"/>
        <v>-2083.3333333333335</v>
      </c>
      <c r="P25" s="79">
        <f t="shared" si="4"/>
        <v>484387.73864091147</v>
      </c>
      <c r="Q25" s="35"/>
      <c r="R25">
        <f t="shared" ca="1" si="19"/>
        <v>147</v>
      </c>
      <c r="S25" s="78">
        <f t="shared" ca="1" si="20"/>
        <v>66.680000000000007</v>
      </c>
      <c r="T25" s="55">
        <f t="shared" ca="1" si="5"/>
        <v>2.7282345997765578E-3</v>
      </c>
      <c r="U25" s="78">
        <f t="shared" ca="1" si="32"/>
        <v>0.94964611542141109</v>
      </c>
      <c r="V25" s="79">
        <f t="shared" ca="1" si="21"/>
        <v>454273.86034365511</v>
      </c>
      <c r="W25" s="79">
        <f t="shared" ca="1" si="6"/>
        <v>3098.8261246643151</v>
      </c>
      <c r="X25" s="80">
        <f t="shared" ca="1" si="33"/>
        <v>-14.244691731321167</v>
      </c>
      <c r="Y25" s="80">
        <f t="shared" ca="1" si="34"/>
        <v>-378.56155028637926</v>
      </c>
      <c r="Z25" s="80">
        <f t="shared" ca="1" si="23"/>
        <v>0</v>
      </c>
      <c r="AA25" s="80">
        <f t="shared" ca="1" si="35"/>
        <v>-431.56016732647248</v>
      </c>
      <c r="AB25" s="81">
        <f t="shared" ca="1" si="7"/>
        <v>-2374.6947109036705</v>
      </c>
      <c r="AC25" s="79">
        <f t="shared" ca="1" si="8"/>
        <v>454173.62534807157</v>
      </c>
      <c r="AD25" s="35"/>
      <c r="AE25" s="62">
        <f t="shared" ca="1" si="9"/>
        <v>-2500.6101455486769</v>
      </c>
      <c r="AF25" s="62">
        <f t="shared" ca="1" si="10"/>
        <v>478255.65542015544</v>
      </c>
      <c r="AG25" s="35"/>
      <c r="AI25" s="35"/>
      <c r="AJ25" s="65">
        <v>39</v>
      </c>
      <c r="AK25" s="66">
        <f>'SA85-90'!F31*(1+$AH$22)</f>
        <v>2.9920000000000003E-3</v>
      </c>
      <c r="AL25" s="66">
        <f>'SA85-90 (light)'!F31*(1+$AH$22)</f>
        <v>2.5850000000000005E-3</v>
      </c>
      <c r="AM25" s="66">
        <f t="shared" si="24"/>
        <v>86</v>
      </c>
      <c r="AN25" s="66">
        <f t="shared" si="25"/>
        <v>0.16473600000000002</v>
      </c>
      <c r="AO25" s="67">
        <f t="shared" si="36"/>
        <v>0.16787971003051219</v>
      </c>
      <c r="AP25" s="68">
        <f t="shared" ca="1" si="26"/>
        <v>3.0267301893221424E-2</v>
      </c>
      <c r="AR25" s="69">
        <f t="shared" si="27"/>
        <v>2</v>
      </c>
      <c r="AS25" s="70">
        <f t="shared" si="37"/>
        <v>22</v>
      </c>
      <c r="AT25" s="71">
        <f t="shared" si="38"/>
        <v>0.86020284240574396</v>
      </c>
      <c r="AU25" s="72">
        <f t="shared" si="11"/>
        <v>6.8214933659622723E-3</v>
      </c>
      <c r="AV25" s="73">
        <f t="shared" si="28"/>
        <v>1.0068214933659623</v>
      </c>
      <c r="AW25" s="74">
        <f>PRODUCT(AV$4:AV25)</f>
        <v>1.1613269914997317</v>
      </c>
      <c r="AY25" s="75">
        <f t="shared" si="39"/>
        <v>22</v>
      </c>
      <c r="AZ25" s="76">
        <f t="shared" ref="AZ25:BK34" ca="1" si="43">OFFSET($AV$3,($AY25*12-12)+AZ$3,0)</f>
        <v>1.0068214933659623</v>
      </c>
      <c r="BA25" s="76">
        <f t="shared" ca="1" si="43"/>
        <v>1.0068214933659623</v>
      </c>
      <c r="BB25" s="76">
        <f t="shared" ca="1" si="43"/>
        <v>1.0068214933659623</v>
      </c>
      <c r="BC25" s="76">
        <f t="shared" ca="1" si="43"/>
        <v>1.0068214933659623</v>
      </c>
      <c r="BD25" s="76">
        <f t="shared" ca="1" si="43"/>
        <v>1.0068214933659623</v>
      </c>
      <c r="BE25" s="76">
        <f t="shared" ca="1" si="43"/>
        <v>1.0068214933659623</v>
      </c>
      <c r="BF25" s="76">
        <f t="shared" ca="1" si="43"/>
        <v>1.0068214933659623</v>
      </c>
      <c r="BG25" s="76">
        <f t="shared" ca="1" si="43"/>
        <v>1.0068214933659623</v>
      </c>
      <c r="BH25" s="76">
        <f t="shared" ca="1" si="43"/>
        <v>1.0068214933659623</v>
      </c>
      <c r="BI25" s="76">
        <f t="shared" ca="1" si="43"/>
        <v>1.0068214933659623</v>
      </c>
      <c r="BJ25" s="76">
        <f t="shared" ca="1" si="43"/>
        <v>1.0068214933659623</v>
      </c>
      <c r="BK25" s="76">
        <f t="shared" ca="1" si="43"/>
        <v>1.0068214933659623</v>
      </c>
      <c r="BL25" s="76">
        <f t="shared" ca="1" si="13"/>
        <v>8.5000000000000853E-2</v>
      </c>
      <c r="BM25" s="77">
        <f t="shared" ca="1" si="30"/>
        <v>6.0180284990615416</v>
      </c>
    </row>
    <row r="26" spans="2:65">
      <c r="B26" s="165"/>
      <c r="C26" s="166"/>
      <c r="E26">
        <f t="shared" si="31"/>
        <v>23</v>
      </c>
      <c r="F26" s="64">
        <f t="shared" si="14"/>
        <v>56.76</v>
      </c>
      <c r="G26" s="55">
        <f t="shared" si="0"/>
        <v>0</v>
      </c>
      <c r="H26" s="78">
        <f t="shared" si="40"/>
        <v>1</v>
      </c>
      <c r="I26" s="79">
        <f t="shared" si="15"/>
        <v>484387.73864091147</v>
      </c>
      <c r="J26" s="79">
        <f t="shared" si="1"/>
        <v>3304.2477456924448</v>
      </c>
      <c r="K26" s="80">
        <f t="shared" si="2"/>
        <v>-15</v>
      </c>
      <c r="L26" s="80">
        <f t="shared" si="16"/>
        <v>-403.65644886742626</v>
      </c>
      <c r="M26" s="80">
        <f t="shared" si="42"/>
        <v>0</v>
      </c>
      <c r="N26" s="80">
        <f t="shared" si="18"/>
        <v>-460.16835170886594</v>
      </c>
      <c r="O26" s="81">
        <f t="shared" si="3"/>
        <v>-2083.3333333333335</v>
      </c>
      <c r="P26" s="79">
        <f t="shared" si="4"/>
        <v>484729.82825269434</v>
      </c>
      <c r="Q26" s="35"/>
      <c r="R26">
        <f t="shared" ca="1" si="19"/>
        <v>148</v>
      </c>
      <c r="S26" s="78">
        <f t="shared" ca="1" si="20"/>
        <v>66.760000000000005</v>
      </c>
      <c r="T26" s="55">
        <f t="shared" ca="1" si="5"/>
        <v>2.7282345997765578E-3</v>
      </c>
      <c r="U26" s="78">
        <f t="shared" ca="1" si="32"/>
        <v>0.94705525803177504</v>
      </c>
      <c r="V26" s="79">
        <f t="shared" ca="1" si="21"/>
        <v>452934.533149091</v>
      </c>
      <c r="W26" s="79">
        <f t="shared" ca="1" si="6"/>
        <v>3089.6899130917432</v>
      </c>
      <c r="X26" s="80">
        <f t="shared" ca="1" si="33"/>
        <v>-14.205828870476626</v>
      </c>
      <c r="Y26" s="80">
        <f t="shared" ca="1" si="34"/>
        <v>-377.44544429090917</v>
      </c>
      <c r="Z26" s="80">
        <f t="shared" ca="1" si="23"/>
        <v>0</v>
      </c>
      <c r="AA26" s="80">
        <f t="shared" ca="1" si="35"/>
        <v>-430.2878064916365</v>
      </c>
      <c r="AB26" s="81">
        <f t="shared" ca="1" si="7"/>
        <v>-2368.2159866294764</v>
      </c>
      <c r="AC26" s="79">
        <f t="shared" ca="1" si="8"/>
        <v>452834.06799590017</v>
      </c>
      <c r="AD26" s="35"/>
      <c r="AE26" s="62">
        <f t="shared" ca="1" si="9"/>
        <v>-2500.6101455486764</v>
      </c>
      <c r="AF26" s="62">
        <f t="shared" ca="1" si="10"/>
        <v>478149.57380312326</v>
      </c>
      <c r="AG26" s="35"/>
      <c r="AH26" s="35"/>
      <c r="AI26" s="35"/>
      <c r="AJ26" s="65">
        <v>40</v>
      </c>
      <c r="AK26" s="66">
        <f>'SA85-90'!F32*(1+$AH$22)</f>
        <v>3.1460000000000004E-3</v>
      </c>
      <c r="AL26" s="66">
        <f>'SA85-90 (light)'!F32*(1+$AH$22)</f>
        <v>2.7720000000000002E-3</v>
      </c>
      <c r="AM26" s="66">
        <f t="shared" si="24"/>
        <v>87</v>
      </c>
      <c r="AN26" s="66">
        <f t="shared" si="25"/>
        <v>0.17914600000000003</v>
      </c>
      <c r="AO26" s="67">
        <f t="shared" si="36"/>
        <v>0.13780473149738606</v>
      </c>
      <c r="AP26" s="68">
        <f t="shared" ca="1" si="26"/>
        <v>2.2898650532957011E-2</v>
      </c>
      <c r="AR26" s="69">
        <f t="shared" si="27"/>
        <v>2</v>
      </c>
      <c r="AS26" s="70">
        <f t="shared" si="37"/>
        <v>23</v>
      </c>
      <c r="AT26" s="71">
        <f t="shared" si="38"/>
        <v>0.8543349744228913</v>
      </c>
      <c r="AU26" s="72">
        <f t="shared" si="11"/>
        <v>6.8214933659622723E-3</v>
      </c>
      <c r="AV26" s="73">
        <f t="shared" si="28"/>
        <v>1.0068214933659623</v>
      </c>
      <c r="AW26" s="74">
        <f>PRODUCT(AV$4:AV26)</f>
        <v>1.1692489758679601</v>
      </c>
      <c r="AY26" s="75">
        <f t="shared" si="39"/>
        <v>23</v>
      </c>
      <c r="AZ26" s="76">
        <f t="shared" ca="1" si="43"/>
        <v>1.0068214933659623</v>
      </c>
      <c r="BA26" s="76">
        <f t="shared" ca="1" si="43"/>
        <v>1.0068214933659623</v>
      </c>
      <c r="BB26" s="76">
        <f t="shared" ca="1" si="43"/>
        <v>1.0068214933659623</v>
      </c>
      <c r="BC26" s="76">
        <f t="shared" ca="1" si="43"/>
        <v>1.0068214933659623</v>
      </c>
      <c r="BD26" s="76">
        <f t="shared" ca="1" si="43"/>
        <v>1.0068214933659623</v>
      </c>
      <c r="BE26" s="76">
        <f t="shared" ca="1" si="43"/>
        <v>1.0068214933659623</v>
      </c>
      <c r="BF26" s="76">
        <f t="shared" ca="1" si="43"/>
        <v>1.0068214933659623</v>
      </c>
      <c r="BG26" s="76">
        <f t="shared" ca="1" si="43"/>
        <v>1.0068214933659623</v>
      </c>
      <c r="BH26" s="76">
        <f t="shared" ca="1" si="43"/>
        <v>1.0068214933659623</v>
      </c>
      <c r="BI26" s="76">
        <f t="shared" ca="1" si="43"/>
        <v>1.0068214933659623</v>
      </c>
      <c r="BJ26" s="76">
        <f t="shared" ca="1" si="43"/>
        <v>1.0068214933659623</v>
      </c>
      <c r="BK26" s="76">
        <f t="shared" ca="1" si="43"/>
        <v>1.0068214933659623</v>
      </c>
      <c r="BL26" s="76">
        <f t="shared" ca="1" si="13"/>
        <v>8.5000000000000853E-2</v>
      </c>
      <c r="BM26" s="77">
        <f t="shared" ca="1" si="30"/>
        <v>6.529560921481778</v>
      </c>
    </row>
    <row r="27" spans="2:65">
      <c r="E27">
        <f t="shared" si="31"/>
        <v>24</v>
      </c>
      <c r="F27" s="64">
        <f t="shared" si="14"/>
        <v>56.84</v>
      </c>
      <c r="G27" s="55">
        <f t="shared" si="0"/>
        <v>0</v>
      </c>
      <c r="H27" s="78">
        <f t="shared" si="40"/>
        <v>1</v>
      </c>
      <c r="I27" s="79">
        <f t="shared" si="15"/>
        <v>484729.82825269434</v>
      </c>
      <c r="J27" s="79">
        <f t="shared" si="1"/>
        <v>3306.581307709786</v>
      </c>
      <c r="K27" s="80">
        <f t="shared" si="2"/>
        <v>-15</v>
      </c>
      <c r="L27" s="80">
        <f t="shared" si="16"/>
        <v>-403.94152354391196</v>
      </c>
      <c r="M27" s="80">
        <f t="shared" si="42"/>
        <v>0</v>
      </c>
      <c r="N27" s="80">
        <f t="shared" si="18"/>
        <v>-460.49333684005973</v>
      </c>
      <c r="O27" s="81">
        <f t="shared" si="3"/>
        <v>-2083.3333333333335</v>
      </c>
      <c r="P27" s="79">
        <f t="shared" si="4"/>
        <v>485073.64136668685</v>
      </c>
      <c r="Q27" s="35"/>
      <c r="R27">
        <f t="shared" ca="1" si="19"/>
        <v>149</v>
      </c>
      <c r="S27" s="78">
        <f t="shared" ca="1" si="20"/>
        <v>66.84</v>
      </c>
      <c r="T27" s="55">
        <f t="shared" ca="1" si="5"/>
        <v>2.7282345997765578E-3</v>
      </c>
      <c r="U27" s="78">
        <f t="shared" ca="1" si="32"/>
        <v>0.94447146910891244</v>
      </c>
      <c r="V27" s="79">
        <f t="shared" ca="1" si="21"/>
        <v>451598.63042363618</v>
      </c>
      <c r="W27" s="79">
        <f t="shared" ca="1" si="6"/>
        <v>3080.577061512482</v>
      </c>
      <c r="X27" s="80">
        <f t="shared" ca="1" si="33"/>
        <v>-14.167072036633687</v>
      </c>
      <c r="Y27" s="80">
        <f t="shared" ca="1" si="34"/>
        <v>-376.33219201969683</v>
      </c>
      <c r="Z27" s="80">
        <f t="shared" ca="1" si="23"/>
        <v>0</v>
      </c>
      <c r="AA27" s="80">
        <f t="shared" ca="1" si="35"/>
        <v>-429.01869890245445</v>
      </c>
      <c r="AB27" s="81">
        <f t="shared" ca="1" si="7"/>
        <v>-2361.75493783501</v>
      </c>
      <c r="AC27" s="79">
        <f t="shared" ca="1" si="8"/>
        <v>451497.93458435487</v>
      </c>
      <c r="AD27" s="35"/>
      <c r="AE27" s="62">
        <f t="shared" ca="1" si="9"/>
        <v>-2500.6101455486764</v>
      </c>
      <c r="AF27" s="62">
        <f t="shared" ca="1" si="10"/>
        <v>478042.95772992802</v>
      </c>
      <c r="AG27" s="35"/>
      <c r="AH27" s="35"/>
      <c r="AI27" s="35"/>
      <c r="AJ27" s="65">
        <v>41</v>
      </c>
      <c r="AK27" s="66">
        <f>'SA85-90'!F33*(1+$AH$22)</f>
        <v>3.3440000000000006E-3</v>
      </c>
      <c r="AL27" s="66">
        <f>'SA85-90 (light)'!F33*(1+$AH$22)</f>
        <v>2.9810000000000006E-3</v>
      </c>
      <c r="AM27" s="66">
        <f t="shared" si="24"/>
        <v>88</v>
      </c>
      <c r="AN27" s="66">
        <f t="shared" si="25"/>
        <v>0.19468900000000003</v>
      </c>
      <c r="AO27" s="67">
        <f t="shared" si="36"/>
        <v>0.11097566612689147</v>
      </c>
      <c r="AP27" s="68">
        <f t="shared" ca="1" si="26"/>
        <v>1.699588493948952E-2</v>
      </c>
      <c r="AR27" s="69">
        <f t="shared" si="27"/>
        <v>2</v>
      </c>
      <c r="AS27" s="70">
        <f t="shared" si="37"/>
        <v>24</v>
      </c>
      <c r="AT27" s="71">
        <f t="shared" si="38"/>
        <v>0.84850713406255596</v>
      </c>
      <c r="AU27" s="72">
        <f t="shared" si="11"/>
        <v>6.8214933659622723E-3</v>
      </c>
      <c r="AV27" s="73">
        <f t="shared" si="28"/>
        <v>1.0068214933659623</v>
      </c>
      <c r="AW27" s="74">
        <f>PRODUCT(AV$4:AV27)</f>
        <v>1.1772250000000015</v>
      </c>
      <c r="AY27" s="75">
        <f t="shared" si="39"/>
        <v>24</v>
      </c>
      <c r="AZ27" s="76">
        <f t="shared" ca="1" si="43"/>
        <v>1.0068214933659623</v>
      </c>
      <c r="BA27" s="76">
        <f t="shared" ca="1" si="43"/>
        <v>1.0068214933659623</v>
      </c>
      <c r="BB27" s="76">
        <f t="shared" ca="1" si="43"/>
        <v>1.0068214933659623</v>
      </c>
      <c r="BC27" s="76">
        <f t="shared" ca="1" si="43"/>
        <v>1.0068214933659623</v>
      </c>
      <c r="BD27" s="76">
        <f t="shared" ca="1" si="43"/>
        <v>1.0068214933659623</v>
      </c>
      <c r="BE27" s="76">
        <f t="shared" ca="1" si="43"/>
        <v>1.0068214933659623</v>
      </c>
      <c r="BF27" s="76">
        <f t="shared" ca="1" si="43"/>
        <v>1.0068214933659623</v>
      </c>
      <c r="BG27" s="76">
        <f t="shared" ca="1" si="43"/>
        <v>1.0068214933659623</v>
      </c>
      <c r="BH27" s="76">
        <f t="shared" ca="1" si="43"/>
        <v>1.0068214933659623</v>
      </c>
      <c r="BI27" s="76">
        <f t="shared" ca="1" si="43"/>
        <v>1.0068214933659623</v>
      </c>
      <c r="BJ27" s="76">
        <f t="shared" ca="1" si="43"/>
        <v>1.0068214933659623</v>
      </c>
      <c r="BK27" s="76">
        <f t="shared" ca="1" si="43"/>
        <v>1.0068214933659623</v>
      </c>
      <c r="BL27" s="76">
        <f t="shared" ca="1" si="13"/>
        <v>8.5000000000000853E-2</v>
      </c>
      <c r="BM27" s="77">
        <f t="shared" ca="1" si="30"/>
        <v>7.0845735998077348</v>
      </c>
    </row>
    <row r="28" spans="2:65">
      <c r="B28" t="s">
        <v>72</v>
      </c>
      <c r="E28">
        <f t="shared" si="31"/>
        <v>25</v>
      </c>
      <c r="F28" s="64">
        <f t="shared" si="14"/>
        <v>56.92</v>
      </c>
      <c r="G28" s="55">
        <f t="shared" si="0"/>
        <v>0</v>
      </c>
      <c r="H28" s="78">
        <f t="shared" si="40"/>
        <v>1</v>
      </c>
      <c r="I28" s="79">
        <f t="shared" si="15"/>
        <v>485073.64136668685</v>
      </c>
      <c r="J28" s="79">
        <f t="shared" si="1"/>
        <v>3308.9266265860169</v>
      </c>
      <c r="K28" s="80">
        <f t="shared" si="2"/>
        <v>-15</v>
      </c>
      <c r="L28" s="80">
        <f t="shared" si="16"/>
        <v>-404.22803447223907</v>
      </c>
      <c r="M28" s="80">
        <f t="shared" si="42"/>
        <v>-3638.0523102501511</v>
      </c>
      <c r="N28" s="80">
        <f t="shared" si="18"/>
        <v>-460.81995929835261</v>
      </c>
      <c r="O28" s="81">
        <f t="shared" si="3"/>
        <v>-2083.3333333333335</v>
      </c>
      <c r="P28" s="79">
        <f t="shared" si="4"/>
        <v>481781.13435591874</v>
      </c>
      <c r="Q28" s="35"/>
      <c r="R28">
        <f t="shared" ca="1" si="19"/>
        <v>150</v>
      </c>
      <c r="S28" s="78">
        <f t="shared" ca="1" si="20"/>
        <v>66.92</v>
      </c>
      <c r="T28" s="55">
        <f t="shared" ca="1" si="5"/>
        <v>2.7282345997765578E-3</v>
      </c>
      <c r="U28" s="78">
        <f t="shared" ca="1" si="32"/>
        <v>0.9418947293683877</v>
      </c>
      <c r="V28" s="79">
        <f t="shared" ca="1" si="21"/>
        <v>450266.14229749417</v>
      </c>
      <c r="W28" s="79">
        <f t="shared" ca="1" si="6"/>
        <v>3071.4875025997808</v>
      </c>
      <c r="X28" s="80">
        <f t="shared" ca="1" si="33"/>
        <v>-14.128420940525816</v>
      </c>
      <c r="Y28" s="80">
        <f t="shared" ca="1" si="34"/>
        <v>-375.22178524791184</v>
      </c>
      <c r="Z28" s="80">
        <f t="shared" ca="1" si="23"/>
        <v>0</v>
      </c>
      <c r="AA28" s="80">
        <f t="shared" ca="1" si="35"/>
        <v>-427.75283518261955</v>
      </c>
      <c r="AB28" s="81">
        <f t="shared" ca="1" si="7"/>
        <v>-2355.3115162974154</v>
      </c>
      <c r="AC28" s="79">
        <f t="shared" ca="1" si="8"/>
        <v>450165.21524242545</v>
      </c>
      <c r="AD28" s="35"/>
      <c r="AE28" s="62">
        <f t="shared" ca="1" si="9"/>
        <v>-2500.6101455486769</v>
      </c>
      <c r="AF28" s="62">
        <f t="shared" ca="1" si="10"/>
        <v>477935.80450789398</v>
      </c>
      <c r="AG28" s="35"/>
      <c r="AH28" s="35"/>
      <c r="AI28" s="35"/>
      <c r="AJ28" s="65">
        <v>42</v>
      </c>
      <c r="AK28" s="66">
        <f>'SA85-90'!F34*(1+$AH$22)</f>
        <v>3.5750000000000001E-3</v>
      </c>
      <c r="AL28" s="66">
        <f>'SA85-90 (light)'!F34*(1+$AH$22)</f>
        <v>3.212E-3</v>
      </c>
      <c r="AM28" s="66">
        <f t="shared" si="24"/>
        <v>89</v>
      </c>
      <c r="AN28" s="66">
        <f t="shared" si="25"/>
        <v>0.21142000000000002</v>
      </c>
      <c r="AO28" s="67">
        <f t="shared" si="36"/>
        <v>8.7513190794344067E-2</v>
      </c>
      <c r="AP28" s="68">
        <f t="shared" ca="1" si="26"/>
        <v>1.2352640502841138E-2</v>
      </c>
      <c r="AR28" s="69">
        <f t="shared" si="27"/>
        <v>3</v>
      </c>
      <c r="AS28" s="70">
        <f t="shared" si="37"/>
        <v>25</v>
      </c>
      <c r="AT28" s="71">
        <f t="shared" si="38"/>
        <v>0.84271904827657662</v>
      </c>
      <c r="AU28" s="72">
        <f t="shared" si="11"/>
        <v>6.8214933659622723E-3</v>
      </c>
      <c r="AV28" s="73">
        <f t="shared" si="28"/>
        <v>1.0068214933659623</v>
      </c>
      <c r="AW28" s="74">
        <f>PRODUCT(AV$4:AV28)</f>
        <v>1.1852554325277465</v>
      </c>
      <c r="AX28" s="118"/>
      <c r="AY28" s="75">
        <f t="shared" si="39"/>
        <v>25</v>
      </c>
      <c r="AZ28" s="76">
        <f t="shared" ca="1" si="43"/>
        <v>1.0068214933659623</v>
      </c>
      <c r="BA28" s="76">
        <f t="shared" ca="1" si="43"/>
        <v>1.0068214933659623</v>
      </c>
      <c r="BB28" s="76">
        <f t="shared" ca="1" si="43"/>
        <v>1.0068214933659623</v>
      </c>
      <c r="BC28" s="76">
        <f t="shared" ca="1" si="43"/>
        <v>1.0068214933659623</v>
      </c>
      <c r="BD28" s="76">
        <f t="shared" ca="1" si="43"/>
        <v>1.0068214933659623</v>
      </c>
      <c r="BE28" s="76">
        <f t="shared" ca="1" si="43"/>
        <v>1.0068214933659623</v>
      </c>
      <c r="BF28" s="76">
        <f t="shared" ca="1" si="43"/>
        <v>1.0068214933659623</v>
      </c>
      <c r="BG28" s="76">
        <f t="shared" ca="1" si="43"/>
        <v>1.0068214933659623</v>
      </c>
      <c r="BH28" s="76">
        <f t="shared" ca="1" si="43"/>
        <v>1.0068214933659623</v>
      </c>
      <c r="BI28" s="76">
        <f t="shared" ca="1" si="43"/>
        <v>1.0068214933659623</v>
      </c>
      <c r="BJ28" s="76">
        <f t="shared" ca="1" si="43"/>
        <v>1.0068214933659623</v>
      </c>
      <c r="BK28" s="76">
        <f t="shared" ca="1" si="43"/>
        <v>1.0068214933659623</v>
      </c>
      <c r="BL28" s="76">
        <f t="shared" ca="1" si="13"/>
        <v>8.5000000000000853E-2</v>
      </c>
      <c r="BM28" s="77">
        <f t="shared" ca="1" si="30"/>
        <v>7.686762355791398</v>
      </c>
    </row>
    <row r="29" spans="2:65">
      <c r="B29" s="161" t="s">
        <v>74</v>
      </c>
      <c r="C29" s="162"/>
      <c r="E29">
        <f t="shared" si="31"/>
        <v>26</v>
      </c>
      <c r="F29" s="64">
        <f t="shared" si="14"/>
        <v>57</v>
      </c>
      <c r="G29" s="55">
        <f t="shared" si="0"/>
        <v>0</v>
      </c>
      <c r="H29" s="78">
        <f t="shared" si="40"/>
        <v>1</v>
      </c>
      <c r="I29" s="79">
        <f t="shared" si="15"/>
        <v>481781.13435591874</v>
      </c>
      <c r="J29" s="79">
        <f t="shared" si="1"/>
        <v>3286.4668118546779</v>
      </c>
      <c r="K29" s="80">
        <f t="shared" si="2"/>
        <v>-15</v>
      </c>
      <c r="L29" s="80">
        <f t="shared" si="16"/>
        <v>-401.48427862993231</v>
      </c>
      <c r="M29" s="80">
        <f t="shared" si="42"/>
        <v>0</v>
      </c>
      <c r="N29" s="80">
        <f t="shared" si="18"/>
        <v>-457.69207763812284</v>
      </c>
      <c r="O29" s="81">
        <f t="shared" si="3"/>
        <v>-2083.3333333333335</v>
      </c>
      <c r="P29" s="79">
        <f t="shared" si="4"/>
        <v>482110.09147817205</v>
      </c>
      <c r="Q29" s="35"/>
      <c r="R29">
        <f t="shared" ca="1" si="19"/>
        <v>151</v>
      </c>
      <c r="S29" s="78">
        <f t="shared" ca="1" si="20"/>
        <v>67</v>
      </c>
      <c r="T29" s="55">
        <f t="shared" ca="1" si="5"/>
        <v>2.7282345997765578E-3</v>
      </c>
      <c r="U29" s="78">
        <f t="shared" ca="1" si="32"/>
        <v>0.93932501957837766</v>
      </c>
      <c r="V29" s="79">
        <f t="shared" ca="1" si="21"/>
        <v>448937.05892658519</v>
      </c>
      <c r="W29" s="79">
        <f t="shared" ca="1" si="6"/>
        <v>3062.4211692023146</v>
      </c>
      <c r="X29" s="80">
        <f t="shared" ca="1" si="33"/>
        <v>-14.089875293675664</v>
      </c>
      <c r="Y29" s="80">
        <f t="shared" ca="1" si="34"/>
        <v>-374.11421577215435</v>
      </c>
      <c r="Z29" s="80">
        <f t="shared" ca="1" si="23"/>
        <v>0</v>
      </c>
      <c r="AA29" s="80">
        <f t="shared" ca="1" si="35"/>
        <v>-426.49020598025601</v>
      </c>
      <c r="AB29" s="81">
        <f t="shared" ca="1" si="7"/>
        <v>-2348.8856739254006</v>
      </c>
      <c r="AC29" s="79">
        <f t="shared" ca="1" si="8"/>
        <v>448835.90012481605</v>
      </c>
      <c r="AD29" s="35"/>
      <c r="AE29" s="62">
        <f t="shared" ca="1" si="9"/>
        <v>-2500.6101455486769</v>
      </c>
      <c r="AF29" s="62">
        <f t="shared" ca="1" si="10"/>
        <v>477828.11143077939</v>
      </c>
      <c r="AG29" s="35"/>
      <c r="AH29" s="35"/>
      <c r="AI29" s="35"/>
      <c r="AJ29" s="65">
        <v>43</v>
      </c>
      <c r="AK29" s="66">
        <f>'SA85-90'!F35*(1+$AH$22)</f>
        <v>3.8500000000000006E-3</v>
      </c>
      <c r="AL29" s="66">
        <f>'SA85-90 (light)'!F35*(1+$AH$22)</f>
        <v>3.4870000000000005E-3</v>
      </c>
      <c r="AM29" s="66">
        <f t="shared" si="24"/>
        <v>90</v>
      </c>
      <c r="AN29" s="66">
        <f t="shared" si="25"/>
        <v>0.22926200000000002</v>
      </c>
      <c r="AO29" s="67">
        <f t="shared" si="36"/>
        <v>6.744974164645115E-2</v>
      </c>
      <c r="AP29" s="68">
        <f t="shared" ca="1" si="26"/>
        <v>8.7747921068007054E-3</v>
      </c>
      <c r="AR29" s="69">
        <f t="shared" si="27"/>
        <v>3</v>
      </c>
      <c r="AS29" s="70">
        <f t="shared" si="37"/>
        <v>26</v>
      </c>
      <c r="AT29" s="71">
        <f t="shared" si="38"/>
        <v>0.83697044587938796</v>
      </c>
      <c r="AU29" s="72">
        <f t="shared" si="11"/>
        <v>6.8214933659622723E-3</v>
      </c>
      <c r="AV29" s="73">
        <f t="shared" si="28"/>
        <v>1.0068214933659623</v>
      </c>
      <c r="AW29" s="74">
        <f>PRODUCT(AV$4:AV29)</f>
        <v>1.1933406445977053</v>
      </c>
      <c r="AY29" s="75">
        <f t="shared" si="39"/>
        <v>26</v>
      </c>
      <c r="AZ29" s="76">
        <f t="shared" ca="1" si="43"/>
        <v>1.0068214933659623</v>
      </c>
      <c r="BA29" s="76">
        <f t="shared" ca="1" si="43"/>
        <v>1.0068214933659623</v>
      </c>
      <c r="BB29" s="76">
        <f t="shared" ca="1" si="43"/>
        <v>1.0068214933659623</v>
      </c>
      <c r="BC29" s="76">
        <f t="shared" ca="1" si="43"/>
        <v>1.0068214933659623</v>
      </c>
      <c r="BD29" s="76">
        <f t="shared" ca="1" si="43"/>
        <v>1.0068214933659623</v>
      </c>
      <c r="BE29" s="76">
        <f t="shared" ca="1" si="43"/>
        <v>1.0068214933659623</v>
      </c>
      <c r="BF29" s="76">
        <f t="shared" ca="1" si="43"/>
        <v>1.0068214933659623</v>
      </c>
      <c r="BG29" s="76">
        <f t="shared" ca="1" si="43"/>
        <v>1.0068214933659623</v>
      </c>
      <c r="BH29" s="76">
        <f t="shared" ca="1" si="43"/>
        <v>1.0068214933659623</v>
      </c>
      <c r="BI29" s="76">
        <f t="shared" ca="1" si="43"/>
        <v>1.0068214933659623</v>
      </c>
      <c r="BJ29" s="76">
        <f t="shared" ca="1" si="43"/>
        <v>1.0068214933659623</v>
      </c>
      <c r="BK29" s="76">
        <f t="shared" ca="1" si="43"/>
        <v>1.0068214933659623</v>
      </c>
      <c r="BL29" s="76">
        <f t="shared" ca="1" si="13"/>
        <v>8.5000000000000853E-2</v>
      </c>
      <c r="BM29" s="77">
        <f t="shared" ca="1" si="30"/>
        <v>8.3401371560336734</v>
      </c>
    </row>
    <row r="30" spans="2:65">
      <c r="B30" s="163"/>
      <c r="C30" s="164"/>
      <c r="E30">
        <f t="shared" si="31"/>
        <v>27</v>
      </c>
      <c r="F30" s="64">
        <f t="shared" si="14"/>
        <v>57.08</v>
      </c>
      <c r="G30" s="55">
        <f t="shared" si="0"/>
        <v>0</v>
      </c>
      <c r="H30" s="78">
        <f t="shared" si="40"/>
        <v>1</v>
      </c>
      <c r="I30" s="79">
        <f t="shared" si="15"/>
        <v>482110.09147817205</v>
      </c>
      <c r="J30" s="79">
        <f t="shared" si="1"/>
        <v>3288.7107906818151</v>
      </c>
      <c r="K30" s="80">
        <f t="shared" si="2"/>
        <v>-15</v>
      </c>
      <c r="L30" s="80">
        <f t="shared" si="16"/>
        <v>-401.75840956514338</v>
      </c>
      <c r="M30" s="80">
        <f t="shared" si="42"/>
        <v>0</v>
      </c>
      <c r="N30" s="80">
        <f t="shared" si="18"/>
        <v>-458.00458690426353</v>
      </c>
      <c r="O30" s="81">
        <f t="shared" si="3"/>
        <v>-2083.3333333333335</v>
      </c>
      <c r="P30" s="79">
        <f t="shared" si="4"/>
        <v>482440.70593905117</v>
      </c>
      <c r="Q30" s="35"/>
      <c r="R30">
        <f t="shared" ca="1" si="19"/>
        <v>152</v>
      </c>
      <c r="S30" s="78">
        <f t="shared" ca="1" si="20"/>
        <v>67.08</v>
      </c>
      <c r="T30" s="55">
        <f t="shared" ca="1" si="5"/>
        <v>2.7282345997765578E-3</v>
      </c>
      <c r="U30" s="78">
        <f t="shared" ca="1" si="32"/>
        <v>0.93676232055952813</v>
      </c>
      <c r="V30" s="79">
        <f t="shared" ca="1" si="21"/>
        <v>447611.37049247365</v>
      </c>
      <c r="W30" s="79">
        <f t="shared" ca="1" si="6"/>
        <v>3053.3779943436898</v>
      </c>
      <c r="X30" s="80">
        <f t="shared" ca="1" si="33"/>
        <v>-14.051434808392923</v>
      </c>
      <c r="Y30" s="80">
        <f t="shared" ca="1" si="34"/>
        <v>-373.00947541039471</v>
      </c>
      <c r="Z30" s="80">
        <f t="shared" ca="1" si="23"/>
        <v>0</v>
      </c>
      <c r="AA30" s="80">
        <f t="shared" ca="1" si="35"/>
        <v>-425.23080196785008</v>
      </c>
      <c r="AB30" s="81">
        <f t="shared" ca="1" si="7"/>
        <v>-2342.4773627588779</v>
      </c>
      <c r="AC30" s="79">
        <f t="shared" ca="1" si="8"/>
        <v>447509.97941187181</v>
      </c>
      <c r="AD30" s="35"/>
      <c r="AE30" s="62">
        <f t="shared" ca="1" si="9"/>
        <v>-2500.6101455486769</v>
      </c>
      <c r="AF30" s="62">
        <f t="shared" ca="1" si="10"/>
        <v>477719.87577870779</v>
      </c>
      <c r="AG30" s="35"/>
      <c r="AH30" s="35"/>
      <c r="AI30" s="35"/>
      <c r="AJ30" s="65">
        <v>44</v>
      </c>
      <c r="AK30" s="66">
        <f>'SA85-90'!F36*(1+$AH$22)</f>
        <v>4.1470000000000005E-3</v>
      </c>
      <c r="AL30" s="66">
        <f>'SA85-90 (light)'!F36*(1+$AH$22)</f>
        <v>3.7950000000000002E-3</v>
      </c>
      <c r="AM30" s="66">
        <f t="shared" si="24"/>
        <v>91</v>
      </c>
      <c r="AN30" s="66">
        <f t="shared" si="25"/>
        <v>0.24838000000000002</v>
      </c>
      <c r="AO30" s="67">
        <f t="shared" si="36"/>
        <v>5.0696574816305608E-2</v>
      </c>
      <c r="AP30" s="68">
        <f t="shared" ca="1" si="26"/>
        <v>6.0786260307037236E-3</v>
      </c>
      <c r="AR30" s="69">
        <f t="shared" si="27"/>
        <v>3</v>
      </c>
      <c r="AS30" s="70">
        <f t="shared" si="37"/>
        <v>27</v>
      </c>
      <c r="AT30" s="71">
        <f t="shared" si="38"/>
        <v>0.83126105753531521</v>
      </c>
      <c r="AU30" s="72">
        <f t="shared" si="11"/>
        <v>6.8214933659622723E-3</v>
      </c>
      <c r="AV30" s="73">
        <f t="shared" si="28"/>
        <v>1.0068214933659623</v>
      </c>
      <c r="AW30" s="74">
        <f>PRODUCT(AV$4:AV30)</f>
        <v>1.2014810098881616</v>
      </c>
      <c r="AY30" s="75">
        <f t="shared" si="39"/>
        <v>27</v>
      </c>
      <c r="AZ30" s="76">
        <f t="shared" ca="1" si="43"/>
        <v>1.0068214933659623</v>
      </c>
      <c r="BA30" s="76">
        <f t="shared" ca="1" si="43"/>
        <v>1.0068214933659623</v>
      </c>
      <c r="BB30" s="76">
        <f t="shared" ca="1" si="43"/>
        <v>1.0068214933659623</v>
      </c>
      <c r="BC30" s="76">
        <f t="shared" ca="1" si="43"/>
        <v>1.0068214933659623</v>
      </c>
      <c r="BD30" s="76">
        <f t="shared" ca="1" si="43"/>
        <v>1.0068214933659623</v>
      </c>
      <c r="BE30" s="76">
        <f t="shared" ca="1" si="43"/>
        <v>1.0068214933659623</v>
      </c>
      <c r="BF30" s="76">
        <f t="shared" ca="1" si="43"/>
        <v>1.0068214933659623</v>
      </c>
      <c r="BG30" s="76">
        <f t="shared" ca="1" si="43"/>
        <v>1.0068214933659623</v>
      </c>
      <c r="BH30" s="76">
        <f t="shared" ca="1" si="43"/>
        <v>1.0068214933659623</v>
      </c>
      <c r="BI30" s="76">
        <f t="shared" ca="1" si="43"/>
        <v>1.0068214933659623</v>
      </c>
      <c r="BJ30" s="76">
        <f t="shared" ca="1" si="43"/>
        <v>1.0068214933659623</v>
      </c>
      <c r="BK30" s="76">
        <f t="shared" ca="1" si="43"/>
        <v>1.0068214933659623</v>
      </c>
      <c r="BL30" s="76">
        <f t="shared" ca="1" si="13"/>
        <v>8.5000000000000853E-2</v>
      </c>
      <c r="BM30" s="77">
        <f t="shared" ca="1" si="30"/>
        <v>9.0490488142965422</v>
      </c>
    </row>
    <row r="31" spans="2:65">
      <c r="B31" s="163"/>
      <c r="C31" s="164"/>
      <c r="E31">
        <f t="shared" si="31"/>
        <v>28</v>
      </c>
      <c r="F31" s="64">
        <f t="shared" si="14"/>
        <v>57.16</v>
      </c>
      <c r="G31" s="55">
        <f t="shared" si="0"/>
        <v>0</v>
      </c>
      <c r="H31" s="78">
        <f t="shared" si="40"/>
        <v>1</v>
      </c>
      <c r="I31" s="79">
        <f t="shared" si="15"/>
        <v>482440.70593905117</v>
      </c>
      <c r="J31" s="79">
        <f t="shared" si="1"/>
        <v>3290.9660750333928</v>
      </c>
      <c r="K31" s="80">
        <f t="shared" si="2"/>
        <v>-15</v>
      </c>
      <c r="L31" s="80">
        <f t="shared" si="16"/>
        <v>-402.03392161587601</v>
      </c>
      <c r="M31" s="80">
        <f t="shared" si="42"/>
        <v>0</v>
      </c>
      <c r="N31" s="80">
        <f t="shared" si="18"/>
        <v>-458.31867064209865</v>
      </c>
      <c r="O31" s="81">
        <f t="shared" si="3"/>
        <v>-2083.3333333333335</v>
      </c>
      <c r="P31" s="79">
        <f t="shared" si="4"/>
        <v>482772.98608849332</v>
      </c>
      <c r="Q31" s="35"/>
      <c r="R31">
        <f t="shared" ca="1" si="19"/>
        <v>153</v>
      </c>
      <c r="S31" s="78">
        <f t="shared" ca="1" si="20"/>
        <v>67.16</v>
      </c>
      <c r="T31" s="55">
        <f t="shared" ca="1" si="5"/>
        <v>2.7282345997765578E-3</v>
      </c>
      <c r="U31" s="78">
        <f t="shared" ca="1" si="32"/>
        <v>0.93420661318481069</v>
      </c>
      <c r="V31" s="79">
        <f t="shared" ca="1" si="21"/>
        <v>446289.06720229506</v>
      </c>
      <c r="W31" s="79">
        <f t="shared" ca="1" si="6"/>
        <v>3044.3579112219463</v>
      </c>
      <c r="X31" s="80">
        <f t="shared" ca="1" si="33"/>
        <v>-14.01309919777216</v>
      </c>
      <c r="Y31" s="80">
        <f t="shared" ca="1" si="34"/>
        <v>-371.90755600191255</v>
      </c>
      <c r="Z31" s="80">
        <f t="shared" ca="1" si="23"/>
        <v>0</v>
      </c>
      <c r="AA31" s="80">
        <f t="shared" ca="1" si="35"/>
        <v>-423.97461384218036</v>
      </c>
      <c r="AB31" s="81">
        <f t="shared" ca="1" si="7"/>
        <v>-2336.086534968606</v>
      </c>
      <c r="AC31" s="79">
        <f t="shared" ca="1" si="8"/>
        <v>446187.44330950658</v>
      </c>
      <c r="AD31" s="35"/>
      <c r="AE31" s="62">
        <f t="shared" ca="1" si="9"/>
        <v>-2500.6101455486769</v>
      </c>
      <c r="AF31" s="62">
        <f t="shared" ca="1" si="10"/>
        <v>477611.09481809987</v>
      </c>
      <c r="AG31" s="35"/>
      <c r="AH31" s="35"/>
      <c r="AI31" s="35"/>
      <c r="AJ31" s="65">
        <v>45</v>
      </c>
      <c r="AK31" s="66">
        <f>'SA85-90'!F37*(1+$AH$22)</f>
        <v>4.4880000000000007E-3</v>
      </c>
      <c r="AL31" s="66">
        <f>'SA85-90 (light)'!F37*(1+$AH$22)</f>
        <v>4.1359999999999999E-3</v>
      </c>
      <c r="AM31" s="66">
        <f t="shared" si="24"/>
        <v>92</v>
      </c>
      <c r="AN31" s="66">
        <f t="shared" si="25"/>
        <v>0.26884000000000002</v>
      </c>
      <c r="AO31" s="67">
        <f t="shared" si="36"/>
        <v>3.7067307642690013E-2</v>
      </c>
      <c r="AP31" s="68">
        <f t="shared" ca="1" si="26"/>
        <v>4.0962656300546837E-3</v>
      </c>
      <c r="AR31" s="69">
        <f t="shared" si="27"/>
        <v>3</v>
      </c>
      <c r="AS31" s="70">
        <f t="shared" si="37"/>
        <v>28</v>
      </c>
      <c r="AT31" s="71">
        <f t="shared" si="38"/>
        <v>0.82559061574595527</v>
      </c>
      <c r="AU31" s="72">
        <f t="shared" si="11"/>
        <v>6.8214933659622723E-3</v>
      </c>
      <c r="AV31" s="73">
        <f t="shared" si="28"/>
        <v>1.0068214933659623</v>
      </c>
      <c r="AW31" s="74">
        <f>PRODUCT(AV$4:AV31)</f>
        <v>1.2096769046264433</v>
      </c>
      <c r="AY31" s="75">
        <f t="shared" si="39"/>
        <v>28</v>
      </c>
      <c r="AZ31" s="76">
        <f t="shared" ca="1" si="43"/>
        <v>1.0068214933659623</v>
      </c>
      <c r="BA31" s="76">
        <f t="shared" ca="1" si="43"/>
        <v>1.0068214933659623</v>
      </c>
      <c r="BB31" s="76">
        <f t="shared" ca="1" si="43"/>
        <v>1.0068214933659623</v>
      </c>
      <c r="BC31" s="76">
        <f t="shared" ca="1" si="43"/>
        <v>1.0068214933659623</v>
      </c>
      <c r="BD31" s="76">
        <f t="shared" ca="1" si="43"/>
        <v>1.0068214933659623</v>
      </c>
      <c r="BE31" s="76">
        <f t="shared" ca="1" si="43"/>
        <v>1.0068214933659623</v>
      </c>
      <c r="BF31" s="76">
        <f t="shared" ca="1" si="43"/>
        <v>1.0068214933659623</v>
      </c>
      <c r="BG31" s="76">
        <f t="shared" ca="1" si="43"/>
        <v>1.0068214933659623</v>
      </c>
      <c r="BH31" s="76">
        <f t="shared" ca="1" si="43"/>
        <v>1.0068214933659623</v>
      </c>
      <c r="BI31" s="76">
        <f t="shared" ca="1" si="43"/>
        <v>1.0068214933659623</v>
      </c>
      <c r="BJ31" s="76">
        <f t="shared" ca="1" si="43"/>
        <v>1.0068214933659623</v>
      </c>
      <c r="BK31" s="76">
        <f t="shared" ca="1" si="43"/>
        <v>1.0068214933659623</v>
      </c>
      <c r="BL31" s="76">
        <f t="shared" ca="1" si="13"/>
        <v>8.5000000000000853E-2</v>
      </c>
      <c r="BM31" s="77">
        <f t="shared" ca="1" si="30"/>
        <v>9.8182179635117564</v>
      </c>
    </row>
    <row r="32" spans="2:65">
      <c r="B32" s="165"/>
      <c r="C32" s="166"/>
      <c r="E32">
        <f t="shared" si="31"/>
        <v>29</v>
      </c>
      <c r="F32" s="64">
        <f t="shared" si="14"/>
        <v>57.24</v>
      </c>
      <c r="G32" s="55">
        <f t="shared" si="0"/>
        <v>0</v>
      </c>
      <c r="H32" s="78">
        <f t="shared" si="40"/>
        <v>1</v>
      </c>
      <c r="I32" s="79">
        <f t="shared" si="15"/>
        <v>482772.98608849332</v>
      </c>
      <c r="J32" s="79">
        <f t="shared" si="1"/>
        <v>3293.2327218684536</v>
      </c>
      <c r="K32" s="80">
        <f t="shared" si="2"/>
        <v>-15</v>
      </c>
      <c r="L32" s="80">
        <f t="shared" si="16"/>
        <v>-402.31082174041114</v>
      </c>
      <c r="M32" s="80">
        <f t="shared" si="42"/>
        <v>0</v>
      </c>
      <c r="N32" s="80">
        <f t="shared" si="18"/>
        <v>-458.63433678406869</v>
      </c>
      <c r="O32" s="81">
        <f t="shared" si="3"/>
        <v>-2083.3333333333335</v>
      </c>
      <c r="P32" s="79">
        <f t="shared" si="4"/>
        <v>483106.94031850394</v>
      </c>
      <c r="Q32" s="35"/>
      <c r="R32">
        <f t="shared" ca="1" si="19"/>
        <v>154</v>
      </c>
      <c r="S32" s="78">
        <f t="shared" ca="1" si="20"/>
        <v>67.239999999999995</v>
      </c>
      <c r="T32" s="55">
        <f t="shared" ca="1" si="5"/>
        <v>2.7282345997765578E-3</v>
      </c>
      <c r="U32" s="78">
        <f t="shared" ca="1" si="32"/>
        <v>0.93165787837937986</v>
      </c>
      <c r="V32" s="79">
        <f t="shared" ca="1" si="21"/>
        <v>444970.13928868371</v>
      </c>
      <c r="W32" s="79">
        <f t="shared" ca="1" si="6"/>
        <v>3035.3608532090643</v>
      </c>
      <c r="X32" s="80">
        <f t="shared" ca="1" si="33"/>
        <v>-13.974868175690698</v>
      </c>
      <c r="Y32" s="80">
        <f t="shared" ca="1" si="34"/>
        <v>-370.80844940723642</v>
      </c>
      <c r="Z32" s="80">
        <f t="shared" ca="1" si="23"/>
        <v>0</v>
      </c>
      <c r="AA32" s="80">
        <f t="shared" ca="1" si="35"/>
        <v>-422.72163232424964</v>
      </c>
      <c r="AB32" s="81">
        <f t="shared" ca="1" si="7"/>
        <v>-2329.7131428558328</v>
      </c>
      <c r="AC32" s="79">
        <f t="shared" ca="1" si="8"/>
        <v>444868.28204912972</v>
      </c>
      <c r="AD32" s="35"/>
      <c r="AE32" s="62">
        <f t="shared" ca="1" si="9"/>
        <v>-2500.6101455486769</v>
      </c>
      <c r="AF32" s="62">
        <f t="shared" ca="1" si="10"/>
        <v>477501.76580160379</v>
      </c>
      <c r="AG32" s="35"/>
      <c r="AH32" s="35"/>
      <c r="AI32" s="35"/>
      <c r="AJ32" s="65">
        <v>46</v>
      </c>
      <c r="AK32" s="66">
        <f>'SA85-90'!F38*(1+$AH$22)</f>
        <v>4.8730000000000006E-3</v>
      </c>
      <c r="AL32" s="66">
        <f>'SA85-90 (light)'!F38*(1+$AH$22)</f>
        <v>4.5210000000000007E-3</v>
      </c>
      <c r="AM32" s="66">
        <f t="shared" si="24"/>
        <v>93</v>
      </c>
      <c r="AN32" s="66">
        <f t="shared" si="25"/>
        <v>0.29067500000000002</v>
      </c>
      <c r="AO32" s="67">
        <f t="shared" si="36"/>
        <v>2.6292767993651094E-2</v>
      </c>
      <c r="AP32" s="68">
        <f t="shared" ca="1" si="26"/>
        <v>2.6779572516484203E-3</v>
      </c>
      <c r="AR32" s="69">
        <f t="shared" si="27"/>
        <v>3</v>
      </c>
      <c r="AS32" s="70">
        <f t="shared" si="37"/>
        <v>29</v>
      </c>
      <c r="AT32" s="71">
        <f t="shared" si="38"/>
        <v>0.81995885483764352</v>
      </c>
      <c r="AU32" s="72">
        <f t="shared" si="11"/>
        <v>6.8214933659622723E-3</v>
      </c>
      <c r="AV32" s="73">
        <f t="shared" si="28"/>
        <v>1.0068214933659623</v>
      </c>
      <c r="AW32" s="74">
        <f>PRODUCT(AV$4:AV32)</f>
        <v>1.2179287076063103</v>
      </c>
      <c r="AY32" s="75">
        <f t="shared" si="39"/>
        <v>29</v>
      </c>
      <c r="AZ32" s="76">
        <f t="shared" ca="1" si="43"/>
        <v>1.0068214933659623</v>
      </c>
      <c r="BA32" s="76">
        <f t="shared" ca="1" si="43"/>
        <v>1.0068214933659623</v>
      </c>
      <c r="BB32" s="76">
        <f t="shared" ca="1" si="43"/>
        <v>1.0068214933659623</v>
      </c>
      <c r="BC32" s="76">
        <f t="shared" ca="1" si="43"/>
        <v>1.0068214933659623</v>
      </c>
      <c r="BD32" s="76">
        <f t="shared" ca="1" si="43"/>
        <v>1.0068214933659623</v>
      </c>
      <c r="BE32" s="76">
        <f t="shared" ca="1" si="43"/>
        <v>1.0068214933659623</v>
      </c>
      <c r="BF32" s="76">
        <f t="shared" ca="1" si="43"/>
        <v>1.0068214933659623</v>
      </c>
      <c r="BG32" s="76">
        <f t="shared" ca="1" si="43"/>
        <v>1.0068214933659623</v>
      </c>
      <c r="BH32" s="76">
        <f t="shared" ca="1" si="43"/>
        <v>1.0068214933659623</v>
      </c>
      <c r="BI32" s="76">
        <f t="shared" ca="1" si="43"/>
        <v>1.0068214933659623</v>
      </c>
      <c r="BJ32" s="76">
        <f t="shared" ca="1" si="43"/>
        <v>1.0068214933659623</v>
      </c>
      <c r="BK32" s="76">
        <f t="shared" ca="1" si="43"/>
        <v>1.0068214933659623</v>
      </c>
      <c r="BL32" s="76">
        <f t="shared" ca="1" si="13"/>
        <v>8.5000000000000853E-2</v>
      </c>
      <c r="BM32" s="77">
        <f t="shared" ca="1" si="30"/>
        <v>10.652766490410263</v>
      </c>
    </row>
    <row r="33" spans="2:65">
      <c r="E33">
        <f t="shared" si="31"/>
        <v>30</v>
      </c>
      <c r="F33" s="64">
        <f t="shared" si="14"/>
        <v>57.32</v>
      </c>
      <c r="G33" s="55">
        <f t="shared" si="0"/>
        <v>0</v>
      </c>
      <c r="H33" s="78">
        <f t="shared" si="40"/>
        <v>1</v>
      </c>
      <c r="I33" s="79">
        <f t="shared" si="15"/>
        <v>483106.94031850394</v>
      </c>
      <c r="J33" s="79">
        <f t="shared" si="1"/>
        <v>3295.5107884330059</v>
      </c>
      <c r="K33" s="80">
        <f t="shared" si="2"/>
        <v>-15</v>
      </c>
      <c r="L33" s="80">
        <f t="shared" si="16"/>
        <v>-402.58911693208665</v>
      </c>
      <c r="M33" s="80">
        <f t="shared" si="42"/>
        <v>0</v>
      </c>
      <c r="N33" s="80">
        <f t="shared" si="18"/>
        <v>-458.95159330257883</v>
      </c>
      <c r="O33" s="81">
        <f t="shared" si="3"/>
        <v>-2083.3333333333335</v>
      </c>
      <c r="P33" s="79">
        <f t="shared" si="4"/>
        <v>483442.57706336898</v>
      </c>
      <c r="Q33" s="35"/>
      <c r="R33">
        <f t="shared" ca="1" si="19"/>
        <v>155</v>
      </c>
      <c r="S33" s="78">
        <f t="shared" ca="1" si="20"/>
        <v>67.319999999999993</v>
      </c>
      <c r="T33" s="55">
        <f t="shared" ca="1" si="5"/>
        <v>2.7282345997765578E-3</v>
      </c>
      <c r="U33" s="78">
        <f t="shared" ca="1" si="32"/>
        <v>0.92911609712043086</v>
      </c>
      <c r="V33" s="79">
        <f t="shared" ca="1" si="21"/>
        <v>443654.57700970012</v>
      </c>
      <c r="W33" s="79">
        <f t="shared" ca="1" si="6"/>
        <v>3026.3867538504674</v>
      </c>
      <c r="X33" s="80">
        <f t="shared" ca="1" si="33"/>
        <v>-13.936741456806462</v>
      </c>
      <c r="Y33" s="80">
        <f t="shared" ca="1" si="34"/>
        <v>-369.71214750808343</v>
      </c>
      <c r="Z33" s="80">
        <f t="shared" ca="1" si="23"/>
        <v>0</v>
      </c>
      <c r="AA33" s="80">
        <f t="shared" ca="1" si="35"/>
        <v>-421.4718481592152</v>
      </c>
      <c r="AB33" s="81">
        <f t="shared" ca="1" si="7"/>
        <v>-2323.357138851939</v>
      </c>
      <c r="AC33" s="79">
        <f t="shared" ca="1" si="8"/>
        <v>443552.4858875745</v>
      </c>
      <c r="AD33" s="35"/>
      <c r="AE33" s="62">
        <f t="shared" ca="1" si="9"/>
        <v>-2500.6101455486764</v>
      </c>
      <c r="AF33" s="62">
        <f t="shared" ca="1" si="10"/>
        <v>477391.88596802641</v>
      </c>
      <c r="AG33" s="35"/>
      <c r="AH33" s="35"/>
      <c r="AI33" s="35"/>
      <c r="AJ33" s="65">
        <v>47</v>
      </c>
      <c r="AK33" s="66">
        <f>'SA85-90'!F39*(1+$AH$22)</f>
        <v>5.3020000000000003E-3</v>
      </c>
      <c r="AL33" s="66">
        <f>'SA85-90 (light)'!F39*(1+$AH$22)</f>
        <v>4.9610000000000001E-3</v>
      </c>
      <c r="AM33" s="66">
        <f t="shared" si="24"/>
        <v>94</v>
      </c>
      <c r="AN33" s="66">
        <f t="shared" si="25"/>
        <v>0.31391800000000003</v>
      </c>
      <c r="AO33" s="67">
        <f t="shared" si="36"/>
        <v>1.8038994850620129E-2</v>
      </c>
      <c r="AP33" s="68">
        <f t="shared" ca="1" si="26"/>
        <v>1.6933624581801385E-3</v>
      </c>
      <c r="AR33" s="69">
        <f t="shared" si="27"/>
        <v>3</v>
      </c>
      <c r="AS33" s="70">
        <f t="shared" si="37"/>
        <v>30</v>
      </c>
      <c r="AT33" s="71">
        <f t="shared" si="38"/>
        <v>0.81436551094900655</v>
      </c>
      <c r="AU33" s="72">
        <f t="shared" si="11"/>
        <v>6.8214933659622723E-3</v>
      </c>
      <c r="AV33" s="73">
        <f t="shared" si="28"/>
        <v>1.0068214933659623</v>
      </c>
      <c r="AW33" s="74">
        <f>PRODUCT(AV$4:AV33)</f>
        <v>1.2262368002054618</v>
      </c>
      <c r="AY33" s="75">
        <f t="shared" si="39"/>
        <v>30</v>
      </c>
      <c r="AZ33" s="76">
        <f t="shared" ca="1" si="43"/>
        <v>1.0068214933659623</v>
      </c>
      <c r="BA33" s="76">
        <f t="shared" ca="1" si="43"/>
        <v>1.0068214933659623</v>
      </c>
      <c r="BB33" s="76">
        <f t="shared" ca="1" si="43"/>
        <v>1.0068214933659623</v>
      </c>
      <c r="BC33" s="76">
        <f t="shared" ca="1" si="43"/>
        <v>1.0068214933659623</v>
      </c>
      <c r="BD33" s="76">
        <f t="shared" ca="1" si="43"/>
        <v>1.0068214933659623</v>
      </c>
      <c r="BE33" s="76">
        <f t="shared" ca="1" si="43"/>
        <v>1.0068214933659623</v>
      </c>
      <c r="BF33" s="76">
        <f t="shared" ca="1" si="43"/>
        <v>1.0068214933659623</v>
      </c>
      <c r="BG33" s="76">
        <f t="shared" ca="1" si="43"/>
        <v>1.0068214933659623</v>
      </c>
      <c r="BH33" s="76">
        <f t="shared" ca="1" si="43"/>
        <v>1.0068214933659623</v>
      </c>
      <c r="BI33" s="76">
        <f t="shared" ca="1" si="43"/>
        <v>1.0068214933659623</v>
      </c>
      <c r="BJ33" s="76">
        <f t="shared" ca="1" si="43"/>
        <v>1.0068214933659623</v>
      </c>
      <c r="BK33" s="76">
        <f t="shared" ca="1" si="43"/>
        <v>1.0068214933659623</v>
      </c>
      <c r="BL33" s="76">
        <f t="shared" ca="1" si="13"/>
        <v>8.5000000000000853E-2</v>
      </c>
      <c r="BM33" s="77">
        <f t="shared" ca="1" si="30"/>
        <v>11.558251642095145</v>
      </c>
    </row>
    <row r="34" spans="2:65">
      <c r="B34" s="119" t="s">
        <v>63</v>
      </c>
      <c r="C34" s="120">
        <f ca="1">_xlfn.IFNA(OFFSET(F2,MATCH(0,$P$4:$P$784,0),0),C6)</f>
        <v>100.2</v>
      </c>
      <c r="E34">
        <f t="shared" si="31"/>
        <v>31</v>
      </c>
      <c r="F34" s="64">
        <f t="shared" si="14"/>
        <v>57.4</v>
      </c>
      <c r="G34" s="55">
        <f t="shared" si="0"/>
        <v>0</v>
      </c>
      <c r="H34" s="78">
        <f t="shared" si="40"/>
        <v>1</v>
      </c>
      <c r="I34" s="79">
        <f t="shared" si="15"/>
        <v>483442.57706336898</v>
      </c>
      <c r="J34" s="79">
        <f t="shared" si="1"/>
        <v>3297.8003322614759</v>
      </c>
      <c r="K34" s="80">
        <f t="shared" si="2"/>
        <v>-15</v>
      </c>
      <c r="L34" s="80">
        <f t="shared" si="16"/>
        <v>-402.86881421947419</v>
      </c>
      <c r="M34" s="80">
        <f t="shared" si="42"/>
        <v>0</v>
      </c>
      <c r="N34" s="80">
        <f t="shared" si="18"/>
        <v>-459.27044821020058</v>
      </c>
      <c r="O34" s="81">
        <f t="shared" si="3"/>
        <v>-2083.3333333333335</v>
      </c>
      <c r="P34" s="79">
        <f t="shared" si="4"/>
        <v>483779.90479986748</v>
      </c>
      <c r="Q34" s="35"/>
      <c r="R34">
        <f t="shared" ca="1" si="19"/>
        <v>156</v>
      </c>
      <c r="S34" s="78">
        <f t="shared" ca="1" si="20"/>
        <v>67.400000000000006</v>
      </c>
      <c r="T34" s="55">
        <f t="shared" ca="1" si="5"/>
        <v>2.7282345997765578E-3</v>
      </c>
      <c r="U34" s="78">
        <f t="shared" ca="1" si="32"/>
        <v>0.92658125043705752</v>
      </c>
      <c r="V34" s="79">
        <f t="shared" ca="1" si="21"/>
        <v>442342.37064875913</v>
      </c>
      <c r="W34" s="79">
        <f t="shared" ca="1" si="6"/>
        <v>3017.4355468645349</v>
      </c>
      <c r="X34" s="80">
        <f t="shared" ca="1" si="33"/>
        <v>-13.898718756555862</v>
      </c>
      <c r="Y34" s="80">
        <f t="shared" ca="1" si="34"/>
        <v>-368.61864220729927</v>
      </c>
      <c r="Z34" s="80">
        <f t="shared" ca="1" si="23"/>
        <v>0</v>
      </c>
      <c r="AA34" s="80">
        <f t="shared" ca="1" si="35"/>
        <v>-420.2252521163212</v>
      </c>
      <c r="AB34" s="81">
        <f t="shared" ca="1" si="7"/>
        <v>-2317.0184755180853</v>
      </c>
      <c r="AC34" s="79">
        <f t="shared" ca="1" si="8"/>
        <v>442240.04510702536</v>
      </c>
      <c r="AD34" s="35"/>
      <c r="AE34" s="62">
        <f t="shared" ca="1" si="9"/>
        <v>-2500.6101455486769</v>
      </c>
      <c r="AF34" s="62">
        <f t="shared" ca="1" si="10"/>
        <v>477281.4525422632</v>
      </c>
      <c r="AG34" s="35"/>
      <c r="AH34" s="35"/>
      <c r="AI34" s="35"/>
      <c r="AJ34" s="65">
        <v>48</v>
      </c>
      <c r="AK34" s="66">
        <f>'SA85-90'!F40*(1+$AH$22)</f>
        <v>5.7860000000000003E-3</v>
      </c>
      <c r="AL34" s="66">
        <f>'SA85-90 (light)'!F40*(1+$AH$22)</f>
        <v>5.4340000000000005E-3</v>
      </c>
      <c r="AM34" s="66">
        <f t="shared" si="24"/>
        <v>95</v>
      </c>
      <c r="AN34" s="66">
        <f t="shared" si="25"/>
        <v>0.33862400000000004</v>
      </c>
      <c r="AO34" s="67">
        <f t="shared" si="36"/>
        <v>1.1930558258323738E-2</v>
      </c>
      <c r="AP34" s="68">
        <f t="shared" ca="1" si="26"/>
        <v>1.0322113263975541E-3</v>
      </c>
      <c r="AR34" s="69">
        <f t="shared" si="27"/>
        <v>3</v>
      </c>
      <c r="AS34" s="70">
        <f t="shared" si="37"/>
        <v>31</v>
      </c>
      <c r="AT34" s="71">
        <f t="shared" si="38"/>
        <v>0.80881032201859948</v>
      </c>
      <c r="AU34" s="72">
        <f t="shared" si="11"/>
        <v>6.8214933659622723E-3</v>
      </c>
      <c r="AV34" s="73">
        <f t="shared" si="28"/>
        <v>1.0068214933659623</v>
      </c>
      <c r="AW34" s="74">
        <f>PRODUCT(AV$4:AV34)</f>
        <v>1.2346015664031622</v>
      </c>
      <c r="AY34" s="75">
        <f t="shared" si="39"/>
        <v>31</v>
      </c>
      <c r="AZ34" s="76">
        <f t="shared" ca="1" si="43"/>
        <v>1.0068214933659623</v>
      </c>
      <c r="BA34" s="76">
        <f t="shared" ca="1" si="43"/>
        <v>1.0068214933659623</v>
      </c>
      <c r="BB34" s="76">
        <f t="shared" ca="1" si="43"/>
        <v>1.0068214933659623</v>
      </c>
      <c r="BC34" s="76">
        <f t="shared" ca="1" si="43"/>
        <v>1.0068214933659623</v>
      </c>
      <c r="BD34" s="76">
        <f t="shared" ca="1" si="43"/>
        <v>1.0068214933659623</v>
      </c>
      <c r="BE34" s="76">
        <f t="shared" ca="1" si="43"/>
        <v>1.0068214933659623</v>
      </c>
      <c r="BF34" s="76">
        <f t="shared" ca="1" si="43"/>
        <v>1.0068214933659623</v>
      </c>
      <c r="BG34" s="76">
        <f t="shared" ca="1" si="43"/>
        <v>1.0068214933659623</v>
      </c>
      <c r="BH34" s="76">
        <f t="shared" ca="1" si="43"/>
        <v>1.0068214933659623</v>
      </c>
      <c r="BI34" s="76">
        <f t="shared" ca="1" si="43"/>
        <v>1.0068214933659623</v>
      </c>
      <c r="BJ34" s="76">
        <f t="shared" ca="1" si="43"/>
        <v>1.0068214933659623</v>
      </c>
      <c r="BK34" s="76">
        <f t="shared" ca="1" si="43"/>
        <v>1.0068214933659623</v>
      </c>
      <c r="BL34" s="76">
        <f t="shared" ca="1" si="13"/>
        <v>8.5000000000000853E-2</v>
      </c>
      <c r="BM34" s="77">
        <f t="shared" ca="1" si="30"/>
        <v>12.540703031673242</v>
      </c>
    </row>
    <row r="35" spans="2:65">
      <c r="B35" s="119" t="s">
        <v>67</v>
      </c>
      <c r="C35" s="121">
        <f>C16+C17+C18*(1+C20)</f>
        <v>2.8900000000000002E-2</v>
      </c>
      <c r="E35">
        <f t="shared" si="31"/>
        <v>32</v>
      </c>
      <c r="F35" s="64">
        <f t="shared" si="14"/>
        <v>57.48</v>
      </c>
      <c r="G35" s="55">
        <f t="shared" si="0"/>
        <v>0</v>
      </c>
      <c r="H35" s="78">
        <f t="shared" si="40"/>
        <v>1</v>
      </c>
      <c r="I35" s="79">
        <f t="shared" si="15"/>
        <v>483779.90479986748</v>
      </c>
      <c r="J35" s="79">
        <f t="shared" si="1"/>
        <v>3300.1014111781556</v>
      </c>
      <c r="K35" s="80">
        <f t="shared" si="2"/>
        <v>-15</v>
      </c>
      <c r="L35" s="80">
        <f t="shared" si="16"/>
        <v>-403.14992066655628</v>
      </c>
      <c r="M35" s="80">
        <f t="shared" si="42"/>
        <v>0</v>
      </c>
      <c r="N35" s="80">
        <f t="shared" si="18"/>
        <v>-459.59090955987421</v>
      </c>
      <c r="O35" s="81">
        <f t="shared" si="3"/>
        <v>-2083.3333333333335</v>
      </c>
      <c r="P35" s="79">
        <f t="shared" si="4"/>
        <v>484118.93204748596</v>
      </c>
      <c r="Q35" s="35"/>
      <c r="R35">
        <f t="shared" ca="1" si="19"/>
        <v>157</v>
      </c>
      <c r="S35" s="78">
        <f t="shared" ca="1" si="20"/>
        <v>67.48</v>
      </c>
      <c r="T35" s="55">
        <f t="shared" ca="1" si="5"/>
        <v>2.7282345997765578E-3</v>
      </c>
      <c r="U35" s="78">
        <f t="shared" ca="1" si="32"/>
        <v>0.92405331941011093</v>
      </c>
      <c r="V35" s="79">
        <f t="shared" ca="1" si="21"/>
        <v>441033.51051455765</v>
      </c>
      <c r="W35" s="79">
        <f t="shared" ca="1" si="6"/>
        <v>3008.5071661421071</v>
      </c>
      <c r="X35" s="80">
        <f t="shared" ca="1" si="33"/>
        <v>-13.860799791151663</v>
      </c>
      <c r="Y35" s="80">
        <f t="shared" ca="1" si="34"/>
        <v>-367.52792542879808</v>
      </c>
      <c r="Z35" s="80">
        <f t="shared" ca="1" si="23"/>
        <v>-3307.7513288591822</v>
      </c>
      <c r="AA35" s="80">
        <f t="shared" ca="1" si="35"/>
        <v>-418.98183498882986</v>
      </c>
      <c r="AB35" s="81">
        <f t="shared" ca="1" si="7"/>
        <v>-2310.6971055448553</v>
      </c>
      <c r="AC35" s="79">
        <f t="shared" ca="1" si="8"/>
        <v>437623.19868608692</v>
      </c>
      <c r="AD35" s="35"/>
      <c r="AE35" s="62">
        <f t="shared" ca="1" si="9"/>
        <v>-2500.6101455486764</v>
      </c>
      <c r="AF35" s="62">
        <f t="shared" ca="1" si="10"/>
        <v>473590.85184116109</v>
      </c>
      <c r="AG35" s="35"/>
      <c r="AH35" s="35"/>
      <c r="AI35" s="35"/>
      <c r="AJ35" s="65">
        <v>49</v>
      </c>
      <c r="AK35" s="66">
        <f>'SA85-90'!F41*(1+$AH$22)</f>
        <v>6.314000000000001E-3</v>
      </c>
      <c r="AL35" s="66">
        <f>'SA85-90 (light)'!F41*(1+$AH$22)</f>
        <v>5.9620000000000012E-3</v>
      </c>
      <c r="AM35" s="66">
        <f t="shared" si="24"/>
        <v>96</v>
      </c>
      <c r="AN35" s="66">
        <f t="shared" si="25"/>
        <v>0.36477100000000007</v>
      </c>
      <c r="AO35" s="67">
        <f t="shared" si="36"/>
        <v>7.5786365918767288E-3</v>
      </c>
      <c r="AP35" s="68">
        <f t="shared" ca="1" si="26"/>
        <v>6.0432310475225009E-4</v>
      </c>
      <c r="AR35" s="69">
        <f t="shared" si="27"/>
        <v>3</v>
      </c>
      <c r="AS35" s="70">
        <f t="shared" si="37"/>
        <v>32</v>
      </c>
      <c r="AT35" s="71">
        <f t="shared" si="38"/>
        <v>0.80329302777262779</v>
      </c>
      <c r="AU35" s="72">
        <f t="shared" si="11"/>
        <v>6.8214933659622723E-3</v>
      </c>
      <c r="AV35" s="73">
        <f t="shared" si="28"/>
        <v>1.0068214933659623</v>
      </c>
      <c r="AW35" s="74">
        <f>PRODUCT(AV$4:AV35)</f>
        <v>1.2430233927979879</v>
      </c>
      <c r="AY35" s="75">
        <f t="shared" si="39"/>
        <v>32</v>
      </c>
      <c r="AZ35" s="76">
        <f t="shared" ref="AZ35:BK44" ca="1" si="44">OFFSET($AV$3,($AY35*12-12)+AZ$3,0)</f>
        <v>1.0068214933659623</v>
      </c>
      <c r="BA35" s="76">
        <f t="shared" ca="1" si="44"/>
        <v>1.0068214933659623</v>
      </c>
      <c r="BB35" s="76">
        <f t="shared" ca="1" si="44"/>
        <v>1.0068214933659623</v>
      </c>
      <c r="BC35" s="76">
        <f t="shared" ca="1" si="44"/>
        <v>1.0068214933659623</v>
      </c>
      <c r="BD35" s="76">
        <f t="shared" ca="1" si="44"/>
        <v>1.0068214933659623</v>
      </c>
      <c r="BE35" s="76">
        <f t="shared" ca="1" si="44"/>
        <v>1.0068214933659623</v>
      </c>
      <c r="BF35" s="76">
        <f t="shared" ca="1" si="44"/>
        <v>1.0068214933659623</v>
      </c>
      <c r="BG35" s="76">
        <f t="shared" ca="1" si="44"/>
        <v>1.0068214933659623</v>
      </c>
      <c r="BH35" s="76">
        <f t="shared" ca="1" si="44"/>
        <v>1.0068214933659623</v>
      </c>
      <c r="BI35" s="76">
        <f t="shared" ca="1" si="44"/>
        <v>1.0068214933659623</v>
      </c>
      <c r="BJ35" s="76">
        <f t="shared" ca="1" si="44"/>
        <v>1.0068214933659623</v>
      </c>
      <c r="BK35" s="76">
        <f t="shared" ca="1" si="44"/>
        <v>1.0068214933659623</v>
      </c>
      <c r="BL35" s="76">
        <f t="shared" ca="1" si="13"/>
        <v>8.5000000000000853E-2</v>
      </c>
      <c r="BM35" s="77">
        <f t="shared" ca="1" si="30"/>
        <v>13.606662789365478</v>
      </c>
    </row>
    <row r="36" spans="2:65">
      <c r="B36" s="65" t="s">
        <v>68</v>
      </c>
      <c r="C36" s="122">
        <f ca="1">OFFSET($S$4,MATCH(100,S4:S784,1),0)</f>
        <v>100.04</v>
      </c>
      <c r="E36">
        <f t="shared" si="31"/>
        <v>33</v>
      </c>
      <c r="F36" s="64">
        <f t="shared" si="14"/>
        <v>57.56</v>
      </c>
      <c r="G36" s="55">
        <f t="shared" si="0"/>
        <v>0</v>
      </c>
      <c r="H36" s="78">
        <f t="shared" si="40"/>
        <v>1</v>
      </c>
      <c r="I36" s="79">
        <f t="shared" si="15"/>
        <v>484118.93204748596</v>
      </c>
      <c r="J36" s="79">
        <f t="shared" si="1"/>
        <v>3302.4140832986654</v>
      </c>
      <c r="K36" s="80">
        <f t="shared" si="2"/>
        <v>-15</v>
      </c>
      <c r="L36" s="80">
        <f t="shared" si="16"/>
        <v>-403.43244337290497</v>
      </c>
      <c r="M36" s="80">
        <f t="shared" si="42"/>
        <v>0</v>
      </c>
      <c r="N36" s="80">
        <f t="shared" si="18"/>
        <v>-459.9129854451117</v>
      </c>
      <c r="O36" s="81">
        <f t="shared" si="3"/>
        <v>-2083.3333333333335</v>
      </c>
      <c r="P36" s="79">
        <f t="shared" si="4"/>
        <v>484459.66736863327</v>
      </c>
      <c r="Q36" s="35"/>
      <c r="R36">
        <f t="shared" ca="1" si="19"/>
        <v>158</v>
      </c>
      <c r="S36" s="78">
        <f t="shared" ca="1" si="20"/>
        <v>67.56</v>
      </c>
      <c r="T36" s="55">
        <f t="shared" ca="1" si="5"/>
        <v>2.9921707961534372E-3</v>
      </c>
      <c r="U36" s="78">
        <f t="shared" ca="1" si="32"/>
        <v>0.92128839405368335</v>
      </c>
      <c r="V36" s="79">
        <f t="shared" ca="1" si="21"/>
        <v>436313.75533125916</v>
      </c>
      <c r="W36" s="79">
        <f t="shared" ca="1" si="6"/>
        <v>2976.3113874702703</v>
      </c>
      <c r="X36" s="80">
        <f t="shared" ca="1" si="33"/>
        <v>-13.819325910805251</v>
      </c>
      <c r="Y36" s="80">
        <f t="shared" ca="1" si="34"/>
        <v>-363.59479610938268</v>
      </c>
      <c r="Z36" s="80">
        <f t="shared" ca="1" si="23"/>
        <v>0</v>
      </c>
      <c r="AA36" s="80">
        <f t="shared" ca="1" si="35"/>
        <v>-414.49806756469633</v>
      </c>
      <c r="AB36" s="81">
        <f t="shared" ca="1" si="7"/>
        <v>-2303.7831051468879</v>
      </c>
      <c r="AC36" s="79">
        <f t="shared" ca="1" si="8"/>
        <v>436194.37142399768</v>
      </c>
      <c r="AD36" s="35"/>
      <c r="AE36" s="62">
        <f t="shared" ca="1" si="9"/>
        <v>-2500.6101455486769</v>
      </c>
      <c r="AF36" s="62">
        <f t="shared" ca="1" si="10"/>
        <v>473461.26819717727</v>
      </c>
      <c r="AG36" s="35"/>
      <c r="AH36" s="35"/>
      <c r="AI36" s="35"/>
      <c r="AJ36" s="65">
        <v>50</v>
      </c>
      <c r="AK36" s="66">
        <f>'SA85-90'!F42*(1+$AH$22)</f>
        <v>6.9080000000000009E-3</v>
      </c>
      <c r="AL36" s="66">
        <f>'SA85-90 (light)'!F42*(1+$AH$22)</f>
        <v>6.5450000000000013E-3</v>
      </c>
      <c r="AM36" s="66">
        <f t="shared" si="24"/>
        <v>97</v>
      </c>
      <c r="AN36" s="66">
        <f t="shared" si="25"/>
        <v>0.39238100000000004</v>
      </c>
      <c r="AO36" s="67">
        <f t="shared" si="36"/>
        <v>4.6049235873195458E-3</v>
      </c>
      <c r="AP36" s="68">
        <f t="shared" ca="1" si="26"/>
        <v>3.384315212778407E-4</v>
      </c>
      <c r="AR36" s="69">
        <f t="shared" si="27"/>
        <v>3</v>
      </c>
      <c r="AS36" s="70">
        <f t="shared" si="37"/>
        <v>33</v>
      </c>
      <c r="AT36" s="71">
        <f t="shared" si="38"/>
        <v>0.79781336971275307</v>
      </c>
      <c r="AU36" s="72">
        <f t="shared" si="11"/>
        <v>6.8214933659622723E-3</v>
      </c>
      <c r="AV36" s="73">
        <f t="shared" si="28"/>
        <v>1.0068214933659623</v>
      </c>
      <c r="AW36" s="74">
        <f>PRODUCT(AV$4:AV36)</f>
        <v>1.2515026686256954</v>
      </c>
      <c r="AY36" s="75">
        <f t="shared" si="39"/>
        <v>33</v>
      </c>
      <c r="AZ36" s="76">
        <f t="shared" ca="1" si="44"/>
        <v>1.0068214933659623</v>
      </c>
      <c r="BA36" s="76">
        <f t="shared" ca="1" si="44"/>
        <v>1.0068214933659623</v>
      </c>
      <c r="BB36" s="76">
        <f t="shared" ca="1" si="44"/>
        <v>1.0068214933659623</v>
      </c>
      <c r="BC36" s="76">
        <f t="shared" ca="1" si="44"/>
        <v>1.0068214933659623</v>
      </c>
      <c r="BD36" s="76">
        <f t="shared" ca="1" si="44"/>
        <v>1.0068214933659623</v>
      </c>
      <c r="BE36" s="76">
        <f t="shared" ca="1" si="44"/>
        <v>1.0068214933659623</v>
      </c>
      <c r="BF36" s="76">
        <f t="shared" ca="1" si="44"/>
        <v>1.0068214933659623</v>
      </c>
      <c r="BG36" s="76">
        <f t="shared" ca="1" si="44"/>
        <v>1.0068214933659623</v>
      </c>
      <c r="BH36" s="76">
        <f t="shared" ca="1" si="44"/>
        <v>1.0068214933659623</v>
      </c>
      <c r="BI36" s="76">
        <f t="shared" ca="1" si="44"/>
        <v>1.0068214933659623</v>
      </c>
      <c r="BJ36" s="76">
        <f t="shared" ca="1" si="44"/>
        <v>1.0068214933659623</v>
      </c>
      <c r="BK36" s="76">
        <f t="shared" ca="1" si="44"/>
        <v>1.0068214933659623</v>
      </c>
      <c r="BL36" s="76">
        <f t="shared" ref="BL36:BL67" ca="1" si="45">PRODUCT(AZ36:BK36)-1</f>
        <v>8.5000000000000853E-2</v>
      </c>
      <c r="BM36" s="77">
        <f t="shared" ca="1" si="30"/>
        <v>14.763229126461555</v>
      </c>
    </row>
    <row r="37" spans="2:65">
      <c r="B37" s="65" t="s">
        <v>69</v>
      </c>
      <c r="C37" s="123">
        <f ca="1">OFFSET($AC$4,MATCH(100,S4:S784,1),0)</f>
        <v>-5.2315929366386626E-12</v>
      </c>
      <c r="E37">
        <f t="shared" si="31"/>
        <v>34</v>
      </c>
      <c r="F37" s="64">
        <f t="shared" si="14"/>
        <v>57.64</v>
      </c>
      <c r="G37" s="55">
        <f t="shared" si="0"/>
        <v>0</v>
      </c>
      <c r="H37" s="78">
        <f t="shared" si="40"/>
        <v>1</v>
      </c>
      <c r="I37" s="79">
        <f t="shared" si="15"/>
        <v>484459.66736863327</v>
      </c>
      <c r="J37" s="79">
        <f t="shared" si="1"/>
        <v>3304.738407031421</v>
      </c>
      <c r="K37" s="80">
        <f t="shared" si="2"/>
        <v>-15</v>
      </c>
      <c r="L37" s="80">
        <f t="shared" si="16"/>
        <v>-403.71638947386106</v>
      </c>
      <c r="M37" s="80">
        <f t="shared" si="42"/>
        <v>0</v>
      </c>
      <c r="N37" s="80">
        <f t="shared" si="18"/>
        <v>-460.23668400020171</v>
      </c>
      <c r="O37" s="81">
        <f t="shared" si="3"/>
        <v>-2083.3333333333335</v>
      </c>
      <c r="P37" s="79">
        <f t="shared" si="4"/>
        <v>484802.1193688573</v>
      </c>
      <c r="Q37" s="35"/>
      <c r="R37">
        <f t="shared" ca="1" si="19"/>
        <v>159</v>
      </c>
      <c r="S37" s="78">
        <f t="shared" ca="1" si="20"/>
        <v>67.64</v>
      </c>
      <c r="T37" s="55">
        <f t="shared" ca="1" si="5"/>
        <v>2.9921707961534372E-3</v>
      </c>
      <c r="U37" s="78">
        <f t="shared" ca="1" si="32"/>
        <v>0.91853174182616082</v>
      </c>
      <c r="V37" s="79">
        <f t="shared" ca="1" si="21"/>
        <v>434889.20336437627</v>
      </c>
      <c r="W37" s="79">
        <f t="shared" ca="1" si="6"/>
        <v>2966.5938156787101</v>
      </c>
      <c r="X37" s="80">
        <f t="shared" ca="1" si="33"/>
        <v>-13.777976127392412</v>
      </c>
      <c r="Y37" s="80">
        <f t="shared" ca="1" si="34"/>
        <v>-362.40766947031358</v>
      </c>
      <c r="Z37" s="80">
        <f t="shared" ca="1" si="23"/>
        <v>0</v>
      </c>
      <c r="AA37" s="80">
        <f t="shared" ca="1" si="35"/>
        <v>-413.14474319615755</v>
      </c>
      <c r="AB37" s="81">
        <f t="shared" ca="1" si="7"/>
        <v>-2296.8897926189957</v>
      </c>
      <c r="AC37" s="79">
        <f t="shared" ca="1" si="8"/>
        <v>434769.57699864218</v>
      </c>
      <c r="AD37" s="35"/>
      <c r="AE37" s="62">
        <f t="shared" ca="1" si="9"/>
        <v>-2500.6101455486769</v>
      </c>
      <c r="AF37" s="62">
        <f t="shared" ca="1" si="10"/>
        <v>473331.03169005743</v>
      </c>
      <c r="AG37" s="35"/>
      <c r="AH37" s="35"/>
      <c r="AI37" s="35"/>
      <c r="AJ37" s="65">
        <v>51</v>
      </c>
      <c r="AK37" s="66">
        <f>'SA85-90'!F43*(1+$AH$22)</f>
        <v>7.5460000000000006E-3</v>
      </c>
      <c r="AL37" s="66">
        <f>'SA85-90 (light)'!F43*(1+$AH$22)</f>
        <v>7.183000000000001E-3</v>
      </c>
      <c r="AM37" s="66">
        <f t="shared" ref="AM37:AM68" si="46">$C$6+E37-1</f>
        <v>98</v>
      </c>
      <c r="AN37" s="66">
        <f t="shared" ref="AN37:AN68" si="47">IF(AM37&gt;$AJ$90,0,VLOOKUP($C$6+E37-1,$AJ$4:$AK$90,2,FALSE))</f>
        <v>0.42142100000000005</v>
      </c>
      <c r="AO37" s="67">
        <f t="shared" si="36"/>
        <v>2.6643120842277553E-3</v>
      </c>
      <c r="AP37" s="68">
        <f t="shared" ref="AP37:AP68" ca="1" si="48">AO37/BM36</f>
        <v>1.8046946649715357E-4</v>
      </c>
      <c r="AR37" s="69">
        <f t="shared" si="27"/>
        <v>3</v>
      </c>
      <c r="AS37" s="70">
        <f t="shared" si="37"/>
        <v>34</v>
      </c>
      <c r="AT37" s="71">
        <f t="shared" si="38"/>
        <v>0.79237109110398152</v>
      </c>
      <c r="AU37" s="72">
        <f t="shared" si="11"/>
        <v>6.8214933659622723E-3</v>
      </c>
      <c r="AV37" s="73">
        <f t="shared" si="28"/>
        <v>1.0068214933659623</v>
      </c>
      <c r="AW37" s="74">
        <f>PRODUCT(AV$4:AV37)</f>
        <v>1.2600397857772097</v>
      </c>
      <c r="AY37" s="75">
        <f t="shared" si="39"/>
        <v>34</v>
      </c>
      <c r="AZ37" s="76">
        <f t="shared" ca="1" si="44"/>
        <v>1.0068214933659623</v>
      </c>
      <c r="BA37" s="76">
        <f t="shared" ca="1" si="44"/>
        <v>1.0068214933659623</v>
      </c>
      <c r="BB37" s="76">
        <f t="shared" ca="1" si="44"/>
        <v>1.0068214933659623</v>
      </c>
      <c r="BC37" s="76">
        <f t="shared" ca="1" si="44"/>
        <v>1.0068214933659623</v>
      </c>
      <c r="BD37" s="76">
        <f t="shared" ca="1" si="44"/>
        <v>1.0068214933659623</v>
      </c>
      <c r="BE37" s="76">
        <f t="shared" ca="1" si="44"/>
        <v>1.0068214933659623</v>
      </c>
      <c r="BF37" s="76">
        <f t="shared" ca="1" si="44"/>
        <v>1.0068214933659623</v>
      </c>
      <c r="BG37" s="76">
        <f t="shared" ca="1" si="44"/>
        <v>1.0068214933659623</v>
      </c>
      <c r="BH37" s="76">
        <f t="shared" ca="1" si="44"/>
        <v>1.0068214933659623</v>
      </c>
      <c r="BI37" s="76">
        <f t="shared" ca="1" si="44"/>
        <v>1.0068214933659623</v>
      </c>
      <c r="BJ37" s="76">
        <f t="shared" ca="1" si="44"/>
        <v>1.0068214933659623</v>
      </c>
      <c r="BK37" s="76">
        <f t="shared" ca="1" si="44"/>
        <v>1.0068214933659623</v>
      </c>
      <c r="BL37" s="76">
        <f t="shared" ca="1" si="45"/>
        <v>8.5000000000000853E-2</v>
      </c>
      <c r="BM37" s="77">
        <f t="shared" ref="BM37:BM68" ca="1" si="49">PRODUCT(AZ37:BK37)*BM36</f>
        <v>16.0181036022108</v>
      </c>
    </row>
    <row r="38" spans="2:65">
      <c r="B38" s="124" t="s">
        <v>70</v>
      </c>
      <c r="C38" s="125">
        <f ca="1">(OFFSET($AC$4,MATCH(100,S4:S784,1),0)/OFFSET($U$4,MATCH(100,S4:S784,1),0))*10000</f>
        <v>-7.0176075381356376E-5</v>
      </c>
      <c r="E38">
        <f t="shared" si="31"/>
        <v>35</v>
      </c>
      <c r="F38" s="64">
        <f t="shared" si="14"/>
        <v>57.72</v>
      </c>
      <c r="G38" s="55">
        <f t="shared" si="0"/>
        <v>0</v>
      </c>
      <c r="H38" s="78">
        <f t="shared" si="40"/>
        <v>1</v>
      </c>
      <c r="I38" s="79">
        <f t="shared" si="15"/>
        <v>484802.1193688573</v>
      </c>
      <c r="J38" s="79">
        <f t="shared" si="1"/>
        <v>3307.0744410791099</v>
      </c>
      <c r="K38" s="80">
        <f t="shared" si="2"/>
        <v>-15</v>
      </c>
      <c r="L38" s="80">
        <f t="shared" si="16"/>
        <v>-404.00176614071444</v>
      </c>
      <c r="M38" s="80">
        <f t="shared" si="42"/>
        <v>0</v>
      </c>
      <c r="N38" s="80">
        <f t="shared" si="18"/>
        <v>-460.56201340041451</v>
      </c>
      <c r="O38" s="81">
        <f t="shared" si="3"/>
        <v>-2083.3333333333335</v>
      </c>
      <c r="P38" s="79">
        <f t="shared" si="4"/>
        <v>485146.29669706197</v>
      </c>
      <c r="Q38" s="35"/>
      <c r="R38">
        <f t="shared" ca="1" si="19"/>
        <v>160</v>
      </c>
      <c r="S38" s="78">
        <f t="shared" ca="1" si="20"/>
        <v>67.72</v>
      </c>
      <c r="T38" s="55">
        <f t="shared" ca="1" si="5"/>
        <v>2.9921707961534372E-3</v>
      </c>
      <c r="U38" s="78">
        <f t="shared" ca="1" si="32"/>
        <v>0.91578333797292866</v>
      </c>
      <c r="V38" s="79">
        <f t="shared" ca="1" si="21"/>
        <v>433468.67216729088</v>
      </c>
      <c r="W38" s="79">
        <f t="shared" ca="1" si="6"/>
        <v>2956.9036715416496</v>
      </c>
      <c r="X38" s="80">
        <f t="shared" ca="1" si="33"/>
        <v>-13.73675006959393</v>
      </c>
      <c r="Y38" s="80">
        <f t="shared" ca="1" si="34"/>
        <v>-361.22389347274242</v>
      </c>
      <c r="Z38" s="80">
        <f t="shared" ca="1" si="23"/>
        <v>0</v>
      </c>
      <c r="AA38" s="80">
        <f t="shared" ca="1" si="35"/>
        <v>-411.79523855892643</v>
      </c>
      <c r="AB38" s="81">
        <f t="shared" ca="1" si="7"/>
        <v>-2290.017106059538</v>
      </c>
      <c r="AC38" s="79">
        <f t="shared" ca="1" si="8"/>
        <v>433348.80285067175</v>
      </c>
      <c r="AD38" s="35"/>
      <c r="AE38" s="62">
        <f t="shared" ca="1" si="9"/>
        <v>-2500.6101455486764</v>
      </c>
      <c r="AF38" s="62">
        <f t="shared" ca="1" si="10"/>
        <v>473200.13903057267</v>
      </c>
      <c r="AG38" s="35"/>
      <c r="AH38" s="35"/>
      <c r="AI38" s="35"/>
      <c r="AJ38" s="65">
        <v>52</v>
      </c>
      <c r="AK38" s="66">
        <f>'SA85-90'!F44*(1+$AH$22)</f>
        <v>8.2500000000000004E-3</v>
      </c>
      <c r="AL38" s="66">
        <f>'SA85-90 (light)'!F44*(1+$AH$22)</f>
        <v>7.8760000000000011E-3</v>
      </c>
      <c r="AM38" s="66">
        <f t="shared" si="46"/>
        <v>99</v>
      </c>
      <c r="AN38" s="66">
        <f t="shared" si="47"/>
        <v>0.45185800000000004</v>
      </c>
      <c r="AO38" s="67">
        <f t="shared" si="36"/>
        <v>1.4604213544727699E-3</v>
      </c>
      <c r="AP38" s="68">
        <f t="shared" ca="1" si="48"/>
        <v>9.1173174474361881E-5</v>
      </c>
      <c r="AR38" s="69">
        <f t="shared" si="27"/>
        <v>3</v>
      </c>
      <c r="AS38" s="70">
        <f t="shared" si="37"/>
        <v>35</v>
      </c>
      <c r="AT38" s="71">
        <f t="shared" si="38"/>
        <v>0.78696593696263539</v>
      </c>
      <c r="AU38" s="72">
        <f t="shared" si="11"/>
        <v>6.8214933659622723E-3</v>
      </c>
      <c r="AV38" s="73">
        <f t="shared" si="28"/>
        <v>1.0068214933659623</v>
      </c>
      <c r="AW38" s="74">
        <f>PRODUCT(AV$4:AV38)</f>
        <v>1.2686351388167374</v>
      </c>
      <c r="AY38" s="75">
        <f t="shared" si="39"/>
        <v>35</v>
      </c>
      <c r="AZ38" s="76">
        <f t="shared" ca="1" si="44"/>
        <v>1.0068214933659623</v>
      </c>
      <c r="BA38" s="76">
        <f t="shared" ca="1" si="44"/>
        <v>1.0068214933659623</v>
      </c>
      <c r="BB38" s="76">
        <f t="shared" ca="1" si="44"/>
        <v>1.0068214933659623</v>
      </c>
      <c r="BC38" s="76">
        <f t="shared" ca="1" si="44"/>
        <v>1.0068214933659623</v>
      </c>
      <c r="BD38" s="76">
        <f t="shared" ca="1" si="44"/>
        <v>1.0068214933659623</v>
      </c>
      <c r="BE38" s="76">
        <f t="shared" ca="1" si="44"/>
        <v>1.0068214933659623</v>
      </c>
      <c r="BF38" s="76">
        <f t="shared" ca="1" si="44"/>
        <v>1.0068214933659623</v>
      </c>
      <c r="BG38" s="76">
        <f t="shared" ca="1" si="44"/>
        <v>1.0068214933659623</v>
      </c>
      <c r="BH38" s="76">
        <f t="shared" ca="1" si="44"/>
        <v>1.0068214933659623</v>
      </c>
      <c r="BI38" s="76">
        <f t="shared" ca="1" si="44"/>
        <v>1.0068214933659623</v>
      </c>
      <c r="BJ38" s="76">
        <f t="shared" ca="1" si="44"/>
        <v>1.0068214933659623</v>
      </c>
      <c r="BK38" s="76">
        <f t="shared" ca="1" si="44"/>
        <v>1.0068214933659623</v>
      </c>
      <c r="BL38" s="76">
        <f t="shared" ca="1" si="45"/>
        <v>8.5000000000000853E-2</v>
      </c>
      <c r="BM38" s="77">
        <f t="shared" ca="1" si="49"/>
        <v>17.37964240839873</v>
      </c>
    </row>
    <row r="39" spans="2:65">
      <c r="B39" s="126" t="str">
        <f>"Life Annuity Payable (per annum) starting at "&amp;ROUND(C6,0)</f>
        <v>Life Annuity Payable (per annum) starting at 65</v>
      </c>
      <c r="C39" s="151">
        <v>30007.321746584123</v>
      </c>
      <c r="E39">
        <f t="shared" si="31"/>
        <v>36</v>
      </c>
      <c r="F39" s="64">
        <f t="shared" si="14"/>
        <v>57.8</v>
      </c>
      <c r="G39" s="55">
        <f t="shared" si="0"/>
        <v>0</v>
      </c>
      <c r="H39" s="78">
        <f t="shared" si="40"/>
        <v>1</v>
      </c>
      <c r="I39" s="79">
        <f t="shared" si="15"/>
        <v>485146.29669706197</v>
      </c>
      <c r="J39" s="79">
        <f t="shared" si="1"/>
        <v>3309.4222444401726</v>
      </c>
      <c r="K39" s="80">
        <f t="shared" si="2"/>
        <v>-15</v>
      </c>
      <c r="L39" s="80">
        <f t="shared" si="16"/>
        <v>-404.28858058088503</v>
      </c>
      <c r="M39" s="80">
        <f t="shared" si="42"/>
        <v>0</v>
      </c>
      <c r="N39" s="80">
        <f t="shared" si="18"/>
        <v>-460.88898186220899</v>
      </c>
      <c r="O39" s="81">
        <f t="shared" si="3"/>
        <v>-2083.3333333333335</v>
      </c>
      <c r="P39" s="79">
        <f t="shared" si="4"/>
        <v>485492.20804572571</v>
      </c>
      <c r="Q39" s="35"/>
      <c r="R39">
        <f t="shared" ca="1" si="19"/>
        <v>161</v>
      </c>
      <c r="S39" s="78">
        <f t="shared" ca="1" si="20"/>
        <v>67.8</v>
      </c>
      <c r="T39" s="55">
        <f t="shared" ca="1" si="5"/>
        <v>2.9921707961534372E-3</v>
      </c>
      <c r="U39" s="78">
        <f t="shared" ca="1" si="32"/>
        <v>0.91304315781344214</v>
      </c>
      <c r="V39" s="79">
        <f t="shared" ca="1" si="21"/>
        <v>432052.14921823394</v>
      </c>
      <c r="W39" s="79">
        <f t="shared" ca="1" si="6"/>
        <v>2947.2408696419247</v>
      </c>
      <c r="X39" s="80">
        <f t="shared" ca="1" si="33"/>
        <v>-13.695647367201632</v>
      </c>
      <c r="Y39" s="80">
        <f t="shared" ca="1" si="34"/>
        <v>-360.04345768186164</v>
      </c>
      <c r="Z39" s="80">
        <f t="shared" ca="1" si="23"/>
        <v>0</v>
      </c>
      <c r="AA39" s="80">
        <f t="shared" ca="1" si="35"/>
        <v>-410.44954175732232</v>
      </c>
      <c r="AB39" s="81">
        <f t="shared" ca="1" si="7"/>
        <v>-2283.1649837520949</v>
      </c>
      <c r="AC39" s="79">
        <f t="shared" ca="1" si="8"/>
        <v>431932.03645731742</v>
      </c>
      <c r="AD39" s="35"/>
      <c r="AE39" s="62">
        <f t="shared" ca="1" si="9"/>
        <v>-2500.6101455486769</v>
      </c>
      <c r="AF39" s="62">
        <f t="shared" ca="1" si="10"/>
        <v>473068.58691292233</v>
      </c>
      <c r="AG39" s="35"/>
      <c r="AH39" s="35"/>
      <c r="AI39" s="35"/>
      <c r="AJ39" s="65">
        <v>53</v>
      </c>
      <c r="AK39" s="66">
        <f>'SA85-90'!F45*(1+$AH$22)</f>
        <v>9.020000000000002E-3</v>
      </c>
      <c r="AL39" s="66">
        <f>'SA85-90 (light)'!F45*(1+$AH$22)</f>
        <v>8.6350000000000003E-3</v>
      </c>
      <c r="AM39" s="66">
        <f t="shared" si="46"/>
        <v>100</v>
      </c>
      <c r="AN39" s="66">
        <f t="shared" si="47"/>
        <v>0.48362600000000006</v>
      </c>
      <c r="AO39" s="67">
        <f t="shared" si="36"/>
        <v>7.5412361649452187E-4</v>
      </c>
      <c r="AP39" s="68">
        <f t="shared" ca="1" si="48"/>
        <v>4.3391204420298707E-5</v>
      </c>
      <c r="AR39" s="69">
        <f t="shared" si="27"/>
        <v>3</v>
      </c>
      <c r="AS39" s="70">
        <f t="shared" si="37"/>
        <v>36</v>
      </c>
      <c r="AT39" s="71">
        <f t="shared" si="38"/>
        <v>0.78159765404440651</v>
      </c>
      <c r="AU39" s="72">
        <f t="shared" si="11"/>
        <v>6.8214933659622723E-3</v>
      </c>
      <c r="AV39" s="73">
        <f t="shared" si="28"/>
        <v>1.0068214933659623</v>
      </c>
      <c r="AW39" s="74">
        <f>PRODUCT(AV$4:AV39)</f>
        <v>1.2772891250000025</v>
      </c>
      <c r="AX39" s="118"/>
      <c r="AY39" s="75">
        <f t="shared" si="39"/>
        <v>36</v>
      </c>
      <c r="AZ39" s="76">
        <f t="shared" ca="1" si="44"/>
        <v>1.0068214933659623</v>
      </c>
      <c r="BA39" s="76">
        <f t="shared" ca="1" si="44"/>
        <v>1.0068214933659623</v>
      </c>
      <c r="BB39" s="76">
        <f t="shared" ca="1" si="44"/>
        <v>1.0068214933659623</v>
      </c>
      <c r="BC39" s="76">
        <f t="shared" ca="1" si="44"/>
        <v>1.0068214933659623</v>
      </c>
      <c r="BD39" s="76">
        <f t="shared" ca="1" si="44"/>
        <v>1.0068214933659623</v>
      </c>
      <c r="BE39" s="76">
        <f t="shared" ca="1" si="44"/>
        <v>1.0068214933659623</v>
      </c>
      <c r="BF39" s="76">
        <f t="shared" ca="1" si="44"/>
        <v>1.0068214933659623</v>
      </c>
      <c r="BG39" s="76">
        <f t="shared" ca="1" si="44"/>
        <v>1.0068214933659623</v>
      </c>
      <c r="BH39" s="76">
        <f t="shared" ca="1" si="44"/>
        <v>1.0068214933659623</v>
      </c>
      <c r="BI39" s="76">
        <f t="shared" ca="1" si="44"/>
        <v>1.0068214933659623</v>
      </c>
      <c r="BJ39" s="76">
        <f t="shared" ca="1" si="44"/>
        <v>1.0068214933659623</v>
      </c>
      <c r="BK39" s="76">
        <f t="shared" ca="1" si="44"/>
        <v>1.0068214933659623</v>
      </c>
      <c r="BL39" s="76">
        <f t="shared" ca="1" si="45"/>
        <v>8.5000000000000853E-2</v>
      </c>
      <c r="BM39" s="77">
        <f t="shared" ca="1" si="49"/>
        <v>18.856912013112638</v>
      </c>
    </row>
    <row r="40" spans="2:65">
      <c r="B40" s="127"/>
      <c r="C40" s="128">
        <f>C10-C12</f>
        <v>-417.2768122153434</v>
      </c>
      <c r="E40">
        <f t="shared" si="31"/>
        <v>37</v>
      </c>
      <c r="F40" s="64">
        <f t="shared" si="14"/>
        <v>57.88</v>
      </c>
      <c r="G40" s="55">
        <f t="shared" si="0"/>
        <v>0</v>
      </c>
      <c r="H40" s="78">
        <f t="shared" si="40"/>
        <v>1</v>
      </c>
      <c r="I40" s="79">
        <f t="shared" si="15"/>
        <v>485492.20804572571</v>
      </c>
      <c r="J40" s="79">
        <f t="shared" si="1"/>
        <v>3311.7818764102931</v>
      </c>
      <c r="K40" s="80">
        <f t="shared" si="2"/>
        <v>-15</v>
      </c>
      <c r="L40" s="80">
        <f t="shared" si="16"/>
        <v>-404.57684003810476</v>
      </c>
      <c r="M40" s="80">
        <f t="shared" si="42"/>
        <v>-3641.1915603429429</v>
      </c>
      <c r="N40" s="80">
        <f t="shared" si="18"/>
        <v>-461.21759764343955</v>
      </c>
      <c r="O40" s="81">
        <f t="shared" si="3"/>
        <v>-2083.3333333333335</v>
      </c>
      <c r="P40" s="79">
        <f t="shared" si="4"/>
        <v>482198.67059077817</v>
      </c>
      <c r="Q40" s="35"/>
      <c r="R40">
        <f t="shared" ca="1" si="19"/>
        <v>162</v>
      </c>
      <c r="S40" s="78">
        <f t="shared" ca="1" si="20"/>
        <v>67.88</v>
      </c>
      <c r="T40" s="55">
        <f t="shared" ca="1" si="5"/>
        <v>2.9921707961534372E-3</v>
      </c>
      <c r="U40" s="78">
        <f t="shared" ca="1" si="32"/>
        <v>0.91031117674100503</v>
      </c>
      <c r="V40" s="79">
        <f t="shared" ca="1" si="21"/>
        <v>430639.62203190674</v>
      </c>
      <c r="W40" s="79">
        <f t="shared" ca="1" si="6"/>
        <v>2937.6053248111521</v>
      </c>
      <c r="X40" s="80">
        <f t="shared" ca="1" si="33"/>
        <v>-13.654667651115076</v>
      </c>
      <c r="Y40" s="80">
        <f t="shared" ca="1" si="34"/>
        <v>-358.86635169325564</v>
      </c>
      <c r="Z40" s="80">
        <f t="shared" ca="1" si="23"/>
        <v>0</v>
      </c>
      <c r="AA40" s="80">
        <f t="shared" ca="1" si="35"/>
        <v>-409.10764093031145</v>
      </c>
      <c r="AB40" s="81">
        <f t="shared" ca="1" si="7"/>
        <v>-2276.3333641649119</v>
      </c>
      <c r="AC40" s="79">
        <f t="shared" ca="1" si="8"/>
        <v>430519.26533227827</v>
      </c>
      <c r="AD40" s="35"/>
      <c r="AE40" s="62">
        <f t="shared" ca="1" si="9"/>
        <v>-2500.6101455486769</v>
      </c>
      <c r="AF40" s="62">
        <f t="shared" ca="1" si="10"/>
        <v>472936.37201465055</v>
      </c>
      <c r="AG40" s="35"/>
      <c r="AH40" s="35"/>
      <c r="AI40" s="35"/>
      <c r="AJ40" s="65">
        <v>54</v>
      </c>
      <c r="AK40" s="66">
        <f>'SA85-90'!F46*(1+$AH$22)</f>
        <v>9.8560000000000002E-3</v>
      </c>
      <c r="AL40" s="66">
        <f>'SA85-90 (light)'!F46*(1+$AH$22)</f>
        <v>9.4710000000000003E-3</v>
      </c>
      <c r="AM40" s="66">
        <f t="shared" si="46"/>
        <v>101</v>
      </c>
      <c r="AN40" s="66">
        <f t="shared" si="47"/>
        <v>0.51662600000000003</v>
      </c>
      <c r="AO40" s="67">
        <f t="shared" si="36"/>
        <v>3.6452374899942298E-4</v>
      </c>
      <c r="AP40" s="68">
        <f t="shared" ca="1" si="48"/>
        <v>1.9331041516550643E-5</v>
      </c>
      <c r="AR40" s="69">
        <f t="shared" si="27"/>
        <v>4</v>
      </c>
      <c r="AS40" s="70">
        <f t="shared" si="37"/>
        <v>37</v>
      </c>
      <c r="AT40" s="71">
        <f t="shared" si="38"/>
        <v>0.77626599083249093</v>
      </c>
      <c r="AU40" s="72">
        <f t="shared" si="11"/>
        <v>6.8214933659622723E-3</v>
      </c>
      <c r="AV40" s="73">
        <f t="shared" si="28"/>
        <v>1.0068214933659623</v>
      </c>
      <c r="AW40" s="74">
        <f>PRODUCT(AV$4:AV40)</f>
        <v>1.2860021442926057</v>
      </c>
      <c r="AY40" s="75">
        <f t="shared" si="39"/>
        <v>37</v>
      </c>
      <c r="AZ40" s="76">
        <f t="shared" ca="1" si="44"/>
        <v>1.0068214933659623</v>
      </c>
      <c r="BA40" s="76">
        <f t="shared" ca="1" si="44"/>
        <v>1.0068214933659623</v>
      </c>
      <c r="BB40" s="76">
        <f t="shared" ca="1" si="44"/>
        <v>1.0068214933659623</v>
      </c>
      <c r="BC40" s="76">
        <f t="shared" ca="1" si="44"/>
        <v>1.0068214933659623</v>
      </c>
      <c r="BD40" s="76">
        <f t="shared" ca="1" si="44"/>
        <v>1.0068214933659623</v>
      </c>
      <c r="BE40" s="76">
        <f t="shared" ca="1" si="44"/>
        <v>1.0068214933659623</v>
      </c>
      <c r="BF40" s="76">
        <f t="shared" ca="1" si="44"/>
        <v>1.0068214933659623</v>
      </c>
      <c r="BG40" s="76">
        <f t="shared" ca="1" si="44"/>
        <v>1.0068214933659623</v>
      </c>
      <c r="BH40" s="76">
        <f t="shared" ca="1" si="44"/>
        <v>1.0068214933659623</v>
      </c>
      <c r="BI40" s="76">
        <f t="shared" ca="1" si="44"/>
        <v>1.0068214933659623</v>
      </c>
      <c r="BJ40" s="76">
        <f t="shared" ca="1" si="44"/>
        <v>1.0068214933659623</v>
      </c>
      <c r="BK40" s="76">
        <f t="shared" ca="1" si="44"/>
        <v>1.0068214933659623</v>
      </c>
      <c r="BL40" s="76">
        <f t="shared" ca="1" si="45"/>
        <v>8.5000000000000853E-2</v>
      </c>
      <c r="BM40" s="77">
        <f t="shared" ca="1" si="49"/>
        <v>20.459749534227228</v>
      </c>
    </row>
    <row r="41" spans="2:65">
      <c r="E41">
        <f t="shared" si="31"/>
        <v>38</v>
      </c>
      <c r="F41" s="64">
        <f t="shared" si="14"/>
        <v>57.96</v>
      </c>
      <c r="G41" s="55">
        <f t="shared" si="0"/>
        <v>0</v>
      </c>
      <c r="H41" s="78">
        <f t="shared" si="40"/>
        <v>1</v>
      </c>
      <c r="I41" s="79">
        <f t="shared" si="15"/>
        <v>482198.67059077817</v>
      </c>
      <c r="J41" s="79">
        <f t="shared" si="1"/>
        <v>3289.3150325108204</v>
      </c>
      <c r="K41" s="80">
        <f t="shared" si="2"/>
        <v>-15</v>
      </c>
      <c r="L41" s="80">
        <f t="shared" si="16"/>
        <v>-401.83222549231516</v>
      </c>
      <c r="M41" s="80">
        <f t="shared" si="42"/>
        <v>0</v>
      </c>
      <c r="N41" s="80">
        <f t="shared" si="18"/>
        <v>-458.08873706123933</v>
      </c>
      <c r="O41" s="81">
        <f t="shared" si="3"/>
        <v>-2083.3333333333335</v>
      </c>
      <c r="P41" s="79">
        <f t="shared" si="4"/>
        <v>482529.73132740211</v>
      </c>
      <c r="Q41" s="35"/>
      <c r="R41">
        <f t="shared" ca="1" si="19"/>
        <v>163</v>
      </c>
      <c r="S41" s="78">
        <f t="shared" ca="1" si="20"/>
        <v>67.959999999999994</v>
      </c>
      <c r="T41" s="55">
        <f t="shared" ca="1" si="5"/>
        <v>2.9921707961534372E-3</v>
      </c>
      <c r="U41" s="78">
        <f t="shared" ca="1" si="32"/>
        <v>0.90758737022254854</v>
      </c>
      <c r="V41" s="79">
        <f t="shared" ca="1" si="21"/>
        <v>429231.07815936959</v>
      </c>
      <c r="W41" s="79">
        <f t="shared" ca="1" si="6"/>
        <v>2927.9969521289731</v>
      </c>
      <c r="X41" s="80">
        <f t="shared" ca="1" si="33"/>
        <v>-13.613810553338228</v>
      </c>
      <c r="Y41" s="80">
        <f t="shared" ca="1" si="34"/>
        <v>-357.692565132808</v>
      </c>
      <c r="Z41" s="80">
        <f t="shared" ca="1" si="23"/>
        <v>0</v>
      </c>
      <c r="AA41" s="80">
        <f t="shared" ca="1" si="35"/>
        <v>-407.76952425140121</v>
      </c>
      <c r="AB41" s="81">
        <f t="shared" ca="1" si="7"/>
        <v>-2269.5221859503481</v>
      </c>
      <c r="AC41" s="79">
        <f t="shared" ca="1" si="8"/>
        <v>429110.47702561063</v>
      </c>
      <c r="AD41" s="35"/>
      <c r="AE41" s="62">
        <f t="shared" ca="1" si="9"/>
        <v>-2500.6101455486769</v>
      </c>
      <c r="AF41" s="62">
        <f t="shared" ca="1" si="10"/>
        <v>472803.49099656258</v>
      </c>
      <c r="AG41" s="35"/>
      <c r="AH41" s="35"/>
      <c r="AI41" s="35"/>
      <c r="AJ41" s="65">
        <v>55</v>
      </c>
      <c r="AK41" s="66">
        <f>'SA85-90'!F47*(1+$AH$22)</f>
        <v>1.0769000000000001E-2</v>
      </c>
      <c r="AL41" s="66">
        <f>'SA85-90 (light)'!F47*(1+$AH$22)</f>
        <v>1.0373E-2</v>
      </c>
      <c r="AM41" s="66">
        <f t="shared" si="46"/>
        <v>102</v>
      </c>
      <c r="AN41" s="66">
        <f t="shared" si="47"/>
        <v>0.55073700000000003</v>
      </c>
      <c r="AO41" s="67">
        <f t="shared" si="36"/>
        <v>1.6376703304672775E-4</v>
      </c>
      <c r="AP41" s="68">
        <f t="shared" ca="1" si="48"/>
        <v>8.0043518017051464E-6</v>
      </c>
      <c r="AR41" s="69">
        <f t="shared" si="27"/>
        <v>4</v>
      </c>
      <c r="AS41" s="70">
        <f t="shared" si="37"/>
        <v>38</v>
      </c>
      <c r="AT41" s="71">
        <f t="shared" si="38"/>
        <v>0.77097069752580494</v>
      </c>
      <c r="AU41" s="72">
        <f t="shared" si="11"/>
        <v>6.8214933659622723E-3</v>
      </c>
      <c r="AV41" s="73">
        <f t="shared" si="28"/>
        <v>1.0068214933659623</v>
      </c>
      <c r="AW41" s="74">
        <f>PRODUCT(AV$4:AV41)</f>
        <v>1.2947745993885109</v>
      </c>
      <c r="AY41" s="75">
        <f t="shared" si="39"/>
        <v>38</v>
      </c>
      <c r="AZ41" s="76">
        <f t="shared" ca="1" si="44"/>
        <v>1.0068214933659623</v>
      </c>
      <c r="BA41" s="76">
        <f t="shared" ca="1" si="44"/>
        <v>1.0068214933659623</v>
      </c>
      <c r="BB41" s="76">
        <f t="shared" ca="1" si="44"/>
        <v>1.0068214933659623</v>
      </c>
      <c r="BC41" s="76">
        <f t="shared" ca="1" si="44"/>
        <v>1.0068214933659623</v>
      </c>
      <c r="BD41" s="76">
        <f t="shared" ca="1" si="44"/>
        <v>1.0068214933659623</v>
      </c>
      <c r="BE41" s="76">
        <f t="shared" ca="1" si="44"/>
        <v>1.0068214933659623</v>
      </c>
      <c r="BF41" s="76">
        <f t="shared" ca="1" si="44"/>
        <v>1.0068214933659623</v>
      </c>
      <c r="BG41" s="76">
        <f t="shared" ca="1" si="44"/>
        <v>1.0068214933659623</v>
      </c>
      <c r="BH41" s="76">
        <f t="shared" ca="1" si="44"/>
        <v>1.0068214933659623</v>
      </c>
      <c r="BI41" s="76">
        <f t="shared" ca="1" si="44"/>
        <v>1.0068214933659623</v>
      </c>
      <c r="BJ41" s="76">
        <f t="shared" ca="1" si="44"/>
        <v>1.0068214933659623</v>
      </c>
      <c r="BK41" s="76">
        <f t="shared" ca="1" si="44"/>
        <v>1.0068214933659623</v>
      </c>
      <c r="BL41" s="76">
        <f t="shared" ca="1" si="45"/>
        <v>8.5000000000000853E-2</v>
      </c>
      <c r="BM41" s="77">
        <f t="shared" ca="1" si="49"/>
        <v>22.198828244636559</v>
      </c>
    </row>
    <row r="42" spans="2:65">
      <c r="E42">
        <f t="shared" si="31"/>
        <v>39</v>
      </c>
      <c r="F42" s="64">
        <f t="shared" si="14"/>
        <v>58.04</v>
      </c>
      <c r="G42" s="55">
        <f t="shared" si="0"/>
        <v>0</v>
      </c>
      <c r="H42" s="78">
        <f t="shared" si="40"/>
        <v>1</v>
      </c>
      <c r="I42" s="79">
        <f t="shared" si="15"/>
        <v>482529.73132740211</v>
      </c>
      <c r="J42" s="79">
        <f t="shared" si="1"/>
        <v>3291.5733611294313</v>
      </c>
      <c r="K42" s="80">
        <f t="shared" si="2"/>
        <v>-15</v>
      </c>
      <c r="L42" s="80">
        <f t="shared" si="16"/>
        <v>-402.10810943950179</v>
      </c>
      <c r="M42" s="80">
        <f t="shared" si="42"/>
        <v>0</v>
      </c>
      <c r="N42" s="80">
        <f t="shared" si="18"/>
        <v>-458.40324476103211</v>
      </c>
      <c r="O42" s="81">
        <f t="shared" si="3"/>
        <v>-2083.3333333333335</v>
      </c>
      <c r="P42" s="79">
        <f t="shared" si="4"/>
        <v>482862.4600009977</v>
      </c>
      <c r="Q42" s="35"/>
      <c r="R42">
        <f t="shared" ca="1" si="19"/>
        <v>164</v>
      </c>
      <c r="S42" s="78">
        <f t="shared" ca="1" si="20"/>
        <v>68.040000000000006</v>
      </c>
      <c r="T42" s="55">
        <f t="shared" ca="1" si="5"/>
        <v>2.9921707961534372E-3</v>
      </c>
      <c r="U42" s="78">
        <f t="shared" ca="1" si="32"/>
        <v>0.90487171379841091</v>
      </c>
      <c r="V42" s="79">
        <f t="shared" ca="1" si="21"/>
        <v>427826.50518793112</v>
      </c>
      <c r="W42" s="79">
        <f t="shared" ca="1" si="6"/>
        <v>2918.4156669222957</v>
      </c>
      <c r="X42" s="80">
        <f t="shared" ca="1" si="33"/>
        <v>-13.573075706976164</v>
      </c>
      <c r="Y42" s="80">
        <f t="shared" ca="1" si="34"/>
        <v>-356.5220876566093</v>
      </c>
      <c r="Z42" s="80">
        <f t="shared" ca="1" si="23"/>
        <v>0</v>
      </c>
      <c r="AA42" s="80">
        <f t="shared" ca="1" si="35"/>
        <v>-406.43517992853464</v>
      </c>
      <c r="AB42" s="81">
        <f t="shared" ca="1" si="7"/>
        <v>-2262.731387944325</v>
      </c>
      <c r="AC42" s="79">
        <f t="shared" ca="1" si="8"/>
        <v>427705.65912361699</v>
      </c>
      <c r="AD42" s="35"/>
      <c r="AE42" s="62">
        <f t="shared" ca="1" si="9"/>
        <v>-2500.6101455486769</v>
      </c>
      <c r="AF42" s="62">
        <f t="shared" ca="1" si="10"/>
        <v>472669.94050264021</v>
      </c>
      <c r="AG42" s="35"/>
      <c r="AH42" s="35"/>
      <c r="AI42" s="35"/>
      <c r="AJ42" s="65">
        <v>56</v>
      </c>
      <c r="AK42" s="66">
        <f>'SA85-90'!F48*(1+$AH$22)</f>
        <v>1.1770000000000001E-2</v>
      </c>
      <c r="AL42" s="66">
        <f>'SA85-90 (light)'!F48*(1+$AH$22)</f>
        <v>1.1374E-2</v>
      </c>
      <c r="AM42" s="66">
        <f t="shared" si="46"/>
        <v>103</v>
      </c>
      <c r="AN42" s="66">
        <f t="shared" si="47"/>
        <v>0.58580500000000002</v>
      </c>
      <c r="AO42" s="67">
        <f t="shared" si="36"/>
        <v>6.7831486252789398E-5</v>
      </c>
      <c r="AP42" s="68">
        <f t="shared" ca="1" si="48"/>
        <v>3.0556336354905627E-6</v>
      </c>
      <c r="AR42" s="69">
        <f t="shared" si="27"/>
        <v>4</v>
      </c>
      <c r="AS42" s="70">
        <f t="shared" si="37"/>
        <v>39</v>
      </c>
      <c r="AT42" s="71">
        <f t="shared" si="38"/>
        <v>0.76571152602728132</v>
      </c>
      <c r="AU42" s="72">
        <f t="shared" si="11"/>
        <v>6.8214933659622723E-3</v>
      </c>
      <c r="AV42" s="73">
        <f t="shared" si="28"/>
        <v>1.0068214933659623</v>
      </c>
      <c r="AW42" s="74">
        <f>PRODUCT(AV$4:AV42)</f>
        <v>1.3036068957286562</v>
      </c>
      <c r="AY42" s="75">
        <f t="shared" si="39"/>
        <v>39</v>
      </c>
      <c r="AZ42" s="76">
        <f t="shared" ca="1" si="44"/>
        <v>1.0068214933659623</v>
      </c>
      <c r="BA42" s="76">
        <f t="shared" ca="1" si="44"/>
        <v>1.0068214933659623</v>
      </c>
      <c r="BB42" s="76">
        <f t="shared" ca="1" si="44"/>
        <v>1.0068214933659623</v>
      </c>
      <c r="BC42" s="76">
        <f t="shared" ca="1" si="44"/>
        <v>1.0068214933659623</v>
      </c>
      <c r="BD42" s="76">
        <f t="shared" ca="1" si="44"/>
        <v>1.0068214933659623</v>
      </c>
      <c r="BE42" s="76">
        <f t="shared" ca="1" si="44"/>
        <v>1.0068214933659623</v>
      </c>
      <c r="BF42" s="76">
        <f t="shared" ca="1" si="44"/>
        <v>1.0068214933659623</v>
      </c>
      <c r="BG42" s="76">
        <f t="shared" ca="1" si="44"/>
        <v>1.0068214933659623</v>
      </c>
      <c r="BH42" s="76">
        <f t="shared" ca="1" si="44"/>
        <v>1.0068214933659623</v>
      </c>
      <c r="BI42" s="76">
        <f t="shared" ca="1" si="44"/>
        <v>1.0068214933659623</v>
      </c>
      <c r="BJ42" s="76">
        <f t="shared" ca="1" si="44"/>
        <v>1.0068214933659623</v>
      </c>
      <c r="BK42" s="76">
        <f t="shared" ca="1" si="44"/>
        <v>1.0068214933659623</v>
      </c>
      <c r="BL42" s="76">
        <f t="shared" ca="1" si="45"/>
        <v>8.5000000000000853E-2</v>
      </c>
      <c r="BM42" s="77">
        <f t="shared" ca="1" si="49"/>
        <v>24.085728645430684</v>
      </c>
    </row>
    <row r="43" spans="2:65">
      <c r="E43">
        <f t="shared" si="31"/>
        <v>40</v>
      </c>
      <c r="F43" s="64">
        <f t="shared" si="14"/>
        <v>58.12</v>
      </c>
      <c r="G43" s="55">
        <f t="shared" si="0"/>
        <v>0</v>
      </c>
      <c r="H43" s="78">
        <f t="shared" si="40"/>
        <v>1</v>
      </c>
      <c r="I43" s="79">
        <f t="shared" si="15"/>
        <v>482862.4600009977</v>
      </c>
      <c r="J43" s="79">
        <f t="shared" si="1"/>
        <v>3293.8430675690288</v>
      </c>
      <c r="K43" s="80">
        <f t="shared" si="2"/>
        <v>-15</v>
      </c>
      <c r="L43" s="80">
        <f t="shared" si="16"/>
        <v>-402.38538333416477</v>
      </c>
      <c r="M43" s="80">
        <f t="shared" si="42"/>
        <v>0</v>
      </c>
      <c r="N43" s="80">
        <f t="shared" si="18"/>
        <v>-458.71933700094792</v>
      </c>
      <c r="O43" s="81">
        <f t="shared" si="3"/>
        <v>-2083.3333333333335</v>
      </c>
      <c r="P43" s="79">
        <f t="shared" si="4"/>
        <v>483196.8650148983</v>
      </c>
      <c r="Q43" s="35"/>
      <c r="R43">
        <f t="shared" ca="1" si="19"/>
        <v>165</v>
      </c>
      <c r="S43" s="78">
        <f t="shared" ca="1" si="20"/>
        <v>68.12</v>
      </c>
      <c r="T43" s="55">
        <f t="shared" ca="1" si="5"/>
        <v>2.9921707961534372E-3</v>
      </c>
      <c r="U43" s="78">
        <f t="shared" ca="1" si="32"/>
        <v>0.90216418308211799</v>
      </c>
      <c r="V43" s="79">
        <f t="shared" ca="1" si="21"/>
        <v>426425.89074103773</v>
      </c>
      <c r="W43" s="79">
        <f t="shared" ca="1" si="6"/>
        <v>2908.8613847645415</v>
      </c>
      <c r="X43" s="80">
        <f t="shared" ca="1" si="33"/>
        <v>-13.53246274623177</v>
      </c>
      <c r="Y43" s="80">
        <f t="shared" ca="1" si="34"/>
        <v>-355.3549089508648</v>
      </c>
      <c r="Z43" s="80">
        <f t="shared" ca="1" si="23"/>
        <v>0</v>
      </c>
      <c r="AA43" s="80">
        <f t="shared" ca="1" si="35"/>
        <v>-405.10459620398592</v>
      </c>
      <c r="AB43" s="81">
        <f t="shared" ca="1" si="7"/>
        <v>-2255.960909165778</v>
      </c>
      <c r="AC43" s="79">
        <f t="shared" ca="1" si="8"/>
        <v>426304.79924873536</v>
      </c>
      <c r="AD43" s="35"/>
      <c r="AE43" s="62">
        <f t="shared" ca="1" si="9"/>
        <v>-2500.6101455486769</v>
      </c>
      <c r="AF43" s="62">
        <f t="shared" ca="1" si="10"/>
        <v>472535.71715995698</v>
      </c>
      <c r="AG43" s="35"/>
      <c r="AH43" s="35"/>
      <c r="AI43" s="35"/>
      <c r="AJ43" s="65">
        <v>57</v>
      </c>
      <c r="AK43" s="66">
        <f>'SA85-90'!F49*(1+$AH$22)</f>
        <v>1.2870000000000001E-2</v>
      </c>
      <c r="AL43" s="66">
        <f>'SA85-90 (light)'!F49*(1+$AH$22)</f>
        <v>1.2485000000000001E-2</v>
      </c>
      <c r="AM43" s="66">
        <f t="shared" si="46"/>
        <v>104</v>
      </c>
      <c r="AN43" s="66">
        <f t="shared" si="47"/>
        <v>0.62164300000000006</v>
      </c>
      <c r="AO43" s="67">
        <f t="shared" si="36"/>
        <v>2.5664517644146633E-5</v>
      </c>
      <c r="AP43" s="68">
        <f t="shared" ca="1" si="48"/>
        <v>1.065548733109034E-6</v>
      </c>
      <c r="AR43" s="69">
        <f t="shared" si="27"/>
        <v>4</v>
      </c>
      <c r="AS43" s="70">
        <f t="shared" si="37"/>
        <v>40</v>
      </c>
      <c r="AT43" s="71">
        <f t="shared" si="38"/>
        <v>0.76048822993224541</v>
      </c>
      <c r="AU43" s="72">
        <f t="shared" si="11"/>
        <v>6.8214933659622723E-3</v>
      </c>
      <c r="AV43" s="73">
        <f t="shared" si="28"/>
        <v>1.0068214933659623</v>
      </c>
      <c r="AW43" s="74">
        <f>PRODUCT(AV$4:AV43)</f>
        <v>1.3124994415196918</v>
      </c>
      <c r="AY43" s="75">
        <f t="shared" si="39"/>
        <v>40</v>
      </c>
      <c r="AZ43" s="76">
        <f t="shared" ca="1" si="44"/>
        <v>1.0068214933659623</v>
      </c>
      <c r="BA43" s="76">
        <f t="shared" ca="1" si="44"/>
        <v>1.0068214933659623</v>
      </c>
      <c r="BB43" s="76">
        <f t="shared" ca="1" si="44"/>
        <v>1.0068214933659623</v>
      </c>
      <c r="BC43" s="76">
        <f t="shared" ca="1" si="44"/>
        <v>1.0068214933659623</v>
      </c>
      <c r="BD43" s="76">
        <f t="shared" ca="1" si="44"/>
        <v>1.0068214933659623</v>
      </c>
      <c r="BE43" s="76">
        <f t="shared" ca="1" si="44"/>
        <v>1.0068214933659623</v>
      </c>
      <c r="BF43" s="76">
        <f t="shared" ca="1" si="44"/>
        <v>1.0068214933659623</v>
      </c>
      <c r="BG43" s="76">
        <f t="shared" ca="1" si="44"/>
        <v>1.0068214933659623</v>
      </c>
      <c r="BH43" s="76">
        <f t="shared" ca="1" si="44"/>
        <v>1.0068214933659623</v>
      </c>
      <c r="BI43" s="76">
        <f t="shared" ca="1" si="44"/>
        <v>1.0068214933659623</v>
      </c>
      <c r="BJ43" s="76">
        <f t="shared" ca="1" si="44"/>
        <v>1.0068214933659623</v>
      </c>
      <c r="BK43" s="76">
        <f t="shared" ca="1" si="44"/>
        <v>1.0068214933659623</v>
      </c>
      <c r="BL43" s="76">
        <f t="shared" ca="1" si="45"/>
        <v>8.5000000000000853E-2</v>
      </c>
      <c r="BM43" s="77">
        <f t="shared" ca="1" si="49"/>
        <v>26.133015580292312</v>
      </c>
    </row>
    <row r="44" spans="2:65">
      <c r="E44">
        <f t="shared" si="31"/>
        <v>41</v>
      </c>
      <c r="F44" s="64">
        <f t="shared" si="14"/>
        <v>58.2</v>
      </c>
      <c r="G44" s="55">
        <f t="shared" si="0"/>
        <v>0</v>
      </c>
      <c r="H44" s="78">
        <f t="shared" si="40"/>
        <v>1</v>
      </c>
      <c r="I44" s="79">
        <f t="shared" si="15"/>
        <v>483196.8650148983</v>
      </c>
      <c r="J44" s="79">
        <f t="shared" si="1"/>
        <v>3296.1242091528961</v>
      </c>
      <c r="K44" s="80">
        <f t="shared" si="2"/>
        <v>-15</v>
      </c>
      <c r="L44" s="80">
        <f t="shared" si="16"/>
        <v>-402.66405417908192</v>
      </c>
      <c r="M44" s="80">
        <f t="shared" si="42"/>
        <v>0</v>
      </c>
      <c r="N44" s="80">
        <f t="shared" si="18"/>
        <v>-459.03702176415345</v>
      </c>
      <c r="O44" s="81">
        <f t="shared" si="3"/>
        <v>-2083.3333333333335</v>
      </c>
      <c r="P44" s="79">
        <f t="shared" si="4"/>
        <v>483532.95481477462</v>
      </c>
      <c r="Q44" s="35"/>
      <c r="R44">
        <f t="shared" ca="1" si="19"/>
        <v>166</v>
      </c>
      <c r="S44" s="78">
        <f t="shared" ca="1" si="20"/>
        <v>68.2</v>
      </c>
      <c r="T44" s="55">
        <f t="shared" ca="1" si="5"/>
        <v>2.9921707961534372E-3</v>
      </c>
      <c r="U44" s="78">
        <f t="shared" ca="1" si="32"/>
        <v>0.8994647537601641</v>
      </c>
      <c r="V44" s="79">
        <f t="shared" ca="1" si="21"/>
        <v>425029.22247816325</v>
      </c>
      <c r="W44" s="79">
        <f t="shared" ca="1" si="6"/>
        <v>2899.3340214748932</v>
      </c>
      <c r="X44" s="80">
        <f t="shared" ca="1" si="33"/>
        <v>-13.491971306402462</v>
      </c>
      <c r="Y44" s="80">
        <f t="shared" ca="1" si="34"/>
        <v>-354.19101873180273</v>
      </c>
      <c r="Z44" s="80">
        <f t="shared" ca="1" si="23"/>
        <v>0</v>
      </c>
      <c r="AA44" s="80">
        <f t="shared" ca="1" si="35"/>
        <v>-403.77776135425512</v>
      </c>
      <c r="AB44" s="81">
        <f t="shared" ca="1" si="7"/>
        <v>-2249.2106888161088</v>
      </c>
      <c r="AC44" s="79">
        <f t="shared" ca="1" si="8"/>
        <v>424907.88505942962</v>
      </c>
      <c r="AD44" s="35"/>
      <c r="AE44" s="62">
        <f t="shared" ca="1" si="9"/>
        <v>-2500.6101455486769</v>
      </c>
      <c r="AF44" s="62">
        <f t="shared" ca="1" si="10"/>
        <v>472400.81757859333</v>
      </c>
      <c r="AG44" s="35"/>
      <c r="AH44" s="35"/>
      <c r="AI44" s="35"/>
      <c r="AJ44" s="65">
        <v>58</v>
      </c>
      <c r="AK44" s="66">
        <f>'SA85-90'!F50*(1+$AH$22)</f>
        <v>1.4080000000000002E-2</v>
      </c>
      <c r="AL44" s="66">
        <f>'SA85-90 (light)'!F50*(1+$AH$22)</f>
        <v>1.3706000000000001E-2</v>
      </c>
      <c r="AM44" s="66">
        <f t="shared" si="46"/>
        <v>105</v>
      </c>
      <c r="AN44" s="66">
        <f t="shared" si="47"/>
        <v>0</v>
      </c>
      <c r="AO44" s="67">
        <f t="shared" si="36"/>
        <v>2.5664517644146633E-5</v>
      </c>
      <c r="AP44" s="68">
        <f t="shared" ca="1" si="48"/>
        <v>9.8207256507744993E-7</v>
      </c>
      <c r="AR44" s="69">
        <f t="shared" si="27"/>
        <v>4</v>
      </c>
      <c r="AS44" s="70">
        <f t="shared" si="37"/>
        <v>41</v>
      </c>
      <c r="AT44" s="71">
        <f t="shared" si="38"/>
        <v>0.75530056451687022</v>
      </c>
      <c r="AU44" s="72">
        <f t="shared" si="11"/>
        <v>6.8214933659622723E-3</v>
      </c>
      <c r="AV44" s="73">
        <f t="shared" si="28"/>
        <v>1.0068214933659623</v>
      </c>
      <c r="AW44" s="74">
        <f>PRODUCT(AV$4:AV44)</f>
        <v>1.3214526477528477</v>
      </c>
      <c r="AY44" s="75">
        <f t="shared" si="39"/>
        <v>41</v>
      </c>
      <c r="AZ44" s="76">
        <f t="shared" ca="1" si="44"/>
        <v>1.0068214933659623</v>
      </c>
      <c r="BA44" s="76">
        <f t="shared" ca="1" si="44"/>
        <v>1.0068214933659623</v>
      </c>
      <c r="BB44" s="76">
        <f t="shared" ca="1" si="44"/>
        <v>1.0068214933659623</v>
      </c>
      <c r="BC44" s="76">
        <f t="shared" ca="1" si="44"/>
        <v>1.0068214933659623</v>
      </c>
      <c r="BD44" s="76">
        <f t="shared" ca="1" si="44"/>
        <v>1.0068214933659623</v>
      </c>
      <c r="BE44" s="76">
        <f t="shared" ca="1" si="44"/>
        <v>1.0068214933659623</v>
      </c>
      <c r="BF44" s="76">
        <f t="shared" ca="1" si="44"/>
        <v>1.0068214933659623</v>
      </c>
      <c r="BG44" s="76">
        <f t="shared" ca="1" si="44"/>
        <v>1.0068214933659623</v>
      </c>
      <c r="BH44" s="76">
        <f t="shared" ca="1" si="44"/>
        <v>1.0068214933659623</v>
      </c>
      <c r="BI44" s="76">
        <f t="shared" ca="1" si="44"/>
        <v>1.0068214933659623</v>
      </c>
      <c r="BJ44" s="76">
        <f t="shared" ca="1" si="44"/>
        <v>1.0068214933659623</v>
      </c>
      <c r="BK44" s="76">
        <f t="shared" ca="1" si="44"/>
        <v>1.0068214933659623</v>
      </c>
      <c r="BL44" s="76">
        <f t="shared" ca="1" si="45"/>
        <v>8.5000000000000853E-2</v>
      </c>
      <c r="BM44" s="77">
        <f t="shared" ca="1" si="49"/>
        <v>28.35432190461718</v>
      </c>
    </row>
    <row r="45" spans="2:65">
      <c r="E45">
        <f t="shared" si="31"/>
        <v>42</v>
      </c>
      <c r="F45" s="64">
        <f t="shared" si="14"/>
        <v>58.28</v>
      </c>
      <c r="G45" s="55">
        <f t="shared" si="0"/>
        <v>0</v>
      </c>
      <c r="H45" s="78">
        <f t="shared" si="40"/>
        <v>1</v>
      </c>
      <c r="I45" s="79">
        <f t="shared" si="15"/>
        <v>483532.95481477462</v>
      </c>
      <c r="J45" s="79">
        <f t="shared" si="1"/>
        <v>3298.4168434931203</v>
      </c>
      <c r="K45" s="80">
        <f t="shared" si="2"/>
        <v>-15</v>
      </c>
      <c r="L45" s="80">
        <f t="shared" si="16"/>
        <v>-402.9441290123122</v>
      </c>
      <c r="M45" s="80">
        <f t="shared" si="42"/>
        <v>0</v>
      </c>
      <c r="N45" s="80">
        <f t="shared" si="18"/>
        <v>-459.35630707403601</v>
      </c>
      <c r="O45" s="81">
        <f t="shared" si="3"/>
        <v>-2083.3333333333335</v>
      </c>
      <c r="P45" s="79">
        <f t="shared" si="4"/>
        <v>483870.73788884812</v>
      </c>
      <c r="Q45" s="35"/>
      <c r="R45">
        <f t="shared" ca="1" si="19"/>
        <v>167</v>
      </c>
      <c r="S45" s="78">
        <f t="shared" ca="1" si="20"/>
        <v>68.28</v>
      </c>
      <c r="T45" s="55">
        <f t="shared" ca="1" si="5"/>
        <v>2.9921707961534372E-3</v>
      </c>
      <c r="U45" s="78">
        <f t="shared" ca="1" si="32"/>
        <v>0.89677340159179364</v>
      </c>
      <c r="V45" s="79">
        <f t="shared" ca="1" si="21"/>
        <v>423636.48809469945</v>
      </c>
      <c r="W45" s="79">
        <f t="shared" ca="1" si="6"/>
        <v>2889.8334931175473</v>
      </c>
      <c r="X45" s="80">
        <f t="shared" ca="1" si="33"/>
        <v>-13.451601023876904</v>
      </c>
      <c r="Y45" s="80">
        <f t="shared" ca="1" si="34"/>
        <v>-353.03040674558292</v>
      </c>
      <c r="Z45" s="80">
        <f t="shared" ca="1" si="23"/>
        <v>0</v>
      </c>
      <c r="AA45" s="80">
        <f t="shared" ca="1" si="35"/>
        <v>-402.45466368996455</v>
      </c>
      <c r="AB45" s="81">
        <f t="shared" ca="1" si="7"/>
        <v>-2242.4806662786373</v>
      </c>
      <c r="AC45" s="79">
        <f t="shared" ca="1" si="8"/>
        <v>423514.90425007895</v>
      </c>
      <c r="AD45" s="35"/>
      <c r="AE45" s="62">
        <f t="shared" ca="1" si="9"/>
        <v>-2500.6101455486769</v>
      </c>
      <c r="AF45" s="62">
        <f t="shared" ca="1" si="10"/>
        <v>472265.2383515503</v>
      </c>
      <c r="AG45" s="35"/>
      <c r="AH45" s="35"/>
      <c r="AI45" s="35"/>
      <c r="AJ45" s="65">
        <v>59</v>
      </c>
      <c r="AK45" s="66">
        <f>'SA85-90'!F51*(1+$AH$22)</f>
        <v>1.5411000000000001E-2</v>
      </c>
      <c r="AL45" s="66">
        <f>'SA85-90 (light)'!F51*(1+$AH$22)</f>
        <v>1.5059000000000003E-2</v>
      </c>
      <c r="AM45" s="66">
        <f t="shared" si="46"/>
        <v>106</v>
      </c>
      <c r="AN45" s="66">
        <f t="shared" si="47"/>
        <v>0</v>
      </c>
      <c r="AO45" s="67">
        <f t="shared" si="36"/>
        <v>2.5664517644146633E-5</v>
      </c>
      <c r="AP45" s="68">
        <f t="shared" ca="1" si="48"/>
        <v>9.0513600467967658E-7</v>
      </c>
      <c r="AR45" s="69">
        <f t="shared" si="27"/>
        <v>4</v>
      </c>
      <c r="AS45" s="70">
        <f t="shared" si="37"/>
        <v>42</v>
      </c>
      <c r="AT45" s="71">
        <f t="shared" si="38"/>
        <v>0.75014828672671086</v>
      </c>
      <c r="AU45" s="72">
        <f t="shared" si="11"/>
        <v>6.8214933659622723E-3</v>
      </c>
      <c r="AV45" s="73">
        <f t="shared" si="28"/>
        <v>1.0068214933659623</v>
      </c>
      <c r="AW45" s="74">
        <f>PRODUCT(AV$4:AV45)</f>
        <v>1.3304669282229269</v>
      </c>
      <c r="AY45" s="75">
        <f t="shared" si="39"/>
        <v>42</v>
      </c>
      <c r="AZ45" s="76">
        <f t="shared" ref="AZ45:BK54" ca="1" si="50">OFFSET($AV$3,($AY45*12-12)+AZ$3,0)</f>
        <v>1.0068214933659623</v>
      </c>
      <c r="BA45" s="76">
        <f t="shared" ca="1" si="50"/>
        <v>1.0068214933659623</v>
      </c>
      <c r="BB45" s="76">
        <f t="shared" ca="1" si="50"/>
        <v>1.0068214933659623</v>
      </c>
      <c r="BC45" s="76">
        <f t="shared" ca="1" si="50"/>
        <v>1.0068214933659623</v>
      </c>
      <c r="BD45" s="76">
        <f t="shared" ca="1" si="50"/>
        <v>1.0068214933659623</v>
      </c>
      <c r="BE45" s="76">
        <f t="shared" ca="1" si="50"/>
        <v>1.0068214933659623</v>
      </c>
      <c r="BF45" s="76">
        <f t="shared" ca="1" si="50"/>
        <v>1.0068214933659623</v>
      </c>
      <c r="BG45" s="76">
        <f t="shared" ca="1" si="50"/>
        <v>1.0068214933659623</v>
      </c>
      <c r="BH45" s="76">
        <f t="shared" ca="1" si="50"/>
        <v>1.0068214933659623</v>
      </c>
      <c r="BI45" s="76">
        <f t="shared" ca="1" si="50"/>
        <v>1.0068214933659623</v>
      </c>
      <c r="BJ45" s="76">
        <f t="shared" ca="1" si="50"/>
        <v>1.0068214933659623</v>
      </c>
      <c r="BK45" s="76">
        <f t="shared" ca="1" si="50"/>
        <v>1.0068214933659623</v>
      </c>
      <c r="BL45" s="76">
        <f t="shared" ca="1" si="45"/>
        <v>8.5000000000000853E-2</v>
      </c>
      <c r="BM45" s="77">
        <f t="shared" ca="1" si="49"/>
        <v>30.764439266509665</v>
      </c>
    </row>
    <row r="46" spans="2:65">
      <c r="E46">
        <f t="shared" si="31"/>
        <v>43</v>
      </c>
      <c r="F46" s="64">
        <f t="shared" si="14"/>
        <v>58.36</v>
      </c>
      <c r="G46" s="55">
        <f t="shared" si="0"/>
        <v>0</v>
      </c>
      <c r="H46" s="78">
        <f t="shared" si="40"/>
        <v>1</v>
      </c>
      <c r="I46" s="79">
        <f t="shared" si="15"/>
        <v>483870.73788884812</v>
      </c>
      <c r="J46" s="79">
        <f t="shared" si="1"/>
        <v>3300.721028492047</v>
      </c>
      <c r="K46" s="80">
        <f t="shared" si="2"/>
        <v>-15</v>
      </c>
      <c r="L46" s="80">
        <f t="shared" si="16"/>
        <v>-403.22561490737348</v>
      </c>
      <c r="M46" s="80">
        <f t="shared" si="42"/>
        <v>0</v>
      </c>
      <c r="N46" s="80">
        <f t="shared" si="18"/>
        <v>-459.67720099440584</v>
      </c>
      <c r="O46" s="81">
        <f t="shared" si="3"/>
        <v>-2083.3333333333335</v>
      </c>
      <c r="P46" s="79">
        <f t="shared" si="4"/>
        <v>484210.22276810504</v>
      </c>
      <c r="Q46" s="35"/>
      <c r="R46">
        <f t="shared" ca="1" si="19"/>
        <v>168</v>
      </c>
      <c r="S46" s="78">
        <f t="shared" ca="1" si="20"/>
        <v>68.36</v>
      </c>
      <c r="T46" s="55">
        <f t="shared" ca="1" si="5"/>
        <v>2.9921707961534372E-3</v>
      </c>
      <c r="U46" s="78">
        <f t="shared" ca="1" si="32"/>
        <v>0.8940901024087835</v>
      </c>
      <c r="V46" s="79">
        <f t="shared" ca="1" si="21"/>
        <v>422247.67532184615</v>
      </c>
      <c r="W46" s="79">
        <f t="shared" ca="1" si="6"/>
        <v>2880.3597160009649</v>
      </c>
      <c r="X46" s="80">
        <f t="shared" ca="1" si="33"/>
        <v>-13.411351536131752</v>
      </c>
      <c r="Y46" s="80">
        <f t="shared" ca="1" si="34"/>
        <v>-351.87306276820516</v>
      </c>
      <c r="Z46" s="80">
        <f t="shared" ca="1" si="23"/>
        <v>0</v>
      </c>
      <c r="AA46" s="80">
        <f t="shared" ca="1" si="35"/>
        <v>-401.13529155575389</v>
      </c>
      <c r="AB46" s="81">
        <f t="shared" ca="1" si="7"/>
        <v>-2235.7707811180594</v>
      </c>
      <c r="AC46" s="79">
        <f t="shared" ca="1" si="8"/>
        <v>422125.84455086896</v>
      </c>
      <c r="AD46" s="35"/>
      <c r="AE46" s="62">
        <f t="shared" ca="1" si="9"/>
        <v>-2500.6101455486769</v>
      </c>
      <c r="AF46" s="62">
        <f t="shared" ca="1" si="10"/>
        <v>472128.97605466435</v>
      </c>
      <c r="AG46" s="35"/>
      <c r="AH46" s="35"/>
      <c r="AI46" s="35"/>
      <c r="AJ46" s="65">
        <v>60</v>
      </c>
      <c r="AK46" s="66">
        <f>'SA85-90'!F52*(1+$AH$22)</f>
        <v>1.6896000000000001E-2</v>
      </c>
      <c r="AL46" s="66">
        <f>'SA85-90 (light)'!F52*(1+$AH$22)</f>
        <v>1.6555E-2</v>
      </c>
      <c r="AM46" s="66">
        <f t="shared" si="46"/>
        <v>107</v>
      </c>
      <c r="AN46" s="66">
        <f t="shared" si="47"/>
        <v>0</v>
      </c>
      <c r="AO46" s="67">
        <f t="shared" si="36"/>
        <v>2.5664517644146633E-5</v>
      </c>
      <c r="AP46" s="68">
        <f t="shared" ca="1" si="48"/>
        <v>8.3422673242366436E-7</v>
      </c>
      <c r="AR46" s="69">
        <f t="shared" si="27"/>
        <v>4</v>
      </c>
      <c r="AS46" s="70">
        <f t="shared" si="37"/>
        <v>43</v>
      </c>
      <c r="AT46" s="71">
        <f t="shared" si="38"/>
        <v>0.74503115516531659</v>
      </c>
      <c r="AU46" s="72">
        <f t="shared" si="11"/>
        <v>6.8214933659622723E-3</v>
      </c>
      <c r="AV46" s="73">
        <f t="shared" si="28"/>
        <v>1.0068214933659623</v>
      </c>
      <c r="AW46" s="74">
        <f>PRODUCT(AV$4:AV46)</f>
        <v>1.3395426995474318</v>
      </c>
      <c r="AY46" s="75">
        <f t="shared" si="39"/>
        <v>43</v>
      </c>
      <c r="AZ46" s="76">
        <f t="shared" ca="1" si="50"/>
        <v>1.0068214933659623</v>
      </c>
      <c r="BA46" s="76">
        <f t="shared" ca="1" si="50"/>
        <v>1.0068214933659623</v>
      </c>
      <c r="BB46" s="76">
        <f t="shared" ca="1" si="50"/>
        <v>1.0068214933659623</v>
      </c>
      <c r="BC46" s="76">
        <f t="shared" ca="1" si="50"/>
        <v>1.0068214933659623</v>
      </c>
      <c r="BD46" s="76">
        <f t="shared" ca="1" si="50"/>
        <v>1.0068214933659623</v>
      </c>
      <c r="BE46" s="76">
        <f t="shared" ca="1" si="50"/>
        <v>1.0068214933659623</v>
      </c>
      <c r="BF46" s="76">
        <f t="shared" ca="1" si="50"/>
        <v>1.0068214933659623</v>
      </c>
      <c r="BG46" s="76">
        <f t="shared" ca="1" si="50"/>
        <v>1.0068214933659623</v>
      </c>
      <c r="BH46" s="76">
        <f t="shared" ca="1" si="50"/>
        <v>1.0068214933659623</v>
      </c>
      <c r="BI46" s="76">
        <f t="shared" ca="1" si="50"/>
        <v>1.0068214933659623</v>
      </c>
      <c r="BJ46" s="76">
        <f t="shared" ca="1" si="50"/>
        <v>1.0068214933659623</v>
      </c>
      <c r="BK46" s="76">
        <f t="shared" ca="1" si="50"/>
        <v>1.0068214933659623</v>
      </c>
      <c r="BL46" s="76">
        <f t="shared" ca="1" si="45"/>
        <v>8.5000000000000853E-2</v>
      </c>
      <c r="BM46" s="77">
        <f t="shared" ca="1" si="49"/>
        <v>33.379416604163012</v>
      </c>
    </row>
    <row r="47" spans="2:65">
      <c r="E47">
        <f t="shared" si="31"/>
        <v>44</v>
      </c>
      <c r="F47" s="64">
        <f t="shared" si="14"/>
        <v>58.44</v>
      </c>
      <c r="G47" s="55">
        <f t="shared" si="0"/>
        <v>0</v>
      </c>
      <c r="H47" s="78">
        <f t="shared" si="40"/>
        <v>1</v>
      </c>
      <c r="I47" s="79">
        <f t="shared" si="15"/>
        <v>484210.22276810504</v>
      </c>
      <c r="J47" s="79">
        <f t="shared" si="1"/>
        <v>3303.0368223437426</v>
      </c>
      <c r="K47" s="80">
        <f t="shared" si="2"/>
        <v>-15</v>
      </c>
      <c r="L47" s="80">
        <f t="shared" si="16"/>
        <v>-403.50851897342091</v>
      </c>
      <c r="M47" s="80">
        <f t="shared" si="42"/>
        <v>0</v>
      </c>
      <c r="N47" s="80">
        <f t="shared" si="18"/>
        <v>-459.9997116296999</v>
      </c>
      <c r="O47" s="81">
        <f t="shared" si="3"/>
        <v>-2083.3333333333335</v>
      </c>
      <c r="P47" s="79">
        <f t="shared" si="4"/>
        <v>484551.41802651237</v>
      </c>
      <c r="Q47" s="35"/>
      <c r="R47">
        <f t="shared" ca="1" si="19"/>
        <v>169</v>
      </c>
      <c r="S47" s="78">
        <f t="shared" ca="1" si="20"/>
        <v>68.44</v>
      </c>
      <c r="T47" s="55">
        <f t="shared" ca="1" si="5"/>
        <v>2.9921707961534372E-3</v>
      </c>
      <c r="U47" s="78">
        <f t="shared" ca="1" si="32"/>
        <v>0.8914148321152261</v>
      </c>
      <c r="V47" s="79">
        <f t="shared" ca="1" si="21"/>
        <v>420862.77192650223</v>
      </c>
      <c r="W47" s="79">
        <f t="shared" ca="1" si="6"/>
        <v>2870.9126066771278</v>
      </c>
      <c r="X47" s="80">
        <f t="shared" ca="1" si="33"/>
        <v>-13.371222481728392</v>
      </c>
      <c r="Y47" s="80">
        <f t="shared" ca="1" si="34"/>
        <v>-350.71897660541856</v>
      </c>
      <c r="Z47" s="80">
        <f t="shared" ca="1" si="23"/>
        <v>-3156.4707894487665</v>
      </c>
      <c r="AA47" s="80">
        <f t="shared" ca="1" si="35"/>
        <v>-399.81963333017717</v>
      </c>
      <c r="AB47" s="81">
        <f t="shared" ca="1" si="7"/>
        <v>-2229.0809730799051</v>
      </c>
      <c r="AC47" s="79">
        <f t="shared" ca="1" si="8"/>
        <v>417584.22293823346</v>
      </c>
      <c r="AD47" s="35"/>
      <c r="AE47" s="62">
        <f t="shared" ca="1" si="9"/>
        <v>-2500.6101455486773</v>
      </c>
      <c r="AF47" s="62">
        <f t="shared" ca="1" si="10"/>
        <v>468451.05992611044</v>
      </c>
      <c r="AG47" s="35"/>
      <c r="AH47" s="35"/>
      <c r="AI47" s="35"/>
      <c r="AJ47" s="65">
        <v>61</v>
      </c>
      <c r="AK47" s="66">
        <f>'SA85-90'!F53*(1+$AH$22)</f>
        <v>1.8524000000000002E-2</v>
      </c>
      <c r="AL47" s="66">
        <f>'SA85-90 (light)'!F53*(1+$AH$22)</f>
        <v>1.8204999999999999E-2</v>
      </c>
      <c r="AM47" s="66">
        <f t="shared" si="46"/>
        <v>108</v>
      </c>
      <c r="AN47" s="66">
        <f t="shared" si="47"/>
        <v>0</v>
      </c>
      <c r="AO47" s="67">
        <f t="shared" si="36"/>
        <v>2.5664517644146633E-5</v>
      </c>
      <c r="AP47" s="68">
        <f t="shared" ca="1" si="48"/>
        <v>7.6887256444577307E-7</v>
      </c>
      <c r="AR47" s="69">
        <f t="shared" si="27"/>
        <v>4</v>
      </c>
      <c r="AS47" s="70">
        <f t="shared" si="37"/>
        <v>44</v>
      </c>
      <c r="AT47" s="71">
        <f t="shared" si="38"/>
        <v>0.73994893008292117</v>
      </c>
      <c r="AU47" s="72">
        <f t="shared" si="11"/>
        <v>6.8214933659622723E-3</v>
      </c>
      <c r="AV47" s="73">
        <f t="shared" si="28"/>
        <v>1.0068214933659623</v>
      </c>
      <c r="AW47" s="74">
        <f>PRODUCT(AV$4:AV47)</f>
        <v>1.3486803811858177</v>
      </c>
      <c r="AY47" s="75">
        <f t="shared" si="39"/>
        <v>44</v>
      </c>
      <c r="AZ47" s="76">
        <f t="shared" ca="1" si="50"/>
        <v>1.0068214933659623</v>
      </c>
      <c r="BA47" s="76">
        <f t="shared" ca="1" si="50"/>
        <v>1.0068214933659623</v>
      </c>
      <c r="BB47" s="76">
        <f t="shared" ca="1" si="50"/>
        <v>1.0068214933659623</v>
      </c>
      <c r="BC47" s="76">
        <f t="shared" ca="1" si="50"/>
        <v>1.0068214933659623</v>
      </c>
      <c r="BD47" s="76">
        <f t="shared" ca="1" si="50"/>
        <v>1.0068214933659623</v>
      </c>
      <c r="BE47" s="76">
        <f t="shared" ca="1" si="50"/>
        <v>1.0068214933659623</v>
      </c>
      <c r="BF47" s="76">
        <f t="shared" ca="1" si="50"/>
        <v>1.0068214933659623</v>
      </c>
      <c r="BG47" s="76">
        <f t="shared" ca="1" si="50"/>
        <v>1.0068214933659623</v>
      </c>
      <c r="BH47" s="76">
        <f t="shared" ca="1" si="50"/>
        <v>1.0068214933659623</v>
      </c>
      <c r="BI47" s="76">
        <f t="shared" ca="1" si="50"/>
        <v>1.0068214933659623</v>
      </c>
      <c r="BJ47" s="76">
        <f t="shared" ca="1" si="50"/>
        <v>1.0068214933659623</v>
      </c>
      <c r="BK47" s="76">
        <f t="shared" ca="1" si="50"/>
        <v>1.0068214933659623</v>
      </c>
      <c r="BL47" s="76">
        <f t="shared" ca="1" si="45"/>
        <v>8.5000000000000853E-2</v>
      </c>
      <c r="BM47" s="77">
        <f t="shared" ca="1" si="49"/>
        <v>36.216667015516897</v>
      </c>
    </row>
    <row r="48" spans="2:65">
      <c r="E48">
        <f t="shared" si="31"/>
        <v>45</v>
      </c>
      <c r="F48" s="64">
        <f t="shared" si="14"/>
        <v>58.52</v>
      </c>
      <c r="G48" s="55">
        <f t="shared" si="0"/>
        <v>0</v>
      </c>
      <c r="H48" s="78">
        <f t="shared" si="40"/>
        <v>1</v>
      </c>
      <c r="I48" s="79">
        <f t="shared" si="15"/>
        <v>484551.41802651237</v>
      </c>
      <c r="J48" s="79">
        <f t="shared" si="1"/>
        <v>3305.3642835354658</v>
      </c>
      <c r="K48" s="80">
        <f t="shared" si="2"/>
        <v>-15</v>
      </c>
      <c r="L48" s="80">
        <f t="shared" si="16"/>
        <v>-403.792848355427</v>
      </c>
      <c r="M48" s="80">
        <f t="shared" si="42"/>
        <v>0</v>
      </c>
      <c r="N48" s="80">
        <f t="shared" si="18"/>
        <v>-460.32384712518683</v>
      </c>
      <c r="O48" s="81">
        <f t="shared" si="3"/>
        <v>-2083.3333333333335</v>
      </c>
      <c r="P48" s="79">
        <f t="shared" si="4"/>
        <v>484894.33228123392</v>
      </c>
      <c r="Q48" s="35"/>
      <c r="R48">
        <f t="shared" ca="1" si="19"/>
        <v>170</v>
      </c>
      <c r="S48" s="78">
        <f t="shared" ca="1" si="20"/>
        <v>68.52</v>
      </c>
      <c r="T48" s="55">
        <f t="shared" ca="1" si="5"/>
        <v>3.2787340871175408E-3</v>
      </c>
      <c r="U48" s="78">
        <f t="shared" ca="1" si="32"/>
        <v>0.8884921199194078</v>
      </c>
      <c r="V48" s="79">
        <f t="shared" ca="1" si="21"/>
        <v>416215.07531224337</v>
      </c>
      <c r="W48" s="79">
        <f t="shared" ca="1" si="6"/>
        <v>2839.2083750559555</v>
      </c>
      <c r="X48" s="80">
        <f t="shared" ca="1" si="33"/>
        <v>-13.327381798791118</v>
      </c>
      <c r="Y48" s="80">
        <f t="shared" ca="1" si="34"/>
        <v>-346.84589609353617</v>
      </c>
      <c r="Z48" s="80">
        <f t="shared" ca="1" si="23"/>
        <v>0</v>
      </c>
      <c r="AA48" s="80">
        <f t="shared" ca="1" si="35"/>
        <v>-395.40432154663131</v>
      </c>
      <c r="AB48" s="81">
        <f t="shared" ca="1" si="7"/>
        <v>-2221.772409310523</v>
      </c>
      <c r="AC48" s="79">
        <f t="shared" ca="1" si="8"/>
        <v>416076.93367854995</v>
      </c>
      <c r="AD48" s="35"/>
      <c r="AE48" s="62">
        <f t="shared" ca="1" si="9"/>
        <v>-2500.6101455486773</v>
      </c>
      <c r="AF48" s="62">
        <f t="shared" ca="1" si="10"/>
        <v>468295.58118792425</v>
      </c>
      <c r="AG48" s="35"/>
      <c r="AH48" s="35"/>
      <c r="AI48" s="35"/>
      <c r="AJ48" s="65">
        <v>62</v>
      </c>
      <c r="AK48" s="66">
        <f>'SA85-90'!F54*(1+$AH$22)</f>
        <v>2.0317000000000002E-2</v>
      </c>
      <c r="AL48" s="66">
        <f>'SA85-90 (light)'!F54*(1+$AH$22)</f>
        <v>2.0031000000000004E-2</v>
      </c>
      <c r="AM48" s="66">
        <f t="shared" si="46"/>
        <v>109</v>
      </c>
      <c r="AN48" s="66">
        <f t="shared" si="47"/>
        <v>0</v>
      </c>
      <c r="AO48" s="67">
        <f t="shared" si="36"/>
        <v>2.5664517644146633E-5</v>
      </c>
      <c r="AP48" s="68">
        <f t="shared" ca="1" si="48"/>
        <v>7.0863830824495158E-7</v>
      </c>
      <c r="AR48" s="69">
        <f t="shared" si="27"/>
        <v>4</v>
      </c>
      <c r="AS48" s="70">
        <f t="shared" si="37"/>
        <v>45</v>
      </c>
      <c r="AT48" s="71">
        <f t="shared" si="38"/>
        <v>0.73490137336520966</v>
      </c>
      <c r="AU48" s="72">
        <f t="shared" si="11"/>
        <v>6.8214933659622723E-3</v>
      </c>
      <c r="AV48" s="73">
        <f t="shared" si="28"/>
        <v>1.0068214933659623</v>
      </c>
      <c r="AW48" s="74">
        <f>PRODUCT(AV$4:AV48)</f>
        <v>1.3578803954588803</v>
      </c>
      <c r="AY48" s="75">
        <f t="shared" si="39"/>
        <v>45</v>
      </c>
      <c r="AZ48" s="76">
        <f t="shared" ca="1" si="50"/>
        <v>1.0068214933659623</v>
      </c>
      <c r="BA48" s="76">
        <f t="shared" ca="1" si="50"/>
        <v>1.0068214933659623</v>
      </c>
      <c r="BB48" s="76">
        <f t="shared" ca="1" si="50"/>
        <v>1.0068214933659623</v>
      </c>
      <c r="BC48" s="76">
        <f t="shared" ca="1" si="50"/>
        <v>1.0068214933659623</v>
      </c>
      <c r="BD48" s="76">
        <f t="shared" ca="1" si="50"/>
        <v>1.0068214933659623</v>
      </c>
      <c r="BE48" s="76">
        <f t="shared" ca="1" si="50"/>
        <v>1.0068214933659623</v>
      </c>
      <c r="BF48" s="76">
        <f t="shared" ca="1" si="50"/>
        <v>1.0068214933659623</v>
      </c>
      <c r="BG48" s="76">
        <f t="shared" ca="1" si="50"/>
        <v>1.0068214933659623</v>
      </c>
      <c r="BH48" s="76">
        <f t="shared" ca="1" si="50"/>
        <v>1.0068214933659623</v>
      </c>
      <c r="BI48" s="76">
        <f t="shared" ca="1" si="50"/>
        <v>1.0068214933659623</v>
      </c>
      <c r="BJ48" s="76">
        <f t="shared" ca="1" si="50"/>
        <v>1.0068214933659623</v>
      </c>
      <c r="BK48" s="76">
        <f t="shared" ca="1" si="50"/>
        <v>1.0068214933659623</v>
      </c>
      <c r="BL48" s="76">
        <f t="shared" ca="1" si="45"/>
        <v>8.5000000000000853E-2</v>
      </c>
      <c r="BM48" s="77">
        <f t="shared" ca="1" si="49"/>
        <v>39.295083711835865</v>
      </c>
    </row>
    <row r="49" spans="5:65">
      <c r="E49">
        <f t="shared" si="31"/>
        <v>46</v>
      </c>
      <c r="F49" s="64">
        <f t="shared" si="14"/>
        <v>58.6</v>
      </c>
      <c r="G49" s="55">
        <f t="shared" si="0"/>
        <v>0</v>
      </c>
      <c r="H49" s="78">
        <f t="shared" si="40"/>
        <v>1</v>
      </c>
      <c r="I49" s="79">
        <f t="shared" si="15"/>
        <v>484894.33228123392</v>
      </c>
      <c r="J49" s="79">
        <f t="shared" si="1"/>
        <v>3307.7034708491428</v>
      </c>
      <c r="K49" s="80">
        <f t="shared" si="2"/>
        <v>-15</v>
      </c>
      <c r="L49" s="80">
        <f t="shared" si="16"/>
        <v>-404.07861023436163</v>
      </c>
      <c r="M49" s="80">
        <f t="shared" si="42"/>
        <v>0</v>
      </c>
      <c r="N49" s="80">
        <f t="shared" si="18"/>
        <v>-460.64961566717233</v>
      </c>
      <c r="O49" s="81">
        <f t="shared" si="3"/>
        <v>-2083.3333333333335</v>
      </c>
      <c r="P49" s="79">
        <f t="shared" si="4"/>
        <v>485238.9741928482</v>
      </c>
      <c r="Q49" s="35"/>
      <c r="R49">
        <f t="shared" ca="1" si="19"/>
        <v>171</v>
      </c>
      <c r="S49" s="78">
        <f t="shared" ca="1" si="20"/>
        <v>68.599999999999994</v>
      </c>
      <c r="T49" s="55">
        <f t="shared" ca="1" si="5"/>
        <v>3.2787340871175408E-3</v>
      </c>
      <c r="U49" s="78">
        <f t="shared" ca="1" si="32"/>
        <v>0.88557899051969269</v>
      </c>
      <c r="V49" s="79">
        <f t="shared" ca="1" si="21"/>
        <v>414712.72805323475</v>
      </c>
      <c r="W49" s="79">
        <f t="shared" ca="1" si="6"/>
        <v>2828.960123195257</v>
      </c>
      <c r="X49" s="80">
        <f t="shared" ca="1" si="33"/>
        <v>-13.283684857795389</v>
      </c>
      <c r="Y49" s="80">
        <f t="shared" ca="1" si="34"/>
        <v>-345.59394004436234</v>
      </c>
      <c r="Z49" s="80">
        <f t="shared" ca="1" si="23"/>
        <v>0</v>
      </c>
      <c r="AA49" s="80">
        <f t="shared" ca="1" si="35"/>
        <v>-393.97709165057307</v>
      </c>
      <c r="AB49" s="81">
        <f t="shared" ca="1" si="7"/>
        <v>-2214.4878083782992</v>
      </c>
      <c r="AC49" s="79">
        <f t="shared" ca="1" si="8"/>
        <v>414574.345651499</v>
      </c>
      <c r="AD49" s="35"/>
      <c r="AE49" s="62">
        <f t="shared" ca="1" si="9"/>
        <v>-2500.6101455486769</v>
      </c>
      <c r="AF49" s="62">
        <f t="shared" ca="1" si="10"/>
        <v>468139.31912297336</v>
      </c>
      <c r="AG49" s="35"/>
      <c r="AH49" s="35"/>
      <c r="AI49" s="35"/>
      <c r="AJ49" s="65">
        <v>63</v>
      </c>
      <c r="AK49" s="66">
        <f>'SA85-90'!F55*(1+$AH$22)</f>
        <v>2.2297000000000001E-2</v>
      </c>
      <c r="AL49" s="66">
        <f>'SA85-90 (light)'!F55*(1+$AH$22)</f>
        <v>2.2033000000000001E-2</v>
      </c>
      <c r="AM49" s="66">
        <f t="shared" si="46"/>
        <v>110</v>
      </c>
      <c r="AN49" s="66">
        <f t="shared" si="47"/>
        <v>0</v>
      </c>
      <c r="AO49" s="67">
        <f t="shared" si="36"/>
        <v>2.5664517644146633E-5</v>
      </c>
      <c r="AP49" s="68">
        <f t="shared" ca="1" si="48"/>
        <v>6.531228647418903E-7</v>
      </c>
      <c r="AR49" s="69">
        <f t="shared" si="27"/>
        <v>4</v>
      </c>
      <c r="AS49" s="70">
        <f t="shared" si="37"/>
        <v>46</v>
      </c>
      <c r="AT49" s="71">
        <f t="shared" si="38"/>
        <v>0.72988824852216228</v>
      </c>
      <c r="AU49" s="72">
        <f t="shared" si="11"/>
        <v>6.8214933659622723E-3</v>
      </c>
      <c r="AV49" s="73">
        <f t="shared" si="28"/>
        <v>1.0068214933659623</v>
      </c>
      <c r="AW49" s="74">
        <f>PRODUCT(AV$4:AV49)</f>
        <v>1.3671431675682733</v>
      </c>
      <c r="AY49" s="75">
        <f t="shared" si="39"/>
        <v>46</v>
      </c>
      <c r="AZ49" s="76">
        <f t="shared" ca="1" si="50"/>
        <v>1.0068214933659623</v>
      </c>
      <c r="BA49" s="76">
        <f t="shared" ca="1" si="50"/>
        <v>1.0068214933659623</v>
      </c>
      <c r="BB49" s="76">
        <f t="shared" ca="1" si="50"/>
        <v>1.0068214933659623</v>
      </c>
      <c r="BC49" s="76">
        <f t="shared" ca="1" si="50"/>
        <v>1.0068214933659623</v>
      </c>
      <c r="BD49" s="76">
        <f t="shared" ca="1" si="50"/>
        <v>1.0068214933659623</v>
      </c>
      <c r="BE49" s="76">
        <f t="shared" ca="1" si="50"/>
        <v>1.0068214933659623</v>
      </c>
      <c r="BF49" s="76">
        <f t="shared" ca="1" si="50"/>
        <v>1.0068214933659623</v>
      </c>
      <c r="BG49" s="76">
        <f t="shared" ca="1" si="50"/>
        <v>1.0068214933659623</v>
      </c>
      <c r="BH49" s="76">
        <f t="shared" ca="1" si="50"/>
        <v>1.0068214933659623</v>
      </c>
      <c r="BI49" s="76">
        <f t="shared" ca="1" si="50"/>
        <v>1.0068214933659623</v>
      </c>
      <c r="BJ49" s="76">
        <f t="shared" ca="1" si="50"/>
        <v>1.0068214933659623</v>
      </c>
      <c r="BK49" s="76">
        <f t="shared" ca="1" si="50"/>
        <v>1.0068214933659623</v>
      </c>
      <c r="BL49" s="76">
        <f t="shared" ca="1" si="45"/>
        <v>8.5000000000000853E-2</v>
      </c>
      <c r="BM49" s="77">
        <f t="shared" ca="1" si="49"/>
        <v>42.63516582734195</v>
      </c>
    </row>
    <row r="50" spans="5:65">
      <c r="E50">
        <f t="shared" si="31"/>
        <v>47</v>
      </c>
      <c r="F50" s="64">
        <f t="shared" si="14"/>
        <v>58.68</v>
      </c>
      <c r="G50" s="55">
        <f t="shared" si="0"/>
        <v>0</v>
      </c>
      <c r="H50" s="78">
        <f t="shared" si="40"/>
        <v>1</v>
      </c>
      <c r="I50" s="79">
        <f t="shared" si="15"/>
        <v>485238.9741928482</v>
      </c>
      <c r="J50" s="79">
        <f t="shared" si="1"/>
        <v>3310.054443362852</v>
      </c>
      <c r="K50" s="80">
        <f t="shared" si="2"/>
        <v>-15</v>
      </c>
      <c r="L50" s="80">
        <f t="shared" si="16"/>
        <v>-404.36581182737353</v>
      </c>
      <c r="M50" s="80">
        <f t="shared" si="42"/>
        <v>0</v>
      </c>
      <c r="N50" s="80">
        <f t="shared" si="18"/>
        <v>-460.97702548320586</v>
      </c>
      <c r="O50" s="81">
        <f t="shared" si="3"/>
        <v>-2083.3333333333335</v>
      </c>
      <c r="P50" s="79">
        <f t="shared" si="4"/>
        <v>485585.35246556718</v>
      </c>
      <c r="Q50" s="35"/>
      <c r="R50">
        <f t="shared" ca="1" si="19"/>
        <v>172</v>
      </c>
      <c r="S50" s="78">
        <f t="shared" ca="1" si="20"/>
        <v>68.680000000000007</v>
      </c>
      <c r="T50" s="55">
        <f t="shared" ca="1" si="5"/>
        <v>3.2787340871175408E-3</v>
      </c>
      <c r="U50" s="78">
        <f t="shared" ca="1" si="32"/>
        <v>0.88267541249664061</v>
      </c>
      <c r="V50" s="79">
        <f t="shared" ca="1" si="21"/>
        <v>413215.066612767</v>
      </c>
      <c r="W50" s="79">
        <f t="shared" ca="1" si="6"/>
        <v>2818.7438356146486</v>
      </c>
      <c r="X50" s="80">
        <f t="shared" ca="1" si="33"/>
        <v>-13.240131187449609</v>
      </c>
      <c r="Y50" s="80">
        <f t="shared" ca="1" si="34"/>
        <v>-344.34588884397255</v>
      </c>
      <c r="Z50" s="80">
        <f t="shared" ca="1" si="23"/>
        <v>0</v>
      </c>
      <c r="AA50" s="80">
        <f t="shared" ca="1" si="35"/>
        <v>-392.5543132821287</v>
      </c>
      <c r="AB50" s="81">
        <f t="shared" ca="1" si="7"/>
        <v>-2207.2270917154628</v>
      </c>
      <c r="AC50" s="79">
        <f t="shared" ca="1" si="8"/>
        <v>413076.44302335265</v>
      </c>
      <c r="AD50" s="35"/>
      <c r="AE50" s="62">
        <f t="shared" ca="1" si="9"/>
        <v>-2500.6101455486769</v>
      </c>
      <c r="AF50" s="62">
        <f t="shared" ca="1" si="10"/>
        <v>467982.2697847322</v>
      </c>
      <c r="AG50" s="35"/>
      <c r="AH50" s="35"/>
      <c r="AI50" s="35"/>
      <c r="AJ50" s="65">
        <v>64</v>
      </c>
      <c r="AK50" s="66">
        <f>'SA85-90'!F56*(1+$AH$22)</f>
        <v>2.4464E-2</v>
      </c>
      <c r="AL50" s="66">
        <f>'SA85-90 (light)'!F56*(1+$AH$22)</f>
        <v>2.4233000000000005E-2</v>
      </c>
      <c r="AM50" s="66">
        <f t="shared" si="46"/>
        <v>111</v>
      </c>
      <c r="AN50" s="66">
        <f t="shared" si="47"/>
        <v>0</v>
      </c>
      <c r="AO50" s="67">
        <f t="shared" si="36"/>
        <v>2.5664517644146633E-5</v>
      </c>
      <c r="AP50" s="68">
        <f t="shared" ca="1" si="48"/>
        <v>6.0195655736579698E-7</v>
      </c>
      <c r="AR50" s="69">
        <f t="shared" si="27"/>
        <v>4</v>
      </c>
      <c r="AS50" s="70">
        <f t="shared" si="37"/>
        <v>47</v>
      </c>
      <c r="AT50" s="71">
        <f t="shared" si="38"/>
        <v>0.72490932067697456</v>
      </c>
      <c r="AU50" s="72">
        <f t="shared" si="11"/>
        <v>6.8214933659622723E-3</v>
      </c>
      <c r="AV50" s="73">
        <f t="shared" si="28"/>
        <v>1.0068214933659623</v>
      </c>
      <c r="AW50" s="74">
        <f>PRODUCT(AV$4:AV50)</f>
        <v>1.376469125616161</v>
      </c>
      <c r="AY50" s="75">
        <f t="shared" si="39"/>
        <v>47</v>
      </c>
      <c r="AZ50" s="76">
        <f t="shared" ca="1" si="50"/>
        <v>1.0068214933659623</v>
      </c>
      <c r="BA50" s="76">
        <f t="shared" ca="1" si="50"/>
        <v>1.0068214933659623</v>
      </c>
      <c r="BB50" s="76">
        <f t="shared" ca="1" si="50"/>
        <v>1.0068214933659623</v>
      </c>
      <c r="BC50" s="76">
        <f t="shared" ca="1" si="50"/>
        <v>1.0068214933659623</v>
      </c>
      <c r="BD50" s="76">
        <f t="shared" ca="1" si="50"/>
        <v>1.0068214933659623</v>
      </c>
      <c r="BE50" s="76">
        <f t="shared" ca="1" si="50"/>
        <v>1.0068214933659623</v>
      </c>
      <c r="BF50" s="76">
        <f t="shared" ca="1" si="50"/>
        <v>1.0068214933659623</v>
      </c>
      <c r="BG50" s="76">
        <f t="shared" ca="1" si="50"/>
        <v>1.0068214933659623</v>
      </c>
      <c r="BH50" s="76">
        <f t="shared" ca="1" si="50"/>
        <v>1.0068214933659623</v>
      </c>
      <c r="BI50" s="76">
        <f t="shared" ca="1" si="50"/>
        <v>1.0068214933659623</v>
      </c>
      <c r="BJ50" s="76">
        <f t="shared" ca="1" si="50"/>
        <v>1.0068214933659623</v>
      </c>
      <c r="BK50" s="76">
        <f t="shared" ca="1" si="50"/>
        <v>1.0068214933659623</v>
      </c>
      <c r="BL50" s="76">
        <f t="shared" ca="1" si="45"/>
        <v>8.5000000000000853E-2</v>
      </c>
      <c r="BM50" s="77">
        <f t="shared" ca="1" si="49"/>
        <v>46.259154922666049</v>
      </c>
    </row>
    <row r="51" spans="5:65">
      <c r="E51">
        <f t="shared" si="31"/>
        <v>48</v>
      </c>
      <c r="F51" s="64">
        <f t="shared" si="14"/>
        <v>58.76</v>
      </c>
      <c r="G51" s="55">
        <f t="shared" si="0"/>
        <v>0</v>
      </c>
      <c r="H51" s="78">
        <f t="shared" si="40"/>
        <v>1</v>
      </c>
      <c r="I51" s="79">
        <f t="shared" si="15"/>
        <v>485585.35246556718</v>
      </c>
      <c r="J51" s="79">
        <f t="shared" si="1"/>
        <v>3312.4172604523183</v>
      </c>
      <c r="K51" s="80">
        <f t="shared" si="2"/>
        <v>-15</v>
      </c>
      <c r="L51" s="80">
        <f t="shared" si="16"/>
        <v>-404.65446038797268</v>
      </c>
      <c r="M51" s="80">
        <f t="shared" si="42"/>
        <v>0</v>
      </c>
      <c r="N51" s="80">
        <f t="shared" si="18"/>
        <v>-461.30608484228895</v>
      </c>
      <c r="O51" s="81">
        <f t="shared" si="3"/>
        <v>-2083.3333333333335</v>
      </c>
      <c r="P51" s="79">
        <f t="shared" si="4"/>
        <v>485933.47584745591</v>
      </c>
      <c r="Q51" s="35"/>
      <c r="R51">
        <f t="shared" ca="1" si="19"/>
        <v>173</v>
      </c>
      <c r="S51" s="78">
        <f t="shared" ca="1" si="20"/>
        <v>68.760000000000005</v>
      </c>
      <c r="T51" s="55">
        <f t="shared" ca="1" si="5"/>
        <v>3.2787340871175408E-3</v>
      </c>
      <c r="U51" s="78">
        <f t="shared" ca="1" si="32"/>
        <v>0.87978135453382733</v>
      </c>
      <c r="V51" s="79">
        <f t="shared" ca="1" si="21"/>
        <v>411722.07520902669</v>
      </c>
      <c r="W51" s="79">
        <f t="shared" ca="1" si="6"/>
        <v>2808.5594046585952</v>
      </c>
      <c r="X51" s="80">
        <f t="shared" ca="1" si="33"/>
        <v>-13.19672031800741</v>
      </c>
      <c r="Y51" s="80">
        <f t="shared" ca="1" si="34"/>
        <v>-343.10172934085557</v>
      </c>
      <c r="Z51" s="80">
        <f t="shared" ca="1" si="23"/>
        <v>0</v>
      </c>
      <c r="AA51" s="80">
        <f t="shared" ca="1" si="35"/>
        <v>-391.13597144857545</v>
      </c>
      <c r="AB51" s="81">
        <f t="shared" ca="1" si="7"/>
        <v>-2199.9901810118458</v>
      </c>
      <c r="AC51" s="79">
        <f t="shared" ca="1" si="8"/>
        <v>411583.21001156606</v>
      </c>
      <c r="AD51" s="35"/>
      <c r="AE51" s="62">
        <f t="shared" ca="1" si="9"/>
        <v>-2500.6101455486764</v>
      </c>
      <c r="AF51" s="62">
        <f t="shared" ca="1" si="10"/>
        <v>467824.42920679197</v>
      </c>
      <c r="AG51" s="35"/>
      <c r="AH51" s="35"/>
      <c r="AI51" s="35"/>
      <c r="AJ51" s="65">
        <v>65</v>
      </c>
      <c r="AK51" s="66">
        <f>'SA85-90'!F57*(1+$AH$22)</f>
        <v>2.6840000000000003E-2</v>
      </c>
      <c r="AL51" s="66">
        <f>'SA85-90 (light)'!F57*(1+$AH$22)</f>
        <v>2.6631000000000002E-2</v>
      </c>
      <c r="AM51" s="66">
        <f t="shared" si="46"/>
        <v>112</v>
      </c>
      <c r="AN51" s="66">
        <f t="shared" si="47"/>
        <v>0</v>
      </c>
      <c r="AO51" s="67">
        <f t="shared" si="36"/>
        <v>2.5664517644146633E-5</v>
      </c>
      <c r="AP51" s="68">
        <f t="shared" ca="1" si="48"/>
        <v>5.547986703832227E-7</v>
      </c>
      <c r="AR51" s="69">
        <f t="shared" si="27"/>
        <v>4</v>
      </c>
      <c r="AS51" s="70">
        <f t="shared" si="37"/>
        <v>48</v>
      </c>
      <c r="AT51" s="71">
        <f t="shared" si="38"/>
        <v>0.71996435655505231</v>
      </c>
      <c r="AU51" s="72">
        <f t="shared" si="11"/>
        <v>6.8214933659622723E-3</v>
      </c>
      <c r="AV51" s="73">
        <f t="shared" si="28"/>
        <v>1.0068214933659623</v>
      </c>
      <c r="AW51" s="74">
        <f>PRODUCT(AV$4:AV51)</f>
        <v>1.3858587006250036</v>
      </c>
      <c r="AY51" s="75">
        <f t="shared" si="39"/>
        <v>48</v>
      </c>
      <c r="AZ51" s="76">
        <f t="shared" ca="1" si="50"/>
        <v>1.0068214933659623</v>
      </c>
      <c r="BA51" s="76">
        <f t="shared" ca="1" si="50"/>
        <v>1.0068214933659623</v>
      </c>
      <c r="BB51" s="76">
        <f t="shared" ca="1" si="50"/>
        <v>1.0068214933659623</v>
      </c>
      <c r="BC51" s="76">
        <f t="shared" ca="1" si="50"/>
        <v>1.0068214933659623</v>
      </c>
      <c r="BD51" s="76">
        <f t="shared" ca="1" si="50"/>
        <v>1.0068214933659623</v>
      </c>
      <c r="BE51" s="76">
        <f t="shared" ca="1" si="50"/>
        <v>1.0068214933659623</v>
      </c>
      <c r="BF51" s="76">
        <f t="shared" ca="1" si="50"/>
        <v>1.0068214933659623</v>
      </c>
      <c r="BG51" s="76">
        <f t="shared" ca="1" si="50"/>
        <v>1.0068214933659623</v>
      </c>
      <c r="BH51" s="76">
        <f t="shared" ca="1" si="50"/>
        <v>1.0068214933659623</v>
      </c>
      <c r="BI51" s="76">
        <f t="shared" ca="1" si="50"/>
        <v>1.0068214933659623</v>
      </c>
      <c r="BJ51" s="76">
        <f t="shared" ca="1" si="50"/>
        <v>1.0068214933659623</v>
      </c>
      <c r="BK51" s="76">
        <f t="shared" ca="1" si="50"/>
        <v>1.0068214933659623</v>
      </c>
      <c r="BL51" s="76">
        <f t="shared" ca="1" si="45"/>
        <v>8.5000000000000853E-2</v>
      </c>
      <c r="BM51" s="77">
        <f t="shared" ca="1" si="49"/>
        <v>50.191183091092704</v>
      </c>
    </row>
    <row r="52" spans="5:65">
      <c r="E52">
        <f t="shared" si="31"/>
        <v>49</v>
      </c>
      <c r="F52" s="64">
        <f t="shared" si="14"/>
        <v>58.84</v>
      </c>
      <c r="G52" s="55">
        <f t="shared" si="0"/>
        <v>0</v>
      </c>
      <c r="H52" s="78">
        <f t="shared" si="40"/>
        <v>1</v>
      </c>
      <c r="I52" s="79">
        <f t="shared" si="15"/>
        <v>485933.47584745591</v>
      </c>
      <c r="J52" s="79">
        <f t="shared" si="1"/>
        <v>3314.7919817924085</v>
      </c>
      <c r="K52" s="80">
        <f t="shared" si="2"/>
        <v>-15</v>
      </c>
      <c r="L52" s="80">
        <f t="shared" si="16"/>
        <v>-404.94456320621327</v>
      </c>
      <c r="M52" s="80">
        <f t="shared" si="42"/>
        <v>-3644.5010688559191</v>
      </c>
      <c r="N52" s="80">
        <f t="shared" si="18"/>
        <v>-461.63680205508325</v>
      </c>
      <c r="O52" s="81">
        <f t="shared" si="3"/>
        <v>-2083.3333333333335</v>
      </c>
      <c r="P52" s="79">
        <f t="shared" si="4"/>
        <v>482638.85206179781</v>
      </c>
      <c r="Q52" s="35"/>
      <c r="R52">
        <f t="shared" ca="1" si="19"/>
        <v>174</v>
      </c>
      <c r="S52" s="78">
        <f t="shared" ca="1" si="20"/>
        <v>68.84</v>
      </c>
      <c r="T52" s="55">
        <f t="shared" ca="1" si="5"/>
        <v>3.2787340871175408E-3</v>
      </c>
      <c r="U52" s="78">
        <f t="shared" ca="1" si="32"/>
        <v>0.87689678541750682</v>
      </c>
      <c r="V52" s="79">
        <f t="shared" ca="1" si="21"/>
        <v>410233.73811121588</v>
      </c>
      <c r="W52" s="79">
        <f t="shared" ca="1" si="6"/>
        <v>2798.4067230195633</v>
      </c>
      <c r="X52" s="80">
        <f t="shared" ca="1" si="33"/>
        <v>-13.153451781262602</v>
      </c>
      <c r="Y52" s="80">
        <f t="shared" ca="1" si="34"/>
        <v>-341.86144842601323</v>
      </c>
      <c r="Z52" s="80">
        <f t="shared" ca="1" si="23"/>
        <v>0</v>
      </c>
      <c r="AA52" s="80">
        <f t="shared" ca="1" si="35"/>
        <v>-389.72205120565513</v>
      </c>
      <c r="AB52" s="81">
        <f t="shared" ca="1" si="7"/>
        <v>-2192.7769982140385</v>
      </c>
      <c r="AC52" s="79">
        <f t="shared" ca="1" si="8"/>
        <v>410094.63088460849</v>
      </c>
      <c r="AD52" s="35"/>
      <c r="AE52" s="62">
        <f t="shared" ca="1" si="9"/>
        <v>-2500.6101455486769</v>
      </c>
      <c r="AF52" s="62">
        <f t="shared" ca="1" si="10"/>
        <v>467665.79340276041</v>
      </c>
      <c r="AG52" s="35"/>
      <c r="AH52" s="35"/>
      <c r="AI52" s="35"/>
      <c r="AJ52" s="65">
        <v>66</v>
      </c>
      <c r="AK52" s="66">
        <f>'SA85-90'!F58*(1+$AH$22)</f>
        <v>2.9425000000000003E-2</v>
      </c>
      <c r="AL52" s="66">
        <f>'SA85-90 (light)'!F58*(1+$AH$22)</f>
        <v>2.9260000000000001E-2</v>
      </c>
      <c r="AM52" s="66">
        <f t="shared" si="46"/>
        <v>113</v>
      </c>
      <c r="AN52" s="66">
        <f t="shared" si="47"/>
        <v>0</v>
      </c>
      <c r="AO52" s="67">
        <f t="shared" si="36"/>
        <v>2.5664517644146633E-5</v>
      </c>
      <c r="AP52" s="68">
        <f t="shared" ca="1" si="48"/>
        <v>5.1133518007670244E-7</v>
      </c>
      <c r="AR52" s="69">
        <f t="shared" si="27"/>
        <v>5</v>
      </c>
      <c r="AS52" s="70">
        <f t="shared" si="37"/>
        <v>49</v>
      </c>
      <c r="AT52" s="71">
        <f t="shared" si="38"/>
        <v>0.71505312447308278</v>
      </c>
      <c r="AU52" s="72">
        <f t="shared" si="11"/>
        <v>6.8214933659622723E-3</v>
      </c>
      <c r="AV52" s="73">
        <f t="shared" si="28"/>
        <v>1.0068214933659623</v>
      </c>
      <c r="AW52" s="74">
        <f>PRODUCT(AV$4:AV52)</f>
        <v>1.3953123265574781</v>
      </c>
      <c r="AY52" s="75">
        <f t="shared" si="39"/>
        <v>49</v>
      </c>
      <c r="AZ52" s="76">
        <f t="shared" ca="1" si="50"/>
        <v>1.0068214933659623</v>
      </c>
      <c r="BA52" s="76">
        <f t="shared" ca="1" si="50"/>
        <v>1.0068214933659623</v>
      </c>
      <c r="BB52" s="76">
        <f t="shared" ca="1" si="50"/>
        <v>1.0068214933659623</v>
      </c>
      <c r="BC52" s="76">
        <f t="shared" ca="1" si="50"/>
        <v>1.0068214933659623</v>
      </c>
      <c r="BD52" s="76">
        <f t="shared" ca="1" si="50"/>
        <v>1.0068214933659623</v>
      </c>
      <c r="BE52" s="76">
        <f t="shared" ca="1" si="50"/>
        <v>1.0068214933659623</v>
      </c>
      <c r="BF52" s="76">
        <f t="shared" ca="1" si="50"/>
        <v>1.0068214933659623</v>
      </c>
      <c r="BG52" s="76">
        <f t="shared" ca="1" si="50"/>
        <v>1.0068214933659623</v>
      </c>
      <c r="BH52" s="76">
        <f t="shared" ca="1" si="50"/>
        <v>1.0068214933659623</v>
      </c>
      <c r="BI52" s="76">
        <f t="shared" ca="1" si="50"/>
        <v>1.0068214933659623</v>
      </c>
      <c r="BJ52" s="76">
        <f t="shared" ca="1" si="50"/>
        <v>1.0068214933659623</v>
      </c>
      <c r="BK52" s="76">
        <f t="shared" ca="1" si="50"/>
        <v>1.0068214933659623</v>
      </c>
      <c r="BL52" s="76">
        <f t="shared" ca="1" si="45"/>
        <v>8.5000000000000853E-2</v>
      </c>
      <c r="BM52" s="77">
        <f t="shared" ca="1" si="49"/>
        <v>54.457433653835629</v>
      </c>
    </row>
    <row r="53" spans="5:65">
      <c r="E53">
        <f t="shared" si="31"/>
        <v>50</v>
      </c>
      <c r="F53" s="64">
        <f t="shared" si="14"/>
        <v>58.92</v>
      </c>
      <c r="G53" s="55">
        <f t="shared" si="0"/>
        <v>0</v>
      </c>
      <c r="H53" s="78">
        <f t="shared" si="40"/>
        <v>1</v>
      </c>
      <c r="I53" s="79">
        <f t="shared" si="15"/>
        <v>482638.85206179781</v>
      </c>
      <c r="J53" s="79">
        <f t="shared" si="1"/>
        <v>3292.3177274952004</v>
      </c>
      <c r="K53" s="80">
        <f t="shared" si="2"/>
        <v>-15</v>
      </c>
      <c r="L53" s="80">
        <f t="shared" si="16"/>
        <v>-402.19904338483155</v>
      </c>
      <c r="M53" s="80">
        <f t="shared" si="42"/>
        <v>0</v>
      </c>
      <c r="N53" s="80">
        <f t="shared" si="18"/>
        <v>-458.50690945870798</v>
      </c>
      <c r="O53" s="81">
        <f t="shared" si="3"/>
        <v>-2083.3333333333335</v>
      </c>
      <c r="P53" s="79">
        <f t="shared" si="4"/>
        <v>482972.13050311618</v>
      </c>
      <c r="Q53" s="35"/>
      <c r="R53">
        <f t="shared" ca="1" si="19"/>
        <v>175</v>
      </c>
      <c r="S53" s="78">
        <f t="shared" ca="1" si="20"/>
        <v>68.92</v>
      </c>
      <c r="T53" s="55">
        <f t="shared" ca="1" si="5"/>
        <v>3.2787340871175408E-3</v>
      </c>
      <c r="U53" s="78">
        <f t="shared" ca="1" si="32"/>
        <v>0.87402167403627462</v>
      </c>
      <c r="V53" s="79">
        <f t="shared" ca="1" si="21"/>
        <v>408750.03963938326</v>
      </c>
      <c r="W53" s="79">
        <f t="shared" ca="1" si="6"/>
        <v>2788.2856837368686</v>
      </c>
      <c r="X53" s="80">
        <f t="shared" ca="1" si="33"/>
        <v>-13.110325110544119</v>
      </c>
      <c r="Y53" s="80">
        <f t="shared" ca="1" si="34"/>
        <v>-340.62503303281943</v>
      </c>
      <c r="Z53" s="80">
        <f t="shared" ca="1" si="23"/>
        <v>0</v>
      </c>
      <c r="AA53" s="80">
        <f t="shared" ca="1" si="35"/>
        <v>-388.31253765741417</v>
      </c>
      <c r="AB53" s="81">
        <f t="shared" ca="1" si="7"/>
        <v>-2185.587465524547</v>
      </c>
      <c r="AC53" s="79">
        <f t="shared" ca="1" si="8"/>
        <v>408610.68996179476</v>
      </c>
      <c r="AD53" s="35"/>
      <c r="AE53" s="62">
        <f t="shared" ca="1" si="9"/>
        <v>-2500.6101455486769</v>
      </c>
      <c r="AF53" s="62">
        <f t="shared" ca="1" si="10"/>
        <v>467506.35836616124</v>
      </c>
      <c r="AG53" s="35"/>
      <c r="AH53" s="35"/>
      <c r="AI53" s="35"/>
      <c r="AJ53" s="65">
        <v>67</v>
      </c>
      <c r="AK53" s="66">
        <f>'SA85-90'!F59*(1+$AH$22)</f>
        <v>3.2252000000000003E-2</v>
      </c>
      <c r="AL53" s="66">
        <f>'SA85-90 (light)'!F59*(1+$AH$22)</f>
        <v>3.2109000000000006E-2</v>
      </c>
      <c r="AM53" s="66">
        <f t="shared" si="46"/>
        <v>114</v>
      </c>
      <c r="AN53" s="66">
        <f t="shared" si="47"/>
        <v>0</v>
      </c>
      <c r="AO53" s="67">
        <f t="shared" si="36"/>
        <v>2.5664517644146633E-5</v>
      </c>
      <c r="AP53" s="68">
        <f t="shared" ca="1" si="48"/>
        <v>4.7127666366516321E-7</v>
      </c>
      <c r="AR53" s="69">
        <f t="shared" si="27"/>
        <v>5</v>
      </c>
      <c r="AS53" s="70">
        <f t="shared" si="37"/>
        <v>50</v>
      </c>
      <c r="AT53" s="71">
        <f t="shared" si="38"/>
        <v>0.710175394328179</v>
      </c>
      <c r="AU53" s="72">
        <f t="shared" si="11"/>
        <v>6.8214933659622723E-3</v>
      </c>
      <c r="AV53" s="73">
        <f t="shared" si="28"/>
        <v>1.0068214933659623</v>
      </c>
      <c r="AW53" s="74">
        <f>PRODUCT(AV$4:AV53)</f>
        <v>1.4048304403365353</v>
      </c>
      <c r="AY53" s="75">
        <f t="shared" si="39"/>
        <v>50</v>
      </c>
      <c r="AZ53" s="76">
        <f t="shared" ca="1" si="50"/>
        <v>1.0068214933659623</v>
      </c>
      <c r="BA53" s="76">
        <f t="shared" ca="1" si="50"/>
        <v>1.0068214933659623</v>
      </c>
      <c r="BB53" s="76">
        <f t="shared" ca="1" si="50"/>
        <v>1.0068214933659623</v>
      </c>
      <c r="BC53" s="76">
        <f t="shared" ca="1" si="50"/>
        <v>1.0068214933659623</v>
      </c>
      <c r="BD53" s="76">
        <f t="shared" ca="1" si="50"/>
        <v>1.0068214933659623</v>
      </c>
      <c r="BE53" s="76">
        <f t="shared" ca="1" si="50"/>
        <v>1.0068214933659623</v>
      </c>
      <c r="BF53" s="76">
        <f t="shared" ca="1" si="50"/>
        <v>1.0068214933659623</v>
      </c>
      <c r="BG53" s="76">
        <f t="shared" ca="1" si="50"/>
        <v>1.0068214933659623</v>
      </c>
      <c r="BH53" s="76">
        <f t="shared" ca="1" si="50"/>
        <v>1.0068214933659623</v>
      </c>
      <c r="BI53" s="76">
        <f t="shared" ca="1" si="50"/>
        <v>1.0068214933659623</v>
      </c>
      <c r="BJ53" s="76">
        <f t="shared" ca="1" si="50"/>
        <v>1.0068214933659623</v>
      </c>
      <c r="BK53" s="76">
        <f t="shared" ca="1" si="50"/>
        <v>1.0068214933659623</v>
      </c>
      <c r="BL53" s="76">
        <f t="shared" ca="1" si="45"/>
        <v>8.5000000000000853E-2</v>
      </c>
      <c r="BM53" s="77">
        <f t="shared" ca="1" si="49"/>
        <v>59.086315514411702</v>
      </c>
    </row>
    <row r="54" spans="5:65">
      <c r="E54">
        <f t="shared" si="31"/>
        <v>51</v>
      </c>
      <c r="F54" s="64">
        <f t="shared" si="14"/>
        <v>59</v>
      </c>
      <c r="G54" s="55">
        <f t="shared" si="0"/>
        <v>0</v>
      </c>
      <c r="H54" s="78">
        <f t="shared" si="40"/>
        <v>1</v>
      </c>
      <c r="I54" s="79">
        <f t="shared" si="15"/>
        <v>482972.13050311618</v>
      </c>
      <c r="J54" s="79">
        <f t="shared" si="1"/>
        <v>3294.591184171672</v>
      </c>
      <c r="K54" s="80">
        <f t="shared" si="2"/>
        <v>-15</v>
      </c>
      <c r="L54" s="80">
        <f t="shared" si="16"/>
        <v>-402.4767754192635</v>
      </c>
      <c r="M54" s="80">
        <f t="shared" si="42"/>
        <v>0</v>
      </c>
      <c r="N54" s="80">
        <f t="shared" si="18"/>
        <v>-458.82352397796041</v>
      </c>
      <c r="O54" s="81">
        <f t="shared" si="3"/>
        <v>-2083.3333333333335</v>
      </c>
      <c r="P54" s="79">
        <f t="shared" si="4"/>
        <v>483307.08805455733</v>
      </c>
      <c r="Q54" s="35"/>
      <c r="R54">
        <f t="shared" ca="1" si="19"/>
        <v>176</v>
      </c>
      <c r="S54" s="78">
        <f t="shared" ca="1" si="20"/>
        <v>69</v>
      </c>
      <c r="T54" s="55">
        <f t="shared" ca="1" si="5"/>
        <v>3.2787340871175408E-3</v>
      </c>
      <c r="U54" s="78">
        <f t="shared" ca="1" si="32"/>
        <v>0.87115598938073235</v>
      </c>
      <c r="V54" s="79">
        <f t="shared" ca="1" si="21"/>
        <v>407270.96416425641</v>
      </c>
      <c r="W54" s="79">
        <f t="shared" ca="1" si="6"/>
        <v>2778.1961801955335</v>
      </c>
      <c r="X54" s="80">
        <f t="shared" ca="1" si="33"/>
        <v>-13.067339840710986</v>
      </c>
      <c r="Y54" s="80">
        <f t="shared" ca="1" si="34"/>
        <v>-339.39247013688038</v>
      </c>
      <c r="Z54" s="80">
        <f t="shared" ca="1" si="23"/>
        <v>0</v>
      </c>
      <c r="AA54" s="80">
        <f t="shared" ca="1" si="35"/>
        <v>-386.90741595604368</v>
      </c>
      <c r="AB54" s="81">
        <f t="shared" ca="1" si="7"/>
        <v>-2178.4215054009546</v>
      </c>
      <c r="AC54" s="79">
        <f t="shared" ca="1" si="8"/>
        <v>407131.3716131174</v>
      </c>
      <c r="AD54" s="35"/>
      <c r="AE54" s="62">
        <f t="shared" ca="1" si="9"/>
        <v>-2500.6101455486769</v>
      </c>
      <c r="AF54" s="62">
        <f t="shared" ca="1" si="10"/>
        <v>467346.12007033289</v>
      </c>
      <c r="AG54" s="35"/>
      <c r="AH54" s="35"/>
      <c r="AI54" s="35"/>
      <c r="AJ54" s="65">
        <v>68</v>
      </c>
      <c r="AK54" s="66">
        <f>'SA85-90'!F60*(1+$AH$22)</f>
        <v>3.5321000000000005E-2</v>
      </c>
      <c r="AL54" s="66">
        <f>'SA85-90 (light)'!F60*(1+$AH$22)</f>
        <v>3.5210999999999999E-2</v>
      </c>
      <c r="AM54" s="66">
        <f t="shared" si="46"/>
        <v>115</v>
      </c>
      <c r="AN54" s="66">
        <f t="shared" si="47"/>
        <v>0</v>
      </c>
      <c r="AO54" s="67">
        <f t="shared" si="36"/>
        <v>2.5664517644146633E-5</v>
      </c>
      <c r="AP54" s="68">
        <f t="shared" ca="1" si="48"/>
        <v>4.3435637204162474E-7</v>
      </c>
      <c r="AR54" s="69">
        <f t="shared" si="27"/>
        <v>5</v>
      </c>
      <c r="AS54" s="70">
        <f t="shared" si="37"/>
        <v>51</v>
      </c>
      <c r="AT54" s="71">
        <f t="shared" si="38"/>
        <v>0.70533093758709964</v>
      </c>
      <c r="AU54" s="72">
        <f t="shared" si="11"/>
        <v>6.8214933659622723E-3</v>
      </c>
      <c r="AV54" s="73">
        <f t="shared" si="28"/>
        <v>1.0068214933659623</v>
      </c>
      <c r="AW54" s="74">
        <f>PRODUCT(AV$4:AV54)</f>
        <v>1.4144134818655927</v>
      </c>
      <c r="AY54" s="75">
        <f t="shared" si="39"/>
        <v>51</v>
      </c>
      <c r="AZ54" s="76">
        <f t="shared" ca="1" si="50"/>
        <v>1.0068214933659623</v>
      </c>
      <c r="BA54" s="76">
        <f t="shared" ca="1" si="50"/>
        <v>1.0068214933659623</v>
      </c>
      <c r="BB54" s="76">
        <f t="shared" ca="1" si="50"/>
        <v>1.0068214933659623</v>
      </c>
      <c r="BC54" s="76">
        <f t="shared" ca="1" si="50"/>
        <v>1.0068214933659623</v>
      </c>
      <c r="BD54" s="76">
        <f t="shared" ca="1" si="50"/>
        <v>1.0068214933659623</v>
      </c>
      <c r="BE54" s="76">
        <f t="shared" ca="1" si="50"/>
        <v>1.0068214933659623</v>
      </c>
      <c r="BF54" s="76">
        <f t="shared" ca="1" si="50"/>
        <v>1.0068214933659623</v>
      </c>
      <c r="BG54" s="76">
        <f t="shared" ca="1" si="50"/>
        <v>1.0068214933659623</v>
      </c>
      <c r="BH54" s="76">
        <f t="shared" ca="1" si="50"/>
        <v>1.0068214933659623</v>
      </c>
      <c r="BI54" s="76">
        <f t="shared" ca="1" si="50"/>
        <v>1.0068214933659623</v>
      </c>
      <c r="BJ54" s="76">
        <f t="shared" ca="1" si="50"/>
        <v>1.0068214933659623</v>
      </c>
      <c r="BK54" s="76">
        <f t="shared" ca="1" si="50"/>
        <v>1.0068214933659623</v>
      </c>
      <c r="BL54" s="76">
        <f t="shared" ca="1" si="45"/>
        <v>8.5000000000000853E-2</v>
      </c>
      <c r="BM54" s="77">
        <f t="shared" ca="1" si="49"/>
        <v>64.108652333136746</v>
      </c>
    </row>
    <row r="55" spans="5:65">
      <c r="E55">
        <f t="shared" si="31"/>
        <v>52</v>
      </c>
      <c r="F55" s="64">
        <f t="shared" si="14"/>
        <v>59.08</v>
      </c>
      <c r="G55" s="55">
        <f t="shared" si="0"/>
        <v>0</v>
      </c>
      <c r="H55" s="78">
        <f t="shared" si="40"/>
        <v>1</v>
      </c>
      <c r="I55" s="79">
        <f t="shared" si="15"/>
        <v>483307.08805455733</v>
      </c>
      <c r="J55" s="79">
        <f t="shared" si="1"/>
        <v>3296.8760948867066</v>
      </c>
      <c r="K55" s="80">
        <f t="shared" si="2"/>
        <v>-15</v>
      </c>
      <c r="L55" s="80">
        <f t="shared" si="16"/>
        <v>-402.75590671213115</v>
      </c>
      <c r="M55" s="80">
        <f t="shared" si="42"/>
        <v>0</v>
      </c>
      <c r="N55" s="80">
        <f t="shared" si="18"/>
        <v>-459.14173365182955</v>
      </c>
      <c r="O55" s="81">
        <f t="shared" si="3"/>
        <v>-2083.3333333333335</v>
      </c>
      <c r="P55" s="79">
        <f t="shared" si="4"/>
        <v>483643.73317574675</v>
      </c>
      <c r="Q55" s="35"/>
      <c r="R55">
        <f t="shared" ca="1" si="19"/>
        <v>177</v>
      </c>
      <c r="S55" s="78">
        <f t="shared" ca="1" si="20"/>
        <v>69.08</v>
      </c>
      <c r="T55" s="55">
        <f t="shared" ca="1" si="5"/>
        <v>3.2787340871175408E-3</v>
      </c>
      <c r="U55" s="78">
        <f t="shared" ca="1" si="32"/>
        <v>0.86829970054315309</v>
      </c>
      <c r="V55" s="79">
        <f t="shared" ca="1" si="21"/>
        <v>405796.49610707455</v>
      </c>
      <c r="W55" s="79">
        <f t="shared" ca="1" si="6"/>
        <v>2768.1381061251441</v>
      </c>
      <c r="X55" s="80">
        <f t="shared" ca="1" si="33"/>
        <v>-13.024495508147297</v>
      </c>
      <c r="Y55" s="80">
        <f t="shared" ca="1" si="34"/>
        <v>-338.16374675589549</v>
      </c>
      <c r="Z55" s="80">
        <f t="shared" ca="1" si="23"/>
        <v>0</v>
      </c>
      <c r="AA55" s="80">
        <f t="shared" ca="1" si="35"/>
        <v>-385.50667130172087</v>
      </c>
      <c r="AB55" s="81">
        <f t="shared" ca="1" si="7"/>
        <v>-2171.2790405550863</v>
      </c>
      <c r="AC55" s="79">
        <f t="shared" ca="1" si="8"/>
        <v>405656.66025907878</v>
      </c>
      <c r="AD55" s="35"/>
      <c r="AE55" s="62">
        <f t="shared" ca="1" si="9"/>
        <v>-2500.6101455486764</v>
      </c>
      <c r="AF55" s="62">
        <f t="shared" ca="1" si="10"/>
        <v>467185.07446832675</v>
      </c>
      <c r="AG55" s="35"/>
      <c r="AH55" s="35"/>
      <c r="AI55" s="35"/>
      <c r="AJ55" s="65">
        <v>69</v>
      </c>
      <c r="AK55" s="66">
        <f>'SA85-90'!F61*(1+$AH$22)</f>
        <v>3.8643000000000004E-2</v>
      </c>
      <c r="AL55" s="66">
        <f>'SA85-90 (light)'!F61*(1+$AH$22)</f>
        <v>3.8566000000000003E-2</v>
      </c>
      <c r="AM55" s="66">
        <f t="shared" si="46"/>
        <v>116</v>
      </c>
      <c r="AN55" s="66">
        <f t="shared" si="47"/>
        <v>0</v>
      </c>
      <c r="AO55" s="67">
        <f t="shared" si="36"/>
        <v>2.5664517644146633E-5</v>
      </c>
      <c r="AP55" s="68">
        <f t="shared" ca="1" si="48"/>
        <v>4.0032845349458469E-7</v>
      </c>
      <c r="AR55" s="69">
        <f t="shared" si="27"/>
        <v>5</v>
      </c>
      <c r="AS55" s="70">
        <f t="shared" si="37"/>
        <v>52</v>
      </c>
      <c r="AT55" s="71">
        <f t="shared" si="38"/>
        <v>0.70051952727554134</v>
      </c>
      <c r="AU55" s="72">
        <f t="shared" si="11"/>
        <v>6.8214933659622723E-3</v>
      </c>
      <c r="AV55" s="73">
        <f t="shared" si="28"/>
        <v>1.0068214933659623</v>
      </c>
      <c r="AW55" s="74">
        <f>PRODUCT(AV$4:AV55)</f>
        <v>1.4240618940488665</v>
      </c>
      <c r="AY55" s="75">
        <f t="shared" si="39"/>
        <v>52</v>
      </c>
      <c r="AZ55" s="76">
        <f t="shared" ref="AZ55:BK64" ca="1" si="51">OFFSET($AV$3,($AY55*12-12)+AZ$3,0)</f>
        <v>1.0068214933659623</v>
      </c>
      <c r="BA55" s="76">
        <f t="shared" ca="1" si="51"/>
        <v>1.0068214933659623</v>
      </c>
      <c r="BB55" s="76">
        <f t="shared" ca="1" si="51"/>
        <v>1.0068214933659623</v>
      </c>
      <c r="BC55" s="76">
        <f t="shared" ca="1" si="51"/>
        <v>1.0068214933659623</v>
      </c>
      <c r="BD55" s="76">
        <f t="shared" ca="1" si="51"/>
        <v>1.0068214933659623</v>
      </c>
      <c r="BE55" s="76">
        <f t="shared" ca="1" si="51"/>
        <v>1.0068214933659623</v>
      </c>
      <c r="BF55" s="76">
        <f t="shared" ca="1" si="51"/>
        <v>1.0068214933659623</v>
      </c>
      <c r="BG55" s="76">
        <f t="shared" ca="1" si="51"/>
        <v>1.0068214933659623</v>
      </c>
      <c r="BH55" s="76">
        <f t="shared" ca="1" si="51"/>
        <v>1.0068214933659623</v>
      </c>
      <c r="BI55" s="76">
        <f t="shared" ca="1" si="51"/>
        <v>1.0068214933659623</v>
      </c>
      <c r="BJ55" s="76">
        <f t="shared" ca="1" si="51"/>
        <v>1.0068214933659623</v>
      </c>
      <c r="BK55" s="76">
        <f t="shared" ca="1" si="51"/>
        <v>1.0068214933659623</v>
      </c>
      <c r="BL55" s="76">
        <f t="shared" ca="1" si="45"/>
        <v>8.5000000000000853E-2</v>
      </c>
      <c r="BM55" s="77">
        <f t="shared" ca="1" si="49"/>
        <v>69.557887781453431</v>
      </c>
    </row>
    <row r="56" spans="5:65">
      <c r="E56">
        <f t="shared" si="31"/>
        <v>53</v>
      </c>
      <c r="F56" s="64">
        <f t="shared" si="14"/>
        <v>59.16</v>
      </c>
      <c r="G56" s="55">
        <f t="shared" si="0"/>
        <v>0</v>
      </c>
      <c r="H56" s="78">
        <f t="shared" si="40"/>
        <v>1</v>
      </c>
      <c r="I56" s="79">
        <f t="shared" si="15"/>
        <v>483643.73317574675</v>
      </c>
      <c r="J56" s="79">
        <f t="shared" si="1"/>
        <v>3299.1725173475838</v>
      </c>
      <c r="K56" s="80">
        <f t="shared" si="2"/>
        <v>-15</v>
      </c>
      <c r="L56" s="80">
        <f t="shared" si="16"/>
        <v>-403.03644431312233</v>
      </c>
      <c r="M56" s="80">
        <f t="shared" si="42"/>
        <v>0</v>
      </c>
      <c r="N56" s="80">
        <f t="shared" si="18"/>
        <v>-459.46154651695952</v>
      </c>
      <c r="O56" s="81">
        <f t="shared" si="3"/>
        <v>-2083.3333333333335</v>
      </c>
      <c r="P56" s="79">
        <f t="shared" si="4"/>
        <v>483982.07436893089</v>
      </c>
      <c r="Q56" s="35"/>
      <c r="R56">
        <f t="shared" ca="1" si="19"/>
        <v>178</v>
      </c>
      <c r="S56" s="78">
        <f t="shared" ca="1" si="20"/>
        <v>69.16</v>
      </c>
      <c r="T56" s="55">
        <f t="shared" ca="1" si="5"/>
        <v>3.2787340871175408E-3</v>
      </c>
      <c r="U56" s="78">
        <f t="shared" ca="1" si="32"/>
        <v>0.86545277671714826</v>
      </c>
      <c r="V56" s="79">
        <f t="shared" ca="1" si="21"/>
        <v>404326.61993942107</v>
      </c>
      <c r="W56" s="79">
        <f t="shared" ca="1" si="6"/>
        <v>2758.1113555987099</v>
      </c>
      <c r="X56" s="80">
        <f t="shared" ca="1" si="33"/>
        <v>-12.981791650757224</v>
      </c>
      <c r="Y56" s="80">
        <f t="shared" ca="1" si="34"/>
        <v>-336.93884994951759</v>
      </c>
      <c r="Z56" s="80">
        <f t="shared" ca="1" si="23"/>
        <v>0</v>
      </c>
      <c r="AA56" s="80">
        <f t="shared" ca="1" si="35"/>
        <v>-384.1102889424501</v>
      </c>
      <c r="AB56" s="81">
        <f t="shared" ca="1" si="7"/>
        <v>-2164.1599939521748</v>
      </c>
      <c r="AC56" s="79">
        <f t="shared" ca="1" si="8"/>
        <v>404186.54037052486</v>
      </c>
      <c r="AD56" s="35"/>
      <c r="AE56" s="62">
        <f t="shared" ca="1" si="9"/>
        <v>-2500.6101455486769</v>
      </c>
      <c r="AF56" s="62">
        <f t="shared" ca="1" si="10"/>
        <v>467023.21749280515</v>
      </c>
      <c r="AG56" s="35"/>
      <c r="AH56" s="35"/>
      <c r="AI56" s="35"/>
      <c r="AJ56" s="65">
        <v>70</v>
      </c>
      <c r="AK56" s="66">
        <f>'SA85-90'!F62*(1+$AH$22)</f>
        <v>4.224E-2</v>
      </c>
      <c r="AL56" s="66">
        <f>'SA85-90 (light)'!F62*(1+$AH$22)</f>
        <v>4.2196000000000004E-2</v>
      </c>
      <c r="AM56" s="66">
        <f t="shared" si="46"/>
        <v>117</v>
      </c>
      <c r="AN56" s="66">
        <f t="shared" si="47"/>
        <v>0</v>
      </c>
      <c r="AO56" s="67">
        <f t="shared" si="36"/>
        <v>2.5664517644146633E-5</v>
      </c>
      <c r="AP56" s="68">
        <f t="shared" ca="1" si="48"/>
        <v>3.6896631658487035E-7</v>
      </c>
      <c r="AR56" s="69">
        <f t="shared" si="27"/>
        <v>5</v>
      </c>
      <c r="AS56" s="70">
        <f t="shared" si="37"/>
        <v>53</v>
      </c>
      <c r="AT56" s="71">
        <f t="shared" si="38"/>
        <v>0.69574093796750425</v>
      </c>
      <c r="AU56" s="72">
        <f t="shared" si="11"/>
        <v>6.8214933659622723E-3</v>
      </c>
      <c r="AV56" s="73">
        <f t="shared" si="28"/>
        <v>1.0068214933659623</v>
      </c>
      <c r="AW56" s="74">
        <f>PRODUCT(AV$4:AV56)</f>
        <v>1.4337761228118406</v>
      </c>
      <c r="AY56" s="75">
        <f t="shared" si="39"/>
        <v>53</v>
      </c>
      <c r="AZ56" s="76">
        <f t="shared" ca="1" si="51"/>
        <v>1.0068214933659623</v>
      </c>
      <c r="BA56" s="76">
        <f t="shared" ca="1" si="51"/>
        <v>1.0068214933659623</v>
      </c>
      <c r="BB56" s="76">
        <f t="shared" ca="1" si="51"/>
        <v>1.0068214933659623</v>
      </c>
      <c r="BC56" s="76">
        <f t="shared" ca="1" si="51"/>
        <v>1.0068214933659623</v>
      </c>
      <c r="BD56" s="76">
        <f t="shared" ca="1" si="51"/>
        <v>1.0068214933659623</v>
      </c>
      <c r="BE56" s="76">
        <f t="shared" ca="1" si="51"/>
        <v>1.0068214933659623</v>
      </c>
      <c r="BF56" s="76">
        <f t="shared" ca="1" si="51"/>
        <v>1.0068214933659623</v>
      </c>
      <c r="BG56" s="76">
        <f t="shared" ca="1" si="51"/>
        <v>1.0068214933659623</v>
      </c>
      <c r="BH56" s="76">
        <f t="shared" ca="1" si="51"/>
        <v>1.0068214933659623</v>
      </c>
      <c r="BI56" s="76">
        <f t="shared" ca="1" si="51"/>
        <v>1.0068214933659623</v>
      </c>
      <c r="BJ56" s="76">
        <f t="shared" ca="1" si="51"/>
        <v>1.0068214933659623</v>
      </c>
      <c r="BK56" s="76">
        <f t="shared" ca="1" si="51"/>
        <v>1.0068214933659623</v>
      </c>
      <c r="BL56" s="76">
        <f t="shared" ca="1" si="45"/>
        <v>8.5000000000000853E-2</v>
      </c>
      <c r="BM56" s="77">
        <f t="shared" ca="1" si="49"/>
        <v>75.470308242877039</v>
      </c>
    </row>
    <row r="57" spans="5:65">
      <c r="E57">
        <f t="shared" si="31"/>
        <v>54</v>
      </c>
      <c r="F57" s="64">
        <f t="shared" si="14"/>
        <v>59.24</v>
      </c>
      <c r="G57" s="55">
        <f t="shared" si="0"/>
        <v>0</v>
      </c>
      <c r="H57" s="78">
        <f t="shared" si="40"/>
        <v>1</v>
      </c>
      <c r="I57" s="79">
        <f t="shared" si="15"/>
        <v>483982.07436893089</v>
      </c>
      <c r="J57" s="79">
        <f t="shared" si="1"/>
        <v>3301.4805095523211</v>
      </c>
      <c r="K57" s="80">
        <f t="shared" si="2"/>
        <v>-15</v>
      </c>
      <c r="L57" s="80">
        <f t="shared" si="16"/>
        <v>-403.31839530744242</v>
      </c>
      <c r="M57" s="80">
        <f t="shared" si="42"/>
        <v>0</v>
      </c>
      <c r="N57" s="80">
        <f t="shared" si="18"/>
        <v>-459.78297065048446</v>
      </c>
      <c r="O57" s="81">
        <f t="shared" si="3"/>
        <v>-2083.3333333333335</v>
      </c>
      <c r="P57" s="79">
        <f t="shared" si="4"/>
        <v>484322.12017919199</v>
      </c>
      <c r="Q57" s="35"/>
      <c r="R57">
        <f t="shared" ca="1" si="19"/>
        <v>179</v>
      </c>
      <c r="S57" s="78">
        <f t="shared" ca="1" si="20"/>
        <v>69.239999999999995</v>
      </c>
      <c r="T57" s="55">
        <f t="shared" ca="1" si="5"/>
        <v>3.2787340871175408E-3</v>
      </c>
      <c r="U57" s="78">
        <f t="shared" ca="1" si="32"/>
        <v>0.86261518719733521</v>
      </c>
      <c r="V57" s="79">
        <f t="shared" ca="1" si="21"/>
        <v>402861.32018305792</v>
      </c>
      <c r="W57" s="79">
        <f t="shared" ca="1" si="6"/>
        <v>2748.1158230315323</v>
      </c>
      <c r="X57" s="80">
        <f t="shared" ca="1" si="33"/>
        <v>-12.939227807960028</v>
      </c>
      <c r="Y57" s="80">
        <f t="shared" ca="1" si="34"/>
        <v>-335.71776681921494</v>
      </c>
      <c r="Z57" s="80">
        <f t="shared" ca="1" si="23"/>
        <v>0</v>
      </c>
      <c r="AA57" s="80">
        <f t="shared" ca="1" si="35"/>
        <v>-382.71825417390511</v>
      </c>
      <c r="AB57" s="81">
        <f t="shared" ca="1" si="7"/>
        <v>-2157.0642888100278</v>
      </c>
      <c r="AC57" s="79">
        <f t="shared" ca="1" si="8"/>
        <v>402720.99646847829</v>
      </c>
      <c r="AD57" s="35"/>
      <c r="AE57" s="62">
        <f t="shared" ca="1" si="9"/>
        <v>-2500.6101455486773</v>
      </c>
      <c r="AF57" s="62">
        <f t="shared" ca="1" si="10"/>
        <v>466860.54505593842</v>
      </c>
      <c r="AG57" s="35"/>
      <c r="AH57" s="35"/>
      <c r="AI57" s="35"/>
      <c r="AJ57" s="65">
        <v>71</v>
      </c>
      <c r="AK57" s="66">
        <f>'SA85-90'!F63*(1+$AH$22)</f>
        <v>4.6112E-2</v>
      </c>
      <c r="AL57" s="66">
        <f>'SA85-90 (light)'!F63*(1+$AH$22)</f>
        <v>4.610100000000001E-2</v>
      </c>
      <c r="AM57" s="66">
        <f t="shared" si="46"/>
        <v>118</v>
      </c>
      <c r="AN57" s="66">
        <f t="shared" si="47"/>
        <v>0</v>
      </c>
      <c r="AO57" s="67">
        <f t="shared" si="36"/>
        <v>2.5664517644146633E-5</v>
      </c>
      <c r="AP57" s="68">
        <f t="shared" ca="1" si="48"/>
        <v>3.4006112127637794E-7</v>
      </c>
      <c r="AR57" s="69">
        <f t="shared" si="27"/>
        <v>5</v>
      </c>
      <c r="AS57" s="70">
        <f t="shared" si="37"/>
        <v>54</v>
      </c>
      <c r="AT57" s="71">
        <f t="shared" si="38"/>
        <v>0.69099494577473053</v>
      </c>
      <c r="AU57" s="72">
        <f t="shared" si="11"/>
        <v>6.8214933659622723E-3</v>
      </c>
      <c r="AV57" s="73">
        <f t="shared" si="28"/>
        <v>1.0068214933659623</v>
      </c>
      <c r="AW57" s="74">
        <f>PRODUCT(AV$4:AV57)</f>
        <v>1.4435566171218768</v>
      </c>
      <c r="AY57" s="75">
        <f t="shared" si="39"/>
        <v>54</v>
      </c>
      <c r="AZ57" s="76">
        <f t="shared" ca="1" si="51"/>
        <v>1.0068214933659623</v>
      </c>
      <c r="BA57" s="76">
        <f t="shared" ca="1" si="51"/>
        <v>1.0068214933659623</v>
      </c>
      <c r="BB57" s="76">
        <f t="shared" ca="1" si="51"/>
        <v>1.0068214933659623</v>
      </c>
      <c r="BC57" s="76">
        <f t="shared" ca="1" si="51"/>
        <v>1.0068214933659623</v>
      </c>
      <c r="BD57" s="76">
        <f t="shared" ca="1" si="51"/>
        <v>1.0068214933659623</v>
      </c>
      <c r="BE57" s="76">
        <f t="shared" ca="1" si="51"/>
        <v>1.0068214933659623</v>
      </c>
      <c r="BF57" s="76">
        <f t="shared" ca="1" si="51"/>
        <v>1.0068214933659623</v>
      </c>
      <c r="BG57" s="76">
        <f t="shared" ca="1" si="51"/>
        <v>1.0068214933659623</v>
      </c>
      <c r="BH57" s="76">
        <f t="shared" ca="1" si="51"/>
        <v>1.0068214933659623</v>
      </c>
      <c r="BI57" s="76">
        <f t="shared" ca="1" si="51"/>
        <v>1.0068214933659623</v>
      </c>
      <c r="BJ57" s="76">
        <f t="shared" ca="1" si="51"/>
        <v>1.0068214933659623</v>
      </c>
      <c r="BK57" s="76">
        <f t="shared" ca="1" si="51"/>
        <v>1.0068214933659623</v>
      </c>
      <c r="BL57" s="76">
        <f t="shared" ca="1" si="45"/>
        <v>8.5000000000000853E-2</v>
      </c>
      <c r="BM57" s="77">
        <f t="shared" ca="1" si="49"/>
        <v>81.885284443521655</v>
      </c>
    </row>
    <row r="58" spans="5:65">
      <c r="E58">
        <f t="shared" si="31"/>
        <v>55</v>
      </c>
      <c r="F58" s="64">
        <f t="shared" si="14"/>
        <v>59.32</v>
      </c>
      <c r="G58" s="55">
        <f t="shared" si="0"/>
        <v>0</v>
      </c>
      <c r="H58" s="78">
        <f t="shared" si="40"/>
        <v>1</v>
      </c>
      <c r="I58" s="79">
        <f t="shared" si="15"/>
        <v>484322.12017919199</v>
      </c>
      <c r="J58" s="79">
        <f t="shared" si="1"/>
        <v>3303.8001297911405</v>
      </c>
      <c r="K58" s="80">
        <f t="shared" si="2"/>
        <v>-15</v>
      </c>
      <c r="L58" s="80">
        <f t="shared" si="16"/>
        <v>-403.60176681599336</v>
      </c>
      <c r="M58" s="80">
        <f t="shared" si="42"/>
        <v>0</v>
      </c>
      <c r="N58" s="80">
        <f t="shared" si="18"/>
        <v>-460.10601417023253</v>
      </c>
      <c r="O58" s="81">
        <f t="shared" si="3"/>
        <v>-2083.3333333333335</v>
      </c>
      <c r="P58" s="79">
        <f t="shared" si="4"/>
        <v>484663.8791946636</v>
      </c>
      <c r="Q58" s="35"/>
      <c r="R58">
        <f t="shared" ca="1" si="19"/>
        <v>180</v>
      </c>
      <c r="S58" s="78">
        <f t="shared" ca="1" si="20"/>
        <v>69.319999999999993</v>
      </c>
      <c r="T58" s="55">
        <f t="shared" ca="1" si="5"/>
        <v>3.2787340871175408E-3</v>
      </c>
      <c r="U58" s="78">
        <f t="shared" ca="1" si="32"/>
        <v>0.85978690137900604</v>
      </c>
      <c r="V58" s="79">
        <f t="shared" ca="1" si="21"/>
        <v>401400.58140975912</v>
      </c>
      <c r="W58" s="79">
        <f t="shared" ca="1" si="6"/>
        <v>2738.1514031800707</v>
      </c>
      <c r="X58" s="80">
        <f t="shared" ca="1" si="33"/>
        <v>-12.89680352068509</v>
      </c>
      <c r="Y58" s="80">
        <f t="shared" ca="1" si="34"/>
        <v>-334.50048450813262</v>
      </c>
      <c r="Z58" s="80">
        <f t="shared" ca="1" si="23"/>
        <v>0</v>
      </c>
      <c r="AA58" s="80">
        <f t="shared" ca="1" si="35"/>
        <v>-381.33055233927121</v>
      </c>
      <c r="AB58" s="81">
        <f t="shared" ca="1" si="7"/>
        <v>-2149.9918485982021</v>
      </c>
      <c r="AC58" s="79">
        <f t="shared" ca="1" si="8"/>
        <v>401260.01312397298</v>
      </c>
      <c r="AD58" s="35"/>
      <c r="AE58" s="62">
        <f t="shared" ca="1" si="9"/>
        <v>-2500.6101455486769</v>
      </c>
      <c r="AF58" s="62">
        <f t="shared" ca="1" si="10"/>
        <v>466697.05304930202</v>
      </c>
      <c r="AG58" s="35"/>
      <c r="AH58" s="35"/>
      <c r="AI58" s="35"/>
      <c r="AJ58" s="65">
        <v>72</v>
      </c>
      <c r="AK58" s="66">
        <f>'SA85-90'!F64*(1+$AH$22)</f>
        <v>5.0292000000000003E-2</v>
      </c>
      <c r="AL58" s="66">
        <f>'SA85-90 (light)'!F64*(1+$AH$22)</f>
        <v>5.0314000000000005E-2</v>
      </c>
      <c r="AM58" s="66">
        <f t="shared" si="46"/>
        <v>119</v>
      </c>
      <c r="AN58" s="66">
        <f t="shared" si="47"/>
        <v>0</v>
      </c>
      <c r="AO58" s="67">
        <f t="shared" si="36"/>
        <v>2.5664517644146633E-5</v>
      </c>
      <c r="AP58" s="68">
        <f t="shared" ca="1" si="48"/>
        <v>3.1342038827315911E-7</v>
      </c>
      <c r="AR58" s="69">
        <f t="shared" si="27"/>
        <v>5</v>
      </c>
      <c r="AS58" s="70">
        <f t="shared" si="37"/>
        <v>55</v>
      </c>
      <c r="AT58" s="71">
        <f t="shared" si="38"/>
        <v>0.68628132833621469</v>
      </c>
      <c r="AU58" s="72">
        <f t="shared" si="11"/>
        <v>6.8214933659622723E-3</v>
      </c>
      <c r="AV58" s="73">
        <f t="shared" si="28"/>
        <v>1.0068214933659623</v>
      </c>
      <c r="AW58" s="74">
        <f>PRODUCT(AV$4:AV58)</f>
        <v>1.4534038290089646</v>
      </c>
      <c r="AY58" s="75">
        <f t="shared" si="39"/>
        <v>55</v>
      </c>
      <c r="AZ58" s="76">
        <f t="shared" ca="1" si="51"/>
        <v>1.0068214933659623</v>
      </c>
      <c r="BA58" s="76">
        <f t="shared" ca="1" si="51"/>
        <v>1.0068214933659623</v>
      </c>
      <c r="BB58" s="76">
        <f t="shared" ca="1" si="51"/>
        <v>1.0068214933659623</v>
      </c>
      <c r="BC58" s="76">
        <f t="shared" ca="1" si="51"/>
        <v>1.0068214933659623</v>
      </c>
      <c r="BD58" s="76">
        <f t="shared" ca="1" si="51"/>
        <v>1.0068214933659623</v>
      </c>
      <c r="BE58" s="76">
        <f t="shared" ca="1" si="51"/>
        <v>1.0068214933659623</v>
      </c>
      <c r="BF58" s="76">
        <f t="shared" ca="1" si="51"/>
        <v>1.0068214933659623</v>
      </c>
      <c r="BG58" s="76">
        <f t="shared" ca="1" si="51"/>
        <v>1.0068214933659623</v>
      </c>
      <c r="BH58" s="76">
        <f t="shared" ca="1" si="51"/>
        <v>1.0068214933659623</v>
      </c>
      <c r="BI58" s="76">
        <f t="shared" ca="1" si="51"/>
        <v>1.0068214933659623</v>
      </c>
      <c r="BJ58" s="76">
        <f t="shared" ca="1" si="51"/>
        <v>1.0068214933659623</v>
      </c>
      <c r="BK58" s="76">
        <f t="shared" ca="1" si="51"/>
        <v>1.0068214933659623</v>
      </c>
      <c r="BL58" s="76">
        <f t="shared" ca="1" si="45"/>
        <v>8.5000000000000853E-2</v>
      </c>
      <c r="BM58" s="77">
        <f t="shared" ca="1" si="49"/>
        <v>88.845533621221065</v>
      </c>
    </row>
    <row r="59" spans="5:65">
      <c r="E59">
        <f t="shared" si="31"/>
        <v>56</v>
      </c>
      <c r="F59" s="64">
        <f t="shared" si="14"/>
        <v>59.4</v>
      </c>
      <c r="G59" s="55">
        <f t="shared" si="0"/>
        <v>0</v>
      </c>
      <c r="H59" s="78">
        <f t="shared" si="40"/>
        <v>1</v>
      </c>
      <c r="I59" s="79">
        <f t="shared" si="15"/>
        <v>484663.8791946636</v>
      </c>
      <c r="J59" s="79">
        <f t="shared" si="1"/>
        <v>3306.1314366479378</v>
      </c>
      <c r="K59" s="80">
        <f t="shared" si="2"/>
        <v>-15</v>
      </c>
      <c r="L59" s="80">
        <f t="shared" si="16"/>
        <v>-403.88656599555304</v>
      </c>
      <c r="M59" s="80">
        <f t="shared" si="42"/>
        <v>0</v>
      </c>
      <c r="N59" s="80">
        <f t="shared" si="18"/>
        <v>-460.43068523493048</v>
      </c>
      <c r="O59" s="81">
        <f t="shared" si="3"/>
        <v>-2083.3333333333335</v>
      </c>
      <c r="P59" s="79">
        <f t="shared" si="4"/>
        <v>485007.36004674772</v>
      </c>
      <c r="Q59" s="35"/>
      <c r="R59">
        <f t="shared" ca="1" si="19"/>
        <v>181</v>
      </c>
      <c r="S59" s="78">
        <f t="shared" ca="1" si="20"/>
        <v>69.400000000000006</v>
      </c>
      <c r="T59" s="55">
        <f t="shared" ca="1" si="5"/>
        <v>3.2787340871175408E-3</v>
      </c>
      <c r="U59" s="78">
        <f t="shared" ca="1" si="32"/>
        <v>0.8569678887577975</v>
      </c>
      <c r="V59" s="79">
        <f t="shared" ca="1" si="21"/>
        <v>399944.38824114617</v>
      </c>
      <c r="W59" s="79">
        <f t="shared" ca="1" si="6"/>
        <v>2728.217991140818</v>
      </c>
      <c r="X59" s="80">
        <f t="shared" ca="1" si="33"/>
        <v>-12.854518331366963</v>
      </c>
      <c r="Y59" s="80">
        <f t="shared" ca="1" si="34"/>
        <v>-333.28699020095519</v>
      </c>
      <c r="Z59" s="80">
        <f t="shared" ca="1" si="23"/>
        <v>-2999.5829118085962</v>
      </c>
      <c r="AA59" s="80">
        <f t="shared" ca="1" si="35"/>
        <v>-379.94716882908892</v>
      </c>
      <c r="AB59" s="81">
        <f t="shared" ca="1" si="7"/>
        <v>-2142.9425970371781</v>
      </c>
      <c r="AC59" s="79">
        <f t="shared" ca="1" si="8"/>
        <v>396803.99204607983</v>
      </c>
      <c r="AD59" s="35"/>
      <c r="AE59" s="62">
        <f t="shared" ca="1" si="9"/>
        <v>-2500.6101455486764</v>
      </c>
      <c r="AF59" s="62">
        <f t="shared" ca="1" si="10"/>
        <v>463032.50944590231</v>
      </c>
      <c r="AG59" s="35"/>
      <c r="AH59" s="35"/>
      <c r="AI59" s="35"/>
      <c r="AJ59" s="65">
        <v>73</v>
      </c>
      <c r="AK59" s="66">
        <f>'SA85-90'!F65*(1+$AH$22)</f>
        <v>5.4780000000000002E-2</v>
      </c>
      <c r="AL59" s="66">
        <f>'SA85-90 (light)'!F65*(1+$AH$22)</f>
        <v>5.4824000000000005E-2</v>
      </c>
      <c r="AM59" s="66">
        <f t="shared" si="46"/>
        <v>120</v>
      </c>
      <c r="AN59" s="66">
        <f t="shared" si="47"/>
        <v>0</v>
      </c>
      <c r="AO59" s="67">
        <f t="shared" si="36"/>
        <v>2.5664517644146633E-5</v>
      </c>
      <c r="AP59" s="68">
        <f t="shared" ca="1" si="48"/>
        <v>2.8886671730245055E-7</v>
      </c>
      <c r="AR59" s="69">
        <f t="shared" si="27"/>
        <v>5</v>
      </c>
      <c r="AS59" s="70">
        <f t="shared" si="37"/>
        <v>56</v>
      </c>
      <c r="AT59" s="71">
        <f t="shared" si="38"/>
        <v>0.68159986480778545</v>
      </c>
      <c r="AU59" s="72">
        <f t="shared" si="11"/>
        <v>6.8214933659622723E-3</v>
      </c>
      <c r="AV59" s="73">
        <f t="shared" si="28"/>
        <v>1.0068214933659623</v>
      </c>
      <c r="AW59" s="74">
        <f>PRODUCT(AV$4:AV59)</f>
        <v>1.4633182135866134</v>
      </c>
      <c r="AY59" s="75">
        <f t="shared" si="39"/>
        <v>56</v>
      </c>
      <c r="AZ59" s="76">
        <f t="shared" ca="1" si="51"/>
        <v>1.0068214933659623</v>
      </c>
      <c r="BA59" s="76">
        <f t="shared" ca="1" si="51"/>
        <v>1.0068214933659623</v>
      </c>
      <c r="BB59" s="76">
        <f t="shared" ca="1" si="51"/>
        <v>1.0068214933659623</v>
      </c>
      <c r="BC59" s="76">
        <f t="shared" ca="1" si="51"/>
        <v>1.0068214933659623</v>
      </c>
      <c r="BD59" s="76">
        <f t="shared" ca="1" si="51"/>
        <v>1.0068214933659623</v>
      </c>
      <c r="BE59" s="76">
        <f t="shared" ca="1" si="51"/>
        <v>1.0068214933659623</v>
      </c>
      <c r="BF59" s="76">
        <f t="shared" ca="1" si="51"/>
        <v>1.0068214933659623</v>
      </c>
      <c r="BG59" s="76">
        <f t="shared" ca="1" si="51"/>
        <v>1.0068214933659623</v>
      </c>
      <c r="BH59" s="76">
        <f t="shared" ca="1" si="51"/>
        <v>1.0068214933659623</v>
      </c>
      <c r="BI59" s="76">
        <f t="shared" ca="1" si="51"/>
        <v>1.0068214933659623</v>
      </c>
      <c r="BJ59" s="76">
        <f t="shared" ca="1" si="51"/>
        <v>1.0068214933659623</v>
      </c>
      <c r="BK59" s="76">
        <f t="shared" ca="1" si="51"/>
        <v>1.0068214933659623</v>
      </c>
      <c r="BL59" s="76">
        <f t="shared" ca="1" si="45"/>
        <v>8.5000000000000853E-2</v>
      </c>
      <c r="BM59" s="77">
        <f t="shared" ca="1" si="49"/>
        <v>96.397403979024929</v>
      </c>
    </row>
    <row r="60" spans="5:65">
      <c r="E60">
        <f t="shared" si="31"/>
        <v>57</v>
      </c>
      <c r="F60" s="64">
        <f t="shared" si="14"/>
        <v>59.48</v>
      </c>
      <c r="G60" s="55">
        <f t="shared" si="0"/>
        <v>0</v>
      </c>
      <c r="H60" s="78">
        <f t="shared" si="40"/>
        <v>1</v>
      </c>
      <c r="I60" s="79">
        <f t="shared" si="15"/>
        <v>485007.36004674772</v>
      </c>
      <c r="J60" s="79">
        <f t="shared" si="1"/>
        <v>3308.4744890017651</v>
      </c>
      <c r="K60" s="80">
        <f t="shared" si="2"/>
        <v>-15</v>
      </c>
      <c r="L60" s="80">
        <f t="shared" si="16"/>
        <v>-404.17280003895644</v>
      </c>
      <c r="M60" s="80">
        <f t="shared" si="42"/>
        <v>0</v>
      </c>
      <c r="N60" s="80">
        <f t="shared" si="18"/>
        <v>-460.75699204441042</v>
      </c>
      <c r="O60" s="81">
        <f t="shared" si="3"/>
        <v>-2083.3333333333335</v>
      </c>
      <c r="P60" s="79">
        <f t="shared" si="4"/>
        <v>485352.57141033286</v>
      </c>
      <c r="Q60" s="35"/>
      <c r="R60">
        <f t="shared" ca="1" si="19"/>
        <v>182</v>
      </c>
      <c r="S60" s="78">
        <f t="shared" ca="1" si="20"/>
        <v>69.48</v>
      </c>
      <c r="T60" s="55">
        <f t="shared" ca="1" si="5"/>
        <v>3.2787340871175408E-3</v>
      </c>
      <c r="U60" s="78">
        <f t="shared" ca="1" si="32"/>
        <v>0.85415811892936211</v>
      </c>
      <c r="V60" s="79">
        <f t="shared" ca="1" si="21"/>
        <v>395502.97727145406</v>
      </c>
      <c r="W60" s="79">
        <f t="shared" ca="1" si="6"/>
        <v>2697.9209356755514</v>
      </c>
      <c r="X60" s="80">
        <f t="shared" ca="1" si="33"/>
        <v>-12.812371783940431</v>
      </c>
      <c r="Y60" s="80">
        <f t="shared" ca="1" si="34"/>
        <v>-329.58581439287838</v>
      </c>
      <c r="Z60" s="80">
        <f t="shared" ca="1" si="23"/>
        <v>0</v>
      </c>
      <c r="AA60" s="80">
        <f t="shared" ca="1" si="35"/>
        <v>-375.72782840788142</v>
      </c>
      <c r="AB60" s="81">
        <f t="shared" ca="1" si="7"/>
        <v>-2135.9164580975362</v>
      </c>
      <c r="AC60" s="79">
        <f t="shared" ca="1" si="8"/>
        <v>395346.85573444737</v>
      </c>
      <c r="AD60" s="35"/>
      <c r="AE60" s="62">
        <f t="shared" ca="1" si="9"/>
        <v>-2500.6101455486769</v>
      </c>
      <c r="AF60" s="62">
        <f t="shared" ca="1" si="10"/>
        <v>462849.73118325189</v>
      </c>
      <c r="AG60" s="35"/>
      <c r="AH60" s="35"/>
      <c r="AI60" s="35"/>
      <c r="AJ60" s="65">
        <v>74</v>
      </c>
      <c r="AK60" s="66">
        <f>'SA85-90'!F66*(1+$AH$22)</f>
        <v>5.9609000000000009E-2</v>
      </c>
      <c r="AL60" s="66">
        <f>'SA85-90 (light)'!F66*(1+$AH$22)</f>
        <v>5.9675000000000006E-2</v>
      </c>
      <c r="AM60" s="66">
        <f t="shared" si="46"/>
        <v>121</v>
      </c>
      <c r="AN60" s="66">
        <f t="shared" si="47"/>
        <v>0</v>
      </c>
      <c r="AO60" s="67">
        <f t="shared" si="36"/>
        <v>2.5664517644146633E-5</v>
      </c>
      <c r="AP60" s="68">
        <f t="shared" ca="1" si="48"/>
        <v>2.6623660580871E-7</v>
      </c>
      <c r="AR60" s="69">
        <f t="shared" si="27"/>
        <v>5</v>
      </c>
      <c r="AS60" s="70">
        <f t="shared" si="37"/>
        <v>57</v>
      </c>
      <c r="AT60" s="71">
        <f t="shared" si="38"/>
        <v>0.67695033585175834</v>
      </c>
      <c r="AU60" s="72">
        <f t="shared" si="11"/>
        <v>6.8214933659622723E-3</v>
      </c>
      <c r="AV60" s="73">
        <f t="shared" si="28"/>
        <v>1.0068214933659623</v>
      </c>
      <c r="AW60" s="74">
        <f>PRODUCT(AV$4:AV60)</f>
        <v>1.4733002290728863</v>
      </c>
      <c r="AY60" s="75">
        <f t="shared" si="39"/>
        <v>57</v>
      </c>
      <c r="AZ60" s="76">
        <f t="shared" ca="1" si="51"/>
        <v>1.0068214933659623</v>
      </c>
      <c r="BA60" s="76">
        <f t="shared" ca="1" si="51"/>
        <v>1.0068214933659623</v>
      </c>
      <c r="BB60" s="76">
        <f t="shared" ca="1" si="51"/>
        <v>1.0068214933659623</v>
      </c>
      <c r="BC60" s="76">
        <f t="shared" ca="1" si="51"/>
        <v>1.0068214933659623</v>
      </c>
      <c r="BD60" s="76">
        <f t="shared" ca="1" si="51"/>
        <v>1.0068214933659623</v>
      </c>
      <c r="BE60" s="76">
        <f t="shared" ca="1" si="51"/>
        <v>1.0068214933659623</v>
      </c>
      <c r="BF60" s="76">
        <f t="shared" ca="1" si="51"/>
        <v>1.0068214933659623</v>
      </c>
      <c r="BG60" s="76">
        <f t="shared" ca="1" si="51"/>
        <v>1.0068214933659623</v>
      </c>
      <c r="BH60" s="76">
        <f t="shared" ca="1" si="51"/>
        <v>1.0068214933659623</v>
      </c>
      <c r="BI60" s="76">
        <f t="shared" ca="1" si="51"/>
        <v>1.0068214933659623</v>
      </c>
      <c r="BJ60" s="76">
        <f t="shared" ca="1" si="51"/>
        <v>1.0068214933659623</v>
      </c>
      <c r="BK60" s="76">
        <f t="shared" ca="1" si="51"/>
        <v>1.0068214933659623</v>
      </c>
      <c r="BL60" s="76">
        <f t="shared" ca="1" si="45"/>
        <v>8.5000000000000853E-2</v>
      </c>
      <c r="BM60" s="77">
        <f t="shared" ca="1" si="49"/>
        <v>104.59118331724213</v>
      </c>
    </row>
    <row r="61" spans="5:65">
      <c r="E61">
        <f t="shared" si="31"/>
        <v>58</v>
      </c>
      <c r="F61" s="64">
        <f t="shared" si="14"/>
        <v>59.56</v>
      </c>
      <c r="G61" s="55">
        <f t="shared" si="0"/>
        <v>0</v>
      </c>
      <c r="H61" s="78">
        <f t="shared" si="40"/>
        <v>1</v>
      </c>
      <c r="I61" s="79">
        <f t="shared" si="15"/>
        <v>485352.57141033286</v>
      </c>
      <c r="J61" s="79">
        <f t="shared" si="1"/>
        <v>3310.8293460283157</v>
      </c>
      <c r="K61" s="80">
        <f t="shared" si="2"/>
        <v>-15</v>
      </c>
      <c r="L61" s="80">
        <f t="shared" si="16"/>
        <v>-404.46047617527739</v>
      </c>
      <c r="M61" s="80">
        <f t="shared" si="42"/>
        <v>0</v>
      </c>
      <c r="N61" s="80">
        <f t="shared" si="18"/>
        <v>-461.08494283981628</v>
      </c>
      <c r="O61" s="81">
        <f t="shared" si="3"/>
        <v>-2083.3333333333335</v>
      </c>
      <c r="P61" s="79">
        <f t="shared" si="4"/>
        <v>485699.52200401278</v>
      </c>
      <c r="Q61" s="35"/>
      <c r="R61">
        <f t="shared" ca="1" si="19"/>
        <v>183</v>
      </c>
      <c r="S61" s="78">
        <f t="shared" ca="1" si="20"/>
        <v>69.56</v>
      </c>
      <c r="T61" s="55">
        <f t="shared" ca="1" si="5"/>
        <v>3.5900448504841975E-3</v>
      </c>
      <c r="U61" s="78">
        <f t="shared" ca="1" si="32"/>
        <v>0.85109165297300049</v>
      </c>
      <c r="V61" s="79">
        <f t="shared" ca="1" si="21"/>
        <v>393927.54279086279</v>
      </c>
      <c r="W61" s="79">
        <f t="shared" ca="1" si="6"/>
        <v>2687.1741198176896</v>
      </c>
      <c r="X61" s="80">
        <f t="shared" ca="1" si="33"/>
        <v>-12.766374794595007</v>
      </c>
      <c r="Y61" s="80">
        <f t="shared" ca="1" si="34"/>
        <v>-328.27295232571902</v>
      </c>
      <c r="Z61" s="80">
        <f t="shared" ca="1" si="23"/>
        <v>0</v>
      </c>
      <c r="AA61" s="80">
        <f t="shared" ca="1" si="35"/>
        <v>-374.23116565131971</v>
      </c>
      <c r="AB61" s="81">
        <f t="shared" ca="1" si="7"/>
        <v>-2128.2484222160788</v>
      </c>
      <c r="AC61" s="79">
        <f t="shared" ca="1" si="8"/>
        <v>393771.19799569272</v>
      </c>
      <c r="AD61" s="35"/>
      <c r="AE61" s="62">
        <f t="shared" ca="1" si="9"/>
        <v>-2500.6101455486769</v>
      </c>
      <c r="AF61" s="62">
        <f t="shared" ca="1" si="10"/>
        <v>462666.03205446369</v>
      </c>
      <c r="AG61" s="35"/>
      <c r="AH61" s="35"/>
      <c r="AI61" s="35"/>
      <c r="AJ61" s="65">
        <v>75</v>
      </c>
      <c r="AK61" s="66">
        <f>'SA85-90'!F67*(1+$AH$22)</f>
        <v>6.4834000000000003E-2</v>
      </c>
      <c r="AL61" s="66">
        <f>'SA85-90 (light)'!F67*(1+$AH$22)</f>
        <v>6.491100000000001E-2</v>
      </c>
      <c r="AM61" s="66">
        <f t="shared" si="46"/>
        <v>122</v>
      </c>
      <c r="AN61" s="66">
        <f t="shared" si="47"/>
        <v>0</v>
      </c>
      <c r="AO61" s="67">
        <f t="shared" si="36"/>
        <v>2.5664517644146633E-5</v>
      </c>
      <c r="AP61" s="68">
        <f t="shared" ca="1" si="48"/>
        <v>2.4537936019235928E-7</v>
      </c>
      <c r="AR61" s="69">
        <f t="shared" si="27"/>
        <v>5</v>
      </c>
      <c r="AS61" s="70">
        <f t="shared" si="37"/>
        <v>58</v>
      </c>
      <c r="AT61" s="71">
        <f t="shared" si="38"/>
        <v>0.67233252362665963</v>
      </c>
      <c r="AU61" s="72">
        <f t="shared" si="11"/>
        <v>6.8214933659622723E-3</v>
      </c>
      <c r="AV61" s="73">
        <f t="shared" si="28"/>
        <v>1.0068214933659623</v>
      </c>
      <c r="AW61" s="74">
        <f>PRODUCT(AV$4:AV61)</f>
        <v>1.4833503368115777</v>
      </c>
      <c r="AY61" s="75">
        <f t="shared" si="39"/>
        <v>58</v>
      </c>
      <c r="AZ61" s="76">
        <f t="shared" ca="1" si="51"/>
        <v>1.0068214933659623</v>
      </c>
      <c r="BA61" s="76">
        <f t="shared" ca="1" si="51"/>
        <v>1.0068214933659623</v>
      </c>
      <c r="BB61" s="76">
        <f t="shared" ca="1" si="51"/>
        <v>1.0068214933659623</v>
      </c>
      <c r="BC61" s="76">
        <f t="shared" ca="1" si="51"/>
        <v>1.0068214933659623</v>
      </c>
      <c r="BD61" s="76">
        <f t="shared" ca="1" si="51"/>
        <v>1.0068214933659623</v>
      </c>
      <c r="BE61" s="76">
        <f t="shared" ca="1" si="51"/>
        <v>1.0068214933659623</v>
      </c>
      <c r="BF61" s="76">
        <f t="shared" ca="1" si="51"/>
        <v>1.0068214933659623</v>
      </c>
      <c r="BG61" s="76">
        <f t="shared" ca="1" si="51"/>
        <v>1.0068214933659623</v>
      </c>
      <c r="BH61" s="76">
        <f t="shared" ca="1" si="51"/>
        <v>1.0068214933659623</v>
      </c>
      <c r="BI61" s="76">
        <f t="shared" ca="1" si="51"/>
        <v>1.0068214933659623</v>
      </c>
      <c r="BJ61" s="76">
        <f t="shared" ca="1" si="51"/>
        <v>1.0068214933659623</v>
      </c>
      <c r="BK61" s="76">
        <f t="shared" ca="1" si="51"/>
        <v>1.0068214933659623</v>
      </c>
      <c r="BL61" s="76">
        <f t="shared" ca="1" si="45"/>
        <v>8.5000000000000853E-2</v>
      </c>
      <c r="BM61" s="77">
        <f t="shared" ca="1" si="49"/>
        <v>113.4814338992078</v>
      </c>
    </row>
    <row r="62" spans="5:65">
      <c r="E62">
        <f t="shared" si="31"/>
        <v>59</v>
      </c>
      <c r="F62" s="64">
        <f t="shared" si="14"/>
        <v>59.64</v>
      </c>
      <c r="G62" s="55">
        <f t="shared" si="0"/>
        <v>0</v>
      </c>
      <c r="H62" s="78">
        <f t="shared" si="40"/>
        <v>1</v>
      </c>
      <c r="I62" s="79">
        <f t="shared" si="15"/>
        <v>485699.52200401278</v>
      </c>
      <c r="J62" s="79">
        <f t="shared" si="1"/>
        <v>3313.1960672014197</v>
      </c>
      <c r="K62" s="80">
        <f t="shared" si="2"/>
        <v>-15</v>
      </c>
      <c r="L62" s="80">
        <f t="shared" si="16"/>
        <v>-404.74960167001069</v>
      </c>
      <c r="M62" s="80">
        <f t="shared" si="42"/>
        <v>0</v>
      </c>
      <c r="N62" s="80">
        <f t="shared" si="18"/>
        <v>-461.41454590381221</v>
      </c>
      <c r="O62" s="81">
        <f t="shared" si="3"/>
        <v>-2083.3333333333335</v>
      </c>
      <c r="P62" s="79">
        <f t="shared" si="4"/>
        <v>486048.22059030709</v>
      </c>
      <c r="Q62" s="35"/>
      <c r="R62">
        <f t="shared" ca="1" si="19"/>
        <v>184</v>
      </c>
      <c r="S62" s="78">
        <f t="shared" ca="1" si="20"/>
        <v>69.64</v>
      </c>
      <c r="T62" s="55">
        <f t="shared" ca="1" si="5"/>
        <v>3.5900448504841975E-3</v>
      </c>
      <c r="U62" s="78">
        <f t="shared" ca="1" si="32"/>
        <v>0.84803619576695466</v>
      </c>
      <c r="V62" s="79">
        <f t="shared" ca="1" si="21"/>
        <v>392357.54173405928</v>
      </c>
      <c r="W62" s="79">
        <f t="shared" ca="1" si="6"/>
        <v>2676.4643680241506</v>
      </c>
      <c r="X62" s="80">
        <f t="shared" ca="1" si="33"/>
        <v>-12.720542936504319</v>
      </c>
      <c r="Y62" s="80">
        <f t="shared" ca="1" si="34"/>
        <v>-326.96461811171611</v>
      </c>
      <c r="Z62" s="80">
        <f t="shared" ca="1" si="23"/>
        <v>0</v>
      </c>
      <c r="AA62" s="80">
        <f t="shared" ca="1" si="35"/>
        <v>-372.73966464735639</v>
      </c>
      <c r="AB62" s="81">
        <f t="shared" ca="1" si="7"/>
        <v>-2120.6079149273505</v>
      </c>
      <c r="AC62" s="79">
        <f t="shared" ca="1" si="8"/>
        <v>392200.97336146043</v>
      </c>
      <c r="AD62" s="35"/>
      <c r="AE62" s="62">
        <f t="shared" ca="1" si="9"/>
        <v>-2500.6101455486764</v>
      </c>
      <c r="AF62" s="62">
        <f t="shared" ca="1" si="10"/>
        <v>462481.40742006677</v>
      </c>
      <c r="AG62" s="35"/>
      <c r="AH62" s="35"/>
      <c r="AI62" s="35"/>
      <c r="AJ62" s="65">
        <v>76</v>
      </c>
      <c r="AK62" s="66">
        <f>'SA85-90'!F68*(1+$AH$22)</f>
        <v>7.0521E-2</v>
      </c>
      <c r="AL62" s="66">
        <f>'SA85-90 (light)'!F68*(1+$AH$22)</f>
        <v>7.0598000000000008E-2</v>
      </c>
      <c r="AM62" s="66">
        <f t="shared" si="46"/>
        <v>123</v>
      </c>
      <c r="AN62" s="66">
        <f t="shared" si="47"/>
        <v>0</v>
      </c>
      <c r="AO62" s="67">
        <f t="shared" si="36"/>
        <v>2.5664517644146633E-5</v>
      </c>
      <c r="AP62" s="68">
        <f t="shared" ca="1" si="48"/>
        <v>2.2615609234318807E-7</v>
      </c>
      <c r="AR62" s="69">
        <f t="shared" si="27"/>
        <v>5</v>
      </c>
      <c r="AS62" s="70">
        <f t="shared" si="37"/>
        <v>59</v>
      </c>
      <c r="AT62" s="71">
        <f t="shared" si="38"/>
        <v>0.66774621177701965</v>
      </c>
      <c r="AU62" s="72">
        <f t="shared" si="11"/>
        <v>6.8214933659622723E-3</v>
      </c>
      <c r="AV62" s="73">
        <f t="shared" si="28"/>
        <v>1.0068214933659623</v>
      </c>
      <c r="AW62" s="74">
        <f>PRODUCT(AV$4:AV62)</f>
        <v>1.4934690012935357</v>
      </c>
      <c r="AY62" s="75">
        <f t="shared" si="39"/>
        <v>59</v>
      </c>
      <c r="AZ62" s="76">
        <f t="shared" ca="1" si="51"/>
        <v>1.0068214933659623</v>
      </c>
      <c r="BA62" s="76">
        <f t="shared" ca="1" si="51"/>
        <v>1.0068214933659623</v>
      </c>
      <c r="BB62" s="76">
        <f t="shared" ca="1" si="51"/>
        <v>1.0068214933659623</v>
      </c>
      <c r="BC62" s="76">
        <f t="shared" ca="1" si="51"/>
        <v>1.0068214933659623</v>
      </c>
      <c r="BD62" s="76">
        <f t="shared" ca="1" si="51"/>
        <v>1.0068214933659623</v>
      </c>
      <c r="BE62" s="76">
        <f t="shared" ca="1" si="51"/>
        <v>1.0068214933659623</v>
      </c>
      <c r="BF62" s="76">
        <f t="shared" ca="1" si="51"/>
        <v>1.0068214933659623</v>
      </c>
      <c r="BG62" s="76">
        <f t="shared" ca="1" si="51"/>
        <v>1.0068214933659623</v>
      </c>
      <c r="BH62" s="76">
        <f t="shared" ca="1" si="51"/>
        <v>1.0068214933659623</v>
      </c>
      <c r="BI62" s="76">
        <f t="shared" ca="1" si="51"/>
        <v>1.0068214933659623</v>
      </c>
      <c r="BJ62" s="76">
        <f t="shared" ca="1" si="51"/>
        <v>1.0068214933659623</v>
      </c>
      <c r="BK62" s="76">
        <f t="shared" ca="1" si="51"/>
        <v>1.0068214933659623</v>
      </c>
      <c r="BL62" s="76">
        <f t="shared" ca="1" si="45"/>
        <v>8.5000000000000853E-2</v>
      </c>
      <c r="BM62" s="77">
        <f t="shared" ca="1" si="49"/>
        <v>123.12735578064056</v>
      </c>
    </row>
    <row r="63" spans="5:65">
      <c r="E63">
        <f t="shared" si="31"/>
        <v>60</v>
      </c>
      <c r="F63" s="64">
        <f t="shared" si="14"/>
        <v>59.72</v>
      </c>
      <c r="G63" s="55">
        <f t="shared" si="0"/>
        <v>0</v>
      </c>
      <c r="H63" s="78">
        <f t="shared" si="40"/>
        <v>1</v>
      </c>
      <c r="I63" s="79">
        <f t="shared" si="15"/>
        <v>486048.22059030709</v>
      </c>
      <c r="J63" s="79">
        <f t="shared" si="1"/>
        <v>3315.5747122945468</v>
      </c>
      <c r="K63" s="80">
        <f t="shared" si="2"/>
        <v>-15</v>
      </c>
      <c r="L63" s="80">
        <f t="shared" si="16"/>
        <v>-405.04018382525595</v>
      </c>
      <c r="M63" s="80">
        <f t="shared" si="42"/>
        <v>0</v>
      </c>
      <c r="N63" s="80">
        <f t="shared" si="18"/>
        <v>-461.74580956079177</v>
      </c>
      <c r="O63" s="81">
        <f t="shared" si="3"/>
        <v>-2083.3333333333335</v>
      </c>
      <c r="P63" s="79">
        <f t="shared" si="4"/>
        <v>486398.67597588227</v>
      </c>
      <c r="Q63" s="35"/>
      <c r="R63">
        <f t="shared" ca="1" si="19"/>
        <v>185</v>
      </c>
      <c r="S63" s="78">
        <f t="shared" ca="1" si="20"/>
        <v>69.72</v>
      </c>
      <c r="T63" s="55">
        <f t="shared" ca="1" si="5"/>
        <v>3.5900448504841975E-3</v>
      </c>
      <c r="U63" s="78">
        <f t="shared" ca="1" si="32"/>
        <v>0.84499170778931731</v>
      </c>
      <c r="V63" s="79">
        <f t="shared" ca="1" si="21"/>
        <v>390792.95427668921</v>
      </c>
      <c r="W63" s="79">
        <f t="shared" ca="1" si="6"/>
        <v>2665.7915450632331</v>
      </c>
      <c r="X63" s="80">
        <f t="shared" ca="1" si="33"/>
        <v>-12.67487561683976</v>
      </c>
      <c r="Y63" s="80">
        <f t="shared" ca="1" si="34"/>
        <v>-325.66079523057437</v>
      </c>
      <c r="Z63" s="80">
        <f t="shared" ca="1" si="23"/>
        <v>0</v>
      </c>
      <c r="AA63" s="80">
        <f t="shared" ca="1" si="35"/>
        <v>-371.25330656285479</v>
      </c>
      <c r="AB63" s="81">
        <f t="shared" ca="1" si="7"/>
        <v>-2112.9948374024698</v>
      </c>
      <c r="AC63" s="79">
        <f t="shared" ca="1" si="8"/>
        <v>390636.1620069397</v>
      </c>
      <c r="AD63" s="35"/>
      <c r="AE63" s="62">
        <f t="shared" ca="1" si="9"/>
        <v>-2500.6101455486769</v>
      </c>
      <c r="AF63" s="62">
        <f t="shared" ca="1" si="10"/>
        <v>462295.85261721577</v>
      </c>
      <c r="AG63" s="35"/>
      <c r="AH63" s="35"/>
      <c r="AI63" s="35"/>
      <c r="AJ63" s="65">
        <v>77</v>
      </c>
      <c r="AK63" s="66">
        <f>'SA85-90'!F69*(1+$AH$22)</f>
        <v>7.6714000000000004E-2</v>
      </c>
      <c r="AL63" s="66">
        <f>'SA85-90 (light)'!F69*(1+$AH$22)</f>
        <v>7.6790999999999998E-2</v>
      </c>
      <c r="AM63" s="66">
        <f t="shared" si="46"/>
        <v>124</v>
      </c>
      <c r="AN63" s="66">
        <f t="shared" si="47"/>
        <v>0</v>
      </c>
      <c r="AO63" s="67">
        <f t="shared" si="36"/>
        <v>2.5664517644146633E-5</v>
      </c>
      <c r="AP63" s="68">
        <f t="shared" ca="1" si="48"/>
        <v>2.084387947863483E-7</v>
      </c>
      <c r="AR63" s="69">
        <f t="shared" si="27"/>
        <v>5</v>
      </c>
      <c r="AS63" s="70">
        <f t="shared" si="37"/>
        <v>60</v>
      </c>
      <c r="AT63" s="71">
        <f t="shared" si="38"/>
        <v>0.6631911854232363</v>
      </c>
      <c r="AU63" s="72">
        <f t="shared" si="11"/>
        <v>6.8214933659622723E-3</v>
      </c>
      <c r="AV63" s="73">
        <f t="shared" si="28"/>
        <v>1.0068214933659623</v>
      </c>
      <c r="AW63" s="74">
        <f>PRODUCT(AV$4:AV63)</f>
        <v>1.5036566901781299</v>
      </c>
      <c r="AY63" s="75">
        <f t="shared" si="39"/>
        <v>60</v>
      </c>
      <c r="AZ63" s="76">
        <f t="shared" ca="1" si="51"/>
        <v>1.0068214933659623</v>
      </c>
      <c r="BA63" s="76">
        <f t="shared" ca="1" si="51"/>
        <v>1.0068214933659623</v>
      </c>
      <c r="BB63" s="76">
        <f t="shared" ca="1" si="51"/>
        <v>1.0068214933659623</v>
      </c>
      <c r="BC63" s="76">
        <f t="shared" ca="1" si="51"/>
        <v>1.0068214933659623</v>
      </c>
      <c r="BD63" s="76">
        <f t="shared" ca="1" si="51"/>
        <v>1.0068214933659623</v>
      </c>
      <c r="BE63" s="76">
        <f t="shared" ca="1" si="51"/>
        <v>1.0068214933659623</v>
      </c>
      <c r="BF63" s="76">
        <f t="shared" ca="1" si="51"/>
        <v>1.0068214933659623</v>
      </c>
      <c r="BG63" s="76">
        <f t="shared" ca="1" si="51"/>
        <v>1.0068214933659623</v>
      </c>
      <c r="BH63" s="76">
        <f t="shared" ca="1" si="51"/>
        <v>1.0068214933659623</v>
      </c>
      <c r="BI63" s="76">
        <f t="shared" ca="1" si="51"/>
        <v>1.0068214933659623</v>
      </c>
      <c r="BJ63" s="76">
        <f t="shared" ca="1" si="51"/>
        <v>1.0068214933659623</v>
      </c>
      <c r="BK63" s="76">
        <f t="shared" ca="1" si="51"/>
        <v>1.0068214933659623</v>
      </c>
      <c r="BL63" s="76">
        <f t="shared" ca="1" si="45"/>
        <v>8.5000000000000853E-2</v>
      </c>
      <c r="BM63" s="77">
        <f t="shared" ca="1" si="49"/>
        <v>133.59318102199512</v>
      </c>
    </row>
    <row r="64" spans="5:65">
      <c r="E64">
        <f t="shared" si="31"/>
        <v>61</v>
      </c>
      <c r="F64" s="64">
        <f t="shared" si="14"/>
        <v>59.8</v>
      </c>
      <c r="G64" s="55">
        <f t="shared" si="0"/>
        <v>0</v>
      </c>
      <c r="H64" s="78">
        <f t="shared" si="40"/>
        <v>1</v>
      </c>
      <c r="I64" s="79">
        <f t="shared" si="15"/>
        <v>486398.67597588227</v>
      </c>
      <c r="J64" s="79">
        <f t="shared" si="1"/>
        <v>3317.9653413823139</v>
      </c>
      <c r="K64" s="80">
        <f t="shared" si="2"/>
        <v>-15</v>
      </c>
      <c r="L64" s="80">
        <f t="shared" si="16"/>
        <v>-405.33222997990191</v>
      </c>
      <c r="M64" s="80">
        <f t="shared" si="42"/>
        <v>-3647.9900698191168</v>
      </c>
      <c r="N64" s="80">
        <f t="shared" si="18"/>
        <v>-462.07874217708826</v>
      </c>
      <c r="O64" s="81">
        <f t="shared" si="3"/>
        <v>-2083.3333333333335</v>
      </c>
      <c r="P64" s="79">
        <f t="shared" si="4"/>
        <v>483102.90694195515</v>
      </c>
      <c r="Q64" s="35"/>
      <c r="R64">
        <f t="shared" ca="1" si="19"/>
        <v>186</v>
      </c>
      <c r="S64" s="78">
        <f t="shared" ca="1" si="20"/>
        <v>69.8</v>
      </c>
      <c r="T64" s="55">
        <f t="shared" ca="1" si="5"/>
        <v>3.5900448504841975E-3</v>
      </c>
      <c r="U64" s="78">
        <f t="shared" ca="1" si="32"/>
        <v>0.84195814966006643</v>
      </c>
      <c r="V64" s="79">
        <f t="shared" ca="1" si="21"/>
        <v>389233.7606651138</v>
      </c>
      <c r="W64" s="79">
        <f t="shared" ca="1" si="6"/>
        <v>2655.1555161856209</v>
      </c>
      <c r="X64" s="80">
        <f t="shared" ca="1" si="33"/>
        <v>-12.629372244900997</v>
      </c>
      <c r="Y64" s="80">
        <f t="shared" ca="1" si="34"/>
        <v>-324.3614672209282</v>
      </c>
      <c r="Z64" s="80">
        <f t="shared" ca="1" si="23"/>
        <v>0</v>
      </c>
      <c r="AA64" s="80">
        <f t="shared" ca="1" si="35"/>
        <v>-369.77207263185818</v>
      </c>
      <c r="AB64" s="81">
        <f t="shared" ca="1" si="7"/>
        <v>-2105.4090911673534</v>
      </c>
      <c r="AC64" s="79">
        <f t="shared" ca="1" si="8"/>
        <v>389076.74417803442</v>
      </c>
      <c r="AD64" s="35"/>
      <c r="AE64" s="62">
        <f t="shared" ca="1" si="9"/>
        <v>-2500.6101455486769</v>
      </c>
      <c r="AF64" s="62">
        <f t="shared" ca="1" si="10"/>
        <v>462109.36295957334</v>
      </c>
      <c r="AG64" s="35"/>
      <c r="AH64" s="35"/>
      <c r="AI64" s="35"/>
      <c r="AJ64" s="65">
        <v>78</v>
      </c>
      <c r="AK64" s="66">
        <f>'SA85-90'!F70*(1+$AH$22)</f>
        <v>8.3468000000000014E-2</v>
      </c>
      <c r="AL64" s="66">
        <f>'SA85-90 (light)'!F70*(1+$AH$22)</f>
        <v>8.3545000000000008E-2</v>
      </c>
      <c r="AM64" s="66">
        <f t="shared" si="46"/>
        <v>125</v>
      </c>
      <c r="AN64" s="66">
        <f t="shared" si="47"/>
        <v>0</v>
      </c>
      <c r="AO64" s="67">
        <f t="shared" si="36"/>
        <v>2.5664517644146633E-5</v>
      </c>
      <c r="AP64" s="68">
        <f t="shared" ca="1" si="48"/>
        <v>1.9210948828234849E-7</v>
      </c>
      <c r="AR64" s="69">
        <f t="shared" si="27"/>
        <v>6</v>
      </c>
      <c r="AS64" s="70">
        <f t="shared" si="37"/>
        <v>61</v>
      </c>
      <c r="AT64" s="71">
        <f t="shared" si="38"/>
        <v>0.65866723115150705</v>
      </c>
      <c r="AU64" s="72">
        <f t="shared" si="11"/>
        <v>6.8214933659622723E-3</v>
      </c>
      <c r="AV64" s="73">
        <f t="shared" si="28"/>
        <v>1.0068214933659623</v>
      </c>
      <c r="AW64" s="74">
        <f>PRODUCT(AV$4:AV64)</f>
        <v>1.5139138743148648</v>
      </c>
      <c r="AY64" s="75">
        <f t="shared" si="39"/>
        <v>61</v>
      </c>
      <c r="AZ64" s="76">
        <f t="shared" ca="1" si="51"/>
        <v>1.0068214933659623</v>
      </c>
      <c r="BA64" s="76">
        <f t="shared" ca="1" si="51"/>
        <v>1.0068214933659623</v>
      </c>
      <c r="BB64" s="76">
        <f t="shared" ca="1" si="51"/>
        <v>1.0068214933659623</v>
      </c>
      <c r="BC64" s="76">
        <f t="shared" ca="1" si="51"/>
        <v>1.0068214933659623</v>
      </c>
      <c r="BD64" s="76">
        <f t="shared" ca="1" si="51"/>
        <v>1.0068214933659623</v>
      </c>
      <c r="BE64" s="76">
        <f t="shared" ca="1" si="51"/>
        <v>1.0068214933659623</v>
      </c>
      <c r="BF64" s="76">
        <f t="shared" ca="1" si="51"/>
        <v>1.0068214933659623</v>
      </c>
      <c r="BG64" s="76">
        <f t="shared" ca="1" si="51"/>
        <v>1.0068214933659623</v>
      </c>
      <c r="BH64" s="76">
        <f t="shared" ca="1" si="51"/>
        <v>1.0068214933659623</v>
      </c>
      <c r="BI64" s="76">
        <f t="shared" ca="1" si="51"/>
        <v>1.0068214933659623</v>
      </c>
      <c r="BJ64" s="76">
        <f t="shared" ca="1" si="51"/>
        <v>1.0068214933659623</v>
      </c>
      <c r="BK64" s="76">
        <f t="shared" ca="1" si="51"/>
        <v>1.0068214933659623</v>
      </c>
      <c r="BL64" s="76">
        <f t="shared" ca="1" si="45"/>
        <v>8.5000000000000853E-2</v>
      </c>
      <c r="BM64" s="77">
        <f t="shared" ca="1" si="49"/>
        <v>144.94860140886482</v>
      </c>
    </row>
    <row r="65" spans="5:65">
      <c r="E65">
        <f t="shared" si="31"/>
        <v>62</v>
      </c>
      <c r="F65" s="64">
        <f t="shared" si="14"/>
        <v>59.88</v>
      </c>
      <c r="G65" s="55">
        <f t="shared" si="0"/>
        <v>0</v>
      </c>
      <c r="H65" s="78">
        <f t="shared" si="40"/>
        <v>1</v>
      </c>
      <c r="I65" s="79">
        <f t="shared" si="15"/>
        <v>483102.90694195515</v>
      </c>
      <c r="J65" s="79">
        <f t="shared" si="1"/>
        <v>3295.4832747816358</v>
      </c>
      <c r="K65" s="80">
        <f t="shared" si="2"/>
        <v>-15</v>
      </c>
      <c r="L65" s="80">
        <f t="shared" si="16"/>
        <v>-402.58575578496266</v>
      </c>
      <c r="M65" s="80">
        <f t="shared" si="42"/>
        <v>0</v>
      </c>
      <c r="N65" s="80">
        <f t="shared" si="18"/>
        <v>-458.94776159485747</v>
      </c>
      <c r="O65" s="81">
        <f t="shared" si="3"/>
        <v>-2083.3333333333335</v>
      </c>
      <c r="P65" s="79">
        <f t="shared" si="4"/>
        <v>483438.52336602367</v>
      </c>
      <c r="Q65" s="35"/>
      <c r="R65">
        <f t="shared" ca="1" si="19"/>
        <v>187</v>
      </c>
      <c r="S65" s="78">
        <f t="shared" ca="1" si="20"/>
        <v>69.88</v>
      </c>
      <c r="T65" s="55">
        <f t="shared" ca="1" si="5"/>
        <v>3.5900448504841975E-3</v>
      </c>
      <c r="U65" s="78">
        <f t="shared" ca="1" si="32"/>
        <v>0.83893548214055613</v>
      </c>
      <c r="V65" s="79">
        <f t="shared" ca="1" si="21"/>
        <v>387679.9412161549</v>
      </c>
      <c r="W65" s="79">
        <f t="shared" ca="1" si="6"/>
        <v>2644.5561471226442</v>
      </c>
      <c r="X65" s="80">
        <f t="shared" ca="1" si="33"/>
        <v>-12.584032232108342</v>
      </c>
      <c r="Y65" s="80">
        <f t="shared" ca="1" si="34"/>
        <v>-323.06661768012913</v>
      </c>
      <c r="Z65" s="80">
        <f t="shared" ca="1" si="23"/>
        <v>0</v>
      </c>
      <c r="AA65" s="80">
        <f t="shared" ca="1" si="35"/>
        <v>-368.29594415534717</v>
      </c>
      <c r="AB65" s="81">
        <f t="shared" ca="1" si="7"/>
        <v>-2097.8505781014455</v>
      </c>
      <c r="AC65" s="79">
        <f t="shared" ca="1" si="8"/>
        <v>387522.70019110845</v>
      </c>
      <c r="AD65" s="35"/>
      <c r="AE65" s="62">
        <f t="shared" ca="1" si="9"/>
        <v>-2500.6101455486769</v>
      </c>
      <c r="AF65" s="62">
        <f t="shared" ca="1" si="10"/>
        <v>461921.93373719114</v>
      </c>
      <c r="AG65" s="35"/>
      <c r="AH65" s="35"/>
      <c r="AI65" s="35"/>
      <c r="AJ65" s="65">
        <v>79</v>
      </c>
      <c r="AK65" s="66">
        <f>'SA85-90'!F71*(1+$AH$22)</f>
        <v>9.0848999999999999E-2</v>
      </c>
      <c r="AL65" s="66">
        <f>'SA85-90 (light)'!F71*(1+$AH$22)</f>
        <v>9.0926000000000007E-2</v>
      </c>
      <c r="AM65" s="66">
        <f t="shared" si="46"/>
        <v>126</v>
      </c>
      <c r="AN65" s="66">
        <f t="shared" si="47"/>
        <v>0</v>
      </c>
      <c r="AO65" s="67">
        <f t="shared" si="36"/>
        <v>2.5664517644146633E-5</v>
      </c>
      <c r="AP65" s="68">
        <f t="shared" ca="1" si="48"/>
        <v>1.7705943620492934E-7</v>
      </c>
      <c r="AR65" s="69">
        <f t="shared" si="27"/>
        <v>6</v>
      </c>
      <c r="AS65" s="70">
        <f t="shared" si="37"/>
        <v>62</v>
      </c>
      <c r="AT65" s="71">
        <f t="shared" si="38"/>
        <v>0.65417413700383031</v>
      </c>
      <c r="AU65" s="72">
        <f t="shared" si="11"/>
        <v>6.8214933659622723E-3</v>
      </c>
      <c r="AV65" s="73">
        <f t="shared" si="28"/>
        <v>1.0068214933659623</v>
      </c>
      <c r="AW65" s="74">
        <f>PRODUCT(AV$4:AV65)</f>
        <v>1.5242410277651419</v>
      </c>
      <c r="AY65" s="75">
        <f t="shared" si="39"/>
        <v>62</v>
      </c>
      <c r="AZ65" s="76">
        <f t="shared" ref="AZ65:BK74" ca="1" si="52">OFFSET($AV$3,($AY65*12-12)+AZ$3,0)</f>
        <v>1.0068214933659623</v>
      </c>
      <c r="BA65" s="76">
        <f t="shared" ca="1" si="52"/>
        <v>1.0068214933659623</v>
      </c>
      <c r="BB65" s="76">
        <f t="shared" ca="1" si="52"/>
        <v>1.0068214933659623</v>
      </c>
      <c r="BC65" s="76">
        <f t="shared" ca="1" si="52"/>
        <v>1.0068214933659623</v>
      </c>
      <c r="BD65" s="76">
        <f t="shared" ca="1" si="52"/>
        <v>1.0068214933659623</v>
      </c>
      <c r="BE65" s="76">
        <f t="shared" ca="1" si="52"/>
        <v>1.0068214933659623</v>
      </c>
      <c r="BF65" s="76">
        <f t="shared" ca="1" si="52"/>
        <v>1.0068214933659623</v>
      </c>
      <c r="BG65" s="76">
        <f t="shared" ca="1" si="52"/>
        <v>1.0068214933659623</v>
      </c>
      <c r="BH65" s="76">
        <f t="shared" ca="1" si="52"/>
        <v>1.0068214933659623</v>
      </c>
      <c r="BI65" s="76">
        <f t="shared" ca="1" si="52"/>
        <v>1.0068214933659623</v>
      </c>
      <c r="BJ65" s="76">
        <f t="shared" ca="1" si="52"/>
        <v>1.0068214933659623</v>
      </c>
      <c r="BK65" s="76">
        <f t="shared" ca="1" si="52"/>
        <v>1.0068214933659623</v>
      </c>
      <c r="BL65" s="76">
        <f t="shared" ca="1" si="45"/>
        <v>8.5000000000000853E-2</v>
      </c>
      <c r="BM65" s="77">
        <f t="shared" ca="1" si="49"/>
        <v>157.26923252861846</v>
      </c>
    </row>
    <row r="66" spans="5:65">
      <c r="E66">
        <f t="shared" si="31"/>
        <v>63</v>
      </c>
      <c r="F66" s="64">
        <f t="shared" si="14"/>
        <v>59.96</v>
      </c>
      <c r="G66" s="55">
        <f t="shared" si="0"/>
        <v>0</v>
      </c>
      <c r="H66" s="78">
        <f t="shared" si="40"/>
        <v>1</v>
      </c>
      <c r="I66" s="79">
        <f t="shared" si="15"/>
        <v>483438.52336602367</v>
      </c>
      <c r="J66" s="79">
        <f t="shared" si="1"/>
        <v>3297.7726799919274</v>
      </c>
      <c r="K66" s="80">
        <f t="shared" si="2"/>
        <v>-15</v>
      </c>
      <c r="L66" s="80">
        <f t="shared" si="16"/>
        <v>-402.86543613835306</v>
      </c>
      <c r="M66" s="80">
        <f t="shared" si="42"/>
        <v>0</v>
      </c>
      <c r="N66" s="80">
        <f t="shared" si="18"/>
        <v>-459.2665971977226</v>
      </c>
      <c r="O66" s="81">
        <f t="shared" si="3"/>
        <v>-2083.3333333333335</v>
      </c>
      <c r="P66" s="79">
        <f t="shared" si="4"/>
        <v>483775.83067934617</v>
      </c>
      <c r="Q66" s="35"/>
      <c r="R66">
        <f t="shared" ca="1" si="19"/>
        <v>188</v>
      </c>
      <c r="S66" s="78">
        <f t="shared" ca="1" si="20"/>
        <v>69.959999999999994</v>
      </c>
      <c r="T66" s="55">
        <f t="shared" ca="1" si="5"/>
        <v>3.5900448504841975E-3</v>
      </c>
      <c r="U66" s="78">
        <f t="shared" ca="1" si="32"/>
        <v>0.83592366613300895</v>
      </c>
      <c r="V66" s="79">
        <f t="shared" ca="1" si="21"/>
        <v>386131.47631684161</v>
      </c>
      <c r="W66" s="79">
        <f t="shared" ca="1" si="6"/>
        <v>2633.9933040845535</v>
      </c>
      <c r="X66" s="80">
        <f t="shared" ca="1" si="33"/>
        <v>-12.538854991995134</v>
      </c>
      <c r="Y66" s="80">
        <f t="shared" ca="1" si="34"/>
        <v>-321.77623026403472</v>
      </c>
      <c r="Z66" s="80">
        <f t="shared" ca="1" si="23"/>
        <v>0</v>
      </c>
      <c r="AA66" s="80">
        <f t="shared" ca="1" si="35"/>
        <v>-366.8249025009996</v>
      </c>
      <c r="AB66" s="81">
        <f t="shared" ca="1" si="7"/>
        <v>-2090.3192004364469</v>
      </c>
      <c r="AC66" s="79">
        <f t="shared" ca="1" si="8"/>
        <v>385974.01043273264</v>
      </c>
      <c r="AD66" s="35"/>
      <c r="AE66" s="62">
        <f t="shared" ca="1" si="9"/>
        <v>-2500.6101455486764</v>
      </c>
      <c r="AF66" s="62">
        <f t="shared" ca="1" si="10"/>
        <v>461733.56021639175</v>
      </c>
      <c r="AG66" s="35"/>
      <c r="AH66" s="35"/>
      <c r="AI66" s="35"/>
      <c r="AJ66" s="65">
        <v>80</v>
      </c>
      <c r="AK66" s="66">
        <f>'SA85-90'!F72*(1+$AH$22)</f>
        <v>9.8912000000000014E-2</v>
      </c>
      <c r="AL66" s="66">
        <f>'SA85-90 (light)'!F72*(1+$AH$22)</f>
        <v>9.9000000000000005E-2</v>
      </c>
      <c r="AM66" s="66">
        <f t="shared" si="46"/>
        <v>127</v>
      </c>
      <c r="AN66" s="66">
        <f t="shared" si="47"/>
        <v>0</v>
      </c>
      <c r="AO66" s="67">
        <f t="shared" si="36"/>
        <v>2.5664517644146633E-5</v>
      </c>
      <c r="AP66" s="68">
        <f t="shared" ca="1" si="48"/>
        <v>1.6318842046537253E-7</v>
      </c>
      <c r="AR66" s="69">
        <f t="shared" si="27"/>
        <v>6</v>
      </c>
      <c r="AS66" s="70">
        <f t="shared" si="37"/>
        <v>63</v>
      </c>
      <c r="AT66" s="71">
        <f t="shared" si="38"/>
        <v>0.64971169246807459</v>
      </c>
      <c r="AU66" s="72">
        <f t="shared" si="11"/>
        <v>6.8214933659622723E-3</v>
      </c>
      <c r="AV66" s="73">
        <f t="shared" si="28"/>
        <v>1.0068214933659623</v>
      </c>
      <c r="AW66" s="74">
        <f>PRODUCT(AV$4:AV66)</f>
        <v>1.5346386278241693</v>
      </c>
      <c r="AY66" s="75">
        <f t="shared" si="39"/>
        <v>63</v>
      </c>
      <c r="AZ66" s="76">
        <f t="shared" ca="1" si="52"/>
        <v>1.0068214933659623</v>
      </c>
      <c r="BA66" s="76">
        <f t="shared" ca="1" si="52"/>
        <v>1.0068214933659623</v>
      </c>
      <c r="BB66" s="76">
        <f t="shared" ca="1" si="52"/>
        <v>1.0068214933659623</v>
      </c>
      <c r="BC66" s="76">
        <f t="shared" ca="1" si="52"/>
        <v>1.0068214933659623</v>
      </c>
      <c r="BD66" s="76">
        <f t="shared" ca="1" si="52"/>
        <v>1.0068214933659623</v>
      </c>
      <c r="BE66" s="76">
        <f t="shared" ca="1" si="52"/>
        <v>1.0068214933659623</v>
      </c>
      <c r="BF66" s="76">
        <f t="shared" ca="1" si="52"/>
        <v>1.0068214933659623</v>
      </c>
      <c r="BG66" s="76">
        <f t="shared" ca="1" si="52"/>
        <v>1.0068214933659623</v>
      </c>
      <c r="BH66" s="76">
        <f t="shared" ca="1" si="52"/>
        <v>1.0068214933659623</v>
      </c>
      <c r="BI66" s="76">
        <f t="shared" ca="1" si="52"/>
        <v>1.0068214933659623</v>
      </c>
      <c r="BJ66" s="76">
        <f t="shared" ca="1" si="52"/>
        <v>1.0068214933659623</v>
      </c>
      <c r="BK66" s="76">
        <f t="shared" ca="1" si="52"/>
        <v>1.0068214933659623</v>
      </c>
      <c r="BL66" s="76">
        <f t="shared" ca="1" si="45"/>
        <v>8.5000000000000853E-2</v>
      </c>
      <c r="BM66" s="77">
        <f t="shared" ca="1" si="49"/>
        <v>170.63711729355117</v>
      </c>
    </row>
    <row r="67" spans="5:65">
      <c r="E67">
        <f t="shared" si="31"/>
        <v>64</v>
      </c>
      <c r="F67" s="64">
        <f t="shared" si="14"/>
        <v>60.04</v>
      </c>
      <c r="G67" s="55">
        <f t="shared" si="0"/>
        <v>0</v>
      </c>
      <c r="H67" s="78">
        <f t="shared" si="40"/>
        <v>1</v>
      </c>
      <c r="I67" s="79">
        <f t="shared" si="15"/>
        <v>483775.83067934617</v>
      </c>
      <c r="J67" s="79">
        <f t="shared" si="1"/>
        <v>3300.0736195920472</v>
      </c>
      <c r="K67" s="80">
        <f t="shared" si="2"/>
        <v>-15</v>
      </c>
      <c r="L67" s="80">
        <f t="shared" si="16"/>
        <v>-403.14652556612185</v>
      </c>
      <c r="M67" s="80">
        <f t="shared" si="42"/>
        <v>0</v>
      </c>
      <c r="N67" s="80">
        <f t="shared" si="18"/>
        <v>-459.58703914537892</v>
      </c>
      <c r="O67" s="81">
        <f t="shared" si="3"/>
        <v>-2083.3333333333335</v>
      </c>
      <c r="P67" s="79">
        <f t="shared" si="4"/>
        <v>484114.83740089345</v>
      </c>
      <c r="Q67" s="35"/>
      <c r="R67">
        <f t="shared" ca="1" si="19"/>
        <v>189</v>
      </c>
      <c r="S67" s="78">
        <f t="shared" ca="1" si="20"/>
        <v>70.040000000000006</v>
      </c>
      <c r="T67" s="55">
        <f t="shared" ca="1" si="5"/>
        <v>3.5900448504841975E-3</v>
      </c>
      <c r="U67" s="78">
        <f t="shared" ca="1" si="32"/>
        <v>0.83292266268001025</v>
      </c>
      <c r="V67" s="79">
        <f t="shared" ca="1" si="21"/>
        <v>384588.34642415785</v>
      </c>
      <c r="W67" s="79">
        <f t="shared" ca="1" si="6"/>
        <v>2623.4668537587931</v>
      </c>
      <c r="X67" s="80">
        <f t="shared" ca="1" si="33"/>
        <v>-12.493839940200154</v>
      </c>
      <c r="Y67" s="80">
        <f t="shared" ca="1" si="34"/>
        <v>-320.49028868679824</v>
      </c>
      <c r="Z67" s="80">
        <f t="shared" ca="1" si="23"/>
        <v>0</v>
      </c>
      <c r="AA67" s="80">
        <f t="shared" ca="1" si="35"/>
        <v>-365.35892910295001</v>
      </c>
      <c r="AB67" s="81">
        <f t="shared" ca="1" si="7"/>
        <v>-2082.814860755052</v>
      </c>
      <c r="AC67" s="79">
        <f t="shared" ca="1" si="8"/>
        <v>384430.65535943164</v>
      </c>
      <c r="AD67" s="35"/>
      <c r="AE67" s="62">
        <f t="shared" ca="1" si="9"/>
        <v>-2500.6101455486769</v>
      </c>
      <c r="AF67" s="62">
        <f t="shared" ca="1" si="10"/>
        <v>461544.23763964872</v>
      </c>
      <c r="AG67" s="35"/>
      <c r="AH67" s="35"/>
      <c r="AI67" s="35"/>
      <c r="AJ67" s="65">
        <v>81</v>
      </c>
      <c r="AK67" s="66">
        <f>'SA85-90'!F73*(1+$AH$22)</f>
        <v>0.107712</v>
      </c>
      <c r="AL67" s="66">
        <f>'SA85-90 (light)'!F73*(1+$AH$22)</f>
        <v>0.107822</v>
      </c>
      <c r="AM67" s="66">
        <f t="shared" si="46"/>
        <v>128</v>
      </c>
      <c r="AN67" s="66">
        <f t="shared" si="47"/>
        <v>0</v>
      </c>
      <c r="AO67" s="67">
        <f t="shared" si="36"/>
        <v>2.5664517644146633E-5</v>
      </c>
      <c r="AP67" s="68">
        <f t="shared" ca="1" si="48"/>
        <v>1.5040407416163356E-7</v>
      </c>
      <c r="AR67" s="69">
        <f t="shared" si="27"/>
        <v>6</v>
      </c>
      <c r="AS67" s="70">
        <f t="shared" si="37"/>
        <v>64</v>
      </c>
      <c r="AT67" s="71">
        <f t="shared" si="38"/>
        <v>0.64527968846811545</v>
      </c>
      <c r="AU67" s="72">
        <f t="shared" si="11"/>
        <v>6.8214933659622723E-3</v>
      </c>
      <c r="AV67" s="73">
        <f t="shared" si="28"/>
        <v>1.0068214933659623</v>
      </c>
      <c r="AW67" s="74">
        <f>PRODUCT(AV$4:AV67)</f>
        <v>1.5451071550430213</v>
      </c>
      <c r="AY67" s="75">
        <f t="shared" si="39"/>
        <v>64</v>
      </c>
      <c r="AZ67" s="76">
        <f t="shared" ca="1" si="52"/>
        <v>1.0068214933659623</v>
      </c>
      <c r="BA67" s="76">
        <f t="shared" ca="1" si="52"/>
        <v>1.0068214933659623</v>
      </c>
      <c r="BB67" s="76">
        <f t="shared" ca="1" si="52"/>
        <v>1.0068214933659623</v>
      </c>
      <c r="BC67" s="76">
        <f t="shared" ca="1" si="52"/>
        <v>1.0068214933659623</v>
      </c>
      <c r="BD67" s="76">
        <f t="shared" ca="1" si="52"/>
        <v>1.0068214933659623</v>
      </c>
      <c r="BE67" s="76">
        <f t="shared" ca="1" si="52"/>
        <v>1.0068214933659623</v>
      </c>
      <c r="BF67" s="76">
        <f t="shared" ca="1" si="52"/>
        <v>1.0068214933659623</v>
      </c>
      <c r="BG67" s="76">
        <f t="shared" ca="1" si="52"/>
        <v>1.0068214933659623</v>
      </c>
      <c r="BH67" s="76">
        <f t="shared" ca="1" si="52"/>
        <v>1.0068214933659623</v>
      </c>
      <c r="BI67" s="76">
        <f t="shared" ca="1" si="52"/>
        <v>1.0068214933659623</v>
      </c>
      <c r="BJ67" s="76">
        <f t="shared" ca="1" si="52"/>
        <v>1.0068214933659623</v>
      </c>
      <c r="BK67" s="76">
        <f t="shared" ca="1" si="52"/>
        <v>1.0068214933659623</v>
      </c>
      <c r="BL67" s="76">
        <f t="shared" ca="1" si="45"/>
        <v>8.5000000000000853E-2</v>
      </c>
      <c r="BM67" s="77">
        <f t="shared" ca="1" si="49"/>
        <v>185.14127226350317</v>
      </c>
    </row>
    <row r="68" spans="5:65">
      <c r="E68">
        <f t="shared" si="31"/>
        <v>65</v>
      </c>
      <c r="F68" s="64">
        <f t="shared" si="14"/>
        <v>60.12</v>
      </c>
      <c r="G68" s="55">
        <f t="shared" ref="G68:G131" si="53">(1-(1-IF(F68&gt;$AJ$90,0,VLOOKUP(ROUND(F68,0),$AJ$4:$AK$90,2,FALSE)))^(1/12))*0</f>
        <v>0</v>
      </c>
      <c r="H68" s="78">
        <f t="shared" si="40"/>
        <v>1</v>
      </c>
      <c r="I68" s="79">
        <f t="shared" si="15"/>
        <v>484114.83740089345</v>
      </c>
      <c r="J68" s="79">
        <f t="shared" ref="J68:J131" si="54">(I68)*$AU68</f>
        <v>3302.3861516940988</v>
      </c>
      <c r="K68" s="80">
        <f t="shared" ref="K68:K131" si="55">IF(I68=0,0,-$C$19)*H68</f>
        <v>-15</v>
      </c>
      <c r="L68" s="80">
        <f t="shared" si="16"/>
        <v>-403.42903116741121</v>
      </c>
      <c r="M68" s="80">
        <f t="shared" si="42"/>
        <v>0</v>
      </c>
      <c r="N68" s="80">
        <f t="shared" si="18"/>
        <v>-459.90909553084884</v>
      </c>
      <c r="O68" s="81">
        <f t="shared" ref="O68:O131" si="56">-MIN(
IF(MOD(E68-1,IF($C$7="Annual",12,1))=0,1,0)
*IF(F68&lt;=$C$6,H68*$C$5*$C$4/IF($C$7="Monthly",12,1),$C$12),I68)</f>
        <v>-2083.3333333333335</v>
      </c>
      <c r="P68" s="79">
        <f t="shared" ref="P68:P131" si="57">SUM(I68:O68)</f>
        <v>484455.55209255597</v>
      </c>
      <c r="Q68" s="35"/>
      <c r="R68">
        <f t="shared" ca="1" si="19"/>
        <v>190</v>
      </c>
      <c r="S68" s="78">
        <f t="shared" ca="1" si="20"/>
        <v>70.12</v>
      </c>
      <c r="T68" s="55">
        <f t="shared" ref="T68:T131" ca="1" si="58">(1-(1-IF(S68&gt;$AJ$90,0,VLOOKUP(ROUND(S68,0),$AJ$4:$AK$90,2,FALSE)))^(1/12))</f>
        <v>3.5900448504841975E-3</v>
      </c>
      <c r="U68" s="78">
        <f t="shared" ca="1" si="32"/>
        <v>0.82993243296400432</v>
      </c>
      <c r="V68" s="79">
        <f t="shared" ca="1" si="21"/>
        <v>383050.53206479026</v>
      </c>
      <c r="W68" s="79">
        <f t="shared" ref="W68:W131" ca="1" si="59">(V68)*$AU68</f>
        <v>2612.9766633082854</v>
      </c>
      <c r="X68" s="80">
        <f t="shared" ca="1" si="33"/>
        <v>-12.448986494460065</v>
      </c>
      <c r="Y68" s="80">
        <f t="shared" ca="1" si="34"/>
        <v>-319.20877672065859</v>
      </c>
      <c r="Z68" s="80">
        <f t="shared" ca="1" si="23"/>
        <v>0</v>
      </c>
      <c r="AA68" s="80">
        <f t="shared" ca="1" si="35"/>
        <v>-363.89800546155084</v>
      </c>
      <c r="AB68" s="81">
        <f t="shared" ref="AB68:AB131" ca="1" si="60">-MIN(IF(MOD(R68,IF($C$7="Annual",12,1))=0,1,0)*$C$39*U68/IF($C$7="Monthly",12,1),V68)</f>
        <v>-2075.3374619896863</v>
      </c>
      <c r="AC68" s="79">
        <f t="shared" ref="AC68:AC131" ca="1" si="61">SUM(V68:AB68)</f>
        <v>382892.61549743218</v>
      </c>
      <c r="AD68" s="35"/>
      <c r="AE68" s="62">
        <f t="shared" ref="AE68:AE131" ca="1" si="62">AB68/U68</f>
        <v>-2500.6101455486769</v>
      </c>
      <c r="AF68" s="62">
        <f t="shared" ref="AF68:AF131" ca="1" si="63">AC68/U68</f>
        <v>461353.96122546634</v>
      </c>
      <c r="AG68" s="35"/>
      <c r="AH68" s="35"/>
      <c r="AI68" s="35"/>
      <c r="AJ68" s="65">
        <v>82</v>
      </c>
      <c r="AK68" s="66">
        <f>'SA85-90'!F74*(1+$AH$22)</f>
        <v>0.11730400000000001</v>
      </c>
      <c r="AL68" s="66">
        <f>'SA85-90 (light)'!F74*(1+$AH$22)</f>
        <v>0.11744700000000001</v>
      </c>
      <c r="AM68" s="66">
        <f t="shared" si="46"/>
        <v>129</v>
      </c>
      <c r="AN68" s="66">
        <f t="shared" si="47"/>
        <v>0</v>
      </c>
      <c r="AO68" s="67">
        <f t="shared" si="36"/>
        <v>2.5664517644146633E-5</v>
      </c>
      <c r="AP68" s="68">
        <f t="shared" ca="1" si="48"/>
        <v>1.3862126650841791E-7</v>
      </c>
      <c r="AR68" s="69">
        <f t="shared" si="27"/>
        <v>6</v>
      </c>
      <c r="AS68" s="70">
        <f t="shared" si="37"/>
        <v>65</v>
      </c>
      <c r="AT68" s="71">
        <f t="shared" si="38"/>
        <v>0.64087791735403998</v>
      </c>
      <c r="AU68" s="72">
        <f t="shared" ref="AU68:AU131" si="64">((1+$AH$21)^(1/12))-1</f>
        <v>6.8214933659622723E-3</v>
      </c>
      <c r="AV68" s="73">
        <f t="shared" si="28"/>
        <v>1.0068214933659623</v>
      </c>
      <c r="AW68" s="74">
        <f>PRODUCT(AV$4:AV68)</f>
        <v>1.5556470932508482</v>
      </c>
      <c r="AY68" s="75">
        <f t="shared" si="39"/>
        <v>65</v>
      </c>
      <c r="AZ68" s="76">
        <f t="shared" ca="1" si="52"/>
        <v>1.0068214933659623</v>
      </c>
      <c r="BA68" s="76">
        <f t="shared" ca="1" si="52"/>
        <v>1.0068214933659623</v>
      </c>
      <c r="BB68" s="76">
        <f t="shared" ca="1" si="52"/>
        <v>1.0068214933659623</v>
      </c>
      <c r="BC68" s="76">
        <f t="shared" ca="1" si="52"/>
        <v>1.0068214933659623</v>
      </c>
      <c r="BD68" s="76">
        <f t="shared" ca="1" si="52"/>
        <v>1.0068214933659623</v>
      </c>
      <c r="BE68" s="76">
        <f t="shared" ca="1" si="52"/>
        <v>1.0068214933659623</v>
      </c>
      <c r="BF68" s="76">
        <f t="shared" ca="1" si="52"/>
        <v>1.0068214933659623</v>
      </c>
      <c r="BG68" s="76">
        <f t="shared" ca="1" si="52"/>
        <v>1.0068214933659623</v>
      </c>
      <c r="BH68" s="76">
        <f t="shared" ca="1" si="52"/>
        <v>1.0068214933659623</v>
      </c>
      <c r="BI68" s="76">
        <f t="shared" ca="1" si="52"/>
        <v>1.0068214933659623</v>
      </c>
      <c r="BJ68" s="76">
        <f t="shared" ca="1" si="52"/>
        <v>1.0068214933659623</v>
      </c>
      <c r="BK68" s="76">
        <f t="shared" ca="1" si="52"/>
        <v>1.0068214933659623</v>
      </c>
      <c r="BL68" s="76">
        <f t="shared" ref="BL68:BL99" ca="1" si="65">PRODUCT(AZ68:BK68)-1</f>
        <v>8.5000000000000853E-2</v>
      </c>
      <c r="BM68" s="77">
        <f t="shared" ca="1" si="49"/>
        <v>200.87828040590111</v>
      </c>
    </row>
    <row r="69" spans="5:65">
      <c r="E69">
        <f t="shared" si="31"/>
        <v>66</v>
      </c>
      <c r="F69" s="64">
        <f t="shared" ref="F69:F132" si="66">ROUND((E69-E68)/12+F68,2)</f>
        <v>60.2</v>
      </c>
      <c r="G69" s="55">
        <f t="shared" si="53"/>
        <v>0</v>
      </c>
      <c r="H69" s="78">
        <f t="shared" si="40"/>
        <v>1</v>
      </c>
      <c r="I69" s="79">
        <f t="shared" ref="I69:I132" si="67">MAX(P68,0)*(1-G69)</f>
        <v>484455.55209255597</v>
      </c>
      <c r="J69" s="79">
        <f t="shared" si="54"/>
        <v>3304.7103347029606</v>
      </c>
      <c r="K69" s="80">
        <f t="shared" si="55"/>
        <v>-15</v>
      </c>
      <c r="L69" s="80">
        <f t="shared" ref="L69:L132" si="68">IF(OR(I68+O68=0,K68=0),0,-I69*($C$16/12))</f>
        <v>-403.71296007712999</v>
      </c>
      <c r="M69" s="80">
        <f t="shared" si="42"/>
        <v>0</v>
      </c>
      <c r="N69" s="80">
        <f t="shared" ref="N69:N132" si="69">IF(OR(I68+O68=0,K68=0),0,-I69*($C$18*(1+$C$20))/12)</f>
        <v>-460.23277448792828</v>
      </c>
      <c r="O69" s="81">
        <f t="shared" si="56"/>
        <v>-2083.3333333333335</v>
      </c>
      <c r="P69" s="79">
        <f t="shared" si="57"/>
        <v>484797.98335936054</v>
      </c>
      <c r="Q69" s="35"/>
      <c r="R69">
        <f t="shared" ref="R69:R132" ca="1" si="70">R68+1</f>
        <v>191</v>
      </c>
      <c r="S69" s="78">
        <f t="shared" ref="S69:S132" ca="1" si="71">ROUND((R69-R68)/12+S68,2)</f>
        <v>70.2</v>
      </c>
      <c r="T69" s="55">
        <f t="shared" ca="1" si="58"/>
        <v>3.5900448504841975E-3</v>
      </c>
      <c r="U69" s="78">
        <f t="shared" ca="1" si="32"/>
        <v>0.82695293830679206</v>
      </c>
      <c r="V69" s="79">
        <f t="shared" ref="V69:V132" ca="1" si="72">MAX(AC68,0)*(1-T69)</f>
        <v>381518.01383487717</v>
      </c>
      <c r="W69" s="79">
        <f t="shared" ca="1" si="59"/>
        <v>2602.5226003697171</v>
      </c>
      <c r="X69" s="80">
        <f t="shared" ca="1" si="33"/>
        <v>-12.40429407460188</v>
      </c>
      <c r="Y69" s="80">
        <f t="shared" ca="1" si="34"/>
        <v>-317.93167819573102</v>
      </c>
      <c r="Z69" s="80">
        <f t="shared" ref="Z69:Z132" ca="1" si="73">-IF(MOD(R69-1,12)=0,1,0)*V69*($C$17)</f>
        <v>0</v>
      </c>
      <c r="AA69" s="80">
        <f t="shared" ca="1" si="35"/>
        <v>-362.44211314313338</v>
      </c>
      <c r="AB69" s="81">
        <f t="shared" ca="1" si="60"/>
        <v>-2067.8869074212535</v>
      </c>
      <c r="AC69" s="79">
        <f t="shared" ca="1" si="61"/>
        <v>381359.87144241214</v>
      </c>
      <c r="AD69" s="35"/>
      <c r="AE69" s="62">
        <f t="shared" ca="1" si="62"/>
        <v>-2500.6101455486769</v>
      </c>
      <c r="AF69" s="62">
        <f t="shared" ca="1" si="63"/>
        <v>461162.72616825876</v>
      </c>
      <c r="AG69" s="35"/>
      <c r="AH69" s="35"/>
      <c r="AI69" s="35"/>
      <c r="AJ69" s="65">
        <v>83</v>
      </c>
      <c r="AK69" s="66">
        <f>'SA85-90'!F75*(1+$AH$22)</f>
        <v>0.127743</v>
      </c>
      <c r="AL69" s="66">
        <f>'SA85-90 (light)'!F75*(1+$AH$22)</f>
        <v>0.12795200000000001</v>
      </c>
      <c r="AM69" s="66">
        <f t="shared" ref="AM69:AM90" si="74">$C$6+E69-1</f>
        <v>130</v>
      </c>
      <c r="AN69" s="66">
        <f t="shared" ref="AN69:AN90" si="75">IF(AM69&gt;$AJ$90,0,VLOOKUP($C$6+E69-1,$AJ$4:$AK$90,2,FALSE))</f>
        <v>0</v>
      </c>
      <c r="AO69" s="67">
        <f t="shared" si="36"/>
        <v>2.5664517644146633E-5</v>
      </c>
      <c r="AP69" s="68">
        <f t="shared" ref="AP69:AP90" ca="1" si="76">AO69/BM68</f>
        <v>1.2776153595245878E-7</v>
      </c>
      <c r="AR69" s="69">
        <f t="shared" ref="AR69:AR132" si="77">ROUNDDOWN((AS69-1)/12,0)+1</f>
        <v>6</v>
      </c>
      <c r="AS69" s="70">
        <f t="shared" si="37"/>
        <v>66</v>
      </c>
      <c r="AT69" s="71">
        <f t="shared" si="38"/>
        <v>0.63650617289241773</v>
      </c>
      <c r="AU69" s="72">
        <f t="shared" si="64"/>
        <v>6.8214933659622723E-3</v>
      </c>
      <c r="AV69" s="73">
        <f t="shared" ref="AV69:AV132" si="78">(1+AU69)</f>
        <v>1.0068214933659623</v>
      </c>
      <c r="AW69" s="74">
        <f>PRODUCT(AV$4:AV69)</f>
        <v>1.5662589295772373</v>
      </c>
      <c r="AY69" s="75">
        <f t="shared" si="39"/>
        <v>66</v>
      </c>
      <c r="AZ69" s="76">
        <f t="shared" ca="1" si="52"/>
        <v>1.0068214933659623</v>
      </c>
      <c r="BA69" s="76">
        <f t="shared" ca="1" si="52"/>
        <v>1.0068214933659623</v>
      </c>
      <c r="BB69" s="76">
        <f t="shared" ca="1" si="52"/>
        <v>1.0068214933659623</v>
      </c>
      <c r="BC69" s="76">
        <f t="shared" ca="1" si="52"/>
        <v>1.0068214933659623</v>
      </c>
      <c r="BD69" s="76">
        <f t="shared" ca="1" si="52"/>
        <v>1.0068214933659623</v>
      </c>
      <c r="BE69" s="76">
        <f t="shared" ca="1" si="52"/>
        <v>1.0068214933659623</v>
      </c>
      <c r="BF69" s="76">
        <f t="shared" ca="1" si="52"/>
        <v>1.0068214933659623</v>
      </c>
      <c r="BG69" s="76">
        <f t="shared" ca="1" si="52"/>
        <v>1.0068214933659623</v>
      </c>
      <c r="BH69" s="76">
        <f t="shared" ca="1" si="52"/>
        <v>1.0068214933659623</v>
      </c>
      <c r="BI69" s="76">
        <f t="shared" ca="1" si="52"/>
        <v>1.0068214933659623</v>
      </c>
      <c r="BJ69" s="76">
        <f t="shared" ca="1" si="52"/>
        <v>1.0068214933659623</v>
      </c>
      <c r="BK69" s="76">
        <f t="shared" ca="1" si="52"/>
        <v>1.0068214933659623</v>
      </c>
      <c r="BL69" s="76">
        <f t="shared" ca="1" si="65"/>
        <v>8.5000000000000853E-2</v>
      </c>
      <c r="BM69" s="77">
        <f t="shared" ref="BM69:BM100" ca="1" si="79">PRODUCT(AZ69:BK69)*BM68</f>
        <v>217.95293424040287</v>
      </c>
    </row>
    <row r="70" spans="5:65">
      <c r="E70">
        <f t="shared" ref="E70:E90" si="80">E69+1</f>
        <v>67</v>
      </c>
      <c r="F70" s="64">
        <f t="shared" si="66"/>
        <v>60.28</v>
      </c>
      <c r="G70" s="55">
        <f t="shared" si="53"/>
        <v>0</v>
      </c>
      <c r="H70" s="78">
        <f t="shared" si="40"/>
        <v>1</v>
      </c>
      <c r="I70" s="79">
        <f t="shared" si="67"/>
        <v>484797.98335936054</v>
      </c>
      <c r="J70" s="79">
        <f t="shared" si="54"/>
        <v>3307.0462273177659</v>
      </c>
      <c r="K70" s="80">
        <f t="shared" si="55"/>
        <v>-15</v>
      </c>
      <c r="L70" s="80">
        <f t="shared" si="68"/>
        <v>-403.99831946613381</v>
      </c>
      <c r="M70" s="80">
        <f t="shared" si="42"/>
        <v>0</v>
      </c>
      <c r="N70" s="80">
        <f t="shared" si="69"/>
        <v>-460.55808419139265</v>
      </c>
      <c r="O70" s="81">
        <f t="shared" si="56"/>
        <v>-2083.3333333333335</v>
      </c>
      <c r="P70" s="79">
        <f t="shared" si="57"/>
        <v>485142.13984968746</v>
      </c>
      <c r="Q70" s="35"/>
      <c r="R70">
        <f t="shared" ca="1" si="70"/>
        <v>192</v>
      </c>
      <c r="S70" s="78">
        <f t="shared" ca="1" si="71"/>
        <v>70.28</v>
      </c>
      <c r="T70" s="55">
        <f t="shared" ca="1" si="58"/>
        <v>3.5900448504841975E-3</v>
      </c>
      <c r="U70" s="78">
        <f t="shared" ref="U70:U133" ca="1" si="81">U69*(1-T70)</f>
        <v>0.82398414016903099</v>
      </c>
      <c r="V70" s="79">
        <f t="shared" ca="1" si="72"/>
        <v>379990.77239975898</v>
      </c>
      <c r="W70" s="79">
        <f t="shared" ca="1" si="59"/>
        <v>2592.1045330518355</v>
      </c>
      <c r="X70" s="80">
        <f t="shared" ref="X70:X133" ca="1" si="82">IF(V70=0,0,-$C$19)*U70</f>
        <v>-12.359762102535464</v>
      </c>
      <c r="Y70" s="80">
        <f t="shared" ref="Y70:Y133" ca="1" si="83">IF(OR(V69+AB69=0,X69=0),0,-V70*($C$16/12))</f>
        <v>-316.65897699979917</v>
      </c>
      <c r="Z70" s="80">
        <f t="shared" ca="1" si="73"/>
        <v>0</v>
      </c>
      <c r="AA70" s="80">
        <f t="shared" ref="AA70:AA133" ca="1" si="84">IF(OR(V69+AB69=0,X69=0),0,-V70*($C$18*(1+$C$20))/12)</f>
        <v>-360.99123377977111</v>
      </c>
      <c r="AB70" s="81">
        <f t="shared" ca="1" si="60"/>
        <v>-2060.4631006778818</v>
      </c>
      <c r="AC70" s="79">
        <f t="shared" ca="1" si="61"/>
        <v>379832.40385925083</v>
      </c>
      <c r="AD70" s="35"/>
      <c r="AE70" s="62">
        <f t="shared" ca="1" si="62"/>
        <v>-2500.6101455486769</v>
      </c>
      <c r="AF70" s="62">
        <f t="shared" ca="1" si="63"/>
        <v>460970.52763822919</v>
      </c>
      <c r="AG70" s="35"/>
      <c r="AH70" s="35"/>
      <c r="AI70" s="35"/>
      <c r="AJ70" s="65">
        <v>84</v>
      </c>
      <c r="AK70" s="66">
        <f>'SA85-90'!F76*(1+$AH$22)</f>
        <v>0.13909500000000002</v>
      </c>
      <c r="AL70" s="66">
        <f>'SA85-90 (light)'!F76*(1+$AH$22)</f>
        <v>0.13937000000000002</v>
      </c>
      <c r="AM70" s="66">
        <f t="shared" si="74"/>
        <v>131</v>
      </c>
      <c r="AN70" s="66">
        <f t="shared" si="75"/>
        <v>0</v>
      </c>
      <c r="AO70" s="67">
        <f t="shared" ref="AO70:AO90" si="85">(1-IFERROR(AN70,1))*AO69</f>
        <v>2.5664517644146633E-5</v>
      </c>
      <c r="AP70" s="68">
        <f t="shared" ca="1" si="76"/>
        <v>1.1775256769811861E-7</v>
      </c>
      <c r="AR70" s="69">
        <f t="shared" si="77"/>
        <v>6</v>
      </c>
      <c r="AS70" s="70">
        <f t="shared" ref="AS70:AS133" si="86">AS69+1</f>
        <v>67</v>
      </c>
      <c r="AT70" s="71">
        <f t="shared" ref="AT70:AT133" si="87">(1-AU70)*AT69</f>
        <v>0.63216425025663803</v>
      </c>
      <c r="AU70" s="72">
        <f t="shared" si="64"/>
        <v>6.8214933659622723E-3</v>
      </c>
      <c r="AV70" s="73">
        <f t="shared" si="78"/>
        <v>1.0068214933659623</v>
      </c>
      <c r="AW70" s="74">
        <f>PRODUCT(AV$4:AV70)</f>
        <v>1.5769431544747277</v>
      </c>
      <c r="AY70" s="75">
        <f t="shared" ref="AY70:AY133" si="88">AY69+1</f>
        <v>67</v>
      </c>
      <c r="AZ70" s="76">
        <f t="shared" ca="1" si="52"/>
        <v>1.0068214933659623</v>
      </c>
      <c r="BA70" s="76">
        <f t="shared" ca="1" si="52"/>
        <v>1.0068214933659623</v>
      </c>
      <c r="BB70" s="76">
        <f t="shared" ca="1" si="52"/>
        <v>1.0068214933659623</v>
      </c>
      <c r="BC70" s="76">
        <f t="shared" ca="1" si="52"/>
        <v>1.0068214933659623</v>
      </c>
      <c r="BD70" s="76">
        <f t="shared" ca="1" si="52"/>
        <v>1.0068214933659623</v>
      </c>
      <c r="BE70" s="76">
        <f t="shared" ca="1" si="52"/>
        <v>1.0068214933659623</v>
      </c>
      <c r="BF70" s="76">
        <f t="shared" ca="1" si="52"/>
        <v>1.0068214933659623</v>
      </c>
      <c r="BG70" s="76">
        <f t="shared" ca="1" si="52"/>
        <v>1.0068214933659623</v>
      </c>
      <c r="BH70" s="76">
        <f t="shared" ca="1" si="52"/>
        <v>1.0068214933659623</v>
      </c>
      <c r="BI70" s="76">
        <f t="shared" ca="1" si="52"/>
        <v>1.0068214933659623</v>
      </c>
      <c r="BJ70" s="76">
        <f t="shared" ca="1" si="52"/>
        <v>1.0068214933659623</v>
      </c>
      <c r="BK70" s="76">
        <f t="shared" ca="1" si="52"/>
        <v>1.0068214933659623</v>
      </c>
      <c r="BL70" s="76">
        <f t="shared" ca="1" si="65"/>
        <v>8.5000000000000853E-2</v>
      </c>
      <c r="BM70" s="77">
        <f t="shared" ca="1" si="79"/>
        <v>236.47893365083729</v>
      </c>
    </row>
    <row r="71" spans="5:65">
      <c r="E71">
        <f t="shared" si="80"/>
        <v>68</v>
      </c>
      <c r="F71" s="64">
        <f t="shared" si="66"/>
        <v>60.36</v>
      </c>
      <c r="G71" s="55">
        <f t="shared" si="53"/>
        <v>0</v>
      </c>
      <c r="H71" s="78">
        <f t="shared" ref="H71:H134" si="89">H70*(1-G71)</f>
        <v>1</v>
      </c>
      <c r="I71" s="79">
        <f t="shared" si="67"/>
        <v>485142.13984968746</v>
      </c>
      <c r="J71" s="79">
        <f t="shared" si="54"/>
        <v>3309.3938885333841</v>
      </c>
      <c r="K71" s="80">
        <f t="shared" si="55"/>
        <v>-15</v>
      </c>
      <c r="L71" s="80">
        <f t="shared" si="68"/>
        <v>-404.28511654140624</v>
      </c>
      <c r="M71" s="80">
        <f t="shared" si="42"/>
        <v>0</v>
      </c>
      <c r="N71" s="80">
        <f t="shared" si="69"/>
        <v>-460.88503285720316</v>
      </c>
      <c r="O71" s="81">
        <f t="shared" si="56"/>
        <v>-2083.3333333333335</v>
      </c>
      <c r="P71" s="79">
        <f t="shared" si="57"/>
        <v>485488.03025548893</v>
      </c>
      <c r="Q71" s="35"/>
      <c r="R71">
        <f t="shared" ca="1" si="70"/>
        <v>193</v>
      </c>
      <c r="S71" s="78">
        <f t="shared" ca="1" si="71"/>
        <v>70.36</v>
      </c>
      <c r="T71" s="55">
        <f t="shared" ca="1" si="58"/>
        <v>3.5900448504841975E-3</v>
      </c>
      <c r="U71" s="78">
        <f t="shared" ca="1" si="81"/>
        <v>0.82102600014973648</v>
      </c>
      <c r="V71" s="79">
        <f t="shared" ca="1" si="72"/>
        <v>378468.78849372891</v>
      </c>
      <c r="W71" s="79">
        <f t="shared" ca="1" si="59"/>
        <v>2581.7223299337502</v>
      </c>
      <c r="X71" s="80">
        <f t="shared" ca="1" si="82"/>
        <v>-12.315390002246048</v>
      </c>
      <c r="Y71" s="80">
        <f t="shared" ca="1" si="83"/>
        <v>-315.39065707810744</v>
      </c>
      <c r="Z71" s="80">
        <f t="shared" ca="1" si="73"/>
        <v>-2838.5159137029668</v>
      </c>
      <c r="AA71" s="80">
        <f t="shared" ca="1" si="84"/>
        <v>-359.54534906904252</v>
      </c>
      <c r="AB71" s="81">
        <f t="shared" ca="1" si="60"/>
        <v>-2053.0659457336806</v>
      </c>
      <c r="AC71" s="79">
        <f t="shared" ca="1" si="61"/>
        <v>375471.67756807659</v>
      </c>
      <c r="AD71" s="35"/>
      <c r="AE71" s="62">
        <f t="shared" ca="1" si="62"/>
        <v>-2500.6101455486769</v>
      </c>
      <c r="AF71" s="62">
        <f t="shared" ca="1" si="63"/>
        <v>457320.08182396059</v>
      </c>
      <c r="AG71" s="35"/>
      <c r="AH71" s="35"/>
      <c r="AI71" s="35"/>
      <c r="AJ71" s="65">
        <v>85</v>
      </c>
      <c r="AK71" s="66">
        <f>'SA85-90'!F77*(1+$AH$22)</f>
        <v>0.15140400000000004</v>
      </c>
      <c r="AL71" s="66">
        <f>'SA85-90 (light)'!F77*(1+$AH$22)</f>
        <v>0.15178900000000001</v>
      </c>
      <c r="AM71" s="66">
        <f t="shared" si="74"/>
        <v>132</v>
      </c>
      <c r="AN71" s="66">
        <f t="shared" si="75"/>
        <v>0</v>
      </c>
      <c r="AO71" s="67">
        <f t="shared" si="85"/>
        <v>2.5664517644146633E-5</v>
      </c>
      <c r="AP71" s="68">
        <f t="shared" ca="1" si="76"/>
        <v>1.0852771216416453E-7</v>
      </c>
      <c r="AR71" s="69">
        <f t="shared" si="77"/>
        <v>6</v>
      </c>
      <c r="AS71" s="70">
        <f t="shared" si="86"/>
        <v>68</v>
      </c>
      <c r="AT71" s="71">
        <f t="shared" si="87"/>
        <v>0.62785194601731387</v>
      </c>
      <c r="AU71" s="72">
        <f t="shared" si="64"/>
        <v>6.8214933659622723E-3</v>
      </c>
      <c r="AV71" s="73">
        <f t="shared" si="78"/>
        <v>1.0068214933659623</v>
      </c>
      <c r="AW71" s="74">
        <f>PRODUCT(AV$4:AV71)</f>
        <v>1.5877002617414766</v>
      </c>
      <c r="AY71" s="75">
        <f t="shared" si="88"/>
        <v>68</v>
      </c>
      <c r="AZ71" s="76">
        <f t="shared" ca="1" si="52"/>
        <v>1.0068214933659623</v>
      </c>
      <c r="BA71" s="76">
        <f t="shared" ca="1" si="52"/>
        <v>1.0068214933659623</v>
      </c>
      <c r="BB71" s="76">
        <f t="shared" ca="1" si="52"/>
        <v>1.0068214933659623</v>
      </c>
      <c r="BC71" s="76">
        <f t="shared" ca="1" si="52"/>
        <v>1.0068214933659623</v>
      </c>
      <c r="BD71" s="76">
        <f t="shared" ca="1" si="52"/>
        <v>1.0068214933659623</v>
      </c>
      <c r="BE71" s="76">
        <f t="shared" ca="1" si="52"/>
        <v>1.0068214933659623</v>
      </c>
      <c r="BF71" s="76">
        <f t="shared" ca="1" si="52"/>
        <v>1.0068214933659623</v>
      </c>
      <c r="BG71" s="76">
        <f t="shared" ca="1" si="52"/>
        <v>1.0068214933659623</v>
      </c>
      <c r="BH71" s="76">
        <f t="shared" ca="1" si="52"/>
        <v>1.0068214933659623</v>
      </c>
      <c r="BI71" s="76">
        <f t="shared" ca="1" si="52"/>
        <v>1.0068214933659623</v>
      </c>
      <c r="BJ71" s="76">
        <f t="shared" ca="1" si="52"/>
        <v>1.0068214933659623</v>
      </c>
      <c r="BK71" s="76">
        <f t="shared" ca="1" si="52"/>
        <v>1.0068214933659623</v>
      </c>
      <c r="BL71" s="76">
        <f t="shared" ca="1" si="65"/>
        <v>8.5000000000000853E-2</v>
      </c>
      <c r="BM71" s="77">
        <f t="shared" ca="1" si="79"/>
        <v>256.57964301115868</v>
      </c>
    </row>
    <row r="72" spans="5:65">
      <c r="E72">
        <f t="shared" si="80"/>
        <v>69</v>
      </c>
      <c r="F72" s="64">
        <f t="shared" si="66"/>
        <v>60.44</v>
      </c>
      <c r="G72" s="55">
        <f t="shared" si="53"/>
        <v>0</v>
      </c>
      <c r="H72" s="78">
        <f t="shared" si="89"/>
        <v>1</v>
      </c>
      <c r="I72" s="79">
        <f t="shared" si="67"/>
        <v>485488.03025548893</v>
      </c>
      <c r="J72" s="79">
        <f t="shared" si="54"/>
        <v>3311.7533776419086</v>
      </c>
      <c r="K72" s="80">
        <f t="shared" si="55"/>
        <v>-15</v>
      </c>
      <c r="L72" s="80">
        <f t="shared" si="68"/>
        <v>-404.5733585462408</v>
      </c>
      <c r="M72" s="80">
        <f t="shared" si="42"/>
        <v>0</v>
      </c>
      <c r="N72" s="80">
        <f t="shared" si="69"/>
        <v>-461.21362874271455</v>
      </c>
      <c r="O72" s="81">
        <f t="shared" si="56"/>
        <v>-2083.3333333333335</v>
      </c>
      <c r="P72" s="79">
        <f t="shared" si="57"/>
        <v>485835.66331250855</v>
      </c>
      <c r="Q72" s="35"/>
      <c r="R72">
        <f t="shared" ca="1" si="70"/>
        <v>194</v>
      </c>
      <c r="S72" s="78">
        <f t="shared" ca="1" si="71"/>
        <v>70.44</v>
      </c>
      <c r="T72" s="55">
        <f t="shared" ca="1" si="58"/>
        <v>3.5900448504841975E-3</v>
      </c>
      <c r="U72" s="78">
        <f t="shared" ca="1" si="81"/>
        <v>0.81807847998578531</v>
      </c>
      <c r="V72" s="79">
        <f t="shared" ca="1" si="72"/>
        <v>374123.71740552067</v>
      </c>
      <c r="W72" s="79">
        <f t="shared" ca="1" si="59"/>
        <v>2552.0824563309034</v>
      </c>
      <c r="X72" s="80">
        <f t="shared" ca="1" si="82"/>
        <v>-12.271177199786779</v>
      </c>
      <c r="Y72" s="80">
        <f t="shared" ca="1" si="83"/>
        <v>-311.76976450460057</v>
      </c>
      <c r="Z72" s="80">
        <f t="shared" ca="1" si="73"/>
        <v>0</v>
      </c>
      <c r="AA72" s="80">
        <f t="shared" ca="1" si="84"/>
        <v>-355.41753153524473</v>
      </c>
      <c r="AB72" s="81">
        <f t="shared" ca="1" si="60"/>
        <v>-2045.6953469074949</v>
      </c>
      <c r="AC72" s="79">
        <f t="shared" ca="1" si="61"/>
        <v>373950.6460417044</v>
      </c>
      <c r="AD72" s="35"/>
      <c r="AE72" s="62">
        <f t="shared" ca="1" si="62"/>
        <v>-2500.6101455486769</v>
      </c>
      <c r="AF72" s="62">
        <f t="shared" ca="1" si="63"/>
        <v>457108.52343677595</v>
      </c>
      <c r="AG72" s="35"/>
      <c r="AH72" s="35"/>
      <c r="AI72" s="35"/>
      <c r="AJ72" s="65">
        <v>86</v>
      </c>
      <c r="AK72" s="66">
        <f>'SA85-90'!F78*(1+$AH$22)</f>
        <v>0.16473600000000002</v>
      </c>
      <c r="AL72" s="66">
        <f>'SA85-90 (light)'!F78*(1+$AH$22)</f>
        <v>0.16525300000000001</v>
      </c>
      <c r="AM72" s="66">
        <f t="shared" si="74"/>
        <v>133</v>
      </c>
      <c r="AN72" s="66">
        <f t="shared" si="75"/>
        <v>0</v>
      </c>
      <c r="AO72" s="67">
        <f t="shared" si="85"/>
        <v>2.5664517644146633E-5</v>
      </c>
      <c r="AP72" s="68">
        <f t="shared" ca="1" si="76"/>
        <v>1.0002554116512852E-7</v>
      </c>
      <c r="AR72" s="69">
        <f t="shared" si="77"/>
        <v>6</v>
      </c>
      <c r="AS72" s="70">
        <f t="shared" si="86"/>
        <v>69</v>
      </c>
      <c r="AT72" s="71">
        <f t="shared" si="87"/>
        <v>0.62356905813275021</v>
      </c>
      <c r="AU72" s="72">
        <f t="shared" si="64"/>
        <v>6.8214933659622723E-3</v>
      </c>
      <c r="AV72" s="73">
        <f t="shared" si="78"/>
        <v>1.0068214933659623</v>
      </c>
      <c r="AW72" s="74">
        <f>PRODUCT(AV$4:AV72)</f>
        <v>1.5985307485440827</v>
      </c>
      <c r="AY72" s="75">
        <f t="shared" si="88"/>
        <v>69</v>
      </c>
      <c r="AZ72" s="76">
        <f t="shared" ca="1" si="52"/>
        <v>1.0068214933659623</v>
      </c>
      <c r="BA72" s="76">
        <f t="shared" ca="1" si="52"/>
        <v>1.0068214933659623</v>
      </c>
      <c r="BB72" s="76">
        <f t="shared" ca="1" si="52"/>
        <v>1.0068214933659623</v>
      </c>
      <c r="BC72" s="76">
        <f t="shared" ca="1" si="52"/>
        <v>1.0068214933659623</v>
      </c>
      <c r="BD72" s="76">
        <f t="shared" ca="1" si="52"/>
        <v>1.0068214933659623</v>
      </c>
      <c r="BE72" s="76">
        <f t="shared" ca="1" si="52"/>
        <v>1.0068214933659623</v>
      </c>
      <c r="BF72" s="76">
        <f t="shared" ca="1" si="52"/>
        <v>1.0068214933659623</v>
      </c>
      <c r="BG72" s="76">
        <f t="shared" ca="1" si="52"/>
        <v>1.0068214933659623</v>
      </c>
      <c r="BH72" s="76">
        <f t="shared" ca="1" si="52"/>
        <v>1.0068214933659623</v>
      </c>
      <c r="BI72" s="76">
        <f t="shared" ca="1" si="52"/>
        <v>1.0068214933659623</v>
      </c>
      <c r="BJ72" s="76">
        <f t="shared" ca="1" si="52"/>
        <v>1.0068214933659623</v>
      </c>
      <c r="BK72" s="76">
        <f t="shared" ca="1" si="52"/>
        <v>1.0068214933659623</v>
      </c>
      <c r="BL72" s="76">
        <f t="shared" ca="1" si="65"/>
        <v>8.5000000000000853E-2</v>
      </c>
      <c r="BM72" s="77">
        <f t="shared" ca="1" si="79"/>
        <v>278.38891266710738</v>
      </c>
    </row>
    <row r="73" spans="5:65">
      <c r="E73">
        <f t="shared" si="80"/>
        <v>70</v>
      </c>
      <c r="F73" s="64">
        <f t="shared" si="66"/>
        <v>60.52</v>
      </c>
      <c r="G73" s="55">
        <f t="shared" si="53"/>
        <v>0</v>
      </c>
      <c r="H73" s="78">
        <f t="shared" si="89"/>
        <v>1</v>
      </c>
      <c r="I73" s="79">
        <f t="shared" si="67"/>
        <v>485835.66331250855</v>
      </c>
      <c r="J73" s="79">
        <f t="shared" si="54"/>
        <v>3314.1247542341571</v>
      </c>
      <c r="K73" s="80">
        <f t="shared" si="55"/>
        <v>-15</v>
      </c>
      <c r="L73" s="80">
        <f t="shared" si="68"/>
        <v>-404.86305276042384</v>
      </c>
      <c r="M73" s="80">
        <f t="shared" si="42"/>
        <v>0</v>
      </c>
      <c r="N73" s="80">
        <f t="shared" si="69"/>
        <v>-461.54388014688317</v>
      </c>
      <c r="O73" s="81">
        <f t="shared" si="56"/>
        <v>-2083.3333333333335</v>
      </c>
      <c r="P73" s="79">
        <f t="shared" si="57"/>
        <v>486185.0478005021</v>
      </c>
      <c r="Q73" s="35"/>
      <c r="R73">
        <f t="shared" ca="1" si="70"/>
        <v>195</v>
      </c>
      <c r="S73" s="78">
        <f t="shared" ca="1" si="71"/>
        <v>70.52</v>
      </c>
      <c r="T73" s="55">
        <f t="shared" ca="1" si="58"/>
        <v>3.9263561977341821E-3</v>
      </c>
      <c r="U73" s="78">
        <f t="shared" ca="1" si="81"/>
        <v>0.81486641247566016</v>
      </c>
      <c r="V73" s="79">
        <f t="shared" ca="1" si="72"/>
        <v>372482.38260497188</v>
      </c>
      <c r="W73" s="79">
        <f t="shared" ca="1" si="59"/>
        <v>2540.8861018776365</v>
      </c>
      <c r="X73" s="80">
        <f t="shared" ca="1" si="82"/>
        <v>-12.222996187134903</v>
      </c>
      <c r="Y73" s="80">
        <f t="shared" ca="1" si="83"/>
        <v>-310.40198550414323</v>
      </c>
      <c r="Z73" s="80">
        <f t="shared" ca="1" si="73"/>
        <v>0</v>
      </c>
      <c r="AA73" s="80">
        <f t="shared" ca="1" si="84"/>
        <v>-353.85826347472334</v>
      </c>
      <c r="AB73" s="81">
        <f t="shared" ca="1" si="60"/>
        <v>-2037.6632183034887</v>
      </c>
      <c r="AC73" s="79">
        <f t="shared" ca="1" si="61"/>
        <v>372309.12224338</v>
      </c>
      <c r="AD73" s="35"/>
      <c r="AE73" s="62">
        <f t="shared" ca="1" si="62"/>
        <v>-2500.6101455486769</v>
      </c>
      <c r="AF73" s="62">
        <f t="shared" ca="1" si="63"/>
        <v>456895.89918458048</v>
      </c>
      <c r="AG73" s="35"/>
      <c r="AH73" s="35"/>
      <c r="AI73" s="35"/>
      <c r="AJ73" s="65">
        <v>87</v>
      </c>
      <c r="AK73" s="66">
        <f>'SA85-90'!F79*(1+$AH$22)</f>
        <v>0.17914600000000003</v>
      </c>
      <c r="AL73" s="66">
        <f>'SA85-90 (light)'!F79*(1+$AH$22)</f>
        <v>0.17982799999999999</v>
      </c>
      <c r="AM73" s="66">
        <f t="shared" si="74"/>
        <v>134</v>
      </c>
      <c r="AN73" s="66">
        <f t="shared" si="75"/>
        <v>0</v>
      </c>
      <c r="AO73" s="67">
        <f t="shared" si="85"/>
        <v>2.5664517644146633E-5</v>
      </c>
      <c r="AP73" s="68">
        <f t="shared" ca="1" si="76"/>
        <v>9.218943886186953E-8</v>
      </c>
      <c r="AR73" s="69">
        <f t="shared" si="77"/>
        <v>6</v>
      </c>
      <c r="AS73" s="70">
        <f t="shared" si="86"/>
        <v>70</v>
      </c>
      <c r="AT73" s="71">
        <f t="shared" si="87"/>
        <v>0.61931538593947832</v>
      </c>
      <c r="AU73" s="72">
        <f t="shared" si="64"/>
        <v>6.8214933659622723E-3</v>
      </c>
      <c r="AV73" s="73">
        <f t="shared" si="78"/>
        <v>1.0068214933659623</v>
      </c>
      <c r="AW73" s="74">
        <f>PRODUCT(AV$4:AV73)</f>
        <v>1.6094351154405628</v>
      </c>
      <c r="AY73" s="75">
        <f t="shared" si="88"/>
        <v>70</v>
      </c>
      <c r="AZ73" s="76">
        <f t="shared" ca="1" si="52"/>
        <v>1.0068214933659623</v>
      </c>
      <c r="BA73" s="76">
        <f t="shared" ca="1" si="52"/>
        <v>1.0068214933659623</v>
      </c>
      <c r="BB73" s="76">
        <f t="shared" ca="1" si="52"/>
        <v>1.0068214933659623</v>
      </c>
      <c r="BC73" s="76">
        <f t="shared" ca="1" si="52"/>
        <v>1.0068214933659623</v>
      </c>
      <c r="BD73" s="76">
        <f t="shared" ca="1" si="52"/>
        <v>1.0068214933659623</v>
      </c>
      <c r="BE73" s="76">
        <f t="shared" ca="1" si="52"/>
        <v>1.0068214933659623</v>
      </c>
      <c r="BF73" s="76">
        <f t="shared" ca="1" si="52"/>
        <v>1.0068214933659623</v>
      </c>
      <c r="BG73" s="76">
        <f t="shared" ca="1" si="52"/>
        <v>1.0068214933659623</v>
      </c>
      <c r="BH73" s="76">
        <f t="shared" ca="1" si="52"/>
        <v>1.0068214933659623</v>
      </c>
      <c r="BI73" s="76">
        <f t="shared" ca="1" si="52"/>
        <v>1.0068214933659623</v>
      </c>
      <c r="BJ73" s="76">
        <f t="shared" ca="1" si="52"/>
        <v>1.0068214933659623</v>
      </c>
      <c r="BK73" s="76">
        <f t="shared" ca="1" si="52"/>
        <v>1.0068214933659623</v>
      </c>
      <c r="BL73" s="76">
        <f t="shared" ca="1" si="65"/>
        <v>8.5000000000000853E-2</v>
      </c>
      <c r="BM73" s="77">
        <f t="shared" ca="1" si="79"/>
        <v>302.05197024381175</v>
      </c>
    </row>
    <row r="74" spans="5:65">
      <c r="E74">
        <f t="shared" si="80"/>
        <v>71</v>
      </c>
      <c r="F74" s="64">
        <f t="shared" si="66"/>
        <v>60.6</v>
      </c>
      <c r="G74" s="55">
        <f t="shared" si="53"/>
        <v>0</v>
      </c>
      <c r="H74" s="78">
        <f t="shared" si="89"/>
        <v>1</v>
      </c>
      <c r="I74" s="79">
        <f t="shared" si="67"/>
        <v>486185.0478005021</v>
      </c>
      <c r="J74" s="79">
        <f t="shared" si="54"/>
        <v>3316.5080782011755</v>
      </c>
      <c r="K74" s="80">
        <f t="shared" si="55"/>
        <v>-15</v>
      </c>
      <c r="L74" s="80">
        <f t="shared" si="68"/>
        <v>-405.15420650041847</v>
      </c>
      <c r="M74" s="80">
        <f t="shared" si="42"/>
        <v>0</v>
      </c>
      <c r="N74" s="80">
        <f t="shared" si="69"/>
        <v>-461.87579541047711</v>
      </c>
      <c r="O74" s="81">
        <f t="shared" si="56"/>
        <v>-2083.3333333333335</v>
      </c>
      <c r="P74" s="79">
        <f t="shared" si="57"/>
        <v>486536.19254345901</v>
      </c>
      <c r="Q74" s="35"/>
      <c r="R74">
        <f t="shared" ca="1" si="70"/>
        <v>196</v>
      </c>
      <c r="S74" s="78">
        <f t="shared" ca="1" si="71"/>
        <v>70.599999999999994</v>
      </c>
      <c r="T74" s="55">
        <f t="shared" ca="1" si="58"/>
        <v>3.9263561977341821E-3</v>
      </c>
      <c r="U74" s="78">
        <f t="shared" ca="1" si="81"/>
        <v>0.81166695668671096</v>
      </c>
      <c r="V74" s="79">
        <f t="shared" ca="1" si="72"/>
        <v>370847.30401378672</v>
      </c>
      <c r="W74" s="79">
        <f t="shared" ca="1" si="59"/>
        <v>2529.73242411504</v>
      </c>
      <c r="X74" s="80">
        <f t="shared" ca="1" si="82"/>
        <v>-12.175004350300664</v>
      </c>
      <c r="Y74" s="80">
        <f t="shared" ca="1" si="83"/>
        <v>-309.03942001148897</v>
      </c>
      <c r="Z74" s="80">
        <f t="shared" ca="1" si="73"/>
        <v>0</v>
      </c>
      <c r="AA74" s="80">
        <f t="shared" ca="1" si="84"/>
        <v>-352.30493881309741</v>
      </c>
      <c r="AB74" s="81">
        <f t="shared" ca="1" si="60"/>
        <v>-2029.6626266974079</v>
      </c>
      <c r="AC74" s="79">
        <f t="shared" ca="1" si="61"/>
        <v>370673.85444802948</v>
      </c>
      <c r="AD74" s="35"/>
      <c r="AE74" s="62">
        <f t="shared" ca="1" si="62"/>
        <v>-2500.6101455486769</v>
      </c>
      <c r="AF74" s="62">
        <f t="shared" ca="1" si="63"/>
        <v>456682.2036973756</v>
      </c>
      <c r="AG74" s="35"/>
      <c r="AH74" s="35"/>
      <c r="AI74" s="35"/>
      <c r="AJ74" s="65">
        <v>88</v>
      </c>
      <c r="AK74" s="66">
        <f>'SA85-90'!F80*(1+$AH$22)</f>
        <v>0.19468900000000003</v>
      </c>
      <c r="AL74" s="66">
        <f>'SA85-90 (light)'!F80*(1+$AH$22)</f>
        <v>0.19556900000000002</v>
      </c>
      <c r="AM74" s="66">
        <f t="shared" si="74"/>
        <v>135</v>
      </c>
      <c r="AN74" s="66">
        <f t="shared" si="75"/>
        <v>0</v>
      </c>
      <c r="AO74" s="67">
        <f t="shared" si="85"/>
        <v>2.5664517644146633E-5</v>
      </c>
      <c r="AP74" s="68">
        <f t="shared" ca="1" si="76"/>
        <v>8.4967224757483368E-8</v>
      </c>
      <c r="AR74" s="69">
        <f t="shared" si="77"/>
        <v>6</v>
      </c>
      <c r="AS74" s="70">
        <f t="shared" si="86"/>
        <v>71</v>
      </c>
      <c r="AT74" s="71">
        <f t="shared" si="87"/>
        <v>0.61509073014285376</v>
      </c>
      <c r="AU74" s="72">
        <f t="shared" si="64"/>
        <v>6.8214933659622723E-3</v>
      </c>
      <c r="AV74" s="73">
        <f t="shared" si="78"/>
        <v>1.0068214933659623</v>
      </c>
      <c r="AW74" s="74">
        <f>PRODUCT(AV$4:AV74)</f>
        <v>1.6204138664034873</v>
      </c>
      <c r="AY74" s="75">
        <f t="shared" si="88"/>
        <v>71</v>
      </c>
      <c r="AZ74" s="76">
        <f t="shared" ca="1" si="52"/>
        <v>1.0068214933659623</v>
      </c>
      <c r="BA74" s="76">
        <f t="shared" ca="1" si="52"/>
        <v>1.0068214933659623</v>
      </c>
      <c r="BB74" s="76">
        <f t="shared" ca="1" si="52"/>
        <v>1.0068214933659623</v>
      </c>
      <c r="BC74" s="76">
        <f t="shared" ca="1" si="52"/>
        <v>1.0068214933659623</v>
      </c>
      <c r="BD74" s="76">
        <f t="shared" ca="1" si="52"/>
        <v>1.0068214933659623</v>
      </c>
      <c r="BE74" s="76">
        <f t="shared" ca="1" si="52"/>
        <v>1.0068214933659623</v>
      </c>
      <c r="BF74" s="76">
        <f t="shared" ca="1" si="52"/>
        <v>1.0068214933659623</v>
      </c>
      <c r="BG74" s="76">
        <f t="shared" ca="1" si="52"/>
        <v>1.0068214933659623</v>
      </c>
      <c r="BH74" s="76">
        <f t="shared" ca="1" si="52"/>
        <v>1.0068214933659623</v>
      </c>
      <c r="BI74" s="76">
        <f t="shared" ca="1" si="52"/>
        <v>1.0068214933659623</v>
      </c>
      <c r="BJ74" s="76">
        <f t="shared" ca="1" si="52"/>
        <v>1.0068214933659623</v>
      </c>
      <c r="BK74" s="76">
        <f t="shared" ca="1" si="52"/>
        <v>1.0068214933659623</v>
      </c>
      <c r="BL74" s="76">
        <f t="shared" ca="1" si="65"/>
        <v>8.5000000000000853E-2</v>
      </c>
      <c r="BM74" s="77">
        <f t="shared" ca="1" si="79"/>
        <v>327.72638771453603</v>
      </c>
    </row>
    <row r="75" spans="5:65">
      <c r="E75">
        <f t="shared" si="80"/>
        <v>72</v>
      </c>
      <c r="F75" s="64">
        <f t="shared" si="66"/>
        <v>60.68</v>
      </c>
      <c r="G75" s="55">
        <f t="shared" si="53"/>
        <v>0</v>
      </c>
      <c r="H75" s="78">
        <f t="shared" si="89"/>
        <v>1</v>
      </c>
      <c r="I75" s="79">
        <f t="shared" si="67"/>
        <v>486536.19254345901</v>
      </c>
      <c r="J75" s="79">
        <f t="shared" si="54"/>
        <v>3318.9034097357485</v>
      </c>
      <c r="K75" s="80">
        <f t="shared" si="55"/>
        <v>-15</v>
      </c>
      <c r="L75" s="80">
        <f t="shared" si="68"/>
        <v>-405.4468271195492</v>
      </c>
      <c r="M75" s="80">
        <f t="shared" si="42"/>
        <v>0</v>
      </c>
      <c r="N75" s="80">
        <f t="shared" si="69"/>
        <v>-462.20938291628613</v>
      </c>
      <c r="O75" s="81">
        <f t="shared" si="56"/>
        <v>-2083.3333333333335</v>
      </c>
      <c r="P75" s="79">
        <f t="shared" si="57"/>
        <v>486889.10640982562</v>
      </c>
      <c r="Q75" s="35"/>
      <c r="R75">
        <f t="shared" ca="1" si="70"/>
        <v>197</v>
      </c>
      <c r="S75" s="78">
        <f t="shared" ca="1" si="71"/>
        <v>70.680000000000007</v>
      </c>
      <c r="T75" s="55">
        <f t="shared" ca="1" si="58"/>
        <v>3.9263561977341821E-3</v>
      </c>
      <c r="U75" s="78">
        <f t="shared" ca="1" si="81"/>
        <v>0.80848006310082809</v>
      </c>
      <c r="V75" s="79">
        <f t="shared" ca="1" si="72"/>
        <v>369218.45686227945</v>
      </c>
      <c r="W75" s="79">
        <f t="shared" ca="1" si="59"/>
        <v>2518.6212540768665</v>
      </c>
      <c r="X75" s="80">
        <f t="shared" ca="1" si="82"/>
        <v>-12.127200946512421</v>
      </c>
      <c r="Y75" s="80">
        <f t="shared" ca="1" si="83"/>
        <v>-307.68204738523292</v>
      </c>
      <c r="Z75" s="80">
        <f t="shared" ca="1" si="73"/>
        <v>0</v>
      </c>
      <c r="AA75" s="80">
        <f t="shared" ca="1" si="84"/>
        <v>-350.75753401916558</v>
      </c>
      <c r="AB75" s="81">
        <f t="shared" ca="1" si="60"/>
        <v>-2021.6934482637653</v>
      </c>
      <c r="AC75" s="79">
        <f t="shared" ca="1" si="61"/>
        <v>369044.81788574165</v>
      </c>
      <c r="AD75" s="35"/>
      <c r="AE75" s="62">
        <f t="shared" ca="1" si="62"/>
        <v>-2500.6101455486769</v>
      </c>
      <c r="AF75" s="62">
        <f t="shared" ca="1" si="63"/>
        <v>456467.43157810793</v>
      </c>
      <c r="AG75" s="35"/>
      <c r="AH75" s="35"/>
      <c r="AI75" s="35"/>
      <c r="AJ75" s="65">
        <v>89</v>
      </c>
      <c r="AK75" s="66">
        <f>'SA85-90'!F81*(1+$AH$22)</f>
        <v>0.21142000000000002</v>
      </c>
      <c r="AL75" s="66">
        <f>'SA85-90 (light)'!F81*(1+$AH$22)</f>
        <v>0.212531</v>
      </c>
      <c r="AM75" s="66">
        <f t="shared" si="74"/>
        <v>136</v>
      </c>
      <c r="AN75" s="66">
        <f t="shared" si="75"/>
        <v>0</v>
      </c>
      <c r="AO75" s="67">
        <f t="shared" si="85"/>
        <v>2.5664517644146633E-5</v>
      </c>
      <c r="AP75" s="68">
        <f t="shared" ca="1" si="76"/>
        <v>7.8310806228095203E-8</v>
      </c>
      <c r="AR75" s="69">
        <f t="shared" si="77"/>
        <v>6</v>
      </c>
      <c r="AS75" s="70">
        <f t="shared" si="86"/>
        <v>72</v>
      </c>
      <c r="AT75" s="71">
        <f t="shared" si="87"/>
        <v>0.61089489280771936</v>
      </c>
      <c r="AU75" s="72">
        <f t="shared" si="64"/>
        <v>6.8214933659622723E-3</v>
      </c>
      <c r="AV75" s="73">
        <f t="shared" si="78"/>
        <v>1.0068214933659623</v>
      </c>
      <c r="AW75" s="74">
        <f>PRODUCT(AV$4:AV75)</f>
        <v>1.631467508843272</v>
      </c>
      <c r="AY75" s="75">
        <f t="shared" si="88"/>
        <v>72</v>
      </c>
      <c r="AZ75" s="76">
        <f t="shared" ref="AZ75:BK84" ca="1" si="90">OFFSET($AV$3,($AY75*12-12)+AZ$3,0)</f>
        <v>1.0068214933659623</v>
      </c>
      <c r="BA75" s="76">
        <f t="shared" ca="1" si="90"/>
        <v>1.0068214933659623</v>
      </c>
      <c r="BB75" s="76">
        <f t="shared" ca="1" si="90"/>
        <v>1.0068214933659623</v>
      </c>
      <c r="BC75" s="76">
        <f t="shared" ca="1" si="90"/>
        <v>1.0068214933659623</v>
      </c>
      <c r="BD75" s="76">
        <f t="shared" ca="1" si="90"/>
        <v>1.0068214933659623</v>
      </c>
      <c r="BE75" s="76">
        <f t="shared" ca="1" si="90"/>
        <v>1.0068214933659623</v>
      </c>
      <c r="BF75" s="76">
        <f t="shared" ca="1" si="90"/>
        <v>1.0068214933659623</v>
      </c>
      <c r="BG75" s="76">
        <f t="shared" ca="1" si="90"/>
        <v>1.0068214933659623</v>
      </c>
      <c r="BH75" s="76">
        <f t="shared" ca="1" si="90"/>
        <v>1.0068214933659623</v>
      </c>
      <c r="BI75" s="76">
        <f t="shared" ca="1" si="90"/>
        <v>1.0068214933659623</v>
      </c>
      <c r="BJ75" s="76">
        <f t="shared" ca="1" si="90"/>
        <v>1.0068214933659623</v>
      </c>
      <c r="BK75" s="76">
        <f t="shared" ca="1" si="90"/>
        <v>1.0068214933659623</v>
      </c>
      <c r="BL75" s="76">
        <f t="shared" ca="1" si="65"/>
        <v>8.5000000000000853E-2</v>
      </c>
      <c r="BM75" s="77">
        <f t="shared" ca="1" si="79"/>
        <v>355.58313067027188</v>
      </c>
    </row>
    <row r="76" spans="5:65">
      <c r="E76">
        <f t="shared" si="80"/>
        <v>73</v>
      </c>
      <c r="F76" s="64">
        <f t="shared" si="66"/>
        <v>60.76</v>
      </c>
      <c r="G76" s="55">
        <f t="shared" si="53"/>
        <v>0</v>
      </c>
      <c r="H76" s="78">
        <f t="shared" si="89"/>
        <v>1</v>
      </c>
      <c r="I76" s="79">
        <f t="shared" si="67"/>
        <v>486889.10640982562</v>
      </c>
      <c r="J76" s="79">
        <f t="shared" si="54"/>
        <v>3321.3108093339242</v>
      </c>
      <c r="K76" s="80">
        <f t="shared" si="55"/>
        <v>-15</v>
      </c>
      <c r="L76" s="80">
        <f t="shared" si="68"/>
        <v>-405.74092200818802</v>
      </c>
      <c r="M76" s="80">
        <f t="shared" si="42"/>
        <v>-3651.6682980736919</v>
      </c>
      <c r="N76" s="80">
        <f t="shared" si="69"/>
        <v>-462.54465108933442</v>
      </c>
      <c r="O76" s="81">
        <f t="shared" si="56"/>
        <v>-2083.3333333333335</v>
      </c>
      <c r="P76" s="79">
        <f t="shared" si="57"/>
        <v>483592.13001465501</v>
      </c>
      <c r="Q76" s="35"/>
      <c r="R76">
        <f t="shared" ca="1" si="70"/>
        <v>198</v>
      </c>
      <c r="S76" s="78">
        <f t="shared" ca="1" si="71"/>
        <v>70.760000000000005</v>
      </c>
      <c r="T76" s="55">
        <f t="shared" ca="1" si="58"/>
        <v>3.9263561977341821E-3</v>
      </c>
      <c r="U76" s="78">
        <f t="shared" ca="1" si="81"/>
        <v>0.80530568239432765</v>
      </c>
      <c r="V76" s="79">
        <f t="shared" ca="1" si="72"/>
        <v>367595.81647779426</v>
      </c>
      <c r="W76" s="79">
        <f t="shared" ca="1" si="59"/>
        <v>2507.5524234587583</v>
      </c>
      <c r="X76" s="80">
        <f t="shared" ca="1" si="82"/>
        <v>-12.079585235914914</v>
      </c>
      <c r="Y76" s="80">
        <f t="shared" ca="1" si="83"/>
        <v>-306.32984706482858</v>
      </c>
      <c r="Z76" s="80">
        <f t="shared" ca="1" si="73"/>
        <v>0</v>
      </c>
      <c r="AA76" s="80">
        <f t="shared" ca="1" si="84"/>
        <v>-349.21602565390458</v>
      </c>
      <c r="AB76" s="81">
        <f t="shared" ca="1" si="60"/>
        <v>-2013.7555596632562</v>
      </c>
      <c r="AC76" s="79">
        <f t="shared" ca="1" si="61"/>
        <v>367421.98788363521</v>
      </c>
      <c r="AD76" s="35"/>
      <c r="AE76" s="62">
        <f t="shared" ca="1" si="62"/>
        <v>-2500.6101455486769</v>
      </c>
      <c r="AF76" s="62">
        <f t="shared" ca="1" si="63"/>
        <v>456251.57740253297</v>
      </c>
      <c r="AG76" s="35"/>
      <c r="AH76" s="35"/>
      <c r="AI76" s="35"/>
      <c r="AJ76" s="65">
        <v>90</v>
      </c>
      <c r="AK76" s="66">
        <f>'SA85-90'!F82*(1+$AH$22)</f>
        <v>0.22926200000000002</v>
      </c>
      <c r="AL76" s="66">
        <f>'SA85-90 (light)'!F82*(1+$AH$22)</f>
        <v>0.230549</v>
      </c>
      <c r="AM76" s="66">
        <f t="shared" si="74"/>
        <v>137</v>
      </c>
      <c r="AN76" s="66">
        <f t="shared" si="75"/>
        <v>0</v>
      </c>
      <c r="AO76" s="67">
        <f t="shared" si="85"/>
        <v>2.5664517644146633E-5</v>
      </c>
      <c r="AP76" s="68">
        <f t="shared" ca="1" si="76"/>
        <v>7.217585827474207E-8</v>
      </c>
      <c r="AR76" s="69">
        <f t="shared" si="77"/>
        <v>7</v>
      </c>
      <c r="AS76" s="70">
        <f t="shared" si="86"/>
        <v>73</v>
      </c>
      <c r="AT76" s="71">
        <f t="shared" si="87"/>
        <v>0.60672767734913124</v>
      </c>
      <c r="AU76" s="72">
        <f t="shared" si="64"/>
        <v>6.8214933659622723E-3</v>
      </c>
      <c r="AV76" s="73">
        <f t="shared" si="78"/>
        <v>1.0068214933659623</v>
      </c>
      <c r="AW76" s="74">
        <f>PRODUCT(AV$4:AV76)</f>
        <v>1.6425965536316294</v>
      </c>
      <c r="AY76" s="75">
        <f t="shared" si="88"/>
        <v>73</v>
      </c>
      <c r="AZ76" s="76">
        <f t="shared" ca="1" si="90"/>
        <v>1.0068214933659623</v>
      </c>
      <c r="BA76" s="76">
        <f t="shared" ca="1" si="90"/>
        <v>1.0068214933659623</v>
      </c>
      <c r="BB76" s="76">
        <f t="shared" ca="1" si="90"/>
        <v>1.0068214933659623</v>
      </c>
      <c r="BC76" s="76">
        <f t="shared" ca="1" si="90"/>
        <v>1.0068214933659623</v>
      </c>
      <c r="BD76" s="76">
        <f t="shared" ca="1" si="90"/>
        <v>1.0068214933659623</v>
      </c>
      <c r="BE76" s="76">
        <f t="shared" ca="1" si="90"/>
        <v>1.0068214933659623</v>
      </c>
      <c r="BF76" s="76">
        <f t="shared" ca="1" si="90"/>
        <v>1.0068214933659623</v>
      </c>
      <c r="BG76" s="76">
        <f t="shared" ca="1" si="90"/>
        <v>1.0068214933659623</v>
      </c>
      <c r="BH76" s="76">
        <f t="shared" ca="1" si="90"/>
        <v>1.0068214933659623</v>
      </c>
      <c r="BI76" s="76">
        <f t="shared" ca="1" si="90"/>
        <v>1.0068214933659623</v>
      </c>
      <c r="BJ76" s="76">
        <f t="shared" ca="1" si="90"/>
        <v>1.0068214933659623</v>
      </c>
      <c r="BK76" s="76">
        <f t="shared" ca="1" si="90"/>
        <v>1.0068214933659623</v>
      </c>
      <c r="BL76" s="76">
        <f t="shared" ca="1" si="65"/>
        <v>8.5000000000000853E-2</v>
      </c>
      <c r="BM76" s="77">
        <f t="shared" ca="1" si="79"/>
        <v>385.80769677724533</v>
      </c>
    </row>
    <row r="77" spans="5:65">
      <c r="E77">
        <f t="shared" si="80"/>
        <v>74</v>
      </c>
      <c r="F77" s="64">
        <f t="shared" si="66"/>
        <v>60.84</v>
      </c>
      <c r="G77" s="55">
        <f t="shared" si="53"/>
        <v>0</v>
      </c>
      <c r="H77" s="78">
        <f t="shared" si="89"/>
        <v>1</v>
      </c>
      <c r="I77" s="79">
        <f t="shared" si="67"/>
        <v>483592.13001465501</v>
      </c>
      <c r="J77" s="79">
        <f t="shared" si="54"/>
        <v>3298.8205067265339</v>
      </c>
      <c r="K77" s="80">
        <f t="shared" si="55"/>
        <v>-15</v>
      </c>
      <c r="L77" s="80">
        <f t="shared" si="68"/>
        <v>-402.99344167887921</v>
      </c>
      <c r="M77" s="80">
        <f t="shared" si="42"/>
        <v>0</v>
      </c>
      <c r="N77" s="80">
        <f t="shared" si="69"/>
        <v>-459.41252351392239</v>
      </c>
      <c r="O77" s="81">
        <f t="shared" si="56"/>
        <v>-2083.3333333333335</v>
      </c>
      <c r="P77" s="79">
        <f t="shared" si="57"/>
        <v>483930.21122285537</v>
      </c>
      <c r="Q77" s="35"/>
      <c r="R77">
        <f t="shared" ca="1" si="70"/>
        <v>199</v>
      </c>
      <c r="S77" s="78">
        <f t="shared" ca="1" si="71"/>
        <v>70.84</v>
      </c>
      <c r="T77" s="55">
        <f t="shared" ca="1" si="58"/>
        <v>3.9263561977341821E-3</v>
      </c>
      <c r="U77" s="78">
        <f t="shared" ca="1" si="81"/>
        <v>0.80214376543718813</v>
      </c>
      <c r="V77" s="79">
        <f t="shared" ca="1" si="72"/>
        <v>365979.35828432447</v>
      </c>
      <c r="W77" s="79">
        <f t="shared" ca="1" si="59"/>
        <v>2496.5257646156488</v>
      </c>
      <c r="X77" s="80">
        <f t="shared" ca="1" si="82"/>
        <v>-12.032156481557822</v>
      </c>
      <c r="Y77" s="80">
        <f t="shared" ca="1" si="83"/>
        <v>-304.9827985702704</v>
      </c>
      <c r="Z77" s="80">
        <f t="shared" ca="1" si="73"/>
        <v>0</v>
      </c>
      <c r="AA77" s="80">
        <f t="shared" ca="1" si="84"/>
        <v>-347.68039037010834</v>
      </c>
      <c r="AB77" s="81">
        <f t="shared" ca="1" si="60"/>
        <v>-2005.8488380408508</v>
      </c>
      <c r="AC77" s="79">
        <f t="shared" ca="1" si="61"/>
        <v>365805.33986547729</v>
      </c>
      <c r="AD77" s="35"/>
      <c r="AE77" s="62">
        <f t="shared" ca="1" si="62"/>
        <v>-2500.6101455486769</v>
      </c>
      <c r="AF77" s="62">
        <f t="shared" ca="1" si="63"/>
        <v>456034.63571907755</v>
      </c>
      <c r="AG77" s="35"/>
      <c r="AH77" s="35"/>
      <c r="AI77" s="35"/>
      <c r="AJ77" s="65">
        <v>91</v>
      </c>
      <c r="AK77" s="66">
        <f>'SA85-90'!F83*(1+$AH$22)</f>
        <v>0.24838000000000002</v>
      </c>
      <c r="AL77" s="66">
        <f>'SA85-90 (light)'!F83*(1+$AH$22)</f>
        <v>0.24985400000000002</v>
      </c>
      <c r="AM77" s="66">
        <f t="shared" si="74"/>
        <v>138</v>
      </c>
      <c r="AN77" s="66">
        <f t="shared" si="75"/>
        <v>0</v>
      </c>
      <c r="AO77" s="67">
        <f t="shared" si="85"/>
        <v>2.5664517644146633E-5</v>
      </c>
      <c r="AP77" s="68">
        <f t="shared" ca="1" si="76"/>
        <v>6.6521528363817512E-8</v>
      </c>
      <c r="AR77" s="69">
        <f t="shared" si="77"/>
        <v>7</v>
      </c>
      <c r="AS77" s="70">
        <f t="shared" si="86"/>
        <v>74</v>
      </c>
      <c r="AT77" s="71">
        <f t="shared" si="87"/>
        <v>0.6025888885231484</v>
      </c>
      <c r="AU77" s="72">
        <f t="shared" si="64"/>
        <v>6.8214933659622723E-3</v>
      </c>
      <c r="AV77" s="73">
        <f t="shared" si="78"/>
        <v>1.0068214933659623</v>
      </c>
      <c r="AW77" s="74">
        <f>PRODUCT(AV$4:AV77)</f>
        <v>1.6538015151251799</v>
      </c>
      <c r="AY77" s="75">
        <f t="shared" si="88"/>
        <v>74</v>
      </c>
      <c r="AZ77" s="76">
        <f t="shared" ca="1" si="90"/>
        <v>1.0068214933659623</v>
      </c>
      <c r="BA77" s="76">
        <f t="shared" ca="1" si="90"/>
        <v>1.0068214933659623</v>
      </c>
      <c r="BB77" s="76">
        <f t="shared" ca="1" si="90"/>
        <v>1.0068214933659623</v>
      </c>
      <c r="BC77" s="76">
        <f t="shared" ca="1" si="90"/>
        <v>1.0068214933659623</v>
      </c>
      <c r="BD77" s="76">
        <f t="shared" ca="1" si="90"/>
        <v>1.0068214933659623</v>
      </c>
      <c r="BE77" s="76">
        <f t="shared" ca="1" si="90"/>
        <v>1.0068214933659623</v>
      </c>
      <c r="BF77" s="76">
        <f t="shared" ca="1" si="90"/>
        <v>1.0068214933659623</v>
      </c>
      <c r="BG77" s="76">
        <f t="shared" ca="1" si="90"/>
        <v>1.0068214933659623</v>
      </c>
      <c r="BH77" s="76">
        <f t="shared" ca="1" si="90"/>
        <v>1.0068214933659623</v>
      </c>
      <c r="BI77" s="76">
        <f t="shared" ca="1" si="90"/>
        <v>1.0068214933659623</v>
      </c>
      <c r="BJ77" s="76">
        <f t="shared" ca="1" si="90"/>
        <v>1.0068214933659623</v>
      </c>
      <c r="BK77" s="76">
        <f t="shared" ca="1" si="90"/>
        <v>1.0068214933659623</v>
      </c>
      <c r="BL77" s="76">
        <f t="shared" ca="1" si="65"/>
        <v>8.5000000000000853E-2</v>
      </c>
      <c r="BM77" s="77">
        <f t="shared" ca="1" si="79"/>
        <v>418.60135100331149</v>
      </c>
    </row>
    <row r="78" spans="5:65">
      <c r="E78">
        <f t="shared" si="80"/>
        <v>75</v>
      </c>
      <c r="F78" s="64">
        <f t="shared" si="66"/>
        <v>60.92</v>
      </c>
      <c r="G78" s="55">
        <f t="shared" si="53"/>
        <v>0</v>
      </c>
      <c r="H78" s="78">
        <f t="shared" si="89"/>
        <v>1</v>
      </c>
      <c r="I78" s="79">
        <f t="shared" si="67"/>
        <v>483930.21122285537</v>
      </c>
      <c r="J78" s="79">
        <f t="shared" si="54"/>
        <v>3301.1267254454292</v>
      </c>
      <c r="K78" s="80">
        <f t="shared" si="55"/>
        <v>-15</v>
      </c>
      <c r="L78" s="80">
        <f t="shared" si="68"/>
        <v>-403.27517601904617</v>
      </c>
      <c r="M78" s="80">
        <f t="shared" si="42"/>
        <v>0</v>
      </c>
      <c r="N78" s="80">
        <f t="shared" si="69"/>
        <v>-459.7337006617127</v>
      </c>
      <c r="O78" s="81">
        <f t="shared" si="56"/>
        <v>-2083.3333333333335</v>
      </c>
      <c r="P78" s="79">
        <f t="shared" si="57"/>
        <v>484269.99573828676</v>
      </c>
      <c r="Q78" s="35"/>
      <c r="R78">
        <f t="shared" ca="1" si="70"/>
        <v>200</v>
      </c>
      <c r="S78" s="78">
        <f t="shared" ca="1" si="71"/>
        <v>70.92</v>
      </c>
      <c r="T78" s="55">
        <f t="shared" ca="1" si="58"/>
        <v>3.9263561977341821E-3</v>
      </c>
      <c r="U78" s="78">
        <f t="shared" ca="1" si="81"/>
        <v>0.79899426329228995</v>
      </c>
      <c r="V78" s="79">
        <f t="shared" ca="1" si="72"/>
        <v>364369.05780213221</v>
      </c>
      <c r="W78" s="79">
        <f t="shared" ca="1" si="59"/>
        <v>2485.5411105591688</v>
      </c>
      <c r="X78" s="80">
        <f t="shared" ca="1" si="82"/>
        <v>-11.98491394938435</v>
      </c>
      <c r="Y78" s="80">
        <f t="shared" ca="1" si="83"/>
        <v>-303.64088150177685</v>
      </c>
      <c r="Z78" s="80">
        <f t="shared" ca="1" si="73"/>
        <v>0</v>
      </c>
      <c r="AA78" s="80">
        <f t="shared" ca="1" si="84"/>
        <v>-346.1506049120257</v>
      </c>
      <c r="AB78" s="81">
        <f t="shared" ca="1" si="60"/>
        <v>-1997.9731610238912</v>
      </c>
      <c r="AC78" s="79">
        <f t="shared" ca="1" si="61"/>
        <v>364194.84935130435</v>
      </c>
      <c r="AD78" s="35"/>
      <c r="AE78" s="62">
        <f t="shared" ca="1" si="62"/>
        <v>-2500.6101455486769</v>
      </c>
      <c r="AF78" s="62">
        <f t="shared" ca="1" si="63"/>
        <v>455816.60104870331</v>
      </c>
      <c r="AG78" s="35"/>
      <c r="AH78" s="35"/>
      <c r="AI78" s="35"/>
      <c r="AJ78" s="65">
        <v>92</v>
      </c>
      <c r="AK78" s="66">
        <f>'SA85-90'!F84*(1+$AH$22)</f>
        <v>0.26884000000000002</v>
      </c>
      <c r="AL78" s="66">
        <f>'SA85-90 (light)'!F84*(1+$AH$22)</f>
        <v>0.27052300000000001</v>
      </c>
      <c r="AM78" s="66">
        <f t="shared" si="74"/>
        <v>139</v>
      </c>
      <c r="AN78" s="66">
        <f t="shared" si="75"/>
        <v>0</v>
      </c>
      <c r="AO78" s="67">
        <f t="shared" si="85"/>
        <v>2.5664517644146633E-5</v>
      </c>
      <c r="AP78" s="68">
        <f t="shared" ca="1" si="76"/>
        <v>6.1310164390615183E-8</v>
      </c>
      <c r="AR78" s="69">
        <f t="shared" si="77"/>
        <v>7</v>
      </c>
      <c r="AS78" s="70">
        <f t="shared" si="86"/>
        <v>75</v>
      </c>
      <c r="AT78" s="71">
        <f t="shared" si="87"/>
        <v>0.59847833241768522</v>
      </c>
      <c r="AU78" s="72">
        <f t="shared" si="64"/>
        <v>6.8214933659622723E-3</v>
      </c>
      <c r="AV78" s="73">
        <f t="shared" si="78"/>
        <v>1.0068214933659623</v>
      </c>
      <c r="AW78" s="74">
        <f>PRODUCT(AV$4:AV78)</f>
        <v>1.6650829111892247</v>
      </c>
      <c r="AY78" s="75">
        <f t="shared" si="88"/>
        <v>75</v>
      </c>
      <c r="AZ78" s="76">
        <f t="shared" ca="1" si="90"/>
        <v>1.0068214933659623</v>
      </c>
      <c r="BA78" s="76">
        <f t="shared" ca="1" si="90"/>
        <v>1.0068214933659623</v>
      </c>
      <c r="BB78" s="76">
        <f t="shared" ca="1" si="90"/>
        <v>1.0068214933659623</v>
      </c>
      <c r="BC78" s="76">
        <f t="shared" ca="1" si="90"/>
        <v>1.0068214933659623</v>
      </c>
      <c r="BD78" s="76">
        <f t="shared" ca="1" si="90"/>
        <v>1.0068214933659623</v>
      </c>
      <c r="BE78" s="76">
        <f t="shared" ca="1" si="90"/>
        <v>1.0068214933659623</v>
      </c>
      <c r="BF78" s="76">
        <f t="shared" ca="1" si="90"/>
        <v>1.0068214933659623</v>
      </c>
      <c r="BG78" s="76">
        <f t="shared" ca="1" si="90"/>
        <v>1.0068214933659623</v>
      </c>
      <c r="BH78" s="76">
        <f t="shared" ca="1" si="90"/>
        <v>1.0068214933659623</v>
      </c>
      <c r="BI78" s="76">
        <f t="shared" ca="1" si="90"/>
        <v>1.0068214933659623</v>
      </c>
      <c r="BJ78" s="76">
        <f t="shared" ca="1" si="90"/>
        <v>1.0068214933659623</v>
      </c>
      <c r="BK78" s="76">
        <f t="shared" ca="1" si="90"/>
        <v>1.0068214933659623</v>
      </c>
      <c r="BL78" s="76">
        <f t="shared" ca="1" si="65"/>
        <v>8.5000000000000853E-2</v>
      </c>
      <c r="BM78" s="77">
        <f t="shared" ca="1" si="79"/>
        <v>454.18246583859332</v>
      </c>
    </row>
    <row r="79" spans="5:65">
      <c r="E79">
        <f t="shared" si="80"/>
        <v>76</v>
      </c>
      <c r="F79" s="64">
        <f t="shared" si="66"/>
        <v>61</v>
      </c>
      <c r="G79" s="55">
        <f t="shared" si="53"/>
        <v>0</v>
      </c>
      <c r="H79" s="78">
        <f t="shared" si="89"/>
        <v>1</v>
      </c>
      <c r="I79" s="79">
        <f t="shared" si="67"/>
        <v>484269.99573828676</v>
      </c>
      <c r="J79" s="79">
        <f t="shared" si="54"/>
        <v>3303.444563263301</v>
      </c>
      <c r="K79" s="80">
        <f t="shared" si="55"/>
        <v>-15</v>
      </c>
      <c r="L79" s="80">
        <f t="shared" si="68"/>
        <v>-403.55832978190568</v>
      </c>
      <c r="M79" s="80">
        <f t="shared" si="42"/>
        <v>0</v>
      </c>
      <c r="N79" s="80">
        <f t="shared" si="69"/>
        <v>-460.05649595137248</v>
      </c>
      <c r="O79" s="81">
        <f t="shared" si="56"/>
        <v>-2083.3333333333335</v>
      </c>
      <c r="P79" s="79">
        <f t="shared" si="57"/>
        <v>484611.49214248348</v>
      </c>
      <c r="Q79" s="35"/>
      <c r="R79">
        <f t="shared" ca="1" si="70"/>
        <v>201</v>
      </c>
      <c r="S79" s="78">
        <f t="shared" ca="1" si="71"/>
        <v>71</v>
      </c>
      <c r="T79" s="55">
        <f t="shared" ca="1" si="58"/>
        <v>3.9263561977341821E-3</v>
      </c>
      <c r="U79" s="78">
        <f t="shared" ca="1" si="81"/>
        <v>0.79585712721465818</v>
      </c>
      <c r="V79" s="79">
        <f t="shared" ca="1" si="72"/>
        <v>362764.89064737101</v>
      </c>
      <c r="W79" s="79">
        <f t="shared" ca="1" si="59"/>
        <v>2474.5982949550703</v>
      </c>
      <c r="X79" s="80">
        <f t="shared" ca="1" si="82"/>
        <v>-11.937856908219873</v>
      </c>
      <c r="Y79" s="80">
        <f t="shared" ca="1" si="83"/>
        <v>-302.30407553947583</v>
      </c>
      <c r="Z79" s="80">
        <f t="shared" ca="1" si="73"/>
        <v>0</v>
      </c>
      <c r="AA79" s="80">
        <f t="shared" ca="1" si="84"/>
        <v>-344.62664611500253</v>
      </c>
      <c r="AB79" s="81">
        <f t="shared" ca="1" si="60"/>
        <v>-1990.1284067201984</v>
      </c>
      <c r="AC79" s="79">
        <f t="shared" ca="1" si="61"/>
        <v>362590.49195704324</v>
      </c>
      <c r="AD79" s="35"/>
      <c r="AE79" s="62">
        <f t="shared" ca="1" si="62"/>
        <v>-2500.6101455486773</v>
      </c>
      <c r="AF79" s="62">
        <f t="shared" ca="1" si="63"/>
        <v>455597.4678847671</v>
      </c>
      <c r="AG79" s="35"/>
      <c r="AH79" s="35"/>
      <c r="AI79" s="35"/>
      <c r="AJ79" s="65">
        <v>93</v>
      </c>
      <c r="AK79" s="66">
        <f>'SA85-90'!F85*(1+$AH$22)</f>
        <v>0.29067500000000002</v>
      </c>
      <c r="AL79" s="66">
        <f>'SA85-90 (light)'!F85*(1+$AH$22)</f>
        <v>0.292578</v>
      </c>
      <c r="AM79" s="66">
        <f t="shared" si="74"/>
        <v>140</v>
      </c>
      <c r="AN79" s="66">
        <f t="shared" si="75"/>
        <v>0</v>
      </c>
      <c r="AO79" s="67">
        <f t="shared" si="85"/>
        <v>2.5664517644146633E-5</v>
      </c>
      <c r="AP79" s="68">
        <f t="shared" ca="1" si="76"/>
        <v>5.6507063954483988E-8</v>
      </c>
      <c r="AR79" s="69">
        <f t="shared" si="77"/>
        <v>7</v>
      </c>
      <c r="AS79" s="70">
        <f t="shared" si="86"/>
        <v>76</v>
      </c>
      <c r="AT79" s="71">
        <f t="shared" si="87"/>
        <v>0.59439581644342587</v>
      </c>
      <c r="AU79" s="72">
        <f t="shared" si="64"/>
        <v>6.8214933659622723E-3</v>
      </c>
      <c r="AV79" s="73">
        <f t="shared" si="78"/>
        <v>1.0068214933659623</v>
      </c>
      <c r="AW79" s="74">
        <f>PRODUCT(AV$4:AV79)</f>
        <v>1.6764412632216792</v>
      </c>
      <c r="AY79" s="75">
        <f t="shared" si="88"/>
        <v>76</v>
      </c>
      <c r="AZ79" s="76">
        <f t="shared" ca="1" si="90"/>
        <v>1.0068214933659623</v>
      </c>
      <c r="BA79" s="76">
        <f t="shared" ca="1" si="90"/>
        <v>1.0068214933659623</v>
      </c>
      <c r="BB79" s="76">
        <f t="shared" ca="1" si="90"/>
        <v>1.0068214933659623</v>
      </c>
      <c r="BC79" s="76">
        <f t="shared" ca="1" si="90"/>
        <v>1.0068214933659623</v>
      </c>
      <c r="BD79" s="76">
        <f t="shared" ca="1" si="90"/>
        <v>1.0068214933659623</v>
      </c>
      <c r="BE79" s="76">
        <f t="shared" ca="1" si="90"/>
        <v>1.0068214933659623</v>
      </c>
      <c r="BF79" s="76">
        <f t="shared" ca="1" si="90"/>
        <v>1.0068214933659623</v>
      </c>
      <c r="BG79" s="76">
        <f t="shared" ca="1" si="90"/>
        <v>1.0068214933659623</v>
      </c>
      <c r="BH79" s="76">
        <f t="shared" ca="1" si="90"/>
        <v>1.0068214933659623</v>
      </c>
      <c r="BI79" s="76">
        <f t="shared" ca="1" si="90"/>
        <v>1.0068214933659623</v>
      </c>
      <c r="BJ79" s="76">
        <f t="shared" ca="1" si="90"/>
        <v>1.0068214933659623</v>
      </c>
      <c r="BK79" s="76">
        <f t="shared" ca="1" si="90"/>
        <v>1.0068214933659623</v>
      </c>
      <c r="BL79" s="76">
        <f t="shared" ca="1" si="65"/>
        <v>8.5000000000000853E-2</v>
      </c>
      <c r="BM79" s="77">
        <f t="shared" ca="1" si="79"/>
        <v>492.78797543487411</v>
      </c>
    </row>
    <row r="80" spans="5:65">
      <c r="E80">
        <f t="shared" si="80"/>
        <v>77</v>
      </c>
      <c r="F80" s="64">
        <f t="shared" si="66"/>
        <v>61.08</v>
      </c>
      <c r="G80" s="55">
        <f t="shared" si="53"/>
        <v>0</v>
      </c>
      <c r="H80" s="78">
        <f t="shared" si="89"/>
        <v>1</v>
      </c>
      <c r="I80" s="79">
        <f t="shared" si="67"/>
        <v>484611.49214248348</v>
      </c>
      <c r="J80" s="79">
        <f t="shared" si="54"/>
        <v>3305.7740787190287</v>
      </c>
      <c r="K80" s="80">
        <f t="shared" si="55"/>
        <v>-15</v>
      </c>
      <c r="L80" s="80">
        <f t="shared" si="68"/>
        <v>-403.84291011873626</v>
      </c>
      <c r="M80" s="80">
        <f t="shared" ref="M80:M143" si="91">IF(OR(I79+O79=0,K79=0),0,-IF(MOD(E80-1,12)=0,1,0)*I80*($C$17))</f>
        <v>0</v>
      </c>
      <c r="N80" s="80">
        <f t="shared" si="69"/>
        <v>-460.3809175353594</v>
      </c>
      <c r="O80" s="81">
        <f t="shared" si="56"/>
        <v>-2083.3333333333335</v>
      </c>
      <c r="P80" s="79">
        <f t="shared" si="57"/>
        <v>484954.7090602151</v>
      </c>
      <c r="Q80" s="35"/>
      <c r="R80">
        <f t="shared" ca="1" si="70"/>
        <v>202</v>
      </c>
      <c r="S80" s="78">
        <f t="shared" ca="1" si="71"/>
        <v>71.08</v>
      </c>
      <c r="T80" s="55">
        <f t="shared" ca="1" si="58"/>
        <v>3.9263561977341821E-3</v>
      </c>
      <c r="U80" s="78">
        <f t="shared" ca="1" si="81"/>
        <v>0.79273230865070798</v>
      </c>
      <c r="V80" s="79">
        <f t="shared" ca="1" si="72"/>
        <v>361166.83253170823</v>
      </c>
      <c r="W80" s="79">
        <f t="shared" ca="1" si="59"/>
        <v>2463.6971521206547</v>
      </c>
      <c r="X80" s="80">
        <f t="shared" ca="1" si="82"/>
        <v>-11.89098462976062</v>
      </c>
      <c r="Y80" s="80">
        <f t="shared" ca="1" si="83"/>
        <v>-300.97236044309022</v>
      </c>
      <c r="Z80" s="80">
        <f t="shared" ca="1" si="73"/>
        <v>0</v>
      </c>
      <c r="AA80" s="80">
        <f t="shared" ca="1" si="84"/>
        <v>-343.10849090512289</v>
      </c>
      <c r="AB80" s="81">
        <f t="shared" ca="1" si="60"/>
        <v>-1982.3144537161854</v>
      </c>
      <c r="AC80" s="79">
        <f t="shared" ca="1" si="61"/>
        <v>360992.24339413474</v>
      </c>
      <c r="AD80" s="35"/>
      <c r="AE80" s="62">
        <f t="shared" ca="1" si="62"/>
        <v>-2500.6101455486769</v>
      </c>
      <c r="AF80" s="62">
        <f t="shared" ca="1" si="63"/>
        <v>455377.23069288244</v>
      </c>
      <c r="AG80" s="35"/>
      <c r="AH80" s="35"/>
      <c r="AI80" s="35"/>
      <c r="AJ80" s="65">
        <v>94</v>
      </c>
      <c r="AK80" s="66">
        <f>'SA85-90'!F86*(1+$AH$22)</f>
        <v>0.31391800000000003</v>
      </c>
      <c r="AL80" s="66">
        <f>'SA85-90 (light)'!F86*(1+$AH$22)</f>
        <v>0.31607400000000002</v>
      </c>
      <c r="AM80" s="66">
        <f t="shared" si="74"/>
        <v>141</v>
      </c>
      <c r="AN80" s="66">
        <f t="shared" si="75"/>
        <v>0</v>
      </c>
      <c r="AO80" s="67">
        <f t="shared" si="85"/>
        <v>2.5664517644146633E-5</v>
      </c>
      <c r="AP80" s="68">
        <f t="shared" ca="1" si="76"/>
        <v>5.2080243276022072E-8</v>
      </c>
      <c r="AR80" s="69">
        <f t="shared" si="77"/>
        <v>7</v>
      </c>
      <c r="AS80" s="70">
        <f t="shared" si="86"/>
        <v>77</v>
      </c>
      <c r="AT80" s="71">
        <f t="shared" si="87"/>
        <v>0.59034114932480131</v>
      </c>
      <c r="AU80" s="72">
        <f t="shared" si="64"/>
        <v>6.8214933659622723E-3</v>
      </c>
      <c r="AV80" s="73">
        <f t="shared" si="78"/>
        <v>1.0068214933659623</v>
      </c>
      <c r="AW80" s="74">
        <f>PRODUCT(AV$4:AV80)</f>
        <v>1.6878770961771712</v>
      </c>
      <c r="AY80" s="75">
        <f t="shared" si="88"/>
        <v>77</v>
      </c>
      <c r="AZ80" s="76">
        <f t="shared" ca="1" si="90"/>
        <v>1.0068214933659623</v>
      </c>
      <c r="BA80" s="76">
        <f t="shared" ca="1" si="90"/>
        <v>1.0068214933659623</v>
      </c>
      <c r="BB80" s="76">
        <f t="shared" ca="1" si="90"/>
        <v>1.0068214933659623</v>
      </c>
      <c r="BC80" s="76">
        <f t="shared" ca="1" si="90"/>
        <v>1.0068214933659623</v>
      </c>
      <c r="BD80" s="76">
        <f t="shared" ca="1" si="90"/>
        <v>1.0068214933659623</v>
      </c>
      <c r="BE80" s="76">
        <f t="shared" ca="1" si="90"/>
        <v>1.0068214933659623</v>
      </c>
      <c r="BF80" s="76">
        <f t="shared" ca="1" si="90"/>
        <v>1.0068214933659623</v>
      </c>
      <c r="BG80" s="76">
        <f t="shared" ca="1" si="90"/>
        <v>1.0068214933659623</v>
      </c>
      <c r="BH80" s="76">
        <f t="shared" ca="1" si="90"/>
        <v>1.0068214933659623</v>
      </c>
      <c r="BI80" s="76">
        <f t="shared" ca="1" si="90"/>
        <v>1.0068214933659623</v>
      </c>
      <c r="BJ80" s="76">
        <f t="shared" ca="1" si="90"/>
        <v>1.0068214933659623</v>
      </c>
      <c r="BK80" s="76">
        <f t="shared" ca="1" si="90"/>
        <v>1.0068214933659623</v>
      </c>
      <c r="BL80" s="76">
        <f t="shared" ca="1" si="65"/>
        <v>8.5000000000000853E-2</v>
      </c>
      <c r="BM80" s="77">
        <f t="shared" ca="1" si="79"/>
        <v>534.67495334683883</v>
      </c>
    </row>
    <row r="81" spans="5:65">
      <c r="E81">
        <f t="shared" si="80"/>
        <v>78</v>
      </c>
      <c r="F81" s="64">
        <f t="shared" si="66"/>
        <v>61.16</v>
      </c>
      <c r="G81" s="55">
        <f t="shared" si="53"/>
        <v>0</v>
      </c>
      <c r="H81" s="78">
        <f t="shared" si="89"/>
        <v>1</v>
      </c>
      <c r="I81" s="79">
        <f t="shared" si="67"/>
        <v>484954.7090602151</v>
      </c>
      <c r="J81" s="79">
        <f t="shared" si="54"/>
        <v>3308.1153306464212</v>
      </c>
      <c r="K81" s="80">
        <f t="shared" si="55"/>
        <v>-15</v>
      </c>
      <c r="L81" s="80">
        <f t="shared" si="68"/>
        <v>-404.12892421684592</v>
      </c>
      <c r="M81" s="80">
        <f t="shared" si="91"/>
        <v>0</v>
      </c>
      <c r="N81" s="80">
        <f t="shared" si="69"/>
        <v>-460.70697360720442</v>
      </c>
      <c r="O81" s="81">
        <f t="shared" si="56"/>
        <v>-2083.3333333333335</v>
      </c>
      <c r="P81" s="79">
        <f t="shared" si="57"/>
        <v>485299.65515970415</v>
      </c>
      <c r="Q81" s="35"/>
      <c r="R81">
        <f t="shared" ca="1" si="70"/>
        <v>203</v>
      </c>
      <c r="S81" s="78">
        <f t="shared" ca="1" si="71"/>
        <v>71.16</v>
      </c>
      <c r="T81" s="55">
        <f t="shared" ca="1" si="58"/>
        <v>3.9263561977341821E-3</v>
      </c>
      <c r="U81" s="78">
        <f t="shared" ca="1" si="81"/>
        <v>0.78961975923749317</v>
      </c>
      <c r="V81" s="79">
        <f t="shared" ca="1" si="72"/>
        <v>359574.85926195019</v>
      </c>
      <c r="W81" s="79">
        <f t="shared" ca="1" si="59"/>
        <v>2452.8375170222107</v>
      </c>
      <c r="X81" s="80">
        <f t="shared" ca="1" si="82"/>
        <v>-11.844296388562398</v>
      </c>
      <c r="Y81" s="80">
        <f t="shared" ca="1" si="83"/>
        <v>-299.64571605162519</v>
      </c>
      <c r="Z81" s="80">
        <f t="shared" ca="1" si="73"/>
        <v>0</v>
      </c>
      <c r="AA81" s="80">
        <f t="shared" ca="1" si="84"/>
        <v>-341.59611629885279</v>
      </c>
      <c r="AB81" s="81">
        <f t="shared" ca="1" si="60"/>
        <v>-1974.531181074979</v>
      </c>
      <c r="AC81" s="79">
        <f t="shared" ca="1" si="61"/>
        <v>359400.07946915837</v>
      </c>
      <c r="AD81" s="35"/>
      <c r="AE81" s="62">
        <f t="shared" ca="1" si="62"/>
        <v>-2500.6101455486769</v>
      </c>
      <c r="AF81" s="62">
        <f t="shared" ca="1" si="63"/>
        <v>455155.88391077984</v>
      </c>
      <c r="AG81" s="35"/>
      <c r="AH81" s="35"/>
      <c r="AI81" s="35"/>
      <c r="AJ81" s="65">
        <v>95</v>
      </c>
      <c r="AK81" s="66">
        <f>'SA85-90'!F87*(1+$AH$22)</f>
        <v>0.33862400000000004</v>
      </c>
      <c r="AL81" s="66">
        <f>'SA85-90 (light)'!F87*(1+$AH$22)</f>
        <v>0.34103299999999998</v>
      </c>
      <c r="AM81" s="66">
        <f t="shared" si="74"/>
        <v>142</v>
      </c>
      <c r="AN81" s="66">
        <f t="shared" si="75"/>
        <v>0</v>
      </c>
      <c r="AO81" s="67">
        <f t="shared" si="85"/>
        <v>2.5664517644146633E-5</v>
      </c>
      <c r="AP81" s="68">
        <f t="shared" ca="1" si="76"/>
        <v>4.8000224217531823E-8</v>
      </c>
      <c r="AR81" s="69">
        <f t="shared" si="77"/>
        <v>7</v>
      </c>
      <c r="AS81" s="70">
        <f t="shared" si="86"/>
        <v>78</v>
      </c>
      <c r="AT81" s="71">
        <f t="shared" si="87"/>
        <v>0.58631414109102764</v>
      </c>
      <c r="AU81" s="72">
        <f t="shared" si="64"/>
        <v>6.8214933659622723E-3</v>
      </c>
      <c r="AV81" s="73">
        <f t="shared" si="78"/>
        <v>1.0068214933659623</v>
      </c>
      <c r="AW81" s="74">
        <f>PRODUCT(AV$4:AV81)</f>
        <v>1.6993909385913035</v>
      </c>
      <c r="AY81" s="75">
        <f t="shared" si="88"/>
        <v>78</v>
      </c>
      <c r="AZ81" s="76">
        <f t="shared" ca="1" si="90"/>
        <v>1.0068214933659623</v>
      </c>
      <c r="BA81" s="76">
        <f t="shared" ca="1" si="90"/>
        <v>1.0068214933659623</v>
      </c>
      <c r="BB81" s="76">
        <f t="shared" ca="1" si="90"/>
        <v>1.0068214933659623</v>
      </c>
      <c r="BC81" s="76">
        <f t="shared" ca="1" si="90"/>
        <v>1.0068214933659623</v>
      </c>
      <c r="BD81" s="76">
        <f t="shared" ca="1" si="90"/>
        <v>1.0068214933659623</v>
      </c>
      <c r="BE81" s="76">
        <f t="shared" ca="1" si="90"/>
        <v>1.0068214933659623</v>
      </c>
      <c r="BF81" s="76">
        <f t="shared" ca="1" si="90"/>
        <v>1.0068214933659623</v>
      </c>
      <c r="BG81" s="76">
        <f t="shared" ca="1" si="90"/>
        <v>1.0068214933659623</v>
      </c>
      <c r="BH81" s="76">
        <f t="shared" ca="1" si="90"/>
        <v>1.0068214933659623</v>
      </c>
      <c r="BI81" s="76">
        <f t="shared" ca="1" si="90"/>
        <v>1.0068214933659623</v>
      </c>
      <c r="BJ81" s="76">
        <f t="shared" ca="1" si="90"/>
        <v>1.0068214933659623</v>
      </c>
      <c r="BK81" s="76">
        <f t="shared" ca="1" si="90"/>
        <v>1.0068214933659623</v>
      </c>
      <c r="BL81" s="76">
        <f t="shared" ca="1" si="65"/>
        <v>8.5000000000000853E-2</v>
      </c>
      <c r="BM81" s="77">
        <f t="shared" ca="1" si="79"/>
        <v>580.1223243813206</v>
      </c>
    </row>
    <row r="82" spans="5:65">
      <c r="E82">
        <f t="shared" si="80"/>
        <v>79</v>
      </c>
      <c r="F82" s="64">
        <f t="shared" si="66"/>
        <v>61.24</v>
      </c>
      <c r="G82" s="55">
        <f t="shared" si="53"/>
        <v>0</v>
      </c>
      <c r="H82" s="78">
        <f t="shared" si="89"/>
        <v>1</v>
      </c>
      <c r="I82" s="79">
        <f t="shared" si="67"/>
        <v>485299.65515970415</v>
      </c>
      <c r="J82" s="79">
        <f t="shared" si="54"/>
        <v>3310.4683781757003</v>
      </c>
      <c r="K82" s="80">
        <f t="shared" si="55"/>
        <v>-15</v>
      </c>
      <c r="L82" s="80">
        <f t="shared" si="68"/>
        <v>-404.41637929975349</v>
      </c>
      <c r="M82" s="80">
        <f t="shared" si="91"/>
        <v>0</v>
      </c>
      <c r="N82" s="80">
        <f t="shared" si="69"/>
        <v>-461.03467240171904</v>
      </c>
      <c r="O82" s="81">
        <f t="shared" si="56"/>
        <v>-2083.3333333333335</v>
      </c>
      <c r="P82" s="79">
        <f t="shared" si="57"/>
        <v>485646.33915284503</v>
      </c>
      <c r="Q82" s="35"/>
      <c r="R82">
        <f t="shared" ca="1" si="70"/>
        <v>204</v>
      </c>
      <c r="S82" s="78">
        <f t="shared" ca="1" si="71"/>
        <v>71.239999999999995</v>
      </c>
      <c r="T82" s="55">
        <f t="shared" ca="1" si="58"/>
        <v>3.9263561977341821E-3</v>
      </c>
      <c r="U82" s="78">
        <f t="shared" ca="1" si="81"/>
        <v>0.78651943080195763</v>
      </c>
      <c r="V82" s="79">
        <f t="shared" ca="1" si="72"/>
        <v>357988.94673966849</v>
      </c>
      <c r="W82" s="79">
        <f t="shared" ca="1" si="59"/>
        <v>2442.0192252724701</v>
      </c>
      <c r="X82" s="80">
        <f t="shared" ca="1" si="82"/>
        <v>-11.797791462029364</v>
      </c>
      <c r="Y82" s="80">
        <f t="shared" ca="1" si="83"/>
        <v>-298.32412228305708</v>
      </c>
      <c r="Z82" s="80">
        <f t="shared" ca="1" si="73"/>
        <v>0</v>
      </c>
      <c r="AA82" s="80">
        <f t="shared" ca="1" si="84"/>
        <v>-340.08949940268514</v>
      </c>
      <c r="AB82" s="81">
        <f t="shared" ca="1" si="60"/>
        <v>-1966.7784683345456</v>
      </c>
      <c r="AC82" s="79">
        <f t="shared" ca="1" si="61"/>
        <v>357813.97608345863</v>
      </c>
      <c r="AD82" s="35"/>
      <c r="AE82" s="62">
        <f t="shared" ca="1" si="62"/>
        <v>-2500.6101455486764</v>
      </c>
      <c r="AF82" s="62">
        <f t="shared" ca="1" si="63"/>
        <v>454933.42194816639</v>
      </c>
      <c r="AG82" s="35"/>
      <c r="AH82" s="35"/>
      <c r="AI82" s="35"/>
      <c r="AJ82" s="65">
        <v>96</v>
      </c>
      <c r="AK82" s="66">
        <f>'SA85-90'!F88*(1+$AH$22)</f>
        <v>0.36477100000000007</v>
      </c>
      <c r="AL82" s="66">
        <f>'SA85-90 (light)'!F88*(1+$AH$22)</f>
        <v>0.36745500000000003</v>
      </c>
      <c r="AM82" s="66">
        <f t="shared" si="74"/>
        <v>143</v>
      </c>
      <c r="AN82" s="66">
        <f t="shared" si="75"/>
        <v>0</v>
      </c>
      <c r="AO82" s="67">
        <f t="shared" si="85"/>
        <v>2.5664517644146633E-5</v>
      </c>
      <c r="AP82" s="68">
        <f t="shared" ca="1" si="76"/>
        <v>4.4239837988508561E-8</v>
      </c>
      <c r="AR82" s="69">
        <f t="shared" si="77"/>
        <v>7</v>
      </c>
      <c r="AS82" s="70">
        <f t="shared" si="86"/>
        <v>79</v>
      </c>
      <c r="AT82" s="71">
        <f t="shared" si="87"/>
        <v>0.58231460306720528</v>
      </c>
      <c r="AU82" s="72">
        <f t="shared" si="64"/>
        <v>6.8214933659622723E-3</v>
      </c>
      <c r="AV82" s="73">
        <f t="shared" si="78"/>
        <v>1.0068214933659623</v>
      </c>
      <c r="AW82" s="74">
        <f>PRODUCT(AV$4:AV82)</f>
        <v>1.7109833226050806</v>
      </c>
      <c r="AY82" s="75">
        <f t="shared" si="88"/>
        <v>79</v>
      </c>
      <c r="AZ82" s="76">
        <f t="shared" ca="1" si="90"/>
        <v>1.0068214933659623</v>
      </c>
      <c r="BA82" s="76">
        <f t="shared" ca="1" si="90"/>
        <v>1.0068214933659623</v>
      </c>
      <c r="BB82" s="76">
        <f t="shared" ca="1" si="90"/>
        <v>1.0068214933659623</v>
      </c>
      <c r="BC82" s="76">
        <f t="shared" ca="1" si="90"/>
        <v>1.0068214933659623</v>
      </c>
      <c r="BD82" s="76">
        <f t="shared" ca="1" si="90"/>
        <v>1.0068214933659623</v>
      </c>
      <c r="BE82" s="76">
        <f t="shared" ca="1" si="90"/>
        <v>1.0068214933659623</v>
      </c>
      <c r="BF82" s="76">
        <f t="shared" ca="1" si="90"/>
        <v>1.0068214933659623</v>
      </c>
      <c r="BG82" s="76">
        <f t="shared" ca="1" si="90"/>
        <v>1.0068214933659623</v>
      </c>
      <c r="BH82" s="76">
        <f t="shared" ca="1" si="90"/>
        <v>1.0068214933659623</v>
      </c>
      <c r="BI82" s="76">
        <f t="shared" ca="1" si="90"/>
        <v>1.0068214933659623</v>
      </c>
      <c r="BJ82" s="76">
        <f t="shared" ca="1" si="90"/>
        <v>1.0068214933659623</v>
      </c>
      <c r="BK82" s="76">
        <f t="shared" ca="1" si="90"/>
        <v>1.0068214933659623</v>
      </c>
      <c r="BL82" s="76">
        <f t="shared" ca="1" si="65"/>
        <v>8.5000000000000853E-2</v>
      </c>
      <c r="BM82" s="77">
        <f t="shared" ca="1" si="79"/>
        <v>629.43272195373333</v>
      </c>
    </row>
    <row r="83" spans="5:65">
      <c r="E83">
        <f t="shared" si="80"/>
        <v>80</v>
      </c>
      <c r="F83" s="64">
        <f t="shared" si="66"/>
        <v>61.32</v>
      </c>
      <c r="G83" s="55">
        <f t="shared" si="53"/>
        <v>0</v>
      </c>
      <c r="H83" s="78">
        <f t="shared" si="89"/>
        <v>1</v>
      </c>
      <c r="I83" s="79">
        <f t="shared" si="67"/>
        <v>485646.33915284503</v>
      </c>
      <c r="J83" s="79">
        <f t="shared" si="54"/>
        <v>3312.8332807349962</v>
      </c>
      <c r="K83" s="80">
        <f t="shared" si="55"/>
        <v>-15</v>
      </c>
      <c r="L83" s="80">
        <f t="shared" si="68"/>
        <v>-404.70528262737088</v>
      </c>
      <c r="M83" s="80">
        <f t="shared" si="91"/>
        <v>0</v>
      </c>
      <c r="N83" s="80">
        <f t="shared" si="69"/>
        <v>-461.36402219520284</v>
      </c>
      <c r="O83" s="81">
        <f t="shared" si="56"/>
        <v>-2083.3333333333335</v>
      </c>
      <c r="P83" s="79">
        <f t="shared" si="57"/>
        <v>485994.76979542413</v>
      </c>
      <c r="Q83" s="35"/>
      <c r="R83">
        <f t="shared" ca="1" si="70"/>
        <v>205</v>
      </c>
      <c r="S83" s="78">
        <f t="shared" ca="1" si="71"/>
        <v>71.319999999999993</v>
      </c>
      <c r="T83" s="55">
        <f t="shared" ca="1" si="58"/>
        <v>3.9263561977341821E-3</v>
      </c>
      <c r="U83" s="78">
        <f t="shared" ca="1" si="81"/>
        <v>0.78343127536018997</v>
      </c>
      <c r="V83" s="79">
        <f t="shared" ca="1" si="72"/>
        <v>356409.07096082746</v>
      </c>
      <c r="W83" s="79">
        <f t="shared" ca="1" si="59"/>
        <v>2431.2421131280612</v>
      </c>
      <c r="X83" s="80">
        <f t="shared" ca="1" si="82"/>
        <v>-11.75146913040285</v>
      </c>
      <c r="Y83" s="80">
        <f t="shared" ca="1" si="83"/>
        <v>-297.00755913402293</v>
      </c>
      <c r="Z83" s="80">
        <f t="shared" ca="1" si="73"/>
        <v>-2673.0680322062058</v>
      </c>
      <c r="AA83" s="80">
        <f t="shared" ca="1" si="84"/>
        <v>-338.58861741278616</v>
      </c>
      <c r="AB83" s="81">
        <f t="shared" ca="1" si="60"/>
        <v>-1959.0561955058301</v>
      </c>
      <c r="AC83" s="79">
        <f t="shared" ca="1" si="61"/>
        <v>353560.84120056627</v>
      </c>
      <c r="AD83" s="35"/>
      <c r="AE83" s="62">
        <f t="shared" ca="1" si="62"/>
        <v>-2500.6101455486769</v>
      </c>
      <c r="AF83" s="62">
        <f t="shared" ca="1" si="63"/>
        <v>451297.83852197288</v>
      </c>
      <c r="AG83" s="35"/>
      <c r="AH83" s="35"/>
      <c r="AI83" s="35"/>
      <c r="AJ83" s="65">
        <v>97</v>
      </c>
      <c r="AK83" s="66">
        <f>'SA85-90'!F89*(1+$AH$22)</f>
        <v>0.39238100000000004</v>
      </c>
      <c r="AL83" s="66">
        <f>'SA85-90 (light)'!F89*(1+$AH$22)</f>
        <v>0.39535100000000006</v>
      </c>
      <c r="AM83" s="66">
        <f t="shared" si="74"/>
        <v>144</v>
      </c>
      <c r="AN83" s="66">
        <f t="shared" si="75"/>
        <v>0</v>
      </c>
      <c r="AO83" s="67">
        <f t="shared" si="85"/>
        <v>2.5664517644146633E-5</v>
      </c>
      <c r="AP83" s="68">
        <f t="shared" ca="1" si="76"/>
        <v>4.0774044229040117E-8</v>
      </c>
      <c r="AR83" s="69">
        <f t="shared" si="77"/>
        <v>7</v>
      </c>
      <c r="AS83" s="70">
        <f t="shared" si="86"/>
        <v>80</v>
      </c>
      <c r="AT83" s="71">
        <f t="shared" si="87"/>
        <v>0.57834234786547933</v>
      </c>
      <c r="AU83" s="72">
        <f t="shared" si="64"/>
        <v>6.8214933659622723E-3</v>
      </c>
      <c r="AV83" s="73">
        <f t="shared" si="78"/>
        <v>1.0068214933659623</v>
      </c>
      <c r="AW83" s="74">
        <f>PRODUCT(AV$4:AV83)</f>
        <v>1.7226547839895032</v>
      </c>
      <c r="AY83" s="75">
        <f t="shared" si="88"/>
        <v>80</v>
      </c>
      <c r="AZ83" s="76">
        <f t="shared" ca="1" si="90"/>
        <v>1.0068214933659623</v>
      </c>
      <c r="BA83" s="76">
        <f t="shared" ca="1" si="90"/>
        <v>1.0068214933659623</v>
      </c>
      <c r="BB83" s="76">
        <f t="shared" ca="1" si="90"/>
        <v>1.0068214933659623</v>
      </c>
      <c r="BC83" s="76">
        <f t="shared" ca="1" si="90"/>
        <v>1.0068214933659623</v>
      </c>
      <c r="BD83" s="76">
        <f t="shared" ca="1" si="90"/>
        <v>1.0068214933659623</v>
      </c>
      <c r="BE83" s="76">
        <f t="shared" ca="1" si="90"/>
        <v>1.0068214933659623</v>
      </c>
      <c r="BF83" s="76">
        <f t="shared" ca="1" si="90"/>
        <v>1.0068214933659623</v>
      </c>
      <c r="BG83" s="76">
        <f t="shared" ca="1" si="90"/>
        <v>1.0068214933659623</v>
      </c>
      <c r="BH83" s="76">
        <f t="shared" ca="1" si="90"/>
        <v>1.0068214933659623</v>
      </c>
      <c r="BI83" s="76">
        <f t="shared" ca="1" si="90"/>
        <v>1.0068214933659623</v>
      </c>
      <c r="BJ83" s="76">
        <f t="shared" ca="1" si="90"/>
        <v>1.0068214933659623</v>
      </c>
      <c r="BK83" s="76">
        <f t="shared" ca="1" si="90"/>
        <v>1.0068214933659623</v>
      </c>
      <c r="BL83" s="76">
        <f t="shared" ca="1" si="65"/>
        <v>8.5000000000000853E-2</v>
      </c>
      <c r="BM83" s="77">
        <f t="shared" ca="1" si="79"/>
        <v>682.93450331980125</v>
      </c>
    </row>
    <row r="84" spans="5:65">
      <c r="E84">
        <f t="shared" si="80"/>
        <v>81</v>
      </c>
      <c r="F84" s="64">
        <f t="shared" si="66"/>
        <v>61.4</v>
      </c>
      <c r="G84" s="55">
        <f t="shared" si="53"/>
        <v>0</v>
      </c>
      <c r="H84" s="78">
        <f t="shared" si="89"/>
        <v>1</v>
      </c>
      <c r="I84" s="79">
        <f t="shared" si="67"/>
        <v>485994.76979542413</v>
      </c>
      <c r="J84" s="79">
        <f t="shared" si="54"/>
        <v>3315.2100980518476</v>
      </c>
      <c r="K84" s="80">
        <f t="shared" si="55"/>
        <v>-15</v>
      </c>
      <c r="L84" s="80">
        <f t="shared" si="68"/>
        <v>-404.99564149618681</v>
      </c>
      <c r="M84" s="80">
        <f t="shared" si="91"/>
        <v>0</v>
      </c>
      <c r="N84" s="80">
        <f t="shared" si="69"/>
        <v>-461.695031305653</v>
      </c>
      <c r="O84" s="81">
        <f t="shared" si="56"/>
        <v>-2083.3333333333335</v>
      </c>
      <c r="P84" s="79">
        <f t="shared" si="57"/>
        <v>486344.95588734082</v>
      </c>
      <c r="Q84" s="35"/>
      <c r="R84">
        <f t="shared" ca="1" si="70"/>
        <v>206</v>
      </c>
      <c r="S84" s="78">
        <f t="shared" ca="1" si="71"/>
        <v>71.400000000000006</v>
      </c>
      <c r="T84" s="55">
        <f t="shared" ca="1" si="58"/>
        <v>3.9263561977341821E-3</v>
      </c>
      <c r="U84" s="78">
        <f t="shared" ca="1" si="81"/>
        <v>0.78035524511668064</v>
      </c>
      <c r="V84" s="79">
        <f t="shared" ca="1" si="72"/>
        <v>352172.63540044229</v>
      </c>
      <c r="W84" s="79">
        <f t="shared" ca="1" si="59"/>
        <v>2402.3432960575674</v>
      </c>
      <c r="X84" s="80">
        <f t="shared" ca="1" si="82"/>
        <v>-11.705328676750209</v>
      </c>
      <c r="Y84" s="80">
        <f t="shared" ca="1" si="83"/>
        <v>-293.47719616703529</v>
      </c>
      <c r="Z84" s="80">
        <f t="shared" ca="1" si="73"/>
        <v>0</v>
      </c>
      <c r="AA84" s="80">
        <f t="shared" ca="1" si="84"/>
        <v>-334.56400363042025</v>
      </c>
      <c r="AB84" s="81">
        <f t="shared" ca="1" si="60"/>
        <v>-1951.3642430708962</v>
      </c>
      <c r="AC84" s="79">
        <f t="shared" ca="1" si="61"/>
        <v>351983.86792495474</v>
      </c>
      <c r="AD84" s="35"/>
      <c r="AE84" s="62">
        <f t="shared" ca="1" si="62"/>
        <v>-2500.6101455486769</v>
      </c>
      <c r="AF84" s="62">
        <f t="shared" ca="1" si="63"/>
        <v>451055.93910927739</v>
      </c>
      <c r="AG84" s="35"/>
      <c r="AH84" s="35"/>
      <c r="AI84" s="35"/>
      <c r="AJ84" s="65">
        <v>98</v>
      </c>
      <c r="AK84" s="66">
        <f>'SA85-90'!F90*(1+$AH$22)</f>
        <v>0.42142100000000005</v>
      </c>
      <c r="AL84" s="66">
        <f>'SA85-90 (light)'!F90*(1+$AH$22)</f>
        <v>0.42469900000000005</v>
      </c>
      <c r="AM84" s="66">
        <f t="shared" si="74"/>
        <v>145</v>
      </c>
      <c r="AN84" s="66">
        <f t="shared" si="75"/>
        <v>0</v>
      </c>
      <c r="AO84" s="67">
        <f t="shared" si="85"/>
        <v>2.5664517644146633E-5</v>
      </c>
      <c r="AP84" s="68">
        <f t="shared" ca="1" si="76"/>
        <v>3.7579764266396389E-8</v>
      </c>
      <c r="AR84" s="69">
        <f t="shared" si="77"/>
        <v>7</v>
      </c>
      <c r="AS84" s="70">
        <f t="shared" si="86"/>
        <v>81</v>
      </c>
      <c r="AT84" s="71">
        <f t="shared" si="87"/>
        <v>0.57439718937625994</v>
      </c>
      <c r="AU84" s="72">
        <f t="shared" si="64"/>
        <v>6.8214933659622723E-3</v>
      </c>
      <c r="AV84" s="73">
        <f t="shared" si="78"/>
        <v>1.0068214933659623</v>
      </c>
      <c r="AW84" s="74">
        <f>PRODUCT(AV$4:AV84)</f>
        <v>1.7344058621703309</v>
      </c>
      <c r="AY84" s="75">
        <f t="shared" si="88"/>
        <v>81</v>
      </c>
      <c r="AZ84" s="76">
        <f t="shared" ca="1" si="90"/>
        <v>1.0068214933659623</v>
      </c>
      <c r="BA84" s="76">
        <f t="shared" ca="1" si="90"/>
        <v>1.0068214933659623</v>
      </c>
      <c r="BB84" s="76">
        <f t="shared" ca="1" si="90"/>
        <v>1.0068214933659623</v>
      </c>
      <c r="BC84" s="76">
        <f t="shared" ca="1" si="90"/>
        <v>1.0068214933659623</v>
      </c>
      <c r="BD84" s="76">
        <f t="shared" ca="1" si="90"/>
        <v>1.0068214933659623</v>
      </c>
      <c r="BE84" s="76">
        <f t="shared" ca="1" si="90"/>
        <v>1.0068214933659623</v>
      </c>
      <c r="BF84" s="76">
        <f t="shared" ca="1" si="90"/>
        <v>1.0068214933659623</v>
      </c>
      <c r="BG84" s="76">
        <f t="shared" ca="1" si="90"/>
        <v>1.0068214933659623</v>
      </c>
      <c r="BH84" s="76">
        <f t="shared" ca="1" si="90"/>
        <v>1.0068214933659623</v>
      </c>
      <c r="BI84" s="76">
        <f t="shared" ca="1" si="90"/>
        <v>1.0068214933659623</v>
      </c>
      <c r="BJ84" s="76">
        <f t="shared" ca="1" si="90"/>
        <v>1.0068214933659623</v>
      </c>
      <c r="BK84" s="76">
        <f t="shared" ca="1" si="90"/>
        <v>1.0068214933659623</v>
      </c>
      <c r="BL84" s="76">
        <f t="shared" ca="1" si="65"/>
        <v>8.5000000000000853E-2</v>
      </c>
      <c r="BM84" s="77">
        <f t="shared" ca="1" si="79"/>
        <v>740.98393610198491</v>
      </c>
    </row>
    <row r="85" spans="5:65">
      <c r="E85">
        <f t="shared" si="80"/>
        <v>82</v>
      </c>
      <c r="F85" s="64">
        <f t="shared" si="66"/>
        <v>61.48</v>
      </c>
      <c r="G85" s="55">
        <f t="shared" si="53"/>
        <v>0</v>
      </c>
      <c r="H85" s="78">
        <f t="shared" si="89"/>
        <v>1</v>
      </c>
      <c r="I85" s="79">
        <f t="shared" si="67"/>
        <v>486344.95588734082</v>
      </c>
      <c r="J85" s="79">
        <f t="shared" si="54"/>
        <v>3317.5988901547094</v>
      </c>
      <c r="K85" s="80">
        <f t="shared" si="55"/>
        <v>-15</v>
      </c>
      <c r="L85" s="80">
        <f t="shared" si="68"/>
        <v>-405.28746323945069</v>
      </c>
      <c r="M85" s="80">
        <f t="shared" si="91"/>
        <v>0</v>
      </c>
      <c r="N85" s="80">
        <f t="shared" si="69"/>
        <v>-462.02770809297385</v>
      </c>
      <c r="O85" s="81">
        <f t="shared" si="56"/>
        <v>-2083.3333333333335</v>
      </c>
      <c r="P85" s="79">
        <f t="shared" si="57"/>
        <v>486696.90627282974</v>
      </c>
      <c r="Q85" s="35"/>
      <c r="R85">
        <f t="shared" ca="1" si="70"/>
        <v>207</v>
      </c>
      <c r="S85" s="78">
        <f t="shared" ca="1" si="71"/>
        <v>71.48</v>
      </c>
      <c r="T85" s="55">
        <f t="shared" ca="1" si="58"/>
        <v>3.9263561977341821E-3</v>
      </c>
      <c r="U85" s="78">
        <f t="shared" ca="1" si="81"/>
        <v>0.77729129246358242</v>
      </c>
      <c r="V85" s="79">
        <f t="shared" ca="1" si="72"/>
        <v>350601.85388362512</v>
      </c>
      <c r="W85" s="79">
        <f t="shared" ca="1" si="59"/>
        <v>2391.6282203612227</v>
      </c>
      <c r="X85" s="80">
        <f t="shared" ca="1" si="82"/>
        <v>-11.659369386953736</v>
      </c>
      <c r="Y85" s="80">
        <f t="shared" ca="1" si="83"/>
        <v>-292.16821156968763</v>
      </c>
      <c r="Z85" s="80">
        <f t="shared" ca="1" si="73"/>
        <v>0</v>
      </c>
      <c r="AA85" s="80">
        <f t="shared" ca="1" si="84"/>
        <v>-333.07176118944392</v>
      </c>
      <c r="AB85" s="81">
        <f t="shared" ca="1" si="60"/>
        <v>-1943.7024919810781</v>
      </c>
      <c r="AC85" s="79">
        <f t="shared" ca="1" si="61"/>
        <v>350412.88026985922</v>
      </c>
      <c r="AD85" s="35"/>
      <c r="AE85" s="62">
        <f t="shared" ca="1" si="62"/>
        <v>-2500.6101455486769</v>
      </c>
      <c r="AF85" s="62">
        <f t="shared" ca="1" si="63"/>
        <v>450812.82096862898</v>
      </c>
      <c r="AG85" s="35"/>
      <c r="AH85" s="35"/>
      <c r="AI85" s="35"/>
      <c r="AJ85" s="65">
        <v>99</v>
      </c>
      <c r="AK85" s="66">
        <f>'SA85-90'!F91*(1+$AH$22)</f>
        <v>0.45185800000000004</v>
      </c>
      <c r="AL85" s="66">
        <f>'SA85-90 (light)'!F91*(1+$AH$22)</f>
        <v>0.45544400000000007</v>
      </c>
      <c r="AM85" s="66">
        <f t="shared" si="74"/>
        <v>146</v>
      </c>
      <c r="AN85" s="66">
        <f t="shared" si="75"/>
        <v>0</v>
      </c>
      <c r="AO85" s="67">
        <f t="shared" si="85"/>
        <v>2.5664517644146633E-5</v>
      </c>
      <c r="AP85" s="68">
        <f t="shared" ca="1" si="76"/>
        <v>3.4635727434466693E-8</v>
      </c>
      <c r="AR85" s="69">
        <f t="shared" si="77"/>
        <v>7</v>
      </c>
      <c r="AS85" s="70">
        <f t="shared" si="86"/>
        <v>82</v>
      </c>
      <c r="AT85" s="71">
        <f t="shared" si="87"/>
        <v>0.57047894275950239</v>
      </c>
      <c r="AU85" s="72">
        <f t="shared" si="64"/>
        <v>6.8214933659622723E-3</v>
      </c>
      <c r="AV85" s="73">
        <f t="shared" si="78"/>
        <v>1.0068214933659623</v>
      </c>
      <c r="AW85" s="74">
        <f>PRODUCT(AV$4:AV85)</f>
        <v>1.7462371002530119</v>
      </c>
      <c r="AY85" s="75">
        <f t="shared" si="88"/>
        <v>82</v>
      </c>
      <c r="AZ85" s="76">
        <f t="shared" ref="AZ85:BK94" ca="1" si="92">OFFSET($AV$3,($AY85*12-12)+AZ$3,0)</f>
        <v>1.0068214933659623</v>
      </c>
      <c r="BA85" s="76">
        <f t="shared" ca="1" si="92"/>
        <v>1.0068214933659623</v>
      </c>
      <c r="BB85" s="76">
        <f t="shared" ca="1" si="92"/>
        <v>1.0068214933659623</v>
      </c>
      <c r="BC85" s="76">
        <f t="shared" ca="1" si="92"/>
        <v>1.0068214933659623</v>
      </c>
      <c r="BD85" s="76">
        <f t="shared" ca="1" si="92"/>
        <v>1.0068214933659623</v>
      </c>
      <c r="BE85" s="76">
        <f t="shared" ca="1" si="92"/>
        <v>1.0068214933659623</v>
      </c>
      <c r="BF85" s="76">
        <f t="shared" ca="1" si="92"/>
        <v>1.0068214933659623</v>
      </c>
      <c r="BG85" s="76">
        <f t="shared" ca="1" si="92"/>
        <v>1.0068214933659623</v>
      </c>
      <c r="BH85" s="76">
        <f t="shared" ca="1" si="92"/>
        <v>1.0068214933659623</v>
      </c>
      <c r="BI85" s="76">
        <f t="shared" ca="1" si="92"/>
        <v>1.0068214933659623</v>
      </c>
      <c r="BJ85" s="76">
        <f t="shared" ca="1" si="92"/>
        <v>1.0068214933659623</v>
      </c>
      <c r="BK85" s="76">
        <f t="shared" ca="1" si="92"/>
        <v>1.0068214933659623</v>
      </c>
      <c r="BL85" s="76">
        <f t="shared" ca="1" si="65"/>
        <v>8.5000000000000853E-2</v>
      </c>
      <c r="BM85" s="77">
        <f t="shared" ca="1" si="79"/>
        <v>803.96757067065425</v>
      </c>
    </row>
    <row r="86" spans="5:65">
      <c r="E86">
        <f t="shared" si="80"/>
        <v>83</v>
      </c>
      <c r="F86" s="64">
        <f t="shared" si="66"/>
        <v>61.56</v>
      </c>
      <c r="G86" s="55">
        <f t="shared" si="53"/>
        <v>0</v>
      </c>
      <c r="H86" s="78">
        <f t="shared" si="89"/>
        <v>1</v>
      </c>
      <c r="I86" s="79">
        <f t="shared" si="67"/>
        <v>486696.90627282974</v>
      </c>
      <c r="J86" s="79">
        <f t="shared" si="54"/>
        <v>3319.99971737447</v>
      </c>
      <c r="K86" s="80">
        <f t="shared" si="55"/>
        <v>-15</v>
      </c>
      <c r="L86" s="80">
        <f t="shared" si="68"/>
        <v>-405.58075522735817</v>
      </c>
      <c r="M86" s="80">
        <f t="shared" si="91"/>
        <v>0</v>
      </c>
      <c r="N86" s="80">
        <f t="shared" si="69"/>
        <v>-462.36206095918834</v>
      </c>
      <c r="O86" s="81">
        <f t="shared" si="56"/>
        <v>-2083.3333333333335</v>
      </c>
      <c r="P86" s="79">
        <f t="shared" si="57"/>
        <v>487050.62984068436</v>
      </c>
      <c r="Q86" s="35"/>
      <c r="R86">
        <f t="shared" ca="1" si="70"/>
        <v>208</v>
      </c>
      <c r="S86" s="78">
        <f t="shared" ca="1" si="71"/>
        <v>71.56</v>
      </c>
      <c r="T86" s="55">
        <f t="shared" ca="1" si="58"/>
        <v>4.2908271543715681E-3</v>
      </c>
      <c r="U86" s="78">
        <f t="shared" ca="1" si="81"/>
        <v>0.7739560698790231</v>
      </c>
      <c r="V86" s="79">
        <f t="shared" ca="1" si="72"/>
        <v>348909.31916795578</v>
      </c>
      <c r="W86" s="79">
        <f t="shared" ca="1" si="59"/>
        <v>2380.0826060266236</v>
      </c>
      <c r="X86" s="80">
        <f t="shared" ca="1" si="82"/>
        <v>-11.609341048185346</v>
      </c>
      <c r="Y86" s="80">
        <f t="shared" ca="1" si="83"/>
        <v>-290.7577659732965</v>
      </c>
      <c r="Z86" s="80">
        <f t="shared" ca="1" si="73"/>
        <v>0</v>
      </c>
      <c r="AA86" s="80">
        <f t="shared" ca="1" si="84"/>
        <v>-331.46385320955807</v>
      </c>
      <c r="AB86" s="81">
        <f t="shared" ca="1" si="60"/>
        <v>-1935.362400548466</v>
      </c>
      <c r="AC86" s="79">
        <f t="shared" ca="1" si="61"/>
        <v>348720.2084132029</v>
      </c>
      <c r="AD86" s="35"/>
      <c r="AE86" s="62">
        <f t="shared" ca="1" si="62"/>
        <v>-2500.6101455486769</v>
      </c>
      <c r="AF86" s="62">
        <f t="shared" ca="1" si="63"/>
        <v>450568.47795988119</v>
      </c>
      <c r="AG86" s="35"/>
      <c r="AH86" s="35"/>
      <c r="AI86" s="35"/>
      <c r="AJ86" s="65">
        <v>100</v>
      </c>
      <c r="AK86" s="66">
        <f>'SA85-90'!F92*(1+$AH$22)</f>
        <v>0.48362600000000006</v>
      </c>
      <c r="AL86" s="66">
        <f>'SA85-90 (light)'!F92*(1+$AH$22)</f>
        <v>0.48752000000000001</v>
      </c>
      <c r="AM86" s="66">
        <f t="shared" si="74"/>
        <v>147</v>
      </c>
      <c r="AN86" s="66">
        <f t="shared" si="75"/>
        <v>0</v>
      </c>
      <c r="AO86" s="67">
        <f t="shared" si="85"/>
        <v>2.5664517644146633E-5</v>
      </c>
      <c r="AP86" s="68">
        <f t="shared" ca="1" si="76"/>
        <v>3.1922329432688168E-8</v>
      </c>
      <c r="AR86" s="69">
        <f t="shared" si="77"/>
        <v>7</v>
      </c>
      <c r="AS86" s="70">
        <f t="shared" si="86"/>
        <v>83</v>
      </c>
      <c r="AT86" s="71">
        <f t="shared" si="87"/>
        <v>0.56658742443604726</v>
      </c>
      <c r="AU86" s="72">
        <f t="shared" si="64"/>
        <v>6.8214933659622723E-3</v>
      </c>
      <c r="AV86" s="73">
        <f t="shared" si="78"/>
        <v>1.0068214933659623</v>
      </c>
      <c r="AW86" s="74">
        <f>PRODUCT(AV$4:AV86)</f>
        <v>1.758149045047785</v>
      </c>
      <c r="AY86" s="75">
        <f t="shared" si="88"/>
        <v>83</v>
      </c>
      <c r="AZ86" s="76">
        <f t="shared" ca="1" si="92"/>
        <v>1.0068214933659623</v>
      </c>
      <c r="BA86" s="76">
        <f t="shared" ca="1" si="92"/>
        <v>1.0068214933659623</v>
      </c>
      <c r="BB86" s="76">
        <f t="shared" ca="1" si="92"/>
        <v>1.0068214933659623</v>
      </c>
      <c r="BC86" s="76">
        <f t="shared" ca="1" si="92"/>
        <v>1.0068214933659623</v>
      </c>
      <c r="BD86" s="76">
        <f t="shared" ca="1" si="92"/>
        <v>1.0068214933659623</v>
      </c>
      <c r="BE86" s="76">
        <f t="shared" ca="1" si="92"/>
        <v>1.0068214933659623</v>
      </c>
      <c r="BF86" s="76">
        <f t="shared" ca="1" si="92"/>
        <v>1.0068214933659623</v>
      </c>
      <c r="BG86" s="76">
        <f t="shared" ca="1" si="92"/>
        <v>1.0068214933659623</v>
      </c>
      <c r="BH86" s="76">
        <f t="shared" ca="1" si="92"/>
        <v>1.0068214933659623</v>
      </c>
      <c r="BI86" s="76">
        <f t="shared" ca="1" si="92"/>
        <v>1.0068214933659623</v>
      </c>
      <c r="BJ86" s="76">
        <f t="shared" ca="1" si="92"/>
        <v>1.0068214933659623</v>
      </c>
      <c r="BK86" s="76">
        <f t="shared" ca="1" si="92"/>
        <v>1.0068214933659623</v>
      </c>
      <c r="BL86" s="76">
        <f t="shared" ca="1" si="65"/>
        <v>8.5000000000000853E-2</v>
      </c>
      <c r="BM86" s="77">
        <f t="shared" ca="1" si="79"/>
        <v>872.30481417766055</v>
      </c>
    </row>
    <row r="87" spans="5:65">
      <c r="E87">
        <f t="shared" si="80"/>
        <v>84</v>
      </c>
      <c r="F87" s="64">
        <f t="shared" si="66"/>
        <v>61.64</v>
      </c>
      <c r="G87" s="55">
        <f t="shared" si="53"/>
        <v>0</v>
      </c>
      <c r="H87" s="78">
        <f t="shared" si="89"/>
        <v>1</v>
      </c>
      <c r="I87" s="79">
        <f t="shared" si="67"/>
        <v>487050.62984068436</v>
      </c>
      <c r="J87" s="79">
        <f t="shared" si="54"/>
        <v>3322.4126403459745</v>
      </c>
      <c r="K87" s="80">
        <f t="shared" si="55"/>
        <v>-15</v>
      </c>
      <c r="L87" s="80">
        <f t="shared" si="68"/>
        <v>-405.875524867237</v>
      </c>
      <c r="M87" s="80">
        <f t="shared" si="91"/>
        <v>0</v>
      </c>
      <c r="N87" s="80">
        <f t="shared" si="69"/>
        <v>-462.69809834865026</v>
      </c>
      <c r="O87" s="81">
        <f t="shared" si="56"/>
        <v>-2083.3333333333335</v>
      </c>
      <c r="P87" s="79">
        <f t="shared" si="57"/>
        <v>487406.13552448119</v>
      </c>
      <c r="Q87" s="35"/>
      <c r="R87">
        <f t="shared" ca="1" si="70"/>
        <v>209</v>
      </c>
      <c r="S87" s="78">
        <f t="shared" ca="1" si="71"/>
        <v>71.64</v>
      </c>
      <c r="T87" s="55">
        <f t="shared" ca="1" si="58"/>
        <v>4.2908271543715681E-3</v>
      </c>
      <c r="U87" s="78">
        <f t="shared" ca="1" si="81"/>
        <v>0.77063515815809547</v>
      </c>
      <c r="V87" s="79">
        <f t="shared" ca="1" si="72"/>
        <v>347223.91027366539</v>
      </c>
      <c r="W87" s="79">
        <f t="shared" ca="1" si="59"/>
        <v>2368.5856004352877</v>
      </c>
      <c r="X87" s="80">
        <f t="shared" ca="1" si="82"/>
        <v>-11.559527372371432</v>
      </c>
      <c r="Y87" s="80">
        <f t="shared" ca="1" si="83"/>
        <v>-289.35325856138786</v>
      </c>
      <c r="Z87" s="80">
        <f t="shared" ca="1" si="73"/>
        <v>0</v>
      </c>
      <c r="AA87" s="80">
        <f t="shared" ca="1" si="84"/>
        <v>-329.86271475998217</v>
      </c>
      <c r="AB87" s="81">
        <f t="shared" ca="1" si="60"/>
        <v>-1927.0580950066426</v>
      </c>
      <c r="AC87" s="79">
        <f t="shared" ca="1" si="61"/>
        <v>347034.66227840027</v>
      </c>
      <c r="AD87" s="35"/>
      <c r="AE87" s="62">
        <f t="shared" ca="1" si="62"/>
        <v>-2500.6101455486769</v>
      </c>
      <c r="AF87" s="62">
        <f t="shared" ca="1" si="63"/>
        <v>450322.90391195239</v>
      </c>
      <c r="AG87" s="35"/>
      <c r="AH87" s="35"/>
      <c r="AI87" s="35"/>
      <c r="AJ87" s="65">
        <v>101</v>
      </c>
      <c r="AK87" s="66">
        <f>'SA85-90'!F93*(1+$AH$22)</f>
        <v>0.51662600000000003</v>
      </c>
      <c r="AL87" s="66">
        <f>'SA85-90 (light)'!F93*(1+$AH$22)</f>
        <v>0.52082800000000007</v>
      </c>
      <c r="AM87" s="66">
        <f t="shared" si="74"/>
        <v>148</v>
      </c>
      <c r="AN87" s="66">
        <f t="shared" si="75"/>
        <v>0</v>
      </c>
      <c r="AO87" s="67">
        <f t="shared" si="85"/>
        <v>2.5664517644146633E-5</v>
      </c>
      <c r="AP87" s="68">
        <f t="shared" ca="1" si="76"/>
        <v>2.9421501781279398E-8</v>
      </c>
      <c r="AR87" s="69">
        <f t="shared" si="77"/>
        <v>7</v>
      </c>
      <c r="AS87" s="70">
        <f t="shared" si="86"/>
        <v>84</v>
      </c>
      <c r="AT87" s="71">
        <f t="shared" si="87"/>
        <v>0.56272245207901916</v>
      </c>
      <c r="AU87" s="72">
        <f t="shared" si="64"/>
        <v>6.8214933659622723E-3</v>
      </c>
      <c r="AV87" s="73">
        <f t="shared" si="78"/>
        <v>1.0068214933659623</v>
      </c>
      <c r="AW87" s="74">
        <f>PRODUCT(AV$4:AV87)</f>
        <v>1.7701422470949515</v>
      </c>
      <c r="AY87" s="75">
        <f t="shared" si="88"/>
        <v>84</v>
      </c>
      <c r="AZ87" s="76">
        <f t="shared" ca="1" si="92"/>
        <v>1.0068214933659623</v>
      </c>
      <c r="BA87" s="76">
        <f t="shared" ca="1" si="92"/>
        <v>1.0068214933659623</v>
      </c>
      <c r="BB87" s="76">
        <f t="shared" ca="1" si="92"/>
        <v>1.0068214933659623</v>
      </c>
      <c r="BC87" s="76">
        <f t="shared" ca="1" si="92"/>
        <v>1.0068214933659623</v>
      </c>
      <c r="BD87" s="76">
        <f t="shared" ca="1" si="92"/>
        <v>1.0068214933659623</v>
      </c>
      <c r="BE87" s="76">
        <f t="shared" ca="1" si="92"/>
        <v>1.0068214933659623</v>
      </c>
      <c r="BF87" s="76">
        <f t="shared" ca="1" si="92"/>
        <v>1.0068214933659623</v>
      </c>
      <c r="BG87" s="76">
        <f t="shared" ca="1" si="92"/>
        <v>1.0068214933659623</v>
      </c>
      <c r="BH87" s="76">
        <f t="shared" ca="1" si="92"/>
        <v>1.0068214933659623</v>
      </c>
      <c r="BI87" s="76">
        <f t="shared" ca="1" si="92"/>
        <v>1.0068214933659623</v>
      </c>
      <c r="BJ87" s="76">
        <f t="shared" ca="1" si="92"/>
        <v>1.0068214933659623</v>
      </c>
      <c r="BK87" s="76">
        <f t="shared" ca="1" si="92"/>
        <v>1.0068214933659623</v>
      </c>
      <c r="BL87" s="76">
        <f t="shared" ca="1" si="65"/>
        <v>8.5000000000000853E-2</v>
      </c>
      <c r="BM87" s="77">
        <f t="shared" ca="1" si="79"/>
        <v>946.45072338276248</v>
      </c>
    </row>
    <row r="88" spans="5:65">
      <c r="E88">
        <f t="shared" si="80"/>
        <v>85</v>
      </c>
      <c r="F88" s="64">
        <f t="shared" si="66"/>
        <v>61.72</v>
      </c>
      <c r="G88" s="55">
        <f t="shared" si="53"/>
        <v>0</v>
      </c>
      <c r="H88" s="78">
        <f t="shared" si="89"/>
        <v>1</v>
      </c>
      <c r="I88" s="79">
        <f t="shared" si="67"/>
        <v>487406.13552448119</v>
      </c>
      <c r="J88" s="79">
        <f t="shared" si="54"/>
        <v>3324.8377200095565</v>
      </c>
      <c r="K88" s="80">
        <f t="shared" si="55"/>
        <v>-15</v>
      </c>
      <c r="L88" s="80">
        <f t="shared" si="68"/>
        <v>-406.17177960373436</v>
      </c>
      <c r="M88" s="80">
        <f t="shared" si="91"/>
        <v>-3655.5460164336087</v>
      </c>
      <c r="N88" s="80">
        <f t="shared" si="69"/>
        <v>-463.03582874825725</v>
      </c>
      <c r="O88" s="81">
        <f t="shared" si="56"/>
        <v>-2083.3333333333335</v>
      </c>
      <c r="P88" s="79">
        <f t="shared" si="57"/>
        <v>484107.88628637179</v>
      </c>
      <c r="Q88" s="35"/>
      <c r="R88">
        <f t="shared" ca="1" si="70"/>
        <v>210</v>
      </c>
      <c r="S88" s="78">
        <f t="shared" ca="1" si="71"/>
        <v>71.72</v>
      </c>
      <c r="T88" s="55">
        <f t="shared" ca="1" si="58"/>
        <v>4.2908271543715681E-3</v>
      </c>
      <c r="U88" s="78">
        <f t="shared" ca="1" si="81"/>
        <v>0.76732849589535723</v>
      </c>
      <c r="V88" s="79">
        <f t="shared" ca="1" si="72"/>
        <v>345545.59652598796</v>
      </c>
      <c r="W88" s="79">
        <f t="shared" ca="1" si="59"/>
        <v>2357.136994339503</v>
      </c>
      <c r="X88" s="80">
        <f t="shared" ca="1" si="82"/>
        <v>-11.509927438430358</v>
      </c>
      <c r="Y88" s="80">
        <f t="shared" ca="1" si="83"/>
        <v>-287.95466377165667</v>
      </c>
      <c r="Z88" s="80">
        <f t="shared" ca="1" si="73"/>
        <v>0</v>
      </c>
      <c r="AA88" s="80">
        <f t="shared" ca="1" si="84"/>
        <v>-328.26831669968863</v>
      </c>
      <c r="AB88" s="81">
        <f t="shared" ca="1" si="60"/>
        <v>-1918.7894218045367</v>
      </c>
      <c r="AC88" s="79">
        <f t="shared" ca="1" si="61"/>
        <v>345356.2111906131</v>
      </c>
      <c r="AD88" s="35"/>
      <c r="AE88" s="62">
        <f t="shared" ca="1" si="62"/>
        <v>-2500.6101455486769</v>
      </c>
      <c r="AF88" s="62">
        <f t="shared" ca="1" si="63"/>
        <v>450076.09262267035</v>
      </c>
      <c r="AG88" s="35"/>
      <c r="AH88" s="35"/>
      <c r="AI88" s="35"/>
      <c r="AJ88" s="65">
        <v>102</v>
      </c>
      <c r="AK88" s="66">
        <f>'SA85-90'!F94*(1+$AH$22)</f>
        <v>0.55073700000000003</v>
      </c>
      <c r="AL88" s="66">
        <f>'SA85-90 (light)'!F94*(1+$AH$22)</f>
        <v>0.55523600000000006</v>
      </c>
      <c r="AM88" s="66">
        <f t="shared" si="74"/>
        <v>149</v>
      </c>
      <c r="AN88" s="66">
        <f t="shared" si="75"/>
        <v>0</v>
      </c>
      <c r="AO88" s="67">
        <f t="shared" si="85"/>
        <v>2.5664517644146633E-5</v>
      </c>
      <c r="AP88" s="68">
        <f t="shared" ca="1" si="76"/>
        <v>2.7116591503483292E-8</v>
      </c>
      <c r="AR88" s="69">
        <f t="shared" si="77"/>
        <v>8</v>
      </c>
      <c r="AS88" s="70">
        <f t="shared" si="86"/>
        <v>85</v>
      </c>
      <c r="AT88" s="71">
        <f t="shared" si="87"/>
        <v>0.55888384460528406</v>
      </c>
      <c r="AU88" s="72">
        <f t="shared" si="64"/>
        <v>6.8214933659622723E-3</v>
      </c>
      <c r="AV88" s="73">
        <f t="shared" si="78"/>
        <v>1.0068214933659623</v>
      </c>
      <c r="AW88" s="74">
        <f>PRODUCT(AV$4:AV88)</f>
        <v>1.7822172606903193</v>
      </c>
      <c r="AY88" s="75">
        <f t="shared" si="88"/>
        <v>85</v>
      </c>
      <c r="AZ88" s="76">
        <f t="shared" ca="1" si="92"/>
        <v>1.0068214933659623</v>
      </c>
      <c r="BA88" s="76">
        <f t="shared" ca="1" si="92"/>
        <v>1.0068214933659623</v>
      </c>
      <c r="BB88" s="76">
        <f t="shared" ca="1" si="92"/>
        <v>1.0068214933659623</v>
      </c>
      <c r="BC88" s="76">
        <f t="shared" ca="1" si="92"/>
        <v>1.0068214933659623</v>
      </c>
      <c r="BD88" s="76">
        <f t="shared" ca="1" si="92"/>
        <v>1.0068214933659623</v>
      </c>
      <c r="BE88" s="76">
        <f t="shared" ca="1" si="92"/>
        <v>1.0068214933659623</v>
      </c>
      <c r="BF88" s="76">
        <f t="shared" ca="1" si="92"/>
        <v>1.0068214933659623</v>
      </c>
      <c r="BG88" s="76">
        <f t="shared" ca="1" si="92"/>
        <v>1.0068214933659623</v>
      </c>
      <c r="BH88" s="76">
        <f t="shared" ca="1" si="92"/>
        <v>1.0068214933659623</v>
      </c>
      <c r="BI88" s="76">
        <f t="shared" ca="1" si="92"/>
        <v>1.0068214933659623</v>
      </c>
      <c r="BJ88" s="76">
        <f t="shared" ca="1" si="92"/>
        <v>1.0068214933659623</v>
      </c>
      <c r="BK88" s="76">
        <f t="shared" ca="1" si="92"/>
        <v>1.0068214933659623</v>
      </c>
      <c r="BL88" s="76">
        <f t="shared" ca="1" si="65"/>
        <v>8.5000000000000853E-2</v>
      </c>
      <c r="BM88" s="77">
        <f t="shared" ca="1" si="79"/>
        <v>1026.899034870298</v>
      </c>
    </row>
    <row r="89" spans="5:65">
      <c r="E89">
        <f t="shared" si="80"/>
        <v>86</v>
      </c>
      <c r="F89" s="64">
        <f t="shared" si="66"/>
        <v>61.8</v>
      </c>
      <c r="G89" s="55">
        <f t="shared" si="53"/>
        <v>0</v>
      </c>
      <c r="H89" s="78">
        <f t="shared" si="89"/>
        <v>1</v>
      </c>
      <c r="I89" s="79">
        <f t="shared" si="67"/>
        <v>484107.88628637179</v>
      </c>
      <c r="J89" s="79">
        <f t="shared" si="54"/>
        <v>3302.3387347125031</v>
      </c>
      <c r="K89" s="80">
        <f t="shared" si="55"/>
        <v>-15</v>
      </c>
      <c r="L89" s="80">
        <f t="shared" si="68"/>
        <v>-403.42323857197653</v>
      </c>
      <c r="M89" s="80">
        <f t="shared" si="91"/>
        <v>0</v>
      </c>
      <c r="N89" s="80">
        <f t="shared" si="69"/>
        <v>-459.90249197205327</v>
      </c>
      <c r="O89" s="81">
        <f t="shared" si="56"/>
        <v>-2083.3333333333335</v>
      </c>
      <c r="P89" s="79">
        <f t="shared" si="57"/>
        <v>484448.565957207</v>
      </c>
      <c r="Q89" s="35"/>
      <c r="R89">
        <f t="shared" ca="1" si="70"/>
        <v>211</v>
      </c>
      <c r="S89" s="78">
        <f t="shared" ca="1" si="71"/>
        <v>71.8</v>
      </c>
      <c r="T89" s="55">
        <f t="shared" ca="1" si="58"/>
        <v>4.2908271543715681E-3</v>
      </c>
      <c r="U89" s="78">
        <f t="shared" ca="1" si="81"/>
        <v>0.76403602194884634</v>
      </c>
      <c r="V89" s="79">
        <f t="shared" ca="1" si="72"/>
        <v>343874.34738170553</v>
      </c>
      <c r="W89" s="79">
        <f t="shared" ca="1" si="59"/>
        <v>2345.7365793889103</v>
      </c>
      <c r="X89" s="80">
        <f t="shared" ca="1" si="82"/>
        <v>-11.460540329232694</v>
      </c>
      <c r="Y89" s="80">
        <f t="shared" ca="1" si="83"/>
        <v>-286.56195615142127</v>
      </c>
      <c r="Z89" s="80">
        <f t="shared" ca="1" si="73"/>
        <v>0</v>
      </c>
      <c r="AA89" s="80">
        <f t="shared" ca="1" si="84"/>
        <v>-326.68063001262033</v>
      </c>
      <c r="AB89" s="81">
        <f t="shared" ca="1" si="60"/>
        <v>-1910.5562280499369</v>
      </c>
      <c r="AC89" s="79">
        <f t="shared" ca="1" si="61"/>
        <v>343684.82460655121</v>
      </c>
      <c r="AD89" s="35"/>
      <c r="AE89" s="62">
        <f t="shared" ca="1" si="62"/>
        <v>-2500.6101455486769</v>
      </c>
      <c r="AF89" s="62">
        <f t="shared" ca="1" si="63"/>
        <v>449828.03785861493</v>
      </c>
      <c r="AG89" s="35"/>
      <c r="AH89" s="35"/>
      <c r="AI89" s="35"/>
      <c r="AJ89" s="65">
        <v>103</v>
      </c>
      <c r="AK89" s="66">
        <f>'SA85-90'!F95*(1+$AH$22)</f>
        <v>0.58580500000000002</v>
      </c>
      <c r="AL89" s="66">
        <f>'SA85-90 (light)'!F95*(1+$AH$22)</f>
        <v>0.59060100000000004</v>
      </c>
      <c r="AM89" s="66">
        <f t="shared" si="74"/>
        <v>150</v>
      </c>
      <c r="AN89" s="66">
        <f t="shared" si="75"/>
        <v>0</v>
      </c>
      <c r="AO89" s="67">
        <f t="shared" si="85"/>
        <v>2.5664517644146633E-5</v>
      </c>
      <c r="AP89" s="68">
        <f t="shared" ca="1" si="76"/>
        <v>2.4992250233625137E-8</v>
      </c>
      <c r="AR89" s="69">
        <f t="shared" si="77"/>
        <v>8</v>
      </c>
      <c r="AS89" s="70">
        <f t="shared" si="86"/>
        <v>86</v>
      </c>
      <c r="AT89" s="71">
        <f t="shared" si="87"/>
        <v>0.55507142216696559</v>
      </c>
      <c r="AU89" s="72">
        <f t="shared" si="64"/>
        <v>6.8214933659622723E-3</v>
      </c>
      <c r="AV89" s="73">
        <f t="shared" si="78"/>
        <v>1.0068214933659623</v>
      </c>
      <c r="AW89" s="74">
        <f>PRODUCT(AV$4:AV89)</f>
        <v>1.7943746439108217</v>
      </c>
      <c r="AY89" s="75">
        <f t="shared" si="88"/>
        <v>86</v>
      </c>
      <c r="AZ89" s="76">
        <f t="shared" ca="1" si="92"/>
        <v>1.0068214933659623</v>
      </c>
      <c r="BA89" s="76">
        <f t="shared" ca="1" si="92"/>
        <v>1.0068214933659623</v>
      </c>
      <c r="BB89" s="76">
        <f t="shared" ca="1" si="92"/>
        <v>1.0068214933659623</v>
      </c>
      <c r="BC89" s="76">
        <f t="shared" ca="1" si="92"/>
        <v>1.0068214933659623</v>
      </c>
      <c r="BD89" s="76">
        <f t="shared" ca="1" si="92"/>
        <v>1.0068214933659623</v>
      </c>
      <c r="BE89" s="76">
        <f t="shared" ca="1" si="92"/>
        <v>1.0068214933659623</v>
      </c>
      <c r="BF89" s="76">
        <f t="shared" ca="1" si="92"/>
        <v>1.0068214933659623</v>
      </c>
      <c r="BG89" s="76">
        <f t="shared" ca="1" si="92"/>
        <v>1.0068214933659623</v>
      </c>
      <c r="BH89" s="76">
        <f t="shared" ca="1" si="92"/>
        <v>1.0068214933659623</v>
      </c>
      <c r="BI89" s="76">
        <f t="shared" ca="1" si="92"/>
        <v>1.0068214933659623</v>
      </c>
      <c r="BJ89" s="76">
        <f t="shared" ca="1" si="92"/>
        <v>1.0068214933659623</v>
      </c>
      <c r="BK89" s="76">
        <f t="shared" ca="1" si="92"/>
        <v>1.0068214933659623</v>
      </c>
      <c r="BL89" s="76">
        <f t="shared" ca="1" si="65"/>
        <v>8.5000000000000853E-2</v>
      </c>
      <c r="BM89" s="77">
        <f t="shared" ca="1" si="79"/>
        <v>1114.1854528342742</v>
      </c>
    </row>
    <row r="90" spans="5:65">
      <c r="E90">
        <f t="shared" si="80"/>
        <v>87</v>
      </c>
      <c r="F90" s="64">
        <f t="shared" si="66"/>
        <v>61.88</v>
      </c>
      <c r="G90" s="55">
        <f t="shared" si="53"/>
        <v>0</v>
      </c>
      <c r="H90" s="78">
        <f t="shared" si="89"/>
        <v>1</v>
      </c>
      <c r="I90" s="79">
        <f t="shared" si="67"/>
        <v>484448.565957207</v>
      </c>
      <c r="J90" s="79">
        <f t="shared" si="54"/>
        <v>3304.6626788270237</v>
      </c>
      <c r="K90" s="80">
        <f t="shared" si="55"/>
        <v>-15</v>
      </c>
      <c r="L90" s="80">
        <f t="shared" si="68"/>
        <v>-403.70713829767254</v>
      </c>
      <c r="M90" s="80">
        <f t="shared" si="91"/>
        <v>0</v>
      </c>
      <c r="N90" s="80">
        <f t="shared" si="69"/>
        <v>-460.2261376593467</v>
      </c>
      <c r="O90" s="81">
        <f t="shared" si="56"/>
        <v>-2083.3333333333335</v>
      </c>
      <c r="P90" s="79">
        <f t="shared" si="57"/>
        <v>484790.96202674368</v>
      </c>
      <c r="Q90" s="35"/>
      <c r="R90">
        <f t="shared" ca="1" si="70"/>
        <v>212</v>
      </c>
      <c r="S90" s="78">
        <f t="shared" ca="1" si="71"/>
        <v>71.88</v>
      </c>
      <c r="T90" s="55">
        <f t="shared" ca="1" si="58"/>
        <v>4.2908271543715681E-3</v>
      </c>
      <c r="U90" s="78">
        <f t="shared" ca="1" si="81"/>
        <v>0.76075767543895023</v>
      </c>
      <c r="V90" s="79">
        <f t="shared" ca="1" si="72"/>
        <v>342210.13242858398</v>
      </c>
      <c r="W90" s="79">
        <f t="shared" ca="1" si="59"/>
        <v>2334.3841481266563</v>
      </c>
      <c r="X90" s="80">
        <f t="shared" ca="1" si="82"/>
        <v>-11.411365131584253</v>
      </c>
      <c r="Y90" s="80">
        <f t="shared" ca="1" si="83"/>
        <v>-285.17511035715336</v>
      </c>
      <c r="Z90" s="80">
        <f t="shared" ca="1" si="73"/>
        <v>0</v>
      </c>
      <c r="AA90" s="80">
        <f t="shared" ca="1" si="84"/>
        <v>-325.09962580715484</v>
      </c>
      <c r="AB90" s="81">
        <f t="shared" ca="1" si="60"/>
        <v>-1902.3583615066664</v>
      </c>
      <c r="AC90" s="79">
        <f t="shared" ca="1" si="61"/>
        <v>342020.47211390809</v>
      </c>
      <c r="AD90" s="35"/>
      <c r="AE90" s="62">
        <f t="shared" ca="1" si="62"/>
        <v>-2500.6101455486769</v>
      </c>
      <c r="AF90" s="62">
        <f t="shared" ca="1" si="63"/>
        <v>449578.73335496144</v>
      </c>
      <c r="AG90" s="35"/>
      <c r="AH90" s="35"/>
      <c r="AI90" s="35"/>
      <c r="AJ90" s="127">
        <v>104</v>
      </c>
      <c r="AK90" s="129">
        <f>'SA85-90'!F96*(1+$AH$22)</f>
        <v>0.62164300000000006</v>
      </c>
      <c r="AL90" s="129">
        <f>'SA85-90 (light)'!F96*(1+$AH$22)</f>
        <v>0.62670300000000001</v>
      </c>
      <c r="AM90" s="66">
        <f t="shared" si="74"/>
        <v>151</v>
      </c>
      <c r="AN90" s="66">
        <f t="shared" si="75"/>
        <v>0</v>
      </c>
      <c r="AO90" s="130">
        <f t="shared" si="85"/>
        <v>2.5664517644146633E-5</v>
      </c>
      <c r="AP90" s="131">
        <f t="shared" ca="1" si="76"/>
        <v>2.3034332012557713E-8</v>
      </c>
      <c r="AR90" s="69">
        <f t="shared" si="77"/>
        <v>8</v>
      </c>
      <c r="AS90" s="70">
        <f t="shared" si="86"/>
        <v>87</v>
      </c>
      <c r="AT90" s="71">
        <f t="shared" si="87"/>
        <v>0.55128500614301834</v>
      </c>
      <c r="AU90" s="72">
        <f t="shared" si="64"/>
        <v>6.8214933659622723E-3</v>
      </c>
      <c r="AV90" s="73">
        <f t="shared" si="78"/>
        <v>1.0068214933659623</v>
      </c>
      <c r="AW90" s="74">
        <f>PRODUCT(AV$4:AV90)</f>
        <v>1.8066149586403102</v>
      </c>
      <c r="AY90" s="75">
        <f t="shared" si="88"/>
        <v>87</v>
      </c>
      <c r="AZ90" s="76">
        <f t="shared" ca="1" si="92"/>
        <v>1.0068214933659623</v>
      </c>
      <c r="BA90" s="76">
        <f t="shared" ca="1" si="92"/>
        <v>1.0068214933659623</v>
      </c>
      <c r="BB90" s="76">
        <f t="shared" ca="1" si="92"/>
        <v>1.0068214933659623</v>
      </c>
      <c r="BC90" s="76">
        <f t="shared" ca="1" si="92"/>
        <v>1.0068214933659623</v>
      </c>
      <c r="BD90" s="76">
        <f t="shared" ca="1" si="92"/>
        <v>1.0068214933659623</v>
      </c>
      <c r="BE90" s="76">
        <f t="shared" ca="1" si="92"/>
        <v>1.0068214933659623</v>
      </c>
      <c r="BF90" s="76">
        <f t="shared" ca="1" si="92"/>
        <v>1.0068214933659623</v>
      </c>
      <c r="BG90" s="76">
        <f t="shared" ca="1" si="92"/>
        <v>1.0068214933659623</v>
      </c>
      <c r="BH90" s="76">
        <f t="shared" ca="1" si="92"/>
        <v>1.0068214933659623</v>
      </c>
      <c r="BI90" s="76">
        <f t="shared" ca="1" si="92"/>
        <v>1.0068214933659623</v>
      </c>
      <c r="BJ90" s="76">
        <f t="shared" ca="1" si="92"/>
        <v>1.0068214933659623</v>
      </c>
      <c r="BK90" s="76">
        <f t="shared" ca="1" si="92"/>
        <v>1.0068214933659623</v>
      </c>
      <c r="BL90" s="76">
        <f t="shared" ca="1" si="65"/>
        <v>8.5000000000000853E-2</v>
      </c>
      <c r="BM90" s="77">
        <f t="shared" ca="1" si="79"/>
        <v>1208.8912163251885</v>
      </c>
    </row>
    <row r="91" spans="5:65">
      <c r="E91">
        <f t="shared" ref="E91:E154" si="93">E90+1</f>
        <v>88</v>
      </c>
      <c r="F91" s="64">
        <f t="shared" si="66"/>
        <v>61.96</v>
      </c>
      <c r="G91" s="55">
        <f t="shared" si="53"/>
        <v>0</v>
      </c>
      <c r="H91" s="78">
        <f t="shared" si="89"/>
        <v>1</v>
      </c>
      <c r="I91" s="79">
        <f t="shared" si="67"/>
        <v>484790.96202674368</v>
      </c>
      <c r="J91" s="79">
        <f t="shared" si="54"/>
        <v>3306.9983313438997</v>
      </c>
      <c r="K91" s="80">
        <f t="shared" si="55"/>
        <v>-15</v>
      </c>
      <c r="L91" s="80">
        <f t="shared" si="68"/>
        <v>-403.99246835561974</v>
      </c>
      <c r="M91" s="80">
        <f t="shared" si="91"/>
        <v>0</v>
      </c>
      <c r="N91" s="80">
        <f t="shared" si="69"/>
        <v>-460.55141392540662</v>
      </c>
      <c r="O91" s="81">
        <f t="shared" si="56"/>
        <v>-2083.3333333333335</v>
      </c>
      <c r="P91" s="79">
        <f t="shared" si="57"/>
        <v>485135.08314247319</v>
      </c>
      <c r="Q91" s="35"/>
      <c r="R91">
        <f t="shared" ca="1" si="70"/>
        <v>213</v>
      </c>
      <c r="S91" s="78">
        <f t="shared" ca="1" si="71"/>
        <v>71.959999999999994</v>
      </c>
      <c r="T91" s="55">
        <f t="shared" ca="1" si="58"/>
        <v>4.2908271543715681E-3</v>
      </c>
      <c r="U91" s="78">
        <f t="shared" ca="1" si="81"/>
        <v>0.75749339574728014</v>
      </c>
      <c r="V91" s="79">
        <f t="shared" ca="1" si="72"/>
        <v>340552.92138481076</v>
      </c>
      <c r="W91" s="79">
        <f t="shared" ca="1" si="59"/>
        <v>2323.0794939855577</v>
      </c>
      <c r="X91" s="80">
        <f t="shared" ca="1" si="82"/>
        <v>-11.362400936209202</v>
      </c>
      <c r="Y91" s="80">
        <f t="shared" ca="1" si="83"/>
        <v>-283.79410115400901</v>
      </c>
      <c r="Z91" s="80">
        <f t="shared" ca="1" si="73"/>
        <v>0</v>
      </c>
      <c r="AA91" s="80">
        <f t="shared" ca="1" si="84"/>
        <v>-323.5252753155703</v>
      </c>
      <c r="AB91" s="81">
        <f t="shared" ca="1" si="60"/>
        <v>-1894.1956705917676</v>
      </c>
      <c r="AC91" s="79">
        <f t="shared" ca="1" si="61"/>
        <v>340363.12343079876</v>
      </c>
      <c r="AD91" s="35"/>
      <c r="AE91" s="62">
        <f t="shared" ca="1" si="62"/>
        <v>-2500.6101455486769</v>
      </c>
      <c r="AF91" s="62">
        <f t="shared" ca="1" si="63"/>
        <v>449328.17281532171</v>
      </c>
      <c r="AG91" s="35"/>
      <c r="AH91" s="35"/>
      <c r="AK91" s="66"/>
      <c r="AL91" s="66"/>
      <c r="AM91" s="66"/>
      <c r="AN91" s="66"/>
      <c r="AR91" s="69">
        <f t="shared" si="77"/>
        <v>8</v>
      </c>
      <c r="AS91" s="70">
        <f t="shared" si="86"/>
        <v>88</v>
      </c>
      <c r="AT91" s="71">
        <f t="shared" si="87"/>
        <v>0.54752441913085925</v>
      </c>
      <c r="AU91" s="72">
        <f t="shared" si="64"/>
        <v>6.8214933659622723E-3</v>
      </c>
      <c r="AV91" s="73">
        <f t="shared" si="78"/>
        <v>1.0068214933659623</v>
      </c>
      <c r="AW91" s="74">
        <f>PRODUCT(AV$4:AV91)</f>
        <v>1.8189387705955233</v>
      </c>
      <c r="AY91" s="75">
        <f t="shared" si="88"/>
        <v>88</v>
      </c>
      <c r="AZ91" s="76">
        <f t="shared" ca="1" si="92"/>
        <v>1.0068214933659623</v>
      </c>
      <c r="BA91" s="76">
        <f t="shared" ca="1" si="92"/>
        <v>1.0068214933659623</v>
      </c>
      <c r="BB91" s="76">
        <f t="shared" ca="1" si="92"/>
        <v>1.0068214933659623</v>
      </c>
      <c r="BC91" s="76">
        <f t="shared" ca="1" si="92"/>
        <v>1.0068214933659623</v>
      </c>
      <c r="BD91" s="76">
        <f t="shared" ca="1" si="92"/>
        <v>1.0068214933659623</v>
      </c>
      <c r="BE91" s="76">
        <f t="shared" ca="1" si="92"/>
        <v>1.0068214933659623</v>
      </c>
      <c r="BF91" s="76">
        <f t="shared" ca="1" si="92"/>
        <v>1.0068214933659623</v>
      </c>
      <c r="BG91" s="76">
        <f t="shared" ca="1" si="92"/>
        <v>1.0068214933659623</v>
      </c>
      <c r="BH91" s="76">
        <f t="shared" ca="1" si="92"/>
        <v>1.0068214933659623</v>
      </c>
      <c r="BI91" s="76">
        <f t="shared" ca="1" si="92"/>
        <v>1.0068214933659623</v>
      </c>
      <c r="BJ91" s="76">
        <f t="shared" ca="1" si="92"/>
        <v>1.0068214933659623</v>
      </c>
      <c r="BK91" s="76">
        <f t="shared" ca="1" si="92"/>
        <v>1.0068214933659623</v>
      </c>
      <c r="BL91" s="76">
        <f t="shared" ca="1" si="65"/>
        <v>8.5000000000000853E-2</v>
      </c>
      <c r="BM91" s="77">
        <f t="shared" ca="1" si="79"/>
        <v>1311.6469697128305</v>
      </c>
    </row>
    <row r="92" spans="5:65">
      <c r="E92">
        <f t="shared" si="93"/>
        <v>89</v>
      </c>
      <c r="F92" s="64">
        <f t="shared" si="66"/>
        <v>62.04</v>
      </c>
      <c r="G92" s="55">
        <f t="shared" si="53"/>
        <v>0</v>
      </c>
      <c r="H92" s="78">
        <f t="shared" si="89"/>
        <v>1</v>
      </c>
      <c r="I92" s="79">
        <f t="shared" si="67"/>
        <v>485135.08314247319</v>
      </c>
      <c r="J92" s="79">
        <f t="shared" si="54"/>
        <v>3309.3457512519362</v>
      </c>
      <c r="K92" s="80">
        <f t="shared" si="55"/>
        <v>-15</v>
      </c>
      <c r="L92" s="80">
        <f t="shared" si="68"/>
        <v>-404.27923595206101</v>
      </c>
      <c r="M92" s="80">
        <f t="shared" si="91"/>
        <v>0</v>
      </c>
      <c r="N92" s="80">
        <f t="shared" si="69"/>
        <v>-460.87832898534958</v>
      </c>
      <c r="O92" s="81">
        <f t="shared" si="56"/>
        <v>-2083.3333333333335</v>
      </c>
      <c r="P92" s="79">
        <f t="shared" si="57"/>
        <v>485480.93799545435</v>
      </c>
      <c r="Q92" s="35"/>
      <c r="R92">
        <f t="shared" ca="1" si="70"/>
        <v>214</v>
      </c>
      <c r="S92" s="78">
        <f t="shared" ca="1" si="71"/>
        <v>72.040000000000006</v>
      </c>
      <c r="T92" s="55">
        <f t="shared" ca="1" si="58"/>
        <v>4.2908271543715681E-3</v>
      </c>
      <c r="U92" s="78">
        <f t="shared" ca="1" si="81"/>
        <v>0.75424312251555059</v>
      </c>
      <c r="V92" s="79">
        <f t="shared" ca="1" si="72"/>
        <v>338902.68409843516</v>
      </c>
      <c r="W92" s="79">
        <f t="shared" ca="1" si="59"/>
        <v>2311.8224112842831</v>
      </c>
      <c r="X92" s="80">
        <f t="shared" ca="1" si="82"/>
        <v>-11.313646837733259</v>
      </c>
      <c r="Y92" s="80">
        <f t="shared" ca="1" si="83"/>
        <v>-282.41890341536265</v>
      </c>
      <c r="Z92" s="80">
        <f t="shared" ca="1" si="73"/>
        <v>0</v>
      </c>
      <c r="AA92" s="80">
        <f t="shared" ca="1" si="84"/>
        <v>-321.95754989351343</v>
      </c>
      <c r="AB92" s="81">
        <f t="shared" ca="1" si="60"/>
        <v>-1886.0680043726995</v>
      </c>
      <c r="AC92" s="79">
        <f t="shared" ca="1" si="61"/>
        <v>338712.74840520008</v>
      </c>
      <c r="AD92" s="35"/>
      <c r="AE92" s="62">
        <f t="shared" ca="1" si="62"/>
        <v>-2500.6101455486769</v>
      </c>
      <c r="AF92" s="62">
        <f t="shared" ca="1" si="63"/>
        <v>449076.34991158528</v>
      </c>
      <c r="AG92" s="35"/>
      <c r="AH92" s="35"/>
      <c r="AK92" s="66"/>
      <c r="AL92" s="66"/>
      <c r="AM92" s="66"/>
      <c r="AN92" s="66"/>
      <c r="AR92" s="69">
        <f t="shared" si="77"/>
        <v>8</v>
      </c>
      <c r="AS92" s="70">
        <f t="shared" si="86"/>
        <v>89</v>
      </c>
      <c r="AT92" s="71">
        <f t="shared" si="87"/>
        <v>0.54378948493805579</v>
      </c>
      <c r="AU92" s="72">
        <f t="shared" si="64"/>
        <v>6.8214933659622723E-3</v>
      </c>
      <c r="AV92" s="73">
        <f t="shared" si="78"/>
        <v>1.0068214933659623</v>
      </c>
      <c r="AW92" s="74">
        <f>PRODUCT(AV$4:AV92)</f>
        <v>1.8313466493522323</v>
      </c>
      <c r="AY92" s="75">
        <f t="shared" si="88"/>
        <v>89</v>
      </c>
      <c r="AZ92" s="76">
        <f t="shared" ca="1" si="92"/>
        <v>1.0068214933659623</v>
      </c>
      <c r="BA92" s="76">
        <f t="shared" ca="1" si="92"/>
        <v>1.0068214933659623</v>
      </c>
      <c r="BB92" s="76">
        <f t="shared" ca="1" si="92"/>
        <v>1.0068214933659623</v>
      </c>
      <c r="BC92" s="76">
        <f t="shared" ca="1" si="92"/>
        <v>1.0068214933659623</v>
      </c>
      <c r="BD92" s="76">
        <f t="shared" ca="1" si="92"/>
        <v>1.0068214933659623</v>
      </c>
      <c r="BE92" s="76">
        <f t="shared" ca="1" si="92"/>
        <v>1.0068214933659623</v>
      </c>
      <c r="BF92" s="76">
        <f t="shared" ca="1" si="92"/>
        <v>1.0068214933659623</v>
      </c>
      <c r="BG92" s="76">
        <f t="shared" ca="1" si="92"/>
        <v>1.0068214933659623</v>
      </c>
      <c r="BH92" s="76">
        <f t="shared" ca="1" si="92"/>
        <v>1.0068214933659623</v>
      </c>
      <c r="BI92" s="76">
        <f t="shared" ca="1" si="92"/>
        <v>1.0068214933659623</v>
      </c>
      <c r="BJ92" s="76">
        <f t="shared" ca="1" si="92"/>
        <v>1.0068214933659623</v>
      </c>
      <c r="BK92" s="76">
        <f t="shared" ca="1" si="92"/>
        <v>1.0068214933659623</v>
      </c>
      <c r="BL92" s="76">
        <f t="shared" ca="1" si="65"/>
        <v>8.5000000000000853E-2</v>
      </c>
      <c r="BM92" s="77">
        <f t="shared" ca="1" si="79"/>
        <v>1423.1369621384222</v>
      </c>
    </row>
    <row r="93" spans="5:65">
      <c r="E93">
        <f t="shared" si="93"/>
        <v>90</v>
      </c>
      <c r="F93" s="64">
        <f t="shared" si="66"/>
        <v>62.12</v>
      </c>
      <c r="G93" s="55">
        <f t="shared" si="53"/>
        <v>0</v>
      </c>
      <c r="H93" s="78">
        <f t="shared" si="89"/>
        <v>1</v>
      </c>
      <c r="I93" s="79">
        <f t="shared" si="67"/>
        <v>485480.93799545435</v>
      </c>
      <c r="J93" s="79">
        <f t="shared" si="54"/>
        <v>3311.7049978371333</v>
      </c>
      <c r="K93" s="80">
        <f t="shared" si="55"/>
        <v>-15</v>
      </c>
      <c r="L93" s="80">
        <f t="shared" si="68"/>
        <v>-404.5674483295453</v>
      </c>
      <c r="M93" s="80">
        <f t="shared" si="91"/>
        <v>0</v>
      </c>
      <c r="N93" s="80">
        <f t="shared" si="69"/>
        <v>-461.20689109568167</v>
      </c>
      <c r="O93" s="81">
        <f t="shared" si="56"/>
        <v>-2083.3333333333335</v>
      </c>
      <c r="P93" s="79">
        <f t="shared" si="57"/>
        <v>485828.53532053297</v>
      </c>
      <c r="Q93" s="35"/>
      <c r="R93">
        <f t="shared" ca="1" si="70"/>
        <v>215</v>
      </c>
      <c r="S93" s="78">
        <f t="shared" ca="1" si="71"/>
        <v>72.12</v>
      </c>
      <c r="T93" s="55">
        <f t="shared" ca="1" si="58"/>
        <v>4.2908271543715681E-3</v>
      </c>
      <c r="U93" s="78">
        <f t="shared" ca="1" si="81"/>
        <v>0.75100679564446282</v>
      </c>
      <c r="V93" s="79">
        <f t="shared" ca="1" si="72"/>
        <v>337259.39054681122</v>
      </c>
      <c r="W93" s="79">
        <f t="shared" ca="1" si="59"/>
        <v>2300.6126952235518</v>
      </c>
      <c r="X93" s="80">
        <f t="shared" ca="1" si="82"/>
        <v>-11.265101934666943</v>
      </c>
      <c r="Y93" s="80">
        <f t="shared" ca="1" si="83"/>
        <v>-281.04949212234271</v>
      </c>
      <c r="Z93" s="80">
        <f t="shared" ca="1" si="73"/>
        <v>0</v>
      </c>
      <c r="AA93" s="80">
        <f t="shared" ca="1" si="84"/>
        <v>-320.39642101947072</v>
      </c>
      <c r="AB93" s="81">
        <f t="shared" ca="1" si="60"/>
        <v>-1877.9752125645455</v>
      </c>
      <c r="AC93" s="79">
        <f t="shared" ca="1" si="61"/>
        <v>337069.3170143938</v>
      </c>
      <c r="AD93" s="35"/>
      <c r="AE93" s="62">
        <f t="shared" ca="1" si="62"/>
        <v>-2500.6101455486769</v>
      </c>
      <c r="AF93" s="62">
        <f t="shared" ca="1" si="63"/>
        <v>448823.25828376017</v>
      </c>
      <c r="AG93" s="35"/>
      <c r="AH93" s="35"/>
      <c r="AK93" s="66"/>
      <c r="AL93" s="66"/>
      <c r="AM93" s="66"/>
      <c r="AN93" s="66"/>
      <c r="AR93" s="69">
        <f t="shared" si="77"/>
        <v>8</v>
      </c>
      <c r="AS93" s="70">
        <f t="shared" si="86"/>
        <v>90</v>
      </c>
      <c r="AT93" s="71">
        <f t="shared" si="87"/>
        <v>0.54008002857407078</v>
      </c>
      <c r="AU93" s="72">
        <f t="shared" si="64"/>
        <v>6.8214933659622723E-3</v>
      </c>
      <c r="AV93" s="73">
        <f t="shared" si="78"/>
        <v>1.0068214933659623</v>
      </c>
      <c r="AW93" s="74">
        <f>PRODUCT(AV$4:AV93)</f>
        <v>1.8438391683715658</v>
      </c>
      <c r="AY93" s="75">
        <f t="shared" si="88"/>
        <v>90</v>
      </c>
      <c r="AZ93" s="76">
        <f t="shared" ca="1" si="92"/>
        <v>1.0068214933659623</v>
      </c>
      <c r="BA93" s="76">
        <f t="shared" ca="1" si="92"/>
        <v>1.0068214933659623</v>
      </c>
      <c r="BB93" s="76">
        <f t="shared" ca="1" si="92"/>
        <v>1.0068214933659623</v>
      </c>
      <c r="BC93" s="76">
        <f t="shared" ca="1" si="92"/>
        <v>1.0068214933659623</v>
      </c>
      <c r="BD93" s="76">
        <f t="shared" ca="1" si="92"/>
        <v>1.0068214933659623</v>
      </c>
      <c r="BE93" s="76">
        <f t="shared" ca="1" si="92"/>
        <v>1.0068214933659623</v>
      </c>
      <c r="BF93" s="76">
        <f t="shared" ca="1" si="92"/>
        <v>1.0068214933659623</v>
      </c>
      <c r="BG93" s="76">
        <f t="shared" ca="1" si="92"/>
        <v>1.0068214933659623</v>
      </c>
      <c r="BH93" s="76">
        <f t="shared" ca="1" si="92"/>
        <v>1.0068214933659623</v>
      </c>
      <c r="BI93" s="76">
        <f t="shared" ca="1" si="92"/>
        <v>1.0068214933659623</v>
      </c>
      <c r="BJ93" s="76">
        <f t="shared" ca="1" si="92"/>
        <v>1.0068214933659623</v>
      </c>
      <c r="BK93" s="76">
        <f t="shared" ca="1" si="92"/>
        <v>1.0068214933659623</v>
      </c>
      <c r="BL93" s="76">
        <f t="shared" ca="1" si="65"/>
        <v>8.5000000000000853E-2</v>
      </c>
      <c r="BM93" s="77">
        <f t="shared" ca="1" si="79"/>
        <v>1544.1036039201892</v>
      </c>
    </row>
    <row r="94" spans="5:65">
      <c r="E94">
        <f t="shared" si="93"/>
        <v>91</v>
      </c>
      <c r="F94" s="64">
        <f t="shared" si="66"/>
        <v>62.2</v>
      </c>
      <c r="G94" s="55">
        <f t="shared" si="53"/>
        <v>0</v>
      </c>
      <c r="H94" s="78">
        <f t="shared" si="89"/>
        <v>1</v>
      </c>
      <c r="I94" s="79">
        <f t="shared" si="67"/>
        <v>485828.53532053297</v>
      </c>
      <c r="J94" s="79">
        <f t="shared" si="54"/>
        <v>3314.0761306841832</v>
      </c>
      <c r="K94" s="80">
        <f t="shared" si="55"/>
        <v>-15</v>
      </c>
      <c r="L94" s="80">
        <f t="shared" si="68"/>
        <v>-404.85711276711083</v>
      </c>
      <c r="M94" s="80">
        <f t="shared" si="91"/>
        <v>0</v>
      </c>
      <c r="N94" s="80">
        <f t="shared" si="69"/>
        <v>-461.5371085545064</v>
      </c>
      <c r="O94" s="81">
        <f t="shared" si="56"/>
        <v>-2083.3333333333335</v>
      </c>
      <c r="P94" s="79">
        <f t="shared" si="57"/>
        <v>486177.88389656221</v>
      </c>
      <c r="Q94" s="35"/>
      <c r="R94">
        <f t="shared" ca="1" si="70"/>
        <v>216</v>
      </c>
      <c r="S94" s="78">
        <f t="shared" ca="1" si="71"/>
        <v>72.2</v>
      </c>
      <c r="T94" s="55">
        <f t="shared" ca="1" si="58"/>
        <v>4.2908271543715681E-3</v>
      </c>
      <c r="U94" s="78">
        <f t="shared" ca="1" si="81"/>
        <v>0.74778435529259402</v>
      </c>
      <c r="V94" s="79">
        <f t="shared" ca="1" si="72"/>
        <v>335623.01083604299</v>
      </c>
      <c r="W94" s="79">
        <f t="shared" ca="1" si="59"/>
        <v>2289.4501418823511</v>
      </c>
      <c r="X94" s="80">
        <f t="shared" ca="1" si="82"/>
        <v>-11.21676532938891</v>
      </c>
      <c r="Y94" s="80">
        <f t="shared" ca="1" si="83"/>
        <v>-279.68584236336915</v>
      </c>
      <c r="Z94" s="80">
        <f t="shared" ca="1" si="73"/>
        <v>0</v>
      </c>
      <c r="AA94" s="80">
        <f t="shared" ca="1" si="84"/>
        <v>-318.84186029424092</v>
      </c>
      <c r="AB94" s="81">
        <f t="shared" ca="1" si="60"/>
        <v>-1869.9171455272372</v>
      </c>
      <c r="AC94" s="79">
        <f t="shared" ca="1" si="61"/>
        <v>335432.79936441104</v>
      </c>
      <c r="AD94" s="35"/>
      <c r="AE94" s="62">
        <f t="shared" ca="1" si="62"/>
        <v>-2500.6101455486769</v>
      </c>
      <c r="AF94" s="62">
        <f t="shared" ca="1" si="63"/>
        <v>448568.89153981092</v>
      </c>
      <c r="AG94" s="35"/>
      <c r="AH94" s="35"/>
      <c r="AK94" s="66"/>
      <c r="AL94" s="66"/>
      <c r="AM94" s="66"/>
      <c r="AN94" s="66"/>
      <c r="AR94" s="69">
        <f t="shared" si="77"/>
        <v>8</v>
      </c>
      <c r="AS94" s="70">
        <f t="shared" si="86"/>
        <v>91</v>
      </c>
      <c r="AT94" s="71">
        <f t="shared" si="87"/>
        <v>0.53639587624206408</v>
      </c>
      <c r="AU94" s="72">
        <f t="shared" si="64"/>
        <v>6.8214933659622723E-3</v>
      </c>
      <c r="AV94" s="73">
        <f t="shared" si="78"/>
        <v>1.0068214933659623</v>
      </c>
      <c r="AW94" s="74">
        <f>PRODUCT(AV$4:AV94)</f>
        <v>1.8564169050265138</v>
      </c>
      <c r="AY94" s="75">
        <f t="shared" si="88"/>
        <v>91</v>
      </c>
      <c r="AZ94" s="76">
        <f t="shared" ca="1" si="92"/>
        <v>1.0068214933659623</v>
      </c>
      <c r="BA94" s="76">
        <f t="shared" ca="1" si="92"/>
        <v>1.0068214933659623</v>
      </c>
      <c r="BB94" s="76">
        <f t="shared" ca="1" si="92"/>
        <v>1.0068214933659623</v>
      </c>
      <c r="BC94" s="76">
        <f t="shared" ca="1" si="92"/>
        <v>1.0068214933659623</v>
      </c>
      <c r="BD94" s="76">
        <f t="shared" ca="1" si="92"/>
        <v>1.0068214933659623</v>
      </c>
      <c r="BE94" s="76">
        <f t="shared" ca="1" si="92"/>
        <v>1.0068214933659623</v>
      </c>
      <c r="BF94" s="76">
        <f t="shared" ca="1" si="92"/>
        <v>1.0068214933659623</v>
      </c>
      <c r="BG94" s="76">
        <f t="shared" ca="1" si="92"/>
        <v>1.0068214933659623</v>
      </c>
      <c r="BH94" s="76">
        <f t="shared" ca="1" si="92"/>
        <v>1.0068214933659623</v>
      </c>
      <c r="BI94" s="76">
        <f t="shared" ca="1" si="92"/>
        <v>1.0068214933659623</v>
      </c>
      <c r="BJ94" s="76">
        <f t="shared" ca="1" si="92"/>
        <v>1.0068214933659623</v>
      </c>
      <c r="BK94" s="76">
        <f t="shared" ca="1" si="92"/>
        <v>1.0068214933659623</v>
      </c>
      <c r="BL94" s="76">
        <f t="shared" ca="1" si="65"/>
        <v>8.5000000000000853E-2</v>
      </c>
      <c r="BM94" s="77">
        <f t="shared" ca="1" si="79"/>
        <v>1675.3524102534066</v>
      </c>
    </row>
    <row r="95" spans="5:65">
      <c r="E95">
        <f t="shared" si="93"/>
        <v>92</v>
      </c>
      <c r="F95" s="64">
        <f t="shared" si="66"/>
        <v>62.28</v>
      </c>
      <c r="G95" s="55">
        <f t="shared" si="53"/>
        <v>0</v>
      </c>
      <c r="H95" s="78">
        <f t="shared" si="89"/>
        <v>1</v>
      </c>
      <c r="I95" s="79">
        <f t="shared" si="67"/>
        <v>486177.88389656221</v>
      </c>
      <c r="J95" s="79">
        <f t="shared" si="54"/>
        <v>3316.4592096779752</v>
      </c>
      <c r="K95" s="80">
        <f t="shared" si="55"/>
        <v>-15</v>
      </c>
      <c r="L95" s="80">
        <f t="shared" si="68"/>
        <v>-405.14823658046856</v>
      </c>
      <c r="M95" s="80">
        <f t="shared" si="91"/>
        <v>0</v>
      </c>
      <c r="N95" s="80">
        <f t="shared" si="69"/>
        <v>-461.86898970173417</v>
      </c>
      <c r="O95" s="81">
        <f t="shared" si="56"/>
        <v>-2083.3333333333335</v>
      </c>
      <c r="P95" s="79">
        <f t="shared" si="57"/>
        <v>486528.99254662468</v>
      </c>
      <c r="Q95" s="35"/>
      <c r="R95">
        <f t="shared" ca="1" si="70"/>
        <v>217</v>
      </c>
      <c r="S95" s="78">
        <f t="shared" ca="1" si="71"/>
        <v>72.28</v>
      </c>
      <c r="T95" s="55">
        <f t="shared" ca="1" si="58"/>
        <v>4.2908271543715681E-3</v>
      </c>
      <c r="U95" s="78">
        <f t="shared" ca="1" si="81"/>
        <v>0.7445757418752903</v>
      </c>
      <c r="V95" s="79">
        <f t="shared" ca="1" si="72"/>
        <v>333993.51520043134</v>
      </c>
      <c r="W95" s="79">
        <f t="shared" ca="1" si="59"/>
        <v>2278.3345482141617</v>
      </c>
      <c r="X95" s="80">
        <f t="shared" ca="1" si="82"/>
        <v>-11.168636128129354</v>
      </c>
      <c r="Y95" s="80">
        <f t="shared" ca="1" si="83"/>
        <v>-278.32792933369279</v>
      </c>
      <c r="Z95" s="80">
        <f t="shared" ca="1" si="73"/>
        <v>-2504.9513640032351</v>
      </c>
      <c r="AA95" s="80">
        <f t="shared" ca="1" si="84"/>
        <v>-317.29383944040984</v>
      </c>
      <c r="AB95" s="81">
        <f t="shared" ca="1" si="60"/>
        <v>-1861.8936542627837</v>
      </c>
      <c r="AC95" s="79">
        <f t="shared" ca="1" si="61"/>
        <v>331298.21432547731</v>
      </c>
      <c r="AD95" s="35"/>
      <c r="AE95" s="62">
        <f t="shared" ca="1" si="62"/>
        <v>-2500.6101455486769</v>
      </c>
      <c r="AF95" s="62">
        <f t="shared" ca="1" si="63"/>
        <v>444948.97656895028</v>
      </c>
      <c r="AG95" s="35"/>
      <c r="AH95" s="35"/>
      <c r="AK95" s="66"/>
      <c r="AL95" s="66"/>
      <c r="AM95" s="66"/>
      <c r="AN95" s="66"/>
      <c r="AR95" s="69">
        <f t="shared" si="77"/>
        <v>8</v>
      </c>
      <c r="AS95" s="70">
        <f t="shared" si="86"/>
        <v>92</v>
      </c>
      <c r="AT95" s="71">
        <f t="shared" si="87"/>
        <v>0.53273685533074933</v>
      </c>
      <c r="AU95" s="72">
        <f t="shared" si="64"/>
        <v>6.8214933659622723E-3</v>
      </c>
      <c r="AV95" s="73">
        <f t="shared" si="78"/>
        <v>1.0068214933659623</v>
      </c>
      <c r="AW95" s="74">
        <f>PRODUCT(AV$4:AV95)</f>
        <v>1.8690804406286123</v>
      </c>
      <c r="AY95" s="75">
        <f t="shared" si="88"/>
        <v>92</v>
      </c>
      <c r="AZ95" s="76">
        <f t="shared" ref="AZ95:BK104" ca="1" si="94">OFFSET($AV$3,($AY95*12-12)+AZ$3,0)</f>
        <v>1.0068214933659623</v>
      </c>
      <c r="BA95" s="76">
        <f t="shared" ca="1" si="94"/>
        <v>1.0068214933659623</v>
      </c>
      <c r="BB95" s="76">
        <f t="shared" ca="1" si="94"/>
        <v>1.0068214933659623</v>
      </c>
      <c r="BC95" s="76">
        <f t="shared" ca="1" si="94"/>
        <v>1.0068214933659623</v>
      </c>
      <c r="BD95" s="76">
        <f t="shared" ca="1" si="94"/>
        <v>1.0068214933659623</v>
      </c>
      <c r="BE95" s="76">
        <f t="shared" ca="1" si="94"/>
        <v>1.0068214933659623</v>
      </c>
      <c r="BF95" s="76">
        <f t="shared" ca="1" si="94"/>
        <v>1.0068214933659623</v>
      </c>
      <c r="BG95" s="76">
        <f t="shared" ca="1" si="94"/>
        <v>1.0068214933659623</v>
      </c>
      <c r="BH95" s="76">
        <f t="shared" ca="1" si="94"/>
        <v>1.0068214933659623</v>
      </c>
      <c r="BI95" s="76">
        <f t="shared" ca="1" si="94"/>
        <v>1.0068214933659623</v>
      </c>
      <c r="BJ95" s="76">
        <f t="shared" ca="1" si="94"/>
        <v>1.0068214933659623</v>
      </c>
      <c r="BK95" s="76">
        <f t="shared" ca="1" si="94"/>
        <v>1.0068214933659623</v>
      </c>
      <c r="BL95" s="76">
        <f t="shared" ca="1" si="65"/>
        <v>8.5000000000000853E-2</v>
      </c>
      <c r="BM95" s="77">
        <f t="shared" ca="1" si="79"/>
        <v>1817.7573651249475</v>
      </c>
    </row>
    <row r="96" spans="5:65">
      <c r="E96">
        <f t="shared" si="93"/>
        <v>93</v>
      </c>
      <c r="F96" s="64">
        <f t="shared" si="66"/>
        <v>62.36</v>
      </c>
      <c r="G96" s="55">
        <f t="shared" si="53"/>
        <v>0</v>
      </c>
      <c r="H96" s="78">
        <f t="shared" si="89"/>
        <v>1</v>
      </c>
      <c r="I96" s="79">
        <f t="shared" si="67"/>
        <v>486528.99254662468</v>
      </c>
      <c r="J96" s="79">
        <f t="shared" si="54"/>
        <v>3318.8542950051083</v>
      </c>
      <c r="K96" s="80">
        <f t="shared" si="55"/>
        <v>-15</v>
      </c>
      <c r="L96" s="80">
        <f t="shared" si="68"/>
        <v>-405.44082712218727</v>
      </c>
      <c r="M96" s="80">
        <f t="shared" si="91"/>
        <v>0</v>
      </c>
      <c r="N96" s="80">
        <f t="shared" si="69"/>
        <v>-462.20254291929353</v>
      </c>
      <c r="O96" s="81">
        <f t="shared" si="56"/>
        <v>-2083.3333333333335</v>
      </c>
      <c r="P96" s="79">
        <f t="shared" si="57"/>
        <v>486881.87013825495</v>
      </c>
      <c r="Q96" s="35"/>
      <c r="R96">
        <f t="shared" ca="1" si="70"/>
        <v>218</v>
      </c>
      <c r="S96" s="78">
        <f t="shared" ca="1" si="71"/>
        <v>72.36</v>
      </c>
      <c r="T96" s="55">
        <f t="shared" ca="1" si="58"/>
        <v>4.2908271543715681E-3</v>
      </c>
      <c r="U96" s="78">
        <f t="shared" ca="1" si="81"/>
        <v>0.7413808960635655</v>
      </c>
      <c r="V96" s="79">
        <f t="shared" ca="1" si="72"/>
        <v>329876.67095125472</v>
      </c>
      <c r="W96" s="79">
        <f t="shared" ca="1" si="59"/>
        <v>2250.2515224797035</v>
      </c>
      <c r="X96" s="80">
        <f t="shared" ca="1" si="82"/>
        <v>-11.120713440953482</v>
      </c>
      <c r="Y96" s="80">
        <f t="shared" ca="1" si="83"/>
        <v>-274.89722579271228</v>
      </c>
      <c r="Z96" s="80">
        <f t="shared" ca="1" si="73"/>
        <v>0</v>
      </c>
      <c r="AA96" s="80">
        <f t="shared" ca="1" si="84"/>
        <v>-313.38283740369206</v>
      </c>
      <c r="AB96" s="81">
        <f t="shared" ca="1" si="60"/>
        <v>-1853.9045904125212</v>
      </c>
      <c r="AC96" s="79">
        <f t="shared" ca="1" si="61"/>
        <v>329673.6171066846</v>
      </c>
      <c r="AD96" s="35"/>
      <c r="AE96" s="62">
        <f t="shared" ca="1" si="62"/>
        <v>-2500.6101455486773</v>
      </c>
      <c r="AF96" s="62">
        <f t="shared" ca="1" si="63"/>
        <v>444675.09057371045</v>
      </c>
      <c r="AG96" s="35"/>
      <c r="AH96" s="35"/>
      <c r="AK96" s="66"/>
      <c r="AL96" s="66"/>
      <c r="AM96" s="66"/>
      <c r="AN96" s="66"/>
      <c r="AR96" s="69">
        <f t="shared" si="77"/>
        <v>8</v>
      </c>
      <c r="AS96" s="70">
        <f t="shared" si="86"/>
        <v>93</v>
      </c>
      <c r="AT96" s="71">
        <f t="shared" si="87"/>
        <v>0.52910279440630703</v>
      </c>
      <c r="AU96" s="72">
        <f t="shared" si="64"/>
        <v>6.8214933659622723E-3</v>
      </c>
      <c r="AV96" s="73">
        <f t="shared" si="78"/>
        <v>1.0068214933659623</v>
      </c>
      <c r="AW96" s="74">
        <f>PRODUCT(AV$4:AV96)</f>
        <v>1.8818303604548103</v>
      </c>
      <c r="AY96" s="75">
        <f t="shared" si="88"/>
        <v>93</v>
      </c>
      <c r="AZ96" s="76">
        <f t="shared" ca="1" si="94"/>
        <v>1.0068214933659623</v>
      </c>
      <c r="BA96" s="76">
        <f t="shared" ca="1" si="94"/>
        <v>1.0068214933659623</v>
      </c>
      <c r="BB96" s="76">
        <f t="shared" ca="1" si="94"/>
        <v>1.0068214933659623</v>
      </c>
      <c r="BC96" s="76">
        <f t="shared" ca="1" si="94"/>
        <v>1.0068214933659623</v>
      </c>
      <c r="BD96" s="76">
        <f t="shared" ca="1" si="94"/>
        <v>1.0068214933659623</v>
      </c>
      <c r="BE96" s="76">
        <f t="shared" ca="1" si="94"/>
        <v>1.0068214933659623</v>
      </c>
      <c r="BF96" s="76">
        <f t="shared" ca="1" si="94"/>
        <v>1.0068214933659623</v>
      </c>
      <c r="BG96" s="76">
        <f t="shared" ca="1" si="94"/>
        <v>1.0068214933659623</v>
      </c>
      <c r="BH96" s="76">
        <f t="shared" ca="1" si="94"/>
        <v>1.0068214933659623</v>
      </c>
      <c r="BI96" s="76">
        <f t="shared" ca="1" si="94"/>
        <v>1.0068214933659623</v>
      </c>
      <c r="BJ96" s="76">
        <f t="shared" ca="1" si="94"/>
        <v>1.0068214933659623</v>
      </c>
      <c r="BK96" s="76">
        <f t="shared" ca="1" si="94"/>
        <v>1.0068214933659623</v>
      </c>
      <c r="BL96" s="76">
        <f t="shared" ca="1" si="65"/>
        <v>8.5000000000000853E-2</v>
      </c>
      <c r="BM96" s="77">
        <f t="shared" ca="1" si="79"/>
        <v>1972.2667411605696</v>
      </c>
    </row>
    <row r="97" spans="5:65">
      <c r="E97">
        <f t="shared" si="93"/>
        <v>94</v>
      </c>
      <c r="F97" s="64">
        <f t="shared" si="66"/>
        <v>62.44</v>
      </c>
      <c r="G97" s="55">
        <f t="shared" si="53"/>
        <v>0</v>
      </c>
      <c r="H97" s="78">
        <f t="shared" si="89"/>
        <v>1</v>
      </c>
      <c r="I97" s="79">
        <f t="shared" si="67"/>
        <v>486881.87013825495</v>
      </c>
      <c r="J97" s="79">
        <f t="shared" si="54"/>
        <v>3321.2614471554107</v>
      </c>
      <c r="K97" s="80">
        <f t="shared" si="55"/>
        <v>-15</v>
      </c>
      <c r="L97" s="80">
        <f t="shared" si="68"/>
        <v>-405.73489178187913</v>
      </c>
      <c r="M97" s="80">
        <f t="shared" si="91"/>
        <v>0</v>
      </c>
      <c r="N97" s="80">
        <f t="shared" si="69"/>
        <v>-462.5377766313423</v>
      </c>
      <c r="O97" s="81">
        <f t="shared" si="56"/>
        <v>-2083.3333333333335</v>
      </c>
      <c r="P97" s="79">
        <f t="shared" si="57"/>
        <v>487236.52558366378</v>
      </c>
      <c r="Q97" s="35"/>
      <c r="R97">
        <f t="shared" ca="1" si="70"/>
        <v>219</v>
      </c>
      <c r="S97" s="78">
        <f t="shared" ca="1" si="71"/>
        <v>72.44</v>
      </c>
      <c r="T97" s="55">
        <f t="shared" ca="1" si="58"/>
        <v>4.2908271543715681E-3</v>
      </c>
      <c r="U97" s="78">
        <f t="shared" ca="1" si="81"/>
        <v>0.73819975878300359</v>
      </c>
      <c r="V97" s="79">
        <f t="shared" ca="1" si="72"/>
        <v>328259.04459832335</v>
      </c>
      <c r="W97" s="79">
        <f t="shared" ca="1" si="59"/>
        <v>2239.2168950445766</v>
      </c>
      <c r="X97" s="80">
        <f t="shared" ca="1" si="82"/>
        <v>-11.072996381745053</v>
      </c>
      <c r="Y97" s="80">
        <f t="shared" ca="1" si="83"/>
        <v>-273.54920383193615</v>
      </c>
      <c r="Z97" s="80">
        <f t="shared" ca="1" si="73"/>
        <v>0</v>
      </c>
      <c r="AA97" s="80">
        <f t="shared" ca="1" si="84"/>
        <v>-311.84609236840726</v>
      </c>
      <c r="AB97" s="81">
        <f t="shared" ca="1" si="60"/>
        <v>-1845.9498062543646</v>
      </c>
      <c r="AC97" s="79">
        <f t="shared" ca="1" si="61"/>
        <v>328055.84339453146</v>
      </c>
      <c r="AD97" s="35"/>
      <c r="AE97" s="62">
        <f t="shared" ca="1" si="62"/>
        <v>-2500.6101455486764</v>
      </c>
      <c r="AF97" s="62">
        <f t="shared" ca="1" si="63"/>
        <v>444399.8246969959</v>
      </c>
      <c r="AG97" s="35"/>
      <c r="AH97" s="35"/>
      <c r="AK97" s="66"/>
      <c r="AL97" s="66"/>
      <c r="AM97" s="66"/>
      <c r="AN97" s="66"/>
      <c r="AR97" s="69">
        <f t="shared" si="77"/>
        <v>8</v>
      </c>
      <c r="AS97" s="70">
        <f t="shared" si="86"/>
        <v>94</v>
      </c>
      <c r="AT97" s="71">
        <f t="shared" si="87"/>
        <v>0.52549352320435228</v>
      </c>
      <c r="AU97" s="72">
        <f t="shared" si="64"/>
        <v>6.8214933659622723E-3</v>
      </c>
      <c r="AV97" s="73">
        <f t="shared" si="78"/>
        <v>1.0068214933659623</v>
      </c>
      <c r="AW97" s="74">
        <f>PRODUCT(AV$4:AV97)</f>
        <v>1.8946672537745193</v>
      </c>
      <c r="AY97" s="75">
        <f t="shared" si="88"/>
        <v>94</v>
      </c>
      <c r="AZ97" s="76">
        <f t="shared" ca="1" si="94"/>
        <v>1.0068214933659623</v>
      </c>
      <c r="BA97" s="76">
        <f t="shared" ca="1" si="94"/>
        <v>1.0068214933659623</v>
      </c>
      <c r="BB97" s="76">
        <f t="shared" ca="1" si="94"/>
        <v>1.0068214933659623</v>
      </c>
      <c r="BC97" s="76">
        <f t="shared" ca="1" si="94"/>
        <v>1.0068214933659623</v>
      </c>
      <c r="BD97" s="76">
        <f t="shared" ca="1" si="94"/>
        <v>1.0068214933659623</v>
      </c>
      <c r="BE97" s="76">
        <f t="shared" ca="1" si="94"/>
        <v>1.0068214933659623</v>
      </c>
      <c r="BF97" s="76">
        <f t="shared" ca="1" si="94"/>
        <v>1.0068214933659623</v>
      </c>
      <c r="BG97" s="76">
        <f t="shared" ca="1" si="94"/>
        <v>1.0068214933659623</v>
      </c>
      <c r="BH97" s="76">
        <f t="shared" ca="1" si="94"/>
        <v>1.0068214933659623</v>
      </c>
      <c r="BI97" s="76">
        <f t="shared" ca="1" si="94"/>
        <v>1.0068214933659623</v>
      </c>
      <c r="BJ97" s="76">
        <f t="shared" ca="1" si="94"/>
        <v>1.0068214933659623</v>
      </c>
      <c r="BK97" s="76">
        <f t="shared" ca="1" si="94"/>
        <v>1.0068214933659623</v>
      </c>
      <c r="BL97" s="76">
        <f t="shared" ca="1" si="65"/>
        <v>8.5000000000000853E-2</v>
      </c>
      <c r="BM97" s="77">
        <f t="shared" ca="1" si="79"/>
        <v>2139.9094141592195</v>
      </c>
    </row>
    <row r="98" spans="5:65">
      <c r="E98">
        <f t="shared" si="93"/>
        <v>95</v>
      </c>
      <c r="F98" s="64">
        <f t="shared" si="66"/>
        <v>62.52</v>
      </c>
      <c r="G98" s="55">
        <f t="shared" si="53"/>
        <v>0</v>
      </c>
      <c r="H98" s="78">
        <f t="shared" si="89"/>
        <v>1</v>
      </c>
      <c r="I98" s="79">
        <f t="shared" si="67"/>
        <v>487236.52558366378</v>
      </c>
      <c r="J98" s="79">
        <f t="shared" si="54"/>
        <v>3323.6807269234696</v>
      </c>
      <c r="K98" s="80">
        <f t="shared" si="55"/>
        <v>-15</v>
      </c>
      <c r="L98" s="80">
        <f t="shared" si="68"/>
        <v>-406.03043798638652</v>
      </c>
      <c r="M98" s="80">
        <f t="shared" si="91"/>
        <v>0</v>
      </c>
      <c r="N98" s="80">
        <f t="shared" si="69"/>
        <v>-462.87469930448066</v>
      </c>
      <c r="O98" s="81">
        <f t="shared" si="56"/>
        <v>-2083.3333333333335</v>
      </c>
      <c r="P98" s="79">
        <f t="shared" si="57"/>
        <v>487592.96783996309</v>
      </c>
      <c r="Q98" s="35"/>
      <c r="R98">
        <f t="shared" ca="1" si="70"/>
        <v>220</v>
      </c>
      <c r="S98" s="78">
        <f t="shared" ca="1" si="71"/>
        <v>72.52</v>
      </c>
      <c r="T98" s="55">
        <f t="shared" ca="1" si="58"/>
        <v>4.6837945252553581E-3</v>
      </c>
      <c r="U98" s="78">
        <f t="shared" ca="1" si="81"/>
        <v>0.73474218279427095</v>
      </c>
      <c r="V98" s="79">
        <f t="shared" ca="1" si="72"/>
        <v>326519.29723126214</v>
      </c>
      <c r="W98" s="79">
        <f t="shared" ca="1" si="59"/>
        <v>2227.349219921718</v>
      </c>
      <c r="X98" s="80">
        <f t="shared" ca="1" si="82"/>
        <v>-11.021132741914064</v>
      </c>
      <c r="Y98" s="80">
        <f t="shared" ca="1" si="83"/>
        <v>-272.09941435938515</v>
      </c>
      <c r="Z98" s="80">
        <f t="shared" ca="1" si="73"/>
        <v>0</v>
      </c>
      <c r="AA98" s="80">
        <f t="shared" ca="1" si="84"/>
        <v>-310.19333236969908</v>
      </c>
      <c r="AB98" s="81">
        <f t="shared" ca="1" si="60"/>
        <v>-1837.3037566579344</v>
      </c>
      <c r="AC98" s="79">
        <f t="shared" ca="1" si="61"/>
        <v>326316.02881505497</v>
      </c>
      <c r="AD98" s="35"/>
      <c r="AE98" s="62">
        <f t="shared" ca="1" si="62"/>
        <v>-2500.6101455486769</v>
      </c>
      <c r="AF98" s="62">
        <f t="shared" ca="1" si="63"/>
        <v>444123.17198674299</v>
      </c>
      <c r="AG98" s="35"/>
      <c r="AH98" s="35"/>
      <c r="AK98" s="66"/>
      <c r="AL98" s="66"/>
      <c r="AM98" s="66"/>
      <c r="AN98" s="66"/>
      <c r="AR98" s="69">
        <f t="shared" si="77"/>
        <v>8</v>
      </c>
      <c r="AS98" s="70">
        <f t="shared" si="86"/>
        <v>95</v>
      </c>
      <c r="AT98" s="71">
        <f t="shared" si="87"/>
        <v>0.52190887262195762</v>
      </c>
      <c r="AU98" s="72">
        <f t="shared" si="64"/>
        <v>6.8214933659622723E-3</v>
      </c>
      <c r="AV98" s="73">
        <f t="shared" si="78"/>
        <v>1.0068214933659623</v>
      </c>
      <c r="AW98" s="74">
        <f>PRODUCT(AV$4:AV98)</f>
        <v>1.9075917138768481</v>
      </c>
      <c r="AY98" s="75">
        <f t="shared" si="88"/>
        <v>95</v>
      </c>
      <c r="AZ98" s="76">
        <f t="shared" ca="1" si="94"/>
        <v>1.0068214933659623</v>
      </c>
      <c r="BA98" s="76">
        <f t="shared" ca="1" si="94"/>
        <v>1.0068214933659623</v>
      </c>
      <c r="BB98" s="76">
        <f t="shared" ca="1" si="94"/>
        <v>1.0068214933659623</v>
      </c>
      <c r="BC98" s="76">
        <f t="shared" ca="1" si="94"/>
        <v>1.0068214933659623</v>
      </c>
      <c r="BD98" s="76">
        <f t="shared" ca="1" si="94"/>
        <v>1.0068214933659623</v>
      </c>
      <c r="BE98" s="76">
        <f t="shared" ca="1" si="94"/>
        <v>1.0068214933659623</v>
      </c>
      <c r="BF98" s="76">
        <f t="shared" ca="1" si="94"/>
        <v>1.0068214933659623</v>
      </c>
      <c r="BG98" s="76">
        <f t="shared" ca="1" si="94"/>
        <v>1.0068214933659623</v>
      </c>
      <c r="BH98" s="76">
        <f t="shared" ca="1" si="94"/>
        <v>1.0068214933659623</v>
      </c>
      <c r="BI98" s="76">
        <f t="shared" ca="1" si="94"/>
        <v>1.0068214933659623</v>
      </c>
      <c r="BJ98" s="76">
        <f t="shared" ca="1" si="94"/>
        <v>1.0068214933659623</v>
      </c>
      <c r="BK98" s="76">
        <f t="shared" ca="1" si="94"/>
        <v>1.0068214933659623</v>
      </c>
      <c r="BL98" s="76">
        <f t="shared" ca="1" si="65"/>
        <v>8.5000000000000853E-2</v>
      </c>
      <c r="BM98" s="77">
        <f t="shared" ca="1" si="79"/>
        <v>2321.8017143627549</v>
      </c>
    </row>
    <row r="99" spans="5:65">
      <c r="E99">
        <f t="shared" si="93"/>
        <v>96</v>
      </c>
      <c r="F99" s="64">
        <f t="shared" si="66"/>
        <v>62.6</v>
      </c>
      <c r="G99" s="55">
        <f t="shared" si="53"/>
        <v>0</v>
      </c>
      <c r="H99" s="78">
        <f t="shared" si="89"/>
        <v>1</v>
      </c>
      <c r="I99" s="79">
        <f t="shared" si="67"/>
        <v>487592.96783996309</v>
      </c>
      <c r="J99" s="79">
        <f t="shared" si="54"/>
        <v>3326.1121954101636</v>
      </c>
      <c r="K99" s="80">
        <f t="shared" si="55"/>
        <v>-15</v>
      </c>
      <c r="L99" s="80">
        <f t="shared" si="68"/>
        <v>-406.32747319996929</v>
      </c>
      <c r="M99" s="80">
        <f t="shared" si="91"/>
        <v>0</v>
      </c>
      <c r="N99" s="80">
        <f t="shared" si="69"/>
        <v>-463.21331944796503</v>
      </c>
      <c r="O99" s="81">
        <f t="shared" si="56"/>
        <v>-2083.3333333333335</v>
      </c>
      <c r="P99" s="79">
        <f t="shared" si="57"/>
        <v>487951.20590939204</v>
      </c>
      <c r="Q99" s="35"/>
      <c r="R99">
        <f t="shared" ca="1" si="70"/>
        <v>221</v>
      </c>
      <c r="S99" s="78">
        <f t="shared" ca="1" si="71"/>
        <v>72.599999999999994</v>
      </c>
      <c r="T99" s="55">
        <f t="shared" ca="1" si="58"/>
        <v>4.6837945252553581E-3</v>
      </c>
      <c r="U99" s="78">
        <f t="shared" ca="1" si="81"/>
        <v>0.73130080138102493</v>
      </c>
      <c r="V99" s="79">
        <f t="shared" ca="1" si="72"/>
        <v>324787.63158578792</v>
      </c>
      <c r="W99" s="79">
        <f t="shared" ca="1" si="59"/>
        <v>2215.5366742090509</v>
      </c>
      <c r="X99" s="80">
        <f t="shared" ca="1" si="82"/>
        <v>-10.969512020715374</v>
      </c>
      <c r="Y99" s="80">
        <f t="shared" ca="1" si="83"/>
        <v>-270.65635965482329</v>
      </c>
      <c r="Z99" s="80">
        <f t="shared" ca="1" si="73"/>
        <v>0</v>
      </c>
      <c r="AA99" s="80">
        <f t="shared" ca="1" si="84"/>
        <v>-308.54825000649856</v>
      </c>
      <c r="AB99" s="81">
        <f t="shared" ca="1" si="60"/>
        <v>-1828.698203381269</v>
      </c>
      <c r="AC99" s="79">
        <f t="shared" ca="1" si="61"/>
        <v>324584.29593493365</v>
      </c>
      <c r="AD99" s="35"/>
      <c r="AE99" s="62">
        <f t="shared" ca="1" si="62"/>
        <v>-2500.6101455486769</v>
      </c>
      <c r="AF99" s="62">
        <f t="shared" ca="1" si="63"/>
        <v>443845.12545586232</v>
      </c>
      <c r="AG99" s="35"/>
      <c r="AH99" s="35"/>
      <c r="AK99" s="66"/>
      <c r="AL99" s="66"/>
      <c r="AM99" s="66"/>
      <c r="AN99" s="66"/>
      <c r="AR99" s="69">
        <f t="shared" si="77"/>
        <v>8</v>
      </c>
      <c r="AS99" s="70">
        <f t="shared" si="86"/>
        <v>96</v>
      </c>
      <c r="AT99" s="71">
        <f t="shared" si="87"/>
        <v>0.51834867470973012</v>
      </c>
      <c r="AU99" s="72">
        <f t="shared" si="64"/>
        <v>6.8214933659622723E-3</v>
      </c>
      <c r="AV99" s="73">
        <f t="shared" si="78"/>
        <v>1.0068214933659623</v>
      </c>
      <c r="AW99" s="74">
        <f>PRODUCT(AV$4:AV99)</f>
        <v>1.9206043380980236</v>
      </c>
      <c r="AY99" s="75">
        <f t="shared" si="88"/>
        <v>96</v>
      </c>
      <c r="AZ99" s="76">
        <f t="shared" ca="1" si="94"/>
        <v>1.0068214933659623</v>
      </c>
      <c r="BA99" s="76">
        <f t="shared" ca="1" si="94"/>
        <v>1.0068214933659623</v>
      </c>
      <c r="BB99" s="76">
        <f t="shared" ca="1" si="94"/>
        <v>1.0068214933659623</v>
      </c>
      <c r="BC99" s="76">
        <f t="shared" ca="1" si="94"/>
        <v>1.0068214933659623</v>
      </c>
      <c r="BD99" s="76">
        <f t="shared" ca="1" si="94"/>
        <v>1.0068214933659623</v>
      </c>
      <c r="BE99" s="76">
        <f t="shared" ca="1" si="94"/>
        <v>1.0068214933659623</v>
      </c>
      <c r="BF99" s="76">
        <f t="shared" ca="1" si="94"/>
        <v>1.0068214933659623</v>
      </c>
      <c r="BG99" s="76">
        <f t="shared" ca="1" si="94"/>
        <v>1.0068214933659623</v>
      </c>
      <c r="BH99" s="76">
        <f t="shared" ca="1" si="94"/>
        <v>1.0068214933659623</v>
      </c>
      <c r="BI99" s="76">
        <f t="shared" ca="1" si="94"/>
        <v>1.0068214933659623</v>
      </c>
      <c r="BJ99" s="76">
        <f t="shared" ca="1" si="94"/>
        <v>1.0068214933659623</v>
      </c>
      <c r="BK99" s="76">
        <f t="shared" ca="1" si="94"/>
        <v>1.0068214933659623</v>
      </c>
      <c r="BL99" s="76">
        <f t="shared" ca="1" si="65"/>
        <v>8.5000000000000853E-2</v>
      </c>
      <c r="BM99" s="77">
        <f t="shared" ca="1" si="79"/>
        <v>2519.1548600835908</v>
      </c>
    </row>
    <row r="100" spans="5:65">
      <c r="E100">
        <f t="shared" si="93"/>
        <v>97</v>
      </c>
      <c r="F100" s="64">
        <f t="shared" si="66"/>
        <v>62.68</v>
      </c>
      <c r="G100" s="55">
        <f t="shared" si="53"/>
        <v>0</v>
      </c>
      <c r="H100" s="78">
        <f t="shared" si="89"/>
        <v>1</v>
      </c>
      <c r="I100" s="79">
        <f t="shared" si="67"/>
        <v>487951.20590939204</v>
      </c>
      <c r="J100" s="79">
        <f t="shared" si="54"/>
        <v>3328.5559140242085</v>
      </c>
      <c r="K100" s="80">
        <f t="shared" si="55"/>
        <v>-15</v>
      </c>
      <c r="L100" s="80">
        <f t="shared" si="68"/>
        <v>-406.62600492449337</v>
      </c>
      <c r="M100" s="80">
        <f t="shared" si="91"/>
        <v>-3659.6340443204404</v>
      </c>
      <c r="N100" s="80">
        <f t="shared" si="69"/>
        <v>-463.55364561392253</v>
      </c>
      <c r="O100" s="81">
        <f t="shared" si="56"/>
        <v>-2083.3333333333335</v>
      </c>
      <c r="P100" s="79">
        <f t="shared" si="57"/>
        <v>484651.6147952241</v>
      </c>
      <c r="Q100" s="35"/>
      <c r="R100">
        <f t="shared" ca="1" si="70"/>
        <v>222</v>
      </c>
      <c r="S100" s="78">
        <f t="shared" ca="1" si="71"/>
        <v>72.680000000000007</v>
      </c>
      <c r="T100" s="55">
        <f t="shared" ca="1" si="58"/>
        <v>4.6837945252553581E-3</v>
      </c>
      <c r="U100" s="78">
        <f t="shared" ca="1" si="81"/>
        <v>0.72787553869120158</v>
      </c>
      <c r="V100" s="79">
        <f t="shared" ca="1" si="72"/>
        <v>323064.00978664972</v>
      </c>
      <c r="W100" s="79">
        <f t="shared" ca="1" si="59"/>
        <v>2203.7789995408016</v>
      </c>
      <c r="X100" s="80">
        <f t="shared" ca="1" si="82"/>
        <v>-10.918133080368024</v>
      </c>
      <c r="Y100" s="80">
        <f t="shared" ca="1" si="83"/>
        <v>-269.22000815554145</v>
      </c>
      <c r="Z100" s="80">
        <f t="shared" ca="1" si="73"/>
        <v>0</v>
      </c>
      <c r="AA100" s="80">
        <f t="shared" ca="1" si="84"/>
        <v>-306.91080929731726</v>
      </c>
      <c r="AB100" s="81">
        <f t="shared" ca="1" si="60"/>
        <v>-1820.1329567479272</v>
      </c>
      <c r="AC100" s="79">
        <f t="shared" ca="1" si="61"/>
        <v>322860.60687890934</v>
      </c>
      <c r="AD100" s="35"/>
      <c r="AE100" s="62">
        <f t="shared" ca="1" si="62"/>
        <v>-2500.6101455486769</v>
      </c>
      <c r="AF100" s="62">
        <f t="shared" ca="1" si="63"/>
        <v>443565.67808206251</v>
      </c>
      <c r="AG100" s="35"/>
      <c r="AH100" s="35"/>
      <c r="AK100" s="66"/>
      <c r="AL100" s="66"/>
      <c r="AM100" s="66"/>
      <c r="AN100" s="66"/>
      <c r="AR100" s="69">
        <f t="shared" si="77"/>
        <v>9</v>
      </c>
      <c r="AS100" s="70">
        <f t="shared" si="86"/>
        <v>97</v>
      </c>
      <c r="AT100" s="71">
        <f t="shared" si="87"/>
        <v>0.51481276266394238</v>
      </c>
      <c r="AU100" s="72">
        <f t="shared" si="64"/>
        <v>6.8214933659622723E-3</v>
      </c>
      <c r="AV100" s="73">
        <f t="shared" si="78"/>
        <v>1.0068214933659623</v>
      </c>
      <c r="AW100" s="74">
        <f>PRODUCT(AV$4:AV100)</f>
        <v>1.9337057278489975</v>
      </c>
      <c r="AY100" s="75">
        <f t="shared" si="88"/>
        <v>97</v>
      </c>
      <c r="AZ100" s="76">
        <f t="shared" ca="1" si="94"/>
        <v>1.0068214933659623</v>
      </c>
      <c r="BA100" s="76">
        <f t="shared" ca="1" si="94"/>
        <v>1.0068214933659623</v>
      </c>
      <c r="BB100" s="76">
        <f t="shared" ca="1" si="94"/>
        <v>1.0068214933659623</v>
      </c>
      <c r="BC100" s="76">
        <f t="shared" ca="1" si="94"/>
        <v>1.0068214933659623</v>
      </c>
      <c r="BD100" s="76">
        <f t="shared" ca="1" si="94"/>
        <v>1.0068214933659623</v>
      </c>
      <c r="BE100" s="76">
        <f t="shared" ca="1" si="94"/>
        <v>1.0068214933659623</v>
      </c>
      <c r="BF100" s="76">
        <f t="shared" ca="1" si="94"/>
        <v>1.0068214933659623</v>
      </c>
      <c r="BG100" s="76">
        <f t="shared" ca="1" si="94"/>
        <v>1.0068214933659623</v>
      </c>
      <c r="BH100" s="76">
        <f t="shared" ca="1" si="94"/>
        <v>1.0068214933659623</v>
      </c>
      <c r="BI100" s="76">
        <f t="shared" ca="1" si="94"/>
        <v>1.0068214933659623</v>
      </c>
      <c r="BJ100" s="76">
        <f t="shared" ca="1" si="94"/>
        <v>1.0068214933659623</v>
      </c>
      <c r="BK100" s="76">
        <f t="shared" ca="1" si="94"/>
        <v>1.0068214933659623</v>
      </c>
      <c r="BL100" s="76">
        <f t="shared" ref="BL100:BL131" ca="1" si="95">PRODUCT(AZ100:BK100)-1</f>
        <v>8.5000000000000853E-2</v>
      </c>
      <c r="BM100" s="77">
        <f t="shared" ca="1" si="79"/>
        <v>2733.2830231906983</v>
      </c>
    </row>
    <row r="101" spans="5:65">
      <c r="E101">
        <f t="shared" si="93"/>
        <v>98</v>
      </c>
      <c r="F101" s="64">
        <f t="shared" si="66"/>
        <v>62.76</v>
      </c>
      <c r="G101" s="55">
        <f t="shared" si="53"/>
        <v>0</v>
      </c>
      <c r="H101" s="78">
        <f t="shared" si="89"/>
        <v>1</v>
      </c>
      <c r="I101" s="79">
        <f t="shared" si="67"/>
        <v>484651.6147952241</v>
      </c>
      <c r="J101" s="79">
        <f t="shared" si="54"/>
        <v>3306.0477751285239</v>
      </c>
      <c r="K101" s="80">
        <f t="shared" si="55"/>
        <v>-15</v>
      </c>
      <c r="L101" s="80">
        <f t="shared" si="68"/>
        <v>-403.87634566268679</v>
      </c>
      <c r="M101" s="80">
        <f t="shared" si="91"/>
        <v>0</v>
      </c>
      <c r="N101" s="80">
        <f t="shared" si="69"/>
        <v>-460.41903405546299</v>
      </c>
      <c r="O101" s="81">
        <f t="shared" si="56"/>
        <v>-2083.3333333333335</v>
      </c>
      <c r="P101" s="79">
        <f t="shared" si="57"/>
        <v>484995.03385730117</v>
      </c>
      <c r="Q101" s="35"/>
      <c r="R101">
        <f t="shared" ca="1" si="70"/>
        <v>223</v>
      </c>
      <c r="S101" s="78">
        <f t="shared" ca="1" si="71"/>
        <v>72.760000000000005</v>
      </c>
      <c r="T101" s="55">
        <f t="shared" ca="1" si="58"/>
        <v>4.6837945252553581E-3</v>
      </c>
      <c r="U101" s="78">
        <f t="shared" ca="1" si="81"/>
        <v>0.72446631922801241</v>
      </c>
      <c r="V101" s="79">
        <f t="shared" ca="1" si="72"/>
        <v>321348.39413598931</v>
      </c>
      <c r="W101" s="79">
        <f t="shared" ca="1" si="59"/>
        <v>2192.0759387612807</v>
      </c>
      <c r="X101" s="80">
        <f t="shared" ca="1" si="82"/>
        <v>-10.866994788420186</v>
      </c>
      <c r="Y101" s="80">
        <f t="shared" ca="1" si="83"/>
        <v>-267.79032844665778</v>
      </c>
      <c r="Z101" s="80">
        <f t="shared" ca="1" si="73"/>
        <v>0</v>
      </c>
      <c r="AA101" s="80">
        <f t="shared" ca="1" si="84"/>
        <v>-305.28097442918988</v>
      </c>
      <c r="AB101" s="81">
        <f t="shared" ca="1" si="60"/>
        <v>-1811.6078279698743</v>
      </c>
      <c r="AC101" s="79">
        <f t="shared" ca="1" si="61"/>
        <v>321144.92394911643</v>
      </c>
      <c r="AD101" s="35"/>
      <c r="AE101" s="62">
        <f t="shared" ca="1" si="62"/>
        <v>-2500.6101455486769</v>
      </c>
      <c r="AF101" s="62">
        <f t="shared" ca="1" si="63"/>
        <v>443284.82280767284</v>
      </c>
      <c r="AG101" s="35"/>
      <c r="AH101" s="35"/>
      <c r="AK101" s="66"/>
      <c r="AL101" s="66"/>
      <c r="AM101" s="66"/>
      <c r="AN101" s="66"/>
      <c r="AR101" s="69">
        <f t="shared" si="77"/>
        <v>9</v>
      </c>
      <c r="AS101" s="70">
        <f t="shared" si="86"/>
        <v>98</v>
      </c>
      <c r="AT101" s="71">
        <f t="shared" si="87"/>
        <v>0.51130097081871761</v>
      </c>
      <c r="AU101" s="72">
        <f t="shared" si="64"/>
        <v>6.8214933659622723E-3</v>
      </c>
      <c r="AV101" s="73">
        <f t="shared" si="78"/>
        <v>1.0068214933659623</v>
      </c>
      <c r="AW101" s="74">
        <f>PRODUCT(AV$4:AV101)</f>
        <v>1.9468964886432427</v>
      </c>
      <c r="AY101" s="75">
        <f t="shared" si="88"/>
        <v>98</v>
      </c>
      <c r="AZ101" s="76">
        <f t="shared" ca="1" si="94"/>
        <v>1.0068214933659623</v>
      </c>
      <c r="BA101" s="76">
        <f t="shared" ca="1" si="94"/>
        <v>1.0068214933659623</v>
      </c>
      <c r="BB101" s="76">
        <f t="shared" ca="1" si="94"/>
        <v>1.0068214933659623</v>
      </c>
      <c r="BC101" s="76">
        <f t="shared" ca="1" si="94"/>
        <v>1.0068214933659623</v>
      </c>
      <c r="BD101" s="76">
        <f t="shared" ca="1" si="94"/>
        <v>1.0068214933659623</v>
      </c>
      <c r="BE101" s="76">
        <f t="shared" ca="1" si="94"/>
        <v>1.0068214933659623</v>
      </c>
      <c r="BF101" s="76">
        <f t="shared" ca="1" si="94"/>
        <v>1.0068214933659623</v>
      </c>
      <c r="BG101" s="76">
        <f t="shared" ca="1" si="94"/>
        <v>1.0068214933659623</v>
      </c>
      <c r="BH101" s="76">
        <f t="shared" ca="1" si="94"/>
        <v>1.0068214933659623</v>
      </c>
      <c r="BI101" s="76">
        <f t="shared" ca="1" si="94"/>
        <v>1.0068214933659623</v>
      </c>
      <c r="BJ101" s="76">
        <f t="shared" ca="1" si="94"/>
        <v>1.0068214933659623</v>
      </c>
      <c r="BK101" s="76">
        <f t="shared" ca="1" si="94"/>
        <v>1.0068214933659623</v>
      </c>
      <c r="BL101" s="76">
        <f t="shared" ca="1" si="95"/>
        <v>8.5000000000000853E-2</v>
      </c>
      <c r="BM101" s="77">
        <f t="shared" ref="BM101:BM132" ca="1" si="96">PRODUCT(AZ101:BK101)*BM100</f>
        <v>2965.6120801619099</v>
      </c>
    </row>
    <row r="102" spans="5:65">
      <c r="E102">
        <f t="shared" si="93"/>
        <v>99</v>
      </c>
      <c r="F102" s="64">
        <f t="shared" si="66"/>
        <v>62.84</v>
      </c>
      <c r="G102" s="55">
        <f t="shared" si="53"/>
        <v>0</v>
      </c>
      <c r="H102" s="78">
        <f t="shared" si="89"/>
        <v>1</v>
      </c>
      <c r="I102" s="79">
        <f t="shared" si="67"/>
        <v>484995.03385730117</v>
      </c>
      <c r="J102" s="79">
        <f t="shared" si="54"/>
        <v>3308.3904059822275</v>
      </c>
      <c r="K102" s="80">
        <f t="shared" si="55"/>
        <v>-15</v>
      </c>
      <c r="L102" s="80">
        <f t="shared" si="68"/>
        <v>-404.16252821441765</v>
      </c>
      <c r="M102" s="80">
        <f t="shared" si="91"/>
        <v>0</v>
      </c>
      <c r="N102" s="80">
        <f t="shared" si="69"/>
        <v>-460.74528216443622</v>
      </c>
      <c r="O102" s="81">
        <f t="shared" si="56"/>
        <v>-2083.3333333333335</v>
      </c>
      <c r="P102" s="79">
        <f t="shared" si="57"/>
        <v>485340.18311957124</v>
      </c>
      <c r="Q102" s="35"/>
      <c r="R102">
        <f t="shared" ca="1" si="70"/>
        <v>224</v>
      </c>
      <c r="S102" s="78">
        <f t="shared" ca="1" si="71"/>
        <v>72.84</v>
      </c>
      <c r="T102" s="55">
        <f t="shared" ca="1" si="58"/>
        <v>4.6837945252553581E-3</v>
      </c>
      <c r="U102" s="78">
        <f t="shared" ca="1" si="81"/>
        <v>0.7210730678482804</v>
      </c>
      <c r="V102" s="79">
        <f t="shared" ca="1" si="72"/>
        <v>319640.74711251003</v>
      </c>
      <c r="W102" s="79">
        <f t="shared" ca="1" si="59"/>
        <v>2180.4272359192114</v>
      </c>
      <c r="X102" s="80">
        <f t="shared" ca="1" si="82"/>
        <v>-10.816096017724206</v>
      </c>
      <c r="Y102" s="80">
        <f t="shared" ca="1" si="83"/>
        <v>-266.36728926042503</v>
      </c>
      <c r="Z102" s="80">
        <f t="shared" ca="1" si="73"/>
        <v>0</v>
      </c>
      <c r="AA102" s="80">
        <f t="shared" ca="1" si="84"/>
        <v>-303.65870975688455</v>
      </c>
      <c r="AB102" s="81">
        <f t="shared" ca="1" si="60"/>
        <v>-1803.1226291433195</v>
      </c>
      <c r="AC102" s="79">
        <f t="shared" ca="1" si="61"/>
        <v>319437.20962425089</v>
      </c>
      <c r="AD102" s="35"/>
      <c r="AE102" s="62">
        <f t="shared" ca="1" si="62"/>
        <v>-2500.6101455486769</v>
      </c>
      <c r="AF102" s="62">
        <f t="shared" ca="1" si="63"/>
        <v>443002.55253946478</v>
      </c>
      <c r="AG102" s="35"/>
      <c r="AH102" s="35"/>
      <c r="AK102" s="66"/>
      <c r="AL102" s="66"/>
      <c r="AM102" s="66"/>
      <c r="AN102" s="66"/>
      <c r="AR102" s="69">
        <f t="shared" si="77"/>
        <v>9</v>
      </c>
      <c r="AS102" s="70">
        <f t="shared" si="86"/>
        <v>99</v>
      </c>
      <c r="AT102" s="71">
        <f t="shared" si="87"/>
        <v>0.50781313463826772</v>
      </c>
      <c r="AU102" s="72">
        <f t="shared" si="64"/>
        <v>6.8214933659622723E-3</v>
      </c>
      <c r="AV102" s="73">
        <f t="shared" si="78"/>
        <v>1.0068214933659623</v>
      </c>
      <c r="AW102" s="74">
        <f>PRODUCT(AV$4:AV102)</f>
        <v>1.9601772301247378</v>
      </c>
      <c r="AY102" s="75">
        <f t="shared" si="88"/>
        <v>99</v>
      </c>
      <c r="AZ102" s="76">
        <f t="shared" ca="1" si="94"/>
        <v>1.0068214933659623</v>
      </c>
      <c r="BA102" s="76">
        <f t="shared" ca="1" si="94"/>
        <v>1.0068214933659623</v>
      </c>
      <c r="BB102" s="76">
        <f t="shared" ca="1" si="94"/>
        <v>1.0068214933659623</v>
      </c>
      <c r="BC102" s="76">
        <f t="shared" ca="1" si="94"/>
        <v>1.0068214933659623</v>
      </c>
      <c r="BD102" s="76">
        <f t="shared" ca="1" si="94"/>
        <v>1.0068214933659623</v>
      </c>
      <c r="BE102" s="76">
        <f t="shared" ca="1" si="94"/>
        <v>1.0068214933659623</v>
      </c>
      <c r="BF102" s="76">
        <f t="shared" ca="1" si="94"/>
        <v>1.0068214933659623</v>
      </c>
      <c r="BG102" s="76">
        <f t="shared" ca="1" si="94"/>
        <v>1.0068214933659623</v>
      </c>
      <c r="BH102" s="76">
        <f t="shared" ca="1" si="94"/>
        <v>1.0068214933659623</v>
      </c>
      <c r="BI102" s="76">
        <f t="shared" ca="1" si="94"/>
        <v>1.0068214933659623</v>
      </c>
      <c r="BJ102" s="76">
        <f t="shared" ca="1" si="94"/>
        <v>1.0068214933659623</v>
      </c>
      <c r="BK102" s="76">
        <f t="shared" ca="1" si="94"/>
        <v>1.0068214933659623</v>
      </c>
      <c r="BL102" s="76">
        <f t="shared" ca="1" si="95"/>
        <v>8.5000000000000853E-2</v>
      </c>
      <c r="BM102" s="77">
        <f t="shared" ca="1" si="96"/>
        <v>3217.6891069756748</v>
      </c>
    </row>
    <row r="103" spans="5:65">
      <c r="E103">
        <f t="shared" si="93"/>
        <v>100</v>
      </c>
      <c r="F103" s="64">
        <f t="shared" si="66"/>
        <v>62.92</v>
      </c>
      <c r="G103" s="55">
        <f t="shared" si="53"/>
        <v>0</v>
      </c>
      <c r="H103" s="78">
        <f t="shared" si="89"/>
        <v>1</v>
      </c>
      <c r="I103" s="79">
        <f t="shared" si="67"/>
        <v>485340.18311957124</v>
      </c>
      <c r="J103" s="79">
        <f t="shared" si="54"/>
        <v>3310.7448393850696</v>
      </c>
      <c r="K103" s="80">
        <f t="shared" si="55"/>
        <v>-15</v>
      </c>
      <c r="L103" s="80">
        <f t="shared" si="68"/>
        <v>-404.45015259964271</v>
      </c>
      <c r="M103" s="80">
        <f t="shared" si="91"/>
        <v>0</v>
      </c>
      <c r="N103" s="80">
        <f t="shared" si="69"/>
        <v>-461.07317396359275</v>
      </c>
      <c r="O103" s="81">
        <f t="shared" si="56"/>
        <v>-2083.3333333333335</v>
      </c>
      <c r="P103" s="79">
        <f t="shared" si="57"/>
        <v>485687.07129905978</v>
      </c>
      <c r="Q103" s="35"/>
      <c r="R103">
        <f t="shared" ca="1" si="70"/>
        <v>225</v>
      </c>
      <c r="S103" s="78">
        <f t="shared" ca="1" si="71"/>
        <v>72.92</v>
      </c>
      <c r="T103" s="55">
        <f t="shared" ca="1" si="58"/>
        <v>4.6837945252553581E-3</v>
      </c>
      <c r="U103" s="78">
        <f t="shared" ca="1" si="81"/>
        <v>0.71769570976078356</v>
      </c>
      <c r="V103" s="79">
        <f t="shared" ca="1" si="72"/>
        <v>317941.03137064999</v>
      </c>
      <c r="W103" s="79">
        <f t="shared" ca="1" si="59"/>
        <v>2168.8326362620915</v>
      </c>
      <c r="X103" s="80">
        <f t="shared" ca="1" si="82"/>
        <v>-10.765435646411753</v>
      </c>
      <c r="Y103" s="80">
        <f t="shared" ca="1" si="83"/>
        <v>-264.95085947554168</v>
      </c>
      <c r="Z103" s="80">
        <f t="shared" ca="1" si="73"/>
        <v>0</v>
      </c>
      <c r="AA103" s="80">
        <f t="shared" ca="1" si="84"/>
        <v>-302.04397980211758</v>
      </c>
      <c r="AB103" s="81">
        <f t="shared" ca="1" si="60"/>
        <v>-1794.6771732445741</v>
      </c>
      <c r="AC103" s="79">
        <f t="shared" ca="1" si="61"/>
        <v>317737.42655874346</v>
      </c>
      <c r="AD103" s="35"/>
      <c r="AE103" s="62">
        <f t="shared" ca="1" si="62"/>
        <v>-2500.6101455486769</v>
      </c>
      <c r="AF103" s="62">
        <f t="shared" ca="1" si="63"/>
        <v>442718.86014847306</v>
      </c>
      <c r="AG103" s="35"/>
      <c r="AH103" s="35"/>
      <c r="AK103" s="66"/>
      <c r="AL103" s="66"/>
      <c r="AM103" s="66"/>
      <c r="AN103" s="66"/>
      <c r="AR103" s="69">
        <f t="shared" si="77"/>
        <v>9</v>
      </c>
      <c r="AS103" s="70">
        <f t="shared" si="86"/>
        <v>100</v>
      </c>
      <c r="AT103" s="71">
        <f t="shared" si="87"/>
        <v>0.50434909070918421</v>
      </c>
      <c r="AU103" s="72">
        <f t="shared" si="64"/>
        <v>6.8214933659622723E-3</v>
      </c>
      <c r="AV103" s="73">
        <f t="shared" si="78"/>
        <v>1.0068214933659623</v>
      </c>
      <c r="AW103" s="74">
        <f>PRODUCT(AV$4:AV103)</f>
        <v>1.973548566096144</v>
      </c>
      <c r="AY103" s="75">
        <f t="shared" si="88"/>
        <v>100</v>
      </c>
      <c r="AZ103" s="76">
        <f t="shared" ca="1" si="94"/>
        <v>1.0068214933659623</v>
      </c>
      <c r="BA103" s="76">
        <f t="shared" ca="1" si="94"/>
        <v>1.0068214933659623</v>
      </c>
      <c r="BB103" s="76">
        <f t="shared" ca="1" si="94"/>
        <v>1.0068214933659623</v>
      </c>
      <c r="BC103" s="76">
        <f t="shared" ca="1" si="94"/>
        <v>1.0068214933659623</v>
      </c>
      <c r="BD103" s="76">
        <f t="shared" ca="1" si="94"/>
        <v>1.0068214933659623</v>
      </c>
      <c r="BE103" s="76">
        <f t="shared" ca="1" si="94"/>
        <v>1.0068214933659623</v>
      </c>
      <c r="BF103" s="76">
        <f t="shared" ca="1" si="94"/>
        <v>1.0068214933659623</v>
      </c>
      <c r="BG103" s="76">
        <f t="shared" ca="1" si="94"/>
        <v>1.0068214933659623</v>
      </c>
      <c r="BH103" s="76">
        <f t="shared" ca="1" si="94"/>
        <v>1.0068214933659623</v>
      </c>
      <c r="BI103" s="76">
        <f t="shared" ca="1" si="94"/>
        <v>1.0068214933659623</v>
      </c>
      <c r="BJ103" s="76">
        <f t="shared" ca="1" si="94"/>
        <v>1.0068214933659623</v>
      </c>
      <c r="BK103" s="76">
        <f t="shared" ca="1" si="94"/>
        <v>1.0068214933659623</v>
      </c>
      <c r="BL103" s="76">
        <f t="shared" ca="1" si="95"/>
        <v>8.5000000000000853E-2</v>
      </c>
      <c r="BM103" s="77">
        <f t="shared" ca="1" si="96"/>
        <v>3491.19268106861</v>
      </c>
    </row>
    <row r="104" spans="5:65">
      <c r="E104">
        <f t="shared" si="93"/>
        <v>101</v>
      </c>
      <c r="F104" s="64">
        <f t="shared" si="66"/>
        <v>63</v>
      </c>
      <c r="G104" s="55">
        <f t="shared" si="53"/>
        <v>0</v>
      </c>
      <c r="H104" s="78">
        <f t="shared" si="89"/>
        <v>1</v>
      </c>
      <c r="I104" s="79">
        <f t="shared" si="67"/>
        <v>485687.07129905978</v>
      </c>
      <c r="J104" s="79">
        <f t="shared" si="54"/>
        <v>3313.1111348001814</v>
      </c>
      <c r="K104" s="80">
        <f t="shared" si="55"/>
        <v>-15</v>
      </c>
      <c r="L104" s="80">
        <f t="shared" si="68"/>
        <v>-404.73922608254986</v>
      </c>
      <c r="M104" s="80">
        <f t="shared" si="91"/>
        <v>0</v>
      </c>
      <c r="N104" s="80">
        <f t="shared" si="69"/>
        <v>-461.40271773410683</v>
      </c>
      <c r="O104" s="81">
        <f t="shared" si="56"/>
        <v>-2083.3333333333335</v>
      </c>
      <c r="P104" s="79">
        <f t="shared" si="57"/>
        <v>486035.70715670998</v>
      </c>
      <c r="Q104" s="35"/>
      <c r="R104">
        <f t="shared" ca="1" si="70"/>
        <v>226</v>
      </c>
      <c r="S104" s="78">
        <f t="shared" ca="1" si="71"/>
        <v>73</v>
      </c>
      <c r="T104" s="55">
        <f t="shared" ca="1" si="58"/>
        <v>4.6837945252553581E-3</v>
      </c>
      <c r="U104" s="78">
        <f t="shared" ca="1" si="81"/>
        <v>0.71433417052460679</v>
      </c>
      <c r="V104" s="79">
        <f t="shared" ca="1" si="72"/>
        <v>316249.20973975887</v>
      </c>
      <c r="W104" s="79">
        <f t="shared" ca="1" si="59"/>
        <v>2157.2918862305764</v>
      </c>
      <c r="X104" s="80">
        <f t="shared" ca="1" si="82"/>
        <v>-10.715012557869102</v>
      </c>
      <c r="Y104" s="80">
        <f t="shared" ca="1" si="83"/>
        <v>-263.54100811646572</v>
      </c>
      <c r="Z104" s="80">
        <f t="shared" ca="1" si="73"/>
        <v>0</v>
      </c>
      <c r="AA104" s="80">
        <f t="shared" ca="1" si="84"/>
        <v>-300.43674925277099</v>
      </c>
      <c r="AB104" s="81">
        <f t="shared" ca="1" si="60"/>
        <v>-1786.2712741259304</v>
      </c>
      <c r="AC104" s="79">
        <f t="shared" ca="1" si="61"/>
        <v>316045.53758193646</v>
      </c>
      <c r="AD104" s="35"/>
      <c r="AE104" s="62">
        <f t="shared" ca="1" si="62"/>
        <v>-2500.6101455486769</v>
      </c>
      <c r="AF104" s="62">
        <f t="shared" ca="1" si="63"/>
        <v>442433.73846981546</v>
      </c>
      <c r="AG104" s="35"/>
      <c r="AH104" s="35"/>
      <c r="AK104" s="66"/>
      <c r="AL104" s="66"/>
      <c r="AM104" s="66"/>
      <c r="AN104" s="66"/>
      <c r="AR104" s="69">
        <f t="shared" si="77"/>
        <v>9</v>
      </c>
      <c r="AS104" s="70">
        <f t="shared" si="86"/>
        <v>101</v>
      </c>
      <c r="AT104" s="71">
        <f t="shared" si="87"/>
        <v>0.50090867673278239</v>
      </c>
      <c r="AU104" s="72">
        <f t="shared" si="64"/>
        <v>6.8214933659622723E-3</v>
      </c>
      <c r="AV104" s="73">
        <f t="shared" si="78"/>
        <v>1.0068214933659623</v>
      </c>
      <c r="AW104" s="74">
        <f>PRODUCT(AV$4:AV104)</f>
        <v>1.9870111145471732</v>
      </c>
      <c r="AY104" s="75">
        <f t="shared" si="88"/>
        <v>101</v>
      </c>
      <c r="AZ104" s="76">
        <f t="shared" ca="1" si="94"/>
        <v>1.0068214933659623</v>
      </c>
      <c r="BA104" s="76">
        <f t="shared" ca="1" si="94"/>
        <v>1.0068214933659623</v>
      </c>
      <c r="BB104" s="76">
        <f t="shared" ca="1" si="94"/>
        <v>1.0068214933659623</v>
      </c>
      <c r="BC104" s="76">
        <f t="shared" ca="1" si="94"/>
        <v>1.0068214933659623</v>
      </c>
      <c r="BD104" s="76">
        <f t="shared" ca="1" si="94"/>
        <v>1.0068214933659623</v>
      </c>
      <c r="BE104" s="76">
        <f t="shared" ca="1" si="94"/>
        <v>1.0068214933659623</v>
      </c>
      <c r="BF104" s="76">
        <f t="shared" ca="1" si="94"/>
        <v>1.0068214933659623</v>
      </c>
      <c r="BG104" s="76">
        <f t="shared" ca="1" si="94"/>
        <v>1.0068214933659623</v>
      </c>
      <c r="BH104" s="76">
        <f t="shared" ca="1" si="94"/>
        <v>1.0068214933659623</v>
      </c>
      <c r="BI104" s="76">
        <f t="shared" ca="1" si="94"/>
        <v>1.0068214933659623</v>
      </c>
      <c r="BJ104" s="76">
        <f t="shared" ca="1" si="94"/>
        <v>1.0068214933659623</v>
      </c>
      <c r="BK104" s="76">
        <f t="shared" ca="1" si="94"/>
        <v>1.0068214933659623</v>
      </c>
      <c r="BL104" s="76">
        <f t="shared" ca="1" si="95"/>
        <v>8.5000000000000853E-2</v>
      </c>
      <c r="BM104" s="77">
        <f t="shared" ca="1" si="96"/>
        <v>3787.9440589594446</v>
      </c>
    </row>
    <row r="105" spans="5:65">
      <c r="E105">
        <f t="shared" si="93"/>
        <v>102</v>
      </c>
      <c r="F105" s="64">
        <f t="shared" si="66"/>
        <v>63.08</v>
      </c>
      <c r="G105" s="55">
        <f t="shared" si="53"/>
        <v>0</v>
      </c>
      <c r="H105" s="78">
        <f t="shared" si="89"/>
        <v>1</v>
      </c>
      <c r="I105" s="79">
        <f t="shared" si="67"/>
        <v>486035.70715670998</v>
      </c>
      <c r="J105" s="79">
        <f t="shared" si="54"/>
        <v>3315.4893519902789</v>
      </c>
      <c r="K105" s="80">
        <f t="shared" si="55"/>
        <v>-15</v>
      </c>
      <c r="L105" s="80">
        <f t="shared" si="68"/>
        <v>-405.02975596392503</v>
      </c>
      <c r="M105" s="80">
        <f t="shared" si="91"/>
        <v>0</v>
      </c>
      <c r="N105" s="80">
        <f t="shared" si="69"/>
        <v>-461.73392179887452</v>
      </c>
      <c r="O105" s="81">
        <f t="shared" si="56"/>
        <v>-2083.3333333333335</v>
      </c>
      <c r="P105" s="79">
        <f t="shared" si="57"/>
        <v>486386.09949760413</v>
      </c>
      <c r="Q105" s="35"/>
      <c r="R105">
        <f t="shared" ca="1" si="70"/>
        <v>227</v>
      </c>
      <c r="S105" s="78">
        <f t="shared" ca="1" si="71"/>
        <v>73.08</v>
      </c>
      <c r="T105" s="55">
        <f t="shared" ca="1" si="58"/>
        <v>4.6837945252553581E-3</v>
      </c>
      <c r="U105" s="78">
        <f t="shared" ca="1" si="81"/>
        <v>0.71098837604750076</v>
      </c>
      <c r="V105" s="79">
        <f t="shared" ca="1" si="72"/>
        <v>314565.24522327882</v>
      </c>
      <c r="W105" s="79">
        <f t="shared" ca="1" si="59"/>
        <v>2145.8047334528919</v>
      </c>
      <c r="X105" s="80">
        <f t="shared" ca="1" si="82"/>
        <v>-10.664825640712511</v>
      </c>
      <c r="Y105" s="80">
        <f t="shared" ca="1" si="83"/>
        <v>-262.13770435273238</v>
      </c>
      <c r="Z105" s="80">
        <f t="shared" ca="1" si="73"/>
        <v>0</v>
      </c>
      <c r="AA105" s="80">
        <f t="shared" ca="1" si="84"/>
        <v>-298.83698296211492</v>
      </c>
      <c r="AB105" s="81">
        <f t="shared" ca="1" si="60"/>
        <v>-1777.9047465115582</v>
      </c>
      <c r="AC105" s="79">
        <f t="shared" ca="1" si="61"/>
        <v>314361.50569726463</v>
      </c>
      <c r="AD105" s="35"/>
      <c r="AE105" s="62">
        <f t="shared" ca="1" si="62"/>
        <v>-2500.6101455486769</v>
      </c>
      <c r="AF105" s="62">
        <f t="shared" ca="1" si="63"/>
        <v>442147.18030251213</v>
      </c>
      <c r="AG105" s="35"/>
      <c r="AH105" s="35"/>
      <c r="AK105" s="66"/>
      <c r="AL105" s="66"/>
      <c r="AM105" s="66"/>
      <c r="AN105" s="66"/>
      <c r="AR105" s="69">
        <f t="shared" si="77"/>
        <v>9</v>
      </c>
      <c r="AS105" s="70">
        <f t="shared" si="86"/>
        <v>102</v>
      </c>
      <c r="AT105" s="71">
        <f t="shared" si="87"/>
        <v>0.49749173151749676</v>
      </c>
      <c r="AU105" s="72">
        <f t="shared" si="64"/>
        <v>6.8214933659622723E-3</v>
      </c>
      <c r="AV105" s="73">
        <f t="shared" si="78"/>
        <v>1.0068214933659623</v>
      </c>
      <c r="AW105" s="74">
        <f>PRODUCT(AV$4:AV105)</f>
        <v>2.0005654976831502</v>
      </c>
      <c r="AY105" s="75">
        <f t="shared" si="88"/>
        <v>102</v>
      </c>
      <c r="AZ105" s="76">
        <f t="shared" ref="AZ105:BK114" ca="1" si="97">OFFSET($AV$3,($AY105*12-12)+AZ$3,0)</f>
        <v>1.0068214933659623</v>
      </c>
      <c r="BA105" s="76">
        <f t="shared" ca="1" si="97"/>
        <v>1.0068214933659623</v>
      </c>
      <c r="BB105" s="76">
        <f t="shared" ca="1" si="97"/>
        <v>1.0068214933659623</v>
      </c>
      <c r="BC105" s="76">
        <f t="shared" ca="1" si="97"/>
        <v>1.0068214933659623</v>
      </c>
      <c r="BD105" s="76">
        <f t="shared" ca="1" si="97"/>
        <v>1.0068214933659623</v>
      </c>
      <c r="BE105" s="76">
        <f t="shared" ca="1" si="97"/>
        <v>1.0068214933659623</v>
      </c>
      <c r="BF105" s="76">
        <f t="shared" ca="1" si="97"/>
        <v>1.0068214933659623</v>
      </c>
      <c r="BG105" s="76">
        <f t="shared" ca="1" si="97"/>
        <v>1.0068214933659623</v>
      </c>
      <c r="BH105" s="76">
        <f t="shared" ca="1" si="97"/>
        <v>1.0068214933659623</v>
      </c>
      <c r="BI105" s="76">
        <f t="shared" ca="1" si="97"/>
        <v>1.0068214933659623</v>
      </c>
      <c r="BJ105" s="76">
        <f t="shared" ca="1" si="97"/>
        <v>1.0068214933659623</v>
      </c>
      <c r="BK105" s="76">
        <f t="shared" ca="1" si="97"/>
        <v>1.0068214933659623</v>
      </c>
      <c r="BL105" s="76">
        <f t="shared" ca="1" si="95"/>
        <v>8.5000000000000853E-2</v>
      </c>
      <c r="BM105" s="77">
        <f t="shared" ca="1" si="96"/>
        <v>4109.9193039710008</v>
      </c>
    </row>
    <row r="106" spans="5:65">
      <c r="E106">
        <f t="shared" si="93"/>
        <v>103</v>
      </c>
      <c r="F106" s="64">
        <f t="shared" si="66"/>
        <v>63.16</v>
      </c>
      <c r="G106" s="55">
        <f t="shared" si="53"/>
        <v>0</v>
      </c>
      <c r="H106" s="78">
        <f t="shared" si="89"/>
        <v>1</v>
      </c>
      <c r="I106" s="79">
        <f t="shared" si="67"/>
        <v>486386.09949760413</v>
      </c>
      <c r="J106" s="79">
        <f t="shared" si="54"/>
        <v>3317.8795510191721</v>
      </c>
      <c r="K106" s="80">
        <f t="shared" si="55"/>
        <v>-15</v>
      </c>
      <c r="L106" s="80">
        <f t="shared" si="68"/>
        <v>-405.3217495813368</v>
      </c>
      <c r="M106" s="80">
        <f t="shared" si="91"/>
        <v>0</v>
      </c>
      <c r="N106" s="80">
        <f t="shared" si="69"/>
        <v>-462.06679452272402</v>
      </c>
      <c r="O106" s="81">
        <f t="shared" si="56"/>
        <v>-2083.3333333333335</v>
      </c>
      <c r="P106" s="79">
        <f t="shared" si="57"/>
        <v>486738.25717118592</v>
      </c>
      <c r="Q106" s="35"/>
      <c r="R106">
        <f t="shared" ca="1" si="70"/>
        <v>228</v>
      </c>
      <c r="S106" s="78">
        <f t="shared" ca="1" si="71"/>
        <v>73.16</v>
      </c>
      <c r="T106" s="55">
        <f t="shared" ca="1" si="58"/>
        <v>4.6837945252553581E-3</v>
      </c>
      <c r="U106" s="78">
        <f t="shared" ca="1" si="81"/>
        <v>0.7076582525842493</v>
      </c>
      <c r="V106" s="79">
        <f t="shared" ca="1" si="72"/>
        <v>312889.10099792876</v>
      </c>
      <c r="W106" s="79">
        <f t="shared" ca="1" si="59"/>
        <v>2134.3709267392705</v>
      </c>
      <c r="X106" s="80">
        <f t="shared" ca="1" si="82"/>
        <v>-10.61487378876374</v>
      </c>
      <c r="Y106" s="80">
        <f t="shared" ca="1" si="83"/>
        <v>-260.74091749827397</v>
      </c>
      <c r="Z106" s="80">
        <f t="shared" ca="1" si="73"/>
        <v>0</v>
      </c>
      <c r="AA106" s="80">
        <f t="shared" ca="1" si="84"/>
        <v>-297.24464594803237</v>
      </c>
      <c r="AB106" s="81">
        <f t="shared" ca="1" si="60"/>
        <v>-1769.577405993422</v>
      </c>
      <c r="AC106" s="79">
        <f t="shared" ca="1" si="61"/>
        <v>312685.29408143956</v>
      </c>
      <c r="AD106" s="35"/>
      <c r="AE106" s="62">
        <f t="shared" ca="1" si="62"/>
        <v>-2500.6101455486769</v>
      </c>
      <c r="AF106" s="62">
        <f t="shared" ca="1" si="63"/>
        <v>441859.17840930319</v>
      </c>
      <c r="AG106" s="35"/>
      <c r="AH106" s="35"/>
      <c r="AK106" s="66"/>
      <c r="AL106" s="66"/>
      <c r="AM106" s="66"/>
      <c r="AN106" s="66"/>
      <c r="AR106" s="69">
        <f t="shared" si="77"/>
        <v>9</v>
      </c>
      <c r="AS106" s="70">
        <f t="shared" si="86"/>
        <v>103</v>
      </c>
      <c r="AT106" s="71">
        <f t="shared" si="87"/>
        <v>0.49409809497132906</v>
      </c>
      <c r="AU106" s="72">
        <f t="shared" si="64"/>
        <v>6.8214933659622723E-3</v>
      </c>
      <c r="AV106" s="73">
        <f t="shared" si="78"/>
        <v>1.0068214933659623</v>
      </c>
      <c r="AW106" s="74">
        <f>PRODUCT(AV$4:AV106)</f>
        <v>2.014212341953769</v>
      </c>
      <c r="AY106" s="75">
        <f t="shared" si="88"/>
        <v>103</v>
      </c>
      <c r="AZ106" s="76">
        <f t="shared" ca="1" si="97"/>
        <v>1.0068214933659623</v>
      </c>
      <c r="BA106" s="76">
        <f t="shared" ca="1" si="97"/>
        <v>1.0068214933659623</v>
      </c>
      <c r="BB106" s="76">
        <f t="shared" ca="1" si="97"/>
        <v>1.0068214933659623</v>
      </c>
      <c r="BC106" s="76">
        <f t="shared" ca="1" si="97"/>
        <v>1.0068214933659623</v>
      </c>
      <c r="BD106" s="76">
        <f t="shared" ca="1" si="97"/>
        <v>1.0068214933659623</v>
      </c>
      <c r="BE106" s="76">
        <f t="shared" ca="1" si="97"/>
        <v>1.0068214933659623</v>
      </c>
      <c r="BF106" s="76">
        <f t="shared" ca="1" si="97"/>
        <v>1.0068214933659623</v>
      </c>
      <c r="BG106" s="76">
        <f t="shared" ca="1" si="97"/>
        <v>1.0068214933659623</v>
      </c>
      <c r="BH106" s="76">
        <f t="shared" ca="1" si="97"/>
        <v>1.0068214933659623</v>
      </c>
      <c r="BI106" s="76">
        <f t="shared" ca="1" si="97"/>
        <v>1.0068214933659623</v>
      </c>
      <c r="BJ106" s="76">
        <f t="shared" ca="1" si="97"/>
        <v>1.0068214933659623</v>
      </c>
      <c r="BK106" s="76">
        <f t="shared" ca="1" si="97"/>
        <v>1.0068214933659623</v>
      </c>
      <c r="BL106" s="76">
        <f t="shared" ca="1" si="95"/>
        <v>8.5000000000000853E-2</v>
      </c>
      <c r="BM106" s="77">
        <f t="shared" ca="1" si="96"/>
        <v>4459.2624448085389</v>
      </c>
    </row>
    <row r="107" spans="5:65">
      <c r="E107">
        <f t="shared" si="93"/>
        <v>104</v>
      </c>
      <c r="F107" s="64">
        <f t="shared" si="66"/>
        <v>63.24</v>
      </c>
      <c r="G107" s="55">
        <f t="shared" si="53"/>
        <v>0</v>
      </c>
      <c r="H107" s="78">
        <f t="shared" si="89"/>
        <v>1</v>
      </c>
      <c r="I107" s="79">
        <f t="shared" si="67"/>
        <v>486738.25717118592</v>
      </c>
      <c r="J107" s="79">
        <f t="shared" si="54"/>
        <v>3320.2817922532831</v>
      </c>
      <c r="K107" s="80">
        <f t="shared" si="55"/>
        <v>-15</v>
      </c>
      <c r="L107" s="80">
        <f t="shared" si="68"/>
        <v>-405.61521430932163</v>
      </c>
      <c r="M107" s="80">
        <f t="shared" si="91"/>
        <v>0</v>
      </c>
      <c r="N107" s="80">
        <f t="shared" si="69"/>
        <v>-462.40134431262669</v>
      </c>
      <c r="O107" s="81">
        <f t="shared" si="56"/>
        <v>-2083.3333333333335</v>
      </c>
      <c r="P107" s="79">
        <f t="shared" si="57"/>
        <v>487092.18907148391</v>
      </c>
      <c r="Q107" s="35"/>
      <c r="R107">
        <f t="shared" ca="1" si="70"/>
        <v>229</v>
      </c>
      <c r="S107" s="78">
        <f t="shared" ca="1" si="71"/>
        <v>73.239999999999995</v>
      </c>
      <c r="T107" s="55">
        <f t="shared" ca="1" si="58"/>
        <v>4.6837945252553581E-3</v>
      </c>
      <c r="U107" s="78">
        <f t="shared" ca="1" si="81"/>
        <v>0.70434372673504342</v>
      </c>
      <c r="V107" s="79">
        <f t="shared" ca="1" si="72"/>
        <v>311220.74041289306</v>
      </c>
      <c r="W107" s="79">
        <f t="shared" ca="1" si="59"/>
        <v>2122.9902160764163</v>
      </c>
      <c r="X107" s="80">
        <f t="shared" ca="1" si="82"/>
        <v>-10.565155901025651</v>
      </c>
      <c r="Y107" s="80">
        <f t="shared" ca="1" si="83"/>
        <v>-259.35061701074426</v>
      </c>
      <c r="Z107" s="80">
        <f t="shared" ca="1" si="73"/>
        <v>-2334.155553096698</v>
      </c>
      <c r="AA107" s="80">
        <f t="shared" ca="1" si="84"/>
        <v>-295.65970339224845</v>
      </c>
      <c r="AB107" s="81">
        <f t="shared" ca="1" si="60"/>
        <v>-1761.2890690272143</v>
      </c>
      <c r="AC107" s="79">
        <f t="shared" ca="1" si="61"/>
        <v>308682.7105305416</v>
      </c>
      <c r="AD107" s="35"/>
      <c r="AE107" s="62">
        <f t="shared" ca="1" si="62"/>
        <v>-2500.6101455486769</v>
      </c>
      <c r="AF107" s="62">
        <f t="shared" ca="1" si="63"/>
        <v>438255.78167839686</v>
      </c>
      <c r="AG107" s="35"/>
      <c r="AH107" s="35"/>
      <c r="AK107" s="66"/>
      <c r="AL107" s="66"/>
      <c r="AM107" s="66"/>
      <c r="AN107" s="66"/>
      <c r="AR107" s="69">
        <f t="shared" si="77"/>
        <v>9</v>
      </c>
      <c r="AS107" s="70">
        <f t="shared" si="86"/>
        <v>104</v>
      </c>
      <c r="AT107" s="71">
        <f t="shared" si="87"/>
        <v>0.49072760809434757</v>
      </c>
      <c r="AU107" s="72">
        <f t="shared" si="64"/>
        <v>6.8214933659622723E-3</v>
      </c>
      <c r="AV107" s="73">
        <f t="shared" si="78"/>
        <v>1.0068214933659623</v>
      </c>
      <c r="AW107" s="74">
        <f>PRODUCT(AV$4:AV107)</f>
        <v>2.0279522780820458</v>
      </c>
      <c r="AY107" s="75">
        <f t="shared" si="88"/>
        <v>104</v>
      </c>
      <c r="AZ107" s="76">
        <f t="shared" ca="1" si="97"/>
        <v>1.0068214933659623</v>
      </c>
      <c r="BA107" s="76">
        <f t="shared" ca="1" si="97"/>
        <v>1.0068214933659623</v>
      </c>
      <c r="BB107" s="76">
        <f t="shared" ca="1" si="97"/>
        <v>1.0068214933659623</v>
      </c>
      <c r="BC107" s="76">
        <f t="shared" ca="1" si="97"/>
        <v>1.0068214933659623</v>
      </c>
      <c r="BD107" s="76">
        <f t="shared" ca="1" si="97"/>
        <v>1.0068214933659623</v>
      </c>
      <c r="BE107" s="76">
        <f t="shared" ca="1" si="97"/>
        <v>1.0068214933659623</v>
      </c>
      <c r="BF107" s="76">
        <f t="shared" ca="1" si="97"/>
        <v>1.0068214933659623</v>
      </c>
      <c r="BG107" s="76">
        <f t="shared" ca="1" si="97"/>
        <v>1.0068214933659623</v>
      </c>
      <c r="BH107" s="76">
        <f t="shared" ca="1" si="97"/>
        <v>1.0068214933659623</v>
      </c>
      <c r="BI107" s="76">
        <f t="shared" ca="1" si="97"/>
        <v>1.0068214933659623</v>
      </c>
      <c r="BJ107" s="76">
        <f t="shared" ca="1" si="97"/>
        <v>1.0068214933659623</v>
      </c>
      <c r="BK107" s="76">
        <f t="shared" ca="1" si="97"/>
        <v>1.0068214933659623</v>
      </c>
      <c r="BL107" s="76">
        <f t="shared" ca="1" si="95"/>
        <v>8.5000000000000853E-2</v>
      </c>
      <c r="BM107" s="77">
        <f t="shared" ca="1" si="96"/>
        <v>4838.2997526172685</v>
      </c>
    </row>
    <row r="108" spans="5:65">
      <c r="E108">
        <f t="shared" si="93"/>
        <v>105</v>
      </c>
      <c r="F108" s="64">
        <f t="shared" si="66"/>
        <v>63.32</v>
      </c>
      <c r="G108" s="55">
        <f t="shared" si="53"/>
        <v>0</v>
      </c>
      <c r="H108" s="78">
        <f t="shared" si="89"/>
        <v>1</v>
      </c>
      <c r="I108" s="79">
        <f t="shared" si="67"/>
        <v>487092.18907148391</v>
      </c>
      <c r="J108" s="79">
        <f t="shared" si="54"/>
        <v>3322.6961363631685</v>
      </c>
      <c r="K108" s="80">
        <f t="shared" si="55"/>
        <v>-15</v>
      </c>
      <c r="L108" s="80">
        <f t="shared" si="68"/>
        <v>-405.91015755956994</v>
      </c>
      <c r="M108" s="80">
        <f t="shared" si="91"/>
        <v>0</v>
      </c>
      <c r="N108" s="80">
        <f t="shared" si="69"/>
        <v>-462.73757961790983</v>
      </c>
      <c r="O108" s="81">
        <f t="shared" si="56"/>
        <v>-2083.3333333333335</v>
      </c>
      <c r="P108" s="79">
        <f t="shared" si="57"/>
        <v>487447.9041373363</v>
      </c>
      <c r="Q108" s="35"/>
      <c r="R108">
        <f t="shared" ca="1" si="70"/>
        <v>230</v>
      </c>
      <c r="S108" s="78">
        <f t="shared" ca="1" si="71"/>
        <v>73.319999999999993</v>
      </c>
      <c r="T108" s="55">
        <f t="shared" ca="1" si="58"/>
        <v>4.6837945252553581E-3</v>
      </c>
      <c r="U108" s="78">
        <f t="shared" ca="1" si="81"/>
        <v>0.70104472544386387</v>
      </c>
      <c r="V108" s="79">
        <f t="shared" ca="1" si="72"/>
        <v>307236.90414091764</v>
      </c>
      <c r="W108" s="79">
        <f t="shared" ca="1" si="59"/>
        <v>2095.8145033760561</v>
      </c>
      <c r="X108" s="80">
        <f t="shared" ca="1" si="82"/>
        <v>-10.515670881657957</v>
      </c>
      <c r="Y108" s="80">
        <f t="shared" ca="1" si="83"/>
        <v>-256.03075345076473</v>
      </c>
      <c r="Z108" s="80">
        <f t="shared" ca="1" si="73"/>
        <v>0</v>
      </c>
      <c r="AA108" s="80">
        <f t="shared" ca="1" si="84"/>
        <v>-291.8750589338718</v>
      </c>
      <c r="AB108" s="81">
        <f t="shared" ca="1" si="60"/>
        <v>-1753.0395529283126</v>
      </c>
      <c r="AC108" s="79">
        <f t="shared" ca="1" si="61"/>
        <v>307021.25760809914</v>
      </c>
      <c r="AD108" s="35"/>
      <c r="AE108" s="62">
        <f t="shared" ca="1" si="62"/>
        <v>-2500.6101455486769</v>
      </c>
      <c r="AF108" s="62">
        <f t="shared" ca="1" si="63"/>
        <v>437948.17429616884</v>
      </c>
      <c r="AG108" s="35"/>
      <c r="AH108" s="35"/>
      <c r="AK108" s="66"/>
      <c r="AL108" s="66"/>
      <c r="AM108" s="66"/>
      <c r="AN108" s="66"/>
      <c r="AR108" s="69">
        <f t="shared" si="77"/>
        <v>9</v>
      </c>
      <c r="AS108" s="70">
        <f t="shared" si="86"/>
        <v>105</v>
      </c>
      <c r="AT108" s="71">
        <f t="shared" si="87"/>
        <v>0.48738011297123746</v>
      </c>
      <c r="AU108" s="72">
        <f t="shared" si="64"/>
        <v>6.8214933659622723E-3</v>
      </c>
      <c r="AV108" s="73">
        <f t="shared" si="78"/>
        <v>1.0068214933659623</v>
      </c>
      <c r="AW108" s="74">
        <f>PRODUCT(AV$4:AV108)</f>
        <v>2.0417859410934707</v>
      </c>
      <c r="AY108" s="75">
        <f t="shared" si="88"/>
        <v>105</v>
      </c>
      <c r="AZ108" s="76">
        <f t="shared" ca="1" si="97"/>
        <v>1.0068214933659623</v>
      </c>
      <c r="BA108" s="76">
        <f t="shared" ca="1" si="97"/>
        <v>1.0068214933659623</v>
      </c>
      <c r="BB108" s="76">
        <f t="shared" ca="1" si="97"/>
        <v>1.0068214933659623</v>
      </c>
      <c r="BC108" s="76">
        <f t="shared" ca="1" si="97"/>
        <v>1.0068214933659623</v>
      </c>
      <c r="BD108" s="76">
        <f t="shared" ca="1" si="97"/>
        <v>1.0068214933659623</v>
      </c>
      <c r="BE108" s="76">
        <f t="shared" ca="1" si="97"/>
        <v>1.0068214933659623</v>
      </c>
      <c r="BF108" s="76">
        <f t="shared" ca="1" si="97"/>
        <v>1.0068214933659623</v>
      </c>
      <c r="BG108" s="76">
        <f t="shared" ca="1" si="97"/>
        <v>1.0068214933659623</v>
      </c>
      <c r="BH108" s="76">
        <f t="shared" ca="1" si="97"/>
        <v>1.0068214933659623</v>
      </c>
      <c r="BI108" s="76">
        <f t="shared" ca="1" si="97"/>
        <v>1.0068214933659623</v>
      </c>
      <c r="BJ108" s="76">
        <f t="shared" ca="1" si="97"/>
        <v>1.0068214933659623</v>
      </c>
      <c r="BK108" s="76">
        <f t="shared" ca="1" si="97"/>
        <v>1.0068214933659623</v>
      </c>
      <c r="BL108" s="76">
        <f t="shared" ca="1" si="95"/>
        <v>8.5000000000000853E-2</v>
      </c>
      <c r="BM108" s="77">
        <f t="shared" ca="1" si="96"/>
        <v>5249.5552315897403</v>
      </c>
    </row>
    <row r="109" spans="5:65">
      <c r="E109">
        <f t="shared" si="93"/>
        <v>106</v>
      </c>
      <c r="F109" s="64">
        <f t="shared" si="66"/>
        <v>63.4</v>
      </c>
      <c r="G109" s="55">
        <f t="shared" si="53"/>
        <v>0</v>
      </c>
      <c r="H109" s="78">
        <f t="shared" si="89"/>
        <v>1</v>
      </c>
      <c r="I109" s="79">
        <f t="shared" si="67"/>
        <v>487447.9041373363</v>
      </c>
      <c r="J109" s="79">
        <f t="shared" si="54"/>
        <v>3325.1226443250534</v>
      </c>
      <c r="K109" s="80">
        <f t="shared" si="55"/>
        <v>-15</v>
      </c>
      <c r="L109" s="80">
        <f t="shared" si="68"/>
        <v>-406.20658678111363</v>
      </c>
      <c r="M109" s="80">
        <f t="shared" si="91"/>
        <v>0</v>
      </c>
      <c r="N109" s="80">
        <f t="shared" si="69"/>
        <v>-463.0755089304696</v>
      </c>
      <c r="O109" s="81">
        <f t="shared" si="56"/>
        <v>-2083.3333333333335</v>
      </c>
      <c r="P109" s="79">
        <f t="shared" si="57"/>
        <v>487805.41135261644</v>
      </c>
      <c r="Q109" s="35"/>
      <c r="R109">
        <f t="shared" ca="1" si="70"/>
        <v>231</v>
      </c>
      <c r="S109" s="78">
        <f t="shared" ca="1" si="71"/>
        <v>73.400000000000006</v>
      </c>
      <c r="T109" s="55">
        <f t="shared" ca="1" si="58"/>
        <v>4.6837945252553581E-3</v>
      </c>
      <c r="U109" s="78">
        <f t="shared" ca="1" si="81"/>
        <v>0.69776117599687071</v>
      </c>
      <c r="V109" s="79">
        <f t="shared" ca="1" si="72"/>
        <v>305583.23312257731</v>
      </c>
      <c r="W109" s="79">
        <f t="shared" ca="1" si="59"/>
        <v>2084.5339974949638</v>
      </c>
      <c r="X109" s="80">
        <f t="shared" ca="1" si="82"/>
        <v>-10.466417639953061</v>
      </c>
      <c r="Y109" s="80">
        <f t="shared" ca="1" si="83"/>
        <v>-254.65269426881443</v>
      </c>
      <c r="Z109" s="80">
        <f t="shared" ca="1" si="73"/>
        <v>0</v>
      </c>
      <c r="AA109" s="80">
        <f t="shared" ca="1" si="84"/>
        <v>-290.30407146644853</v>
      </c>
      <c r="AB109" s="81">
        <f t="shared" ca="1" si="60"/>
        <v>-1744.8286758677507</v>
      </c>
      <c r="AC109" s="79">
        <f t="shared" ca="1" si="61"/>
        <v>305367.5152608293</v>
      </c>
      <c r="AD109" s="35"/>
      <c r="AE109" s="62">
        <f t="shared" ca="1" si="62"/>
        <v>-2500.6101455486769</v>
      </c>
      <c r="AF109" s="62">
        <f t="shared" ca="1" si="63"/>
        <v>437639.01713872195</v>
      </c>
      <c r="AG109" s="35"/>
      <c r="AH109" s="35"/>
      <c r="AK109" s="66"/>
      <c r="AL109" s="66"/>
      <c r="AM109" s="66"/>
      <c r="AN109" s="66"/>
      <c r="AR109" s="69">
        <f t="shared" si="77"/>
        <v>9</v>
      </c>
      <c r="AS109" s="70">
        <f t="shared" si="86"/>
        <v>106</v>
      </c>
      <c r="AT109" s="71">
        <f t="shared" si="87"/>
        <v>0.48405545276390222</v>
      </c>
      <c r="AU109" s="72">
        <f t="shared" si="64"/>
        <v>6.8214933659622723E-3</v>
      </c>
      <c r="AV109" s="73">
        <f t="shared" si="78"/>
        <v>1.0068214933659623</v>
      </c>
      <c r="AW109" s="74">
        <f>PRODUCT(AV$4:AV109)</f>
        <v>2.0557139703453546</v>
      </c>
      <c r="AY109" s="75">
        <f t="shared" si="88"/>
        <v>106</v>
      </c>
      <c r="AZ109" s="76">
        <f t="shared" ca="1" si="97"/>
        <v>1.0068214933659623</v>
      </c>
      <c r="BA109" s="76">
        <f t="shared" ca="1" si="97"/>
        <v>1.0068214933659623</v>
      </c>
      <c r="BB109" s="76">
        <f t="shared" ca="1" si="97"/>
        <v>1.0068214933659623</v>
      </c>
      <c r="BC109" s="76">
        <f t="shared" ca="1" si="97"/>
        <v>1.0068214933659623</v>
      </c>
      <c r="BD109" s="76">
        <f t="shared" ca="1" si="97"/>
        <v>1.0068214933659623</v>
      </c>
      <c r="BE109" s="76">
        <f t="shared" ca="1" si="97"/>
        <v>1.0068214933659623</v>
      </c>
      <c r="BF109" s="76">
        <f t="shared" ca="1" si="97"/>
        <v>1.0068214933659623</v>
      </c>
      <c r="BG109" s="76">
        <f t="shared" ca="1" si="97"/>
        <v>1.0068214933659623</v>
      </c>
      <c r="BH109" s="76">
        <f t="shared" ca="1" si="97"/>
        <v>1.0068214933659623</v>
      </c>
      <c r="BI109" s="76">
        <f t="shared" ca="1" si="97"/>
        <v>1.0068214933659623</v>
      </c>
      <c r="BJ109" s="76">
        <f t="shared" ca="1" si="97"/>
        <v>1.0068214933659623</v>
      </c>
      <c r="BK109" s="76">
        <f t="shared" ca="1" si="97"/>
        <v>1.0068214933659623</v>
      </c>
      <c r="BL109" s="76">
        <f t="shared" ca="1" si="95"/>
        <v>8.5000000000000853E-2</v>
      </c>
      <c r="BM109" s="77">
        <f t="shared" ca="1" si="96"/>
        <v>5695.7674262748724</v>
      </c>
    </row>
    <row r="110" spans="5:65">
      <c r="E110">
        <f t="shared" si="93"/>
        <v>107</v>
      </c>
      <c r="F110" s="64">
        <f t="shared" si="66"/>
        <v>63.48</v>
      </c>
      <c r="G110" s="55">
        <f t="shared" si="53"/>
        <v>0</v>
      </c>
      <c r="H110" s="78">
        <f t="shared" si="89"/>
        <v>1</v>
      </c>
      <c r="I110" s="79">
        <f t="shared" si="67"/>
        <v>487805.41135261644</v>
      </c>
      <c r="J110" s="79">
        <f t="shared" si="54"/>
        <v>3327.5613774223702</v>
      </c>
      <c r="K110" s="80">
        <f t="shared" si="55"/>
        <v>-15</v>
      </c>
      <c r="L110" s="80">
        <f t="shared" si="68"/>
        <v>-406.5045094605137</v>
      </c>
      <c r="M110" s="80">
        <f t="shared" si="91"/>
        <v>0</v>
      </c>
      <c r="N110" s="80">
        <f t="shared" si="69"/>
        <v>-463.41514078498568</v>
      </c>
      <c r="O110" s="81">
        <f t="shared" si="56"/>
        <v>-2083.3333333333335</v>
      </c>
      <c r="P110" s="79">
        <f t="shared" si="57"/>
        <v>488164.71974645997</v>
      </c>
      <c r="Q110" s="35"/>
      <c r="R110">
        <f t="shared" ca="1" si="70"/>
        <v>232</v>
      </c>
      <c r="S110" s="78">
        <f t="shared" ca="1" si="71"/>
        <v>73.48</v>
      </c>
      <c r="T110" s="55">
        <f t="shared" ca="1" si="58"/>
        <v>4.6837945252553581E-3</v>
      </c>
      <c r="U110" s="78">
        <f t="shared" ca="1" si="81"/>
        <v>0.69449300602080077</v>
      </c>
      <c r="V110" s="79">
        <f t="shared" ca="1" si="72"/>
        <v>303937.2365646598</v>
      </c>
      <c r="W110" s="79">
        <f t="shared" ca="1" si="59"/>
        <v>2073.3058428947325</v>
      </c>
      <c r="X110" s="80">
        <f t="shared" ca="1" si="82"/>
        <v>-10.417395090312011</v>
      </c>
      <c r="Y110" s="80">
        <f t="shared" ca="1" si="83"/>
        <v>-253.28103047054987</v>
      </c>
      <c r="Z110" s="80">
        <f t="shared" ca="1" si="73"/>
        <v>0</v>
      </c>
      <c r="AA110" s="80">
        <f t="shared" ca="1" si="84"/>
        <v>-288.74037473642687</v>
      </c>
      <c r="AB110" s="81">
        <f t="shared" ca="1" si="60"/>
        <v>-1736.6562568682127</v>
      </c>
      <c r="AC110" s="79">
        <f t="shared" ca="1" si="61"/>
        <v>303721.44735038897</v>
      </c>
      <c r="AD110" s="35"/>
      <c r="AE110" s="62">
        <f t="shared" ca="1" si="62"/>
        <v>-2500.6101455486769</v>
      </c>
      <c r="AF110" s="62">
        <f t="shared" ca="1" si="63"/>
        <v>437328.3023980406</v>
      </c>
      <c r="AG110" s="35"/>
      <c r="AH110" s="35"/>
      <c r="AK110" s="66"/>
      <c r="AL110" s="66"/>
      <c r="AM110" s="66"/>
      <c r="AN110" s="66"/>
      <c r="AR110" s="69">
        <f t="shared" si="77"/>
        <v>9</v>
      </c>
      <c r="AS110" s="70">
        <f t="shared" si="86"/>
        <v>107</v>
      </c>
      <c r="AT110" s="71">
        <f t="shared" si="87"/>
        <v>0.48075347170411542</v>
      </c>
      <c r="AU110" s="72">
        <f t="shared" si="64"/>
        <v>6.8214933659622723E-3</v>
      </c>
      <c r="AV110" s="73">
        <f t="shared" si="78"/>
        <v>1.0068214933659623</v>
      </c>
      <c r="AW110" s="74">
        <f>PRODUCT(AV$4:AV110)</f>
        <v>2.0697370095563814</v>
      </c>
      <c r="AY110" s="75">
        <f t="shared" si="88"/>
        <v>107</v>
      </c>
      <c r="AZ110" s="76">
        <f t="shared" ca="1" si="97"/>
        <v>1.0068214933659623</v>
      </c>
      <c r="BA110" s="76">
        <f t="shared" ca="1" si="97"/>
        <v>1.0068214933659623</v>
      </c>
      <c r="BB110" s="76">
        <f t="shared" ca="1" si="97"/>
        <v>1.0068214933659623</v>
      </c>
      <c r="BC110" s="76">
        <f t="shared" ca="1" si="97"/>
        <v>1.0068214933659623</v>
      </c>
      <c r="BD110" s="76">
        <f t="shared" ca="1" si="97"/>
        <v>1.0068214933659623</v>
      </c>
      <c r="BE110" s="76">
        <f t="shared" ca="1" si="97"/>
        <v>1.0068214933659623</v>
      </c>
      <c r="BF110" s="76">
        <f t="shared" ca="1" si="97"/>
        <v>1.0068214933659623</v>
      </c>
      <c r="BG110" s="76">
        <f t="shared" ca="1" si="97"/>
        <v>1.0068214933659623</v>
      </c>
      <c r="BH110" s="76">
        <f t="shared" ca="1" si="97"/>
        <v>1.0068214933659623</v>
      </c>
      <c r="BI110" s="76">
        <f t="shared" ca="1" si="97"/>
        <v>1.0068214933659623</v>
      </c>
      <c r="BJ110" s="76">
        <f t="shared" ca="1" si="97"/>
        <v>1.0068214933659623</v>
      </c>
      <c r="BK110" s="76">
        <f t="shared" ca="1" si="97"/>
        <v>1.0068214933659623</v>
      </c>
      <c r="BL110" s="76">
        <f t="shared" ca="1" si="95"/>
        <v>8.5000000000000853E-2</v>
      </c>
      <c r="BM110" s="77">
        <f t="shared" ca="1" si="96"/>
        <v>6179.9076575082418</v>
      </c>
    </row>
    <row r="111" spans="5:65">
      <c r="E111">
        <f t="shared" si="93"/>
        <v>108</v>
      </c>
      <c r="F111" s="64">
        <f t="shared" si="66"/>
        <v>63.56</v>
      </c>
      <c r="G111" s="55">
        <f t="shared" si="53"/>
        <v>0</v>
      </c>
      <c r="H111" s="78">
        <f t="shared" si="89"/>
        <v>1</v>
      </c>
      <c r="I111" s="79">
        <f t="shared" si="67"/>
        <v>488164.71974645997</v>
      </c>
      <c r="J111" s="79">
        <f t="shared" si="54"/>
        <v>3330.0123972473084</v>
      </c>
      <c r="K111" s="80">
        <f t="shared" si="55"/>
        <v>-15</v>
      </c>
      <c r="L111" s="80">
        <f t="shared" si="68"/>
        <v>-406.80393312205001</v>
      </c>
      <c r="M111" s="80">
        <f t="shared" si="91"/>
        <v>0</v>
      </c>
      <c r="N111" s="80">
        <f t="shared" si="69"/>
        <v>-463.7564837591371</v>
      </c>
      <c r="O111" s="81">
        <f t="shared" si="56"/>
        <v>-2083.3333333333335</v>
      </c>
      <c r="P111" s="79">
        <f t="shared" si="57"/>
        <v>488525.83839349274</v>
      </c>
      <c r="Q111" s="35"/>
      <c r="R111">
        <f t="shared" ca="1" si="70"/>
        <v>233</v>
      </c>
      <c r="S111" s="78">
        <f t="shared" ca="1" si="71"/>
        <v>73.56</v>
      </c>
      <c r="T111" s="55">
        <f t="shared" ca="1" si="58"/>
        <v>5.1085345568211427E-3</v>
      </c>
      <c r="U111" s="78">
        <f t="shared" ca="1" si="81"/>
        <v>0.69094516450007293</v>
      </c>
      <c r="V111" s="79">
        <f t="shared" ca="1" si="72"/>
        <v>302169.87584095181</v>
      </c>
      <c r="W111" s="79">
        <f t="shared" ca="1" si="59"/>
        <v>2061.2498034426962</v>
      </c>
      <c r="X111" s="80">
        <f t="shared" ca="1" si="82"/>
        <v>-10.364177467501094</v>
      </c>
      <c r="Y111" s="80">
        <f t="shared" ca="1" si="83"/>
        <v>-251.80822986745986</v>
      </c>
      <c r="Z111" s="80">
        <f t="shared" ca="1" si="73"/>
        <v>0</v>
      </c>
      <c r="AA111" s="80">
        <f t="shared" ca="1" si="84"/>
        <v>-287.06138204890425</v>
      </c>
      <c r="AB111" s="81">
        <f t="shared" ca="1" si="60"/>
        <v>-1727.7844883666819</v>
      </c>
      <c r="AC111" s="79">
        <f t="shared" ca="1" si="61"/>
        <v>301954.10736664396</v>
      </c>
      <c r="AD111" s="35"/>
      <c r="AE111" s="62">
        <f t="shared" ca="1" si="62"/>
        <v>-2500.6101455486769</v>
      </c>
      <c r="AF111" s="62">
        <f t="shared" ca="1" si="63"/>
        <v>437016.02222677122</v>
      </c>
      <c r="AG111" s="35"/>
      <c r="AH111" s="35"/>
      <c r="AK111" s="66"/>
      <c r="AL111" s="66"/>
      <c r="AM111" s="66"/>
      <c r="AN111" s="66"/>
      <c r="AR111" s="69">
        <f t="shared" si="77"/>
        <v>9</v>
      </c>
      <c r="AS111" s="70">
        <f t="shared" si="86"/>
        <v>108</v>
      </c>
      <c r="AT111" s="71">
        <f t="shared" si="87"/>
        <v>0.47747401508622245</v>
      </c>
      <c r="AU111" s="72">
        <f t="shared" si="64"/>
        <v>6.8214933659622723E-3</v>
      </c>
      <c r="AV111" s="73">
        <f t="shared" si="78"/>
        <v>1.0068214933659623</v>
      </c>
      <c r="AW111" s="74">
        <f>PRODUCT(AV$4:AV111)</f>
        <v>2.0838557068363568</v>
      </c>
      <c r="AY111" s="75">
        <f t="shared" si="88"/>
        <v>108</v>
      </c>
      <c r="AZ111" s="76">
        <f t="shared" ca="1" si="97"/>
        <v>1.0068214933659623</v>
      </c>
      <c r="BA111" s="76">
        <f t="shared" ca="1" si="97"/>
        <v>1.0068214933659623</v>
      </c>
      <c r="BB111" s="76">
        <f t="shared" ca="1" si="97"/>
        <v>1.0068214933659623</v>
      </c>
      <c r="BC111" s="76">
        <f t="shared" ca="1" si="97"/>
        <v>1.0068214933659623</v>
      </c>
      <c r="BD111" s="76">
        <f t="shared" ca="1" si="97"/>
        <v>1.0068214933659623</v>
      </c>
      <c r="BE111" s="76">
        <f t="shared" ca="1" si="97"/>
        <v>1.0068214933659623</v>
      </c>
      <c r="BF111" s="76">
        <f t="shared" ca="1" si="97"/>
        <v>1.0068214933659623</v>
      </c>
      <c r="BG111" s="76">
        <f t="shared" ca="1" si="97"/>
        <v>1.0068214933659623</v>
      </c>
      <c r="BH111" s="76">
        <f t="shared" ca="1" si="97"/>
        <v>1.0068214933659623</v>
      </c>
      <c r="BI111" s="76">
        <f t="shared" ca="1" si="97"/>
        <v>1.0068214933659623</v>
      </c>
      <c r="BJ111" s="76">
        <f t="shared" ca="1" si="97"/>
        <v>1.0068214933659623</v>
      </c>
      <c r="BK111" s="76">
        <f t="shared" ca="1" si="97"/>
        <v>1.0068214933659623</v>
      </c>
      <c r="BL111" s="76">
        <f t="shared" ca="1" si="95"/>
        <v>8.5000000000000853E-2</v>
      </c>
      <c r="BM111" s="77">
        <f t="shared" ca="1" si="96"/>
        <v>6705.1998083964472</v>
      </c>
    </row>
    <row r="112" spans="5:65">
      <c r="E112">
        <f t="shared" si="93"/>
        <v>109</v>
      </c>
      <c r="F112" s="64">
        <f t="shared" si="66"/>
        <v>63.64</v>
      </c>
      <c r="G112" s="55">
        <f t="shared" si="53"/>
        <v>0</v>
      </c>
      <c r="H112" s="78">
        <f t="shared" si="89"/>
        <v>1</v>
      </c>
      <c r="I112" s="79">
        <f t="shared" si="67"/>
        <v>488525.83839349274</v>
      </c>
      <c r="J112" s="79">
        <f t="shared" si="54"/>
        <v>3332.4757657023679</v>
      </c>
      <c r="K112" s="80">
        <f t="shared" si="55"/>
        <v>-15</v>
      </c>
      <c r="L112" s="80">
        <f t="shared" si="68"/>
        <v>-407.10486532791066</v>
      </c>
      <c r="M112" s="80">
        <f t="shared" si="91"/>
        <v>-3663.9437879511956</v>
      </c>
      <c r="N112" s="80">
        <f t="shared" si="69"/>
        <v>-464.09954647381818</v>
      </c>
      <c r="O112" s="81">
        <f t="shared" si="56"/>
        <v>-2083.3333333333335</v>
      </c>
      <c r="P112" s="79">
        <f t="shared" si="57"/>
        <v>485224.8326261089</v>
      </c>
      <c r="Q112" s="35"/>
      <c r="R112">
        <f t="shared" ca="1" si="70"/>
        <v>234</v>
      </c>
      <c r="S112" s="78">
        <f t="shared" ca="1" si="71"/>
        <v>73.64</v>
      </c>
      <c r="T112" s="55">
        <f t="shared" ca="1" si="58"/>
        <v>5.1085345568211427E-3</v>
      </c>
      <c r="U112" s="78">
        <f t="shared" ca="1" si="81"/>
        <v>0.68741544725035586</v>
      </c>
      <c r="V112" s="79">
        <f t="shared" ca="1" si="72"/>
        <v>300411.56437458738</v>
      </c>
      <c r="W112" s="79">
        <f t="shared" ca="1" si="59"/>
        <v>2049.2554934395957</v>
      </c>
      <c r="X112" s="80">
        <f t="shared" ca="1" si="82"/>
        <v>-10.311231708755338</v>
      </c>
      <c r="Y112" s="80">
        <f t="shared" ca="1" si="83"/>
        <v>-250.34297031215615</v>
      </c>
      <c r="Z112" s="80">
        <f t="shared" ca="1" si="73"/>
        <v>0</v>
      </c>
      <c r="AA112" s="80">
        <f t="shared" ca="1" si="84"/>
        <v>-285.39098615585806</v>
      </c>
      <c r="AB112" s="81">
        <f t="shared" ca="1" si="60"/>
        <v>-1718.9580416011213</v>
      </c>
      <c r="AC112" s="79">
        <f t="shared" ca="1" si="61"/>
        <v>300195.81663824915</v>
      </c>
      <c r="AD112" s="35"/>
      <c r="AE112" s="62">
        <f t="shared" ca="1" si="62"/>
        <v>-2500.6101455486769</v>
      </c>
      <c r="AF112" s="62">
        <f t="shared" ca="1" si="63"/>
        <v>436702.16873802402</v>
      </c>
      <c r="AG112" s="35"/>
      <c r="AH112" s="35"/>
      <c r="AK112" s="66"/>
      <c r="AL112" s="66"/>
      <c r="AM112" s="66"/>
      <c r="AN112" s="66"/>
      <c r="AR112" s="69">
        <f t="shared" si="77"/>
        <v>10</v>
      </c>
      <c r="AS112" s="70">
        <f t="shared" si="86"/>
        <v>109</v>
      </c>
      <c r="AT112" s="71">
        <f t="shared" si="87"/>
        <v>0.47421692925989239</v>
      </c>
      <c r="AU112" s="72">
        <f t="shared" si="64"/>
        <v>6.8214933659622723E-3</v>
      </c>
      <c r="AV112" s="73">
        <f t="shared" si="78"/>
        <v>1.0068214933659623</v>
      </c>
      <c r="AW112" s="74">
        <f>PRODUCT(AV$4:AV112)</f>
        <v>2.0980707147161635</v>
      </c>
      <c r="AY112" s="75">
        <f t="shared" si="88"/>
        <v>109</v>
      </c>
      <c r="AZ112" s="76">
        <f t="shared" ca="1" si="97"/>
        <v>1.0068214933659623</v>
      </c>
      <c r="BA112" s="76">
        <f t="shared" ca="1" si="97"/>
        <v>1.0068214933659623</v>
      </c>
      <c r="BB112" s="76">
        <f t="shared" ca="1" si="97"/>
        <v>1.0068214933659623</v>
      </c>
      <c r="BC112" s="76">
        <f t="shared" ca="1" si="97"/>
        <v>1.0068214933659623</v>
      </c>
      <c r="BD112" s="76">
        <f t="shared" ca="1" si="97"/>
        <v>1.0068214933659623</v>
      </c>
      <c r="BE112" s="76">
        <f t="shared" ca="1" si="97"/>
        <v>1.0068214933659623</v>
      </c>
      <c r="BF112" s="76">
        <f t="shared" ca="1" si="97"/>
        <v>1.0068214933659623</v>
      </c>
      <c r="BG112" s="76">
        <f t="shared" ca="1" si="97"/>
        <v>1.0068214933659623</v>
      </c>
      <c r="BH112" s="76">
        <f t="shared" ca="1" si="97"/>
        <v>1.0068214933659623</v>
      </c>
      <c r="BI112" s="76">
        <f t="shared" ca="1" si="97"/>
        <v>1.0068214933659623</v>
      </c>
      <c r="BJ112" s="76">
        <f t="shared" ca="1" si="97"/>
        <v>1.0068214933659623</v>
      </c>
      <c r="BK112" s="76">
        <f t="shared" ca="1" si="97"/>
        <v>1.0068214933659623</v>
      </c>
      <c r="BL112" s="76">
        <f t="shared" ca="1" si="95"/>
        <v>8.5000000000000853E-2</v>
      </c>
      <c r="BM112" s="77">
        <f t="shared" ca="1" si="96"/>
        <v>7275.1417921101511</v>
      </c>
    </row>
    <row r="113" spans="5:65">
      <c r="E113">
        <f t="shared" si="93"/>
        <v>110</v>
      </c>
      <c r="F113" s="64">
        <f t="shared" si="66"/>
        <v>63.72</v>
      </c>
      <c r="G113" s="55">
        <f t="shared" si="53"/>
        <v>0</v>
      </c>
      <c r="H113" s="78">
        <f t="shared" si="89"/>
        <v>1</v>
      </c>
      <c r="I113" s="79">
        <f t="shared" si="67"/>
        <v>485224.8326261089</v>
      </c>
      <c r="J113" s="79">
        <f t="shared" si="54"/>
        <v>3309.9579767591558</v>
      </c>
      <c r="K113" s="80">
        <f t="shared" si="55"/>
        <v>-15</v>
      </c>
      <c r="L113" s="80">
        <f t="shared" si="68"/>
        <v>-404.35402718842408</v>
      </c>
      <c r="M113" s="80">
        <f t="shared" si="91"/>
        <v>0</v>
      </c>
      <c r="N113" s="80">
        <f t="shared" si="69"/>
        <v>-460.96359099480355</v>
      </c>
      <c r="O113" s="81">
        <f t="shared" si="56"/>
        <v>-2083.3333333333335</v>
      </c>
      <c r="P113" s="79">
        <f t="shared" si="57"/>
        <v>485571.13965135149</v>
      </c>
      <c r="Q113" s="35"/>
      <c r="R113">
        <f t="shared" ca="1" si="70"/>
        <v>235</v>
      </c>
      <c r="S113" s="78">
        <f t="shared" ca="1" si="71"/>
        <v>73.72</v>
      </c>
      <c r="T113" s="55">
        <f t="shared" ca="1" si="58"/>
        <v>5.1085345568211427E-3</v>
      </c>
      <c r="U113" s="78">
        <f t="shared" ca="1" si="81"/>
        <v>0.68390376168318479</v>
      </c>
      <c r="V113" s="79">
        <f t="shared" ca="1" si="72"/>
        <v>298662.25593513949</v>
      </c>
      <c r="W113" s="79">
        <f t="shared" ca="1" si="59"/>
        <v>2037.3225975248804</v>
      </c>
      <c r="X113" s="80">
        <f t="shared" ca="1" si="82"/>
        <v>-10.258556425247772</v>
      </c>
      <c r="Y113" s="80">
        <f t="shared" ca="1" si="83"/>
        <v>-248.88521327928294</v>
      </c>
      <c r="Z113" s="80">
        <f t="shared" ca="1" si="73"/>
        <v>0</v>
      </c>
      <c r="AA113" s="80">
        <f t="shared" ca="1" si="84"/>
        <v>-283.72914313838254</v>
      </c>
      <c r="AB113" s="81">
        <f t="shared" ca="1" si="60"/>
        <v>-1710.1766850438762</v>
      </c>
      <c r="AC113" s="79">
        <f t="shared" ca="1" si="61"/>
        <v>298446.5289347776</v>
      </c>
      <c r="AD113" s="35"/>
      <c r="AE113" s="62">
        <f t="shared" ca="1" si="62"/>
        <v>-2500.6101455486769</v>
      </c>
      <c r="AF113" s="62">
        <f t="shared" ca="1" si="63"/>
        <v>436386.73400517361</v>
      </c>
      <c r="AG113" s="35"/>
      <c r="AH113" s="35"/>
      <c r="AK113" s="66"/>
      <c r="AL113" s="66"/>
      <c r="AM113" s="66"/>
      <c r="AN113" s="66"/>
      <c r="AR113" s="69">
        <f t="shared" si="77"/>
        <v>10</v>
      </c>
      <c r="AS113" s="70">
        <f t="shared" si="86"/>
        <v>110</v>
      </c>
      <c r="AT113" s="71">
        <f t="shared" si="87"/>
        <v>0.47098206162291906</v>
      </c>
      <c r="AU113" s="72">
        <f t="shared" si="64"/>
        <v>6.8214933659622723E-3</v>
      </c>
      <c r="AV113" s="73">
        <f t="shared" si="78"/>
        <v>1.0068214933659623</v>
      </c>
      <c r="AW113" s="74">
        <f>PRODUCT(AV$4:AV113)</f>
        <v>2.1123826901779195</v>
      </c>
      <c r="AY113" s="75">
        <f t="shared" si="88"/>
        <v>110</v>
      </c>
      <c r="AZ113" s="76">
        <f t="shared" ca="1" si="97"/>
        <v>1.0068214933659623</v>
      </c>
      <c r="BA113" s="76">
        <f t="shared" ca="1" si="97"/>
        <v>1.0068214933659623</v>
      </c>
      <c r="BB113" s="76">
        <f t="shared" ca="1" si="97"/>
        <v>1.0068214933659623</v>
      </c>
      <c r="BC113" s="76">
        <f t="shared" ca="1" si="97"/>
        <v>1.0068214933659623</v>
      </c>
      <c r="BD113" s="76">
        <f t="shared" ca="1" si="97"/>
        <v>1.0068214933659623</v>
      </c>
      <c r="BE113" s="76">
        <f t="shared" ca="1" si="97"/>
        <v>1.0068214933659623</v>
      </c>
      <c r="BF113" s="76">
        <f t="shared" ca="1" si="97"/>
        <v>1.0068214933659623</v>
      </c>
      <c r="BG113" s="76">
        <f t="shared" ca="1" si="97"/>
        <v>1.0068214933659623</v>
      </c>
      <c r="BH113" s="76">
        <f t="shared" ca="1" si="97"/>
        <v>1.0068214933659623</v>
      </c>
      <c r="BI113" s="76">
        <f t="shared" ca="1" si="97"/>
        <v>1.0068214933659623</v>
      </c>
      <c r="BJ113" s="76">
        <f t="shared" ca="1" si="97"/>
        <v>1.0068214933659623</v>
      </c>
      <c r="BK113" s="76">
        <f t="shared" ca="1" si="97"/>
        <v>1.0068214933659623</v>
      </c>
      <c r="BL113" s="76">
        <f t="shared" ca="1" si="95"/>
        <v>8.5000000000000853E-2</v>
      </c>
      <c r="BM113" s="77">
        <f t="shared" ca="1" si="96"/>
        <v>7893.5288444395201</v>
      </c>
    </row>
    <row r="114" spans="5:65">
      <c r="E114">
        <f t="shared" si="93"/>
        <v>111</v>
      </c>
      <c r="F114" s="64">
        <f t="shared" si="66"/>
        <v>63.8</v>
      </c>
      <c r="G114" s="55">
        <f t="shared" si="53"/>
        <v>0</v>
      </c>
      <c r="H114" s="78">
        <f t="shared" si="89"/>
        <v>1</v>
      </c>
      <c r="I114" s="79">
        <f t="shared" si="67"/>
        <v>485571.13965135149</v>
      </c>
      <c r="J114" s="79">
        <f t="shared" si="54"/>
        <v>3312.3203078344341</v>
      </c>
      <c r="K114" s="80">
        <f t="shared" si="55"/>
        <v>-15</v>
      </c>
      <c r="L114" s="80">
        <f t="shared" si="68"/>
        <v>-404.64261637612628</v>
      </c>
      <c r="M114" s="80">
        <f t="shared" si="91"/>
        <v>0</v>
      </c>
      <c r="N114" s="80">
        <f t="shared" si="69"/>
        <v>-461.29258266878401</v>
      </c>
      <c r="O114" s="81">
        <f t="shared" si="56"/>
        <v>-2083.3333333333335</v>
      </c>
      <c r="P114" s="79">
        <f t="shared" si="57"/>
        <v>485919.19142680772</v>
      </c>
      <c r="Q114" s="35"/>
      <c r="R114">
        <f t="shared" ca="1" si="70"/>
        <v>236</v>
      </c>
      <c r="S114" s="78">
        <f t="shared" ca="1" si="71"/>
        <v>73.8</v>
      </c>
      <c r="T114" s="55">
        <f t="shared" ca="1" si="58"/>
        <v>5.1085345568211427E-3</v>
      </c>
      <c r="U114" s="78">
        <f t="shared" ca="1" si="81"/>
        <v>0.68041001568308623</v>
      </c>
      <c r="V114" s="79">
        <f t="shared" ca="1" si="72"/>
        <v>296921.90452835098</v>
      </c>
      <c r="W114" s="79">
        <f t="shared" ca="1" si="59"/>
        <v>2025.4508019490293</v>
      </c>
      <c r="X114" s="80">
        <f t="shared" ca="1" si="82"/>
        <v>-10.206150235246293</v>
      </c>
      <c r="Y114" s="80">
        <f t="shared" ca="1" si="83"/>
        <v>-247.4349204402925</v>
      </c>
      <c r="Z114" s="80">
        <f t="shared" ca="1" si="73"/>
        <v>0</v>
      </c>
      <c r="AA114" s="80">
        <f t="shared" ca="1" si="84"/>
        <v>-282.07580930193348</v>
      </c>
      <c r="AB114" s="81">
        <f t="shared" ca="1" si="60"/>
        <v>-1701.4401883500598</v>
      </c>
      <c r="AC114" s="79">
        <f t="shared" ca="1" si="61"/>
        <v>296706.19826197246</v>
      </c>
      <c r="AD114" s="35"/>
      <c r="AE114" s="62">
        <f t="shared" ca="1" si="62"/>
        <v>-2500.6101455486769</v>
      </c>
      <c r="AF114" s="62">
        <f t="shared" ca="1" si="63"/>
        <v>436069.71006165928</v>
      </c>
      <c r="AG114" s="35"/>
      <c r="AH114" s="35"/>
      <c r="AK114" s="66"/>
      <c r="AL114" s="66"/>
      <c r="AM114" s="66"/>
      <c r="AN114" s="66"/>
      <c r="AR114" s="69">
        <f t="shared" si="77"/>
        <v>10</v>
      </c>
      <c r="AS114" s="70">
        <f t="shared" si="86"/>
        <v>111</v>
      </c>
      <c r="AT114" s="71">
        <f t="shared" si="87"/>
        <v>0.46776926061407109</v>
      </c>
      <c r="AU114" s="72">
        <f t="shared" si="64"/>
        <v>6.8214933659622723E-3</v>
      </c>
      <c r="AV114" s="73">
        <f t="shared" si="78"/>
        <v>1.0068214933659623</v>
      </c>
      <c r="AW114" s="74">
        <f>PRODUCT(AV$4:AV114)</f>
        <v>2.1267922946853415</v>
      </c>
      <c r="AY114" s="75">
        <f t="shared" si="88"/>
        <v>111</v>
      </c>
      <c r="AZ114" s="76">
        <f t="shared" ca="1" si="97"/>
        <v>1.0068214933659623</v>
      </c>
      <c r="BA114" s="76">
        <f t="shared" ca="1" si="97"/>
        <v>1.0068214933659623</v>
      </c>
      <c r="BB114" s="76">
        <f t="shared" ca="1" si="97"/>
        <v>1.0068214933659623</v>
      </c>
      <c r="BC114" s="76">
        <f t="shared" ca="1" si="97"/>
        <v>1.0068214933659623</v>
      </c>
      <c r="BD114" s="76">
        <f t="shared" ca="1" si="97"/>
        <v>1.0068214933659623</v>
      </c>
      <c r="BE114" s="76">
        <f t="shared" ca="1" si="97"/>
        <v>1.0068214933659623</v>
      </c>
      <c r="BF114" s="76">
        <f t="shared" ca="1" si="97"/>
        <v>1.0068214933659623</v>
      </c>
      <c r="BG114" s="76">
        <f t="shared" ca="1" si="97"/>
        <v>1.0068214933659623</v>
      </c>
      <c r="BH114" s="76">
        <f t="shared" ca="1" si="97"/>
        <v>1.0068214933659623</v>
      </c>
      <c r="BI114" s="76">
        <f t="shared" ca="1" si="97"/>
        <v>1.0068214933659623</v>
      </c>
      <c r="BJ114" s="76">
        <f t="shared" ca="1" si="97"/>
        <v>1.0068214933659623</v>
      </c>
      <c r="BK114" s="76">
        <f t="shared" ca="1" si="97"/>
        <v>1.0068214933659623</v>
      </c>
      <c r="BL114" s="76">
        <f t="shared" ca="1" si="95"/>
        <v>8.5000000000000853E-2</v>
      </c>
      <c r="BM114" s="77">
        <f t="shared" ca="1" si="96"/>
        <v>8564.4787962168866</v>
      </c>
    </row>
    <row r="115" spans="5:65">
      <c r="E115">
        <f t="shared" si="93"/>
        <v>112</v>
      </c>
      <c r="F115" s="64">
        <f t="shared" si="66"/>
        <v>63.88</v>
      </c>
      <c r="G115" s="55">
        <f t="shared" si="53"/>
        <v>0</v>
      </c>
      <c r="H115" s="78">
        <f t="shared" si="89"/>
        <v>1</v>
      </c>
      <c r="I115" s="79">
        <f t="shared" si="67"/>
        <v>485919.19142680772</v>
      </c>
      <c r="J115" s="79">
        <f t="shared" si="54"/>
        <v>3314.6945407117205</v>
      </c>
      <c r="K115" s="80">
        <f t="shared" si="55"/>
        <v>-15</v>
      </c>
      <c r="L115" s="80">
        <f t="shared" si="68"/>
        <v>-404.9326595223398</v>
      </c>
      <c r="M115" s="80">
        <f t="shared" si="91"/>
        <v>0</v>
      </c>
      <c r="N115" s="80">
        <f t="shared" si="69"/>
        <v>-461.6232318554674</v>
      </c>
      <c r="O115" s="81">
        <f t="shared" si="56"/>
        <v>-2083.3333333333335</v>
      </c>
      <c r="P115" s="79">
        <f t="shared" si="57"/>
        <v>486268.99674280832</v>
      </c>
      <c r="Q115" s="35"/>
      <c r="R115">
        <f t="shared" ca="1" si="70"/>
        <v>237</v>
      </c>
      <c r="S115" s="78">
        <f t="shared" ca="1" si="71"/>
        <v>73.88</v>
      </c>
      <c r="T115" s="55">
        <f t="shared" ca="1" si="58"/>
        <v>5.1085345568211427E-3</v>
      </c>
      <c r="U115" s="78">
        <f t="shared" ca="1" si="81"/>
        <v>0.67693411760516198</v>
      </c>
      <c r="V115" s="79">
        <f t="shared" ca="1" si="72"/>
        <v>295190.46439492813</v>
      </c>
      <c r="W115" s="79">
        <f t="shared" ca="1" si="59"/>
        <v>2013.6397945653246</v>
      </c>
      <c r="X115" s="80">
        <f t="shared" ca="1" si="82"/>
        <v>-10.154011764077429</v>
      </c>
      <c r="Y115" s="80">
        <f t="shared" ca="1" si="83"/>
        <v>-245.99205366244013</v>
      </c>
      <c r="Z115" s="80">
        <f t="shared" ca="1" si="73"/>
        <v>0</v>
      </c>
      <c r="AA115" s="80">
        <f t="shared" ca="1" si="84"/>
        <v>-280.43094117518177</v>
      </c>
      <c r="AB115" s="81">
        <f t="shared" ca="1" si="60"/>
        <v>-1692.7483223515092</v>
      </c>
      <c r="AC115" s="79">
        <f t="shared" ca="1" si="61"/>
        <v>294974.77886054025</v>
      </c>
      <c r="AD115" s="35"/>
      <c r="AE115" s="62">
        <f t="shared" ca="1" si="62"/>
        <v>-2500.6101455486769</v>
      </c>
      <c r="AF115" s="62">
        <f t="shared" ca="1" si="63"/>
        <v>435751.08890078333</v>
      </c>
      <c r="AG115" s="35"/>
      <c r="AH115" s="35"/>
      <c r="AK115" s="66"/>
      <c r="AL115" s="66"/>
      <c r="AM115" s="66"/>
      <c r="AN115" s="66"/>
      <c r="AR115" s="69">
        <f t="shared" si="77"/>
        <v>10</v>
      </c>
      <c r="AS115" s="70">
        <f t="shared" si="86"/>
        <v>112</v>
      </c>
      <c r="AT115" s="71">
        <f t="shared" si="87"/>
        <v>0.46457837570599114</v>
      </c>
      <c r="AU115" s="72">
        <f t="shared" si="64"/>
        <v>6.8214933659622723E-3</v>
      </c>
      <c r="AV115" s="73">
        <f t="shared" si="78"/>
        <v>1.0068214933659623</v>
      </c>
      <c r="AW115" s="74">
        <f>PRODUCT(AV$4:AV115)</f>
        <v>2.1413001942143173</v>
      </c>
      <c r="AY115" s="75">
        <f t="shared" si="88"/>
        <v>112</v>
      </c>
      <c r="AZ115" s="76">
        <f t="shared" ref="AZ115:BK124" ca="1" si="98">OFFSET($AV$3,($AY115*12-12)+AZ$3,0)</f>
        <v>1.0068214933659623</v>
      </c>
      <c r="BA115" s="76">
        <f t="shared" ca="1" si="98"/>
        <v>1.0068214933659623</v>
      </c>
      <c r="BB115" s="76">
        <f t="shared" ca="1" si="98"/>
        <v>1.0068214933659623</v>
      </c>
      <c r="BC115" s="76">
        <f t="shared" ca="1" si="98"/>
        <v>1.0068214933659623</v>
      </c>
      <c r="BD115" s="76">
        <f t="shared" ca="1" si="98"/>
        <v>1.0068214933659623</v>
      </c>
      <c r="BE115" s="76">
        <f t="shared" ca="1" si="98"/>
        <v>1.0068214933659623</v>
      </c>
      <c r="BF115" s="76">
        <f t="shared" ca="1" si="98"/>
        <v>1.0068214933659623</v>
      </c>
      <c r="BG115" s="76">
        <f t="shared" ca="1" si="98"/>
        <v>1.0068214933659623</v>
      </c>
      <c r="BH115" s="76">
        <f t="shared" ca="1" si="98"/>
        <v>1.0068214933659623</v>
      </c>
      <c r="BI115" s="76">
        <f t="shared" ca="1" si="98"/>
        <v>1.0068214933659623</v>
      </c>
      <c r="BJ115" s="76">
        <f t="shared" ca="1" si="98"/>
        <v>1.0068214933659623</v>
      </c>
      <c r="BK115" s="76">
        <f t="shared" ca="1" si="98"/>
        <v>1.0068214933659623</v>
      </c>
      <c r="BL115" s="76">
        <f t="shared" ca="1" si="95"/>
        <v>8.5000000000000853E-2</v>
      </c>
      <c r="BM115" s="77">
        <f t="shared" ca="1" si="96"/>
        <v>9292.4594938953287</v>
      </c>
    </row>
    <row r="116" spans="5:65">
      <c r="E116">
        <f t="shared" si="93"/>
        <v>113</v>
      </c>
      <c r="F116" s="64">
        <f t="shared" si="66"/>
        <v>63.96</v>
      </c>
      <c r="G116" s="55">
        <f t="shared" si="53"/>
        <v>0</v>
      </c>
      <c r="H116" s="78">
        <f t="shared" si="89"/>
        <v>1</v>
      </c>
      <c r="I116" s="79">
        <f t="shared" si="67"/>
        <v>486268.99674280832</v>
      </c>
      <c r="J116" s="79">
        <f t="shared" si="54"/>
        <v>3317.0807353541968</v>
      </c>
      <c r="K116" s="80">
        <f t="shared" si="55"/>
        <v>-15</v>
      </c>
      <c r="L116" s="80">
        <f t="shared" si="68"/>
        <v>-405.22416395234029</v>
      </c>
      <c r="M116" s="80">
        <f t="shared" si="91"/>
        <v>0</v>
      </c>
      <c r="N116" s="80">
        <f t="shared" si="69"/>
        <v>-461.95554690566797</v>
      </c>
      <c r="O116" s="81">
        <f t="shared" si="56"/>
        <v>-2083.3333333333335</v>
      </c>
      <c r="P116" s="79">
        <f t="shared" si="57"/>
        <v>486620.56443397119</v>
      </c>
      <c r="Q116" s="35"/>
      <c r="R116">
        <f t="shared" ca="1" si="70"/>
        <v>238</v>
      </c>
      <c r="S116" s="78">
        <f t="shared" ca="1" si="71"/>
        <v>73.959999999999994</v>
      </c>
      <c r="T116" s="55">
        <f t="shared" ca="1" si="58"/>
        <v>5.1085345568211427E-3</v>
      </c>
      <c r="U116" s="78">
        <f t="shared" ca="1" si="81"/>
        <v>0.67347597627268474</v>
      </c>
      <c r="V116" s="79">
        <f t="shared" ca="1" si="72"/>
        <v>293467.89000934048</v>
      </c>
      <c r="W116" s="79">
        <f t="shared" ca="1" si="59"/>
        <v>2001.889264821662</v>
      </c>
      <c r="X116" s="80">
        <f t="shared" ca="1" si="82"/>
        <v>-10.102139644090272</v>
      </c>
      <c r="Y116" s="80">
        <f t="shared" ca="1" si="83"/>
        <v>-244.55657500778375</v>
      </c>
      <c r="Z116" s="80">
        <f t="shared" ca="1" si="73"/>
        <v>0</v>
      </c>
      <c r="AA116" s="80">
        <f t="shared" ca="1" si="84"/>
        <v>-278.79449550887352</v>
      </c>
      <c r="AB116" s="81">
        <f t="shared" ca="1" si="60"/>
        <v>-1684.1008590507754</v>
      </c>
      <c r="AC116" s="79">
        <f t="shared" ca="1" si="61"/>
        <v>293252.22520495061</v>
      </c>
      <c r="AD116" s="35"/>
      <c r="AE116" s="62">
        <f t="shared" ca="1" si="62"/>
        <v>-2500.6101455486769</v>
      </c>
      <c r="AF116" s="62">
        <f t="shared" ca="1" si="63"/>
        <v>435430.86247550906</v>
      </c>
      <c r="AG116" s="35"/>
      <c r="AH116" s="35"/>
      <c r="AK116" s="66"/>
      <c r="AL116" s="66"/>
      <c r="AM116" s="66"/>
      <c r="AN116" s="66"/>
      <c r="AR116" s="69">
        <f t="shared" si="77"/>
        <v>10</v>
      </c>
      <c r="AS116" s="70">
        <f t="shared" si="86"/>
        <v>113</v>
      </c>
      <c r="AT116" s="71">
        <f t="shared" si="87"/>
        <v>0.4614092573981432</v>
      </c>
      <c r="AU116" s="72">
        <f t="shared" si="64"/>
        <v>6.8214933659622723E-3</v>
      </c>
      <c r="AV116" s="73">
        <f t="shared" si="78"/>
        <v>1.0068214933659623</v>
      </c>
      <c r="AW116" s="74">
        <f>PRODUCT(AV$4:AV116)</f>
        <v>2.1559070592836838</v>
      </c>
      <c r="AY116" s="75">
        <f t="shared" si="88"/>
        <v>113</v>
      </c>
      <c r="AZ116" s="76">
        <f t="shared" ca="1" si="98"/>
        <v>1.0068214933659623</v>
      </c>
      <c r="BA116" s="76">
        <f t="shared" ca="1" si="98"/>
        <v>1.0068214933659623</v>
      </c>
      <c r="BB116" s="76">
        <f t="shared" ca="1" si="98"/>
        <v>1.0068214933659623</v>
      </c>
      <c r="BC116" s="76">
        <f t="shared" ca="1" si="98"/>
        <v>1.0068214933659623</v>
      </c>
      <c r="BD116" s="76">
        <f t="shared" ca="1" si="98"/>
        <v>1.0068214933659623</v>
      </c>
      <c r="BE116" s="76">
        <f t="shared" ca="1" si="98"/>
        <v>1.0068214933659623</v>
      </c>
      <c r="BF116" s="76">
        <f t="shared" ca="1" si="98"/>
        <v>1.0068214933659623</v>
      </c>
      <c r="BG116" s="76">
        <f t="shared" ca="1" si="98"/>
        <v>1.0068214933659623</v>
      </c>
      <c r="BH116" s="76">
        <f t="shared" ca="1" si="98"/>
        <v>1.0068214933659623</v>
      </c>
      <c r="BI116" s="76">
        <f t="shared" ca="1" si="98"/>
        <v>1.0068214933659623</v>
      </c>
      <c r="BJ116" s="76">
        <f t="shared" ca="1" si="98"/>
        <v>1.0068214933659623</v>
      </c>
      <c r="BK116" s="76">
        <f t="shared" ca="1" si="98"/>
        <v>1.0068214933659623</v>
      </c>
      <c r="BL116" s="76">
        <f t="shared" ca="1" si="95"/>
        <v>8.5000000000000853E-2</v>
      </c>
      <c r="BM116" s="77">
        <f t="shared" ca="1" si="96"/>
        <v>10082.31855087644</v>
      </c>
    </row>
    <row r="117" spans="5:65">
      <c r="E117">
        <f t="shared" si="93"/>
        <v>114</v>
      </c>
      <c r="F117" s="64">
        <f t="shared" si="66"/>
        <v>64.040000000000006</v>
      </c>
      <c r="G117" s="55">
        <f t="shared" si="53"/>
        <v>0</v>
      </c>
      <c r="H117" s="78">
        <f t="shared" si="89"/>
        <v>1</v>
      </c>
      <c r="I117" s="79">
        <f t="shared" si="67"/>
        <v>486620.56443397119</v>
      </c>
      <c r="J117" s="79">
        <f t="shared" si="54"/>
        <v>3319.4789520271511</v>
      </c>
      <c r="K117" s="80">
        <f t="shared" si="55"/>
        <v>-15</v>
      </c>
      <c r="L117" s="80">
        <f t="shared" si="68"/>
        <v>-405.51713702830932</v>
      </c>
      <c r="M117" s="80">
        <f t="shared" si="91"/>
        <v>0</v>
      </c>
      <c r="N117" s="80">
        <f t="shared" si="69"/>
        <v>-462.28953621227271</v>
      </c>
      <c r="O117" s="81">
        <f t="shared" si="56"/>
        <v>-2083.3333333333335</v>
      </c>
      <c r="P117" s="79">
        <f t="shared" si="57"/>
        <v>486973.90337942442</v>
      </c>
      <c r="Q117" s="35"/>
      <c r="R117">
        <f t="shared" ca="1" si="70"/>
        <v>239</v>
      </c>
      <c r="S117" s="78">
        <f t="shared" ca="1" si="71"/>
        <v>74.040000000000006</v>
      </c>
      <c r="T117" s="55">
        <f t="shared" ca="1" si="58"/>
        <v>5.1085345568211427E-3</v>
      </c>
      <c r="U117" s="78">
        <f t="shared" ca="1" si="81"/>
        <v>0.67003550097470688</v>
      </c>
      <c r="V117" s="79">
        <f t="shared" ca="1" si="72"/>
        <v>291754.13607862644</v>
      </c>
      <c r="W117" s="79">
        <f t="shared" ca="1" si="59"/>
        <v>1990.1989037524042</v>
      </c>
      <c r="X117" s="80">
        <f t="shared" ca="1" si="82"/>
        <v>-10.050532514620603</v>
      </c>
      <c r="Y117" s="80">
        <f t="shared" ca="1" si="83"/>
        <v>-243.12844673218871</v>
      </c>
      <c r="Z117" s="80">
        <f t="shared" ca="1" si="73"/>
        <v>0</v>
      </c>
      <c r="AA117" s="80">
        <f t="shared" ca="1" si="84"/>
        <v>-277.16642927469519</v>
      </c>
      <c r="AB117" s="81">
        <f t="shared" ca="1" si="60"/>
        <v>-1675.4975716151423</v>
      </c>
      <c r="AC117" s="79">
        <f t="shared" ca="1" si="61"/>
        <v>291538.49200224219</v>
      </c>
      <c r="AD117" s="35"/>
      <c r="AE117" s="62">
        <f t="shared" ca="1" si="62"/>
        <v>-2500.6101455486769</v>
      </c>
      <c r="AF117" s="62">
        <f t="shared" ca="1" si="63"/>
        <v>435109.0226982577</v>
      </c>
      <c r="AG117" s="35"/>
      <c r="AH117" s="35"/>
      <c r="AK117" s="66"/>
      <c r="AL117" s="66"/>
      <c r="AM117" s="66"/>
      <c r="AN117" s="66"/>
      <c r="AR117" s="69">
        <f t="shared" si="77"/>
        <v>10</v>
      </c>
      <c r="AS117" s="70">
        <f t="shared" si="86"/>
        <v>114</v>
      </c>
      <c r="AT117" s="71">
        <f t="shared" si="87"/>
        <v>0.45826175720980816</v>
      </c>
      <c r="AU117" s="72">
        <f t="shared" si="64"/>
        <v>6.8214933659622723E-3</v>
      </c>
      <c r="AV117" s="73">
        <f t="shared" si="78"/>
        <v>1.0068214933659623</v>
      </c>
      <c r="AW117" s="74">
        <f>PRODUCT(AV$4:AV117)</f>
        <v>2.1706135649862186</v>
      </c>
      <c r="AY117" s="75">
        <f t="shared" si="88"/>
        <v>114</v>
      </c>
      <c r="AZ117" s="76">
        <f t="shared" ca="1" si="98"/>
        <v>1.0068214933659623</v>
      </c>
      <c r="BA117" s="76">
        <f t="shared" ca="1" si="98"/>
        <v>1.0068214933659623</v>
      </c>
      <c r="BB117" s="76">
        <f t="shared" ca="1" si="98"/>
        <v>1.0068214933659623</v>
      </c>
      <c r="BC117" s="76">
        <f t="shared" ca="1" si="98"/>
        <v>1.0068214933659623</v>
      </c>
      <c r="BD117" s="76">
        <f t="shared" ca="1" si="98"/>
        <v>1.0068214933659623</v>
      </c>
      <c r="BE117" s="76">
        <f t="shared" ca="1" si="98"/>
        <v>1.0068214933659623</v>
      </c>
      <c r="BF117" s="76">
        <f t="shared" ca="1" si="98"/>
        <v>1.0068214933659623</v>
      </c>
      <c r="BG117" s="76">
        <f t="shared" ca="1" si="98"/>
        <v>1.0068214933659623</v>
      </c>
      <c r="BH117" s="76">
        <f t="shared" ca="1" si="98"/>
        <v>1.0068214933659623</v>
      </c>
      <c r="BI117" s="76">
        <f t="shared" ca="1" si="98"/>
        <v>1.0068214933659623</v>
      </c>
      <c r="BJ117" s="76">
        <f t="shared" ca="1" si="98"/>
        <v>1.0068214933659623</v>
      </c>
      <c r="BK117" s="76">
        <f t="shared" ca="1" si="98"/>
        <v>1.0068214933659623</v>
      </c>
      <c r="BL117" s="76">
        <f t="shared" ca="1" si="95"/>
        <v>8.5000000000000853E-2</v>
      </c>
      <c r="BM117" s="77">
        <f t="shared" ca="1" si="96"/>
        <v>10939.315627700946</v>
      </c>
    </row>
    <row r="118" spans="5:65">
      <c r="E118">
        <f t="shared" si="93"/>
        <v>115</v>
      </c>
      <c r="F118" s="64">
        <f t="shared" si="66"/>
        <v>64.12</v>
      </c>
      <c r="G118" s="55">
        <f t="shared" si="53"/>
        <v>0</v>
      </c>
      <c r="H118" s="78">
        <f t="shared" si="89"/>
        <v>1</v>
      </c>
      <c r="I118" s="79">
        <f t="shared" si="67"/>
        <v>486973.90337942442</v>
      </c>
      <c r="J118" s="79">
        <f t="shared" si="54"/>
        <v>3321.8892512994962</v>
      </c>
      <c r="K118" s="80">
        <f t="shared" si="55"/>
        <v>-15</v>
      </c>
      <c r="L118" s="80">
        <f t="shared" si="68"/>
        <v>-405.81158614952039</v>
      </c>
      <c r="M118" s="80">
        <f t="shared" si="91"/>
        <v>0</v>
      </c>
      <c r="N118" s="80">
        <f t="shared" si="69"/>
        <v>-462.62520821045331</v>
      </c>
      <c r="O118" s="81">
        <f t="shared" si="56"/>
        <v>-2083.3333333333335</v>
      </c>
      <c r="P118" s="79">
        <f t="shared" si="57"/>
        <v>487329.02250303066</v>
      </c>
      <c r="Q118" s="35"/>
      <c r="R118">
        <f t="shared" ca="1" si="70"/>
        <v>240</v>
      </c>
      <c r="S118" s="78">
        <f t="shared" ca="1" si="71"/>
        <v>74.12</v>
      </c>
      <c r="T118" s="55">
        <f t="shared" ca="1" si="58"/>
        <v>5.1085345568211427E-3</v>
      </c>
      <c r="U118" s="78">
        <f t="shared" ca="1" si="81"/>
        <v>0.66661260146368062</v>
      </c>
      <c r="V118" s="79">
        <f t="shared" ca="1" si="72"/>
        <v>290049.15754120523</v>
      </c>
      <c r="W118" s="79">
        <f t="shared" ca="1" si="59"/>
        <v>1978.5684039702776</v>
      </c>
      <c r="X118" s="80">
        <f t="shared" ca="1" si="82"/>
        <v>-9.9991890219552086</v>
      </c>
      <c r="Y118" s="80">
        <f t="shared" ca="1" si="83"/>
        <v>-241.70763128433771</v>
      </c>
      <c r="Z118" s="80">
        <f t="shared" ca="1" si="73"/>
        <v>0</v>
      </c>
      <c r="AA118" s="80">
        <f t="shared" ca="1" si="84"/>
        <v>-275.54669966414502</v>
      </c>
      <c r="AB118" s="81">
        <f t="shared" ca="1" si="60"/>
        <v>-1666.9382343706766</v>
      </c>
      <c r="AC118" s="79">
        <f t="shared" ca="1" si="61"/>
        <v>289833.53419083444</v>
      </c>
      <c r="AD118" s="35"/>
      <c r="AE118" s="62">
        <f t="shared" ca="1" si="62"/>
        <v>-2500.6101455486769</v>
      </c>
      <c r="AF118" s="62">
        <f t="shared" ca="1" si="63"/>
        <v>434785.56144070369</v>
      </c>
      <c r="AG118" s="35"/>
      <c r="AH118" s="35"/>
      <c r="AK118" s="66"/>
      <c r="AL118" s="66"/>
      <c r="AM118" s="66"/>
      <c r="AN118" s="66"/>
      <c r="AR118" s="69">
        <f t="shared" si="77"/>
        <v>10</v>
      </c>
      <c r="AS118" s="70">
        <f t="shared" si="86"/>
        <v>115</v>
      </c>
      <c r="AT118" s="71">
        <f t="shared" si="87"/>
        <v>0.45513572767312727</v>
      </c>
      <c r="AU118" s="72">
        <f t="shared" si="64"/>
        <v>6.8214933659622723E-3</v>
      </c>
      <c r="AV118" s="73">
        <f t="shared" si="78"/>
        <v>1.0068214933659623</v>
      </c>
      <c r="AW118" s="74">
        <f>PRODUCT(AV$4:AV118)</f>
        <v>2.1854203910198398</v>
      </c>
      <c r="AY118" s="75">
        <f t="shared" si="88"/>
        <v>115</v>
      </c>
      <c r="AZ118" s="76">
        <f t="shared" ca="1" si="98"/>
        <v>1.0068214933659623</v>
      </c>
      <c r="BA118" s="76">
        <f t="shared" ca="1" si="98"/>
        <v>1.0068214933659623</v>
      </c>
      <c r="BB118" s="76">
        <f t="shared" ca="1" si="98"/>
        <v>1.0068214933659623</v>
      </c>
      <c r="BC118" s="76">
        <f t="shared" ca="1" si="98"/>
        <v>1.0068214933659623</v>
      </c>
      <c r="BD118" s="76">
        <f t="shared" ca="1" si="98"/>
        <v>1.0068214933659623</v>
      </c>
      <c r="BE118" s="76">
        <f t="shared" ca="1" si="98"/>
        <v>1.0068214933659623</v>
      </c>
      <c r="BF118" s="76">
        <f t="shared" ca="1" si="98"/>
        <v>1.0068214933659623</v>
      </c>
      <c r="BG118" s="76">
        <f t="shared" ca="1" si="98"/>
        <v>1.0068214933659623</v>
      </c>
      <c r="BH118" s="76">
        <f t="shared" ca="1" si="98"/>
        <v>1.0068214933659623</v>
      </c>
      <c r="BI118" s="76">
        <f t="shared" ca="1" si="98"/>
        <v>1.0068214933659623</v>
      </c>
      <c r="BJ118" s="76">
        <f t="shared" ca="1" si="98"/>
        <v>1.0068214933659623</v>
      </c>
      <c r="BK118" s="76">
        <f t="shared" ca="1" si="98"/>
        <v>1.0068214933659623</v>
      </c>
      <c r="BL118" s="76">
        <f t="shared" ca="1" si="95"/>
        <v>8.5000000000000853E-2</v>
      </c>
      <c r="BM118" s="77">
        <f t="shared" ca="1" si="96"/>
        <v>11869.157456055535</v>
      </c>
    </row>
    <row r="119" spans="5:65">
      <c r="E119">
        <f t="shared" si="93"/>
        <v>116</v>
      </c>
      <c r="F119" s="64">
        <f t="shared" si="66"/>
        <v>64.2</v>
      </c>
      <c r="G119" s="55">
        <f t="shared" si="53"/>
        <v>0</v>
      </c>
      <c r="H119" s="78">
        <f t="shared" si="89"/>
        <v>1</v>
      </c>
      <c r="I119" s="79">
        <f t="shared" si="67"/>
        <v>487329.02250303066</v>
      </c>
      <c r="J119" s="79">
        <f t="shared" si="54"/>
        <v>3324.3116940453024</v>
      </c>
      <c r="K119" s="80">
        <f t="shared" si="55"/>
        <v>-15</v>
      </c>
      <c r="L119" s="80">
        <f t="shared" si="68"/>
        <v>-406.10751875252555</v>
      </c>
      <c r="M119" s="80">
        <f t="shared" si="91"/>
        <v>0</v>
      </c>
      <c r="N119" s="80">
        <f t="shared" si="69"/>
        <v>-462.96257137787921</v>
      </c>
      <c r="O119" s="81">
        <f t="shared" si="56"/>
        <v>-2083.3333333333335</v>
      </c>
      <c r="P119" s="79">
        <f t="shared" si="57"/>
        <v>487685.93077361229</v>
      </c>
      <c r="Q119" s="35"/>
      <c r="R119">
        <f t="shared" ca="1" si="70"/>
        <v>241</v>
      </c>
      <c r="S119" s="78">
        <f t="shared" ca="1" si="71"/>
        <v>74.2</v>
      </c>
      <c r="T119" s="55">
        <f t="shared" ca="1" si="58"/>
        <v>5.1085345568211427E-3</v>
      </c>
      <c r="U119" s="78">
        <f t="shared" ca="1" si="81"/>
        <v>0.66320718795309097</v>
      </c>
      <c r="V119" s="79">
        <f t="shared" ca="1" si="72"/>
        <v>288352.90956569498</v>
      </c>
      <c r="W119" s="79">
        <f t="shared" ca="1" si="59"/>
        <v>1966.9974596583074</v>
      </c>
      <c r="X119" s="80">
        <f t="shared" ca="1" si="82"/>
        <v>-9.9481078192963643</v>
      </c>
      <c r="Y119" s="80">
        <f t="shared" ca="1" si="83"/>
        <v>-240.29409130474582</v>
      </c>
      <c r="Z119" s="80">
        <f t="shared" ca="1" si="73"/>
        <v>-2162.6468217427123</v>
      </c>
      <c r="AA119" s="80">
        <f t="shared" ca="1" si="84"/>
        <v>-273.9352640874103</v>
      </c>
      <c r="AB119" s="81">
        <f t="shared" ca="1" si="60"/>
        <v>-1658.4226227963075</v>
      </c>
      <c r="AC119" s="79">
        <f t="shared" ca="1" si="61"/>
        <v>285974.66011760279</v>
      </c>
      <c r="AD119" s="35"/>
      <c r="AE119" s="62">
        <f t="shared" ca="1" si="62"/>
        <v>-2500.6101455486769</v>
      </c>
      <c r="AF119" s="62">
        <f t="shared" ca="1" si="63"/>
        <v>431199.57882276445</v>
      </c>
      <c r="AG119" s="35"/>
      <c r="AH119" s="35"/>
      <c r="AK119" s="66"/>
      <c r="AL119" s="66"/>
      <c r="AM119" s="66"/>
      <c r="AN119" s="66"/>
      <c r="AR119" s="69">
        <f t="shared" si="77"/>
        <v>10</v>
      </c>
      <c r="AS119" s="70">
        <f t="shared" si="86"/>
        <v>116</v>
      </c>
      <c r="AT119" s="71">
        <f t="shared" si="87"/>
        <v>0.45203102232619263</v>
      </c>
      <c r="AU119" s="72">
        <f t="shared" si="64"/>
        <v>6.8214933659622723E-3</v>
      </c>
      <c r="AV119" s="73">
        <f t="shared" si="78"/>
        <v>1.0068214933659623</v>
      </c>
      <c r="AW119" s="74">
        <f>PRODUCT(AV$4:AV119)</f>
        <v>2.2003282217190203</v>
      </c>
      <c r="AY119" s="75">
        <f t="shared" si="88"/>
        <v>116</v>
      </c>
      <c r="AZ119" s="76">
        <f t="shared" ca="1" si="98"/>
        <v>1.0068214933659623</v>
      </c>
      <c r="BA119" s="76">
        <f t="shared" ca="1" si="98"/>
        <v>1.0068214933659623</v>
      </c>
      <c r="BB119" s="76">
        <f t="shared" ca="1" si="98"/>
        <v>1.0068214933659623</v>
      </c>
      <c r="BC119" s="76">
        <f t="shared" ca="1" si="98"/>
        <v>1.0068214933659623</v>
      </c>
      <c r="BD119" s="76">
        <f t="shared" ca="1" si="98"/>
        <v>1.0068214933659623</v>
      </c>
      <c r="BE119" s="76">
        <f t="shared" ca="1" si="98"/>
        <v>1.0068214933659623</v>
      </c>
      <c r="BF119" s="76">
        <f t="shared" ca="1" si="98"/>
        <v>1.0068214933659623</v>
      </c>
      <c r="BG119" s="76">
        <f t="shared" ca="1" si="98"/>
        <v>1.0068214933659623</v>
      </c>
      <c r="BH119" s="76">
        <f t="shared" ca="1" si="98"/>
        <v>1.0068214933659623</v>
      </c>
      <c r="BI119" s="76">
        <f t="shared" ca="1" si="98"/>
        <v>1.0068214933659623</v>
      </c>
      <c r="BJ119" s="76">
        <f t="shared" ca="1" si="98"/>
        <v>1.0068214933659623</v>
      </c>
      <c r="BK119" s="76">
        <f t="shared" ca="1" si="98"/>
        <v>1.0068214933659623</v>
      </c>
      <c r="BL119" s="76">
        <f t="shared" ca="1" si="95"/>
        <v>8.5000000000000853E-2</v>
      </c>
      <c r="BM119" s="77">
        <f t="shared" ca="1" si="96"/>
        <v>12878.035839820264</v>
      </c>
    </row>
    <row r="120" spans="5:65">
      <c r="E120">
        <f t="shared" si="93"/>
        <v>117</v>
      </c>
      <c r="F120" s="64">
        <f t="shared" si="66"/>
        <v>64.28</v>
      </c>
      <c r="G120" s="55">
        <f t="shared" si="53"/>
        <v>0</v>
      </c>
      <c r="H120" s="78">
        <f t="shared" si="89"/>
        <v>1</v>
      </c>
      <c r="I120" s="79">
        <f t="shared" si="67"/>
        <v>487685.93077361229</v>
      </c>
      <c r="J120" s="79">
        <f t="shared" si="54"/>
        <v>3326.7463414453323</v>
      </c>
      <c r="K120" s="80">
        <f t="shared" si="55"/>
        <v>-15</v>
      </c>
      <c r="L120" s="80">
        <f t="shared" si="68"/>
        <v>-406.40494231134358</v>
      </c>
      <c r="M120" s="80">
        <f t="shared" si="91"/>
        <v>0</v>
      </c>
      <c r="N120" s="80">
        <f t="shared" si="69"/>
        <v>-463.30163423493173</v>
      </c>
      <c r="O120" s="81">
        <f t="shared" si="56"/>
        <v>-2083.3333333333335</v>
      </c>
      <c r="P120" s="79">
        <f t="shared" si="57"/>
        <v>488044.63720517798</v>
      </c>
      <c r="Q120" s="35"/>
      <c r="R120">
        <f t="shared" ca="1" si="70"/>
        <v>242</v>
      </c>
      <c r="S120" s="78">
        <f t="shared" ca="1" si="71"/>
        <v>74.28</v>
      </c>
      <c r="T120" s="55">
        <f t="shared" ca="1" si="58"/>
        <v>5.1085345568211427E-3</v>
      </c>
      <c r="U120" s="78">
        <f t="shared" ca="1" si="81"/>
        <v>0.65981917111510047</v>
      </c>
      <c r="V120" s="79">
        <f t="shared" ca="1" si="72"/>
        <v>284513.74868401681</v>
      </c>
      <c r="W120" s="79">
        <f t="shared" ca="1" si="59"/>
        <v>1940.8086491730778</v>
      </c>
      <c r="X120" s="80">
        <f t="shared" ca="1" si="82"/>
        <v>-9.8972875667265079</v>
      </c>
      <c r="Y120" s="80">
        <f t="shared" ca="1" si="83"/>
        <v>-237.09479057001403</v>
      </c>
      <c r="Z120" s="80">
        <f t="shared" ca="1" si="73"/>
        <v>0</v>
      </c>
      <c r="AA120" s="80">
        <f t="shared" ca="1" si="84"/>
        <v>-270.28806124981605</v>
      </c>
      <c r="AB120" s="81">
        <f t="shared" ca="1" si="60"/>
        <v>-1649.9505135179388</v>
      </c>
      <c r="AC120" s="79">
        <f t="shared" ca="1" si="61"/>
        <v>284287.32668028533</v>
      </c>
      <c r="AD120" s="35"/>
      <c r="AE120" s="62">
        <f t="shared" ca="1" si="62"/>
        <v>-2500.6101455486769</v>
      </c>
      <c r="AF120" s="62">
        <f t="shared" ca="1" si="63"/>
        <v>430856.42116132687</v>
      </c>
      <c r="AG120" s="35"/>
      <c r="AH120" s="35"/>
      <c r="AK120" s="66"/>
      <c r="AL120" s="66"/>
      <c r="AM120" s="66"/>
      <c r="AN120" s="66"/>
      <c r="AR120" s="69">
        <f t="shared" si="77"/>
        <v>10</v>
      </c>
      <c r="AS120" s="70">
        <f t="shared" si="86"/>
        <v>117</v>
      </c>
      <c r="AT120" s="71">
        <f t="shared" si="87"/>
        <v>0.44894749570618536</v>
      </c>
      <c r="AU120" s="72">
        <f t="shared" si="64"/>
        <v>6.8214933659622723E-3</v>
      </c>
      <c r="AV120" s="73">
        <f t="shared" si="78"/>
        <v>1.0068214933659623</v>
      </c>
      <c r="AW120" s="74">
        <f>PRODUCT(AV$4:AV120)</f>
        <v>2.2153377460864161</v>
      </c>
      <c r="AY120" s="75">
        <f t="shared" si="88"/>
        <v>117</v>
      </c>
      <c r="AZ120" s="76">
        <f t="shared" ca="1" si="98"/>
        <v>1.0068214933659623</v>
      </c>
      <c r="BA120" s="76">
        <f t="shared" ca="1" si="98"/>
        <v>1.0068214933659623</v>
      </c>
      <c r="BB120" s="76">
        <f t="shared" ca="1" si="98"/>
        <v>1.0068214933659623</v>
      </c>
      <c r="BC120" s="76">
        <f t="shared" ca="1" si="98"/>
        <v>1.0068214933659623</v>
      </c>
      <c r="BD120" s="76">
        <f t="shared" ca="1" si="98"/>
        <v>1.0068214933659623</v>
      </c>
      <c r="BE120" s="76">
        <f t="shared" ca="1" si="98"/>
        <v>1.0068214933659623</v>
      </c>
      <c r="BF120" s="76">
        <f t="shared" ca="1" si="98"/>
        <v>1.0068214933659623</v>
      </c>
      <c r="BG120" s="76">
        <f t="shared" ca="1" si="98"/>
        <v>1.0068214933659623</v>
      </c>
      <c r="BH120" s="76">
        <f t="shared" ca="1" si="98"/>
        <v>1.0068214933659623</v>
      </c>
      <c r="BI120" s="76">
        <f t="shared" ca="1" si="98"/>
        <v>1.0068214933659623</v>
      </c>
      <c r="BJ120" s="76">
        <f t="shared" ca="1" si="98"/>
        <v>1.0068214933659623</v>
      </c>
      <c r="BK120" s="76">
        <f t="shared" ca="1" si="98"/>
        <v>1.0068214933659623</v>
      </c>
      <c r="BL120" s="76">
        <f t="shared" ca="1" si="95"/>
        <v>8.5000000000000853E-2</v>
      </c>
      <c r="BM120" s="77">
        <f t="shared" ca="1" si="96"/>
        <v>13972.668886204998</v>
      </c>
    </row>
    <row r="121" spans="5:65">
      <c r="E121">
        <f t="shared" si="93"/>
        <v>118</v>
      </c>
      <c r="F121" s="64">
        <f t="shared" si="66"/>
        <v>64.36</v>
      </c>
      <c r="G121" s="55">
        <f t="shared" si="53"/>
        <v>0</v>
      </c>
      <c r="H121" s="78">
        <f t="shared" si="89"/>
        <v>1</v>
      </c>
      <c r="I121" s="79">
        <f t="shared" si="67"/>
        <v>488044.63720517798</v>
      </c>
      <c r="J121" s="79">
        <f t="shared" si="54"/>
        <v>3329.1932549885855</v>
      </c>
      <c r="K121" s="80">
        <f t="shared" si="55"/>
        <v>-15</v>
      </c>
      <c r="L121" s="80">
        <f t="shared" si="68"/>
        <v>-406.70386433764833</v>
      </c>
      <c r="M121" s="80">
        <f t="shared" si="91"/>
        <v>0</v>
      </c>
      <c r="N121" s="80">
        <f t="shared" si="69"/>
        <v>-463.64240534491915</v>
      </c>
      <c r="O121" s="81">
        <f t="shared" si="56"/>
        <v>-2083.3333333333335</v>
      </c>
      <c r="P121" s="79">
        <f t="shared" si="57"/>
        <v>488405.15085715067</v>
      </c>
      <c r="Q121" s="35"/>
      <c r="R121">
        <f t="shared" ca="1" si="70"/>
        <v>243</v>
      </c>
      <c r="S121" s="78">
        <f t="shared" ca="1" si="71"/>
        <v>74.36</v>
      </c>
      <c r="T121" s="55">
        <f t="shared" ca="1" si="58"/>
        <v>5.1085345568211427E-3</v>
      </c>
      <c r="U121" s="78">
        <f t="shared" ca="1" si="81"/>
        <v>0.65644846207820584</v>
      </c>
      <c r="V121" s="79">
        <f t="shared" ca="1" si="72"/>
        <v>282835.03504787281</v>
      </c>
      <c r="W121" s="79">
        <f t="shared" ca="1" si="59"/>
        <v>1929.3573152407712</v>
      </c>
      <c r="X121" s="80">
        <f t="shared" ca="1" si="82"/>
        <v>-9.8467269311730874</v>
      </c>
      <c r="Y121" s="80">
        <f t="shared" ca="1" si="83"/>
        <v>-235.69586253989402</v>
      </c>
      <c r="Z121" s="80">
        <f t="shared" ca="1" si="73"/>
        <v>0</v>
      </c>
      <c r="AA121" s="80">
        <f t="shared" ca="1" si="84"/>
        <v>-268.6932832954792</v>
      </c>
      <c r="AB121" s="81">
        <f t="shared" ca="1" si="60"/>
        <v>-1641.5216843025873</v>
      </c>
      <c r="AC121" s="79">
        <f t="shared" ca="1" si="61"/>
        <v>282608.63480604446</v>
      </c>
      <c r="AD121" s="35"/>
      <c r="AE121" s="62">
        <f t="shared" ca="1" si="62"/>
        <v>-2500.6101455486769</v>
      </c>
      <c r="AF121" s="62">
        <f t="shared" ca="1" si="63"/>
        <v>430511.53461667482</v>
      </c>
      <c r="AG121" s="35"/>
      <c r="AH121" s="35"/>
      <c r="AR121" s="69">
        <f t="shared" si="77"/>
        <v>10</v>
      </c>
      <c r="AS121" s="70">
        <f t="shared" si="86"/>
        <v>118</v>
      </c>
      <c r="AT121" s="71">
        <f t="shared" si="87"/>
        <v>0.44588500334256026</v>
      </c>
      <c r="AU121" s="72">
        <f t="shared" si="64"/>
        <v>6.8214933659622723E-3</v>
      </c>
      <c r="AV121" s="73">
        <f t="shared" si="78"/>
        <v>1.0068214933659623</v>
      </c>
      <c r="AW121" s="74">
        <f>PRODUCT(AV$4:AV121)</f>
        <v>2.2304496578247104</v>
      </c>
      <c r="AY121" s="75">
        <f t="shared" si="88"/>
        <v>118</v>
      </c>
      <c r="AZ121" s="76">
        <f t="shared" ca="1" si="98"/>
        <v>1.0068214933659623</v>
      </c>
      <c r="BA121" s="76">
        <f t="shared" ca="1" si="98"/>
        <v>1.0068214933659623</v>
      </c>
      <c r="BB121" s="76">
        <f t="shared" ca="1" si="98"/>
        <v>1.0068214933659623</v>
      </c>
      <c r="BC121" s="76">
        <f t="shared" ca="1" si="98"/>
        <v>1.0068214933659623</v>
      </c>
      <c r="BD121" s="76">
        <f t="shared" ca="1" si="98"/>
        <v>1.0068214933659623</v>
      </c>
      <c r="BE121" s="76">
        <f t="shared" ca="1" si="98"/>
        <v>1.0068214933659623</v>
      </c>
      <c r="BF121" s="76">
        <f t="shared" ca="1" si="98"/>
        <v>1.0068214933659623</v>
      </c>
      <c r="BG121" s="76">
        <f t="shared" ca="1" si="98"/>
        <v>1.0068214933659623</v>
      </c>
      <c r="BH121" s="76">
        <f t="shared" ca="1" si="98"/>
        <v>1.0068214933659623</v>
      </c>
      <c r="BI121" s="76">
        <f t="shared" ca="1" si="98"/>
        <v>1.0068214933659623</v>
      </c>
      <c r="BJ121" s="76">
        <f t="shared" ca="1" si="98"/>
        <v>1.0068214933659623</v>
      </c>
      <c r="BK121" s="76">
        <f t="shared" ca="1" si="98"/>
        <v>1.0068214933659623</v>
      </c>
      <c r="BL121" s="76">
        <f t="shared" ca="1" si="95"/>
        <v>8.5000000000000853E-2</v>
      </c>
      <c r="BM121" s="77">
        <f t="shared" ca="1" si="96"/>
        <v>15160.345741532434</v>
      </c>
    </row>
    <row r="122" spans="5:65">
      <c r="E122">
        <f t="shared" si="93"/>
        <v>119</v>
      </c>
      <c r="F122" s="64">
        <f t="shared" si="66"/>
        <v>64.44</v>
      </c>
      <c r="G122" s="55">
        <f t="shared" si="53"/>
        <v>0</v>
      </c>
      <c r="H122" s="78">
        <f t="shared" si="89"/>
        <v>1</v>
      </c>
      <c r="I122" s="79">
        <f t="shared" si="67"/>
        <v>488405.15085715067</v>
      </c>
      <c r="J122" s="79">
        <f t="shared" si="54"/>
        <v>3331.652496473856</v>
      </c>
      <c r="K122" s="80">
        <f t="shared" si="55"/>
        <v>-15</v>
      </c>
      <c r="L122" s="80">
        <f t="shared" si="68"/>
        <v>-407.00429238095893</v>
      </c>
      <c r="M122" s="80">
        <f t="shared" si="91"/>
        <v>0</v>
      </c>
      <c r="N122" s="80">
        <f t="shared" si="69"/>
        <v>-463.98489331429323</v>
      </c>
      <c r="O122" s="81">
        <f t="shared" si="56"/>
        <v>-2083.3333333333335</v>
      </c>
      <c r="P122" s="79">
        <f t="shared" si="57"/>
        <v>488767.48083459598</v>
      </c>
      <c r="Q122" s="35"/>
      <c r="R122">
        <f t="shared" ca="1" si="70"/>
        <v>244</v>
      </c>
      <c r="S122" s="78">
        <f t="shared" ca="1" si="71"/>
        <v>74.44</v>
      </c>
      <c r="T122" s="55">
        <f t="shared" ca="1" si="58"/>
        <v>5.1085345568211427E-3</v>
      </c>
      <c r="U122" s="78">
        <f t="shared" ca="1" si="81"/>
        <v>0.65309497242490722</v>
      </c>
      <c r="V122" s="79">
        <f t="shared" ca="1" si="72"/>
        <v>281164.91882908175</v>
      </c>
      <c r="W122" s="79">
        <f t="shared" ca="1" si="59"/>
        <v>1917.964628533902</v>
      </c>
      <c r="X122" s="80">
        <f t="shared" ca="1" si="82"/>
        <v>-9.7964245863736075</v>
      </c>
      <c r="Y122" s="80">
        <f t="shared" ca="1" si="83"/>
        <v>-234.3040990242348</v>
      </c>
      <c r="Z122" s="80">
        <f t="shared" ca="1" si="73"/>
        <v>0</v>
      </c>
      <c r="AA122" s="80">
        <f t="shared" ca="1" si="84"/>
        <v>-267.10667288762772</v>
      </c>
      <c r="AB122" s="81">
        <f t="shared" ca="1" si="60"/>
        <v>-1633.1359140525565</v>
      </c>
      <c r="AC122" s="79">
        <f t="shared" ca="1" si="61"/>
        <v>280938.5403470649</v>
      </c>
      <c r="AD122" s="35"/>
      <c r="AE122" s="62">
        <f t="shared" ca="1" si="62"/>
        <v>-2500.6101455486769</v>
      </c>
      <c r="AF122" s="62">
        <f t="shared" ca="1" si="63"/>
        <v>430164.9104784177</v>
      </c>
      <c r="AG122" s="35"/>
      <c r="AH122" s="35"/>
      <c r="AR122" s="69">
        <f t="shared" si="77"/>
        <v>10</v>
      </c>
      <c r="AS122" s="70">
        <f t="shared" si="86"/>
        <v>119</v>
      </c>
      <c r="AT122" s="71">
        <f t="shared" si="87"/>
        <v>0.44284340175027692</v>
      </c>
      <c r="AU122" s="72">
        <f t="shared" si="64"/>
        <v>6.8214933659622723E-3</v>
      </c>
      <c r="AV122" s="73">
        <f t="shared" si="78"/>
        <v>1.0068214933659623</v>
      </c>
      <c r="AW122" s="74">
        <f>PRODUCT(AV$4:AV122)</f>
        <v>2.2456646553686745</v>
      </c>
      <c r="AY122" s="75">
        <f t="shared" si="88"/>
        <v>119</v>
      </c>
      <c r="AZ122" s="76">
        <f t="shared" ca="1" si="98"/>
        <v>1.0068214933659623</v>
      </c>
      <c r="BA122" s="76">
        <f t="shared" ca="1" si="98"/>
        <v>1.0068214933659623</v>
      </c>
      <c r="BB122" s="76">
        <f t="shared" ca="1" si="98"/>
        <v>1.0068214933659623</v>
      </c>
      <c r="BC122" s="76">
        <f t="shared" ca="1" si="98"/>
        <v>1.0068214933659623</v>
      </c>
      <c r="BD122" s="76">
        <f t="shared" ca="1" si="98"/>
        <v>1.0068214933659623</v>
      </c>
      <c r="BE122" s="76">
        <f t="shared" ca="1" si="98"/>
        <v>1.0068214933659623</v>
      </c>
      <c r="BF122" s="76">
        <f t="shared" ca="1" si="98"/>
        <v>1.0068214933659623</v>
      </c>
      <c r="BG122" s="76">
        <f t="shared" ca="1" si="98"/>
        <v>1.0068214933659623</v>
      </c>
      <c r="BH122" s="76">
        <f t="shared" ca="1" si="98"/>
        <v>1.0068214933659623</v>
      </c>
      <c r="BI122" s="76">
        <f t="shared" ca="1" si="98"/>
        <v>1.0068214933659623</v>
      </c>
      <c r="BJ122" s="76">
        <f t="shared" ca="1" si="98"/>
        <v>1.0068214933659623</v>
      </c>
      <c r="BK122" s="76">
        <f t="shared" ca="1" si="98"/>
        <v>1.0068214933659623</v>
      </c>
      <c r="BL122" s="76">
        <f t="shared" ca="1" si="95"/>
        <v>8.5000000000000853E-2</v>
      </c>
      <c r="BM122" s="77">
        <f t="shared" ca="1" si="96"/>
        <v>16448.975129562703</v>
      </c>
    </row>
    <row r="123" spans="5:65">
      <c r="E123">
        <f t="shared" si="93"/>
        <v>120</v>
      </c>
      <c r="F123" s="64">
        <f t="shared" si="66"/>
        <v>64.52</v>
      </c>
      <c r="G123" s="55">
        <f t="shared" si="53"/>
        <v>0</v>
      </c>
      <c r="H123" s="78">
        <f t="shared" si="89"/>
        <v>1</v>
      </c>
      <c r="I123" s="79">
        <f t="shared" si="67"/>
        <v>488767.48083459598</v>
      </c>
      <c r="J123" s="79">
        <f t="shared" si="54"/>
        <v>3334.1241280112886</v>
      </c>
      <c r="K123" s="80">
        <f t="shared" si="55"/>
        <v>-15</v>
      </c>
      <c r="L123" s="80">
        <f t="shared" si="68"/>
        <v>-407.30623402883003</v>
      </c>
      <c r="M123" s="80">
        <f t="shared" si="91"/>
        <v>0</v>
      </c>
      <c r="N123" s="80">
        <f t="shared" si="69"/>
        <v>-464.32910679286624</v>
      </c>
      <c r="O123" s="81">
        <f t="shared" si="56"/>
        <v>-2083.3333333333335</v>
      </c>
      <c r="P123" s="79">
        <f t="shared" si="57"/>
        <v>489131.63628845225</v>
      </c>
      <c r="Q123" s="35"/>
      <c r="R123">
        <f t="shared" ca="1" si="70"/>
        <v>245</v>
      </c>
      <c r="S123" s="78">
        <f t="shared" ca="1" si="71"/>
        <v>74.52</v>
      </c>
      <c r="T123" s="55">
        <f t="shared" ca="1" si="58"/>
        <v>5.5703631168392276E-3</v>
      </c>
      <c r="U123" s="78">
        <f t="shared" ca="1" si="81"/>
        <v>0.64945699627871833</v>
      </c>
      <c r="V123" s="79">
        <f t="shared" ca="1" si="72"/>
        <v>279373.61066381697</v>
      </c>
      <c r="W123" s="79">
        <f t="shared" ca="1" si="59"/>
        <v>1905.7452317681541</v>
      </c>
      <c r="X123" s="80">
        <f t="shared" ca="1" si="82"/>
        <v>-9.7418549441807745</v>
      </c>
      <c r="Y123" s="80">
        <f t="shared" ca="1" si="83"/>
        <v>-232.81134221984749</v>
      </c>
      <c r="Z123" s="80">
        <f t="shared" ca="1" si="73"/>
        <v>0</v>
      </c>
      <c r="AA123" s="80">
        <f t="shared" ca="1" si="84"/>
        <v>-265.40493013062616</v>
      </c>
      <c r="AB123" s="81">
        <f t="shared" ca="1" si="60"/>
        <v>-1624.0387539921323</v>
      </c>
      <c r="AC123" s="79">
        <f t="shared" ca="1" si="61"/>
        <v>279147.35901429836</v>
      </c>
      <c r="AD123" s="35"/>
      <c r="AE123" s="62">
        <f t="shared" ca="1" si="62"/>
        <v>-2500.6101455486769</v>
      </c>
      <c r="AF123" s="62">
        <f t="shared" ca="1" si="63"/>
        <v>429816.53999228089</v>
      </c>
      <c r="AG123" s="35"/>
      <c r="AH123" s="35"/>
      <c r="AR123" s="69">
        <f t="shared" si="77"/>
        <v>10</v>
      </c>
      <c r="AS123" s="70">
        <f t="shared" si="86"/>
        <v>120</v>
      </c>
      <c r="AT123" s="71">
        <f t="shared" si="87"/>
        <v>0.43982254842307722</v>
      </c>
      <c r="AU123" s="72">
        <f t="shared" si="64"/>
        <v>6.8214933659622723E-3</v>
      </c>
      <c r="AV123" s="73">
        <f t="shared" si="78"/>
        <v>1.0068214933659623</v>
      </c>
      <c r="AW123" s="74">
        <f>PRODUCT(AV$4:AV123)</f>
        <v>2.2609834419174479</v>
      </c>
      <c r="AY123" s="75">
        <f t="shared" si="88"/>
        <v>120</v>
      </c>
      <c r="AZ123" s="76">
        <f t="shared" ca="1" si="98"/>
        <v>1.0068214933659623</v>
      </c>
      <c r="BA123" s="76">
        <f t="shared" ca="1" si="98"/>
        <v>1.0068214933659623</v>
      </c>
      <c r="BB123" s="76">
        <f t="shared" ca="1" si="98"/>
        <v>1.0068214933659623</v>
      </c>
      <c r="BC123" s="76">
        <f t="shared" ca="1" si="98"/>
        <v>1.0068214933659623</v>
      </c>
      <c r="BD123" s="76">
        <f t="shared" ca="1" si="98"/>
        <v>1.0068214933659623</v>
      </c>
      <c r="BE123" s="76">
        <f t="shared" ca="1" si="98"/>
        <v>1.0068214933659623</v>
      </c>
      <c r="BF123" s="76">
        <f t="shared" ca="1" si="98"/>
        <v>1.0068214933659623</v>
      </c>
      <c r="BG123" s="76">
        <f t="shared" ca="1" si="98"/>
        <v>1.0068214933659623</v>
      </c>
      <c r="BH123" s="76">
        <f t="shared" ca="1" si="98"/>
        <v>1.0068214933659623</v>
      </c>
      <c r="BI123" s="76">
        <f t="shared" ca="1" si="98"/>
        <v>1.0068214933659623</v>
      </c>
      <c r="BJ123" s="76">
        <f t="shared" ca="1" si="98"/>
        <v>1.0068214933659623</v>
      </c>
      <c r="BK123" s="76">
        <f t="shared" ca="1" si="98"/>
        <v>1.0068214933659623</v>
      </c>
      <c r="BL123" s="76">
        <f t="shared" ca="1" si="95"/>
        <v>8.5000000000000853E-2</v>
      </c>
      <c r="BM123" s="77">
        <f t="shared" ca="1" si="96"/>
        <v>17847.138015575547</v>
      </c>
    </row>
    <row r="124" spans="5:65">
      <c r="E124">
        <f t="shared" si="93"/>
        <v>121</v>
      </c>
      <c r="F124" s="64">
        <f t="shared" si="66"/>
        <v>64.599999999999994</v>
      </c>
      <c r="G124" s="55">
        <f t="shared" si="53"/>
        <v>0</v>
      </c>
      <c r="H124" s="78">
        <f t="shared" si="89"/>
        <v>1</v>
      </c>
      <c r="I124" s="79">
        <f t="shared" si="67"/>
        <v>489131.63628845225</v>
      </c>
      <c r="J124" s="79">
        <f t="shared" si="54"/>
        <v>3336.608212023948</v>
      </c>
      <c r="K124" s="80">
        <f t="shared" si="55"/>
        <v>-15</v>
      </c>
      <c r="L124" s="80">
        <f t="shared" si="68"/>
        <v>-407.6096969070436</v>
      </c>
      <c r="M124" s="80">
        <f t="shared" si="91"/>
        <v>-3668.4872721633919</v>
      </c>
      <c r="N124" s="80">
        <f t="shared" si="69"/>
        <v>-464.67505447402976</v>
      </c>
      <c r="O124" s="81">
        <f t="shared" si="56"/>
        <v>-2083.3333333333335</v>
      </c>
      <c r="P124" s="79">
        <f t="shared" si="57"/>
        <v>485829.13914359844</v>
      </c>
      <c r="Q124" s="35"/>
      <c r="R124">
        <f t="shared" ca="1" si="70"/>
        <v>246</v>
      </c>
      <c r="S124" s="78">
        <f t="shared" ca="1" si="71"/>
        <v>74.599999999999994</v>
      </c>
      <c r="T124" s="55">
        <f t="shared" ca="1" si="58"/>
        <v>5.5703631168392276E-3</v>
      </c>
      <c r="U124" s="78">
        <f t="shared" ca="1" si="81"/>
        <v>0.64583928498067422</v>
      </c>
      <c r="V124" s="79">
        <f t="shared" ca="1" si="72"/>
        <v>277592.40686148201</v>
      </c>
      <c r="W124" s="79">
        <f t="shared" ca="1" si="59"/>
        <v>1893.5947618470996</v>
      </c>
      <c r="X124" s="80">
        <f t="shared" ca="1" si="82"/>
        <v>-9.6875892747101133</v>
      </c>
      <c r="Y124" s="80">
        <f t="shared" ca="1" si="83"/>
        <v>-231.3270057179017</v>
      </c>
      <c r="Z124" s="80">
        <f t="shared" ca="1" si="73"/>
        <v>0</v>
      </c>
      <c r="AA124" s="80">
        <f t="shared" ca="1" si="84"/>
        <v>-263.712786518408</v>
      </c>
      <c r="AB124" s="81">
        <f t="shared" ca="1" si="60"/>
        <v>-1614.992268416577</v>
      </c>
      <c r="AC124" s="79">
        <f t="shared" ca="1" si="61"/>
        <v>277366.28197340155</v>
      </c>
      <c r="AD124" s="35"/>
      <c r="AE124" s="62">
        <f t="shared" ca="1" si="62"/>
        <v>-2500.6101455486764</v>
      </c>
      <c r="AF124" s="62">
        <f t="shared" ca="1" si="63"/>
        <v>429466.41435988416</v>
      </c>
      <c r="AG124" s="35"/>
      <c r="AH124" s="35"/>
      <c r="AR124" s="69">
        <f t="shared" si="77"/>
        <v>11</v>
      </c>
      <c r="AS124" s="70">
        <f t="shared" si="86"/>
        <v>121</v>
      </c>
      <c r="AT124" s="71">
        <f t="shared" si="87"/>
        <v>0.43682230182680859</v>
      </c>
      <c r="AU124" s="72">
        <f t="shared" si="64"/>
        <v>6.8214933659622723E-3</v>
      </c>
      <c r="AV124" s="73">
        <f t="shared" si="78"/>
        <v>1.0068214933659623</v>
      </c>
      <c r="AW124" s="74">
        <f>PRODUCT(AV$4:AV124)</f>
        <v>2.2764067254670382</v>
      </c>
      <c r="AY124" s="75">
        <f t="shared" si="88"/>
        <v>121</v>
      </c>
      <c r="AZ124" s="76">
        <f t="shared" ca="1" si="98"/>
        <v>1.0068214933659623</v>
      </c>
      <c r="BA124" s="76">
        <f t="shared" ca="1" si="98"/>
        <v>1.0068214933659623</v>
      </c>
      <c r="BB124" s="76">
        <f t="shared" ca="1" si="98"/>
        <v>1.0068214933659623</v>
      </c>
      <c r="BC124" s="76">
        <f t="shared" ca="1" si="98"/>
        <v>1.0068214933659623</v>
      </c>
      <c r="BD124" s="76">
        <f t="shared" ca="1" si="98"/>
        <v>1.0068214933659623</v>
      </c>
      <c r="BE124" s="76">
        <f t="shared" ca="1" si="98"/>
        <v>1.0068214933659623</v>
      </c>
      <c r="BF124" s="76">
        <f t="shared" ca="1" si="98"/>
        <v>1.0068214933659623</v>
      </c>
      <c r="BG124" s="76">
        <f t="shared" ca="1" si="98"/>
        <v>1.0068214933659623</v>
      </c>
      <c r="BH124" s="76">
        <f t="shared" ca="1" si="98"/>
        <v>1.0068214933659623</v>
      </c>
      <c r="BI124" s="76">
        <f t="shared" ca="1" si="98"/>
        <v>1.0068214933659623</v>
      </c>
      <c r="BJ124" s="76">
        <f t="shared" ca="1" si="98"/>
        <v>1.0068214933659623</v>
      </c>
      <c r="BK124" s="76">
        <f t="shared" ca="1" si="98"/>
        <v>1.0068214933659623</v>
      </c>
      <c r="BL124" s="76">
        <f t="shared" ca="1" si="95"/>
        <v>8.5000000000000853E-2</v>
      </c>
      <c r="BM124" s="77">
        <f t="shared" ca="1" si="96"/>
        <v>19364.144746899485</v>
      </c>
    </row>
    <row r="125" spans="5:65">
      <c r="E125">
        <f t="shared" si="93"/>
        <v>122</v>
      </c>
      <c r="F125" s="64">
        <f t="shared" si="66"/>
        <v>64.680000000000007</v>
      </c>
      <c r="G125" s="55">
        <f t="shared" si="53"/>
        <v>0</v>
      </c>
      <c r="H125" s="78">
        <f t="shared" si="89"/>
        <v>1</v>
      </c>
      <c r="I125" s="79">
        <f t="shared" si="67"/>
        <v>485829.13914359844</v>
      </c>
      <c r="J125" s="79">
        <f t="shared" si="54"/>
        <v>3314.0802496592187</v>
      </c>
      <c r="K125" s="80">
        <f t="shared" si="55"/>
        <v>-15</v>
      </c>
      <c r="L125" s="80">
        <f t="shared" si="68"/>
        <v>-404.85761595299874</v>
      </c>
      <c r="M125" s="80">
        <f t="shared" si="91"/>
        <v>0</v>
      </c>
      <c r="N125" s="80">
        <f t="shared" si="69"/>
        <v>-461.53768218641858</v>
      </c>
      <c r="O125" s="81">
        <f t="shared" si="56"/>
        <v>-2083.3333333333335</v>
      </c>
      <c r="P125" s="79">
        <f t="shared" si="57"/>
        <v>486178.49076178489</v>
      </c>
      <c r="Q125" s="35"/>
      <c r="R125">
        <f t="shared" ca="1" si="70"/>
        <v>247</v>
      </c>
      <c r="S125" s="78">
        <f t="shared" ca="1" si="71"/>
        <v>74.680000000000007</v>
      </c>
      <c r="T125" s="55">
        <f t="shared" ca="1" si="58"/>
        <v>5.5703631168392276E-3</v>
      </c>
      <c r="U125" s="78">
        <f t="shared" ca="1" si="81"/>
        <v>0.64224172564821203</v>
      </c>
      <c r="V125" s="79">
        <f t="shared" ca="1" si="72"/>
        <v>275821.25106644211</v>
      </c>
      <c r="W125" s="79">
        <f t="shared" ca="1" si="59"/>
        <v>1881.5128343411493</v>
      </c>
      <c r="X125" s="80">
        <f t="shared" ca="1" si="82"/>
        <v>-9.6336258847231804</v>
      </c>
      <c r="Y125" s="80">
        <f t="shared" ca="1" si="83"/>
        <v>-229.85104255536845</v>
      </c>
      <c r="Z125" s="80">
        <f t="shared" ca="1" si="73"/>
        <v>0</v>
      </c>
      <c r="AA125" s="80">
        <f t="shared" ca="1" si="84"/>
        <v>-262.03018851312009</v>
      </c>
      <c r="AB125" s="81">
        <f t="shared" ca="1" si="60"/>
        <v>-1605.9961750506088</v>
      </c>
      <c r="AC125" s="79">
        <f t="shared" ca="1" si="61"/>
        <v>275595.25286877947</v>
      </c>
      <c r="AD125" s="35"/>
      <c r="AE125" s="62">
        <f t="shared" ca="1" si="62"/>
        <v>-2500.6101455486769</v>
      </c>
      <c r="AF125" s="62">
        <f t="shared" ca="1" si="63"/>
        <v>429114.52473852003</v>
      </c>
      <c r="AG125" s="35"/>
      <c r="AH125" s="35"/>
      <c r="AR125" s="69">
        <f t="shared" si="77"/>
        <v>11</v>
      </c>
      <c r="AS125" s="70">
        <f t="shared" si="86"/>
        <v>122</v>
      </c>
      <c r="AT125" s="71">
        <f t="shared" si="87"/>
        <v>0.43384252139279267</v>
      </c>
      <c r="AU125" s="72">
        <f t="shared" si="64"/>
        <v>6.8214933659622723E-3</v>
      </c>
      <c r="AV125" s="73">
        <f t="shared" si="78"/>
        <v>1.0068214933659623</v>
      </c>
      <c r="AW125" s="74">
        <f>PRODUCT(AV$4:AV125)</f>
        <v>2.2919352188430433</v>
      </c>
      <c r="AY125" s="75">
        <f t="shared" si="88"/>
        <v>122</v>
      </c>
      <c r="AZ125" s="76">
        <f t="shared" ref="AZ125:BK134" ca="1" si="99">OFFSET($AV$3,($AY125*12-12)+AZ$3,0)</f>
        <v>1.0068214933659623</v>
      </c>
      <c r="BA125" s="76">
        <f t="shared" ca="1" si="99"/>
        <v>1.0068214933659623</v>
      </c>
      <c r="BB125" s="76">
        <f t="shared" ca="1" si="99"/>
        <v>1.0068214933659623</v>
      </c>
      <c r="BC125" s="76">
        <f t="shared" ca="1" si="99"/>
        <v>1.0068214933659623</v>
      </c>
      <c r="BD125" s="76">
        <f t="shared" ca="1" si="99"/>
        <v>1.0068214933659623</v>
      </c>
      <c r="BE125" s="76">
        <f t="shared" ca="1" si="99"/>
        <v>1.0068214933659623</v>
      </c>
      <c r="BF125" s="76">
        <f t="shared" ca="1" si="99"/>
        <v>1.0068214933659623</v>
      </c>
      <c r="BG125" s="76">
        <f t="shared" ca="1" si="99"/>
        <v>1.0068214933659623</v>
      </c>
      <c r="BH125" s="76">
        <f t="shared" ca="1" si="99"/>
        <v>1.0068214933659623</v>
      </c>
      <c r="BI125" s="76">
        <f t="shared" ca="1" si="99"/>
        <v>1.0068214933659623</v>
      </c>
      <c r="BJ125" s="76">
        <f t="shared" ca="1" si="99"/>
        <v>1.0068214933659623</v>
      </c>
      <c r="BK125" s="76">
        <f t="shared" ca="1" si="99"/>
        <v>1.0068214933659623</v>
      </c>
      <c r="BL125" s="76">
        <f t="shared" ca="1" si="95"/>
        <v>8.5000000000000853E-2</v>
      </c>
      <c r="BM125" s="77">
        <f t="shared" ca="1" si="96"/>
        <v>21010.097050385957</v>
      </c>
    </row>
    <row r="126" spans="5:65">
      <c r="E126">
        <f t="shared" si="93"/>
        <v>123</v>
      </c>
      <c r="F126" s="64">
        <f t="shared" si="66"/>
        <v>64.760000000000005</v>
      </c>
      <c r="G126" s="55">
        <f t="shared" si="53"/>
        <v>0</v>
      </c>
      <c r="H126" s="78">
        <f t="shared" si="89"/>
        <v>1</v>
      </c>
      <c r="I126" s="79">
        <f t="shared" si="67"/>
        <v>486178.49076178489</v>
      </c>
      <c r="J126" s="79">
        <f t="shared" si="54"/>
        <v>3316.4633494050654</v>
      </c>
      <c r="K126" s="80">
        <f t="shared" si="55"/>
        <v>-15</v>
      </c>
      <c r="L126" s="80">
        <f t="shared" si="68"/>
        <v>-405.14874230148746</v>
      </c>
      <c r="M126" s="80">
        <f t="shared" si="91"/>
        <v>0</v>
      </c>
      <c r="N126" s="80">
        <f t="shared" si="69"/>
        <v>-461.86956622369576</v>
      </c>
      <c r="O126" s="81">
        <f t="shared" si="56"/>
        <v>-2083.3333333333335</v>
      </c>
      <c r="P126" s="79">
        <f t="shared" si="57"/>
        <v>486529.60246933147</v>
      </c>
      <c r="Q126" s="35"/>
      <c r="R126">
        <f t="shared" ca="1" si="70"/>
        <v>248</v>
      </c>
      <c r="S126" s="78">
        <f t="shared" ca="1" si="71"/>
        <v>74.760000000000005</v>
      </c>
      <c r="T126" s="55">
        <f t="shared" ca="1" si="58"/>
        <v>5.5703631168392276E-3</v>
      </c>
      <c r="U126" s="78">
        <f t="shared" ca="1" si="81"/>
        <v>0.63866420602756602</v>
      </c>
      <c r="V126" s="79">
        <f t="shared" ca="1" si="72"/>
        <v>274060.08723702322</v>
      </c>
      <c r="W126" s="79">
        <f t="shared" ca="1" si="59"/>
        <v>1869.4990669623955</v>
      </c>
      <c r="X126" s="80">
        <f t="shared" ca="1" si="82"/>
        <v>-9.5799630904134894</v>
      </c>
      <c r="Y126" s="80">
        <f t="shared" ca="1" si="83"/>
        <v>-228.38340603085271</v>
      </c>
      <c r="Z126" s="80">
        <f t="shared" ca="1" si="73"/>
        <v>0</v>
      </c>
      <c r="AA126" s="80">
        <f t="shared" ca="1" si="84"/>
        <v>-260.35708287517213</v>
      </c>
      <c r="AB126" s="81">
        <f t="shared" ca="1" si="60"/>
        <v>-1597.050193191322</v>
      </c>
      <c r="AC126" s="79">
        <f t="shared" ca="1" si="61"/>
        <v>273834.21565879788</v>
      </c>
      <c r="AD126" s="35"/>
      <c r="AE126" s="62">
        <f t="shared" ca="1" si="62"/>
        <v>-2500.6101455486769</v>
      </c>
      <c r="AF126" s="62">
        <f t="shared" ca="1" si="63"/>
        <v>428760.86224092956</v>
      </c>
      <c r="AG126" s="35"/>
      <c r="AH126" s="35"/>
      <c r="AR126" s="69">
        <f t="shared" si="77"/>
        <v>11</v>
      </c>
      <c r="AS126" s="70">
        <f t="shared" si="86"/>
        <v>123</v>
      </c>
      <c r="AT126" s="71">
        <f t="shared" si="87"/>
        <v>0.43088306751123939</v>
      </c>
      <c r="AU126" s="72">
        <f t="shared" si="64"/>
        <v>6.8214933659622723E-3</v>
      </c>
      <c r="AV126" s="73">
        <f t="shared" si="78"/>
        <v>1.0068214933659623</v>
      </c>
      <c r="AW126" s="74">
        <f>PRODUCT(AV$4:AV126)</f>
        <v>2.3075696397335963</v>
      </c>
      <c r="AY126" s="75">
        <f t="shared" si="88"/>
        <v>123</v>
      </c>
      <c r="AZ126" s="76">
        <f t="shared" ca="1" si="99"/>
        <v>1.0068214933659623</v>
      </c>
      <c r="BA126" s="76">
        <f t="shared" ca="1" si="99"/>
        <v>1.0068214933659623</v>
      </c>
      <c r="BB126" s="76">
        <f t="shared" ca="1" si="99"/>
        <v>1.0068214933659623</v>
      </c>
      <c r="BC126" s="76">
        <f t="shared" ca="1" si="99"/>
        <v>1.0068214933659623</v>
      </c>
      <c r="BD126" s="76">
        <f t="shared" ca="1" si="99"/>
        <v>1.0068214933659623</v>
      </c>
      <c r="BE126" s="76">
        <f t="shared" ca="1" si="99"/>
        <v>1.0068214933659623</v>
      </c>
      <c r="BF126" s="76">
        <f t="shared" ca="1" si="99"/>
        <v>1.0068214933659623</v>
      </c>
      <c r="BG126" s="76">
        <f t="shared" ca="1" si="99"/>
        <v>1.0068214933659623</v>
      </c>
      <c r="BH126" s="76">
        <f t="shared" ca="1" si="99"/>
        <v>1.0068214933659623</v>
      </c>
      <c r="BI126" s="76">
        <f t="shared" ca="1" si="99"/>
        <v>1.0068214933659623</v>
      </c>
      <c r="BJ126" s="76">
        <f t="shared" ca="1" si="99"/>
        <v>1.0068214933659623</v>
      </c>
      <c r="BK126" s="76">
        <f t="shared" ca="1" si="99"/>
        <v>1.0068214933659623</v>
      </c>
      <c r="BL126" s="76">
        <f t="shared" ca="1" si="95"/>
        <v>8.5000000000000853E-2</v>
      </c>
      <c r="BM126" s="77">
        <f t="shared" ca="1" si="96"/>
        <v>22795.955299668782</v>
      </c>
    </row>
    <row r="127" spans="5:65">
      <c r="E127">
        <f t="shared" si="93"/>
        <v>124</v>
      </c>
      <c r="F127" s="64">
        <f t="shared" si="66"/>
        <v>64.84</v>
      </c>
      <c r="G127" s="55">
        <f t="shared" si="53"/>
        <v>0</v>
      </c>
      <c r="H127" s="78">
        <f t="shared" si="89"/>
        <v>1</v>
      </c>
      <c r="I127" s="79">
        <f t="shared" si="67"/>
        <v>486529.60246933147</v>
      </c>
      <c r="J127" s="79">
        <f t="shared" si="54"/>
        <v>3318.858455588806</v>
      </c>
      <c r="K127" s="80">
        <f t="shared" si="55"/>
        <v>-15</v>
      </c>
      <c r="L127" s="80">
        <f t="shared" si="68"/>
        <v>-405.44133539110959</v>
      </c>
      <c r="M127" s="80">
        <f t="shared" si="91"/>
        <v>0</v>
      </c>
      <c r="N127" s="80">
        <f t="shared" si="69"/>
        <v>-462.20312234586498</v>
      </c>
      <c r="O127" s="81">
        <f t="shared" si="56"/>
        <v>-2083.3333333333335</v>
      </c>
      <c r="P127" s="79">
        <f t="shared" si="57"/>
        <v>486882.48313384998</v>
      </c>
      <c r="Q127" s="35"/>
      <c r="R127">
        <f t="shared" ca="1" si="70"/>
        <v>249</v>
      </c>
      <c r="S127" s="78">
        <f t="shared" ca="1" si="71"/>
        <v>74.84</v>
      </c>
      <c r="T127" s="55">
        <f t="shared" ca="1" si="58"/>
        <v>5.5703631168392276E-3</v>
      </c>
      <c r="U127" s="78">
        <f t="shared" ca="1" si="81"/>
        <v>0.63510661449026462</v>
      </c>
      <c r="V127" s="79">
        <f t="shared" ca="1" si="72"/>
        <v>272308.85964376351</v>
      </c>
      <c r="W127" s="79">
        <f t="shared" ca="1" si="59"/>
        <v>1857.5530795526843</v>
      </c>
      <c r="X127" s="80">
        <f t="shared" ca="1" si="82"/>
        <v>-9.5265992173539686</v>
      </c>
      <c r="Y127" s="80">
        <f t="shared" ca="1" si="83"/>
        <v>-226.92404970313626</v>
      </c>
      <c r="Z127" s="80">
        <f t="shared" ca="1" si="73"/>
        <v>0</v>
      </c>
      <c r="AA127" s="80">
        <f t="shared" ca="1" si="84"/>
        <v>-258.69341666157538</v>
      </c>
      <c r="AB127" s="81">
        <f t="shared" ca="1" si="60"/>
        <v>-1588.154043699428</v>
      </c>
      <c r="AC127" s="79">
        <f t="shared" ca="1" si="61"/>
        <v>272083.11461403465</v>
      </c>
      <c r="AD127" s="35"/>
      <c r="AE127" s="62">
        <f t="shared" ca="1" si="62"/>
        <v>-2500.6101455486769</v>
      </c>
      <c r="AF127" s="62">
        <f t="shared" ca="1" si="63"/>
        <v>428405.41793507861</v>
      </c>
      <c r="AG127" s="35"/>
      <c r="AH127" s="35"/>
      <c r="AR127" s="69">
        <f t="shared" si="77"/>
        <v>11</v>
      </c>
      <c r="AS127" s="70">
        <f t="shared" si="86"/>
        <v>124</v>
      </c>
      <c r="AT127" s="71">
        <f t="shared" si="87"/>
        <v>0.42794380152470601</v>
      </c>
      <c r="AU127" s="72">
        <f t="shared" si="64"/>
        <v>6.8214933659622723E-3</v>
      </c>
      <c r="AV127" s="73">
        <f t="shared" si="78"/>
        <v>1.0068214933659623</v>
      </c>
      <c r="AW127" s="74">
        <f>PRODUCT(AV$4:AV127)</f>
        <v>2.3233107107225348</v>
      </c>
      <c r="AY127" s="75">
        <f t="shared" si="88"/>
        <v>124</v>
      </c>
      <c r="AZ127" s="76">
        <f t="shared" ca="1" si="99"/>
        <v>1.0068214933659623</v>
      </c>
      <c r="BA127" s="76">
        <f t="shared" ca="1" si="99"/>
        <v>1.0068214933659623</v>
      </c>
      <c r="BB127" s="76">
        <f t="shared" ca="1" si="99"/>
        <v>1.0068214933659623</v>
      </c>
      <c r="BC127" s="76">
        <f t="shared" ca="1" si="99"/>
        <v>1.0068214933659623</v>
      </c>
      <c r="BD127" s="76">
        <f t="shared" ca="1" si="99"/>
        <v>1.0068214933659623</v>
      </c>
      <c r="BE127" s="76">
        <f t="shared" ca="1" si="99"/>
        <v>1.0068214933659623</v>
      </c>
      <c r="BF127" s="76">
        <f t="shared" ca="1" si="99"/>
        <v>1.0068214933659623</v>
      </c>
      <c r="BG127" s="76">
        <f t="shared" ca="1" si="99"/>
        <v>1.0068214933659623</v>
      </c>
      <c r="BH127" s="76">
        <f t="shared" ca="1" si="99"/>
        <v>1.0068214933659623</v>
      </c>
      <c r="BI127" s="76">
        <f t="shared" ca="1" si="99"/>
        <v>1.0068214933659623</v>
      </c>
      <c r="BJ127" s="76">
        <f t="shared" ca="1" si="99"/>
        <v>1.0068214933659623</v>
      </c>
      <c r="BK127" s="76">
        <f t="shared" ca="1" si="99"/>
        <v>1.0068214933659623</v>
      </c>
      <c r="BL127" s="76">
        <f t="shared" ca="1" si="95"/>
        <v>8.5000000000000853E-2</v>
      </c>
      <c r="BM127" s="77">
        <f t="shared" ca="1" si="96"/>
        <v>24733.611500140647</v>
      </c>
    </row>
    <row r="128" spans="5:65">
      <c r="E128">
        <f t="shared" si="93"/>
        <v>125</v>
      </c>
      <c r="F128" s="64">
        <f t="shared" si="66"/>
        <v>64.92</v>
      </c>
      <c r="G128" s="55">
        <f t="shared" si="53"/>
        <v>0</v>
      </c>
      <c r="H128" s="78">
        <f t="shared" si="89"/>
        <v>1</v>
      </c>
      <c r="I128" s="79">
        <f t="shared" si="67"/>
        <v>486882.48313384998</v>
      </c>
      <c r="J128" s="79">
        <f t="shared" si="54"/>
        <v>3321.2656287007958</v>
      </c>
      <c r="K128" s="80">
        <f t="shared" si="55"/>
        <v>-15</v>
      </c>
      <c r="L128" s="80">
        <f t="shared" si="68"/>
        <v>-405.7354026115417</v>
      </c>
      <c r="M128" s="80">
        <f t="shared" si="91"/>
        <v>0</v>
      </c>
      <c r="N128" s="80">
        <f t="shared" si="69"/>
        <v>-462.53835897715754</v>
      </c>
      <c r="O128" s="81">
        <f t="shared" si="56"/>
        <v>-2083.3333333333335</v>
      </c>
      <c r="P128" s="79">
        <f t="shared" si="57"/>
        <v>487237.14166762872</v>
      </c>
      <c r="Q128" s="35"/>
      <c r="R128">
        <f t="shared" ca="1" si="70"/>
        <v>250</v>
      </c>
      <c r="S128" s="78">
        <f t="shared" ca="1" si="71"/>
        <v>74.92</v>
      </c>
      <c r="T128" s="55">
        <f t="shared" ca="1" si="58"/>
        <v>5.5703631168392276E-3</v>
      </c>
      <c r="U128" s="78">
        <f t="shared" ca="1" si="81"/>
        <v>0.63156884002964742</v>
      </c>
      <c r="V128" s="79">
        <f t="shared" ca="1" si="72"/>
        <v>270567.51286767388</v>
      </c>
      <c r="W128" s="79">
        <f t="shared" ca="1" si="59"/>
        <v>1845.6744940717492</v>
      </c>
      <c r="X128" s="80">
        <f t="shared" ca="1" si="82"/>
        <v>-9.4735326004447113</v>
      </c>
      <c r="Y128" s="80">
        <f t="shared" ca="1" si="83"/>
        <v>-225.47292738972826</v>
      </c>
      <c r="Z128" s="80">
        <f t="shared" ca="1" si="73"/>
        <v>0</v>
      </c>
      <c r="AA128" s="80">
        <f t="shared" ca="1" si="84"/>
        <v>-257.03913722429024</v>
      </c>
      <c r="AB128" s="81">
        <f t="shared" ca="1" si="60"/>
        <v>-1579.3074489905457</v>
      </c>
      <c r="AC128" s="79">
        <f t="shared" ca="1" si="61"/>
        <v>270341.89431554062</v>
      </c>
      <c r="AD128" s="35"/>
      <c r="AE128" s="62">
        <f t="shared" ca="1" si="62"/>
        <v>-2500.6101455486769</v>
      </c>
      <c r="AF128" s="62">
        <f t="shared" ca="1" si="63"/>
        <v>428048.18284393207</v>
      </c>
      <c r="AG128" s="35"/>
      <c r="AH128" s="35"/>
      <c r="AR128" s="69">
        <f t="shared" si="77"/>
        <v>11</v>
      </c>
      <c r="AS128" s="70">
        <f t="shared" si="86"/>
        <v>125</v>
      </c>
      <c r="AT128" s="71">
        <f t="shared" si="87"/>
        <v>0.42502458572160057</v>
      </c>
      <c r="AU128" s="72">
        <f t="shared" si="64"/>
        <v>6.8214933659622723E-3</v>
      </c>
      <c r="AV128" s="73">
        <f t="shared" si="78"/>
        <v>1.0068214933659623</v>
      </c>
      <c r="AW128" s="74">
        <f>PRODUCT(AV$4:AV128)</f>
        <v>2.3391591593227976</v>
      </c>
      <c r="AY128" s="75">
        <f t="shared" si="88"/>
        <v>125</v>
      </c>
      <c r="AZ128" s="76">
        <f t="shared" ca="1" si="99"/>
        <v>1.0068214933659623</v>
      </c>
      <c r="BA128" s="76">
        <f t="shared" ca="1" si="99"/>
        <v>1.0068214933659623</v>
      </c>
      <c r="BB128" s="76">
        <f t="shared" ca="1" si="99"/>
        <v>1.0068214933659623</v>
      </c>
      <c r="BC128" s="76">
        <f t="shared" ca="1" si="99"/>
        <v>1.0068214933659623</v>
      </c>
      <c r="BD128" s="76">
        <f t="shared" ca="1" si="99"/>
        <v>1.0068214933659623</v>
      </c>
      <c r="BE128" s="76">
        <f t="shared" ca="1" si="99"/>
        <v>1.0068214933659623</v>
      </c>
      <c r="BF128" s="76">
        <f t="shared" ca="1" si="99"/>
        <v>1.0068214933659623</v>
      </c>
      <c r="BG128" s="76">
        <f t="shared" ca="1" si="99"/>
        <v>1.0068214933659623</v>
      </c>
      <c r="BH128" s="76">
        <f t="shared" ca="1" si="99"/>
        <v>1.0068214933659623</v>
      </c>
      <c r="BI128" s="76">
        <f t="shared" ca="1" si="99"/>
        <v>1.0068214933659623</v>
      </c>
      <c r="BJ128" s="76">
        <f t="shared" ca="1" si="99"/>
        <v>1.0068214933659623</v>
      </c>
      <c r="BK128" s="76">
        <f t="shared" ca="1" si="99"/>
        <v>1.0068214933659623</v>
      </c>
      <c r="BL128" s="76">
        <f t="shared" ca="1" si="95"/>
        <v>8.5000000000000853E-2</v>
      </c>
      <c r="BM128" s="77">
        <f t="shared" ca="1" si="96"/>
        <v>26835.968477652623</v>
      </c>
    </row>
    <row r="129" spans="5:65">
      <c r="E129">
        <f t="shared" si="93"/>
        <v>126</v>
      </c>
      <c r="F129" s="64">
        <f t="shared" si="66"/>
        <v>65</v>
      </c>
      <c r="G129" s="55">
        <f t="shared" si="53"/>
        <v>0</v>
      </c>
      <c r="H129" s="78">
        <f t="shared" si="89"/>
        <v>1</v>
      </c>
      <c r="I129" s="79">
        <f t="shared" si="67"/>
        <v>487237.14166762872</v>
      </c>
      <c r="J129" s="79">
        <f t="shared" si="54"/>
        <v>3323.684929536149</v>
      </c>
      <c r="K129" s="80">
        <f t="shared" si="55"/>
        <v>-15</v>
      </c>
      <c r="L129" s="80">
        <f t="shared" si="68"/>
        <v>-406.03095138969064</v>
      </c>
      <c r="M129" s="80">
        <f t="shared" si="91"/>
        <v>0</v>
      </c>
      <c r="N129" s="80">
        <f t="shared" si="69"/>
        <v>-462.87528458424737</v>
      </c>
      <c r="O129" s="81">
        <f t="shared" si="56"/>
        <v>-2083.3333333333335</v>
      </c>
      <c r="P129" s="79">
        <f t="shared" si="57"/>
        <v>487593.5870278576</v>
      </c>
      <c r="Q129" s="35"/>
      <c r="R129">
        <f t="shared" ca="1" si="70"/>
        <v>251</v>
      </c>
      <c r="S129" s="78">
        <f t="shared" ca="1" si="71"/>
        <v>75</v>
      </c>
      <c r="T129" s="55">
        <f t="shared" ca="1" si="58"/>
        <v>5.5703631168392276E-3</v>
      </c>
      <c r="U129" s="78">
        <f t="shared" ca="1" si="81"/>
        <v>0.62805077225740136</v>
      </c>
      <c r="V129" s="79">
        <f t="shared" ca="1" si="72"/>
        <v>268835.99179850885</v>
      </c>
      <c r="W129" s="79">
        <f t="shared" ca="1" si="59"/>
        <v>1833.862934585416</v>
      </c>
      <c r="X129" s="80">
        <f t="shared" ca="1" si="82"/>
        <v>-9.4207615838610206</v>
      </c>
      <c r="Y129" s="80">
        <f t="shared" ca="1" si="83"/>
        <v>-224.02999316542406</v>
      </c>
      <c r="Z129" s="80">
        <f t="shared" ca="1" si="73"/>
        <v>0</v>
      </c>
      <c r="AA129" s="80">
        <f t="shared" ca="1" si="84"/>
        <v>-255.39419220858346</v>
      </c>
      <c r="AB129" s="81">
        <f t="shared" ca="1" si="60"/>
        <v>-1570.5101330265395</v>
      </c>
      <c r="AC129" s="79">
        <f t="shared" ca="1" si="61"/>
        <v>268610.49965310993</v>
      </c>
      <c r="AD129" s="35"/>
      <c r="AE129" s="62">
        <f t="shared" ca="1" si="62"/>
        <v>-2500.6101455486773</v>
      </c>
      <c r="AF129" s="62">
        <f t="shared" ca="1" si="63"/>
        <v>427689.14794522722</v>
      </c>
      <c r="AG129" s="35"/>
      <c r="AH129" s="35"/>
      <c r="AR129" s="69">
        <f t="shared" si="77"/>
        <v>11</v>
      </c>
      <c r="AS129" s="70">
        <f t="shared" si="86"/>
        <v>126</v>
      </c>
      <c r="AT129" s="71">
        <f t="shared" si="87"/>
        <v>0.42212528332972982</v>
      </c>
      <c r="AU129" s="72">
        <f t="shared" si="64"/>
        <v>6.8214933659622723E-3</v>
      </c>
      <c r="AV129" s="73">
        <f t="shared" si="78"/>
        <v>1.0068214933659623</v>
      </c>
      <c r="AW129" s="74">
        <f>PRODUCT(AV$4:AV129)</f>
        <v>2.3551157180100479</v>
      </c>
      <c r="AY129" s="75">
        <f t="shared" si="88"/>
        <v>126</v>
      </c>
      <c r="AZ129" s="76">
        <f t="shared" ca="1" si="99"/>
        <v>1.0068214933659623</v>
      </c>
      <c r="BA129" s="76">
        <f t="shared" ca="1" si="99"/>
        <v>1.0068214933659623</v>
      </c>
      <c r="BB129" s="76">
        <f t="shared" ca="1" si="99"/>
        <v>1.0068214933659623</v>
      </c>
      <c r="BC129" s="76">
        <f t="shared" ca="1" si="99"/>
        <v>1.0068214933659623</v>
      </c>
      <c r="BD129" s="76">
        <f t="shared" ca="1" si="99"/>
        <v>1.0068214933659623</v>
      </c>
      <c r="BE129" s="76">
        <f t="shared" ca="1" si="99"/>
        <v>1.0068214933659623</v>
      </c>
      <c r="BF129" s="76">
        <f t="shared" ca="1" si="99"/>
        <v>1.0068214933659623</v>
      </c>
      <c r="BG129" s="76">
        <f t="shared" ca="1" si="99"/>
        <v>1.0068214933659623</v>
      </c>
      <c r="BH129" s="76">
        <f t="shared" ca="1" si="99"/>
        <v>1.0068214933659623</v>
      </c>
      <c r="BI129" s="76">
        <f t="shared" ca="1" si="99"/>
        <v>1.0068214933659623</v>
      </c>
      <c r="BJ129" s="76">
        <f t="shared" ca="1" si="99"/>
        <v>1.0068214933659623</v>
      </c>
      <c r="BK129" s="76">
        <f t="shared" ca="1" si="99"/>
        <v>1.0068214933659623</v>
      </c>
      <c r="BL129" s="76">
        <f t="shared" ca="1" si="95"/>
        <v>8.5000000000000853E-2</v>
      </c>
      <c r="BM129" s="77">
        <f t="shared" ca="1" si="96"/>
        <v>29117.025798253118</v>
      </c>
    </row>
    <row r="130" spans="5:65">
      <c r="E130">
        <f t="shared" si="93"/>
        <v>127</v>
      </c>
      <c r="F130" s="64">
        <f t="shared" si="66"/>
        <v>65.08</v>
      </c>
      <c r="G130" s="55">
        <f t="shared" si="53"/>
        <v>0</v>
      </c>
      <c r="H130" s="78">
        <f t="shared" si="89"/>
        <v>1</v>
      </c>
      <c r="I130" s="79">
        <f t="shared" si="67"/>
        <v>487593.5870278576</v>
      </c>
      <c r="J130" s="79">
        <f t="shared" si="54"/>
        <v>3326.1164191962785</v>
      </c>
      <c r="K130" s="80">
        <f t="shared" si="55"/>
        <v>-15</v>
      </c>
      <c r="L130" s="80">
        <f t="shared" si="68"/>
        <v>-406.32798918988135</v>
      </c>
      <c r="M130" s="80">
        <f t="shared" si="91"/>
        <v>0</v>
      </c>
      <c r="N130" s="80">
        <f t="shared" si="69"/>
        <v>-463.21390767646477</v>
      </c>
      <c r="O130" s="81">
        <f t="shared" si="56"/>
        <v>-2500.6101455486769</v>
      </c>
      <c r="P130" s="79">
        <f t="shared" si="57"/>
        <v>487534.55140463891</v>
      </c>
      <c r="Q130" s="35"/>
      <c r="R130">
        <f t="shared" ca="1" si="70"/>
        <v>252</v>
      </c>
      <c r="S130" s="78">
        <f t="shared" ca="1" si="71"/>
        <v>75.08</v>
      </c>
      <c r="T130" s="55">
        <f t="shared" ca="1" si="58"/>
        <v>5.5703631168392276E-3</v>
      </c>
      <c r="U130" s="78">
        <f t="shared" ca="1" si="81"/>
        <v>0.62455230140011631</v>
      </c>
      <c r="V130" s="79">
        <f t="shared" ca="1" si="72"/>
        <v>267114.24163304648</v>
      </c>
      <c r="W130" s="79">
        <f t="shared" ca="1" si="59"/>
        <v>1822.11802725387</v>
      </c>
      <c r="X130" s="80">
        <f t="shared" ca="1" si="82"/>
        <v>-9.368284521001744</v>
      </c>
      <c r="Y130" s="80">
        <f t="shared" ca="1" si="83"/>
        <v>-222.59520136087207</v>
      </c>
      <c r="Z130" s="80">
        <f t="shared" ca="1" si="73"/>
        <v>0</v>
      </c>
      <c r="AA130" s="80">
        <f t="shared" ca="1" si="84"/>
        <v>-253.75852955139419</v>
      </c>
      <c r="AB130" s="81">
        <f t="shared" ca="1" si="60"/>
        <v>-1561.7618213069061</v>
      </c>
      <c r="AC130" s="79">
        <f t="shared" ca="1" si="61"/>
        <v>266888.87582356023</v>
      </c>
      <c r="AD130" s="35"/>
      <c r="AE130" s="62">
        <f t="shared" ca="1" si="62"/>
        <v>-2500.6101455486769</v>
      </c>
      <c r="AF130" s="62">
        <f t="shared" ca="1" si="63"/>
        <v>427328.30417124537</v>
      </c>
      <c r="AG130" s="35"/>
      <c r="AH130" s="35"/>
      <c r="AR130" s="69">
        <f t="shared" si="77"/>
        <v>11</v>
      </c>
      <c r="AS130" s="70">
        <f t="shared" si="86"/>
        <v>127</v>
      </c>
      <c r="AT130" s="71">
        <f t="shared" si="87"/>
        <v>0.4192457585098911</v>
      </c>
      <c r="AU130" s="72">
        <f t="shared" si="64"/>
        <v>6.8214933659622723E-3</v>
      </c>
      <c r="AV130" s="73">
        <f t="shared" si="78"/>
        <v>1.0068214933659623</v>
      </c>
      <c r="AW130" s="74">
        <f>PRODUCT(AV$4:AV130)</f>
        <v>2.3711811242565268</v>
      </c>
      <c r="AY130" s="75">
        <f t="shared" si="88"/>
        <v>127</v>
      </c>
      <c r="AZ130" s="76">
        <f t="shared" ca="1" si="99"/>
        <v>1.0068214933659623</v>
      </c>
      <c r="BA130" s="76">
        <f t="shared" ca="1" si="99"/>
        <v>1.0068214933659623</v>
      </c>
      <c r="BB130" s="76">
        <f t="shared" ca="1" si="99"/>
        <v>1.0068214933659623</v>
      </c>
      <c r="BC130" s="76">
        <f t="shared" ca="1" si="99"/>
        <v>1.0068214933659623</v>
      </c>
      <c r="BD130" s="76">
        <f t="shared" ca="1" si="99"/>
        <v>1.0068214933659623</v>
      </c>
      <c r="BE130" s="76">
        <f t="shared" ca="1" si="99"/>
        <v>1.0068214933659623</v>
      </c>
      <c r="BF130" s="76">
        <f t="shared" ca="1" si="99"/>
        <v>1.0068214933659623</v>
      </c>
      <c r="BG130" s="76">
        <f t="shared" ca="1" si="99"/>
        <v>1.0068214933659623</v>
      </c>
      <c r="BH130" s="76">
        <f t="shared" ca="1" si="99"/>
        <v>1.0068214933659623</v>
      </c>
      <c r="BI130" s="76">
        <f t="shared" ca="1" si="99"/>
        <v>1.0068214933659623</v>
      </c>
      <c r="BJ130" s="76">
        <f t="shared" ca="1" si="99"/>
        <v>1.0068214933659623</v>
      </c>
      <c r="BK130" s="76">
        <f t="shared" ca="1" si="99"/>
        <v>1.0068214933659623</v>
      </c>
      <c r="BL130" s="76">
        <f t="shared" ca="1" si="95"/>
        <v>8.5000000000000853E-2</v>
      </c>
      <c r="BM130" s="77">
        <f t="shared" ca="1" si="96"/>
        <v>31591.97299110466</v>
      </c>
    </row>
    <row r="131" spans="5:65">
      <c r="E131">
        <f t="shared" si="93"/>
        <v>128</v>
      </c>
      <c r="F131" s="64">
        <f t="shared" si="66"/>
        <v>65.16</v>
      </c>
      <c r="G131" s="55">
        <f t="shared" si="53"/>
        <v>0</v>
      </c>
      <c r="H131" s="78">
        <f t="shared" si="89"/>
        <v>1</v>
      </c>
      <c r="I131" s="79">
        <f t="shared" si="67"/>
        <v>487534.55140463891</v>
      </c>
      <c r="J131" s="79">
        <f t="shared" si="54"/>
        <v>3325.7137080841367</v>
      </c>
      <c r="K131" s="80">
        <f t="shared" si="55"/>
        <v>-15</v>
      </c>
      <c r="L131" s="80">
        <f t="shared" si="68"/>
        <v>-406.27879283719915</v>
      </c>
      <c r="M131" s="80">
        <f t="shared" si="91"/>
        <v>0</v>
      </c>
      <c r="N131" s="80">
        <f t="shared" si="69"/>
        <v>-463.15782383440705</v>
      </c>
      <c r="O131" s="81">
        <f t="shared" si="56"/>
        <v>-2500.6101455486769</v>
      </c>
      <c r="P131" s="79">
        <f t="shared" si="57"/>
        <v>487475.21835050278</v>
      </c>
      <c r="Q131" s="35"/>
      <c r="R131">
        <f t="shared" ca="1" si="70"/>
        <v>253</v>
      </c>
      <c r="S131" s="78">
        <f t="shared" ca="1" si="71"/>
        <v>75.16</v>
      </c>
      <c r="T131" s="55">
        <f t="shared" ca="1" si="58"/>
        <v>5.5703631168392276E-3</v>
      </c>
      <c r="U131" s="78">
        <f t="shared" ca="1" si="81"/>
        <v>0.62107331829585999</v>
      </c>
      <c r="V131" s="79">
        <f t="shared" ca="1" si="72"/>
        <v>265402.20787337801</v>
      </c>
      <c r="W131" s="79">
        <f t="shared" ca="1" si="59"/>
        <v>1810.439400319988</v>
      </c>
      <c r="X131" s="80">
        <f t="shared" ca="1" si="82"/>
        <v>-9.3160997744378999</v>
      </c>
      <c r="Y131" s="80">
        <f t="shared" ca="1" si="83"/>
        <v>-221.16850656114835</v>
      </c>
      <c r="Z131" s="80">
        <f t="shared" ca="1" si="73"/>
        <v>-1990.516559050335</v>
      </c>
      <c r="AA131" s="80">
        <f t="shared" ca="1" si="84"/>
        <v>-252.13209747970916</v>
      </c>
      <c r="AB131" s="81">
        <f t="shared" ca="1" si="60"/>
        <v>-1553.0622408602103</v>
      </c>
      <c r="AC131" s="79">
        <f t="shared" ca="1" si="61"/>
        <v>263186.45176997216</v>
      </c>
      <c r="AD131" s="35"/>
      <c r="AE131" s="62">
        <f t="shared" ca="1" si="62"/>
        <v>-2500.6101455486769</v>
      </c>
      <c r="AF131" s="62">
        <f t="shared" ca="1" si="63"/>
        <v>423760.6801272991</v>
      </c>
      <c r="AG131" s="35"/>
      <c r="AH131" s="35"/>
      <c r="AR131" s="69">
        <f t="shared" si="77"/>
        <v>11</v>
      </c>
      <c r="AS131" s="70">
        <f t="shared" si="86"/>
        <v>128</v>
      </c>
      <c r="AT131" s="71">
        <f t="shared" si="87"/>
        <v>0.41638587634950808</v>
      </c>
      <c r="AU131" s="72">
        <f t="shared" si="64"/>
        <v>6.8214933659622723E-3</v>
      </c>
      <c r="AV131" s="73">
        <f t="shared" si="78"/>
        <v>1.0068214933659623</v>
      </c>
      <c r="AW131" s="74">
        <f>PRODUCT(AV$4:AV131)</f>
        <v>2.3873561205651379</v>
      </c>
      <c r="AY131" s="75">
        <f t="shared" si="88"/>
        <v>128</v>
      </c>
      <c r="AZ131" s="76">
        <f t="shared" ca="1" si="99"/>
        <v>1.0068214933659623</v>
      </c>
      <c r="BA131" s="76">
        <f t="shared" ca="1" si="99"/>
        <v>1.0068214933659623</v>
      </c>
      <c r="BB131" s="76">
        <f t="shared" ca="1" si="99"/>
        <v>1.0068214933659623</v>
      </c>
      <c r="BC131" s="76">
        <f t="shared" ca="1" si="99"/>
        <v>1.0068214933659623</v>
      </c>
      <c r="BD131" s="76">
        <f t="shared" ca="1" si="99"/>
        <v>1.0068214933659623</v>
      </c>
      <c r="BE131" s="76">
        <f t="shared" ca="1" si="99"/>
        <v>1.0068214933659623</v>
      </c>
      <c r="BF131" s="76">
        <f t="shared" ca="1" si="99"/>
        <v>1.0068214933659623</v>
      </c>
      <c r="BG131" s="76">
        <f t="shared" ca="1" si="99"/>
        <v>1.0068214933659623</v>
      </c>
      <c r="BH131" s="76">
        <f t="shared" ca="1" si="99"/>
        <v>1.0068214933659623</v>
      </c>
      <c r="BI131" s="76">
        <f t="shared" ca="1" si="99"/>
        <v>1.0068214933659623</v>
      </c>
      <c r="BJ131" s="76">
        <f t="shared" ca="1" si="99"/>
        <v>1.0068214933659623</v>
      </c>
      <c r="BK131" s="76">
        <f t="shared" ca="1" si="99"/>
        <v>1.0068214933659623</v>
      </c>
      <c r="BL131" s="76">
        <f t="shared" ca="1" si="95"/>
        <v>8.5000000000000853E-2</v>
      </c>
      <c r="BM131" s="77">
        <f t="shared" ca="1" si="96"/>
        <v>34277.29069534858</v>
      </c>
    </row>
    <row r="132" spans="5:65">
      <c r="E132">
        <f t="shared" si="93"/>
        <v>129</v>
      </c>
      <c r="F132" s="64">
        <f t="shared" si="66"/>
        <v>65.239999999999995</v>
      </c>
      <c r="G132" s="55">
        <f t="shared" ref="G132:G195" si="100">(1-(1-IF(F132&gt;$AJ$90,0,VLOOKUP(ROUND(F132,0),$AJ$4:$AK$90,2,FALSE)))^(1/12))*0</f>
        <v>0</v>
      </c>
      <c r="H132" s="78">
        <f t="shared" si="89"/>
        <v>1</v>
      </c>
      <c r="I132" s="79">
        <f t="shared" si="67"/>
        <v>487475.21835050278</v>
      </c>
      <c r="J132" s="79">
        <f t="shared" ref="J132:J195" si="101">(I132)*$AU132</f>
        <v>3325.3089680489647</v>
      </c>
      <c r="K132" s="80">
        <f t="shared" ref="K132:K195" si="102">IF(I132=0,0,-$C$19)*H132</f>
        <v>-15</v>
      </c>
      <c r="L132" s="80">
        <f t="shared" si="68"/>
        <v>-406.22934862541899</v>
      </c>
      <c r="M132" s="80">
        <f t="shared" si="91"/>
        <v>0</v>
      </c>
      <c r="N132" s="80">
        <f t="shared" si="69"/>
        <v>-463.10145743297772</v>
      </c>
      <c r="O132" s="81">
        <f t="shared" ref="O132:O195" si="103">-MIN(
IF(MOD(E132-1,IF($C$7="Annual",12,1))=0,1,0)
*IF(F132&lt;=$C$6,H132*$C$5*$C$4/IF($C$7="Monthly",12,1),$C$12),I132)</f>
        <v>-2500.6101455486769</v>
      </c>
      <c r="P132" s="79">
        <f t="shared" ref="P132:P195" si="104">SUM(I132:O132)</f>
        <v>487415.58636694471</v>
      </c>
      <c r="Q132" s="35"/>
      <c r="R132">
        <f t="shared" ca="1" si="70"/>
        <v>254</v>
      </c>
      <c r="S132" s="78">
        <f t="shared" ca="1" si="71"/>
        <v>75.239999999999995</v>
      </c>
      <c r="T132" s="55">
        <f t="shared" ref="T132:T195" ca="1" si="105">(1-(1-IF(S132&gt;$AJ$90,0,VLOOKUP(ROUND(S132,0),$AJ$4:$AK$90,2,FALSE)))^(1/12))</f>
        <v>5.5703631168392276E-3</v>
      </c>
      <c r="U132" s="78">
        <f t="shared" ca="1" si="81"/>
        <v>0.61761371439077173</v>
      </c>
      <c r="V132" s="79">
        <f t="shared" ca="1" si="72"/>
        <v>261720.40766618092</v>
      </c>
      <c r="W132" s="79">
        <f t="shared" ref="W132:W195" ca="1" si="106">(V132)*$AU132</f>
        <v>1785.3240246317946</v>
      </c>
      <c r="X132" s="80">
        <f t="shared" ca="1" si="82"/>
        <v>-9.2642057158615767</v>
      </c>
      <c r="Y132" s="80">
        <f t="shared" ca="1" si="83"/>
        <v>-218.10033972181745</v>
      </c>
      <c r="Z132" s="80">
        <f t="shared" ca="1" si="73"/>
        <v>0</v>
      </c>
      <c r="AA132" s="80">
        <f t="shared" ca="1" si="84"/>
        <v>-248.63438728287193</v>
      </c>
      <c r="AB132" s="81">
        <f t="shared" ref="AB132:AB195" ca="1" si="107">-MIN(IF(MOD(R132,IF($C$7="Annual",12,1))=0,1,0)*$C$39*U132/IF($C$7="Monthly",12,1),V132)</f>
        <v>-1544.4111202355668</v>
      </c>
      <c r="AC132" s="79">
        <f t="shared" ref="AC132:AC195" ca="1" si="108">SUM(V132:AB132)</f>
        <v>261485.3216378566</v>
      </c>
      <c r="AD132" s="35"/>
      <c r="AE132" s="62">
        <f t="shared" ref="AE132:AE195" ca="1" si="109">AB132/U132</f>
        <v>-2500.6101455486773</v>
      </c>
      <c r="AF132" s="62">
        <f t="shared" ref="AF132:AF195" ca="1" si="110">AC132/U132</f>
        <v>423380.04410376749</v>
      </c>
      <c r="AG132" s="35"/>
      <c r="AH132" s="35"/>
      <c r="AR132" s="69">
        <f t="shared" si="77"/>
        <v>11</v>
      </c>
      <c r="AS132" s="70">
        <f t="shared" si="86"/>
        <v>129</v>
      </c>
      <c r="AT132" s="71">
        <f t="shared" si="87"/>
        <v>0.41354550285630953</v>
      </c>
      <c r="AU132" s="72">
        <f t="shared" ref="AU132:AU195" si="111">((1+$AH$21)^(1/12))-1</f>
        <v>6.8214933659622723E-3</v>
      </c>
      <c r="AV132" s="73">
        <f t="shared" si="78"/>
        <v>1.0068214933659623</v>
      </c>
      <c r="AW132" s="74">
        <f>PRODUCT(AV$4:AV132)</f>
        <v>2.4036414545037625</v>
      </c>
      <c r="AY132" s="75">
        <f t="shared" si="88"/>
        <v>129</v>
      </c>
      <c r="AZ132" s="76">
        <f t="shared" ca="1" si="99"/>
        <v>1.0068214933659623</v>
      </c>
      <c r="BA132" s="76">
        <f t="shared" ca="1" si="99"/>
        <v>1.0068214933659623</v>
      </c>
      <c r="BB132" s="76">
        <f t="shared" ca="1" si="99"/>
        <v>1.0068214933659623</v>
      </c>
      <c r="BC132" s="76">
        <f t="shared" ca="1" si="99"/>
        <v>1.0068214933659623</v>
      </c>
      <c r="BD132" s="76">
        <f t="shared" ca="1" si="99"/>
        <v>1.0068214933659623</v>
      </c>
      <c r="BE132" s="76">
        <f t="shared" ca="1" si="99"/>
        <v>1.0068214933659623</v>
      </c>
      <c r="BF132" s="76">
        <f t="shared" ca="1" si="99"/>
        <v>1.0068214933659623</v>
      </c>
      <c r="BG132" s="76">
        <f t="shared" ca="1" si="99"/>
        <v>1.0068214933659623</v>
      </c>
      <c r="BH132" s="76">
        <f t="shared" ca="1" si="99"/>
        <v>1.0068214933659623</v>
      </c>
      <c r="BI132" s="76">
        <f t="shared" ca="1" si="99"/>
        <v>1.0068214933659623</v>
      </c>
      <c r="BJ132" s="76">
        <f t="shared" ca="1" si="99"/>
        <v>1.0068214933659623</v>
      </c>
      <c r="BK132" s="76">
        <f t="shared" ca="1" si="99"/>
        <v>1.0068214933659623</v>
      </c>
      <c r="BL132" s="76">
        <f t="shared" ref="BL132:BL153" ca="1" si="112">PRODUCT(AZ132:BK132)-1</f>
        <v>8.5000000000000853E-2</v>
      </c>
      <c r="BM132" s="77">
        <f t="shared" ca="1" si="96"/>
        <v>37190.86040445324</v>
      </c>
    </row>
    <row r="133" spans="5:65">
      <c r="E133">
        <f t="shared" si="93"/>
        <v>130</v>
      </c>
      <c r="F133" s="64">
        <f t="shared" ref="F133:F196" si="113">ROUND((E133-E132)/12+F132,2)</f>
        <v>65.319999999999993</v>
      </c>
      <c r="G133" s="55">
        <f t="shared" si="100"/>
        <v>0</v>
      </c>
      <c r="H133" s="78">
        <f t="shared" si="89"/>
        <v>1</v>
      </c>
      <c r="I133" s="79">
        <f t="shared" ref="I133:I196" si="114">MAX(P132,0)*(1-G133)</f>
        <v>487415.58636694471</v>
      </c>
      <c r="J133" s="79">
        <f t="shared" si="101"/>
        <v>3324.9021888687244</v>
      </c>
      <c r="K133" s="80">
        <f t="shared" si="102"/>
        <v>-15</v>
      </c>
      <c r="L133" s="80">
        <f t="shared" ref="L133:L196" si="115">IF(OR(I132+O132=0,K132=0),0,-I133*($C$16/12))</f>
        <v>-406.17965530578726</v>
      </c>
      <c r="M133" s="80">
        <f t="shared" si="91"/>
        <v>0</v>
      </c>
      <c r="N133" s="80">
        <f t="shared" ref="N133:N196" si="116">IF(OR(I132+O132=0,K132=0),0,-I133*($C$18*(1+$C$20))/12)</f>
        <v>-463.04480704859753</v>
      </c>
      <c r="O133" s="81">
        <f t="shared" si="103"/>
        <v>-2500.6101455486769</v>
      </c>
      <c r="P133" s="79">
        <f t="shared" si="104"/>
        <v>487355.65394791041</v>
      </c>
      <c r="Q133" s="35"/>
      <c r="R133">
        <f t="shared" ref="R133:R196" ca="1" si="117">R132+1</f>
        <v>255</v>
      </c>
      <c r="S133" s="78">
        <f t="shared" ref="S133:S196" ca="1" si="118">ROUND((R133-R132)/12+S132,2)</f>
        <v>75.319999999999993</v>
      </c>
      <c r="T133" s="55">
        <f t="shared" ca="1" si="105"/>
        <v>5.5703631168392276E-3</v>
      </c>
      <c r="U133" s="78">
        <f t="shared" ca="1" si="81"/>
        <v>0.61417338173567526</v>
      </c>
      <c r="V133" s="79">
        <f t="shared" ref="V133:V196" ca="1" si="119">MAX(AC132,0)*(1-T133)</f>
        <v>260028.75344661024</v>
      </c>
      <c r="W133" s="79">
        <f t="shared" ca="1" si="106"/>
        <v>1773.7844165954912</v>
      </c>
      <c r="X133" s="80">
        <f t="shared" ca="1" si="82"/>
        <v>-9.212600726035129</v>
      </c>
      <c r="Y133" s="80">
        <f t="shared" ca="1" si="83"/>
        <v>-216.69062787217521</v>
      </c>
      <c r="Z133" s="80">
        <f t="shared" ref="Z133:Z196" ca="1" si="120">-IF(MOD(R133-1,12)=0,1,0)*V133*($C$17)</f>
        <v>0</v>
      </c>
      <c r="AA133" s="80">
        <f t="shared" ca="1" si="84"/>
        <v>-247.0273157742798</v>
      </c>
      <c r="AB133" s="81">
        <f t="shared" ca="1" si="107"/>
        <v>-1535.8081894941699</v>
      </c>
      <c r="AC133" s="79">
        <f t="shared" ca="1" si="108"/>
        <v>259793.79912933908</v>
      </c>
      <c r="AD133" s="35"/>
      <c r="AE133" s="62">
        <f t="shared" ca="1" si="109"/>
        <v>-2500.6101455486769</v>
      </c>
      <c r="AF133" s="62">
        <f t="shared" ca="1" si="110"/>
        <v>422997.49037503515</v>
      </c>
      <c r="AG133" s="35"/>
      <c r="AH133" s="35"/>
      <c r="AR133" s="69">
        <f t="shared" ref="AR133:AR196" si="121">ROUNDDOWN((AS133-1)/12,0)+1</f>
        <v>11</v>
      </c>
      <c r="AS133" s="70">
        <f t="shared" si="86"/>
        <v>130</v>
      </c>
      <c r="AT133" s="71">
        <f t="shared" si="87"/>
        <v>0.41072450495205171</v>
      </c>
      <c r="AU133" s="72">
        <f t="shared" si="111"/>
        <v>6.8214933659622723E-3</v>
      </c>
      <c r="AV133" s="73">
        <f t="shared" ref="AV133:AV196" si="122">(1+AU133)</f>
        <v>1.0068214933659623</v>
      </c>
      <c r="AW133" s="74">
        <f>PRODUCT(AV$4:AV133)</f>
        <v>2.4200378787398118</v>
      </c>
      <c r="AY133" s="75">
        <f t="shared" si="88"/>
        <v>130</v>
      </c>
      <c r="AZ133" s="76">
        <f t="shared" ca="1" si="99"/>
        <v>1.0068214933659623</v>
      </c>
      <c r="BA133" s="76">
        <f t="shared" ca="1" si="99"/>
        <v>1.0068214933659623</v>
      </c>
      <c r="BB133" s="76">
        <f t="shared" ca="1" si="99"/>
        <v>1.0068214933659623</v>
      </c>
      <c r="BC133" s="76">
        <f t="shared" ca="1" si="99"/>
        <v>1.0068214933659623</v>
      </c>
      <c r="BD133" s="76">
        <f t="shared" ca="1" si="99"/>
        <v>1.0068214933659623</v>
      </c>
      <c r="BE133" s="76">
        <f t="shared" ca="1" si="99"/>
        <v>1.0068214933659623</v>
      </c>
      <c r="BF133" s="76">
        <f t="shared" ca="1" si="99"/>
        <v>1.0068214933659623</v>
      </c>
      <c r="BG133" s="76">
        <f t="shared" ca="1" si="99"/>
        <v>1.0068214933659623</v>
      </c>
      <c r="BH133" s="76">
        <f t="shared" ca="1" si="99"/>
        <v>1.0068214933659623</v>
      </c>
      <c r="BI133" s="76">
        <f t="shared" ca="1" si="99"/>
        <v>1.0068214933659623</v>
      </c>
      <c r="BJ133" s="76">
        <f t="shared" ca="1" si="99"/>
        <v>1.0068214933659623</v>
      </c>
      <c r="BK133" s="76">
        <f t="shared" ca="1" si="99"/>
        <v>1.0068214933659623</v>
      </c>
      <c r="BL133" s="76">
        <f t="shared" ca="1" si="112"/>
        <v>8.5000000000000853E-2</v>
      </c>
      <c r="BM133" s="77">
        <f t="shared" ref="BM133:BM153" ca="1" si="123">PRODUCT(AZ133:BK133)*BM132</f>
        <v>40352.083538831801</v>
      </c>
    </row>
    <row r="134" spans="5:65">
      <c r="E134">
        <f t="shared" si="93"/>
        <v>131</v>
      </c>
      <c r="F134" s="64">
        <f t="shared" si="113"/>
        <v>65.400000000000006</v>
      </c>
      <c r="G134" s="55">
        <f t="shared" si="100"/>
        <v>0</v>
      </c>
      <c r="H134" s="78">
        <f t="shared" si="89"/>
        <v>1</v>
      </c>
      <c r="I134" s="79">
        <f t="shared" si="114"/>
        <v>487355.65394791041</v>
      </c>
      <c r="J134" s="79">
        <f t="shared" si="101"/>
        <v>3324.4933602698757</v>
      </c>
      <c r="K134" s="80">
        <f t="shared" si="102"/>
        <v>-15</v>
      </c>
      <c r="L134" s="80">
        <f t="shared" si="115"/>
        <v>-406.12971162325869</v>
      </c>
      <c r="M134" s="80">
        <f t="shared" si="91"/>
        <v>0</v>
      </c>
      <c r="N134" s="80">
        <f t="shared" si="116"/>
        <v>-462.98787125051496</v>
      </c>
      <c r="O134" s="81">
        <f t="shared" si="103"/>
        <v>-2500.6101455486769</v>
      </c>
      <c r="P134" s="79">
        <f t="shared" si="104"/>
        <v>487295.4195797579</v>
      </c>
      <c r="Q134" s="35"/>
      <c r="R134">
        <f t="shared" ca="1" si="117"/>
        <v>256</v>
      </c>
      <c r="S134" s="78">
        <f t="shared" ca="1" si="118"/>
        <v>75.400000000000006</v>
      </c>
      <c r="T134" s="55">
        <f t="shared" ca="1" si="105"/>
        <v>5.5703631168392276E-3</v>
      </c>
      <c r="U134" s="78">
        <f t="shared" ref="U134:U197" ca="1" si="124">U133*(1-T134)</f>
        <v>0.61075221298271043</v>
      </c>
      <c r="V134" s="79">
        <f t="shared" ca="1" si="119"/>
        <v>258346.65333268547</v>
      </c>
      <c r="W134" s="79">
        <f t="shared" ca="1" si="106"/>
        <v>1762.3099818274688</v>
      </c>
      <c r="X134" s="80">
        <f t="shared" ref="X134:X197" ca="1" si="125">IF(V134=0,0,-$C$19)*U134</f>
        <v>-9.1612831947406566</v>
      </c>
      <c r="Y134" s="80">
        <f t="shared" ref="Y134:Y197" ca="1" si="126">IF(OR(V133+AB133=0,X133=0),0,-V134*($C$16/12))</f>
        <v>-215.2888777772379</v>
      </c>
      <c r="Z134" s="80">
        <f t="shared" ca="1" si="120"/>
        <v>0</v>
      </c>
      <c r="AA134" s="80">
        <f t="shared" ref="AA134:AA197" ca="1" si="127">IF(OR(V133+AB133=0,X133=0),0,-V134*($C$18*(1+$C$20))/12)</f>
        <v>-245.42932066605124</v>
      </c>
      <c r="AB134" s="81">
        <f t="shared" ca="1" si="107"/>
        <v>-1527.2531802008718</v>
      </c>
      <c r="AC134" s="79">
        <f t="shared" ca="1" si="108"/>
        <v>258111.83065267408</v>
      </c>
      <c r="AD134" s="35"/>
      <c r="AE134" s="62">
        <f t="shared" ca="1" si="109"/>
        <v>-2500.6101455486764</v>
      </c>
      <c r="AF134" s="62">
        <f t="shared" ca="1" si="110"/>
        <v>422613.00927939638</v>
      </c>
      <c r="AG134" s="35"/>
      <c r="AH134" s="35"/>
      <c r="AR134" s="69">
        <f t="shared" si="121"/>
        <v>11</v>
      </c>
      <c r="AS134" s="70">
        <f t="shared" ref="AS134:AS197" si="128">AS133+1</f>
        <v>131</v>
      </c>
      <c r="AT134" s="71">
        <f t="shared" ref="AT134:AT143" si="129">(1-AU134)*AT133</f>
        <v>0.40792275046628312</v>
      </c>
      <c r="AU134" s="72">
        <f t="shared" si="111"/>
        <v>6.8214933659622723E-3</v>
      </c>
      <c r="AV134" s="73">
        <f t="shared" si="122"/>
        <v>1.0068214933659623</v>
      </c>
      <c r="AW134" s="74">
        <f>PRODUCT(AV$4:AV134)</f>
        <v>2.4365461510750128</v>
      </c>
      <c r="AY134" s="75">
        <f t="shared" ref="AY134:AY153" si="130">AY133+1</f>
        <v>131</v>
      </c>
      <c r="AZ134" s="76">
        <f t="shared" ca="1" si="99"/>
        <v>1.0068214933659623</v>
      </c>
      <c r="BA134" s="76">
        <f t="shared" ca="1" si="99"/>
        <v>1.0068214933659623</v>
      </c>
      <c r="BB134" s="76">
        <f t="shared" ca="1" si="99"/>
        <v>1.0068214933659623</v>
      </c>
      <c r="BC134" s="76">
        <f t="shared" ca="1" si="99"/>
        <v>1.0068214933659623</v>
      </c>
      <c r="BD134" s="76">
        <f t="shared" ca="1" si="99"/>
        <v>1.0068214933659623</v>
      </c>
      <c r="BE134" s="76">
        <f t="shared" ca="1" si="99"/>
        <v>1.0068214933659623</v>
      </c>
      <c r="BF134" s="76">
        <f t="shared" ca="1" si="99"/>
        <v>1.0068214933659623</v>
      </c>
      <c r="BG134" s="76">
        <f t="shared" ca="1" si="99"/>
        <v>1.0068214933659623</v>
      </c>
      <c r="BH134" s="76">
        <f t="shared" ca="1" si="99"/>
        <v>1.0068214933659623</v>
      </c>
      <c r="BI134" s="76">
        <f t="shared" ca="1" si="99"/>
        <v>1.0068214933659623</v>
      </c>
      <c r="BJ134" s="76">
        <f t="shared" ca="1" si="99"/>
        <v>1.0068214933659623</v>
      </c>
      <c r="BK134" s="76">
        <f t="shared" ca="1" si="99"/>
        <v>1.0068214933659623</v>
      </c>
      <c r="BL134" s="76">
        <f t="shared" ca="1" si="112"/>
        <v>8.5000000000000853E-2</v>
      </c>
      <c r="BM134" s="77">
        <f t="shared" ca="1" si="123"/>
        <v>43782.010639632535</v>
      </c>
    </row>
    <row r="135" spans="5:65">
      <c r="E135">
        <f t="shared" si="93"/>
        <v>132</v>
      </c>
      <c r="F135" s="64">
        <f t="shared" si="113"/>
        <v>65.48</v>
      </c>
      <c r="G135" s="55">
        <f t="shared" si="100"/>
        <v>0</v>
      </c>
      <c r="H135" s="78">
        <f t="shared" ref="H135:H198" si="131">H134*(1-G135)</f>
        <v>1</v>
      </c>
      <c r="I135" s="79">
        <f t="shared" si="114"/>
        <v>487295.4195797579</v>
      </c>
      <c r="J135" s="79">
        <f t="shared" si="101"/>
        <v>3324.0824719271204</v>
      </c>
      <c r="K135" s="80">
        <f t="shared" si="102"/>
        <v>-15</v>
      </c>
      <c r="L135" s="80">
        <f t="shared" si="115"/>
        <v>-406.07951631646495</v>
      </c>
      <c r="M135" s="80">
        <f t="shared" si="91"/>
        <v>0</v>
      </c>
      <c r="N135" s="80">
        <f t="shared" si="116"/>
        <v>-462.9306486007701</v>
      </c>
      <c r="O135" s="81">
        <f t="shared" si="103"/>
        <v>-2500.6101455486769</v>
      </c>
      <c r="P135" s="79">
        <f t="shared" si="104"/>
        <v>487234.88174121908</v>
      </c>
      <c r="Q135" s="35"/>
      <c r="R135">
        <f t="shared" ca="1" si="117"/>
        <v>257</v>
      </c>
      <c r="S135" s="78">
        <f t="shared" ca="1" si="118"/>
        <v>75.48</v>
      </c>
      <c r="T135" s="55">
        <f t="shared" ca="1" si="105"/>
        <v>5.5703631168392276E-3</v>
      </c>
      <c r="U135" s="78">
        <f t="shared" ca="1" si="124"/>
        <v>0.60735010138198364</v>
      </c>
      <c r="V135" s="79">
        <f t="shared" ca="1" si="119"/>
        <v>256674.05403118656</v>
      </c>
      <c r="W135" s="79">
        <f t="shared" ca="1" si="106"/>
        <v>1750.900356788381</v>
      </c>
      <c r="X135" s="80">
        <f t="shared" ca="1" si="125"/>
        <v>-9.1102515207297543</v>
      </c>
      <c r="Y135" s="80">
        <f t="shared" ca="1" si="126"/>
        <v>-213.89504502598882</v>
      </c>
      <c r="Z135" s="80">
        <f t="shared" ca="1" si="120"/>
        <v>0</v>
      </c>
      <c r="AA135" s="80">
        <f t="shared" ca="1" si="127"/>
        <v>-243.84035132962728</v>
      </c>
      <c r="AB135" s="81">
        <f t="shared" ca="1" si="107"/>
        <v>-1518.7458254158057</v>
      </c>
      <c r="AC135" s="79">
        <f t="shared" ca="1" si="108"/>
        <v>256439.3629146828</v>
      </c>
      <c r="AD135" s="35"/>
      <c r="AE135" s="62">
        <f t="shared" ca="1" si="109"/>
        <v>-2500.6101455486769</v>
      </c>
      <c r="AF135" s="62">
        <f t="shared" ca="1" si="110"/>
        <v>422226.59110646817</v>
      </c>
      <c r="AG135" s="35"/>
      <c r="AH135" s="35"/>
      <c r="AR135" s="69">
        <f t="shared" si="121"/>
        <v>11</v>
      </c>
      <c r="AS135" s="70">
        <f t="shared" si="128"/>
        <v>132</v>
      </c>
      <c r="AT135" s="71">
        <f t="shared" si="129"/>
        <v>0.40514010813015228</v>
      </c>
      <c r="AU135" s="72">
        <f t="shared" si="111"/>
        <v>6.8214933659622723E-3</v>
      </c>
      <c r="AV135" s="73">
        <f t="shared" si="122"/>
        <v>1.0068214933659623</v>
      </c>
      <c r="AW135" s="74">
        <f>PRODUCT(AV$4:AV135)</f>
        <v>2.4531670344804319</v>
      </c>
      <c r="AY135" s="75">
        <f t="shared" si="130"/>
        <v>132</v>
      </c>
      <c r="AZ135" s="76">
        <f t="shared" ref="AZ135:BK144" ca="1" si="132">OFFSET($AV$3,($AY135*12-12)+AZ$3,0)</f>
        <v>1.0068214933659623</v>
      </c>
      <c r="BA135" s="76">
        <f t="shared" ca="1" si="132"/>
        <v>1.0068214933659623</v>
      </c>
      <c r="BB135" s="76">
        <f t="shared" ca="1" si="132"/>
        <v>1.0068214933659623</v>
      </c>
      <c r="BC135" s="76">
        <f t="shared" ca="1" si="132"/>
        <v>1.0068214933659623</v>
      </c>
      <c r="BD135" s="76">
        <f t="shared" ca="1" si="132"/>
        <v>1.0068214933659623</v>
      </c>
      <c r="BE135" s="76">
        <f t="shared" ca="1" si="132"/>
        <v>1.0068214933659623</v>
      </c>
      <c r="BF135" s="76">
        <f t="shared" ca="1" si="132"/>
        <v>1.0068214933659623</v>
      </c>
      <c r="BG135" s="76">
        <f t="shared" ca="1" si="132"/>
        <v>1.0068214933659623</v>
      </c>
      <c r="BH135" s="76">
        <f t="shared" ca="1" si="132"/>
        <v>1.0068214933659623</v>
      </c>
      <c r="BI135" s="76">
        <f t="shared" ca="1" si="132"/>
        <v>1.0068214933659623</v>
      </c>
      <c r="BJ135" s="76">
        <f t="shared" ca="1" si="132"/>
        <v>1.0068214933659623</v>
      </c>
      <c r="BK135" s="76">
        <f t="shared" ca="1" si="132"/>
        <v>1.0068214933659623</v>
      </c>
      <c r="BL135" s="76">
        <f t="shared" ca="1" si="112"/>
        <v>8.5000000000000853E-2</v>
      </c>
      <c r="BM135" s="77">
        <f t="shared" ca="1" si="123"/>
        <v>47503.481544001341</v>
      </c>
    </row>
    <row r="136" spans="5:65">
      <c r="E136">
        <f t="shared" si="93"/>
        <v>133</v>
      </c>
      <c r="F136" s="64">
        <f t="shared" si="113"/>
        <v>65.56</v>
      </c>
      <c r="G136" s="55">
        <f t="shared" si="100"/>
        <v>0</v>
      </c>
      <c r="H136" s="78">
        <f t="shared" si="131"/>
        <v>1</v>
      </c>
      <c r="I136" s="79">
        <f t="shared" si="114"/>
        <v>487234.88174121908</v>
      </c>
      <c r="J136" s="79">
        <f t="shared" si="101"/>
        <v>3323.6695134631382</v>
      </c>
      <c r="K136" s="80">
        <f t="shared" si="102"/>
        <v>-15</v>
      </c>
      <c r="L136" s="80">
        <f t="shared" si="115"/>
        <v>-406.02906811768258</v>
      </c>
      <c r="M136" s="80">
        <f t="shared" si="91"/>
        <v>-3654.2616130591432</v>
      </c>
      <c r="N136" s="80">
        <f t="shared" si="116"/>
        <v>-462.8731376541582</v>
      </c>
      <c r="O136" s="81">
        <f t="shared" si="103"/>
        <v>-2500.6101455486769</v>
      </c>
      <c r="P136" s="79">
        <f t="shared" si="104"/>
        <v>483519.77729030262</v>
      </c>
      <c r="Q136" s="35"/>
      <c r="R136">
        <f t="shared" ca="1" si="117"/>
        <v>258</v>
      </c>
      <c r="S136" s="78">
        <f t="shared" ca="1" si="118"/>
        <v>75.56</v>
      </c>
      <c r="T136" s="55">
        <f t="shared" ca="1" si="105"/>
        <v>6.0757230971507648E-3</v>
      </c>
      <c r="U136" s="78">
        <f t="shared" ca="1" si="124"/>
        <v>0.60366001034296024</v>
      </c>
      <c r="V136" s="79">
        <f t="shared" ca="1" si="119"/>
        <v>254881.30835440345</v>
      </c>
      <c r="W136" s="79">
        <f t="shared" ca="1" si="106"/>
        <v>1738.6711540473475</v>
      </c>
      <c r="X136" s="80">
        <f t="shared" ca="1" si="125"/>
        <v>-9.0549001551444039</v>
      </c>
      <c r="Y136" s="80">
        <f t="shared" ca="1" si="126"/>
        <v>-212.40109029533622</v>
      </c>
      <c r="Z136" s="80">
        <f t="shared" ca="1" si="120"/>
        <v>0</v>
      </c>
      <c r="AA136" s="80">
        <f t="shared" ca="1" si="127"/>
        <v>-242.13724293668329</v>
      </c>
      <c r="AB136" s="81">
        <f t="shared" ca="1" si="107"/>
        <v>-1509.5183463256255</v>
      </c>
      <c r="AC136" s="79">
        <f t="shared" ca="1" si="108"/>
        <v>254646.86792873798</v>
      </c>
      <c r="AD136" s="35"/>
      <c r="AE136" s="62">
        <f t="shared" ca="1" si="109"/>
        <v>-2500.6101455486769</v>
      </c>
      <c r="AF136" s="62">
        <f t="shared" ca="1" si="110"/>
        <v>421838.22609694529</v>
      </c>
      <c r="AG136" s="35"/>
      <c r="AH136" s="35"/>
      <c r="AR136" s="69">
        <f t="shared" si="121"/>
        <v>12</v>
      </c>
      <c r="AS136" s="70">
        <f t="shared" si="128"/>
        <v>133</v>
      </c>
      <c r="AT136" s="71">
        <f t="shared" si="129"/>
        <v>0.4023764475702572</v>
      </c>
      <c r="AU136" s="72">
        <f t="shared" si="111"/>
        <v>6.8214933659622723E-3</v>
      </c>
      <c r="AV136" s="73">
        <f t="shared" si="122"/>
        <v>1.0068214933659623</v>
      </c>
      <c r="AW136" s="74">
        <f>PRODUCT(AV$4:AV136)</f>
        <v>2.4699012971317376</v>
      </c>
      <c r="AY136" s="75">
        <f t="shared" si="130"/>
        <v>133</v>
      </c>
      <c r="AZ136" s="76">
        <f t="shared" ca="1" si="132"/>
        <v>1.0068214933659623</v>
      </c>
      <c r="BA136" s="76">
        <f t="shared" ca="1" si="132"/>
        <v>1.0068214933659623</v>
      </c>
      <c r="BB136" s="76">
        <f t="shared" ca="1" si="132"/>
        <v>1.0068214933659623</v>
      </c>
      <c r="BC136" s="76">
        <f t="shared" ca="1" si="132"/>
        <v>1.0068214933659623</v>
      </c>
      <c r="BD136" s="76">
        <f t="shared" ca="1" si="132"/>
        <v>1.0068214933659623</v>
      </c>
      <c r="BE136" s="76">
        <f t="shared" ca="1" si="132"/>
        <v>1.0068214933659623</v>
      </c>
      <c r="BF136" s="76">
        <f t="shared" ca="1" si="132"/>
        <v>1.0068214933659623</v>
      </c>
      <c r="BG136" s="76">
        <f t="shared" ca="1" si="132"/>
        <v>1.0068214933659623</v>
      </c>
      <c r="BH136" s="76">
        <f t="shared" ca="1" si="132"/>
        <v>1.0068214933659623</v>
      </c>
      <c r="BI136" s="76">
        <f t="shared" ca="1" si="132"/>
        <v>1.0068214933659623</v>
      </c>
      <c r="BJ136" s="76">
        <f t="shared" ca="1" si="132"/>
        <v>1.0068214933659623</v>
      </c>
      <c r="BK136" s="76">
        <f t="shared" ca="1" si="132"/>
        <v>1.0068214933659623</v>
      </c>
      <c r="BL136" s="76">
        <f t="shared" ca="1" si="112"/>
        <v>8.5000000000000853E-2</v>
      </c>
      <c r="BM136" s="77">
        <f t="shared" ca="1" si="123"/>
        <v>51541.277475241499</v>
      </c>
    </row>
    <row r="137" spans="5:65">
      <c r="E137">
        <f t="shared" si="93"/>
        <v>134</v>
      </c>
      <c r="F137" s="64">
        <f t="shared" si="113"/>
        <v>65.64</v>
      </c>
      <c r="G137" s="55">
        <f t="shared" si="100"/>
        <v>0</v>
      </c>
      <c r="H137" s="78">
        <f t="shared" si="131"/>
        <v>1</v>
      </c>
      <c r="I137" s="79">
        <f t="shared" si="114"/>
        <v>483519.77729030262</v>
      </c>
      <c r="J137" s="79">
        <f t="shared" si="101"/>
        <v>3298.3269530973548</v>
      </c>
      <c r="K137" s="80">
        <f t="shared" si="102"/>
        <v>-15</v>
      </c>
      <c r="L137" s="80">
        <f t="shared" si="115"/>
        <v>-402.9331477419189</v>
      </c>
      <c r="M137" s="80">
        <f t="shared" si="91"/>
        <v>0</v>
      </c>
      <c r="N137" s="80">
        <f t="shared" si="116"/>
        <v>-459.34378842578758</v>
      </c>
      <c r="O137" s="81">
        <f t="shared" si="103"/>
        <v>-2500.6101455486769</v>
      </c>
      <c r="P137" s="79">
        <f t="shared" si="104"/>
        <v>483440.2171616836</v>
      </c>
      <c r="Q137" s="35"/>
      <c r="R137">
        <f t="shared" ca="1" si="117"/>
        <v>259</v>
      </c>
      <c r="S137" s="78">
        <f t="shared" ca="1" si="118"/>
        <v>75.64</v>
      </c>
      <c r="T137" s="55">
        <f t="shared" ca="1" si="105"/>
        <v>6.0757230971507648E-3</v>
      </c>
      <c r="U137" s="78">
        <f t="shared" ca="1" si="124"/>
        <v>0.59999233927529327</v>
      </c>
      <c r="V137" s="79">
        <f t="shared" ca="1" si="119"/>
        <v>253099.70407164624</v>
      </c>
      <c r="W137" s="79">
        <f t="shared" ca="1" si="106"/>
        <v>1726.5179522517492</v>
      </c>
      <c r="X137" s="80">
        <f t="shared" ca="1" si="125"/>
        <v>-8.9998850891293998</v>
      </c>
      <c r="Y137" s="80">
        <f t="shared" ca="1" si="126"/>
        <v>-210.91642005970522</v>
      </c>
      <c r="Z137" s="80">
        <f t="shared" ca="1" si="120"/>
        <v>0</v>
      </c>
      <c r="AA137" s="80">
        <f t="shared" ca="1" si="127"/>
        <v>-240.44471886806397</v>
      </c>
      <c r="AB137" s="81">
        <f t="shared" ca="1" si="107"/>
        <v>-1500.3469308432823</v>
      </c>
      <c r="AC137" s="79">
        <f t="shared" ca="1" si="108"/>
        <v>252865.51406903777</v>
      </c>
      <c r="AD137" s="35"/>
      <c r="AE137" s="62">
        <f t="shared" ca="1" si="109"/>
        <v>-2500.6101455486769</v>
      </c>
      <c r="AF137" s="62">
        <f t="shared" ca="1" si="110"/>
        <v>421447.90444235323</v>
      </c>
      <c r="AG137" s="35"/>
      <c r="AH137" s="35"/>
      <c r="AR137" s="69">
        <f t="shared" si="121"/>
        <v>12</v>
      </c>
      <c r="AS137" s="70">
        <f t="shared" si="128"/>
        <v>134</v>
      </c>
      <c r="AT137" s="71">
        <f t="shared" si="129"/>
        <v>0.3996316393025372</v>
      </c>
      <c r="AU137" s="72">
        <f t="shared" si="111"/>
        <v>6.8214933659622723E-3</v>
      </c>
      <c r="AV137" s="73">
        <f t="shared" si="122"/>
        <v>1.0068214933659623</v>
      </c>
      <c r="AW137" s="74">
        <f>PRODUCT(AV$4:AV137)</f>
        <v>2.4867497124447033</v>
      </c>
      <c r="AY137" s="75">
        <f t="shared" si="130"/>
        <v>134</v>
      </c>
      <c r="AZ137" s="76">
        <f t="shared" ca="1" si="132"/>
        <v>1.0068214933659623</v>
      </c>
      <c r="BA137" s="76">
        <f t="shared" ca="1" si="132"/>
        <v>1.0068214933659623</v>
      </c>
      <c r="BB137" s="76">
        <f t="shared" ca="1" si="132"/>
        <v>1.0068214933659623</v>
      </c>
      <c r="BC137" s="76">
        <f t="shared" ca="1" si="132"/>
        <v>1.0068214933659623</v>
      </c>
      <c r="BD137" s="76">
        <f t="shared" ca="1" si="132"/>
        <v>1.0068214933659623</v>
      </c>
      <c r="BE137" s="76">
        <f t="shared" ca="1" si="132"/>
        <v>1.0068214933659623</v>
      </c>
      <c r="BF137" s="76">
        <f t="shared" ca="1" si="132"/>
        <v>1.0068214933659623</v>
      </c>
      <c r="BG137" s="76">
        <f t="shared" ca="1" si="132"/>
        <v>1.0068214933659623</v>
      </c>
      <c r="BH137" s="76">
        <f t="shared" ca="1" si="132"/>
        <v>1.0068214933659623</v>
      </c>
      <c r="BI137" s="76">
        <f t="shared" ca="1" si="132"/>
        <v>1.0068214933659623</v>
      </c>
      <c r="BJ137" s="76">
        <f t="shared" ca="1" si="132"/>
        <v>1.0068214933659623</v>
      </c>
      <c r="BK137" s="76">
        <f t="shared" ca="1" si="132"/>
        <v>1.0068214933659623</v>
      </c>
      <c r="BL137" s="76">
        <f t="shared" ca="1" si="112"/>
        <v>8.5000000000000853E-2</v>
      </c>
      <c r="BM137" s="77">
        <f t="shared" ca="1" si="123"/>
        <v>55922.286060637067</v>
      </c>
    </row>
    <row r="138" spans="5:65">
      <c r="E138">
        <f t="shared" si="93"/>
        <v>135</v>
      </c>
      <c r="F138" s="64">
        <f t="shared" si="113"/>
        <v>65.72</v>
      </c>
      <c r="G138" s="55">
        <f t="shared" si="100"/>
        <v>0</v>
      </c>
      <c r="H138" s="78">
        <f t="shared" si="131"/>
        <v>1</v>
      </c>
      <c r="I138" s="79">
        <f t="shared" si="114"/>
        <v>483440.2171616836</v>
      </c>
      <c r="J138" s="79">
        <f t="shared" si="101"/>
        <v>3297.7842342077847</v>
      </c>
      <c r="K138" s="80">
        <f t="shared" si="102"/>
        <v>-15</v>
      </c>
      <c r="L138" s="80">
        <f t="shared" si="115"/>
        <v>-402.86684763473636</v>
      </c>
      <c r="M138" s="80">
        <f t="shared" si="91"/>
        <v>0</v>
      </c>
      <c r="N138" s="80">
        <f t="shared" si="116"/>
        <v>-459.26820630359953</v>
      </c>
      <c r="O138" s="81">
        <f t="shared" si="103"/>
        <v>-2500.6101455486769</v>
      </c>
      <c r="P138" s="79">
        <f t="shared" si="104"/>
        <v>483360.2561964044</v>
      </c>
      <c r="Q138" s="35"/>
      <c r="R138">
        <f t="shared" ca="1" si="117"/>
        <v>260</v>
      </c>
      <c r="S138" s="78">
        <f t="shared" ca="1" si="118"/>
        <v>75.72</v>
      </c>
      <c r="T138" s="55">
        <f t="shared" ca="1" si="105"/>
        <v>6.0757230971507648E-3</v>
      </c>
      <c r="U138" s="78">
        <f t="shared" ca="1" si="124"/>
        <v>0.59634695196144483</v>
      </c>
      <c r="V138" s="79">
        <f t="shared" ca="1" si="119"/>
        <v>251329.17322473563</v>
      </c>
      <c r="W138" s="79">
        <f t="shared" ca="1" si="106"/>
        <v>1714.4402878253168</v>
      </c>
      <c r="X138" s="80">
        <f t="shared" ca="1" si="125"/>
        <v>-8.945204279421672</v>
      </c>
      <c r="Y138" s="80">
        <f t="shared" ca="1" si="126"/>
        <v>-209.44097768727971</v>
      </c>
      <c r="Z138" s="80">
        <f t="shared" ca="1" si="120"/>
        <v>0</v>
      </c>
      <c r="AA138" s="80">
        <f t="shared" ca="1" si="127"/>
        <v>-238.76271456349889</v>
      </c>
      <c r="AB138" s="81">
        <f t="shared" ca="1" si="107"/>
        <v>-1491.2312383418184</v>
      </c>
      <c r="AC138" s="79">
        <f t="shared" ca="1" si="108"/>
        <v>251095.23337768894</v>
      </c>
      <c r="AD138" s="35"/>
      <c r="AE138" s="62">
        <f t="shared" ca="1" si="109"/>
        <v>-2500.6101455486769</v>
      </c>
      <c r="AF138" s="62">
        <f t="shared" ca="1" si="110"/>
        <v>421055.61628480128</v>
      </c>
      <c r="AG138" s="35"/>
      <c r="AH138" s="35"/>
      <c r="AR138" s="69">
        <f t="shared" si="121"/>
        <v>12</v>
      </c>
      <c r="AS138" s="70">
        <f t="shared" si="128"/>
        <v>135</v>
      </c>
      <c r="AT138" s="71">
        <f t="shared" si="129"/>
        <v>0.39690555472620631</v>
      </c>
      <c r="AU138" s="72">
        <f t="shared" si="111"/>
        <v>6.8214933659622723E-3</v>
      </c>
      <c r="AV138" s="73">
        <f t="shared" si="122"/>
        <v>1.0068214933659623</v>
      </c>
      <c r="AW138" s="74">
        <f>PRODUCT(AV$4:AV138)</f>
        <v>2.5037130591109533</v>
      </c>
      <c r="AY138" s="75">
        <f t="shared" si="130"/>
        <v>135</v>
      </c>
      <c r="AZ138" s="76">
        <f t="shared" ca="1" si="132"/>
        <v>1.0068214933659623</v>
      </c>
      <c r="BA138" s="76">
        <f t="shared" ca="1" si="132"/>
        <v>1.0068214933659623</v>
      </c>
      <c r="BB138" s="76">
        <f t="shared" ca="1" si="132"/>
        <v>1.0068214933659623</v>
      </c>
      <c r="BC138" s="76">
        <f t="shared" ca="1" si="132"/>
        <v>1.0068214933659623</v>
      </c>
      <c r="BD138" s="76">
        <f t="shared" ca="1" si="132"/>
        <v>1.0068214933659623</v>
      </c>
      <c r="BE138" s="76">
        <f t="shared" ca="1" si="132"/>
        <v>1.0068214933659623</v>
      </c>
      <c r="BF138" s="76">
        <f t="shared" ca="1" si="132"/>
        <v>1.0068214933659623</v>
      </c>
      <c r="BG138" s="76">
        <f t="shared" ca="1" si="132"/>
        <v>1.0068214933659623</v>
      </c>
      <c r="BH138" s="76">
        <f t="shared" ca="1" si="132"/>
        <v>1.0068214933659623</v>
      </c>
      <c r="BI138" s="76">
        <f t="shared" ca="1" si="132"/>
        <v>1.0068214933659623</v>
      </c>
      <c r="BJ138" s="76">
        <f t="shared" ca="1" si="132"/>
        <v>1.0068214933659623</v>
      </c>
      <c r="BK138" s="76">
        <f t="shared" ca="1" si="132"/>
        <v>1.0068214933659623</v>
      </c>
      <c r="BL138" s="76">
        <f t="shared" ca="1" si="112"/>
        <v>8.5000000000000853E-2</v>
      </c>
      <c r="BM138" s="77">
        <f t="shared" ca="1" si="123"/>
        <v>60675.680375791264</v>
      </c>
    </row>
    <row r="139" spans="5:65">
      <c r="E139">
        <f t="shared" si="93"/>
        <v>136</v>
      </c>
      <c r="F139" s="64">
        <f t="shared" si="113"/>
        <v>65.8</v>
      </c>
      <c r="G139" s="55">
        <f t="shared" si="100"/>
        <v>0</v>
      </c>
      <c r="H139" s="78">
        <f t="shared" si="131"/>
        <v>1</v>
      </c>
      <c r="I139" s="79">
        <f t="shared" si="114"/>
        <v>483360.2561964044</v>
      </c>
      <c r="J139" s="79">
        <f t="shared" si="101"/>
        <v>3297.238781013597</v>
      </c>
      <c r="K139" s="80">
        <f t="shared" si="102"/>
        <v>-15</v>
      </c>
      <c r="L139" s="80">
        <f t="shared" si="115"/>
        <v>-402.80021349700371</v>
      </c>
      <c r="M139" s="80">
        <f t="shared" si="91"/>
        <v>0</v>
      </c>
      <c r="N139" s="80">
        <f t="shared" si="116"/>
        <v>-459.19224338658427</v>
      </c>
      <c r="O139" s="81">
        <f t="shared" si="103"/>
        <v>-2500.6101455486769</v>
      </c>
      <c r="P139" s="79">
        <f t="shared" si="104"/>
        <v>483279.89237498573</v>
      </c>
      <c r="Q139" s="35"/>
      <c r="R139">
        <f t="shared" ca="1" si="117"/>
        <v>261</v>
      </c>
      <c r="S139" s="78">
        <f t="shared" ca="1" si="118"/>
        <v>75.8</v>
      </c>
      <c r="T139" s="55">
        <f t="shared" ca="1" si="105"/>
        <v>6.0757230971507648E-3</v>
      </c>
      <c r="U139" s="78">
        <f t="shared" ca="1" si="124"/>
        <v>0.59272371301149718</v>
      </c>
      <c r="V139" s="79">
        <f t="shared" ca="1" si="119"/>
        <v>249569.64826867165</v>
      </c>
      <c r="W139" s="79">
        <f t="shared" ca="1" si="106"/>
        <v>1702.4377000102813</v>
      </c>
      <c r="X139" s="80">
        <f t="shared" ca="1" si="125"/>
        <v>-8.8908556951724584</v>
      </c>
      <c r="Y139" s="80">
        <f t="shared" ca="1" si="126"/>
        <v>-207.97470689055973</v>
      </c>
      <c r="Z139" s="80">
        <f t="shared" ca="1" si="120"/>
        <v>0</v>
      </c>
      <c r="AA139" s="80">
        <f t="shared" ca="1" si="127"/>
        <v>-237.09116585523813</v>
      </c>
      <c r="AB139" s="81">
        <f t="shared" ca="1" si="107"/>
        <v>-1482.1709302638321</v>
      </c>
      <c r="AC139" s="79">
        <f t="shared" ca="1" si="108"/>
        <v>249335.95830997714</v>
      </c>
      <c r="AD139" s="35"/>
      <c r="AE139" s="62">
        <f t="shared" ca="1" si="109"/>
        <v>-2500.6101455486769</v>
      </c>
      <c r="AF139" s="62">
        <f t="shared" ca="1" si="110"/>
        <v>420661.35171673266</v>
      </c>
      <c r="AG139" s="35"/>
      <c r="AH139" s="35"/>
      <c r="AR139" s="69">
        <f t="shared" si="121"/>
        <v>12</v>
      </c>
      <c r="AS139" s="70">
        <f t="shared" si="128"/>
        <v>136</v>
      </c>
      <c r="AT139" s="71">
        <f t="shared" si="129"/>
        <v>0.3941980661177279</v>
      </c>
      <c r="AU139" s="72">
        <f t="shared" si="111"/>
        <v>6.8214933659622723E-3</v>
      </c>
      <c r="AV139" s="73">
        <f t="shared" si="122"/>
        <v>1.0068214933659623</v>
      </c>
      <c r="AW139" s="74">
        <f>PRODUCT(AV$4:AV139)</f>
        <v>2.5207921211339519</v>
      </c>
      <c r="AY139" s="75">
        <f t="shared" si="130"/>
        <v>136</v>
      </c>
      <c r="AZ139" s="76">
        <f t="shared" ca="1" si="132"/>
        <v>1.0068214933659623</v>
      </c>
      <c r="BA139" s="76">
        <f t="shared" ca="1" si="132"/>
        <v>1.0068214933659623</v>
      </c>
      <c r="BB139" s="76">
        <f t="shared" ca="1" si="132"/>
        <v>1.0068214933659623</v>
      </c>
      <c r="BC139" s="76">
        <f t="shared" ca="1" si="132"/>
        <v>1.0068214933659623</v>
      </c>
      <c r="BD139" s="76">
        <f t="shared" ca="1" si="132"/>
        <v>1.0068214933659623</v>
      </c>
      <c r="BE139" s="76">
        <f t="shared" ca="1" si="132"/>
        <v>1.0068214933659623</v>
      </c>
      <c r="BF139" s="76">
        <f t="shared" ca="1" si="132"/>
        <v>1.0068214933659623</v>
      </c>
      <c r="BG139" s="76">
        <f t="shared" ca="1" si="132"/>
        <v>1.0068214933659623</v>
      </c>
      <c r="BH139" s="76">
        <f t="shared" ca="1" si="132"/>
        <v>1.0068214933659623</v>
      </c>
      <c r="BI139" s="76">
        <f t="shared" ca="1" si="132"/>
        <v>1.0068214933659623</v>
      </c>
      <c r="BJ139" s="76">
        <f t="shared" ca="1" si="132"/>
        <v>1.0068214933659623</v>
      </c>
      <c r="BK139" s="76">
        <f t="shared" ca="1" si="132"/>
        <v>1.0068214933659623</v>
      </c>
      <c r="BL139" s="76">
        <f t="shared" ca="1" si="112"/>
        <v>8.5000000000000853E-2</v>
      </c>
      <c r="BM139" s="77">
        <f t="shared" ca="1" si="123"/>
        <v>65833.113207733579</v>
      </c>
    </row>
    <row r="140" spans="5:65">
      <c r="E140">
        <f t="shared" si="93"/>
        <v>137</v>
      </c>
      <c r="F140" s="64">
        <f t="shared" si="113"/>
        <v>65.88</v>
      </c>
      <c r="G140" s="55">
        <f t="shared" si="100"/>
        <v>0</v>
      </c>
      <c r="H140" s="78">
        <f t="shared" si="131"/>
        <v>1</v>
      </c>
      <c r="I140" s="79">
        <f t="shared" si="114"/>
        <v>483279.89237498573</v>
      </c>
      <c r="J140" s="79">
        <f t="shared" si="101"/>
        <v>3296.6905797389263</v>
      </c>
      <c r="K140" s="80">
        <f t="shared" si="102"/>
        <v>-15</v>
      </c>
      <c r="L140" s="80">
        <f t="shared" si="115"/>
        <v>-402.73324364582146</v>
      </c>
      <c r="M140" s="80">
        <f t="shared" si="91"/>
        <v>0</v>
      </c>
      <c r="N140" s="80">
        <f t="shared" si="116"/>
        <v>-459.11589775623656</v>
      </c>
      <c r="O140" s="81">
        <f t="shared" si="103"/>
        <v>-2500.6101455486769</v>
      </c>
      <c r="P140" s="79">
        <f t="shared" si="104"/>
        <v>483199.12366777397</v>
      </c>
      <c r="Q140" s="35"/>
      <c r="R140">
        <f t="shared" ca="1" si="117"/>
        <v>262</v>
      </c>
      <c r="S140" s="78">
        <f t="shared" ca="1" si="118"/>
        <v>75.88</v>
      </c>
      <c r="T140" s="55">
        <f t="shared" ca="1" si="105"/>
        <v>6.0757230971507648E-3</v>
      </c>
      <c r="U140" s="78">
        <f t="shared" ca="1" si="124"/>
        <v>0.58912248785812427</v>
      </c>
      <c r="V140" s="79">
        <f t="shared" ca="1" si="119"/>
        <v>247821.062069123</v>
      </c>
      <c r="W140" s="79">
        <f t="shared" ca="1" si="106"/>
        <v>1690.509730850247</v>
      </c>
      <c r="X140" s="80">
        <f t="shared" ca="1" si="125"/>
        <v>-8.8368373178718649</v>
      </c>
      <c r="Y140" s="80">
        <f t="shared" ca="1" si="126"/>
        <v>-206.51755172426917</v>
      </c>
      <c r="Z140" s="80">
        <f t="shared" ca="1" si="120"/>
        <v>0</v>
      </c>
      <c r="AA140" s="80">
        <f t="shared" ca="1" si="127"/>
        <v>-235.43000896566687</v>
      </c>
      <c r="AB140" s="81">
        <f t="shared" ca="1" si="107"/>
        <v>-1473.1656701089025</v>
      </c>
      <c r="AC140" s="79">
        <f t="shared" ca="1" si="108"/>
        <v>247587.62173185655</v>
      </c>
      <c r="AD140" s="35"/>
      <c r="AE140" s="62">
        <f t="shared" ca="1" si="109"/>
        <v>-2500.6101455486764</v>
      </c>
      <c r="AF140" s="62">
        <f t="shared" ca="1" si="110"/>
        <v>420265.10078067495</v>
      </c>
      <c r="AG140" s="35"/>
      <c r="AH140" s="35"/>
      <c r="AR140" s="69">
        <f t="shared" si="121"/>
        <v>12</v>
      </c>
      <c r="AS140" s="70">
        <f t="shared" si="128"/>
        <v>137</v>
      </c>
      <c r="AT140" s="71">
        <f t="shared" si="129"/>
        <v>0.39150904662483066</v>
      </c>
      <c r="AU140" s="72">
        <f t="shared" si="111"/>
        <v>6.8214933659622723E-3</v>
      </c>
      <c r="AV140" s="73">
        <f t="shared" si="122"/>
        <v>1.0068214933659623</v>
      </c>
      <c r="AW140" s="74">
        <f>PRODUCT(AV$4:AV140)</f>
        <v>2.537987687865237</v>
      </c>
      <c r="AY140" s="75">
        <f t="shared" si="130"/>
        <v>137</v>
      </c>
      <c r="AZ140" s="76">
        <f t="shared" ca="1" si="132"/>
        <v>1.0068214933659623</v>
      </c>
      <c r="BA140" s="76">
        <f t="shared" ca="1" si="132"/>
        <v>1.0068214933659623</v>
      </c>
      <c r="BB140" s="76">
        <f t="shared" ca="1" si="132"/>
        <v>1.0068214933659623</v>
      </c>
      <c r="BC140" s="76">
        <f t="shared" ca="1" si="132"/>
        <v>1.0068214933659623</v>
      </c>
      <c r="BD140" s="76">
        <f t="shared" ca="1" si="132"/>
        <v>1.0068214933659623</v>
      </c>
      <c r="BE140" s="76">
        <f t="shared" ca="1" si="132"/>
        <v>1.0068214933659623</v>
      </c>
      <c r="BF140" s="76">
        <f t="shared" ca="1" si="132"/>
        <v>1.0068214933659623</v>
      </c>
      <c r="BG140" s="76">
        <f t="shared" ca="1" si="132"/>
        <v>1.0068214933659623</v>
      </c>
      <c r="BH140" s="76">
        <f t="shared" ca="1" si="132"/>
        <v>1.0068214933659623</v>
      </c>
      <c r="BI140" s="76">
        <f t="shared" ca="1" si="132"/>
        <v>1.0068214933659623</v>
      </c>
      <c r="BJ140" s="76">
        <f t="shared" ca="1" si="132"/>
        <v>1.0068214933659623</v>
      </c>
      <c r="BK140" s="76">
        <f t="shared" ca="1" si="132"/>
        <v>1.0068214933659623</v>
      </c>
      <c r="BL140" s="76">
        <f t="shared" ca="1" si="112"/>
        <v>8.5000000000000853E-2</v>
      </c>
      <c r="BM140" s="77">
        <f t="shared" ca="1" si="123"/>
        <v>71428.927830390996</v>
      </c>
    </row>
    <row r="141" spans="5:65">
      <c r="E141">
        <f t="shared" si="93"/>
        <v>138</v>
      </c>
      <c r="F141" s="64">
        <f t="shared" si="113"/>
        <v>65.959999999999994</v>
      </c>
      <c r="G141" s="55">
        <f t="shared" si="100"/>
        <v>0</v>
      </c>
      <c r="H141" s="78">
        <f t="shared" si="131"/>
        <v>1</v>
      </c>
      <c r="I141" s="79">
        <f t="shared" si="114"/>
        <v>483199.12366777397</v>
      </c>
      <c r="J141" s="79">
        <f t="shared" si="101"/>
        <v>3296.1396165385036</v>
      </c>
      <c r="K141" s="80">
        <f t="shared" si="102"/>
        <v>-15</v>
      </c>
      <c r="L141" s="80">
        <f t="shared" si="115"/>
        <v>-402.66593638981169</v>
      </c>
      <c r="M141" s="80">
        <f t="shared" si="91"/>
        <v>0</v>
      </c>
      <c r="N141" s="80">
        <f t="shared" si="116"/>
        <v>-459.03916748438536</v>
      </c>
      <c r="O141" s="81">
        <f t="shared" si="103"/>
        <v>-2500.6101455486769</v>
      </c>
      <c r="P141" s="79">
        <f t="shared" si="104"/>
        <v>483117.94803488959</v>
      </c>
      <c r="Q141" s="35"/>
      <c r="R141">
        <f t="shared" ca="1" si="117"/>
        <v>263</v>
      </c>
      <c r="S141" s="78">
        <f t="shared" ca="1" si="118"/>
        <v>75.959999999999994</v>
      </c>
      <c r="T141" s="55">
        <f t="shared" ca="1" si="105"/>
        <v>6.0757230971507648E-3</v>
      </c>
      <c r="U141" s="78">
        <f t="shared" ca="1" si="124"/>
        <v>0.58554314275159369</v>
      </c>
      <c r="V141" s="79">
        <f t="shared" ca="1" si="119"/>
        <v>246083.34789993169</v>
      </c>
      <c r="W141" s="79">
        <f t="shared" ca="1" si="106"/>
        <v>1678.6559251731699</v>
      </c>
      <c r="X141" s="80">
        <f t="shared" ca="1" si="125"/>
        <v>-8.7831471412739059</v>
      </c>
      <c r="Y141" s="80">
        <f t="shared" ca="1" si="126"/>
        <v>-205.06945658327641</v>
      </c>
      <c r="Z141" s="80">
        <f t="shared" ca="1" si="120"/>
        <v>0</v>
      </c>
      <c r="AA141" s="80">
        <f t="shared" ca="1" si="127"/>
        <v>-233.77918050493517</v>
      </c>
      <c r="AB141" s="81">
        <f t="shared" ca="1" si="107"/>
        <v>-1464.2151234210924</v>
      </c>
      <c r="AC141" s="79">
        <f t="shared" ca="1" si="108"/>
        <v>245850.15691745427</v>
      </c>
      <c r="AD141" s="35"/>
      <c r="AE141" s="62">
        <f t="shared" ca="1" si="109"/>
        <v>-2500.6101455486769</v>
      </c>
      <c r="AF141" s="62">
        <f t="shared" ca="1" si="110"/>
        <v>419866.85346898827</v>
      </c>
      <c r="AG141" s="35"/>
      <c r="AH141" s="35"/>
      <c r="AR141" s="69">
        <f t="shared" si="121"/>
        <v>12</v>
      </c>
      <c r="AS141" s="70">
        <f t="shared" si="128"/>
        <v>138</v>
      </c>
      <c r="AT141" s="71">
        <f t="shared" si="129"/>
        <v>0.38883837026056517</v>
      </c>
      <c r="AU141" s="72">
        <f t="shared" si="111"/>
        <v>6.8214933659622723E-3</v>
      </c>
      <c r="AV141" s="73">
        <f t="shared" si="122"/>
        <v>1.0068214933659623</v>
      </c>
      <c r="AW141" s="74">
        <f>PRODUCT(AV$4:AV141)</f>
        <v>2.5553005540409037</v>
      </c>
      <c r="AY141" s="75">
        <f t="shared" si="130"/>
        <v>138</v>
      </c>
      <c r="AZ141" s="76">
        <f t="shared" ca="1" si="132"/>
        <v>1.0068214933659623</v>
      </c>
      <c r="BA141" s="76">
        <f t="shared" ca="1" si="132"/>
        <v>1.0068214933659623</v>
      </c>
      <c r="BB141" s="76">
        <f t="shared" ca="1" si="132"/>
        <v>1.0068214933659623</v>
      </c>
      <c r="BC141" s="76">
        <f t="shared" ca="1" si="132"/>
        <v>1.0068214933659623</v>
      </c>
      <c r="BD141" s="76">
        <f t="shared" ca="1" si="132"/>
        <v>1.0068214933659623</v>
      </c>
      <c r="BE141" s="76">
        <f t="shared" ca="1" si="132"/>
        <v>1.0068214933659623</v>
      </c>
      <c r="BF141" s="76">
        <f t="shared" ca="1" si="132"/>
        <v>1.0068214933659623</v>
      </c>
      <c r="BG141" s="76">
        <f t="shared" ca="1" si="132"/>
        <v>1.0068214933659623</v>
      </c>
      <c r="BH141" s="76">
        <f t="shared" ca="1" si="132"/>
        <v>1.0068214933659623</v>
      </c>
      <c r="BI141" s="76">
        <f t="shared" ca="1" si="132"/>
        <v>1.0068214933659623</v>
      </c>
      <c r="BJ141" s="76">
        <f t="shared" ca="1" si="132"/>
        <v>1.0068214933659623</v>
      </c>
      <c r="BK141" s="76">
        <f t="shared" ca="1" si="132"/>
        <v>1.0068214933659623</v>
      </c>
      <c r="BL141" s="76">
        <f t="shared" ca="1" si="112"/>
        <v>8.5000000000000853E-2</v>
      </c>
      <c r="BM141" s="77">
        <f t="shared" ca="1" si="123"/>
        <v>77500.386695974288</v>
      </c>
    </row>
    <row r="142" spans="5:65">
      <c r="E142">
        <f t="shared" si="93"/>
        <v>139</v>
      </c>
      <c r="F142" s="64">
        <f t="shared" si="113"/>
        <v>66.040000000000006</v>
      </c>
      <c r="G142" s="55">
        <f t="shared" si="100"/>
        <v>0</v>
      </c>
      <c r="H142" s="78">
        <f t="shared" si="131"/>
        <v>1</v>
      </c>
      <c r="I142" s="79">
        <f t="shared" si="114"/>
        <v>483117.94803488959</v>
      </c>
      <c r="J142" s="79">
        <f t="shared" si="101"/>
        <v>3295.5858774973053</v>
      </c>
      <c r="K142" s="80">
        <f t="shared" si="102"/>
        <v>-15</v>
      </c>
      <c r="L142" s="80">
        <f t="shared" si="115"/>
        <v>-402.59829002907469</v>
      </c>
      <c r="M142" s="80">
        <f t="shared" si="91"/>
        <v>0</v>
      </c>
      <c r="N142" s="80">
        <f t="shared" si="116"/>
        <v>-458.96205063314522</v>
      </c>
      <c r="O142" s="81">
        <f t="shared" si="103"/>
        <v>-2500.6101455486769</v>
      </c>
      <c r="P142" s="79">
        <f t="shared" si="104"/>
        <v>483036.36342617602</v>
      </c>
      <c r="Q142" s="35"/>
      <c r="R142">
        <f t="shared" ca="1" si="117"/>
        <v>264</v>
      </c>
      <c r="S142" s="78">
        <f t="shared" ca="1" si="118"/>
        <v>76.040000000000006</v>
      </c>
      <c r="T142" s="55">
        <f t="shared" ca="1" si="105"/>
        <v>6.0757230971507648E-3</v>
      </c>
      <c r="U142" s="78">
        <f t="shared" ca="1" si="124"/>
        <v>0.58198554475479958</v>
      </c>
      <c r="V142" s="79">
        <f t="shared" ca="1" si="119"/>
        <v>244356.43944063276</v>
      </c>
      <c r="W142" s="79">
        <f t="shared" ca="1" si="106"/>
        <v>1666.8758305744382</v>
      </c>
      <c r="X142" s="80">
        <f t="shared" ca="1" si="125"/>
        <v>-8.7297831713219942</v>
      </c>
      <c r="Y142" s="80">
        <f t="shared" ca="1" si="126"/>
        <v>-203.63036620052731</v>
      </c>
      <c r="Z142" s="80">
        <f t="shared" ca="1" si="120"/>
        <v>0</v>
      </c>
      <c r="AA142" s="80">
        <f t="shared" ca="1" si="127"/>
        <v>-232.13861746860118</v>
      </c>
      <c r="AB142" s="81">
        <f t="shared" ca="1" si="107"/>
        <v>-1455.3189577765254</v>
      </c>
      <c r="AC142" s="79">
        <f t="shared" ca="1" si="108"/>
        <v>244123.49754659022</v>
      </c>
      <c r="AD142" s="35"/>
      <c r="AE142" s="62">
        <f t="shared" ca="1" si="109"/>
        <v>-2500.6101455486769</v>
      </c>
      <c r="AF142" s="62">
        <f t="shared" ca="1" si="110"/>
        <v>419466.59972361272</v>
      </c>
      <c r="AG142" s="35"/>
      <c r="AH142" s="35"/>
      <c r="AR142" s="69">
        <f t="shared" si="121"/>
        <v>12</v>
      </c>
      <c r="AS142" s="70">
        <f t="shared" si="128"/>
        <v>139</v>
      </c>
      <c r="AT142" s="71">
        <f t="shared" si="129"/>
        <v>0.38618591189740115</v>
      </c>
      <c r="AU142" s="72">
        <f t="shared" si="111"/>
        <v>6.8214933659622723E-3</v>
      </c>
      <c r="AV142" s="73">
        <f t="shared" si="122"/>
        <v>1.0068214933659623</v>
      </c>
      <c r="AW142" s="74">
        <f>PRODUCT(AV$4:AV142)</f>
        <v>2.5727315198183334</v>
      </c>
      <c r="AY142" s="75">
        <f t="shared" si="130"/>
        <v>139</v>
      </c>
      <c r="AZ142" s="76">
        <f t="shared" ca="1" si="132"/>
        <v>1.0068214933659623</v>
      </c>
      <c r="BA142" s="76">
        <f t="shared" ca="1" si="132"/>
        <v>1.0068214933659623</v>
      </c>
      <c r="BB142" s="76">
        <f t="shared" ca="1" si="132"/>
        <v>1.0068214933659623</v>
      </c>
      <c r="BC142" s="76">
        <f t="shared" ca="1" si="132"/>
        <v>1.0068214933659623</v>
      </c>
      <c r="BD142" s="76">
        <f t="shared" ca="1" si="132"/>
        <v>1.0068214933659623</v>
      </c>
      <c r="BE142" s="76">
        <f t="shared" ca="1" si="132"/>
        <v>1.0068214933659623</v>
      </c>
      <c r="BF142" s="76">
        <f t="shared" ca="1" si="132"/>
        <v>1.0068214933659623</v>
      </c>
      <c r="BG142" s="76">
        <f t="shared" ca="1" si="132"/>
        <v>1.0068214933659623</v>
      </c>
      <c r="BH142" s="76">
        <f t="shared" ca="1" si="132"/>
        <v>1.0068214933659623</v>
      </c>
      <c r="BI142" s="76">
        <f t="shared" ca="1" si="132"/>
        <v>1.0068214933659623</v>
      </c>
      <c r="BJ142" s="76">
        <f t="shared" ca="1" si="132"/>
        <v>1.0068214933659623</v>
      </c>
      <c r="BK142" s="76">
        <f t="shared" ca="1" si="132"/>
        <v>1.0068214933659623</v>
      </c>
      <c r="BL142" s="76">
        <f t="shared" ca="1" si="112"/>
        <v>8.5000000000000853E-2</v>
      </c>
      <c r="BM142" s="77">
        <f t="shared" ca="1" si="123"/>
        <v>84087.919565132164</v>
      </c>
    </row>
    <row r="143" spans="5:65">
      <c r="E143">
        <f t="shared" si="93"/>
        <v>140</v>
      </c>
      <c r="F143" s="64">
        <f t="shared" si="113"/>
        <v>66.12</v>
      </c>
      <c r="G143" s="55">
        <f t="shared" si="100"/>
        <v>0</v>
      </c>
      <c r="H143" s="78">
        <f t="shared" si="131"/>
        <v>1</v>
      </c>
      <c r="I143" s="79">
        <f t="shared" si="114"/>
        <v>483036.36342617602</v>
      </c>
      <c r="J143" s="79">
        <f t="shared" si="101"/>
        <v>3295.0293486302007</v>
      </c>
      <c r="K143" s="80">
        <f t="shared" si="102"/>
        <v>-15</v>
      </c>
      <c r="L143" s="80">
        <f t="shared" si="115"/>
        <v>-402.53030285514672</v>
      </c>
      <c r="M143" s="80">
        <f t="shared" si="91"/>
        <v>0</v>
      </c>
      <c r="N143" s="80">
        <f t="shared" si="116"/>
        <v>-458.88454525486731</v>
      </c>
      <c r="O143" s="81">
        <f t="shared" si="103"/>
        <v>-2500.6101455486769</v>
      </c>
      <c r="P143" s="79">
        <f t="shared" si="104"/>
        <v>482954.36778114759</v>
      </c>
      <c r="Q143" s="35"/>
      <c r="R143">
        <f t="shared" ca="1" si="117"/>
        <v>265</v>
      </c>
      <c r="S143" s="78">
        <f t="shared" ca="1" si="118"/>
        <v>76.12</v>
      </c>
      <c r="T143" s="55">
        <f t="shared" ca="1" si="105"/>
        <v>6.0757230971507648E-3</v>
      </c>
      <c r="U143" s="78">
        <f t="shared" ca="1" si="124"/>
        <v>0.57844956173832496</v>
      </c>
      <c r="V143" s="79">
        <f t="shared" ca="1" si="119"/>
        <v>242640.27077398918</v>
      </c>
      <c r="W143" s="79">
        <f t="shared" ca="1" si="106"/>
        <v>1655.1689974000567</v>
      </c>
      <c r="X143" s="80">
        <f t="shared" ca="1" si="125"/>
        <v>-8.676743426074875</v>
      </c>
      <c r="Y143" s="80">
        <f t="shared" ca="1" si="126"/>
        <v>-202.20022564499101</v>
      </c>
      <c r="Z143" s="80">
        <f t="shared" ca="1" si="120"/>
        <v>-1819.8020308049188</v>
      </c>
      <c r="AA143" s="80">
        <f t="shared" ca="1" si="127"/>
        <v>-230.50825723528976</v>
      </c>
      <c r="AB143" s="81">
        <f t="shared" ca="1" si="107"/>
        <v>-1446.4768427710412</v>
      </c>
      <c r="AC143" s="79">
        <f t="shared" ca="1" si="108"/>
        <v>240587.77567150694</v>
      </c>
      <c r="AD143" s="35"/>
      <c r="AE143" s="62">
        <f t="shared" ca="1" si="109"/>
        <v>-2500.6101455486769</v>
      </c>
      <c r="AF143" s="62">
        <f t="shared" ca="1" si="110"/>
        <v>415918.32993788726</v>
      </c>
      <c r="AG143" s="35"/>
      <c r="AH143" s="35"/>
      <c r="AR143" s="69">
        <f t="shared" si="121"/>
        <v>12</v>
      </c>
      <c r="AS143" s="70">
        <f t="shared" si="128"/>
        <v>140</v>
      </c>
      <c r="AT143" s="71">
        <f t="shared" si="129"/>
        <v>0.38355154726136492</v>
      </c>
      <c r="AU143" s="72">
        <f t="shared" si="111"/>
        <v>6.8214933659622723E-3</v>
      </c>
      <c r="AV143" s="73">
        <f t="shared" si="122"/>
        <v>1.0068214933659623</v>
      </c>
      <c r="AW143" s="74">
        <f>PRODUCT(AV$4:AV143)</f>
        <v>2.5902813908131761</v>
      </c>
      <c r="AY143" s="75">
        <f t="shared" si="130"/>
        <v>140</v>
      </c>
      <c r="AZ143" s="76">
        <f t="shared" ca="1" si="132"/>
        <v>1.0068214933659623</v>
      </c>
      <c r="BA143" s="76">
        <f t="shared" ca="1" si="132"/>
        <v>1.0068214933659623</v>
      </c>
      <c r="BB143" s="76">
        <f t="shared" ca="1" si="132"/>
        <v>1.0068214933659623</v>
      </c>
      <c r="BC143" s="76">
        <f t="shared" ca="1" si="132"/>
        <v>1.0068214933659623</v>
      </c>
      <c r="BD143" s="76">
        <f t="shared" ca="1" si="132"/>
        <v>1.0068214933659623</v>
      </c>
      <c r="BE143" s="76">
        <f t="shared" ca="1" si="132"/>
        <v>1.0068214933659623</v>
      </c>
      <c r="BF143" s="76">
        <f t="shared" ca="1" si="132"/>
        <v>1.0068214933659623</v>
      </c>
      <c r="BG143" s="76">
        <f t="shared" ca="1" si="132"/>
        <v>1.0068214933659623</v>
      </c>
      <c r="BH143" s="76">
        <f t="shared" ca="1" si="132"/>
        <v>1.0068214933659623</v>
      </c>
      <c r="BI143" s="76">
        <f t="shared" ca="1" si="132"/>
        <v>1.0068214933659623</v>
      </c>
      <c r="BJ143" s="76">
        <f t="shared" ca="1" si="132"/>
        <v>1.0068214933659623</v>
      </c>
      <c r="BK143" s="76">
        <f t="shared" ca="1" si="132"/>
        <v>1.0068214933659623</v>
      </c>
      <c r="BL143" s="76">
        <f t="shared" ca="1" si="112"/>
        <v>8.5000000000000853E-2</v>
      </c>
      <c r="BM143" s="77">
        <f t="shared" ca="1" si="123"/>
        <v>91235.392728168474</v>
      </c>
    </row>
    <row r="144" spans="5:65">
      <c r="E144">
        <f t="shared" si="93"/>
        <v>141</v>
      </c>
      <c r="F144" s="64">
        <f t="shared" si="113"/>
        <v>66.2</v>
      </c>
      <c r="G144" s="55">
        <f t="shared" si="100"/>
        <v>0</v>
      </c>
      <c r="H144" s="78">
        <f t="shared" si="131"/>
        <v>1</v>
      </c>
      <c r="I144" s="79">
        <f t="shared" si="114"/>
        <v>482954.36778114759</v>
      </c>
      <c r="J144" s="79">
        <f t="shared" si="101"/>
        <v>3294.4700158816017</v>
      </c>
      <c r="K144" s="80">
        <f t="shared" si="102"/>
        <v>-15</v>
      </c>
      <c r="L144" s="80">
        <f t="shared" si="115"/>
        <v>-402.46197315095634</v>
      </c>
      <c r="M144" s="80">
        <f t="shared" ref="M144:M207" si="133">IF(OR(I143+O143=0,K143=0),0,-IF(MOD(E144-1,12)=0,1,0)*I144*($C$17))</f>
        <v>0</v>
      </c>
      <c r="N144" s="80">
        <f t="shared" si="116"/>
        <v>-458.80664939209032</v>
      </c>
      <c r="O144" s="81">
        <f t="shared" si="103"/>
        <v>-2500.6101455486769</v>
      </c>
      <c r="P144" s="79">
        <f t="shared" si="104"/>
        <v>482871.9590289375</v>
      </c>
      <c r="Q144" s="35"/>
      <c r="R144">
        <f t="shared" ca="1" si="117"/>
        <v>266</v>
      </c>
      <c r="S144" s="78">
        <f t="shared" ca="1" si="118"/>
        <v>76.2</v>
      </c>
      <c r="T144" s="55">
        <f t="shared" ca="1" si="105"/>
        <v>6.0757230971507648E-3</v>
      </c>
      <c r="U144" s="78">
        <f t="shared" ca="1" si="124"/>
        <v>0.57493506237553471</v>
      </c>
      <c r="V144" s="79">
        <f t="shared" ca="1" si="119"/>
        <v>239126.03096596745</v>
      </c>
      <c r="W144" s="79">
        <f t="shared" ca="1" si="106"/>
        <v>1631.1966338632358</v>
      </c>
      <c r="X144" s="80">
        <f t="shared" ca="1" si="125"/>
        <v>-8.6240259356330213</v>
      </c>
      <c r="Y144" s="80">
        <f t="shared" ca="1" si="126"/>
        <v>-199.27169247163957</v>
      </c>
      <c r="Z144" s="80">
        <f t="shared" ca="1" si="120"/>
        <v>0</v>
      </c>
      <c r="AA144" s="80">
        <f t="shared" ca="1" si="127"/>
        <v>-227.16972941766912</v>
      </c>
      <c r="AB144" s="81">
        <f t="shared" ca="1" si="107"/>
        <v>-1437.6884500079234</v>
      </c>
      <c r="AC144" s="79">
        <f t="shared" ca="1" si="108"/>
        <v>238884.47370199783</v>
      </c>
      <c r="AD144" s="35"/>
      <c r="AE144" s="62">
        <f t="shared" ca="1" si="109"/>
        <v>-2500.6101455486769</v>
      </c>
      <c r="AF144" s="62">
        <f t="shared" ca="1" si="110"/>
        <v>415498.18289906945</v>
      </c>
      <c r="AG144" s="35"/>
      <c r="AH144" s="35"/>
      <c r="AR144" s="69">
        <f t="shared" si="121"/>
        <v>12</v>
      </c>
      <c r="AS144" s="70">
        <f t="shared" si="128"/>
        <v>141</v>
      </c>
      <c r="AT144" s="71">
        <f t="shared" ref="AT144:AT207" si="134">(1-AU144)*AT143</f>
        <v>0.38093515292621694</v>
      </c>
      <c r="AU144" s="72">
        <f t="shared" si="111"/>
        <v>6.8214933659622723E-3</v>
      </c>
      <c r="AV144" s="73">
        <f t="shared" si="122"/>
        <v>1.0068214933659623</v>
      </c>
      <c r="AW144" s="74">
        <f>PRODUCT(AV$4:AV144)</f>
        <v>2.6079509781365835</v>
      </c>
      <c r="AY144" s="75">
        <f t="shared" si="130"/>
        <v>141</v>
      </c>
      <c r="AZ144" s="76">
        <f t="shared" ca="1" si="132"/>
        <v>1.0068214933659623</v>
      </c>
      <c r="BA144" s="76">
        <f t="shared" ca="1" si="132"/>
        <v>1.0068214933659623</v>
      </c>
      <c r="BB144" s="76">
        <f t="shared" ca="1" si="132"/>
        <v>1.0068214933659623</v>
      </c>
      <c r="BC144" s="76">
        <f t="shared" ca="1" si="132"/>
        <v>1.0068214933659623</v>
      </c>
      <c r="BD144" s="76">
        <f t="shared" ca="1" si="132"/>
        <v>1.0068214933659623</v>
      </c>
      <c r="BE144" s="76">
        <f t="shared" ca="1" si="132"/>
        <v>1.0068214933659623</v>
      </c>
      <c r="BF144" s="76">
        <f t="shared" ca="1" si="132"/>
        <v>1.0068214933659623</v>
      </c>
      <c r="BG144" s="76">
        <f t="shared" ca="1" si="132"/>
        <v>1.0068214933659623</v>
      </c>
      <c r="BH144" s="76">
        <f t="shared" ca="1" si="132"/>
        <v>1.0068214933659623</v>
      </c>
      <c r="BI144" s="76">
        <f t="shared" ca="1" si="132"/>
        <v>1.0068214933659623</v>
      </c>
      <c r="BJ144" s="76">
        <f t="shared" ca="1" si="132"/>
        <v>1.0068214933659623</v>
      </c>
      <c r="BK144" s="76">
        <f t="shared" ca="1" si="132"/>
        <v>1.0068214933659623</v>
      </c>
      <c r="BL144" s="76">
        <f t="shared" ca="1" si="112"/>
        <v>8.5000000000000853E-2</v>
      </c>
      <c r="BM144" s="77">
        <f t="shared" ca="1" si="123"/>
        <v>98990.40111006287</v>
      </c>
    </row>
    <row r="145" spans="5:65">
      <c r="E145">
        <f t="shared" si="93"/>
        <v>142</v>
      </c>
      <c r="F145" s="64">
        <f t="shared" si="113"/>
        <v>66.28</v>
      </c>
      <c r="G145" s="55">
        <f t="shared" si="100"/>
        <v>0</v>
      </c>
      <c r="H145" s="78">
        <f t="shared" si="131"/>
        <v>1</v>
      </c>
      <c r="I145" s="79">
        <f t="shared" si="114"/>
        <v>482871.9590289375</v>
      </c>
      <c r="J145" s="79">
        <f t="shared" si="101"/>
        <v>3293.9078651251034</v>
      </c>
      <c r="K145" s="80">
        <f t="shared" si="102"/>
        <v>-15</v>
      </c>
      <c r="L145" s="80">
        <f t="shared" si="115"/>
        <v>-402.39329919078131</v>
      </c>
      <c r="M145" s="80">
        <f t="shared" si="133"/>
        <v>0</v>
      </c>
      <c r="N145" s="80">
        <f t="shared" si="116"/>
        <v>-458.72836107749072</v>
      </c>
      <c r="O145" s="81">
        <f t="shared" si="103"/>
        <v>-2500.6101455486769</v>
      </c>
      <c r="P145" s="79">
        <f t="shared" si="104"/>
        <v>482789.13508824568</v>
      </c>
      <c r="Q145" s="35"/>
      <c r="R145">
        <f t="shared" ca="1" si="117"/>
        <v>267</v>
      </c>
      <c r="S145" s="78">
        <f t="shared" ca="1" si="118"/>
        <v>76.28</v>
      </c>
      <c r="T145" s="55">
        <f t="shared" ca="1" si="105"/>
        <v>6.0757230971507648E-3</v>
      </c>
      <c r="U145" s="78">
        <f t="shared" ca="1" si="124"/>
        <v>0.5714419161376979</v>
      </c>
      <c r="V145" s="79">
        <f t="shared" ca="1" si="119"/>
        <v>237433.07778757589</v>
      </c>
      <c r="W145" s="79">
        <f t="shared" ca="1" si="106"/>
        <v>1619.6481649879531</v>
      </c>
      <c r="X145" s="80">
        <f t="shared" ca="1" si="125"/>
        <v>-8.5716287420654691</v>
      </c>
      <c r="Y145" s="80">
        <f t="shared" ca="1" si="126"/>
        <v>-197.86089815631325</v>
      </c>
      <c r="Z145" s="80">
        <f t="shared" ca="1" si="120"/>
        <v>0</v>
      </c>
      <c r="AA145" s="80">
        <f t="shared" ca="1" si="127"/>
        <v>-225.56142389819715</v>
      </c>
      <c r="AB145" s="81">
        <f t="shared" ca="1" si="107"/>
        <v>-1428.9534530857036</v>
      </c>
      <c r="AC145" s="79">
        <f t="shared" ca="1" si="108"/>
        <v>237191.77854868156</v>
      </c>
      <c r="AD145" s="35"/>
      <c r="AE145" s="62">
        <f t="shared" ca="1" si="109"/>
        <v>-2500.6101455486769</v>
      </c>
      <c r="AF145" s="62">
        <f t="shared" ca="1" si="110"/>
        <v>415075.91909223277</v>
      </c>
      <c r="AG145" s="35"/>
      <c r="AH145" s="35"/>
      <c r="AR145" s="69">
        <f t="shared" si="121"/>
        <v>12</v>
      </c>
      <c r="AS145" s="70">
        <f t="shared" si="128"/>
        <v>142</v>
      </c>
      <c r="AT145" s="71">
        <f t="shared" si="134"/>
        <v>0.37833660630766891</v>
      </c>
      <c r="AU145" s="72">
        <f t="shared" si="111"/>
        <v>6.8214933659622723E-3</v>
      </c>
      <c r="AV145" s="73">
        <f t="shared" si="122"/>
        <v>1.0068214933659623</v>
      </c>
      <c r="AW145" s="74">
        <f>PRODUCT(AV$4:AV145)</f>
        <v>2.6257410984326972</v>
      </c>
      <c r="AY145" s="75">
        <f t="shared" si="130"/>
        <v>142</v>
      </c>
      <c r="AZ145" s="76">
        <f t="shared" ref="AZ145:BK153" ca="1" si="135">OFFSET($AV$3,($AY145*12-12)+AZ$3,0)</f>
        <v>1.0068214933659623</v>
      </c>
      <c r="BA145" s="76">
        <f t="shared" ca="1" si="135"/>
        <v>1.0068214933659623</v>
      </c>
      <c r="BB145" s="76">
        <f t="shared" ca="1" si="135"/>
        <v>1.0068214933659623</v>
      </c>
      <c r="BC145" s="76">
        <f t="shared" ca="1" si="135"/>
        <v>1.0068214933659623</v>
      </c>
      <c r="BD145" s="76">
        <f t="shared" ca="1" si="135"/>
        <v>1.0068214933659623</v>
      </c>
      <c r="BE145" s="76">
        <f t="shared" ca="1" si="135"/>
        <v>1.0068214933659623</v>
      </c>
      <c r="BF145" s="76">
        <f t="shared" ca="1" si="135"/>
        <v>1.0068214933659623</v>
      </c>
      <c r="BG145" s="76">
        <f t="shared" ca="1" si="135"/>
        <v>1.0068214933659623</v>
      </c>
      <c r="BH145" s="76">
        <f t="shared" ca="1" si="135"/>
        <v>1.0068214933659623</v>
      </c>
      <c r="BI145" s="76">
        <f t="shared" ca="1" si="135"/>
        <v>1.0068214933659623</v>
      </c>
      <c r="BJ145" s="76">
        <f t="shared" ca="1" si="135"/>
        <v>1.0068214933659623</v>
      </c>
      <c r="BK145" s="76">
        <f t="shared" ca="1" si="135"/>
        <v>1.0068214933659623</v>
      </c>
      <c r="BL145" s="76">
        <f t="shared" ca="1" si="112"/>
        <v>8.5000000000000853E-2</v>
      </c>
      <c r="BM145" s="77">
        <f t="shared" ca="1" si="123"/>
        <v>107404.5852044183</v>
      </c>
    </row>
    <row r="146" spans="5:65">
      <c r="E146">
        <f t="shared" si="93"/>
        <v>143</v>
      </c>
      <c r="F146" s="64">
        <f t="shared" si="113"/>
        <v>66.36</v>
      </c>
      <c r="G146" s="55">
        <f t="shared" si="100"/>
        <v>0</v>
      </c>
      <c r="H146" s="78">
        <f t="shared" si="131"/>
        <v>1</v>
      </c>
      <c r="I146" s="79">
        <f t="shared" si="114"/>
        <v>482789.13508824568</v>
      </c>
      <c r="J146" s="79">
        <f t="shared" si="101"/>
        <v>3293.342882163131</v>
      </c>
      <c r="K146" s="80">
        <f t="shared" si="102"/>
        <v>-15</v>
      </c>
      <c r="L146" s="80">
        <f t="shared" si="115"/>
        <v>-402.32427924020476</v>
      </c>
      <c r="M146" s="80">
        <f t="shared" si="133"/>
        <v>0</v>
      </c>
      <c r="N146" s="80">
        <f t="shared" si="116"/>
        <v>-458.64967833383349</v>
      </c>
      <c r="O146" s="81">
        <f t="shared" si="103"/>
        <v>-2500.6101455486769</v>
      </c>
      <c r="P146" s="79">
        <f t="shared" si="104"/>
        <v>482705.8938672861</v>
      </c>
      <c r="Q146" s="35"/>
      <c r="R146">
        <f t="shared" ca="1" si="117"/>
        <v>268</v>
      </c>
      <c r="S146" s="78">
        <f t="shared" ca="1" si="118"/>
        <v>76.36</v>
      </c>
      <c r="T146" s="55">
        <f t="shared" ca="1" si="105"/>
        <v>6.0757230971507648E-3</v>
      </c>
      <c r="U146" s="78">
        <f t="shared" ca="1" si="124"/>
        <v>0.56796999328914</v>
      </c>
      <c r="V146" s="79">
        <f t="shared" ca="1" si="119"/>
        <v>235750.66698129906</v>
      </c>
      <c r="W146" s="79">
        <f t="shared" ca="1" si="106"/>
        <v>1608.1716108341125</v>
      </c>
      <c r="X146" s="80">
        <f t="shared" ca="1" si="125"/>
        <v>-8.5195498993371004</v>
      </c>
      <c r="Y146" s="80">
        <f t="shared" ca="1" si="126"/>
        <v>-196.45888915108256</v>
      </c>
      <c r="Z146" s="80">
        <f t="shared" ca="1" si="120"/>
        <v>0</v>
      </c>
      <c r="AA146" s="80">
        <f t="shared" ca="1" si="127"/>
        <v>-223.96313363223416</v>
      </c>
      <c r="AB146" s="81">
        <f t="shared" ca="1" si="107"/>
        <v>-1420.2715275860373</v>
      </c>
      <c r="AC146" s="79">
        <f t="shared" ca="1" si="108"/>
        <v>235509.62549186448</v>
      </c>
      <c r="AD146" s="35"/>
      <c r="AE146" s="62">
        <f t="shared" ca="1" si="109"/>
        <v>-2500.6101455486769</v>
      </c>
      <c r="AF146" s="62">
        <f t="shared" ca="1" si="110"/>
        <v>414651.52785276133</v>
      </c>
      <c r="AG146" s="35"/>
      <c r="AH146" s="35"/>
      <c r="AR146" s="69">
        <f t="shared" si="121"/>
        <v>12</v>
      </c>
      <c r="AS146" s="70">
        <f t="shared" si="128"/>
        <v>143</v>
      </c>
      <c r="AT146" s="71">
        <f t="shared" si="134"/>
        <v>0.37575578565764045</v>
      </c>
      <c r="AU146" s="72">
        <f t="shared" si="111"/>
        <v>6.8214933659622723E-3</v>
      </c>
      <c r="AV146" s="73">
        <f t="shared" si="122"/>
        <v>1.0068214933659623</v>
      </c>
      <c r="AW146" s="74">
        <f>PRODUCT(AV$4:AV146)</f>
        <v>2.6436525739163903</v>
      </c>
      <c r="AY146" s="75">
        <f t="shared" si="130"/>
        <v>143</v>
      </c>
      <c r="AZ146" s="76">
        <f t="shared" ca="1" si="135"/>
        <v>1.0068214933659623</v>
      </c>
      <c r="BA146" s="76">
        <f t="shared" ca="1" si="135"/>
        <v>1.0068214933659623</v>
      </c>
      <c r="BB146" s="76">
        <f t="shared" ca="1" si="135"/>
        <v>1.0068214933659623</v>
      </c>
      <c r="BC146" s="76">
        <f t="shared" ca="1" si="135"/>
        <v>1.0068214933659623</v>
      </c>
      <c r="BD146" s="76">
        <f t="shared" ca="1" si="135"/>
        <v>1.0068214933659623</v>
      </c>
      <c r="BE146" s="76">
        <f t="shared" ca="1" si="135"/>
        <v>1.0068214933659623</v>
      </c>
      <c r="BF146" s="76">
        <f t="shared" ca="1" si="135"/>
        <v>1.0068214933659623</v>
      </c>
      <c r="BG146" s="76">
        <f t="shared" ca="1" si="135"/>
        <v>1.0068214933659623</v>
      </c>
      <c r="BH146" s="76">
        <f t="shared" ca="1" si="135"/>
        <v>1.0068214933659623</v>
      </c>
      <c r="BI146" s="76">
        <f t="shared" ca="1" si="135"/>
        <v>1.0068214933659623</v>
      </c>
      <c r="BJ146" s="76">
        <f t="shared" ca="1" si="135"/>
        <v>1.0068214933659623</v>
      </c>
      <c r="BK146" s="76">
        <f t="shared" ca="1" si="135"/>
        <v>1.0068214933659623</v>
      </c>
      <c r="BL146" s="76">
        <f t="shared" ca="1" si="112"/>
        <v>8.5000000000000853E-2</v>
      </c>
      <c r="BM146" s="77">
        <f t="shared" ca="1" si="123"/>
        <v>116533.97494679394</v>
      </c>
    </row>
    <row r="147" spans="5:65">
      <c r="E147">
        <f t="shared" si="93"/>
        <v>144</v>
      </c>
      <c r="F147" s="64">
        <f t="shared" si="113"/>
        <v>66.44</v>
      </c>
      <c r="G147" s="55">
        <f t="shared" si="100"/>
        <v>0</v>
      </c>
      <c r="H147" s="78">
        <f t="shared" si="131"/>
        <v>1</v>
      </c>
      <c r="I147" s="79">
        <f t="shared" si="114"/>
        <v>482705.8938672861</v>
      </c>
      <c r="J147" s="79">
        <f t="shared" si="101"/>
        <v>3292.7750527265807</v>
      </c>
      <c r="K147" s="80">
        <f t="shared" si="102"/>
        <v>-15</v>
      </c>
      <c r="L147" s="80">
        <f t="shared" si="115"/>
        <v>-402.25491155607176</v>
      </c>
      <c r="M147" s="80">
        <f t="shared" si="133"/>
        <v>0</v>
      </c>
      <c r="N147" s="80">
        <f t="shared" si="116"/>
        <v>-458.57059917392189</v>
      </c>
      <c r="O147" s="81">
        <f t="shared" si="103"/>
        <v>-2500.6101455486769</v>
      </c>
      <c r="P147" s="79">
        <f t="shared" si="104"/>
        <v>482622.23326373403</v>
      </c>
      <c r="Q147" s="35"/>
      <c r="R147">
        <f t="shared" ca="1" si="117"/>
        <v>269</v>
      </c>
      <c r="S147" s="78">
        <f t="shared" ca="1" si="118"/>
        <v>76.44</v>
      </c>
      <c r="T147" s="55">
        <f t="shared" ca="1" si="105"/>
        <v>6.0757230971507648E-3</v>
      </c>
      <c r="U147" s="78">
        <f t="shared" ca="1" si="124"/>
        <v>0.5645191648824246</v>
      </c>
      <c r="V147" s="79">
        <f t="shared" ca="1" si="119"/>
        <v>234078.73422066224</v>
      </c>
      <c r="W147" s="79">
        <f t="shared" ca="1" si="106"/>
        <v>1596.7665325990934</v>
      </c>
      <c r="X147" s="80">
        <f t="shared" ca="1" si="125"/>
        <v>-8.4677874732363687</v>
      </c>
      <c r="Y147" s="80">
        <f t="shared" ca="1" si="126"/>
        <v>-195.06561185055187</v>
      </c>
      <c r="Z147" s="80">
        <f t="shared" ca="1" si="120"/>
        <v>0</v>
      </c>
      <c r="AA147" s="80">
        <f t="shared" ca="1" si="127"/>
        <v>-222.37479750962916</v>
      </c>
      <c r="AB147" s="81">
        <f t="shared" ca="1" si="107"/>
        <v>-1411.6423510616571</v>
      </c>
      <c r="AC147" s="79">
        <f t="shared" ca="1" si="108"/>
        <v>233837.95020536624</v>
      </c>
      <c r="AD147" s="35"/>
      <c r="AE147" s="62">
        <f t="shared" ca="1" si="109"/>
        <v>-2500.6101455486764</v>
      </c>
      <c r="AF147" s="62">
        <f t="shared" ca="1" si="110"/>
        <v>414224.9984623089</v>
      </c>
      <c r="AG147" s="35"/>
      <c r="AH147" s="35"/>
      <c r="AR147" s="69">
        <f t="shared" si="121"/>
        <v>12</v>
      </c>
      <c r="AS147" s="70">
        <f t="shared" si="128"/>
        <v>144</v>
      </c>
      <c r="AT147" s="71">
        <f t="shared" si="134"/>
        <v>0.37319257005855494</v>
      </c>
      <c r="AU147" s="72">
        <f t="shared" si="111"/>
        <v>6.8214933659622723E-3</v>
      </c>
      <c r="AV147" s="73">
        <f t="shared" si="122"/>
        <v>1.0068214933659623</v>
      </c>
      <c r="AW147" s="74">
        <f>PRODUCT(AV$4:AV147)</f>
        <v>2.6616862324112702</v>
      </c>
      <c r="AY147" s="75">
        <f t="shared" si="130"/>
        <v>144</v>
      </c>
      <c r="AZ147" s="76">
        <f t="shared" ca="1" si="135"/>
        <v>1.0068214933659623</v>
      </c>
      <c r="BA147" s="76">
        <f t="shared" ca="1" si="135"/>
        <v>1.0068214933659623</v>
      </c>
      <c r="BB147" s="76">
        <f t="shared" ca="1" si="135"/>
        <v>1.0068214933659623</v>
      </c>
      <c r="BC147" s="76">
        <f t="shared" ca="1" si="135"/>
        <v>1.0068214933659623</v>
      </c>
      <c r="BD147" s="76">
        <f t="shared" ca="1" si="135"/>
        <v>1.0068214933659623</v>
      </c>
      <c r="BE147" s="76">
        <f t="shared" ca="1" si="135"/>
        <v>1.0068214933659623</v>
      </c>
      <c r="BF147" s="76">
        <f t="shared" ca="1" si="135"/>
        <v>1.0068214933659623</v>
      </c>
      <c r="BG147" s="76">
        <f t="shared" ca="1" si="135"/>
        <v>1.0068214933659623</v>
      </c>
      <c r="BH147" s="76">
        <f t="shared" ca="1" si="135"/>
        <v>1.0068214933659623</v>
      </c>
      <c r="BI147" s="76">
        <f t="shared" ca="1" si="135"/>
        <v>1.0068214933659623</v>
      </c>
      <c r="BJ147" s="76">
        <f t="shared" ca="1" si="135"/>
        <v>1.0068214933659623</v>
      </c>
      <c r="BK147" s="76">
        <f t="shared" ca="1" si="135"/>
        <v>1.0068214933659623</v>
      </c>
      <c r="BL147" s="76">
        <f t="shared" ca="1" si="112"/>
        <v>8.5000000000000853E-2</v>
      </c>
      <c r="BM147" s="77">
        <f t="shared" ca="1" si="123"/>
        <v>126439.36281727153</v>
      </c>
    </row>
    <row r="148" spans="5:65">
      <c r="E148">
        <f t="shared" si="93"/>
        <v>145</v>
      </c>
      <c r="F148" s="64">
        <f t="shared" si="113"/>
        <v>66.52</v>
      </c>
      <c r="G148" s="55">
        <f t="shared" si="100"/>
        <v>0</v>
      </c>
      <c r="H148" s="78">
        <f t="shared" si="131"/>
        <v>1</v>
      </c>
      <c r="I148" s="79">
        <f t="shared" si="114"/>
        <v>482622.23326373403</v>
      </c>
      <c r="J148" s="79">
        <f t="shared" si="101"/>
        <v>3292.2043624744579</v>
      </c>
      <c r="K148" s="80">
        <f t="shared" si="102"/>
        <v>-15</v>
      </c>
      <c r="L148" s="80">
        <f t="shared" si="115"/>
        <v>-402.18519438644506</v>
      </c>
      <c r="M148" s="80">
        <f t="shared" si="133"/>
        <v>-3619.6667494780049</v>
      </c>
      <c r="N148" s="80">
        <f t="shared" si="116"/>
        <v>-458.49112160054739</v>
      </c>
      <c r="O148" s="81">
        <f t="shared" si="103"/>
        <v>-2500.6101455486769</v>
      </c>
      <c r="P148" s="79">
        <f t="shared" si="104"/>
        <v>478918.48441519478</v>
      </c>
      <c r="Q148" s="35"/>
      <c r="R148">
        <f t="shared" ca="1" si="117"/>
        <v>270</v>
      </c>
      <c r="S148" s="78">
        <f t="shared" ca="1" si="118"/>
        <v>76.52</v>
      </c>
      <c r="T148" s="55">
        <f t="shared" ca="1" si="105"/>
        <v>6.629281491598138E-3</v>
      </c>
      <c r="U148" s="78">
        <f t="shared" ca="1" si="124"/>
        <v>0.56077680843101707</v>
      </c>
      <c r="V148" s="79">
        <f t="shared" ca="1" si="119"/>
        <v>232287.77261003657</v>
      </c>
      <c r="W148" s="79">
        <f t="shared" ca="1" si="106"/>
        <v>1584.5494998535173</v>
      </c>
      <c r="X148" s="80">
        <f t="shared" ca="1" si="125"/>
        <v>-8.4116521264652562</v>
      </c>
      <c r="Y148" s="80">
        <f t="shared" ca="1" si="126"/>
        <v>-193.57314384169715</v>
      </c>
      <c r="Z148" s="80">
        <f t="shared" ca="1" si="120"/>
        <v>0</v>
      </c>
      <c r="AA148" s="80">
        <f t="shared" ca="1" si="127"/>
        <v>-220.6733839795348</v>
      </c>
      <c r="AB148" s="81">
        <f t="shared" ca="1" si="107"/>
        <v>-1402.2841765510082</v>
      </c>
      <c r="AC148" s="79">
        <f t="shared" ca="1" si="108"/>
        <v>232047.37975339137</v>
      </c>
      <c r="AD148" s="35"/>
      <c r="AE148" s="62">
        <f t="shared" ca="1" si="109"/>
        <v>-2500.6101455486769</v>
      </c>
      <c r="AF148" s="62">
        <f t="shared" ca="1" si="110"/>
        <v>413796.32014852884</v>
      </c>
      <c r="AG148" s="35"/>
      <c r="AH148" s="35"/>
      <c r="AR148" s="69">
        <f t="shared" si="121"/>
        <v>13</v>
      </c>
      <c r="AS148" s="70">
        <f t="shared" si="128"/>
        <v>145</v>
      </c>
      <c r="AT148" s="71">
        <f t="shared" si="134"/>
        <v>0.37064683941767412</v>
      </c>
      <c r="AU148" s="72">
        <f t="shared" si="111"/>
        <v>6.8214933659622723E-3</v>
      </c>
      <c r="AV148" s="73">
        <f t="shared" si="122"/>
        <v>1.0068214933659623</v>
      </c>
      <c r="AW148" s="74">
        <f>PRODUCT(AV$4:AV148)</f>
        <v>2.6798429073879366</v>
      </c>
      <c r="AY148" s="75">
        <f t="shared" si="130"/>
        <v>145</v>
      </c>
      <c r="AZ148" s="76">
        <f t="shared" ca="1" si="135"/>
        <v>1.0068214933659623</v>
      </c>
      <c r="BA148" s="76">
        <f t="shared" ca="1" si="135"/>
        <v>1.0068214933659623</v>
      </c>
      <c r="BB148" s="76">
        <f t="shared" ca="1" si="135"/>
        <v>1.0068214933659623</v>
      </c>
      <c r="BC148" s="76">
        <f t="shared" ca="1" si="135"/>
        <v>1.0068214933659623</v>
      </c>
      <c r="BD148" s="76">
        <f t="shared" ca="1" si="135"/>
        <v>1.0068214933659623</v>
      </c>
      <c r="BE148" s="76">
        <f t="shared" ca="1" si="135"/>
        <v>1.0068214933659623</v>
      </c>
      <c r="BF148" s="76">
        <f t="shared" ca="1" si="135"/>
        <v>1.0068214933659623</v>
      </c>
      <c r="BG148" s="76">
        <f t="shared" ca="1" si="135"/>
        <v>1.0068214933659623</v>
      </c>
      <c r="BH148" s="76">
        <f t="shared" ca="1" si="135"/>
        <v>1.0068214933659623</v>
      </c>
      <c r="BI148" s="76">
        <f t="shared" ca="1" si="135"/>
        <v>1.0068214933659623</v>
      </c>
      <c r="BJ148" s="76">
        <f t="shared" ca="1" si="135"/>
        <v>1.0068214933659623</v>
      </c>
      <c r="BK148" s="76">
        <f t="shared" ca="1" si="135"/>
        <v>1.0068214933659623</v>
      </c>
      <c r="BL148" s="76">
        <f t="shared" ca="1" si="112"/>
        <v>8.5000000000000853E-2</v>
      </c>
      <c r="BM148" s="77">
        <f t="shared" ca="1" si="123"/>
        <v>137186.70865673971</v>
      </c>
    </row>
    <row r="149" spans="5:65">
      <c r="E149">
        <f t="shared" si="93"/>
        <v>146</v>
      </c>
      <c r="F149" s="64">
        <f t="shared" si="113"/>
        <v>66.599999999999994</v>
      </c>
      <c r="G149" s="55">
        <f t="shared" si="100"/>
        <v>0</v>
      </c>
      <c r="H149" s="78">
        <f t="shared" si="131"/>
        <v>1</v>
      </c>
      <c r="I149" s="79">
        <f t="shared" si="114"/>
        <v>478918.48441519478</v>
      </c>
      <c r="J149" s="79">
        <f t="shared" si="101"/>
        <v>3266.9392642749572</v>
      </c>
      <c r="K149" s="80">
        <f t="shared" si="102"/>
        <v>-15</v>
      </c>
      <c r="L149" s="80">
        <f t="shared" si="115"/>
        <v>-399.09873701266235</v>
      </c>
      <c r="M149" s="80">
        <f t="shared" si="133"/>
        <v>0</v>
      </c>
      <c r="N149" s="80">
        <f t="shared" si="116"/>
        <v>-454.97256019443512</v>
      </c>
      <c r="O149" s="81">
        <f t="shared" si="103"/>
        <v>-2500.6101455486769</v>
      </c>
      <c r="P149" s="79">
        <f t="shared" si="104"/>
        <v>478815.742236714</v>
      </c>
      <c r="Q149" s="35"/>
      <c r="R149">
        <f t="shared" ca="1" si="117"/>
        <v>271</v>
      </c>
      <c r="S149" s="78">
        <f t="shared" ca="1" si="118"/>
        <v>76.599999999999994</v>
      </c>
      <c r="T149" s="55">
        <f t="shared" ca="1" si="105"/>
        <v>6.629281491598138E-3</v>
      </c>
      <c r="U149" s="78">
        <f t="shared" ca="1" si="124"/>
        <v>0.55705926111396786</v>
      </c>
      <c r="V149" s="79">
        <f t="shared" ca="1" si="119"/>
        <v>230509.07235361837</v>
      </c>
      <c r="W149" s="79">
        <f t="shared" ca="1" si="106"/>
        <v>1572.416107854325</v>
      </c>
      <c r="X149" s="80">
        <f t="shared" ca="1" si="125"/>
        <v>-8.3558889167095174</v>
      </c>
      <c r="Y149" s="80">
        <f t="shared" ca="1" si="126"/>
        <v>-192.09089362801532</v>
      </c>
      <c r="Z149" s="80">
        <f t="shared" ca="1" si="120"/>
        <v>0</v>
      </c>
      <c r="AA149" s="80">
        <f t="shared" ca="1" si="127"/>
        <v>-218.98361873593748</v>
      </c>
      <c r="AB149" s="81">
        <f t="shared" ca="1" si="107"/>
        <v>-1392.9880400134377</v>
      </c>
      <c r="AC149" s="79">
        <f t="shared" ca="1" si="108"/>
        <v>230269.07002017857</v>
      </c>
      <c r="AD149" s="35"/>
      <c r="AE149" s="62">
        <f t="shared" ca="1" si="109"/>
        <v>-2500.6101455486773</v>
      </c>
      <c r="AF149" s="62">
        <f t="shared" ca="1" si="110"/>
        <v>413365.48208480136</v>
      </c>
      <c r="AG149" s="35"/>
      <c r="AH149" s="35"/>
      <c r="AR149" s="69">
        <f t="shared" si="121"/>
        <v>13</v>
      </c>
      <c r="AS149" s="70">
        <f t="shared" si="128"/>
        <v>146</v>
      </c>
      <c r="AT149" s="71">
        <f t="shared" si="134"/>
        <v>0.36811847446147156</v>
      </c>
      <c r="AU149" s="72">
        <f t="shared" si="111"/>
        <v>6.8214933659622723E-3</v>
      </c>
      <c r="AV149" s="73">
        <f t="shared" si="122"/>
        <v>1.0068214933659623</v>
      </c>
      <c r="AW149" s="74">
        <f>PRODUCT(AV$4:AV149)</f>
        <v>2.6981234380025043</v>
      </c>
      <c r="AY149" s="75">
        <f t="shared" si="130"/>
        <v>146</v>
      </c>
      <c r="AZ149" s="76">
        <f t="shared" ca="1" si="135"/>
        <v>1.0068214933659623</v>
      </c>
      <c r="BA149" s="76">
        <f t="shared" ca="1" si="135"/>
        <v>1.0068214933659623</v>
      </c>
      <c r="BB149" s="76">
        <f t="shared" ca="1" si="135"/>
        <v>1.0068214933659623</v>
      </c>
      <c r="BC149" s="76">
        <f t="shared" ca="1" si="135"/>
        <v>1.0068214933659623</v>
      </c>
      <c r="BD149" s="76">
        <f t="shared" ca="1" si="135"/>
        <v>1.0068214933659623</v>
      </c>
      <c r="BE149" s="76">
        <f t="shared" ca="1" si="135"/>
        <v>1.0068214933659623</v>
      </c>
      <c r="BF149" s="76">
        <f t="shared" ca="1" si="135"/>
        <v>1.0068214933659623</v>
      </c>
      <c r="BG149" s="76">
        <f t="shared" ca="1" si="135"/>
        <v>1.0068214933659623</v>
      </c>
      <c r="BH149" s="76">
        <f t="shared" ca="1" si="135"/>
        <v>1.0068214933659623</v>
      </c>
      <c r="BI149" s="76">
        <f t="shared" ca="1" si="135"/>
        <v>1.0068214933659623</v>
      </c>
      <c r="BJ149" s="76">
        <f t="shared" ca="1" si="135"/>
        <v>1.0068214933659623</v>
      </c>
      <c r="BK149" s="76">
        <f t="shared" ca="1" si="135"/>
        <v>1.0068214933659623</v>
      </c>
      <c r="BL149" s="76">
        <f t="shared" ca="1" si="112"/>
        <v>8.5000000000000853E-2</v>
      </c>
      <c r="BM149" s="77">
        <f t="shared" ca="1" si="123"/>
        <v>148847.57889256268</v>
      </c>
    </row>
    <row r="150" spans="5:65">
      <c r="E150">
        <f t="shared" si="93"/>
        <v>147</v>
      </c>
      <c r="F150" s="64">
        <f t="shared" si="113"/>
        <v>66.680000000000007</v>
      </c>
      <c r="G150" s="55">
        <f t="shared" si="100"/>
        <v>0</v>
      </c>
      <c r="H150" s="78">
        <f t="shared" si="131"/>
        <v>1</v>
      </c>
      <c r="I150" s="79">
        <f t="shared" si="114"/>
        <v>478815.742236714</v>
      </c>
      <c r="J150" s="79">
        <f t="shared" si="101"/>
        <v>3266.2384091860458</v>
      </c>
      <c r="K150" s="80">
        <f t="shared" si="102"/>
        <v>-15</v>
      </c>
      <c r="L150" s="80">
        <f t="shared" si="115"/>
        <v>-399.01311853059502</v>
      </c>
      <c r="M150" s="80">
        <f t="shared" si="133"/>
        <v>0</v>
      </c>
      <c r="N150" s="80">
        <f t="shared" si="116"/>
        <v>-454.8749551248784</v>
      </c>
      <c r="O150" s="81">
        <f t="shared" si="103"/>
        <v>-2500.6101455486769</v>
      </c>
      <c r="P150" s="79">
        <f t="shared" si="104"/>
        <v>478712.48242669593</v>
      </c>
      <c r="Q150" s="35"/>
      <c r="R150">
        <f t="shared" ca="1" si="117"/>
        <v>272</v>
      </c>
      <c r="S150" s="78">
        <f t="shared" ca="1" si="118"/>
        <v>76.680000000000007</v>
      </c>
      <c r="T150" s="55">
        <f t="shared" ca="1" si="105"/>
        <v>6.629281491598138E-3</v>
      </c>
      <c r="U150" s="78">
        <f t="shared" ca="1" si="124"/>
        <v>0.55336635846454174</v>
      </c>
      <c r="V150" s="79">
        <f t="shared" ca="1" si="119"/>
        <v>228742.55153620627</v>
      </c>
      <c r="W150" s="79">
        <f t="shared" ca="1" si="106"/>
        <v>1560.3657978175142</v>
      </c>
      <c r="X150" s="80">
        <f t="shared" ca="1" si="125"/>
        <v>-8.3004953769681258</v>
      </c>
      <c r="Y150" s="80">
        <f t="shared" ca="1" si="126"/>
        <v>-190.61879294683857</v>
      </c>
      <c r="Z150" s="80">
        <f t="shared" ca="1" si="120"/>
        <v>0</v>
      </c>
      <c r="AA150" s="80">
        <f t="shared" ca="1" si="127"/>
        <v>-217.30542395939599</v>
      </c>
      <c r="AB150" s="81">
        <f t="shared" ca="1" si="107"/>
        <v>-1383.7535301817591</v>
      </c>
      <c r="AC150" s="79">
        <f t="shared" ca="1" si="108"/>
        <v>228502.93909155883</v>
      </c>
      <c r="AD150" s="35"/>
      <c r="AE150" s="62">
        <f t="shared" ca="1" si="109"/>
        <v>-2500.6101455486769</v>
      </c>
      <c r="AF150" s="62">
        <f t="shared" ca="1" si="110"/>
        <v>412932.47338996071</v>
      </c>
      <c r="AG150" s="35"/>
      <c r="AH150" s="35"/>
      <c r="AR150" s="69">
        <f t="shared" si="121"/>
        <v>13</v>
      </c>
      <c r="AS150" s="70">
        <f t="shared" si="128"/>
        <v>147</v>
      </c>
      <c r="AT150" s="71">
        <f t="shared" si="134"/>
        <v>0.36560735673004446</v>
      </c>
      <c r="AU150" s="72">
        <f t="shared" si="111"/>
        <v>6.8214933659622723E-3</v>
      </c>
      <c r="AV150" s="73">
        <f t="shared" si="122"/>
        <v>1.0068214933659623</v>
      </c>
      <c r="AW150" s="74">
        <f>PRODUCT(AV$4:AV150)</f>
        <v>2.7165286691353856</v>
      </c>
      <c r="AY150" s="75">
        <f t="shared" si="130"/>
        <v>147</v>
      </c>
      <c r="AZ150" s="76">
        <f t="shared" ca="1" si="135"/>
        <v>1.0068214933659623</v>
      </c>
      <c r="BA150" s="76">
        <f t="shared" ca="1" si="135"/>
        <v>1.0068214933659623</v>
      </c>
      <c r="BB150" s="76">
        <f t="shared" ca="1" si="135"/>
        <v>1.0068214933659623</v>
      </c>
      <c r="BC150" s="76">
        <f t="shared" ca="1" si="135"/>
        <v>1.0068214933659623</v>
      </c>
      <c r="BD150" s="76">
        <f t="shared" ca="1" si="135"/>
        <v>1.0068214933659623</v>
      </c>
      <c r="BE150" s="76">
        <f t="shared" ca="1" si="135"/>
        <v>1.0068214933659623</v>
      </c>
      <c r="BF150" s="76">
        <f t="shared" ca="1" si="135"/>
        <v>1.0068214933659623</v>
      </c>
      <c r="BG150" s="76">
        <f t="shared" ca="1" si="135"/>
        <v>1.0068214933659623</v>
      </c>
      <c r="BH150" s="76">
        <f t="shared" ca="1" si="135"/>
        <v>1.0068214933659623</v>
      </c>
      <c r="BI150" s="76">
        <f t="shared" ca="1" si="135"/>
        <v>1.0068214933659623</v>
      </c>
      <c r="BJ150" s="76">
        <f t="shared" ca="1" si="135"/>
        <v>1.0068214933659623</v>
      </c>
      <c r="BK150" s="76">
        <f t="shared" ca="1" si="135"/>
        <v>1.0068214933659623</v>
      </c>
      <c r="BL150" s="76">
        <f t="shared" ca="1" si="112"/>
        <v>8.5000000000000853E-2</v>
      </c>
      <c r="BM150" s="77">
        <f t="shared" ca="1" si="123"/>
        <v>161499.62309843063</v>
      </c>
    </row>
    <row r="151" spans="5:65">
      <c r="E151">
        <f t="shared" si="93"/>
        <v>148</v>
      </c>
      <c r="F151" s="64">
        <f t="shared" si="113"/>
        <v>66.760000000000005</v>
      </c>
      <c r="G151" s="55">
        <f t="shared" si="100"/>
        <v>0</v>
      </c>
      <c r="H151" s="78">
        <f t="shared" si="131"/>
        <v>1</v>
      </c>
      <c r="I151" s="79">
        <f t="shared" si="114"/>
        <v>478712.48242669593</v>
      </c>
      <c r="J151" s="79">
        <f t="shared" si="101"/>
        <v>3265.5340230770371</v>
      </c>
      <c r="K151" s="80">
        <f t="shared" si="102"/>
        <v>-15</v>
      </c>
      <c r="L151" s="80">
        <f t="shared" si="115"/>
        <v>-398.92706868891332</v>
      </c>
      <c r="M151" s="80">
        <f t="shared" si="133"/>
        <v>0</v>
      </c>
      <c r="N151" s="80">
        <f t="shared" si="116"/>
        <v>-454.7768583053612</v>
      </c>
      <c r="O151" s="81">
        <f t="shared" si="103"/>
        <v>-2500.6101455486769</v>
      </c>
      <c r="P151" s="79">
        <f t="shared" si="104"/>
        <v>478608.70237723005</v>
      </c>
      <c r="Q151" s="35"/>
      <c r="R151">
        <f t="shared" ca="1" si="117"/>
        <v>273</v>
      </c>
      <c r="S151" s="78">
        <f t="shared" ca="1" si="118"/>
        <v>76.760000000000005</v>
      </c>
      <c r="T151" s="55">
        <f t="shared" ca="1" si="105"/>
        <v>6.629281491598138E-3</v>
      </c>
      <c r="U151" s="78">
        <f t="shared" ca="1" si="124"/>
        <v>0.54969793710629966</v>
      </c>
      <c r="V151" s="79">
        <f t="shared" ca="1" si="119"/>
        <v>226988.12878666338</v>
      </c>
      <c r="W151" s="79">
        <f t="shared" ca="1" si="106"/>
        <v>1548.3980146704141</v>
      </c>
      <c r="X151" s="80">
        <f t="shared" ca="1" si="125"/>
        <v>-8.2454690565944944</v>
      </c>
      <c r="Y151" s="80">
        <f t="shared" ca="1" si="126"/>
        <v>-189.15677398888616</v>
      </c>
      <c r="Z151" s="80">
        <f t="shared" ca="1" si="120"/>
        <v>0</v>
      </c>
      <c r="AA151" s="80">
        <f t="shared" ca="1" si="127"/>
        <v>-215.63872234733026</v>
      </c>
      <c r="AB151" s="81">
        <f t="shared" ca="1" si="107"/>
        <v>-1374.5802385151912</v>
      </c>
      <c r="AC151" s="79">
        <f t="shared" ca="1" si="108"/>
        <v>226748.90559742579</v>
      </c>
      <c r="AD151" s="35"/>
      <c r="AE151" s="62">
        <f t="shared" ca="1" si="109"/>
        <v>-2500.6101455486764</v>
      </c>
      <c r="AF151" s="62">
        <f t="shared" ca="1" si="110"/>
        <v>412497.28312801995</v>
      </c>
      <c r="AG151" s="35"/>
      <c r="AH151" s="35"/>
      <c r="AR151" s="69">
        <f t="shared" si="121"/>
        <v>13</v>
      </c>
      <c r="AS151" s="70">
        <f t="shared" si="128"/>
        <v>148</v>
      </c>
      <c r="AT151" s="71">
        <f t="shared" si="134"/>
        <v>0.36311336857156346</v>
      </c>
      <c r="AU151" s="72">
        <f t="shared" si="111"/>
        <v>6.8214933659622723E-3</v>
      </c>
      <c r="AV151" s="73">
        <f t="shared" si="122"/>
        <v>1.0068214933659623</v>
      </c>
      <c r="AW151" s="74">
        <f>PRODUCT(AV$4:AV151)</f>
        <v>2.735059451430339</v>
      </c>
      <c r="AY151" s="75">
        <f t="shared" si="130"/>
        <v>148</v>
      </c>
      <c r="AZ151" s="76">
        <f t="shared" ca="1" si="135"/>
        <v>1.0068214933659623</v>
      </c>
      <c r="BA151" s="76">
        <f t="shared" ca="1" si="135"/>
        <v>1.0068214933659623</v>
      </c>
      <c r="BB151" s="76">
        <f t="shared" ca="1" si="135"/>
        <v>1.0068214933659623</v>
      </c>
      <c r="BC151" s="76">
        <f t="shared" ca="1" si="135"/>
        <v>1.0068214933659623</v>
      </c>
      <c r="BD151" s="76">
        <f t="shared" ca="1" si="135"/>
        <v>1.0068214933659623</v>
      </c>
      <c r="BE151" s="76">
        <f t="shared" ca="1" si="135"/>
        <v>1.0068214933659623</v>
      </c>
      <c r="BF151" s="76">
        <f t="shared" ca="1" si="135"/>
        <v>1.0068214933659623</v>
      </c>
      <c r="BG151" s="76">
        <f t="shared" ca="1" si="135"/>
        <v>1.0068214933659623</v>
      </c>
      <c r="BH151" s="76">
        <f t="shared" ca="1" si="135"/>
        <v>1.0068214933659623</v>
      </c>
      <c r="BI151" s="76">
        <f t="shared" ca="1" si="135"/>
        <v>1.0068214933659623</v>
      </c>
      <c r="BJ151" s="76">
        <f t="shared" ca="1" si="135"/>
        <v>1.0068214933659623</v>
      </c>
      <c r="BK151" s="76">
        <f t="shared" ca="1" si="135"/>
        <v>1.0068214933659623</v>
      </c>
      <c r="BL151" s="76">
        <f t="shared" ca="1" si="112"/>
        <v>8.5000000000000853E-2</v>
      </c>
      <c r="BM151" s="77">
        <f t="shared" ca="1" si="123"/>
        <v>175227.09106179737</v>
      </c>
    </row>
    <row r="152" spans="5:65">
      <c r="E152">
        <f t="shared" si="93"/>
        <v>149</v>
      </c>
      <c r="F152" s="64">
        <f t="shared" si="113"/>
        <v>66.84</v>
      </c>
      <c r="G152" s="55">
        <f t="shared" si="100"/>
        <v>0</v>
      </c>
      <c r="H152" s="78">
        <f t="shared" si="131"/>
        <v>1</v>
      </c>
      <c r="I152" s="79">
        <f t="shared" si="114"/>
        <v>478608.70237723005</v>
      </c>
      <c r="J152" s="79">
        <f t="shared" si="101"/>
        <v>3264.8260881580863</v>
      </c>
      <c r="K152" s="80">
        <f t="shared" si="102"/>
        <v>-15</v>
      </c>
      <c r="L152" s="80">
        <f t="shared" si="115"/>
        <v>-398.84058531435841</v>
      </c>
      <c r="M152" s="80">
        <f t="shared" si="133"/>
        <v>0</v>
      </c>
      <c r="N152" s="80">
        <f t="shared" si="116"/>
        <v>-454.67826725836863</v>
      </c>
      <c r="O152" s="81">
        <f t="shared" si="103"/>
        <v>-2500.6101455486769</v>
      </c>
      <c r="P152" s="79">
        <f t="shared" si="104"/>
        <v>478504.39946726669</v>
      </c>
      <c r="Q152" s="35"/>
      <c r="R152">
        <f t="shared" ca="1" si="117"/>
        <v>274</v>
      </c>
      <c r="S152" s="78">
        <f t="shared" ca="1" si="118"/>
        <v>76.84</v>
      </c>
      <c r="T152" s="55">
        <f t="shared" ca="1" si="105"/>
        <v>6.629281491598138E-3</v>
      </c>
      <c r="U152" s="78">
        <f t="shared" ca="1" si="124"/>
        <v>0.54605383474587121</v>
      </c>
      <c r="V152" s="79">
        <f t="shared" ca="1" si="119"/>
        <v>225245.72327430864</v>
      </c>
      <c r="W152" s="79">
        <f t="shared" ca="1" si="106"/>
        <v>1536.5122070270702</v>
      </c>
      <c r="X152" s="80">
        <f t="shared" ca="1" si="125"/>
        <v>-8.1908075211880682</v>
      </c>
      <c r="Y152" s="80">
        <f t="shared" ca="1" si="126"/>
        <v>-187.70476939525722</v>
      </c>
      <c r="Z152" s="80">
        <f t="shared" ca="1" si="120"/>
        <v>0</v>
      </c>
      <c r="AA152" s="80">
        <f t="shared" ca="1" si="127"/>
        <v>-213.98343711059326</v>
      </c>
      <c r="AB152" s="81">
        <f t="shared" ca="1" si="107"/>
        <v>-1365.4677591812861</v>
      </c>
      <c r="AC152" s="79">
        <f t="shared" ca="1" si="108"/>
        <v>225006.88870812737</v>
      </c>
      <c r="AD152" s="35"/>
      <c r="AE152" s="62">
        <f t="shared" ca="1" si="109"/>
        <v>-2500.6101455486769</v>
      </c>
      <c r="AF152" s="62">
        <f t="shared" ca="1" si="110"/>
        <v>412059.90030789486</v>
      </c>
      <c r="AG152" s="35"/>
      <c r="AH152" s="35"/>
      <c r="AR152" s="69">
        <f t="shared" si="121"/>
        <v>13</v>
      </c>
      <c r="AS152" s="70">
        <f t="shared" si="128"/>
        <v>149</v>
      </c>
      <c r="AT152" s="71">
        <f t="shared" si="134"/>
        <v>0.36063639313676032</v>
      </c>
      <c r="AU152" s="72">
        <f t="shared" si="111"/>
        <v>6.8214933659622723E-3</v>
      </c>
      <c r="AV152" s="73">
        <f t="shared" si="122"/>
        <v>1.0068214933659623</v>
      </c>
      <c r="AW152" s="74">
        <f>PRODUCT(AV$4:AV152)</f>
        <v>2.7537166413337837</v>
      </c>
      <c r="AY152" s="75">
        <f t="shared" si="130"/>
        <v>149</v>
      </c>
      <c r="AZ152" s="76">
        <f t="shared" ca="1" si="135"/>
        <v>1.0068214933659623</v>
      </c>
      <c r="BA152" s="76">
        <f t="shared" ca="1" si="135"/>
        <v>1.0068214933659623</v>
      </c>
      <c r="BB152" s="76">
        <f t="shared" ca="1" si="135"/>
        <v>1.0068214933659623</v>
      </c>
      <c r="BC152" s="76">
        <f t="shared" ca="1" si="135"/>
        <v>1.0068214933659623</v>
      </c>
      <c r="BD152" s="76">
        <f t="shared" ca="1" si="135"/>
        <v>1.0068214933659623</v>
      </c>
      <c r="BE152" s="76">
        <f t="shared" ca="1" si="135"/>
        <v>1.0068214933659623</v>
      </c>
      <c r="BF152" s="76">
        <f t="shared" ca="1" si="135"/>
        <v>1.0068214933659623</v>
      </c>
      <c r="BG152" s="76">
        <f t="shared" ca="1" si="135"/>
        <v>1.0068214933659623</v>
      </c>
      <c r="BH152" s="76">
        <f t="shared" ca="1" si="135"/>
        <v>1.0068214933659623</v>
      </c>
      <c r="BI152" s="76">
        <f t="shared" ca="1" si="135"/>
        <v>1.0068214933659623</v>
      </c>
      <c r="BJ152" s="76">
        <f t="shared" ca="1" si="135"/>
        <v>1.0068214933659623</v>
      </c>
      <c r="BK152" s="76">
        <f t="shared" ca="1" si="135"/>
        <v>1.0068214933659623</v>
      </c>
      <c r="BL152" s="76">
        <f t="shared" ca="1" si="112"/>
        <v>8.5000000000000853E-2</v>
      </c>
      <c r="BM152" s="77">
        <f t="shared" ca="1" si="123"/>
        <v>190121.3938020503</v>
      </c>
    </row>
    <row r="153" spans="5:65">
      <c r="E153">
        <f t="shared" si="93"/>
        <v>150</v>
      </c>
      <c r="F153" s="64">
        <f t="shared" si="113"/>
        <v>66.92</v>
      </c>
      <c r="G153" s="55">
        <f t="shared" si="100"/>
        <v>0</v>
      </c>
      <c r="H153" s="78">
        <f t="shared" si="131"/>
        <v>1</v>
      </c>
      <c r="I153" s="79">
        <f t="shared" si="114"/>
        <v>478504.39946726669</v>
      </c>
      <c r="J153" s="79">
        <f t="shared" si="101"/>
        <v>3264.1145865497206</v>
      </c>
      <c r="K153" s="80">
        <f t="shared" si="102"/>
        <v>-15</v>
      </c>
      <c r="L153" s="80">
        <f t="shared" si="115"/>
        <v>-398.75366622272225</v>
      </c>
      <c r="M153" s="80">
        <f t="shared" si="133"/>
        <v>0</v>
      </c>
      <c r="N153" s="80">
        <f t="shared" si="116"/>
        <v>-454.57917949390344</v>
      </c>
      <c r="O153" s="81">
        <f t="shared" si="103"/>
        <v>-2500.6101455486769</v>
      </c>
      <c r="P153" s="79">
        <f t="shared" si="104"/>
        <v>478399.57106255111</v>
      </c>
      <c r="Q153" s="35"/>
      <c r="R153">
        <f t="shared" ca="1" si="117"/>
        <v>275</v>
      </c>
      <c r="S153" s="78">
        <f t="shared" ca="1" si="118"/>
        <v>76.92</v>
      </c>
      <c r="T153" s="55">
        <f t="shared" ca="1" si="105"/>
        <v>6.629281491598138E-3</v>
      </c>
      <c r="U153" s="78">
        <f t="shared" ca="1" si="124"/>
        <v>0.54243389016577426</v>
      </c>
      <c r="V153" s="79">
        <f t="shared" ca="1" si="119"/>
        <v>223515.25470533251</v>
      </c>
      <c r="W153" s="79">
        <f t="shared" ca="1" si="106"/>
        <v>1524.7078271637934</v>
      </c>
      <c r="X153" s="80">
        <f t="shared" ca="1" si="125"/>
        <v>-8.1365083524866133</v>
      </c>
      <c r="Y153" s="80">
        <f t="shared" ca="1" si="126"/>
        <v>-186.26271225444378</v>
      </c>
      <c r="Z153" s="80">
        <f t="shared" ca="1" si="120"/>
        <v>0</v>
      </c>
      <c r="AA153" s="80">
        <f t="shared" ca="1" si="127"/>
        <v>-212.33949197006595</v>
      </c>
      <c r="AB153" s="81">
        <f t="shared" ca="1" si="107"/>
        <v>-1356.4156890379718</v>
      </c>
      <c r="AC153" s="79">
        <f t="shared" ca="1" si="108"/>
        <v>223276.80813088134</v>
      </c>
      <c r="AD153" s="35"/>
      <c r="AE153" s="62">
        <f t="shared" ca="1" si="109"/>
        <v>-2500.6101455486769</v>
      </c>
      <c r="AF153" s="62">
        <f t="shared" ca="1" si="110"/>
        <v>411620.31388312648</v>
      </c>
      <c r="AG153" s="35"/>
      <c r="AH153" s="35"/>
      <c r="AR153" s="69">
        <f t="shared" si="121"/>
        <v>13</v>
      </c>
      <c r="AS153" s="70">
        <f t="shared" si="128"/>
        <v>150</v>
      </c>
      <c r="AT153" s="71">
        <f t="shared" si="134"/>
        <v>0.35817631437345337</v>
      </c>
      <c r="AU153" s="72">
        <f t="shared" si="111"/>
        <v>6.8214933659622723E-3</v>
      </c>
      <c r="AV153" s="73">
        <f t="shared" si="122"/>
        <v>1.0068214933659623</v>
      </c>
      <c r="AW153" s="74">
        <f>PRODUCT(AV$4:AV153)</f>
        <v>2.7725011011343819</v>
      </c>
      <c r="AY153" s="132">
        <f t="shared" si="130"/>
        <v>150</v>
      </c>
      <c r="AZ153" s="133">
        <f t="shared" ca="1" si="135"/>
        <v>1.0068214933659623</v>
      </c>
      <c r="BA153" s="133">
        <f t="shared" ca="1" si="135"/>
        <v>1.0068214933659623</v>
      </c>
      <c r="BB153" s="133">
        <f t="shared" ca="1" si="135"/>
        <v>1.0068214933659623</v>
      </c>
      <c r="BC153" s="133">
        <f t="shared" ca="1" si="135"/>
        <v>1.0068214933659623</v>
      </c>
      <c r="BD153" s="133">
        <f t="shared" ca="1" si="135"/>
        <v>1.0068214933659623</v>
      </c>
      <c r="BE153" s="133">
        <f t="shared" ca="1" si="135"/>
        <v>1.0068214933659623</v>
      </c>
      <c r="BF153" s="133">
        <f t="shared" ca="1" si="135"/>
        <v>1.0068214933659623</v>
      </c>
      <c r="BG153" s="133">
        <f t="shared" ca="1" si="135"/>
        <v>1.0068214933659623</v>
      </c>
      <c r="BH153" s="133">
        <f t="shared" ca="1" si="135"/>
        <v>1.0068214933659623</v>
      </c>
      <c r="BI153" s="133">
        <f t="shared" ca="1" si="135"/>
        <v>1.0068214933659623</v>
      </c>
      <c r="BJ153" s="133">
        <f t="shared" ca="1" si="135"/>
        <v>1.0068214933659623</v>
      </c>
      <c r="BK153" s="133">
        <f t="shared" ca="1" si="135"/>
        <v>1.0068214933659623</v>
      </c>
      <c r="BL153" s="133">
        <f t="shared" ca="1" si="112"/>
        <v>8.5000000000000853E-2</v>
      </c>
      <c r="BM153" s="134">
        <f t="shared" ca="1" si="123"/>
        <v>206281.71227522474</v>
      </c>
    </row>
    <row r="154" spans="5:65">
      <c r="E154">
        <f t="shared" si="93"/>
        <v>151</v>
      </c>
      <c r="F154" s="64">
        <f t="shared" si="113"/>
        <v>67</v>
      </c>
      <c r="G154" s="55">
        <f t="shared" si="100"/>
        <v>0</v>
      </c>
      <c r="H154" s="78">
        <f t="shared" si="131"/>
        <v>1</v>
      </c>
      <c r="I154" s="79">
        <f t="shared" si="114"/>
        <v>478399.57106255111</v>
      </c>
      <c r="J154" s="79">
        <f t="shared" si="101"/>
        <v>3263.399500282389</v>
      </c>
      <c r="K154" s="80">
        <f t="shared" si="102"/>
        <v>-15</v>
      </c>
      <c r="L154" s="80">
        <f t="shared" si="115"/>
        <v>-398.66630921879261</v>
      </c>
      <c r="M154" s="80">
        <f t="shared" si="133"/>
        <v>0</v>
      </c>
      <c r="N154" s="80">
        <f t="shared" si="116"/>
        <v>-454.47959250942364</v>
      </c>
      <c r="O154" s="81">
        <f t="shared" si="103"/>
        <v>-2500.6101455486769</v>
      </c>
      <c r="P154" s="79">
        <f t="shared" si="104"/>
        <v>478294.21451555658</v>
      </c>
      <c r="Q154" s="35"/>
      <c r="R154">
        <f t="shared" ca="1" si="117"/>
        <v>276</v>
      </c>
      <c r="S154" s="78">
        <f t="shared" ca="1" si="118"/>
        <v>77</v>
      </c>
      <c r="T154" s="55">
        <f t="shared" ca="1" si="105"/>
        <v>6.629281491598138E-3</v>
      </c>
      <c r="U154" s="78">
        <f t="shared" ca="1" si="124"/>
        <v>0.53883794321728273</v>
      </c>
      <c r="V154" s="79">
        <f t="shared" ca="1" si="119"/>
        <v>221796.64331923617</v>
      </c>
      <c r="W154" s="79">
        <f t="shared" ca="1" si="106"/>
        <v>1512.9843309948699</v>
      </c>
      <c r="X154" s="80">
        <f t="shared" ca="1" si="125"/>
        <v>-8.0825691482592408</v>
      </c>
      <c r="Y154" s="80">
        <f t="shared" ca="1" si="126"/>
        <v>-184.83053609936348</v>
      </c>
      <c r="Z154" s="80">
        <f t="shared" ca="1" si="120"/>
        <v>0</v>
      </c>
      <c r="AA154" s="80">
        <f t="shared" ca="1" si="127"/>
        <v>-210.7068111532744</v>
      </c>
      <c r="AB154" s="81">
        <f t="shared" ca="1" si="107"/>
        <v>-1347.4236276157192</v>
      </c>
      <c r="AC154" s="79">
        <f t="shared" ca="1" si="108"/>
        <v>221558.58410621443</v>
      </c>
      <c r="AD154" s="35"/>
      <c r="AE154" s="62">
        <f t="shared" ca="1" si="109"/>
        <v>-2500.6101455486769</v>
      </c>
      <c r="AF154" s="62">
        <f t="shared" ca="1" si="110"/>
        <v>411178.51275160193</v>
      </c>
      <c r="AG154" s="35"/>
      <c r="AH154" s="35"/>
      <c r="AR154" s="69">
        <f t="shared" si="121"/>
        <v>13</v>
      </c>
      <c r="AS154" s="70">
        <f t="shared" si="128"/>
        <v>151</v>
      </c>
      <c r="AT154" s="71">
        <f t="shared" si="134"/>
        <v>0.35573301702111004</v>
      </c>
      <c r="AU154" s="72">
        <f t="shared" si="111"/>
        <v>6.8214933659622723E-3</v>
      </c>
      <c r="AV154" s="73">
        <f t="shared" si="122"/>
        <v>1.0068214933659623</v>
      </c>
      <c r="AW154" s="74">
        <f>PRODUCT(AV$4:AV154)</f>
        <v>2.7914136990028933</v>
      </c>
      <c r="BM154" s="135">
        <f>AW1803</f>
        <v>206281.71227521964</v>
      </c>
    </row>
    <row r="155" spans="5:65">
      <c r="E155">
        <f t="shared" ref="E155:E218" si="136">E154+1</f>
        <v>152</v>
      </c>
      <c r="F155" s="64">
        <f t="shared" si="113"/>
        <v>67.08</v>
      </c>
      <c r="G155" s="55">
        <f t="shared" si="100"/>
        <v>0</v>
      </c>
      <c r="H155" s="78">
        <f t="shared" si="131"/>
        <v>1</v>
      </c>
      <c r="I155" s="79">
        <f t="shared" si="114"/>
        <v>478294.21451555658</v>
      </c>
      <c r="J155" s="79">
        <f t="shared" si="101"/>
        <v>3262.6808112960052</v>
      </c>
      <c r="K155" s="80">
        <f t="shared" si="102"/>
        <v>-15</v>
      </c>
      <c r="L155" s="80">
        <f t="shared" si="115"/>
        <v>-398.57851209629717</v>
      </c>
      <c r="M155" s="80">
        <f t="shared" si="133"/>
        <v>0</v>
      </c>
      <c r="N155" s="80">
        <f t="shared" si="116"/>
        <v>-454.37950378977888</v>
      </c>
      <c r="O155" s="81">
        <f t="shared" si="103"/>
        <v>-2500.6101455486769</v>
      </c>
      <c r="P155" s="79">
        <f t="shared" si="104"/>
        <v>478188.32716541784</v>
      </c>
      <c r="Q155" s="35"/>
      <c r="R155">
        <f t="shared" ca="1" si="117"/>
        <v>277</v>
      </c>
      <c r="S155" s="78">
        <f t="shared" ca="1" si="118"/>
        <v>77.08</v>
      </c>
      <c r="T155" s="55">
        <f t="shared" ca="1" si="105"/>
        <v>6.629281491598138E-3</v>
      </c>
      <c r="U155" s="78">
        <f t="shared" ca="1" si="124"/>
        <v>0.53526583481334156</v>
      </c>
      <c r="V155" s="79">
        <f t="shared" ca="1" si="119"/>
        <v>220089.80988529441</v>
      </c>
      <c r="W155" s="79">
        <f t="shared" ca="1" si="106"/>
        <v>1501.3411780484334</v>
      </c>
      <c r="X155" s="80">
        <f t="shared" ca="1" si="125"/>
        <v>-8.0289875222001239</v>
      </c>
      <c r="Y155" s="80">
        <f t="shared" ca="1" si="126"/>
        <v>-183.40817490441202</v>
      </c>
      <c r="Z155" s="80">
        <f t="shared" ca="1" si="120"/>
        <v>-1650.6735741397081</v>
      </c>
      <c r="AA155" s="80">
        <f t="shared" ca="1" si="127"/>
        <v>-209.08531939102974</v>
      </c>
      <c r="AB155" s="81">
        <f t="shared" ca="1" si="107"/>
        <v>-1338.491177099824</v>
      </c>
      <c r="AC155" s="79">
        <f t="shared" ca="1" si="108"/>
        <v>218201.46383028568</v>
      </c>
      <c r="AD155" s="35"/>
      <c r="AE155" s="62">
        <f t="shared" ca="1" si="109"/>
        <v>-2500.6101455486769</v>
      </c>
      <c r="AF155" s="62">
        <f t="shared" ca="1" si="110"/>
        <v>407650.6469096372</v>
      </c>
      <c r="AG155" s="35"/>
      <c r="AH155" s="35"/>
      <c r="AR155" s="69">
        <f t="shared" si="121"/>
        <v>13</v>
      </c>
      <c r="AS155" s="70">
        <f t="shared" si="128"/>
        <v>152</v>
      </c>
      <c r="AT155" s="71">
        <f t="shared" si="134"/>
        <v>0.35330638660544678</v>
      </c>
      <c r="AU155" s="72">
        <f t="shared" si="111"/>
        <v>6.8214933659622723E-3</v>
      </c>
      <c r="AV155" s="73">
        <f t="shared" si="122"/>
        <v>1.0068214933659623</v>
      </c>
      <c r="AW155" s="74">
        <f>PRODUCT(AV$4:AV155)</f>
        <v>2.8104553090322977</v>
      </c>
    </row>
    <row r="156" spans="5:65">
      <c r="E156">
        <f t="shared" si="136"/>
        <v>153</v>
      </c>
      <c r="F156" s="64">
        <f t="shared" si="113"/>
        <v>67.16</v>
      </c>
      <c r="G156" s="55">
        <f t="shared" si="100"/>
        <v>0</v>
      </c>
      <c r="H156" s="78">
        <f t="shared" si="131"/>
        <v>1</v>
      </c>
      <c r="I156" s="79">
        <f t="shared" si="114"/>
        <v>478188.32716541784</v>
      </c>
      <c r="J156" s="79">
        <f t="shared" si="101"/>
        <v>3261.9585014394943</v>
      </c>
      <c r="K156" s="80">
        <f t="shared" si="102"/>
        <v>-15</v>
      </c>
      <c r="L156" s="80">
        <f t="shared" si="115"/>
        <v>-398.49027263784825</v>
      </c>
      <c r="M156" s="80">
        <f t="shared" si="133"/>
        <v>0</v>
      </c>
      <c r="N156" s="80">
        <f t="shared" si="116"/>
        <v>-454.27891080714704</v>
      </c>
      <c r="O156" s="81">
        <f t="shared" si="103"/>
        <v>-2500.6101455486769</v>
      </c>
      <c r="P156" s="79">
        <f t="shared" si="104"/>
        <v>478081.90633786365</v>
      </c>
      <c r="Q156" s="35"/>
      <c r="R156">
        <f t="shared" ca="1" si="117"/>
        <v>278</v>
      </c>
      <c r="S156" s="78">
        <f t="shared" ca="1" si="118"/>
        <v>77.16</v>
      </c>
      <c r="T156" s="55">
        <f t="shared" ca="1" si="105"/>
        <v>6.629281491598138E-3</v>
      </c>
      <c r="U156" s="78">
        <f t="shared" ca="1" si="124"/>
        <v>0.53171740692152869</v>
      </c>
      <c r="V156" s="79">
        <f t="shared" ca="1" si="119"/>
        <v>216754.94490467594</v>
      </c>
      <c r="W156" s="79">
        <f t="shared" ca="1" si="106"/>
        <v>1478.5924187067646</v>
      </c>
      <c r="X156" s="80">
        <f t="shared" ca="1" si="125"/>
        <v>-7.9757611038229301</v>
      </c>
      <c r="Y156" s="80">
        <f t="shared" ca="1" si="126"/>
        <v>-180.62912075389661</v>
      </c>
      <c r="Z156" s="80">
        <f t="shared" ca="1" si="120"/>
        <v>0</v>
      </c>
      <c r="AA156" s="80">
        <f t="shared" ca="1" si="127"/>
        <v>-205.91719765944219</v>
      </c>
      <c r="AB156" s="81">
        <f t="shared" ca="1" si="107"/>
        <v>-1329.617942312809</v>
      </c>
      <c r="AC156" s="79">
        <f t="shared" ca="1" si="108"/>
        <v>216509.39730155273</v>
      </c>
      <c r="AD156" s="35"/>
      <c r="AE156" s="62">
        <f t="shared" ca="1" si="109"/>
        <v>-2500.6101455486769</v>
      </c>
      <c r="AF156" s="62">
        <f t="shared" ca="1" si="110"/>
        <v>407188.84596062393</v>
      </c>
      <c r="AG156" s="35"/>
      <c r="AH156" s="35"/>
      <c r="AR156" s="69">
        <f t="shared" si="121"/>
        <v>13</v>
      </c>
      <c r="AS156" s="70">
        <f t="shared" si="128"/>
        <v>153</v>
      </c>
      <c r="AT156" s="71">
        <f t="shared" si="134"/>
        <v>0.3508963094330656</v>
      </c>
      <c r="AU156" s="72">
        <f t="shared" si="111"/>
        <v>6.8214933659622723E-3</v>
      </c>
      <c r="AV156" s="73">
        <f t="shared" si="122"/>
        <v>1.0068214933659623</v>
      </c>
      <c r="AW156" s="74">
        <f>PRODUCT(AV$4:AV156)</f>
        <v>2.829626811278195</v>
      </c>
    </row>
    <row r="157" spans="5:65">
      <c r="E157">
        <f t="shared" si="136"/>
        <v>154</v>
      </c>
      <c r="F157" s="64">
        <f t="shared" si="113"/>
        <v>67.239999999999995</v>
      </c>
      <c r="G157" s="55">
        <f t="shared" si="100"/>
        <v>0</v>
      </c>
      <c r="H157" s="78">
        <f t="shared" si="131"/>
        <v>1</v>
      </c>
      <c r="I157" s="79">
        <f t="shared" si="114"/>
        <v>478081.90633786365</v>
      </c>
      <c r="J157" s="79">
        <f t="shared" si="101"/>
        <v>3261.2325524703333</v>
      </c>
      <c r="K157" s="80">
        <f t="shared" si="102"/>
        <v>-15</v>
      </c>
      <c r="L157" s="80">
        <f t="shared" si="115"/>
        <v>-398.40158861488641</v>
      </c>
      <c r="M157" s="80">
        <f t="shared" si="133"/>
        <v>0</v>
      </c>
      <c r="N157" s="80">
        <f t="shared" si="116"/>
        <v>-454.17781102097052</v>
      </c>
      <c r="O157" s="81">
        <f t="shared" si="103"/>
        <v>-2500.6101455486769</v>
      </c>
      <c r="P157" s="79">
        <f t="shared" si="104"/>
        <v>477974.94934514945</v>
      </c>
      <c r="Q157" s="35"/>
      <c r="R157">
        <f t="shared" ca="1" si="117"/>
        <v>279</v>
      </c>
      <c r="S157" s="78">
        <f t="shared" ca="1" si="118"/>
        <v>77.239999999999995</v>
      </c>
      <c r="T157" s="55">
        <f t="shared" ca="1" si="105"/>
        <v>6.629281491598138E-3</v>
      </c>
      <c r="U157" s="78">
        <f t="shared" ca="1" si="124"/>
        <v>0.52819250255706329</v>
      </c>
      <c r="V157" s="79">
        <f t="shared" ca="1" si="119"/>
        <v>215074.09556126449</v>
      </c>
      <c r="W157" s="79">
        <f t="shared" ca="1" si="106"/>
        <v>1467.1265160615014</v>
      </c>
      <c r="X157" s="80">
        <f t="shared" ca="1" si="125"/>
        <v>-7.9228875383559494</v>
      </c>
      <c r="Y157" s="80">
        <f t="shared" ca="1" si="126"/>
        <v>-179.22841296772043</v>
      </c>
      <c r="Z157" s="80">
        <f t="shared" ca="1" si="120"/>
        <v>0</v>
      </c>
      <c r="AA157" s="80">
        <f t="shared" ca="1" si="127"/>
        <v>-204.3203907832013</v>
      </c>
      <c r="AB157" s="81">
        <f t="shared" ca="1" si="107"/>
        <v>-1320.803530696938</v>
      </c>
      <c r="AC157" s="79">
        <f t="shared" ca="1" si="108"/>
        <v>214828.9468553398</v>
      </c>
      <c r="AD157" s="35"/>
      <c r="AE157" s="62">
        <f t="shared" ca="1" si="109"/>
        <v>-2500.6101455486769</v>
      </c>
      <c r="AF157" s="62">
        <f t="shared" ca="1" si="110"/>
        <v>406724.71838452638</v>
      </c>
      <c r="AG157" s="35"/>
      <c r="AH157" s="35"/>
      <c r="AR157" s="69">
        <f t="shared" si="121"/>
        <v>13</v>
      </c>
      <c r="AS157" s="70">
        <f t="shared" si="128"/>
        <v>154</v>
      </c>
      <c r="AT157" s="71">
        <f t="shared" si="134"/>
        <v>0.34850267258612733</v>
      </c>
      <c r="AU157" s="72">
        <f t="shared" si="111"/>
        <v>6.8214933659622723E-3</v>
      </c>
      <c r="AV157" s="73">
        <f t="shared" si="122"/>
        <v>1.0068214933659623</v>
      </c>
      <c r="AW157" s="74">
        <f>PRODUCT(AV$4:AV157)</f>
        <v>2.8489290917994783</v>
      </c>
    </row>
    <row r="158" spans="5:65">
      <c r="E158">
        <f t="shared" si="136"/>
        <v>155</v>
      </c>
      <c r="F158" s="64">
        <f t="shared" si="113"/>
        <v>67.319999999999993</v>
      </c>
      <c r="G158" s="55">
        <f t="shared" si="100"/>
        <v>0</v>
      </c>
      <c r="H158" s="78">
        <f t="shared" si="131"/>
        <v>1</v>
      </c>
      <c r="I158" s="79">
        <f t="shared" si="114"/>
        <v>477974.94934514945</v>
      </c>
      <c r="J158" s="79">
        <f t="shared" si="101"/>
        <v>3260.50294605409</v>
      </c>
      <c r="K158" s="80">
        <f t="shared" si="102"/>
        <v>-15</v>
      </c>
      <c r="L158" s="80">
        <f t="shared" si="115"/>
        <v>-398.31245778762457</v>
      </c>
      <c r="M158" s="80">
        <f t="shared" si="133"/>
        <v>0</v>
      </c>
      <c r="N158" s="80">
        <f t="shared" si="116"/>
        <v>-454.07620187789206</v>
      </c>
      <c r="O158" s="81">
        <f t="shared" si="103"/>
        <v>-2500.6101455486769</v>
      </c>
      <c r="P158" s="79">
        <f t="shared" si="104"/>
        <v>477867.45348598936</v>
      </c>
      <c r="Q158" s="35"/>
      <c r="R158">
        <f t="shared" ca="1" si="117"/>
        <v>280</v>
      </c>
      <c r="S158" s="78">
        <f t="shared" ca="1" si="118"/>
        <v>77.319999999999993</v>
      </c>
      <c r="T158" s="55">
        <f t="shared" ca="1" si="105"/>
        <v>6.629281491598138E-3</v>
      </c>
      <c r="U158" s="78">
        <f t="shared" ca="1" si="124"/>
        <v>0.52469096577586083</v>
      </c>
      <c r="V158" s="79">
        <f t="shared" ca="1" si="119"/>
        <v>213404.78529409217</v>
      </c>
      <c r="W158" s="79">
        <f t="shared" ca="1" si="106"/>
        <v>1455.7393271482529</v>
      </c>
      <c r="X158" s="80">
        <f t="shared" ca="1" si="125"/>
        <v>-7.8703644866379125</v>
      </c>
      <c r="Y158" s="80">
        <f t="shared" ca="1" si="126"/>
        <v>-177.83732107841016</v>
      </c>
      <c r="Z158" s="80">
        <f t="shared" ca="1" si="120"/>
        <v>0</v>
      </c>
      <c r="AA158" s="80">
        <f t="shared" ca="1" si="127"/>
        <v>-202.73454602938762</v>
      </c>
      <c r="AB158" s="81">
        <f t="shared" ca="1" si="107"/>
        <v>-1312.0475522968511</v>
      </c>
      <c r="AC158" s="79">
        <f t="shared" ca="1" si="108"/>
        <v>213160.03483734911</v>
      </c>
      <c r="AD158" s="35"/>
      <c r="AE158" s="62">
        <f t="shared" ca="1" si="109"/>
        <v>-2500.6101455486769</v>
      </c>
      <c r="AF158" s="62">
        <f t="shared" ca="1" si="110"/>
        <v>406258.25245942484</v>
      </c>
      <c r="AG158" s="35"/>
      <c r="AH158" s="35"/>
      <c r="AR158" s="69">
        <f t="shared" si="121"/>
        <v>13</v>
      </c>
      <c r="AS158" s="70">
        <f t="shared" si="128"/>
        <v>155</v>
      </c>
      <c r="AT158" s="71">
        <f t="shared" si="134"/>
        <v>0.34612536391706095</v>
      </c>
      <c r="AU158" s="72">
        <f t="shared" si="111"/>
        <v>6.8214933659622723E-3</v>
      </c>
      <c r="AV158" s="73">
        <f t="shared" si="122"/>
        <v>1.0068214933659623</v>
      </c>
      <c r="AW158" s="74">
        <f>PRODUCT(AV$4:AV158)</f>
        <v>2.8683630426992854</v>
      </c>
    </row>
    <row r="159" spans="5:65">
      <c r="E159">
        <f t="shared" si="136"/>
        <v>156</v>
      </c>
      <c r="F159" s="64">
        <f t="shared" si="113"/>
        <v>67.400000000000006</v>
      </c>
      <c r="G159" s="55">
        <f t="shared" si="100"/>
        <v>0</v>
      </c>
      <c r="H159" s="78">
        <f t="shared" si="131"/>
        <v>1</v>
      </c>
      <c r="I159" s="79">
        <f t="shared" si="114"/>
        <v>477867.45348598936</v>
      </c>
      <c r="J159" s="79">
        <f t="shared" si="101"/>
        <v>3259.769663763961</v>
      </c>
      <c r="K159" s="80">
        <f t="shared" si="102"/>
        <v>-15</v>
      </c>
      <c r="L159" s="80">
        <f t="shared" si="115"/>
        <v>-398.22287790499115</v>
      </c>
      <c r="M159" s="80">
        <f t="shared" si="133"/>
        <v>0</v>
      </c>
      <c r="N159" s="80">
        <f t="shared" si="116"/>
        <v>-453.97408081168993</v>
      </c>
      <c r="O159" s="81">
        <f t="shared" si="103"/>
        <v>-2500.6101455486769</v>
      </c>
      <c r="P159" s="79">
        <f t="shared" si="104"/>
        <v>477759.41604548803</v>
      </c>
      <c r="Q159" s="35"/>
      <c r="R159">
        <f t="shared" ca="1" si="117"/>
        <v>281</v>
      </c>
      <c r="S159" s="78">
        <f t="shared" ca="1" si="118"/>
        <v>77.400000000000006</v>
      </c>
      <c r="T159" s="55">
        <f t="shared" ca="1" si="105"/>
        <v>6.629281491598138E-3</v>
      </c>
      <c r="U159" s="78">
        <f t="shared" ca="1" si="124"/>
        <v>0.52121264166763415</v>
      </c>
      <c r="V159" s="79">
        <f t="shared" ca="1" si="119"/>
        <v>211746.93696365345</v>
      </c>
      <c r="W159" s="79">
        <f t="shared" ca="1" si="106"/>
        <v>1444.4303257603935</v>
      </c>
      <c r="X159" s="80">
        <f t="shared" ca="1" si="125"/>
        <v>-7.8181896250145124</v>
      </c>
      <c r="Y159" s="80">
        <f t="shared" ca="1" si="126"/>
        <v>-176.45578080304455</v>
      </c>
      <c r="Z159" s="80">
        <f t="shared" ca="1" si="120"/>
        <v>0</v>
      </c>
      <c r="AA159" s="80">
        <f t="shared" ca="1" si="127"/>
        <v>-201.15959011547082</v>
      </c>
      <c r="AB159" s="81">
        <f t="shared" ca="1" si="107"/>
        <v>-1303.3496197423131</v>
      </c>
      <c r="AC159" s="79">
        <f t="shared" ca="1" si="108"/>
        <v>211502.58410912799</v>
      </c>
      <c r="AD159" s="35"/>
      <c r="AE159" s="62">
        <f t="shared" ca="1" si="109"/>
        <v>-2500.6101455486769</v>
      </c>
      <c r="AF159" s="62">
        <f t="shared" ca="1" si="110"/>
        <v>405789.43640434288</v>
      </c>
      <c r="AG159" s="35"/>
      <c r="AH159" s="35"/>
      <c r="AR159" s="69">
        <f t="shared" si="121"/>
        <v>13</v>
      </c>
      <c r="AS159" s="70">
        <f t="shared" si="128"/>
        <v>156</v>
      </c>
      <c r="AT159" s="71">
        <f t="shared" si="134"/>
        <v>0.34376427204330945</v>
      </c>
      <c r="AU159" s="72">
        <f t="shared" si="111"/>
        <v>6.8214933659622723E-3</v>
      </c>
      <c r="AV159" s="73">
        <f t="shared" si="122"/>
        <v>1.0068214933659623</v>
      </c>
      <c r="AW159" s="74">
        <f>PRODUCT(AV$4:AV159)</f>
        <v>2.8879295621662298</v>
      </c>
    </row>
    <row r="160" spans="5:65">
      <c r="E160">
        <f t="shared" si="136"/>
        <v>157</v>
      </c>
      <c r="F160" s="64">
        <f t="shared" si="113"/>
        <v>67.48</v>
      </c>
      <c r="G160" s="55">
        <f t="shared" si="100"/>
        <v>0</v>
      </c>
      <c r="H160" s="78">
        <f t="shared" si="131"/>
        <v>1</v>
      </c>
      <c r="I160" s="79">
        <f t="shared" si="114"/>
        <v>477759.41604548803</v>
      </c>
      <c r="J160" s="79">
        <f t="shared" si="101"/>
        <v>3259.032687080306</v>
      </c>
      <c r="K160" s="80">
        <f t="shared" si="102"/>
        <v>-15</v>
      </c>
      <c r="L160" s="80">
        <f t="shared" si="115"/>
        <v>-398.13284670457341</v>
      </c>
      <c r="M160" s="80">
        <f t="shared" si="133"/>
        <v>-3583.1956203411601</v>
      </c>
      <c r="N160" s="80">
        <f t="shared" si="116"/>
        <v>-453.87144524321371</v>
      </c>
      <c r="O160" s="81">
        <f t="shared" si="103"/>
        <v>-2500.6101455486769</v>
      </c>
      <c r="P160" s="79">
        <f t="shared" si="104"/>
        <v>474067.63867473078</v>
      </c>
      <c r="Q160" s="35"/>
      <c r="R160">
        <f t="shared" ca="1" si="117"/>
        <v>282</v>
      </c>
      <c r="S160" s="78">
        <f t="shared" ca="1" si="118"/>
        <v>77.48</v>
      </c>
      <c r="T160" s="55">
        <f t="shared" ca="1" si="105"/>
        <v>6.629281491598138E-3</v>
      </c>
      <c r="U160" s="78">
        <f t="shared" ca="1" si="124"/>
        <v>0.51775737634903995</v>
      </c>
      <c r="V160" s="79">
        <f t="shared" ca="1" si="119"/>
        <v>210100.47394286818</v>
      </c>
      <c r="W160" s="79">
        <f t="shared" ca="1" si="106"/>
        <v>1433.1989891868045</v>
      </c>
      <c r="X160" s="80">
        <f t="shared" ca="1" si="125"/>
        <v>-7.7663606452355989</v>
      </c>
      <c r="Y160" s="80">
        <f t="shared" ca="1" si="126"/>
        <v>-175.08372828572348</v>
      </c>
      <c r="Z160" s="80">
        <f t="shared" ca="1" si="120"/>
        <v>0</v>
      </c>
      <c r="AA160" s="80">
        <f t="shared" ca="1" si="127"/>
        <v>-199.59545024572481</v>
      </c>
      <c r="AB160" s="81">
        <f t="shared" ca="1" si="107"/>
        <v>-1294.7093482310738</v>
      </c>
      <c r="AC160" s="79">
        <f t="shared" ca="1" si="108"/>
        <v>209856.51804464724</v>
      </c>
      <c r="AD160" s="35"/>
      <c r="AE160" s="62">
        <f t="shared" ca="1" si="109"/>
        <v>-2500.6101455486769</v>
      </c>
      <c r="AF160" s="62">
        <f t="shared" ca="1" si="110"/>
        <v>405318.2583789496</v>
      </c>
      <c r="AG160" s="35"/>
      <c r="AH160" s="35"/>
      <c r="AR160" s="69">
        <f t="shared" si="121"/>
        <v>14</v>
      </c>
      <c r="AS160" s="70">
        <f t="shared" si="128"/>
        <v>157</v>
      </c>
      <c r="AT160" s="71">
        <f t="shared" si="134"/>
        <v>0.34141928634211116</v>
      </c>
      <c r="AU160" s="72">
        <f t="shared" si="111"/>
        <v>6.8214933659622723E-3</v>
      </c>
      <c r="AV160" s="73">
        <f t="shared" si="122"/>
        <v>1.0068214933659623</v>
      </c>
      <c r="AW160" s="74">
        <f>PRODUCT(AV$4:AV160)</f>
        <v>2.9076295545159132</v>
      </c>
    </row>
    <row r="161" spans="5:49">
      <c r="E161">
        <f t="shared" si="136"/>
        <v>158</v>
      </c>
      <c r="F161" s="64">
        <f t="shared" si="113"/>
        <v>67.56</v>
      </c>
      <c r="G161" s="55">
        <f t="shared" si="100"/>
        <v>0</v>
      </c>
      <c r="H161" s="78">
        <f t="shared" si="131"/>
        <v>1</v>
      </c>
      <c r="I161" s="79">
        <f t="shared" si="114"/>
        <v>474067.63867473078</v>
      </c>
      <c r="J161" s="79">
        <f t="shared" si="101"/>
        <v>3233.8492522370757</v>
      </c>
      <c r="K161" s="80">
        <f t="shared" si="102"/>
        <v>-15</v>
      </c>
      <c r="L161" s="80">
        <f t="shared" si="115"/>
        <v>-395.05636556227569</v>
      </c>
      <c r="M161" s="80">
        <f t="shared" si="133"/>
        <v>0</v>
      </c>
      <c r="N161" s="80">
        <f t="shared" si="116"/>
        <v>-450.36425674099434</v>
      </c>
      <c r="O161" s="81">
        <f t="shared" si="103"/>
        <v>-2500.6101455486769</v>
      </c>
      <c r="P161" s="79">
        <f t="shared" si="104"/>
        <v>473940.45715911593</v>
      </c>
      <c r="Q161" s="35"/>
      <c r="R161">
        <f t="shared" ca="1" si="117"/>
        <v>283</v>
      </c>
      <c r="S161" s="78">
        <f t="shared" ca="1" si="118"/>
        <v>77.56</v>
      </c>
      <c r="T161" s="55">
        <f t="shared" ca="1" si="105"/>
        <v>7.236878175910233E-3</v>
      </c>
      <c r="U161" s="78">
        <f t="shared" ca="1" si="124"/>
        <v>0.51401042929172303</v>
      </c>
      <c r="V161" s="79">
        <f t="shared" ca="1" si="119"/>
        <v>208337.81198913741</v>
      </c>
      <c r="W161" s="79">
        <f t="shared" ca="1" si="106"/>
        <v>1421.1750023629959</v>
      </c>
      <c r="X161" s="80">
        <f t="shared" ca="1" si="125"/>
        <v>-7.7101564393758455</v>
      </c>
      <c r="Y161" s="80">
        <f t="shared" ca="1" si="126"/>
        <v>-173.6148433242812</v>
      </c>
      <c r="Z161" s="80">
        <f t="shared" ca="1" si="120"/>
        <v>0</v>
      </c>
      <c r="AA161" s="80">
        <f t="shared" ca="1" si="127"/>
        <v>-197.92092138968056</v>
      </c>
      <c r="AB161" s="81">
        <f t="shared" ca="1" si="107"/>
        <v>-1285.3396944047133</v>
      </c>
      <c r="AC161" s="79">
        <f t="shared" ca="1" si="108"/>
        <v>208094.40137594234</v>
      </c>
      <c r="AD161" s="35"/>
      <c r="AE161" s="62">
        <f t="shared" ca="1" si="109"/>
        <v>-2500.6101455486769</v>
      </c>
      <c r="AF161" s="62">
        <f t="shared" ca="1" si="110"/>
        <v>404844.7064832605</v>
      </c>
      <c r="AG161" s="35"/>
      <c r="AH161" s="35"/>
      <c r="AR161" s="69">
        <f t="shared" si="121"/>
        <v>14</v>
      </c>
      <c r="AS161" s="70">
        <f t="shared" si="128"/>
        <v>158</v>
      </c>
      <c r="AT161" s="71">
        <f t="shared" si="134"/>
        <v>0.33909029694531689</v>
      </c>
      <c r="AU161" s="72">
        <f t="shared" si="111"/>
        <v>6.8214933659622723E-3</v>
      </c>
      <c r="AV161" s="73">
        <f t="shared" si="122"/>
        <v>1.0068214933659623</v>
      </c>
      <c r="AW161" s="74">
        <f>PRODUCT(AV$4:AV161)</f>
        <v>2.9274639302327192</v>
      </c>
    </row>
    <row r="162" spans="5:49">
      <c r="E162">
        <f t="shared" si="136"/>
        <v>159</v>
      </c>
      <c r="F162" s="64">
        <f t="shared" si="113"/>
        <v>67.64</v>
      </c>
      <c r="G162" s="55">
        <f t="shared" si="100"/>
        <v>0</v>
      </c>
      <c r="H162" s="78">
        <f t="shared" si="131"/>
        <v>1</v>
      </c>
      <c r="I162" s="79">
        <f t="shared" si="114"/>
        <v>473940.45715911593</v>
      </c>
      <c r="J162" s="79">
        <f t="shared" si="101"/>
        <v>3232.9816843720359</v>
      </c>
      <c r="K162" s="80">
        <f t="shared" si="102"/>
        <v>-15</v>
      </c>
      <c r="L162" s="80">
        <f t="shared" si="115"/>
        <v>-394.95038096592998</v>
      </c>
      <c r="M162" s="80">
        <f t="shared" si="133"/>
        <v>0</v>
      </c>
      <c r="N162" s="80">
        <f t="shared" si="116"/>
        <v>-450.24343430116022</v>
      </c>
      <c r="O162" s="81">
        <f t="shared" si="103"/>
        <v>-2500.6101455486769</v>
      </c>
      <c r="P162" s="79">
        <f t="shared" si="104"/>
        <v>473812.63488267222</v>
      </c>
      <c r="Q162" s="35"/>
      <c r="R162">
        <f t="shared" ca="1" si="117"/>
        <v>284</v>
      </c>
      <c r="S162" s="78">
        <f t="shared" ca="1" si="118"/>
        <v>77.64</v>
      </c>
      <c r="T162" s="55">
        <f t="shared" ca="1" si="105"/>
        <v>7.236878175910233E-3</v>
      </c>
      <c r="U162" s="78">
        <f t="shared" ca="1" si="124"/>
        <v>0.51029059843379154</v>
      </c>
      <c r="V162" s="79">
        <f t="shared" ca="1" si="119"/>
        <v>206588.44754409569</v>
      </c>
      <c r="W162" s="79">
        <f t="shared" ca="1" si="106"/>
        <v>1409.2417244064936</v>
      </c>
      <c r="X162" s="80">
        <f t="shared" ca="1" si="125"/>
        <v>-7.6543589765068729</v>
      </c>
      <c r="Y162" s="80">
        <f t="shared" ca="1" si="126"/>
        <v>-172.15703962007976</v>
      </c>
      <c r="Z162" s="80">
        <f t="shared" ca="1" si="120"/>
        <v>0</v>
      </c>
      <c r="AA162" s="80">
        <f t="shared" ca="1" si="127"/>
        <v>-196.25902516689095</v>
      </c>
      <c r="AB162" s="81">
        <f t="shared" ca="1" si="107"/>
        <v>-1276.0378476216449</v>
      </c>
      <c r="AC162" s="79">
        <f t="shared" ca="1" si="108"/>
        <v>206345.58099711704</v>
      </c>
      <c r="AD162" s="35"/>
      <c r="AE162" s="62">
        <f t="shared" ca="1" si="109"/>
        <v>-2500.6101455486769</v>
      </c>
      <c r="AF162" s="62">
        <f t="shared" ca="1" si="110"/>
        <v>404368.76875733712</v>
      </c>
      <c r="AG162" s="35"/>
      <c r="AH162" s="35"/>
      <c r="AR162" s="69">
        <f t="shared" si="121"/>
        <v>14</v>
      </c>
      <c r="AS162" s="70">
        <f t="shared" si="128"/>
        <v>159</v>
      </c>
      <c r="AT162" s="71">
        <f t="shared" si="134"/>
        <v>0.33677719473424222</v>
      </c>
      <c r="AU162" s="72">
        <f t="shared" si="111"/>
        <v>6.8214933659622723E-3</v>
      </c>
      <c r="AV162" s="73">
        <f t="shared" si="122"/>
        <v>1.0068214933659623</v>
      </c>
      <c r="AW162" s="74">
        <f>PRODUCT(AV$4:AV162)</f>
        <v>2.9474336060118955</v>
      </c>
    </row>
    <row r="163" spans="5:49">
      <c r="E163">
        <f t="shared" si="136"/>
        <v>160</v>
      </c>
      <c r="F163" s="64">
        <f t="shared" si="113"/>
        <v>67.72</v>
      </c>
      <c r="G163" s="55">
        <f t="shared" si="100"/>
        <v>0</v>
      </c>
      <c r="H163" s="78">
        <f t="shared" si="131"/>
        <v>1</v>
      </c>
      <c r="I163" s="79">
        <f t="shared" si="114"/>
        <v>473812.63488267222</v>
      </c>
      <c r="J163" s="79">
        <f t="shared" si="101"/>
        <v>3232.109745561253</v>
      </c>
      <c r="K163" s="80">
        <f t="shared" si="102"/>
        <v>-15</v>
      </c>
      <c r="L163" s="80">
        <f t="shared" si="115"/>
        <v>-394.84386240222688</v>
      </c>
      <c r="M163" s="80">
        <f t="shared" si="133"/>
        <v>0</v>
      </c>
      <c r="N163" s="80">
        <f t="shared" si="116"/>
        <v>-450.12200313853873</v>
      </c>
      <c r="O163" s="81">
        <f t="shared" si="103"/>
        <v>-2500.6101455486769</v>
      </c>
      <c r="P163" s="79">
        <f t="shared" si="104"/>
        <v>473684.16861714405</v>
      </c>
      <c r="Q163" s="35"/>
      <c r="R163">
        <f t="shared" ca="1" si="117"/>
        <v>285</v>
      </c>
      <c r="S163" s="78">
        <f t="shared" ca="1" si="118"/>
        <v>77.72</v>
      </c>
      <c r="T163" s="55">
        <f t="shared" ca="1" si="105"/>
        <v>7.236878175910233E-3</v>
      </c>
      <c r="U163" s="78">
        <f t="shared" ca="1" si="124"/>
        <v>0.50659768753861389</v>
      </c>
      <c r="V163" s="79">
        <f t="shared" ca="1" si="119"/>
        <v>204852.2831653035</v>
      </c>
      <c r="W163" s="79">
        <f t="shared" ca="1" si="106"/>
        <v>1397.3984906143426</v>
      </c>
      <c r="X163" s="80">
        <f t="shared" ca="1" si="125"/>
        <v>-7.5989653130792085</v>
      </c>
      <c r="Y163" s="80">
        <f t="shared" ca="1" si="126"/>
        <v>-170.71023597108626</v>
      </c>
      <c r="Z163" s="80">
        <f t="shared" ca="1" si="120"/>
        <v>0</v>
      </c>
      <c r="AA163" s="80">
        <f t="shared" ca="1" si="127"/>
        <v>-194.60966900703838</v>
      </c>
      <c r="AB163" s="81">
        <f t="shared" ca="1" si="107"/>
        <v>-1266.8033171705563</v>
      </c>
      <c r="AC163" s="79">
        <f t="shared" ca="1" si="108"/>
        <v>204609.95946845607</v>
      </c>
      <c r="AD163" s="35"/>
      <c r="AE163" s="62">
        <f t="shared" ca="1" si="109"/>
        <v>-2500.6101455486764</v>
      </c>
      <c r="AF163" s="62">
        <f t="shared" ca="1" si="110"/>
        <v>403890.43318098504</v>
      </c>
      <c r="AG163" s="35"/>
      <c r="AH163" s="35"/>
      <c r="AR163" s="69">
        <f t="shared" si="121"/>
        <v>14</v>
      </c>
      <c r="AS163" s="70">
        <f t="shared" si="128"/>
        <v>160</v>
      </c>
      <c r="AT163" s="71">
        <f t="shared" si="134"/>
        <v>0.3344798713345552</v>
      </c>
      <c r="AU163" s="72">
        <f t="shared" si="111"/>
        <v>6.8214933659622723E-3</v>
      </c>
      <c r="AV163" s="73">
        <f t="shared" si="122"/>
        <v>1.0068214933659623</v>
      </c>
      <c r="AW163" s="74">
        <f>PRODUCT(AV$4:AV163)</f>
        <v>2.9675395048019197</v>
      </c>
    </row>
    <row r="164" spans="5:49">
      <c r="E164">
        <f t="shared" si="136"/>
        <v>161</v>
      </c>
      <c r="F164" s="64">
        <f t="shared" si="113"/>
        <v>67.8</v>
      </c>
      <c r="G164" s="55">
        <f t="shared" si="100"/>
        <v>0</v>
      </c>
      <c r="H164" s="78">
        <f t="shared" si="131"/>
        <v>1</v>
      </c>
      <c r="I164" s="79">
        <f t="shared" si="114"/>
        <v>473684.16861714405</v>
      </c>
      <c r="J164" s="79">
        <f t="shared" si="101"/>
        <v>3231.2334137832026</v>
      </c>
      <c r="K164" s="80">
        <f t="shared" si="102"/>
        <v>-15</v>
      </c>
      <c r="L164" s="80">
        <f t="shared" si="115"/>
        <v>-394.73680718095341</v>
      </c>
      <c r="M164" s="80">
        <f t="shared" si="133"/>
        <v>0</v>
      </c>
      <c r="N164" s="80">
        <f t="shared" si="116"/>
        <v>-449.9999601862869</v>
      </c>
      <c r="O164" s="81">
        <f t="shared" si="103"/>
        <v>-2500.6101455486769</v>
      </c>
      <c r="P164" s="79">
        <f t="shared" si="104"/>
        <v>473555.05511801131</v>
      </c>
      <c r="Q164" s="35"/>
      <c r="R164">
        <f t="shared" ca="1" si="117"/>
        <v>286</v>
      </c>
      <c r="S164" s="78">
        <f t="shared" ca="1" si="118"/>
        <v>77.8</v>
      </c>
      <c r="T164" s="55">
        <f t="shared" ca="1" si="105"/>
        <v>7.236878175910233E-3</v>
      </c>
      <c r="U164" s="78">
        <f t="shared" ca="1" si="124"/>
        <v>0.50293150178969914</v>
      </c>
      <c r="V164" s="79">
        <f t="shared" ca="1" si="119"/>
        <v>203129.22211820493</v>
      </c>
      <c r="W164" s="79">
        <f t="shared" ca="1" si="106"/>
        <v>1385.6446411124118</v>
      </c>
      <c r="X164" s="80">
        <f t="shared" ca="1" si="125"/>
        <v>-7.5439725268454874</v>
      </c>
      <c r="Y164" s="80">
        <f t="shared" ca="1" si="126"/>
        <v>-169.27435176517079</v>
      </c>
      <c r="Z164" s="80">
        <f t="shared" ca="1" si="120"/>
        <v>0</v>
      </c>
      <c r="AA164" s="80">
        <f t="shared" ca="1" si="127"/>
        <v>-192.97276101229474</v>
      </c>
      <c r="AB164" s="81">
        <f t="shared" ca="1" si="107"/>
        <v>-1257.6356158913543</v>
      </c>
      <c r="AC164" s="79">
        <f t="shared" ca="1" si="108"/>
        <v>202887.44005812169</v>
      </c>
      <c r="AD164" s="35"/>
      <c r="AE164" s="62">
        <f t="shared" ca="1" si="109"/>
        <v>-2500.6101455486769</v>
      </c>
      <c r="AF164" s="62">
        <f t="shared" ca="1" si="110"/>
        <v>403409.68767344998</v>
      </c>
      <c r="AG164" s="35"/>
      <c r="AH164" s="35"/>
      <c r="AR164" s="69">
        <f t="shared" si="121"/>
        <v>14</v>
      </c>
      <c r="AS164" s="70">
        <f t="shared" si="128"/>
        <v>161</v>
      </c>
      <c r="AT164" s="71">
        <f t="shared" si="134"/>
        <v>0.33219821911119862</v>
      </c>
      <c r="AU164" s="72">
        <f t="shared" si="111"/>
        <v>6.8214933659622723E-3</v>
      </c>
      <c r="AV164" s="73">
        <f t="shared" si="122"/>
        <v>1.0068214933659623</v>
      </c>
      <c r="AW164" s="74">
        <f>PRODUCT(AV$4:AV164)</f>
        <v>2.9877825558471569</v>
      </c>
    </row>
    <row r="165" spans="5:49">
      <c r="E165">
        <f t="shared" si="136"/>
        <v>162</v>
      </c>
      <c r="F165" s="64">
        <f t="shared" si="113"/>
        <v>67.88</v>
      </c>
      <c r="G165" s="55">
        <f t="shared" si="100"/>
        <v>0</v>
      </c>
      <c r="H165" s="78">
        <f t="shared" si="131"/>
        <v>1</v>
      </c>
      <c r="I165" s="79">
        <f t="shared" si="114"/>
        <v>473555.05511801131</v>
      </c>
      <c r="J165" s="79">
        <f t="shared" si="101"/>
        <v>3230.3526669054122</v>
      </c>
      <c r="K165" s="80">
        <f t="shared" si="102"/>
        <v>-15</v>
      </c>
      <c r="L165" s="80">
        <f t="shared" si="115"/>
        <v>-394.6292125983428</v>
      </c>
      <c r="M165" s="80">
        <f t="shared" si="133"/>
        <v>0</v>
      </c>
      <c r="N165" s="80">
        <f t="shared" si="116"/>
        <v>-449.87730236211081</v>
      </c>
      <c r="O165" s="81">
        <f t="shared" si="103"/>
        <v>-2500.6101455486769</v>
      </c>
      <c r="P165" s="79">
        <f t="shared" si="104"/>
        <v>473425.29112440767</v>
      </c>
      <c r="Q165" s="35"/>
      <c r="R165">
        <f t="shared" ca="1" si="117"/>
        <v>287</v>
      </c>
      <c r="S165" s="78">
        <f t="shared" ca="1" si="118"/>
        <v>77.88</v>
      </c>
      <c r="T165" s="55">
        <f t="shared" ca="1" si="105"/>
        <v>7.236878175910233E-3</v>
      </c>
      <c r="U165" s="78">
        <f t="shared" ca="1" si="124"/>
        <v>0.49929184778041952</v>
      </c>
      <c r="V165" s="79">
        <f t="shared" ca="1" si="119"/>
        <v>201419.16837099878</v>
      </c>
      <c r="W165" s="79">
        <f t="shared" ca="1" si="106"/>
        <v>1373.9795208204062</v>
      </c>
      <c r="X165" s="80">
        <f t="shared" ca="1" si="125"/>
        <v>-7.4893777167062927</v>
      </c>
      <c r="Y165" s="80">
        <f t="shared" ca="1" si="126"/>
        <v>-167.84930697583232</v>
      </c>
      <c r="Z165" s="80">
        <f t="shared" ca="1" si="120"/>
        <v>0</v>
      </c>
      <c r="AA165" s="80">
        <f t="shared" ca="1" si="127"/>
        <v>-191.34820995244888</v>
      </c>
      <c r="AB165" s="81">
        <f t="shared" ca="1" si="107"/>
        <v>-1248.5342601494626</v>
      </c>
      <c r="AC165" s="79">
        <f t="shared" ca="1" si="108"/>
        <v>201177.92673702474</v>
      </c>
      <c r="AD165" s="35"/>
      <c r="AE165" s="62">
        <f t="shared" ca="1" si="109"/>
        <v>-2500.6101455486769</v>
      </c>
      <c r="AF165" s="62">
        <f t="shared" ca="1" si="110"/>
        <v>402926.52009311301</v>
      </c>
      <c r="AG165" s="35"/>
      <c r="AH165" s="35"/>
      <c r="AR165" s="69">
        <f t="shared" si="121"/>
        <v>14</v>
      </c>
      <c r="AS165" s="70">
        <f t="shared" si="128"/>
        <v>162</v>
      </c>
      <c r="AT165" s="71">
        <f t="shared" si="134"/>
        <v>0.32993213116334708</v>
      </c>
      <c r="AU165" s="72">
        <f t="shared" si="111"/>
        <v>6.8214933659622723E-3</v>
      </c>
      <c r="AV165" s="73">
        <f t="shared" si="122"/>
        <v>1.0068214933659623</v>
      </c>
      <c r="AW165" s="74">
        <f>PRODUCT(AV$4:AV165)</f>
        <v>3.0081636947308059</v>
      </c>
    </row>
    <row r="166" spans="5:49">
      <c r="E166">
        <f t="shared" si="136"/>
        <v>163</v>
      </c>
      <c r="F166" s="64">
        <f t="shared" si="113"/>
        <v>67.959999999999994</v>
      </c>
      <c r="G166" s="55">
        <f t="shared" si="100"/>
        <v>0</v>
      </c>
      <c r="H166" s="78">
        <f t="shared" si="131"/>
        <v>1</v>
      </c>
      <c r="I166" s="79">
        <f t="shared" si="114"/>
        <v>473425.29112440767</v>
      </c>
      <c r="J166" s="79">
        <f t="shared" si="101"/>
        <v>3229.4674826839041</v>
      </c>
      <c r="K166" s="80">
        <f t="shared" si="102"/>
        <v>-15</v>
      </c>
      <c r="L166" s="80">
        <f t="shared" si="115"/>
        <v>-394.5210759370064</v>
      </c>
      <c r="M166" s="80">
        <f t="shared" si="133"/>
        <v>0</v>
      </c>
      <c r="N166" s="80">
        <f t="shared" si="116"/>
        <v>-449.75402656818738</v>
      </c>
      <c r="O166" s="81">
        <f t="shared" si="103"/>
        <v>-2500.6101455486769</v>
      </c>
      <c r="P166" s="79">
        <f t="shared" si="104"/>
        <v>473294.87335903768</v>
      </c>
      <c r="Q166" s="35"/>
      <c r="R166">
        <f t="shared" ca="1" si="117"/>
        <v>288</v>
      </c>
      <c r="S166" s="78">
        <f t="shared" ca="1" si="118"/>
        <v>77.959999999999994</v>
      </c>
      <c r="T166" s="55">
        <f t="shared" ca="1" si="105"/>
        <v>7.236878175910233E-3</v>
      </c>
      <c r="U166" s="78">
        <f t="shared" ca="1" si="124"/>
        <v>0.49567853350380753</v>
      </c>
      <c r="V166" s="79">
        <f t="shared" ca="1" si="119"/>
        <v>199722.0265895467</v>
      </c>
      <c r="W166" s="79">
        <f t="shared" ca="1" si="106"/>
        <v>1362.4024794171335</v>
      </c>
      <c r="X166" s="80">
        <f t="shared" ca="1" si="125"/>
        <v>-7.4351780025571133</v>
      </c>
      <c r="Y166" s="80">
        <f t="shared" ca="1" si="126"/>
        <v>-166.43502215795559</v>
      </c>
      <c r="Z166" s="80">
        <f t="shared" ca="1" si="120"/>
        <v>0</v>
      </c>
      <c r="AA166" s="80">
        <f t="shared" ca="1" si="127"/>
        <v>-189.73592526006939</v>
      </c>
      <c r="AB166" s="81">
        <f t="shared" ca="1" si="107"/>
        <v>-1239.4987698103107</v>
      </c>
      <c r="AC166" s="79">
        <f t="shared" ca="1" si="108"/>
        <v>199481.32417373295</v>
      </c>
      <c r="AD166" s="35"/>
      <c r="AE166" s="62">
        <f t="shared" ca="1" si="109"/>
        <v>-2500.6101455486764</v>
      </c>
      <c r="AF166" s="62">
        <f t="shared" ca="1" si="110"/>
        <v>402440.91823718377</v>
      </c>
      <c r="AG166" s="35"/>
      <c r="AH166" s="35"/>
      <c r="AR166" s="69">
        <f t="shared" si="121"/>
        <v>14</v>
      </c>
      <c r="AS166" s="70">
        <f t="shared" si="128"/>
        <v>163</v>
      </c>
      <c r="AT166" s="71">
        <f t="shared" si="134"/>
        <v>0.32768150131939849</v>
      </c>
      <c r="AU166" s="72">
        <f t="shared" si="111"/>
        <v>6.8214933659622723E-3</v>
      </c>
      <c r="AV166" s="73">
        <f t="shared" si="122"/>
        <v>1.0068214933659623</v>
      </c>
      <c r="AW166" s="74">
        <f>PRODUCT(AV$4:AV166)</f>
        <v>3.0286838634181406</v>
      </c>
    </row>
    <row r="167" spans="5:49">
      <c r="E167">
        <f t="shared" si="136"/>
        <v>164</v>
      </c>
      <c r="F167" s="64">
        <f t="shared" si="113"/>
        <v>68.040000000000006</v>
      </c>
      <c r="G167" s="55">
        <f t="shared" si="100"/>
        <v>0</v>
      </c>
      <c r="H167" s="78">
        <f t="shared" si="131"/>
        <v>1</v>
      </c>
      <c r="I167" s="79">
        <f t="shared" si="114"/>
        <v>473294.87335903768</v>
      </c>
      <c r="J167" s="79">
        <f t="shared" si="101"/>
        <v>3228.5778387626292</v>
      </c>
      <c r="K167" s="80">
        <f t="shared" si="102"/>
        <v>-15</v>
      </c>
      <c r="L167" s="80">
        <f t="shared" si="115"/>
        <v>-394.41239446586474</v>
      </c>
      <c r="M167" s="80">
        <f t="shared" si="133"/>
        <v>0</v>
      </c>
      <c r="N167" s="80">
        <f t="shared" si="116"/>
        <v>-449.63012969108587</v>
      </c>
      <c r="O167" s="81">
        <f t="shared" si="103"/>
        <v>-2500.6101455486769</v>
      </c>
      <c r="P167" s="79">
        <f t="shared" si="104"/>
        <v>473163.79852809466</v>
      </c>
      <c r="Q167" s="35"/>
      <c r="R167">
        <f t="shared" ca="1" si="117"/>
        <v>289</v>
      </c>
      <c r="S167" s="78">
        <f t="shared" ca="1" si="118"/>
        <v>78.040000000000006</v>
      </c>
      <c r="T167" s="55">
        <f t="shared" ca="1" si="105"/>
        <v>7.236878175910233E-3</v>
      </c>
      <c r="U167" s="78">
        <f t="shared" ca="1" si="124"/>
        <v>0.49209136834242662</v>
      </c>
      <c r="V167" s="79">
        <f t="shared" ca="1" si="119"/>
        <v>198037.7021323184</v>
      </c>
      <c r="W167" s="79">
        <f t="shared" ca="1" si="106"/>
        <v>1350.9128713060225</v>
      </c>
      <c r="X167" s="80">
        <f t="shared" ca="1" si="125"/>
        <v>-7.3813705251363988</v>
      </c>
      <c r="Y167" s="80">
        <f t="shared" ca="1" si="126"/>
        <v>-165.03141844359868</v>
      </c>
      <c r="Z167" s="80">
        <f t="shared" ca="1" si="120"/>
        <v>-1485.282765992388</v>
      </c>
      <c r="AA167" s="80">
        <f t="shared" ca="1" si="127"/>
        <v>-188.13581702570252</v>
      </c>
      <c r="AB167" s="81">
        <f t="shared" ca="1" si="107"/>
        <v>-1230.5286682140029</v>
      </c>
      <c r="AC167" s="79">
        <f t="shared" ca="1" si="108"/>
        <v>196312.25496342359</v>
      </c>
      <c r="AD167" s="35"/>
      <c r="AE167" s="62">
        <f t="shared" ca="1" si="109"/>
        <v>-2500.6101455486769</v>
      </c>
      <c r="AF167" s="62">
        <f t="shared" ca="1" si="110"/>
        <v>398934.5629546133</v>
      </c>
      <c r="AG167" s="35"/>
      <c r="AH167" s="35"/>
      <c r="AR167" s="69">
        <f t="shared" si="121"/>
        <v>14</v>
      </c>
      <c r="AS167" s="70">
        <f t="shared" si="128"/>
        <v>164</v>
      </c>
      <c r="AT167" s="71">
        <f t="shared" si="134"/>
        <v>0.32544622413199964</v>
      </c>
      <c r="AU167" s="72">
        <f t="shared" si="111"/>
        <v>6.8214933659622723E-3</v>
      </c>
      <c r="AV167" s="73">
        <f t="shared" si="122"/>
        <v>1.0068214933659623</v>
      </c>
      <c r="AW167" s="74">
        <f>PRODUCT(AV$4:AV167)</f>
        <v>3.0493440103000444</v>
      </c>
    </row>
    <row r="168" spans="5:49">
      <c r="E168">
        <f t="shared" si="136"/>
        <v>165</v>
      </c>
      <c r="F168" s="64">
        <f t="shared" si="113"/>
        <v>68.12</v>
      </c>
      <c r="G168" s="55">
        <f t="shared" si="100"/>
        <v>0</v>
      </c>
      <c r="H168" s="78">
        <f t="shared" si="131"/>
        <v>1</v>
      </c>
      <c r="I168" s="79">
        <f t="shared" si="114"/>
        <v>473163.79852809466</v>
      </c>
      <c r="J168" s="79">
        <f t="shared" si="101"/>
        <v>3227.6837126729069</v>
      </c>
      <c r="K168" s="80">
        <f t="shared" si="102"/>
        <v>-15</v>
      </c>
      <c r="L168" s="80">
        <f t="shared" si="115"/>
        <v>-394.30316544007889</v>
      </c>
      <c r="M168" s="80">
        <f t="shared" si="133"/>
        <v>0</v>
      </c>
      <c r="N168" s="80">
        <f t="shared" si="116"/>
        <v>-449.50560860169003</v>
      </c>
      <c r="O168" s="81">
        <f t="shared" si="103"/>
        <v>-2500.6101455486769</v>
      </c>
      <c r="P168" s="79">
        <f t="shared" si="104"/>
        <v>473032.06332117715</v>
      </c>
      <c r="Q168" s="35"/>
      <c r="R168">
        <f t="shared" ca="1" si="117"/>
        <v>290</v>
      </c>
      <c r="S168" s="78">
        <f t="shared" ca="1" si="118"/>
        <v>78.12</v>
      </c>
      <c r="T168" s="55">
        <f t="shared" ca="1" si="105"/>
        <v>7.236878175910233E-3</v>
      </c>
      <c r="U168" s="78">
        <f t="shared" ca="1" si="124"/>
        <v>0.48853016305831548</v>
      </c>
      <c r="V168" s="79">
        <f t="shared" ca="1" si="119"/>
        <v>194891.56708981507</v>
      </c>
      <c r="W168" s="79">
        <f t="shared" ca="1" si="106"/>
        <v>1329.4515319851646</v>
      </c>
      <c r="X168" s="80">
        <f t="shared" ca="1" si="125"/>
        <v>-7.3279524458747325</v>
      </c>
      <c r="Y168" s="80">
        <f t="shared" ca="1" si="126"/>
        <v>-162.40963924151256</v>
      </c>
      <c r="Z168" s="80">
        <f t="shared" ca="1" si="120"/>
        <v>0</v>
      </c>
      <c r="AA168" s="80">
        <f t="shared" ca="1" si="127"/>
        <v>-185.14698873532436</v>
      </c>
      <c r="AB168" s="81">
        <f t="shared" ca="1" si="107"/>
        <v>-1221.6234821501732</v>
      </c>
      <c r="AC168" s="79">
        <f t="shared" ca="1" si="108"/>
        <v>194644.51055922735</v>
      </c>
      <c r="AD168" s="35"/>
      <c r="AE168" s="62">
        <f t="shared" ca="1" si="109"/>
        <v>-2500.6101455486769</v>
      </c>
      <c r="AF168" s="62">
        <f t="shared" ca="1" si="110"/>
        <v>398428.84897977684</v>
      </c>
      <c r="AG168" s="35"/>
      <c r="AH168" s="35"/>
      <c r="AR168" s="69">
        <f t="shared" si="121"/>
        <v>14</v>
      </c>
      <c r="AS168" s="70">
        <f t="shared" si="128"/>
        <v>165</v>
      </c>
      <c r="AT168" s="71">
        <f t="shared" si="134"/>
        <v>0.32322619487310572</v>
      </c>
      <c r="AU168" s="72">
        <f t="shared" si="111"/>
        <v>6.8214933659622723E-3</v>
      </c>
      <c r="AV168" s="73">
        <f t="shared" si="122"/>
        <v>1.0068214933659623</v>
      </c>
      <c r="AW168" s="74">
        <f>PRODUCT(AV$4:AV168)</f>
        <v>3.070145090236843</v>
      </c>
    </row>
    <row r="169" spans="5:49">
      <c r="E169">
        <f t="shared" si="136"/>
        <v>166</v>
      </c>
      <c r="F169" s="64">
        <f t="shared" si="113"/>
        <v>68.2</v>
      </c>
      <c r="G169" s="55">
        <f t="shared" si="100"/>
        <v>0</v>
      </c>
      <c r="H169" s="78">
        <f t="shared" si="131"/>
        <v>1</v>
      </c>
      <c r="I169" s="79">
        <f t="shared" si="114"/>
        <v>473032.06332117715</v>
      </c>
      <c r="J169" s="79">
        <f t="shared" si="101"/>
        <v>3226.7850818328552</v>
      </c>
      <c r="K169" s="80">
        <f t="shared" si="102"/>
        <v>-15</v>
      </c>
      <c r="L169" s="80">
        <f t="shared" si="115"/>
        <v>-394.193386100981</v>
      </c>
      <c r="M169" s="80">
        <f t="shared" si="133"/>
        <v>0</v>
      </c>
      <c r="N169" s="80">
        <f t="shared" si="116"/>
        <v>-449.38046015511833</v>
      </c>
      <c r="O169" s="81">
        <f t="shared" si="103"/>
        <v>-2500.6101455486769</v>
      </c>
      <c r="P169" s="79">
        <f t="shared" si="104"/>
        <v>472899.66441120522</v>
      </c>
      <c r="Q169" s="35"/>
      <c r="R169">
        <f t="shared" ca="1" si="117"/>
        <v>291</v>
      </c>
      <c r="S169" s="78">
        <f t="shared" ca="1" si="118"/>
        <v>78.2</v>
      </c>
      <c r="T169" s="55">
        <f t="shared" ca="1" si="105"/>
        <v>7.236878175910233E-3</v>
      </c>
      <c r="U169" s="78">
        <f t="shared" ca="1" si="124"/>
        <v>0.4849947297830049</v>
      </c>
      <c r="V169" s="79">
        <f t="shared" ca="1" si="119"/>
        <v>193235.89194870053</v>
      </c>
      <c r="W169" s="79">
        <f t="shared" ca="1" si="106"/>
        <v>1318.1573549938632</v>
      </c>
      <c r="X169" s="80">
        <f t="shared" ca="1" si="125"/>
        <v>-7.2749209467450733</v>
      </c>
      <c r="Y169" s="80">
        <f t="shared" ca="1" si="126"/>
        <v>-161.02990995725045</v>
      </c>
      <c r="Z169" s="80">
        <f t="shared" ca="1" si="120"/>
        <v>0</v>
      </c>
      <c r="AA169" s="80">
        <f t="shared" ca="1" si="127"/>
        <v>-183.57409735126555</v>
      </c>
      <c r="AB169" s="81">
        <f t="shared" ca="1" si="107"/>
        <v>-1212.782741833021</v>
      </c>
      <c r="AC169" s="79">
        <f t="shared" ca="1" si="108"/>
        <v>192989.38763360612</v>
      </c>
      <c r="AD169" s="35"/>
      <c r="AE169" s="62">
        <f t="shared" ca="1" si="109"/>
        <v>-2500.6101455486764</v>
      </c>
      <c r="AF169" s="62">
        <f t="shared" ca="1" si="110"/>
        <v>397920.58713700442</v>
      </c>
      <c r="AG169" s="35"/>
      <c r="AH169" s="35"/>
      <c r="AR169" s="69">
        <f t="shared" si="121"/>
        <v>14</v>
      </c>
      <c r="AS169" s="70">
        <f t="shared" si="128"/>
        <v>166</v>
      </c>
      <c r="AT169" s="71">
        <f t="shared" si="134"/>
        <v>0.3210213095290736</v>
      </c>
      <c r="AU169" s="72">
        <f t="shared" si="111"/>
        <v>6.8214933659622723E-3</v>
      </c>
      <c r="AV169" s="73">
        <f t="shared" si="122"/>
        <v>1.0068214933659623</v>
      </c>
      <c r="AW169" s="74">
        <f>PRODUCT(AV$4:AV169)</f>
        <v>3.0910880646024355</v>
      </c>
    </row>
    <row r="170" spans="5:49">
      <c r="E170">
        <f t="shared" si="136"/>
        <v>167</v>
      </c>
      <c r="F170" s="64">
        <f t="shared" si="113"/>
        <v>68.28</v>
      </c>
      <c r="G170" s="55">
        <f t="shared" si="100"/>
        <v>0</v>
      </c>
      <c r="H170" s="78">
        <f t="shared" si="131"/>
        <v>1</v>
      </c>
      <c r="I170" s="79">
        <f t="shared" si="114"/>
        <v>472899.66441120522</v>
      </c>
      <c r="J170" s="79">
        <f t="shared" si="101"/>
        <v>3225.8819235468213</v>
      </c>
      <c r="K170" s="80">
        <f t="shared" si="102"/>
        <v>-15</v>
      </c>
      <c r="L170" s="80">
        <f t="shared" si="115"/>
        <v>-394.0830536760044</v>
      </c>
      <c r="M170" s="80">
        <f t="shared" si="133"/>
        <v>0</v>
      </c>
      <c r="N170" s="80">
        <f t="shared" si="116"/>
        <v>-449.25468119064504</v>
      </c>
      <c r="O170" s="81">
        <f t="shared" si="103"/>
        <v>-2500.6101455486769</v>
      </c>
      <c r="P170" s="79">
        <f t="shared" si="104"/>
        <v>472766.59845433675</v>
      </c>
      <c r="Q170" s="35"/>
      <c r="R170">
        <f t="shared" ca="1" si="117"/>
        <v>292</v>
      </c>
      <c r="S170" s="78">
        <f t="shared" ca="1" si="118"/>
        <v>78.28</v>
      </c>
      <c r="T170" s="55">
        <f t="shared" ca="1" si="105"/>
        <v>7.236878175910233E-3</v>
      </c>
      <c r="U170" s="78">
        <f t="shared" ca="1" si="124"/>
        <v>0.48148488200760681</v>
      </c>
      <c r="V170" s="79">
        <f t="shared" ca="1" si="119"/>
        <v>191592.74694605821</v>
      </c>
      <c r="W170" s="79">
        <f t="shared" ca="1" si="106"/>
        <v>1306.9486522590244</v>
      </c>
      <c r="X170" s="80">
        <f t="shared" ca="1" si="125"/>
        <v>-7.2222732301141024</v>
      </c>
      <c r="Y170" s="80">
        <f t="shared" ca="1" si="126"/>
        <v>-159.66062245504853</v>
      </c>
      <c r="Z170" s="80">
        <f t="shared" ca="1" si="120"/>
        <v>0</v>
      </c>
      <c r="AA170" s="80">
        <f t="shared" ca="1" si="127"/>
        <v>-182.01310959875534</v>
      </c>
      <c r="AB170" s="81">
        <f t="shared" ca="1" si="107"/>
        <v>-1204.0059808765293</v>
      </c>
      <c r="AC170" s="79">
        <f t="shared" ca="1" si="108"/>
        <v>191346.79361215679</v>
      </c>
      <c r="AD170" s="35"/>
      <c r="AE170" s="62">
        <f t="shared" ca="1" si="109"/>
        <v>-2500.6101455486773</v>
      </c>
      <c r="AF170" s="62">
        <f t="shared" ca="1" si="110"/>
        <v>397409.76458972966</v>
      </c>
      <c r="AG170" s="35"/>
      <c r="AH170" s="35"/>
      <c r="AR170" s="69">
        <f t="shared" si="121"/>
        <v>14</v>
      </c>
      <c r="AS170" s="70">
        <f t="shared" si="128"/>
        <v>167</v>
      </c>
      <c r="AT170" s="71">
        <f t="shared" si="134"/>
        <v>0.3188314647957885</v>
      </c>
      <c r="AU170" s="72">
        <f t="shared" si="111"/>
        <v>6.8214933659622723E-3</v>
      </c>
      <c r="AV170" s="73">
        <f t="shared" si="122"/>
        <v>1.0068214933659623</v>
      </c>
      <c r="AW170" s="74">
        <f>PRODUCT(AV$4:AV170)</f>
        <v>3.1121739013287262</v>
      </c>
    </row>
    <row r="171" spans="5:49">
      <c r="E171">
        <f t="shared" si="136"/>
        <v>168</v>
      </c>
      <c r="F171" s="64">
        <f t="shared" si="113"/>
        <v>68.36</v>
      </c>
      <c r="G171" s="55">
        <f t="shared" si="100"/>
        <v>0</v>
      </c>
      <c r="H171" s="78">
        <f t="shared" si="131"/>
        <v>1</v>
      </c>
      <c r="I171" s="79">
        <f t="shared" si="114"/>
        <v>472766.59845433675</v>
      </c>
      <c r="J171" s="79">
        <f t="shared" si="101"/>
        <v>3224.9742150048078</v>
      </c>
      <c r="K171" s="80">
        <f t="shared" si="102"/>
        <v>-15</v>
      </c>
      <c r="L171" s="80">
        <f t="shared" si="115"/>
        <v>-393.97216537861397</v>
      </c>
      <c r="M171" s="80">
        <f t="shared" si="133"/>
        <v>0</v>
      </c>
      <c r="N171" s="80">
        <f t="shared" si="116"/>
        <v>-449.12826853161999</v>
      </c>
      <c r="O171" s="81">
        <f t="shared" si="103"/>
        <v>-2500.6101455486769</v>
      </c>
      <c r="P171" s="79">
        <f t="shared" si="104"/>
        <v>472632.86208988266</v>
      </c>
      <c r="Q171" s="35"/>
      <c r="R171">
        <f t="shared" ca="1" si="117"/>
        <v>293</v>
      </c>
      <c r="S171" s="78">
        <f t="shared" ca="1" si="118"/>
        <v>78.36</v>
      </c>
      <c r="T171" s="55">
        <f t="shared" ca="1" si="105"/>
        <v>7.236878175910233E-3</v>
      </c>
      <c r="U171" s="78">
        <f t="shared" ca="1" si="124"/>
        <v>0.47800043457297525</v>
      </c>
      <c r="V171" s="79">
        <f t="shared" ca="1" si="119"/>
        <v>189962.04017743457</v>
      </c>
      <c r="W171" s="79">
        <f t="shared" ca="1" si="106"/>
        <v>1295.8247968550286</v>
      </c>
      <c r="X171" s="80">
        <f t="shared" ca="1" si="125"/>
        <v>-7.1700065185946285</v>
      </c>
      <c r="Y171" s="80">
        <f t="shared" ca="1" si="126"/>
        <v>-158.30170014786214</v>
      </c>
      <c r="Z171" s="80">
        <f t="shared" ca="1" si="120"/>
        <v>0</v>
      </c>
      <c r="AA171" s="80">
        <f t="shared" ca="1" si="127"/>
        <v>-180.46393816856289</v>
      </c>
      <c r="AB171" s="81">
        <f t="shared" ca="1" si="107"/>
        <v>-1195.2927362698586</v>
      </c>
      <c r="AC171" s="79">
        <f t="shared" ca="1" si="108"/>
        <v>189716.63659318472</v>
      </c>
      <c r="AD171" s="35"/>
      <c r="AE171" s="62">
        <f t="shared" ca="1" si="109"/>
        <v>-2500.6101455486769</v>
      </c>
      <c r="AF171" s="62">
        <f t="shared" ca="1" si="110"/>
        <v>396896.36843671347</v>
      </c>
      <c r="AG171" s="35"/>
      <c r="AH171" s="35"/>
      <c r="AR171" s="69">
        <f t="shared" si="121"/>
        <v>14</v>
      </c>
      <c r="AS171" s="70">
        <f t="shared" si="128"/>
        <v>168</v>
      </c>
      <c r="AT171" s="71">
        <f t="shared" si="134"/>
        <v>0.31665655807382398</v>
      </c>
      <c r="AU171" s="72">
        <f t="shared" si="111"/>
        <v>6.8214933659622723E-3</v>
      </c>
      <c r="AV171" s="73">
        <f t="shared" si="122"/>
        <v>1.0068214933659623</v>
      </c>
      <c r="AW171" s="74">
        <f>PRODUCT(AV$4:AV171)</f>
        <v>3.133403574950361</v>
      </c>
    </row>
    <row r="172" spans="5:49">
      <c r="E172">
        <f t="shared" si="136"/>
        <v>169</v>
      </c>
      <c r="F172" s="64">
        <f t="shared" si="113"/>
        <v>68.44</v>
      </c>
      <c r="G172" s="55">
        <f t="shared" si="100"/>
        <v>0</v>
      </c>
      <c r="H172" s="78">
        <f t="shared" si="131"/>
        <v>1</v>
      </c>
      <c r="I172" s="79">
        <f t="shared" si="114"/>
        <v>472632.86208988266</v>
      </c>
      <c r="J172" s="79">
        <f t="shared" si="101"/>
        <v>3224.061933281896</v>
      </c>
      <c r="K172" s="80">
        <f t="shared" si="102"/>
        <v>-15</v>
      </c>
      <c r="L172" s="80">
        <f t="shared" si="115"/>
        <v>-393.86071840823558</v>
      </c>
      <c r="M172" s="80">
        <f t="shared" si="133"/>
        <v>-3544.7464656741199</v>
      </c>
      <c r="N172" s="80">
        <f t="shared" si="116"/>
        <v>-449.00121898538856</v>
      </c>
      <c r="O172" s="81">
        <f t="shared" si="103"/>
        <v>-2500.6101455486769</v>
      </c>
      <c r="P172" s="79">
        <f t="shared" si="104"/>
        <v>468953.7054745481</v>
      </c>
      <c r="Q172" s="35"/>
      <c r="R172">
        <f t="shared" ca="1" si="117"/>
        <v>294</v>
      </c>
      <c r="S172" s="78">
        <f t="shared" ca="1" si="118"/>
        <v>78.44</v>
      </c>
      <c r="T172" s="55">
        <f t="shared" ca="1" si="105"/>
        <v>7.236878175910233E-3</v>
      </c>
      <c r="U172" s="78">
        <f t="shared" ca="1" si="124"/>
        <v>0.47454120365993846</v>
      </c>
      <c r="V172" s="79">
        <f t="shared" ca="1" si="119"/>
        <v>188343.68040621642</v>
      </c>
      <c r="W172" s="79">
        <f t="shared" ca="1" si="106"/>
        <v>1284.7851664119237</v>
      </c>
      <c r="X172" s="80">
        <f t="shared" ca="1" si="125"/>
        <v>-7.1181180548990772</v>
      </c>
      <c r="Y172" s="80">
        <f t="shared" ca="1" si="126"/>
        <v>-156.95306700518034</v>
      </c>
      <c r="Z172" s="80">
        <f t="shared" ca="1" si="120"/>
        <v>0</v>
      </c>
      <c r="AA172" s="80">
        <f t="shared" ca="1" si="127"/>
        <v>-178.92649638590561</v>
      </c>
      <c r="AB172" s="81">
        <f t="shared" ca="1" si="107"/>
        <v>-1186.6425483529231</v>
      </c>
      <c r="AC172" s="79">
        <f t="shared" ca="1" si="108"/>
        <v>188098.82534282943</v>
      </c>
      <c r="AD172" s="35"/>
      <c r="AE172" s="62">
        <f t="shared" ca="1" si="109"/>
        <v>-2500.6101455486769</v>
      </c>
      <c r="AF172" s="62">
        <f t="shared" ca="1" si="110"/>
        <v>396380.38571171818</v>
      </c>
      <c r="AH172" s="35"/>
      <c r="AR172" s="69">
        <f t="shared" si="121"/>
        <v>15</v>
      </c>
      <c r="AS172" s="70">
        <f t="shared" si="128"/>
        <v>169</v>
      </c>
      <c r="AT172" s="71">
        <f t="shared" si="134"/>
        <v>0.31449648746363495</v>
      </c>
      <c r="AU172" s="72">
        <f t="shared" si="111"/>
        <v>6.8214933659622723E-3</v>
      </c>
      <c r="AV172" s="73">
        <f t="shared" si="122"/>
        <v>1.0068214933659623</v>
      </c>
      <c r="AW172" s="74">
        <f>PRODUCT(AV$4:AV172)</f>
        <v>3.1547780666497673</v>
      </c>
    </row>
    <row r="173" spans="5:49">
      <c r="E173">
        <f t="shared" si="136"/>
        <v>170</v>
      </c>
      <c r="F173" s="64">
        <f t="shared" si="113"/>
        <v>68.52</v>
      </c>
      <c r="G173" s="55">
        <f t="shared" si="100"/>
        <v>0</v>
      </c>
      <c r="H173" s="78">
        <f t="shared" si="131"/>
        <v>1</v>
      </c>
      <c r="I173" s="79">
        <f t="shared" si="114"/>
        <v>468953.7054745481</v>
      </c>
      <c r="J173" s="79">
        <f t="shared" si="101"/>
        <v>3198.9645908380553</v>
      </c>
      <c r="K173" s="80">
        <f t="shared" si="102"/>
        <v>-15</v>
      </c>
      <c r="L173" s="80">
        <f t="shared" si="115"/>
        <v>-390.79475456212344</v>
      </c>
      <c r="M173" s="80">
        <f t="shared" si="133"/>
        <v>0</v>
      </c>
      <c r="N173" s="80">
        <f t="shared" si="116"/>
        <v>-445.50602020082079</v>
      </c>
      <c r="O173" s="81">
        <f t="shared" si="103"/>
        <v>-2500.6101455486769</v>
      </c>
      <c r="P173" s="79">
        <f t="shared" si="104"/>
        <v>468800.75914507452</v>
      </c>
      <c r="Q173" s="35"/>
      <c r="R173">
        <f t="shared" ca="1" si="117"/>
        <v>295</v>
      </c>
      <c r="S173" s="78">
        <f t="shared" ca="1" si="118"/>
        <v>78.52</v>
      </c>
      <c r="T173" s="55">
        <f t="shared" ca="1" si="105"/>
        <v>7.9055919619646087E-3</v>
      </c>
      <c r="U173" s="78">
        <f t="shared" ca="1" si="124"/>
        <v>0.47078967453466342</v>
      </c>
      <c r="V173" s="79">
        <f t="shared" ca="1" si="119"/>
        <v>186611.79278114418</v>
      </c>
      <c r="W173" s="79">
        <f t="shared" ca="1" si="106"/>
        <v>1272.9711064669013</v>
      </c>
      <c r="X173" s="80">
        <f t="shared" ca="1" si="125"/>
        <v>-7.0618451180199511</v>
      </c>
      <c r="Y173" s="80">
        <f t="shared" ca="1" si="126"/>
        <v>-155.50982731762016</v>
      </c>
      <c r="Z173" s="80">
        <f t="shared" ca="1" si="120"/>
        <v>0</v>
      </c>
      <c r="AA173" s="80">
        <f t="shared" ca="1" si="127"/>
        <v>-177.28120314208698</v>
      </c>
      <c r="AB173" s="81">
        <f t="shared" ca="1" si="107"/>
        <v>-1177.261436560939</v>
      </c>
      <c r="AC173" s="79">
        <f t="shared" ca="1" si="108"/>
        <v>186367.6495754724</v>
      </c>
      <c r="AD173" s="35"/>
      <c r="AE173" s="62">
        <f t="shared" ca="1" si="109"/>
        <v>-2500.6101455486773</v>
      </c>
      <c r="AF173" s="62">
        <f t="shared" ca="1" si="110"/>
        <v>395861.80338318035</v>
      </c>
      <c r="AG173" s="35"/>
      <c r="AH173" s="35"/>
      <c r="AR173" s="69">
        <f t="shared" si="121"/>
        <v>15</v>
      </c>
      <c r="AS173" s="70">
        <f t="shared" si="128"/>
        <v>170</v>
      </c>
      <c r="AT173" s="71">
        <f t="shared" si="134"/>
        <v>0.31235115176078332</v>
      </c>
      <c r="AU173" s="72">
        <f t="shared" si="111"/>
        <v>6.8214933659622723E-3</v>
      </c>
      <c r="AV173" s="73">
        <f t="shared" si="122"/>
        <v>1.0068214933659623</v>
      </c>
      <c r="AW173" s="74">
        <f>PRODUCT(AV$4:AV173)</f>
        <v>3.176298364302502</v>
      </c>
    </row>
    <row r="174" spans="5:49">
      <c r="E174">
        <f t="shared" si="136"/>
        <v>171</v>
      </c>
      <c r="F174" s="64">
        <f t="shared" si="113"/>
        <v>68.599999999999994</v>
      </c>
      <c r="G174" s="55">
        <f t="shared" si="100"/>
        <v>0</v>
      </c>
      <c r="H174" s="78">
        <f t="shared" si="131"/>
        <v>1</v>
      </c>
      <c r="I174" s="79">
        <f t="shared" si="114"/>
        <v>468800.75914507452</v>
      </c>
      <c r="J174" s="79">
        <f t="shared" si="101"/>
        <v>3197.9212684662029</v>
      </c>
      <c r="K174" s="80">
        <f t="shared" si="102"/>
        <v>-15</v>
      </c>
      <c r="L174" s="80">
        <f t="shared" si="115"/>
        <v>-390.66729928756212</v>
      </c>
      <c r="M174" s="80">
        <f t="shared" si="133"/>
        <v>0</v>
      </c>
      <c r="N174" s="80">
        <f t="shared" si="116"/>
        <v>-445.3607211878209</v>
      </c>
      <c r="O174" s="81">
        <f t="shared" si="103"/>
        <v>-2500.6101455486769</v>
      </c>
      <c r="P174" s="79">
        <f t="shared" si="104"/>
        <v>468647.04224751669</v>
      </c>
      <c r="Q174" s="35"/>
      <c r="R174">
        <f t="shared" ca="1" si="117"/>
        <v>296</v>
      </c>
      <c r="S174" s="78">
        <f t="shared" ca="1" si="118"/>
        <v>78.599999999999994</v>
      </c>
      <c r="T174" s="55">
        <f t="shared" ca="1" si="105"/>
        <v>7.9055919619646087E-3</v>
      </c>
      <c r="U174" s="78">
        <f t="shared" ca="1" si="124"/>
        <v>0.46706780346788623</v>
      </c>
      <c r="V174" s="79">
        <f t="shared" ca="1" si="119"/>
        <v>184894.30298301831</v>
      </c>
      <c r="W174" s="79">
        <f t="shared" ca="1" si="106"/>
        <v>1261.2552612028778</v>
      </c>
      <c r="X174" s="80">
        <f t="shared" ca="1" si="125"/>
        <v>-7.0060170520182936</v>
      </c>
      <c r="Y174" s="80">
        <f t="shared" ca="1" si="126"/>
        <v>-154.07858581918194</v>
      </c>
      <c r="Z174" s="80">
        <f t="shared" ca="1" si="120"/>
        <v>0</v>
      </c>
      <c r="AA174" s="80">
        <f t="shared" ca="1" si="127"/>
        <v>-175.6495878338674</v>
      </c>
      <c r="AB174" s="81">
        <f t="shared" ca="1" si="107"/>
        <v>-1167.9544880109318</v>
      </c>
      <c r="AC174" s="79">
        <f t="shared" ca="1" si="108"/>
        <v>184650.86956550516</v>
      </c>
      <c r="AD174" s="35"/>
      <c r="AE174" s="62">
        <f t="shared" ca="1" si="109"/>
        <v>-2500.6101455486769</v>
      </c>
      <c r="AF174" s="62">
        <f t="shared" ca="1" si="110"/>
        <v>395340.60835388117</v>
      </c>
      <c r="AG174" s="35"/>
      <c r="AH174" s="35"/>
      <c r="AR174" s="69">
        <f t="shared" si="121"/>
        <v>15</v>
      </c>
      <c r="AS174" s="70">
        <f t="shared" si="128"/>
        <v>171</v>
      </c>
      <c r="AT174" s="71">
        <f t="shared" si="134"/>
        <v>0.31022045045119645</v>
      </c>
      <c r="AU174" s="72">
        <f t="shared" si="111"/>
        <v>6.8214933659622723E-3</v>
      </c>
      <c r="AV174" s="73">
        <f t="shared" si="122"/>
        <v>1.0068214933659623</v>
      </c>
      <c r="AW174" s="74">
        <f>PRODUCT(AV$4:AV174)</f>
        <v>3.1979654625229084</v>
      </c>
    </row>
    <row r="175" spans="5:49">
      <c r="E175">
        <f t="shared" si="136"/>
        <v>172</v>
      </c>
      <c r="F175" s="64">
        <f t="shared" si="113"/>
        <v>68.680000000000007</v>
      </c>
      <c r="G175" s="55">
        <f t="shared" si="100"/>
        <v>0</v>
      </c>
      <c r="H175" s="78">
        <f t="shared" si="131"/>
        <v>1</v>
      </c>
      <c r="I175" s="79">
        <f t="shared" si="114"/>
        <v>468647.04224751669</v>
      </c>
      <c r="J175" s="79">
        <f t="shared" si="101"/>
        <v>3196.872689669276</v>
      </c>
      <c r="K175" s="80">
        <f t="shared" si="102"/>
        <v>-15</v>
      </c>
      <c r="L175" s="80">
        <f t="shared" si="115"/>
        <v>-390.53920187293062</v>
      </c>
      <c r="M175" s="80">
        <f t="shared" si="133"/>
        <v>0</v>
      </c>
      <c r="N175" s="80">
        <f t="shared" si="116"/>
        <v>-445.21469013514093</v>
      </c>
      <c r="O175" s="81">
        <f t="shared" si="103"/>
        <v>-2500.6101455486769</v>
      </c>
      <c r="P175" s="79">
        <f t="shared" si="104"/>
        <v>468492.55089962919</v>
      </c>
      <c r="Q175" s="35"/>
      <c r="R175">
        <f t="shared" ca="1" si="117"/>
        <v>297</v>
      </c>
      <c r="S175" s="78">
        <f t="shared" ca="1" si="118"/>
        <v>78.680000000000007</v>
      </c>
      <c r="T175" s="55">
        <f t="shared" ca="1" si="105"/>
        <v>7.9055919619646087E-3</v>
      </c>
      <c r="U175" s="78">
        <f t="shared" ca="1" si="124"/>
        <v>0.46337535599509805</v>
      </c>
      <c r="V175" s="79">
        <f t="shared" ca="1" si="119"/>
        <v>183191.09513529832</v>
      </c>
      <c r="W175" s="79">
        <f t="shared" ca="1" si="106"/>
        <v>1249.636840168801</v>
      </c>
      <c r="X175" s="80">
        <f t="shared" ca="1" si="125"/>
        <v>-6.9506303399264704</v>
      </c>
      <c r="Y175" s="80">
        <f t="shared" ca="1" si="126"/>
        <v>-152.65924594608194</v>
      </c>
      <c r="Z175" s="80">
        <f t="shared" ca="1" si="120"/>
        <v>0</v>
      </c>
      <c r="AA175" s="80">
        <f t="shared" ca="1" si="127"/>
        <v>-174.03154037853344</v>
      </c>
      <c r="AB175" s="81">
        <f t="shared" ca="1" si="107"/>
        <v>-1158.7211163985721</v>
      </c>
      <c r="AC175" s="79">
        <f t="shared" ca="1" si="108"/>
        <v>182948.36944240399</v>
      </c>
      <c r="AD175" s="35"/>
      <c r="AE175" s="62">
        <f t="shared" ca="1" si="109"/>
        <v>-2500.6101455486769</v>
      </c>
      <c r="AF175" s="62">
        <f t="shared" ca="1" si="110"/>
        <v>394816.78746061621</v>
      </c>
      <c r="AG175" s="35"/>
      <c r="AH175" s="35"/>
      <c r="AR175" s="69">
        <f t="shared" si="121"/>
        <v>15</v>
      </c>
      <c r="AS175" s="70">
        <f t="shared" si="128"/>
        <v>172</v>
      </c>
      <c r="AT175" s="71">
        <f t="shared" si="134"/>
        <v>0.30810428370645776</v>
      </c>
      <c r="AU175" s="72">
        <f t="shared" si="111"/>
        <v>6.8214933659622723E-3</v>
      </c>
      <c r="AV175" s="73">
        <f t="shared" si="122"/>
        <v>1.0068214933659623</v>
      </c>
      <c r="AW175" s="74">
        <f>PRODUCT(AV$4:AV175)</f>
        <v>3.2197803627100847</v>
      </c>
    </row>
    <row r="176" spans="5:49">
      <c r="E176">
        <f t="shared" si="136"/>
        <v>173</v>
      </c>
      <c r="F176" s="64">
        <f t="shared" si="113"/>
        <v>68.760000000000005</v>
      </c>
      <c r="G176" s="55">
        <f t="shared" si="100"/>
        <v>0</v>
      </c>
      <c r="H176" s="78">
        <f t="shared" si="131"/>
        <v>1</v>
      </c>
      <c r="I176" s="79">
        <f t="shared" si="114"/>
        <v>468492.55089962919</v>
      </c>
      <c r="J176" s="79">
        <f t="shared" si="101"/>
        <v>3195.8188279645628</v>
      </c>
      <c r="K176" s="80">
        <f t="shared" si="102"/>
        <v>-15</v>
      </c>
      <c r="L176" s="80">
        <f t="shared" si="115"/>
        <v>-390.41045908302436</v>
      </c>
      <c r="M176" s="80">
        <f t="shared" si="133"/>
        <v>0</v>
      </c>
      <c r="N176" s="80">
        <f t="shared" si="116"/>
        <v>-445.0679233546478</v>
      </c>
      <c r="O176" s="81">
        <f t="shared" si="103"/>
        <v>-2500.6101455486769</v>
      </c>
      <c r="P176" s="79">
        <f t="shared" si="104"/>
        <v>468337.28119960742</v>
      </c>
      <c r="Q176" s="35"/>
      <c r="R176">
        <f t="shared" ca="1" si="117"/>
        <v>298</v>
      </c>
      <c r="S176" s="78">
        <f t="shared" ca="1" si="118"/>
        <v>78.760000000000005</v>
      </c>
      <c r="T176" s="55">
        <f t="shared" ca="1" si="105"/>
        <v>7.9055919619646087E-3</v>
      </c>
      <c r="U176" s="78">
        <f t="shared" ca="1" si="124"/>
        <v>0.45971209950537073</v>
      </c>
      <c r="V176" s="79">
        <f t="shared" ca="1" si="119"/>
        <v>181502.05428348557</v>
      </c>
      <c r="W176" s="79">
        <f t="shared" ca="1" si="106"/>
        <v>1238.1150592033212</v>
      </c>
      <c r="X176" s="80">
        <f t="shared" ca="1" si="125"/>
        <v>-6.895681492580561</v>
      </c>
      <c r="Y176" s="80">
        <f t="shared" ca="1" si="126"/>
        <v>-151.25171190290465</v>
      </c>
      <c r="Z176" s="80">
        <f t="shared" ca="1" si="120"/>
        <v>0</v>
      </c>
      <c r="AA176" s="80">
        <f t="shared" ca="1" si="127"/>
        <v>-172.42695156931131</v>
      </c>
      <c r="AB176" s="81">
        <f t="shared" ca="1" si="107"/>
        <v>-1149.560740054613</v>
      </c>
      <c r="AC176" s="79">
        <f t="shared" ca="1" si="108"/>
        <v>181260.0342576695</v>
      </c>
      <c r="AD176" s="35"/>
      <c r="AE176" s="62">
        <f t="shared" ca="1" si="109"/>
        <v>-2500.6101455486769</v>
      </c>
      <c r="AF176" s="62">
        <f t="shared" ca="1" si="110"/>
        <v>394290.3274738625</v>
      </c>
      <c r="AG176" s="35"/>
      <c r="AH176" s="35"/>
      <c r="AR176" s="69">
        <f t="shared" si="121"/>
        <v>15</v>
      </c>
      <c r="AS176" s="70">
        <f t="shared" si="128"/>
        <v>173</v>
      </c>
      <c r="AT176" s="71">
        <f t="shared" si="134"/>
        <v>0.3060025523791296</v>
      </c>
      <c r="AU176" s="72">
        <f t="shared" si="111"/>
        <v>6.8214933659622723E-3</v>
      </c>
      <c r="AV176" s="73">
        <f t="shared" si="122"/>
        <v>1.0068214933659623</v>
      </c>
      <c r="AW176" s="74">
        <f>PRODUCT(AV$4:AV176)</f>
        <v>3.2417440730941673</v>
      </c>
    </row>
    <row r="177" spans="5:49">
      <c r="E177">
        <f t="shared" si="136"/>
        <v>174</v>
      </c>
      <c r="F177" s="64">
        <f t="shared" si="113"/>
        <v>68.84</v>
      </c>
      <c r="G177" s="55">
        <f t="shared" si="100"/>
        <v>0</v>
      </c>
      <c r="H177" s="78">
        <f t="shared" si="131"/>
        <v>1</v>
      </c>
      <c r="I177" s="79">
        <f t="shared" si="114"/>
        <v>468337.28119960742</v>
      </c>
      <c r="J177" s="79">
        <f t="shared" si="101"/>
        <v>3194.7596567359292</v>
      </c>
      <c r="K177" s="80">
        <f t="shared" si="102"/>
        <v>-15</v>
      </c>
      <c r="L177" s="80">
        <f t="shared" si="115"/>
        <v>-390.28106766633954</v>
      </c>
      <c r="M177" s="80">
        <f t="shared" si="133"/>
        <v>0</v>
      </c>
      <c r="N177" s="80">
        <f t="shared" si="116"/>
        <v>-444.92041713962709</v>
      </c>
      <c r="O177" s="81">
        <f t="shared" si="103"/>
        <v>-2500.6101455486769</v>
      </c>
      <c r="P177" s="79">
        <f t="shared" si="104"/>
        <v>468181.22922598867</v>
      </c>
      <c r="Q177" s="35"/>
      <c r="R177">
        <f t="shared" ca="1" si="117"/>
        <v>299</v>
      </c>
      <c r="S177" s="78">
        <f t="shared" ca="1" si="118"/>
        <v>78.84</v>
      </c>
      <c r="T177" s="55">
        <f t="shared" ca="1" si="105"/>
        <v>7.9055919619646087E-3</v>
      </c>
      <c r="U177" s="78">
        <f t="shared" ca="1" si="124"/>
        <v>0.45607780322670322</v>
      </c>
      <c r="V177" s="79">
        <f t="shared" ca="1" si="119"/>
        <v>179827.06638781662</v>
      </c>
      <c r="W177" s="79">
        <f t="shared" ca="1" si="106"/>
        <v>1226.6891403849481</v>
      </c>
      <c r="X177" s="80">
        <f t="shared" ca="1" si="125"/>
        <v>-6.841167048400548</v>
      </c>
      <c r="Y177" s="80">
        <f t="shared" ca="1" si="126"/>
        <v>-149.85588865651386</v>
      </c>
      <c r="Z177" s="80">
        <f t="shared" ca="1" si="120"/>
        <v>0</v>
      </c>
      <c r="AA177" s="80">
        <f t="shared" ca="1" si="127"/>
        <v>-170.8357130684258</v>
      </c>
      <c r="AB177" s="81">
        <f t="shared" ca="1" si="107"/>
        <v>-1140.472781908247</v>
      </c>
      <c r="AC177" s="79">
        <f t="shared" ca="1" si="108"/>
        <v>179585.74997752</v>
      </c>
      <c r="AD177" s="35"/>
      <c r="AE177" s="62">
        <f t="shared" ca="1" si="109"/>
        <v>-2500.6101455486769</v>
      </c>
      <c r="AF177" s="62">
        <f t="shared" ca="1" si="110"/>
        <v>393761.21509744483</v>
      </c>
      <c r="AG177" s="35"/>
      <c r="AH177" s="35"/>
      <c r="AR177" s="69">
        <f t="shared" si="121"/>
        <v>15</v>
      </c>
      <c r="AS177" s="70">
        <f t="shared" si="128"/>
        <v>174</v>
      </c>
      <c r="AT177" s="71">
        <f t="shared" si="134"/>
        <v>0.30391515799810787</v>
      </c>
      <c r="AU177" s="72">
        <f t="shared" si="111"/>
        <v>6.8214933659622723E-3</v>
      </c>
      <c r="AV177" s="73">
        <f t="shared" si="122"/>
        <v>1.0068214933659623</v>
      </c>
      <c r="AW177" s="74">
        <f>PRODUCT(AV$4:AV177)</f>
        <v>3.2638576087829265</v>
      </c>
    </row>
    <row r="178" spans="5:49">
      <c r="E178">
        <f t="shared" si="136"/>
        <v>175</v>
      </c>
      <c r="F178" s="64">
        <f t="shared" si="113"/>
        <v>68.92</v>
      </c>
      <c r="G178" s="55">
        <f t="shared" si="100"/>
        <v>0</v>
      </c>
      <c r="H178" s="78">
        <f t="shared" si="131"/>
        <v>1</v>
      </c>
      <c r="I178" s="79">
        <f t="shared" si="114"/>
        <v>468181.22922598867</v>
      </c>
      <c r="J178" s="79">
        <f t="shared" si="101"/>
        <v>3193.6951492331436</v>
      </c>
      <c r="K178" s="80">
        <f t="shared" si="102"/>
        <v>-15</v>
      </c>
      <c r="L178" s="80">
        <f t="shared" si="115"/>
        <v>-390.15102435499057</v>
      </c>
      <c r="M178" s="80">
        <f t="shared" si="133"/>
        <v>0</v>
      </c>
      <c r="N178" s="80">
        <f t="shared" si="116"/>
        <v>-444.77216776468936</v>
      </c>
      <c r="O178" s="81">
        <f t="shared" si="103"/>
        <v>-2500.6101455486769</v>
      </c>
      <c r="P178" s="79">
        <f t="shared" si="104"/>
        <v>468024.39103755355</v>
      </c>
      <c r="Q178" s="35"/>
      <c r="R178">
        <f t="shared" ca="1" si="117"/>
        <v>300</v>
      </c>
      <c r="S178" s="78">
        <f t="shared" ca="1" si="118"/>
        <v>78.92</v>
      </c>
      <c r="T178" s="55">
        <f t="shared" ca="1" si="105"/>
        <v>7.9055919619646087E-3</v>
      </c>
      <c r="U178" s="78">
        <f t="shared" ca="1" si="124"/>
        <v>0.45247223821148369</v>
      </c>
      <c r="V178" s="79">
        <f t="shared" ca="1" si="119"/>
        <v>178166.01831601432</v>
      </c>
      <c r="W178" s="79">
        <f t="shared" ca="1" si="106"/>
        <v>1215.3583119826044</v>
      </c>
      <c r="X178" s="80">
        <f t="shared" ca="1" si="125"/>
        <v>-6.7870835731722554</v>
      </c>
      <c r="Y178" s="80">
        <f t="shared" ca="1" si="126"/>
        <v>-148.47168193001195</v>
      </c>
      <c r="Z178" s="80">
        <f t="shared" ca="1" si="120"/>
        <v>0</v>
      </c>
      <c r="AA178" s="80">
        <f t="shared" ca="1" si="127"/>
        <v>-169.25771740021364</v>
      </c>
      <c r="AB178" s="81">
        <f t="shared" ca="1" si="107"/>
        <v>-1131.4566694507537</v>
      </c>
      <c r="AC178" s="79">
        <f t="shared" ca="1" si="108"/>
        <v>177925.40347564276</v>
      </c>
      <c r="AD178" s="35"/>
      <c r="AE178" s="62">
        <f t="shared" ca="1" si="109"/>
        <v>-2500.6101455486764</v>
      </c>
      <c r="AF178" s="62">
        <f t="shared" ca="1" si="110"/>
        <v>393229.43696819944</v>
      </c>
      <c r="AG178" s="35"/>
      <c r="AH178" s="35"/>
      <c r="AR178" s="69">
        <f t="shared" si="121"/>
        <v>15</v>
      </c>
      <c r="AS178" s="70">
        <f t="shared" si="128"/>
        <v>175</v>
      </c>
      <c r="AT178" s="71">
        <f t="shared" si="134"/>
        <v>0.30184200276400841</v>
      </c>
      <c r="AU178" s="72">
        <f t="shared" si="111"/>
        <v>6.8214933659622723E-3</v>
      </c>
      <c r="AV178" s="73">
        <f t="shared" si="122"/>
        <v>1.0068214933659623</v>
      </c>
      <c r="AW178" s="74">
        <f>PRODUCT(AV$4:AV178)</f>
        <v>3.2861219918086846</v>
      </c>
    </row>
    <row r="179" spans="5:49">
      <c r="E179">
        <f t="shared" si="136"/>
        <v>176</v>
      </c>
      <c r="F179" s="64">
        <f t="shared" si="113"/>
        <v>69</v>
      </c>
      <c r="G179" s="55">
        <f t="shared" si="100"/>
        <v>0</v>
      </c>
      <c r="H179" s="78">
        <f t="shared" si="131"/>
        <v>1</v>
      </c>
      <c r="I179" s="79">
        <f t="shared" si="114"/>
        <v>468024.39103755355</v>
      </c>
      <c r="J179" s="79">
        <f t="shared" si="101"/>
        <v>3192.625278571204</v>
      </c>
      <c r="K179" s="80">
        <f t="shared" si="102"/>
        <v>-15</v>
      </c>
      <c r="L179" s="80">
        <f t="shared" si="115"/>
        <v>-390.02032586462798</v>
      </c>
      <c r="M179" s="80">
        <f t="shared" si="133"/>
        <v>0</v>
      </c>
      <c r="N179" s="80">
        <f t="shared" si="116"/>
        <v>-444.62317148567598</v>
      </c>
      <c r="O179" s="81">
        <f t="shared" si="103"/>
        <v>-2500.6101455486769</v>
      </c>
      <c r="P179" s="79">
        <f t="shared" si="104"/>
        <v>467866.76267322584</v>
      </c>
      <c r="Q179" s="35"/>
      <c r="R179">
        <f t="shared" ca="1" si="117"/>
        <v>301</v>
      </c>
      <c r="S179" s="78">
        <f t="shared" ca="1" si="118"/>
        <v>79</v>
      </c>
      <c r="T179" s="55">
        <f t="shared" ca="1" si="105"/>
        <v>7.9055919619646087E-3</v>
      </c>
      <c r="U179" s="78">
        <f t="shared" ca="1" si="124"/>
        <v>0.44889517732206685</v>
      </c>
      <c r="V179" s="79">
        <f t="shared" ca="1" si="119"/>
        <v>176518.7978360964</v>
      </c>
      <c r="W179" s="79">
        <f t="shared" ca="1" si="106"/>
        <v>1204.1218084065672</v>
      </c>
      <c r="X179" s="80">
        <f t="shared" ca="1" si="125"/>
        <v>-6.733427659831003</v>
      </c>
      <c r="Y179" s="80">
        <f t="shared" ca="1" si="126"/>
        <v>-147.098998196747</v>
      </c>
      <c r="Z179" s="80">
        <f t="shared" ca="1" si="120"/>
        <v>-1323.8909837707231</v>
      </c>
      <c r="AA179" s="80">
        <f t="shared" ca="1" si="127"/>
        <v>-167.6928579442916</v>
      </c>
      <c r="AB179" s="81">
        <f t="shared" ca="1" si="107"/>
        <v>-1122.5118346994327</v>
      </c>
      <c r="AC179" s="79">
        <f t="shared" ca="1" si="108"/>
        <v>174954.99154223196</v>
      </c>
      <c r="AD179" s="35"/>
      <c r="AE179" s="62">
        <f t="shared" ca="1" si="109"/>
        <v>-2500.6101455486769</v>
      </c>
      <c r="AF179" s="62">
        <f t="shared" ca="1" si="110"/>
        <v>389745.75887837569</v>
      </c>
      <c r="AG179" s="35"/>
      <c r="AH179" s="35"/>
      <c r="AR179" s="69">
        <f t="shared" si="121"/>
        <v>15</v>
      </c>
      <c r="AS179" s="70">
        <f t="shared" si="128"/>
        <v>176</v>
      </c>
      <c r="AT179" s="71">
        <f t="shared" si="134"/>
        <v>0.29978298954458499</v>
      </c>
      <c r="AU179" s="72">
        <f t="shared" si="111"/>
        <v>6.8214933659622723E-3</v>
      </c>
      <c r="AV179" s="73">
        <f t="shared" si="122"/>
        <v>1.0068214933659623</v>
      </c>
      <c r="AW179" s="74">
        <f>PRODUCT(AV$4:AV179)</f>
        <v>3.3085382511755501</v>
      </c>
    </row>
    <row r="180" spans="5:49">
      <c r="E180">
        <f t="shared" si="136"/>
        <v>177</v>
      </c>
      <c r="F180" s="64">
        <f t="shared" si="113"/>
        <v>69.08</v>
      </c>
      <c r="G180" s="55">
        <f t="shared" si="100"/>
        <v>0</v>
      </c>
      <c r="H180" s="78">
        <f t="shared" si="131"/>
        <v>1</v>
      </c>
      <c r="I180" s="79">
        <f t="shared" si="114"/>
        <v>467866.76267322584</v>
      </c>
      <c r="J180" s="79">
        <f t="shared" si="101"/>
        <v>3191.5500177296549</v>
      </c>
      <c r="K180" s="80">
        <f t="shared" si="102"/>
        <v>-15</v>
      </c>
      <c r="L180" s="80">
        <f t="shared" si="115"/>
        <v>-389.88896889435489</v>
      </c>
      <c r="M180" s="80">
        <f t="shared" si="133"/>
        <v>0</v>
      </c>
      <c r="N180" s="80">
        <f t="shared" si="116"/>
        <v>-444.47342453956463</v>
      </c>
      <c r="O180" s="81">
        <f t="shared" si="103"/>
        <v>-2500.6101455486769</v>
      </c>
      <c r="P180" s="79">
        <f t="shared" si="104"/>
        <v>467708.34015197289</v>
      </c>
      <c r="Q180" s="35"/>
      <c r="R180">
        <f t="shared" ca="1" si="117"/>
        <v>302</v>
      </c>
      <c r="S180" s="78">
        <f t="shared" ca="1" si="118"/>
        <v>79.08</v>
      </c>
      <c r="T180" s="55">
        <f t="shared" ca="1" si="105"/>
        <v>7.9055919619646087E-3</v>
      </c>
      <c r="U180" s="78">
        <f t="shared" ca="1" si="124"/>
        <v>0.44534639521646485</v>
      </c>
      <c r="V180" s="79">
        <f t="shared" ca="1" si="119"/>
        <v>173571.86876739011</v>
      </c>
      <c r="W180" s="79">
        <f t="shared" ca="1" si="106"/>
        <v>1184.0193513144259</v>
      </c>
      <c r="X180" s="80">
        <f t="shared" ca="1" si="125"/>
        <v>-6.6801959282469729</v>
      </c>
      <c r="Y180" s="80">
        <f t="shared" ca="1" si="126"/>
        <v>-144.6432239728251</v>
      </c>
      <c r="Z180" s="80">
        <f t="shared" ca="1" si="120"/>
        <v>0</v>
      </c>
      <c r="AA180" s="80">
        <f t="shared" ca="1" si="127"/>
        <v>-164.89327532902064</v>
      </c>
      <c r="AB180" s="81">
        <f t="shared" ca="1" si="107"/>
        <v>-1113.6377141618227</v>
      </c>
      <c r="AC180" s="79">
        <f t="shared" ca="1" si="108"/>
        <v>173326.03370931261</v>
      </c>
      <c r="AD180" s="35"/>
      <c r="AE180" s="62">
        <f t="shared" ca="1" si="109"/>
        <v>-2500.6101455486769</v>
      </c>
      <c r="AF180" s="62">
        <f t="shared" ca="1" si="110"/>
        <v>389193.75023809465</v>
      </c>
      <c r="AG180" s="35"/>
      <c r="AH180" s="35"/>
      <c r="AR180" s="69">
        <f t="shared" si="121"/>
        <v>15</v>
      </c>
      <c r="AS180" s="70">
        <f t="shared" si="128"/>
        <v>177</v>
      </c>
      <c r="AT180" s="71">
        <f t="shared" si="134"/>
        <v>0.29773802187017828</v>
      </c>
      <c r="AU180" s="72">
        <f t="shared" si="111"/>
        <v>6.8214933659622723E-3</v>
      </c>
      <c r="AV180" s="73">
        <f t="shared" si="122"/>
        <v>1.0068214933659623</v>
      </c>
      <c r="AW180" s="74">
        <f>PRODUCT(AV$4:AV180)</f>
        <v>3.3311074229069764</v>
      </c>
    </row>
    <row r="181" spans="5:49">
      <c r="E181">
        <f t="shared" si="136"/>
        <v>178</v>
      </c>
      <c r="F181" s="64">
        <f t="shared" si="113"/>
        <v>69.16</v>
      </c>
      <c r="G181" s="55">
        <f t="shared" si="100"/>
        <v>0</v>
      </c>
      <c r="H181" s="78">
        <f t="shared" si="131"/>
        <v>1</v>
      </c>
      <c r="I181" s="79">
        <f t="shared" si="114"/>
        <v>467708.34015197289</v>
      </c>
      <c r="J181" s="79">
        <f t="shared" si="101"/>
        <v>3190.4693395519089</v>
      </c>
      <c r="K181" s="80">
        <f t="shared" si="102"/>
        <v>-15</v>
      </c>
      <c r="L181" s="80">
        <f t="shared" si="115"/>
        <v>-389.75695012664409</v>
      </c>
      <c r="M181" s="80">
        <f t="shared" si="133"/>
        <v>0</v>
      </c>
      <c r="N181" s="80">
        <f t="shared" si="116"/>
        <v>-444.32292314437433</v>
      </c>
      <c r="O181" s="81">
        <f t="shared" si="103"/>
        <v>-2500.6101455486769</v>
      </c>
      <c r="P181" s="79">
        <f t="shared" si="104"/>
        <v>467549.11947270512</v>
      </c>
      <c r="Q181" s="35"/>
      <c r="R181">
        <f t="shared" ca="1" si="117"/>
        <v>303</v>
      </c>
      <c r="S181" s="78">
        <f t="shared" ca="1" si="118"/>
        <v>79.16</v>
      </c>
      <c r="T181" s="55">
        <f t="shared" ca="1" si="105"/>
        <v>7.9055919619646087E-3</v>
      </c>
      <c r="U181" s="78">
        <f t="shared" ca="1" si="124"/>
        <v>0.44182566833415166</v>
      </c>
      <c r="V181" s="79">
        <f t="shared" ca="1" si="119"/>
        <v>171955.78881042107</v>
      </c>
      <c r="W181" s="79">
        <f t="shared" ca="1" si="106"/>
        <v>1172.9952726090969</v>
      </c>
      <c r="X181" s="80">
        <f t="shared" ca="1" si="125"/>
        <v>-6.6273850250122752</v>
      </c>
      <c r="Y181" s="80">
        <f t="shared" ca="1" si="126"/>
        <v>-143.2964906753509</v>
      </c>
      <c r="Z181" s="80">
        <f t="shared" ca="1" si="120"/>
        <v>0</v>
      </c>
      <c r="AA181" s="80">
        <f t="shared" ca="1" si="127"/>
        <v>-163.35799936990006</v>
      </c>
      <c r="AB181" s="81">
        <f t="shared" ca="1" si="107"/>
        <v>-1104.8337488002044</v>
      </c>
      <c r="AC181" s="79">
        <f t="shared" ca="1" si="108"/>
        <v>171710.66845915967</v>
      </c>
      <c r="AD181" s="35"/>
      <c r="AE181" s="62">
        <f t="shared" ca="1" si="109"/>
        <v>-2500.6101455486769</v>
      </c>
      <c r="AF181" s="62">
        <f t="shared" ca="1" si="110"/>
        <v>388638.96048994444</v>
      </c>
      <c r="AG181" s="35"/>
      <c r="AH181" s="35"/>
      <c r="AR181" s="69">
        <f t="shared" si="121"/>
        <v>15</v>
      </c>
      <c r="AS181" s="70">
        <f t="shared" si="128"/>
        <v>178</v>
      </c>
      <c r="AT181" s="71">
        <f t="shared" si="134"/>
        <v>0.29570700392919613</v>
      </c>
      <c r="AU181" s="72">
        <f t="shared" si="111"/>
        <v>6.8214933659622723E-3</v>
      </c>
      <c r="AV181" s="73">
        <f t="shared" si="122"/>
        <v>1.0068214933659623</v>
      </c>
      <c r="AW181" s="74">
        <f>PRODUCT(AV$4:AV181)</f>
        <v>3.3538305500936438</v>
      </c>
    </row>
    <row r="182" spans="5:49">
      <c r="E182">
        <f t="shared" si="136"/>
        <v>179</v>
      </c>
      <c r="F182" s="64">
        <f t="shared" si="113"/>
        <v>69.239999999999995</v>
      </c>
      <c r="G182" s="55">
        <f t="shared" si="100"/>
        <v>0</v>
      </c>
      <c r="H182" s="78">
        <f t="shared" si="131"/>
        <v>1</v>
      </c>
      <c r="I182" s="79">
        <f t="shared" si="114"/>
        <v>467549.11947270512</v>
      </c>
      <c r="J182" s="79">
        <f t="shared" si="101"/>
        <v>3189.3832167445598</v>
      </c>
      <c r="K182" s="80">
        <f t="shared" si="102"/>
        <v>-15</v>
      </c>
      <c r="L182" s="80">
        <f t="shared" si="115"/>
        <v>-389.62426622725428</v>
      </c>
      <c r="M182" s="80">
        <f t="shared" si="133"/>
        <v>0</v>
      </c>
      <c r="N182" s="80">
        <f t="shared" si="116"/>
        <v>-444.17166349906989</v>
      </c>
      <c r="O182" s="81">
        <f t="shared" si="103"/>
        <v>-2500.6101455486769</v>
      </c>
      <c r="P182" s="79">
        <f t="shared" si="104"/>
        <v>467389.09661417472</v>
      </c>
      <c r="Q182" s="35"/>
      <c r="R182">
        <f t="shared" ca="1" si="117"/>
        <v>304</v>
      </c>
      <c r="S182" s="78">
        <f t="shared" ca="1" si="118"/>
        <v>79.239999999999995</v>
      </c>
      <c r="T182" s="55">
        <f t="shared" ca="1" si="105"/>
        <v>7.9055919619646087E-3</v>
      </c>
      <c r="U182" s="78">
        <f t="shared" ca="1" si="124"/>
        <v>0.43833277488197953</v>
      </c>
      <c r="V182" s="79">
        <f t="shared" ca="1" si="119"/>
        <v>170353.19397880536</v>
      </c>
      <c r="W182" s="79">
        <f t="shared" ca="1" si="106"/>
        <v>1162.0631825969049</v>
      </c>
      <c r="X182" s="80">
        <f t="shared" ca="1" si="125"/>
        <v>-6.5749916232296926</v>
      </c>
      <c r="Y182" s="80">
        <f t="shared" ca="1" si="126"/>
        <v>-141.96099498233781</v>
      </c>
      <c r="Z182" s="80">
        <f t="shared" ca="1" si="120"/>
        <v>0</v>
      </c>
      <c r="AA182" s="80">
        <f t="shared" ca="1" si="127"/>
        <v>-161.83553427986513</v>
      </c>
      <c r="AB182" s="81">
        <f t="shared" ca="1" si="107"/>
        <v>-1096.0993839963824</v>
      </c>
      <c r="AC182" s="79">
        <f t="shared" ca="1" si="108"/>
        <v>170108.78625652043</v>
      </c>
      <c r="AD182" s="35"/>
      <c r="AE182" s="62">
        <f t="shared" ca="1" si="109"/>
        <v>-2500.6101455486773</v>
      </c>
      <c r="AF182" s="62">
        <f t="shared" ca="1" si="110"/>
        <v>388081.37562225864</v>
      </c>
      <c r="AG182" s="35"/>
      <c r="AH182" s="35"/>
      <c r="AR182" s="69">
        <f t="shared" si="121"/>
        <v>15</v>
      </c>
      <c r="AS182" s="70">
        <f t="shared" si="128"/>
        <v>179</v>
      </c>
      <c r="AT182" s="71">
        <f t="shared" si="134"/>
        <v>0.29368984056362452</v>
      </c>
      <c r="AU182" s="72">
        <f t="shared" si="111"/>
        <v>6.8214933659622723E-3</v>
      </c>
      <c r="AV182" s="73">
        <f t="shared" si="122"/>
        <v>1.0068214933659623</v>
      </c>
      <c r="AW182" s="74">
        <f>PRODUCT(AV$4:AV182)</f>
        <v>3.3767086829416693</v>
      </c>
    </row>
    <row r="183" spans="5:49">
      <c r="E183">
        <f t="shared" si="136"/>
        <v>180</v>
      </c>
      <c r="F183" s="64">
        <f t="shared" si="113"/>
        <v>69.319999999999993</v>
      </c>
      <c r="G183" s="55">
        <f t="shared" si="100"/>
        <v>0</v>
      </c>
      <c r="H183" s="78">
        <f t="shared" si="131"/>
        <v>1</v>
      </c>
      <c r="I183" s="79">
        <f t="shared" si="114"/>
        <v>467389.09661417472</v>
      </c>
      <c r="J183" s="79">
        <f t="shared" si="101"/>
        <v>3188.2916218766923</v>
      </c>
      <c r="K183" s="80">
        <f t="shared" si="102"/>
        <v>-15</v>
      </c>
      <c r="L183" s="80">
        <f t="shared" si="115"/>
        <v>-389.4909138451456</v>
      </c>
      <c r="M183" s="80">
        <f t="shared" si="133"/>
        <v>0</v>
      </c>
      <c r="N183" s="80">
        <f t="shared" si="116"/>
        <v>-444.01964178346606</v>
      </c>
      <c r="O183" s="81">
        <f t="shared" si="103"/>
        <v>-2500.6101455486769</v>
      </c>
      <c r="P183" s="79">
        <f t="shared" si="104"/>
        <v>467228.26753487421</v>
      </c>
      <c r="Q183" s="35"/>
      <c r="R183">
        <f t="shared" ca="1" si="117"/>
        <v>305</v>
      </c>
      <c r="S183" s="78">
        <f t="shared" ca="1" si="118"/>
        <v>79.319999999999993</v>
      </c>
      <c r="T183" s="55">
        <f t="shared" ca="1" si="105"/>
        <v>7.9055919619646087E-3</v>
      </c>
      <c r="U183" s="78">
        <f t="shared" ca="1" si="124"/>
        <v>0.43486749482020692</v>
      </c>
      <c r="V183" s="79">
        <f t="shared" ca="1" si="119"/>
        <v>168763.97560323132</v>
      </c>
      <c r="W183" s="79">
        <f t="shared" ca="1" si="106"/>
        <v>1151.2223399908612</v>
      </c>
      <c r="X183" s="80">
        <f t="shared" ca="1" si="125"/>
        <v>-6.5230124223031041</v>
      </c>
      <c r="Y183" s="80">
        <f t="shared" ca="1" si="126"/>
        <v>-140.6366463360261</v>
      </c>
      <c r="Z183" s="80">
        <f t="shared" ca="1" si="120"/>
        <v>0</v>
      </c>
      <c r="AA183" s="80">
        <f t="shared" ca="1" si="127"/>
        <v>-160.32577682306979</v>
      </c>
      <c r="AB183" s="81">
        <f t="shared" ca="1" si="107"/>
        <v>-1087.4340695167461</v>
      </c>
      <c r="AC183" s="79">
        <f t="shared" ca="1" si="108"/>
        <v>168520.27843812402</v>
      </c>
      <c r="AD183" s="35"/>
      <c r="AE183" s="62">
        <f t="shared" ca="1" si="109"/>
        <v>-2500.6101455486769</v>
      </c>
      <c r="AF183" s="62">
        <f t="shared" ca="1" si="110"/>
        <v>387520.98155277764</v>
      </c>
      <c r="AG183" s="35"/>
      <c r="AH183" s="35"/>
      <c r="AR183" s="69">
        <f t="shared" si="121"/>
        <v>15</v>
      </c>
      <c r="AS183" s="70">
        <f t="shared" si="128"/>
        <v>180</v>
      </c>
      <c r="AT183" s="71">
        <f t="shared" si="134"/>
        <v>0.29168643726456922</v>
      </c>
      <c r="AU183" s="72">
        <f t="shared" si="111"/>
        <v>6.8214933659622723E-3</v>
      </c>
      <c r="AV183" s="73">
        <f t="shared" si="122"/>
        <v>1.0068214933659623</v>
      </c>
      <c r="AW183" s="74">
        <f>PRODUCT(AV$4:AV183)</f>
        <v>3.3997428788211432</v>
      </c>
    </row>
    <row r="184" spans="5:49">
      <c r="E184">
        <f t="shared" si="136"/>
        <v>181</v>
      </c>
      <c r="F184" s="64">
        <f t="shared" si="113"/>
        <v>69.400000000000006</v>
      </c>
      <c r="G184" s="55">
        <f t="shared" si="100"/>
        <v>0</v>
      </c>
      <c r="H184" s="78">
        <f t="shared" si="131"/>
        <v>1</v>
      </c>
      <c r="I184" s="79">
        <f t="shared" si="114"/>
        <v>467228.26753487421</v>
      </c>
      <c r="J184" s="79">
        <f t="shared" si="101"/>
        <v>3187.1945273791903</v>
      </c>
      <c r="K184" s="80">
        <f t="shared" si="102"/>
        <v>-15</v>
      </c>
      <c r="L184" s="80">
        <f t="shared" si="115"/>
        <v>-389.35688961239521</v>
      </c>
      <c r="M184" s="80">
        <f t="shared" si="133"/>
        <v>-3504.2120065115564</v>
      </c>
      <c r="N184" s="80">
        <f t="shared" si="116"/>
        <v>-443.86685415813059</v>
      </c>
      <c r="O184" s="81">
        <f t="shared" si="103"/>
        <v>-2500.6101455486769</v>
      </c>
      <c r="P184" s="79">
        <f t="shared" si="104"/>
        <v>463562.41616642266</v>
      </c>
      <c r="Q184" s="35"/>
      <c r="R184">
        <f t="shared" ca="1" si="117"/>
        <v>306</v>
      </c>
      <c r="S184" s="78">
        <f t="shared" ca="1" si="118"/>
        <v>79.400000000000006</v>
      </c>
      <c r="T184" s="55">
        <f t="shared" ca="1" si="105"/>
        <v>7.9055919619646087E-3</v>
      </c>
      <c r="U184" s="78">
        <f t="shared" ca="1" si="124"/>
        <v>0.4314296098486366</v>
      </c>
      <c r="V184" s="79">
        <f t="shared" ca="1" si="119"/>
        <v>167188.02587947555</v>
      </c>
      <c r="W184" s="79">
        <f t="shared" ca="1" si="106"/>
        <v>1140.4720094051711</v>
      </c>
      <c r="X184" s="80">
        <f t="shared" ca="1" si="125"/>
        <v>-6.4714441477295486</v>
      </c>
      <c r="Y184" s="80">
        <f t="shared" ca="1" si="126"/>
        <v>-139.32335489956296</v>
      </c>
      <c r="Z184" s="80">
        <f t="shared" ca="1" si="120"/>
        <v>0</v>
      </c>
      <c r="AA184" s="80">
        <f t="shared" ca="1" si="127"/>
        <v>-158.82862458550179</v>
      </c>
      <c r="AB184" s="81">
        <f t="shared" ca="1" si="107"/>
        <v>-1078.8372594776081</v>
      </c>
      <c r="AC184" s="79">
        <f t="shared" ca="1" si="108"/>
        <v>166945.03720577032</v>
      </c>
      <c r="AD184" s="35"/>
      <c r="AE184" s="62">
        <f t="shared" ca="1" si="109"/>
        <v>-2500.6101455486769</v>
      </c>
      <c r="AF184" s="62">
        <f t="shared" ca="1" si="110"/>
        <v>386957.76412829332</v>
      </c>
      <c r="AG184" s="35"/>
      <c r="AH184" s="35"/>
      <c r="AR184" s="69">
        <f t="shared" si="121"/>
        <v>16</v>
      </c>
      <c r="AS184" s="70">
        <f t="shared" si="128"/>
        <v>181</v>
      </c>
      <c r="AT184" s="71">
        <f t="shared" si="134"/>
        <v>0.28969670016782778</v>
      </c>
      <c r="AU184" s="72">
        <f t="shared" si="111"/>
        <v>6.8214933659622723E-3</v>
      </c>
      <c r="AV184" s="73">
        <f t="shared" si="122"/>
        <v>1.0068214933659623</v>
      </c>
      <c r="AW184" s="74">
        <f>PRODUCT(AV$4:AV184)</f>
        <v>3.4229342023149991</v>
      </c>
    </row>
    <row r="185" spans="5:49">
      <c r="E185">
        <f t="shared" si="136"/>
        <v>182</v>
      </c>
      <c r="F185" s="64">
        <f t="shared" si="113"/>
        <v>69.48</v>
      </c>
      <c r="G185" s="55">
        <f t="shared" si="100"/>
        <v>0</v>
      </c>
      <c r="H185" s="78">
        <f t="shared" si="131"/>
        <v>1</v>
      </c>
      <c r="I185" s="79">
        <f t="shared" si="114"/>
        <v>463562.41616642266</v>
      </c>
      <c r="J185" s="79">
        <f t="shared" si="101"/>
        <v>3162.1879465886941</v>
      </c>
      <c r="K185" s="80">
        <f t="shared" si="102"/>
        <v>-15</v>
      </c>
      <c r="L185" s="80">
        <f t="shared" si="115"/>
        <v>-386.30201347201893</v>
      </c>
      <c r="M185" s="80">
        <f t="shared" si="133"/>
        <v>0</v>
      </c>
      <c r="N185" s="80">
        <f t="shared" si="116"/>
        <v>-440.38429535810161</v>
      </c>
      <c r="O185" s="81">
        <f t="shared" si="103"/>
        <v>-2500.6101455486769</v>
      </c>
      <c r="P185" s="79">
        <f t="shared" si="104"/>
        <v>463382.30765863258</v>
      </c>
      <c r="Q185" s="35"/>
      <c r="R185">
        <f t="shared" ca="1" si="117"/>
        <v>307</v>
      </c>
      <c r="S185" s="78">
        <f t="shared" ca="1" si="118"/>
        <v>79.48</v>
      </c>
      <c r="T185" s="55">
        <f t="shared" ca="1" si="105"/>
        <v>7.9055919619646087E-3</v>
      </c>
      <c r="U185" s="78">
        <f t="shared" ca="1" si="124"/>
        <v>0.42801890339286369</v>
      </c>
      <c r="V185" s="79">
        <f t="shared" ca="1" si="119"/>
        <v>165625.23786154651</v>
      </c>
      <c r="W185" s="79">
        <f t="shared" ca="1" si="106"/>
        <v>1129.8114613084629</v>
      </c>
      <c r="X185" s="80">
        <f t="shared" ca="1" si="125"/>
        <v>-6.4202835508929557</v>
      </c>
      <c r="Y185" s="80">
        <f t="shared" ca="1" si="126"/>
        <v>-138.02103155128876</v>
      </c>
      <c r="Z185" s="80">
        <f t="shared" ca="1" si="120"/>
        <v>0</v>
      </c>
      <c r="AA185" s="80">
        <f t="shared" ca="1" si="127"/>
        <v>-157.34397596846921</v>
      </c>
      <c r="AB185" s="81">
        <f t="shared" ca="1" si="107"/>
        <v>-1070.308412310814</v>
      </c>
      <c r="AC185" s="79">
        <f t="shared" ca="1" si="108"/>
        <v>165382.95561947353</v>
      </c>
      <c r="AD185" s="35"/>
      <c r="AE185" s="62">
        <f t="shared" ca="1" si="109"/>
        <v>-2500.6101455486769</v>
      </c>
      <c r="AF185" s="62">
        <f t="shared" ca="1" si="110"/>
        <v>386391.70912429132</v>
      </c>
      <c r="AG185" s="35"/>
      <c r="AH185" s="35"/>
      <c r="AR185" s="69">
        <f t="shared" si="121"/>
        <v>16</v>
      </c>
      <c r="AS185" s="70">
        <f t="shared" si="128"/>
        <v>182</v>
      </c>
      <c r="AT185" s="71">
        <f t="shared" si="134"/>
        <v>0.28772053604949177</v>
      </c>
      <c r="AU185" s="72">
        <f t="shared" si="111"/>
        <v>6.8214933659622723E-3</v>
      </c>
      <c r="AV185" s="73">
        <f t="shared" si="122"/>
        <v>1.0068214933659623</v>
      </c>
      <c r="AW185" s="74">
        <f>PRODUCT(AV$4:AV185)</f>
        <v>3.4462837252682164</v>
      </c>
    </row>
    <row r="186" spans="5:49">
      <c r="E186">
        <f t="shared" si="136"/>
        <v>183</v>
      </c>
      <c r="F186" s="64">
        <f t="shared" si="113"/>
        <v>69.56</v>
      </c>
      <c r="G186" s="55">
        <f t="shared" si="100"/>
        <v>0</v>
      </c>
      <c r="H186" s="78">
        <f t="shared" si="131"/>
        <v>1</v>
      </c>
      <c r="I186" s="79">
        <f t="shared" si="114"/>
        <v>463382.30765863258</v>
      </c>
      <c r="J186" s="79">
        <f t="shared" si="101"/>
        <v>3160.9593375976506</v>
      </c>
      <c r="K186" s="80">
        <f t="shared" si="102"/>
        <v>-15</v>
      </c>
      <c r="L186" s="80">
        <f t="shared" si="115"/>
        <v>-386.15192304886051</v>
      </c>
      <c r="M186" s="80">
        <f t="shared" si="133"/>
        <v>0</v>
      </c>
      <c r="N186" s="80">
        <f t="shared" si="116"/>
        <v>-440.21319227570103</v>
      </c>
      <c r="O186" s="81">
        <f t="shared" si="103"/>
        <v>-2500.6101455486769</v>
      </c>
      <c r="P186" s="79">
        <f t="shared" si="104"/>
        <v>463201.29173535702</v>
      </c>
      <c r="Q186" s="35"/>
      <c r="R186">
        <f t="shared" ca="1" si="117"/>
        <v>308</v>
      </c>
      <c r="S186" s="78">
        <f t="shared" ca="1" si="118"/>
        <v>79.56</v>
      </c>
      <c r="T186" s="55">
        <f t="shared" ca="1" si="105"/>
        <v>8.641806137517527E-3</v>
      </c>
      <c r="U186" s="78">
        <f t="shared" ca="1" si="124"/>
        <v>0.42432004700654974</v>
      </c>
      <c r="V186" s="79">
        <f t="shared" ca="1" si="119"/>
        <v>163953.74817856037</v>
      </c>
      <c r="W186" s="79">
        <f t="shared" ca="1" si="106"/>
        <v>1118.4094055246985</v>
      </c>
      <c r="X186" s="80">
        <f t="shared" ca="1" si="125"/>
        <v>-6.3648007050982462</v>
      </c>
      <c r="Y186" s="80">
        <f t="shared" ca="1" si="126"/>
        <v>-136.62812348213365</v>
      </c>
      <c r="Z186" s="80">
        <f t="shared" ca="1" si="120"/>
        <v>0</v>
      </c>
      <c r="AA186" s="80">
        <f t="shared" ca="1" si="127"/>
        <v>-155.7560607696324</v>
      </c>
      <c r="AB186" s="81">
        <f t="shared" ca="1" si="107"/>
        <v>-1061.0590145042697</v>
      </c>
      <c r="AC186" s="79">
        <f t="shared" ca="1" si="108"/>
        <v>163712.34958462391</v>
      </c>
      <c r="AD186" s="35"/>
      <c r="AE186" s="62">
        <f t="shared" ca="1" si="109"/>
        <v>-2500.6101455486769</v>
      </c>
      <c r="AF186" s="62">
        <f t="shared" ca="1" si="110"/>
        <v>385822.80224459176</v>
      </c>
      <c r="AG186" s="35"/>
      <c r="AH186" s="35"/>
      <c r="AR186" s="69">
        <f t="shared" si="121"/>
        <v>16</v>
      </c>
      <c r="AS186" s="70">
        <f t="shared" si="128"/>
        <v>183</v>
      </c>
      <c r="AT186" s="71">
        <f t="shared" si="134"/>
        <v>0.28575785232157908</v>
      </c>
      <c r="AU186" s="72">
        <f t="shared" si="111"/>
        <v>6.8214933659622723E-3</v>
      </c>
      <c r="AV186" s="73">
        <f t="shared" si="122"/>
        <v>1.0068214933659623</v>
      </c>
      <c r="AW186" s="74">
        <f>PRODUCT(AV$4:AV186)</f>
        <v>3.4697925268373573</v>
      </c>
    </row>
    <row r="187" spans="5:49">
      <c r="E187">
        <f t="shared" si="136"/>
        <v>184</v>
      </c>
      <c r="F187" s="64">
        <f t="shared" si="113"/>
        <v>69.64</v>
      </c>
      <c r="G187" s="55">
        <f t="shared" si="100"/>
        <v>0</v>
      </c>
      <c r="H187" s="78">
        <f t="shared" si="131"/>
        <v>1</v>
      </c>
      <c r="I187" s="79">
        <f t="shared" si="114"/>
        <v>463201.29173535702</v>
      </c>
      <c r="J187" s="79">
        <f t="shared" si="101"/>
        <v>3159.7245386778932</v>
      </c>
      <c r="K187" s="80">
        <f t="shared" si="102"/>
        <v>-15</v>
      </c>
      <c r="L187" s="80">
        <f t="shared" si="115"/>
        <v>-386.00107644613087</v>
      </c>
      <c r="M187" s="80">
        <f t="shared" si="133"/>
        <v>0</v>
      </c>
      <c r="N187" s="80">
        <f t="shared" si="116"/>
        <v>-440.04122714858926</v>
      </c>
      <c r="O187" s="81">
        <f t="shared" si="103"/>
        <v>-2500.6101455486769</v>
      </c>
      <c r="P187" s="79">
        <f t="shared" si="104"/>
        <v>463019.36382489151</v>
      </c>
      <c r="Q187" s="35"/>
      <c r="R187">
        <f t="shared" ca="1" si="117"/>
        <v>309</v>
      </c>
      <c r="S187" s="78">
        <f t="shared" ca="1" si="118"/>
        <v>79.64</v>
      </c>
      <c r="T187" s="55">
        <f t="shared" ca="1" si="105"/>
        <v>8.641806137517527E-3</v>
      </c>
      <c r="U187" s="78">
        <f t="shared" ca="1" si="124"/>
        <v>0.42065315542005682</v>
      </c>
      <c r="V187" s="79">
        <f t="shared" ca="1" si="119"/>
        <v>162297.57919719609</v>
      </c>
      <c r="W187" s="79">
        <f t="shared" ca="1" si="106"/>
        <v>1107.1118598054095</v>
      </c>
      <c r="X187" s="80">
        <f t="shared" ca="1" si="125"/>
        <v>-6.3097973313008522</v>
      </c>
      <c r="Y187" s="80">
        <f t="shared" ca="1" si="126"/>
        <v>-135.24798266433007</v>
      </c>
      <c r="Z187" s="80">
        <f t="shared" ca="1" si="120"/>
        <v>0</v>
      </c>
      <c r="AA187" s="80">
        <f t="shared" ca="1" si="127"/>
        <v>-154.18270023733632</v>
      </c>
      <c r="AB187" s="81">
        <f t="shared" ca="1" si="107"/>
        <v>-1051.8895482004584</v>
      </c>
      <c r="AC187" s="79">
        <f t="shared" ca="1" si="108"/>
        <v>162057.06102856807</v>
      </c>
      <c r="AD187" s="35"/>
      <c r="AE187" s="62">
        <f t="shared" ca="1" si="109"/>
        <v>-2500.6101455486769</v>
      </c>
      <c r="AF187" s="62">
        <f t="shared" ca="1" si="110"/>
        <v>385251.02912098862</v>
      </c>
      <c r="AG187" s="35"/>
      <c r="AH187" s="35"/>
      <c r="AR187" s="69">
        <f t="shared" si="121"/>
        <v>16</v>
      </c>
      <c r="AS187" s="70">
        <f t="shared" si="128"/>
        <v>184</v>
      </c>
      <c r="AT187" s="71">
        <f t="shared" si="134"/>
        <v>0.28380855702769581</v>
      </c>
      <c r="AU187" s="72">
        <f t="shared" si="111"/>
        <v>6.8214933659622723E-3</v>
      </c>
      <c r="AV187" s="73">
        <f t="shared" si="122"/>
        <v>1.0068214933659623</v>
      </c>
      <c r="AW187" s="74">
        <f>PRODUCT(AV$4:AV187)</f>
        <v>3.4934616935404437</v>
      </c>
    </row>
    <row r="188" spans="5:49">
      <c r="E188">
        <f t="shared" si="136"/>
        <v>185</v>
      </c>
      <c r="F188" s="64">
        <f t="shared" si="113"/>
        <v>69.72</v>
      </c>
      <c r="G188" s="55">
        <f t="shared" si="100"/>
        <v>0</v>
      </c>
      <c r="H188" s="78">
        <f t="shared" si="131"/>
        <v>1</v>
      </c>
      <c r="I188" s="79">
        <f t="shared" si="114"/>
        <v>463019.36382489151</v>
      </c>
      <c r="J188" s="79">
        <f t="shared" si="101"/>
        <v>3158.4835186435694</v>
      </c>
      <c r="K188" s="80">
        <f t="shared" si="102"/>
        <v>-15</v>
      </c>
      <c r="L188" s="80">
        <f t="shared" si="115"/>
        <v>-385.84946985407629</v>
      </c>
      <c r="M188" s="80">
        <f t="shared" si="133"/>
        <v>0</v>
      </c>
      <c r="N188" s="80">
        <f t="shared" si="116"/>
        <v>-439.86839563364703</v>
      </c>
      <c r="O188" s="81">
        <f t="shared" si="103"/>
        <v>-2500.6101455486769</v>
      </c>
      <c r="P188" s="79">
        <f t="shared" si="104"/>
        <v>462836.51933249872</v>
      </c>
      <c r="Q188" s="35"/>
      <c r="R188">
        <f t="shared" ca="1" si="117"/>
        <v>310</v>
      </c>
      <c r="S188" s="78">
        <f t="shared" ca="1" si="118"/>
        <v>79.72</v>
      </c>
      <c r="T188" s="55">
        <f t="shared" ca="1" si="105"/>
        <v>8.641806137517527E-3</v>
      </c>
      <c r="U188" s="78">
        <f t="shared" ca="1" si="124"/>
        <v>0.41701795239978168</v>
      </c>
      <c r="V188" s="79">
        <f t="shared" ca="1" si="119"/>
        <v>160656.59532394333</v>
      </c>
      <c r="W188" s="79">
        <f t="shared" ca="1" si="106"/>
        <v>1095.9178992003649</v>
      </c>
      <c r="X188" s="80">
        <f t="shared" ca="1" si="125"/>
        <v>-6.2552692859967252</v>
      </c>
      <c r="Y188" s="80">
        <f t="shared" ca="1" si="126"/>
        <v>-133.88049610328611</v>
      </c>
      <c r="Z188" s="80">
        <f t="shared" ca="1" si="120"/>
        <v>0</v>
      </c>
      <c r="AA188" s="80">
        <f t="shared" ca="1" si="127"/>
        <v>-152.6237655577462</v>
      </c>
      <c r="AB188" s="81">
        <f t="shared" ca="1" si="107"/>
        <v>-1042.7993226468293</v>
      </c>
      <c r="AC188" s="79">
        <f t="shared" ca="1" si="108"/>
        <v>160416.95436954984</v>
      </c>
      <c r="AD188" s="35"/>
      <c r="AE188" s="62">
        <f t="shared" ca="1" si="109"/>
        <v>-2500.6101455486769</v>
      </c>
      <c r="AF188" s="62">
        <f t="shared" ca="1" si="110"/>
        <v>384676.37531288649</v>
      </c>
      <c r="AG188" s="35"/>
      <c r="AH188" s="35"/>
      <c r="AR188" s="69">
        <f t="shared" si="121"/>
        <v>16</v>
      </c>
      <c r="AS188" s="70">
        <f t="shared" si="128"/>
        <v>185</v>
      </c>
      <c r="AT188" s="71">
        <f t="shared" si="134"/>
        <v>0.28187255883872808</v>
      </c>
      <c r="AU188" s="72">
        <f t="shared" si="111"/>
        <v>6.8214933659622723E-3</v>
      </c>
      <c r="AV188" s="73">
        <f t="shared" si="122"/>
        <v>1.0068214933659623</v>
      </c>
      <c r="AW188" s="74">
        <f>PRODUCT(AV$4:AV188)</f>
        <v>3.517292319307173</v>
      </c>
    </row>
    <row r="189" spans="5:49">
      <c r="E189">
        <f t="shared" si="136"/>
        <v>186</v>
      </c>
      <c r="F189" s="64">
        <f t="shared" si="113"/>
        <v>69.8</v>
      </c>
      <c r="G189" s="55">
        <f t="shared" si="100"/>
        <v>0</v>
      </c>
      <c r="H189" s="78">
        <f t="shared" si="131"/>
        <v>1</v>
      </c>
      <c r="I189" s="79">
        <f t="shared" si="114"/>
        <v>462836.51933249872</v>
      </c>
      <c r="J189" s="79">
        <f t="shared" si="101"/>
        <v>3157.2362461517091</v>
      </c>
      <c r="K189" s="80">
        <f t="shared" si="102"/>
        <v>-15</v>
      </c>
      <c r="L189" s="80">
        <f t="shared" si="115"/>
        <v>-385.69709944374898</v>
      </c>
      <c r="M189" s="80">
        <f t="shared" si="133"/>
        <v>0</v>
      </c>
      <c r="N189" s="80">
        <f t="shared" si="116"/>
        <v>-439.69469336587389</v>
      </c>
      <c r="O189" s="81">
        <f t="shared" si="103"/>
        <v>-2500.6101455486769</v>
      </c>
      <c r="P189" s="79">
        <f t="shared" si="104"/>
        <v>462652.75364029215</v>
      </c>
      <c r="Q189" s="35"/>
      <c r="R189">
        <f t="shared" ca="1" si="117"/>
        <v>311</v>
      </c>
      <c r="S189" s="78">
        <f t="shared" ca="1" si="118"/>
        <v>79.8</v>
      </c>
      <c r="T189" s="55">
        <f t="shared" ca="1" si="105"/>
        <v>8.641806137517527E-3</v>
      </c>
      <c r="U189" s="78">
        <f t="shared" ca="1" si="124"/>
        <v>0.41341416409927823</v>
      </c>
      <c r="V189" s="79">
        <f t="shared" ca="1" si="119"/>
        <v>159030.66214871721</v>
      </c>
      <c r="W189" s="79">
        <f t="shared" ca="1" si="106"/>
        <v>1084.8266068320618</v>
      </c>
      <c r="X189" s="80">
        <f t="shared" ca="1" si="125"/>
        <v>-6.201212461489173</v>
      </c>
      <c r="Y189" s="80">
        <f t="shared" ca="1" si="126"/>
        <v>-132.52555179059769</v>
      </c>
      <c r="Z189" s="80">
        <f t="shared" ca="1" si="120"/>
        <v>0</v>
      </c>
      <c r="AA189" s="80">
        <f t="shared" ca="1" si="127"/>
        <v>-151.07912904128139</v>
      </c>
      <c r="AB189" s="81">
        <f t="shared" ca="1" si="107"/>
        <v>-1033.7876530601807</v>
      </c>
      <c r="AC189" s="79">
        <f t="shared" ca="1" si="108"/>
        <v>158791.8952091957</v>
      </c>
      <c r="AD189" s="35"/>
      <c r="AE189" s="62">
        <f t="shared" ca="1" si="109"/>
        <v>-2500.6101455486769</v>
      </c>
      <c r="AF189" s="62">
        <f t="shared" ca="1" si="110"/>
        <v>384098.82630693575</v>
      </c>
      <c r="AG189" s="35"/>
      <c r="AH189" s="35"/>
      <c r="AR189" s="69">
        <f t="shared" si="121"/>
        <v>16</v>
      </c>
      <c r="AS189" s="70">
        <f t="shared" si="128"/>
        <v>186</v>
      </c>
      <c r="AT189" s="71">
        <f t="shared" si="134"/>
        <v>0.27994976704856289</v>
      </c>
      <c r="AU189" s="72">
        <f t="shared" si="111"/>
        <v>6.8214933659622723E-3</v>
      </c>
      <c r="AV189" s="73">
        <f t="shared" si="122"/>
        <v>1.0068214933659623</v>
      </c>
      <c r="AW189" s="74">
        <f>PRODUCT(AV$4:AV189)</f>
        <v>3.5412855055294767</v>
      </c>
    </row>
    <row r="190" spans="5:49">
      <c r="E190">
        <f t="shared" si="136"/>
        <v>187</v>
      </c>
      <c r="F190" s="64">
        <f t="shared" si="113"/>
        <v>69.88</v>
      </c>
      <c r="G190" s="55">
        <f t="shared" si="100"/>
        <v>0</v>
      </c>
      <c r="H190" s="78">
        <f t="shared" si="131"/>
        <v>1</v>
      </c>
      <c r="I190" s="79">
        <f t="shared" si="114"/>
        <v>462652.75364029215</v>
      </c>
      <c r="J190" s="79">
        <f t="shared" si="101"/>
        <v>3155.9826897014304</v>
      </c>
      <c r="K190" s="80">
        <f t="shared" si="102"/>
        <v>-15</v>
      </c>
      <c r="L190" s="80">
        <f t="shared" si="115"/>
        <v>-385.54396136691014</v>
      </c>
      <c r="M190" s="80">
        <f t="shared" si="133"/>
        <v>0</v>
      </c>
      <c r="N190" s="80">
        <f t="shared" si="116"/>
        <v>-439.52011595827759</v>
      </c>
      <c r="O190" s="81">
        <f t="shared" si="103"/>
        <v>-2500.6101455486769</v>
      </c>
      <c r="P190" s="79">
        <f t="shared" si="104"/>
        <v>462468.06210711971</v>
      </c>
      <c r="Q190" s="35"/>
      <c r="R190">
        <f t="shared" ca="1" si="117"/>
        <v>312</v>
      </c>
      <c r="S190" s="78">
        <f t="shared" ca="1" si="118"/>
        <v>79.88</v>
      </c>
      <c r="T190" s="55">
        <f t="shared" ca="1" si="105"/>
        <v>8.641806137517527E-3</v>
      </c>
      <c r="U190" s="78">
        <f t="shared" ca="1" si="124"/>
        <v>0.40984151903862842</v>
      </c>
      <c r="V190" s="79">
        <f t="shared" ca="1" si="119"/>
        <v>157419.64643458882</v>
      </c>
      <c r="W190" s="79">
        <f t="shared" ca="1" si="106"/>
        <v>1073.8370738256742</v>
      </c>
      <c r="X190" s="80">
        <f t="shared" ca="1" si="125"/>
        <v>-6.1476227855794265</v>
      </c>
      <c r="Y190" s="80">
        <f t="shared" ca="1" si="126"/>
        <v>-131.18303869549069</v>
      </c>
      <c r="Z190" s="80">
        <f t="shared" ca="1" si="120"/>
        <v>0</v>
      </c>
      <c r="AA190" s="80">
        <f t="shared" ca="1" si="127"/>
        <v>-149.54866411285943</v>
      </c>
      <c r="AB190" s="81">
        <f t="shared" ca="1" si="107"/>
        <v>-1024.8538605750755</v>
      </c>
      <c r="AC190" s="79">
        <f t="shared" ca="1" si="108"/>
        <v>157181.7503222455</v>
      </c>
      <c r="AD190" s="35"/>
      <c r="AE190" s="62">
        <f t="shared" ca="1" si="109"/>
        <v>-2500.6101455486769</v>
      </c>
      <c r="AF190" s="62">
        <f t="shared" ca="1" si="110"/>
        <v>383518.36751666636</v>
      </c>
      <c r="AG190" s="35"/>
      <c r="AH190" s="35"/>
      <c r="AR190" s="69">
        <f t="shared" si="121"/>
        <v>16</v>
      </c>
      <c r="AS190" s="70">
        <f t="shared" si="128"/>
        <v>187</v>
      </c>
      <c r="AT190" s="71">
        <f t="shared" si="134"/>
        <v>0.27804009156983844</v>
      </c>
      <c r="AU190" s="72">
        <f t="shared" si="111"/>
        <v>6.8214933659622723E-3</v>
      </c>
      <c r="AV190" s="73">
        <f t="shared" si="122"/>
        <v>1.0068214933659623</v>
      </c>
      <c r="AW190" s="74">
        <f>PRODUCT(AV$4:AV190)</f>
        <v>3.5654423611124244</v>
      </c>
    </row>
    <row r="191" spans="5:49">
      <c r="E191">
        <f t="shared" si="136"/>
        <v>188</v>
      </c>
      <c r="F191" s="64">
        <f t="shared" si="113"/>
        <v>69.959999999999994</v>
      </c>
      <c r="G191" s="55">
        <f t="shared" si="100"/>
        <v>0</v>
      </c>
      <c r="H191" s="78">
        <f t="shared" si="131"/>
        <v>1</v>
      </c>
      <c r="I191" s="79">
        <f t="shared" si="114"/>
        <v>462468.06210711971</v>
      </c>
      <c r="J191" s="79">
        <f t="shared" si="101"/>
        <v>3154.722817633145</v>
      </c>
      <c r="K191" s="80">
        <f t="shared" si="102"/>
        <v>-15</v>
      </c>
      <c r="L191" s="80">
        <f t="shared" si="115"/>
        <v>-385.39005175593314</v>
      </c>
      <c r="M191" s="80">
        <f t="shared" si="133"/>
        <v>0</v>
      </c>
      <c r="N191" s="80">
        <f t="shared" si="116"/>
        <v>-439.34465900176383</v>
      </c>
      <c r="O191" s="81">
        <f t="shared" si="103"/>
        <v>-2500.6101455486769</v>
      </c>
      <c r="P191" s="79">
        <f t="shared" si="104"/>
        <v>462282.44006844651</v>
      </c>
      <c r="Q191" s="35"/>
      <c r="R191">
        <f t="shared" ca="1" si="117"/>
        <v>313</v>
      </c>
      <c r="S191" s="78">
        <f t="shared" ca="1" si="118"/>
        <v>79.959999999999994</v>
      </c>
      <c r="T191" s="55">
        <f t="shared" ca="1" si="105"/>
        <v>8.641806137517527E-3</v>
      </c>
      <c r="U191" s="78">
        <f t="shared" ca="1" si="124"/>
        <v>0.40629974808399089</v>
      </c>
      <c r="V191" s="79">
        <f t="shared" ca="1" si="119"/>
        <v>155823.41610760498</v>
      </c>
      <c r="W191" s="79">
        <f t="shared" ca="1" si="106"/>
        <v>1062.948399239606</v>
      </c>
      <c r="X191" s="80">
        <f t="shared" ca="1" si="125"/>
        <v>-6.0944962212598632</v>
      </c>
      <c r="Y191" s="80">
        <f t="shared" ca="1" si="126"/>
        <v>-129.8528467563375</v>
      </c>
      <c r="Z191" s="80">
        <f t="shared" ca="1" si="120"/>
        <v>-1168.6756208070374</v>
      </c>
      <c r="AA191" s="80">
        <f t="shared" ca="1" si="127"/>
        <v>-148.03224530222477</v>
      </c>
      <c r="AB191" s="81">
        <f t="shared" ca="1" si="107"/>
        <v>-1015.9972721926993</v>
      </c>
      <c r="AC191" s="79">
        <f t="shared" ca="1" si="108"/>
        <v>154417.71202556501</v>
      </c>
      <c r="AD191" s="35"/>
      <c r="AE191" s="62">
        <f t="shared" ca="1" si="109"/>
        <v>-2500.6101455486769</v>
      </c>
      <c r="AF191" s="62">
        <f t="shared" ca="1" si="110"/>
        <v>380058.59652574419</v>
      </c>
      <c r="AG191" s="35"/>
      <c r="AH191" s="35"/>
      <c r="AR191" s="69">
        <f t="shared" si="121"/>
        <v>16</v>
      </c>
      <c r="AS191" s="70">
        <f t="shared" si="128"/>
        <v>188</v>
      </c>
      <c r="AT191" s="71">
        <f t="shared" si="134"/>
        <v>0.27614344292972326</v>
      </c>
      <c r="AU191" s="72">
        <f t="shared" si="111"/>
        <v>6.8214933659622723E-3</v>
      </c>
      <c r="AV191" s="73">
        <f t="shared" si="122"/>
        <v>1.0068214933659623</v>
      </c>
      <c r="AW191" s="74">
        <f>PRODUCT(AV$4:AV191)</f>
        <v>3.5897640025254738</v>
      </c>
    </row>
    <row r="192" spans="5:49">
      <c r="E192">
        <f t="shared" si="136"/>
        <v>189</v>
      </c>
      <c r="F192" s="64">
        <f t="shared" si="113"/>
        <v>70.040000000000006</v>
      </c>
      <c r="G192" s="55">
        <f t="shared" si="100"/>
        <v>0</v>
      </c>
      <c r="H192" s="78">
        <f t="shared" si="131"/>
        <v>1</v>
      </c>
      <c r="I192" s="79">
        <f t="shared" si="114"/>
        <v>462282.44006844651</v>
      </c>
      <c r="J192" s="79">
        <f t="shared" si="101"/>
        <v>3153.4565981277597</v>
      </c>
      <c r="K192" s="80">
        <f t="shared" si="102"/>
        <v>-15</v>
      </c>
      <c r="L192" s="80">
        <f t="shared" si="115"/>
        <v>-385.23536672370545</v>
      </c>
      <c r="M192" s="80">
        <f t="shared" si="133"/>
        <v>0</v>
      </c>
      <c r="N192" s="80">
        <f t="shared" si="116"/>
        <v>-439.16831806502427</v>
      </c>
      <c r="O192" s="81">
        <f t="shared" si="103"/>
        <v>-2500.6101455486769</v>
      </c>
      <c r="P192" s="79">
        <f t="shared" si="104"/>
        <v>462095.88283623691</v>
      </c>
      <c r="Q192" s="35"/>
      <c r="R192">
        <f t="shared" ca="1" si="117"/>
        <v>314</v>
      </c>
      <c r="S192" s="78">
        <f t="shared" ca="1" si="118"/>
        <v>80.040000000000006</v>
      </c>
      <c r="T192" s="55">
        <f t="shared" ca="1" si="105"/>
        <v>8.641806137517527E-3</v>
      </c>
      <c r="U192" s="78">
        <f t="shared" ca="1" si="124"/>
        <v>0.40278858442732685</v>
      </c>
      <c r="V192" s="79">
        <f t="shared" ca="1" si="119"/>
        <v>153083.26409404108</v>
      </c>
      <c r="W192" s="79">
        <f t="shared" ca="1" si="106"/>
        <v>1044.2564704573517</v>
      </c>
      <c r="X192" s="80">
        <f t="shared" ca="1" si="125"/>
        <v>-6.0418287664099024</v>
      </c>
      <c r="Y192" s="80">
        <f t="shared" ca="1" si="126"/>
        <v>-127.56938674503424</v>
      </c>
      <c r="Z192" s="80">
        <f t="shared" ca="1" si="120"/>
        <v>0</v>
      </c>
      <c r="AA192" s="80">
        <f t="shared" ca="1" si="127"/>
        <v>-145.42910088933905</v>
      </c>
      <c r="AB192" s="81">
        <f t="shared" ca="1" si="107"/>
        <v>-1007.2172207301633</v>
      </c>
      <c r="AC192" s="79">
        <f t="shared" ca="1" si="108"/>
        <v>152841.26302736747</v>
      </c>
      <c r="AD192" s="35"/>
      <c r="AE192" s="62">
        <f t="shared" ca="1" si="109"/>
        <v>-2500.6101455486769</v>
      </c>
      <c r="AF192" s="62">
        <f t="shared" ca="1" si="110"/>
        <v>379457.78241126856</v>
      </c>
      <c r="AG192" s="35"/>
      <c r="AH192" s="35"/>
      <c r="AR192" s="69">
        <f t="shared" si="121"/>
        <v>16</v>
      </c>
      <c r="AS192" s="70">
        <f t="shared" si="128"/>
        <v>189</v>
      </c>
      <c r="AT192" s="71">
        <f t="shared" si="134"/>
        <v>0.2742597322657242</v>
      </c>
      <c r="AU192" s="72">
        <f t="shared" si="111"/>
        <v>6.8214933659622723E-3</v>
      </c>
      <c r="AV192" s="73">
        <f t="shared" si="122"/>
        <v>1.0068214933659623</v>
      </c>
      <c r="AW192" s="74">
        <f>PRODUCT(AV$4:AV192)</f>
        <v>3.6142515538540714</v>
      </c>
    </row>
    <row r="193" spans="5:49">
      <c r="E193">
        <f t="shared" si="136"/>
        <v>190</v>
      </c>
      <c r="F193" s="64">
        <f t="shared" si="113"/>
        <v>70.12</v>
      </c>
      <c r="G193" s="55">
        <f t="shared" si="100"/>
        <v>0</v>
      </c>
      <c r="H193" s="78">
        <f t="shared" si="131"/>
        <v>1</v>
      </c>
      <c r="I193" s="79">
        <f t="shared" si="114"/>
        <v>462095.88283623691</v>
      </c>
      <c r="J193" s="79">
        <f t="shared" si="101"/>
        <v>3152.1839992058694</v>
      </c>
      <c r="K193" s="80">
        <f t="shared" si="102"/>
        <v>-15</v>
      </c>
      <c r="L193" s="80">
        <f t="shared" si="115"/>
        <v>-385.07990236353078</v>
      </c>
      <c r="M193" s="80">
        <f t="shared" si="133"/>
        <v>0</v>
      </c>
      <c r="N193" s="80">
        <f t="shared" si="116"/>
        <v>-438.99108869442512</v>
      </c>
      <c r="O193" s="81">
        <f t="shared" si="103"/>
        <v>-2500.6101455486769</v>
      </c>
      <c r="P193" s="79">
        <f t="shared" si="104"/>
        <v>461908.38569883618</v>
      </c>
      <c r="Q193" s="35"/>
      <c r="R193">
        <f t="shared" ca="1" si="117"/>
        <v>315</v>
      </c>
      <c r="S193" s="78">
        <f t="shared" ca="1" si="118"/>
        <v>80.12</v>
      </c>
      <c r="T193" s="55">
        <f t="shared" ca="1" si="105"/>
        <v>8.641806137517527E-3</v>
      </c>
      <c r="U193" s="78">
        <f t="shared" ca="1" si="124"/>
        <v>0.39930776356630077</v>
      </c>
      <c r="V193" s="79">
        <f t="shared" ca="1" si="119"/>
        <v>151520.43846247165</v>
      </c>
      <c r="W193" s="79">
        <f t="shared" ca="1" si="106"/>
        <v>1033.595665779445</v>
      </c>
      <c r="X193" s="80">
        <f t="shared" ca="1" si="125"/>
        <v>-5.9896164534945111</v>
      </c>
      <c r="Y193" s="80">
        <f t="shared" ca="1" si="126"/>
        <v>-126.26703205205972</v>
      </c>
      <c r="Z193" s="80">
        <f t="shared" ca="1" si="120"/>
        <v>0</v>
      </c>
      <c r="AA193" s="80">
        <f t="shared" ca="1" si="127"/>
        <v>-143.94441653934808</v>
      </c>
      <c r="AB193" s="81">
        <f t="shared" ca="1" si="107"/>
        <v>-998.51304477024405</v>
      </c>
      <c r="AC193" s="79">
        <f t="shared" ca="1" si="108"/>
        <v>151279.32001843592</v>
      </c>
      <c r="AD193" s="35"/>
      <c r="AE193" s="62">
        <f t="shared" ca="1" si="109"/>
        <v>-2500.6101455486769</v>
      </c>
      <c r="AF193" s="62">
        <f t="shared" ca="1" si="110"/>
        <v>378853.94129913434</v>
      </c>
      <c r="AG193" s="35"/>
      <c r="AH193" s="35"/>
      <c r="AR193" s="69">
        <f t="shared" si="121"/>
        <v>16</v>
      </c>
      <c r="AS193" s="70">
        <f t="shared" si="128"/>
        <v>190</v>
      </c>
      <c r="AT193" s="71">
        <f t="shared" si="134"/>
        <v>0.27238887132152295</v>
      </c>
      <c r="AU193" s="72">
        <f t="shared" si="111"/>
        <v>6.8214933659622723E-3</v>
      </c>
      <c r="AV193" s="73">
        <f t="shared" si="122"/>
        <v>1.0068214933659623</v>
      </c>
      <c r="AW193" s="74">
        <f>PRODUCT(AV$4:AV193)</f>
        <v>3.638906146851606</v>
      </c>
    </row>
    <row r="194" spans="5:49">
      <c r="E194">
        <f t="shared" si="136"/>
        <v>191</v>
      </c>
      <c r="F194" s="64">
        <f t="shared" si="113"/>
        <v>70.2</v>
      </c>
      <c r="G194" s="55">
        <f t="shared" si="100"/>
        <v>0</v>
      </c>
      <c r="H194" s="78">
        <f t="shared" si="131"/>
        <v>1</v>
      </c>
      <c r="I194" s="79">
        <f t="shared" si="114"/>
        <v>461908.38569883618</v>
      </c>
      <c r="J194" s="79">
        <f t="shared" si="101"/>
        <v>3150.9049887269534</v>
      </c>
      <c r="K194" s="80">
        <f t="shared" si="102"/>
        <v>-15</v>
      </c>
      <c r="L194" s="80">
        <f t="shared" si="115"/>
        <v>-384.92365474903016</v>
      </c>
      <c r="M194" s="80">
        <f t="shared" si="133"/>
        <v>0</v>
      </c>
      <c r="N194" s="80">
        <f t="shared" si="116"/>
        <v>-438.81296641389446</v>
      </c>
      <c r="O194" s="81">
        <f t="shared" si="103"/>
        <v>-2500.6101455486769</v>
      </c>
      <c r="P194" s="79">
        <f t="shared" si="104"/>
        <v>461719.94392085151</v>
      </c>
      <c r="Q194" s="35"/>
      <c r="R194">
        <f t="shared" ca="1" si="117"/>
        <v>316</v>
      </c>
      <c r="S194" s="78">
        <f t="shared" ca="1" si="118"/>
        <v>80.2</v>
      </c>
      <c r="T194" s="55">
        <f t="shared" ca="1" si="105"/>
        <v>8.641806137517527E-3</v>
      </c>
      <c r="U194" s="78">
        <f t="shared" ca="1" si="124"/>
        <v>0.39585702328435513</v>
      </c>
      <c r="V194" s="79">
        <f t="shared" ca="1" si="119"/>
        <v>149971.99346222111</v>
      </c>
      <c r="W194" s="79">
        <f t="shared" ca="1" si="106"/>
        <v>1023.0329584826786</v>
      </c>
      <c r="X194" s="80">
        <f t="shared" ca="1" si="125"/>
        <v>-5.9378553492653268</v>
      </c>
      <c r="Y194" s="80">
        <f t="shared" ca="1" si="126"/>
        <v>-124.97666121851761</v>
      </c>
      <c r="Z194" s="80">
        <f t="shared" ca="1" si="120"/>
        <v>0</v>
      </c>
      <c r="AA194" s="80">
        <f t="shared" ca="1" si="127"/>
        <v>-142.47339378911008</v>
      </c>
      <c r="AB194" s="81">
        <f t="shared" ca="1" si="107"/>
        <v>-989.88408861155722</v>
      </c>
      <c r="AC194" s="79">
        <f t="shared" ca="1" si="108"/>
        <v>149731.75442173536</v>
      </c>
      <c r="AD194" s="35"/>
      <c r="AE194" s="62">
        <f t="shared" ca="1" si="109"/>
        <v>-2500.6101455486769</v>
      </c>
      <c r="AF194" s="62">
        <f t="shared" ca="1" si="110"/>
        <v>378247.05793884292</v>
      </c>
      <c r="AG194" s="35"/>
      <c r="AH194" s="35"/>
      <c r="AR194" s="69">
        <f t="shared" si="121"/>
        <v>16</v>
      </c>
      <c r="AS194" s="70">
        <f t="shared" si="128"/>
        <v>191</v>
      </c>
      <c r="AT194" s="71">
        <f t="shared" si="134"/>
        <v>0.27053077244284124</v>
      </c>
      <c r="AU194" s="72">
        <f t="shared" si="111"/>
        <v>6.8214933659622723E-3</v>
      </c>
      <c r="AV194" s="73">
        <f t="shared" si="122"/>
        <v>1.0068214933659623</v>
      </c>
      <c r="AW194" s="74">
        <f>PRODUCT(AV$4:AV194)</f>
        <v>3.6637289209917134</v>
      </c>
    </row>
    <row r="195" spans="5:49">
      <c r="E195">
        <f t="shared" si="136"/>
        <v>192</v>
      </c>
      <c r="F195" s="64">
        <f t="shared" si="113"/>
        <v>70.28</v>
      </c>
      <c r="G195" s="55">
        <f t="shared" si="100"/>
        <v>0</v>
      </c>
      <c r="H195" s="78">
        <f t="shared" si="131"/>
        <v>1</v>
      </c>
      <c r="I195" s="79">
        <f t="shared" si="114"/>
        <v>461719.94392085151</v>
      </c>
      <c r="J195" s="79">
        <f t="shared" si="101"/>
        <v>3149.6195343885611</v>
      </c>
      <c r="K195" s="80">
        <f t="shared" si="102"/>
        <v>-15</v>
      </c>
      <c r="L195" s="80">
        <f t="shared" si="115"/>
        <v>-384.76661993404298</v>
      </c>
      <c r="M195" s="80">
        <f t="shared" si="133"/>
        <v>0</v>
      </c>
      <c r="N195" s="80">
        <f t="shared" si="116"/>
        <v>-438.63394672480899</v>
      </c>
      <c r="O195" s="81">
        <f t="shared" si="103"/>
        <v>-2500.6101455486769</v>
      </c>
      <c r="P195" s="79">
        <f t="shared" si="104"/>
        <v>461530.55274303252</v>
      </c>
      <c r="Q195" s="35"/>
      <c r="R195">
        <f t="shared" ca="1" si="117"/>
        <v>317</v>
      </c>
      <c r="S195" s="78">
        <f t="shared" ca="1" si="118"/>
        <v>80.28</v>
      </c>
      <c r="T195" s="55">
        <f t="shared" ca="1" si="105"/>
        <v>8.641806137517527E-3</v>
      </c>
      <c r="U195" s="78">
        <f t="shared" ca="1" si="124"/>
        <v>0.39243610363095699</v>
      </c>
      <c r="V195" s="79">
        <f t="shared" ca="1" si="119"/>
        <v>148437.80162739233</v>
      </c>
      <c r="W195" s="79">
        <f t="shared" ca="1" si="106"/>
        <v>1012.5674790592806</v>
      </c>
      <c r="X195" s="80">
        <f t="shared" ca="1" si="125"/>
        <v>-5.8865415544643547</v>
      </c>
      <c r="Y195" s="80">
        <f t="shared" ca="1" si="126"/>
        <v>-123.69816802282695</v>
      </c>
      <c r="Z195" s="80">
        <f t="shared" ca="1" si="120"/>
        <v>0</v>
      </c>
      <c r="AA195" s="80">
        <f t="shared" ca="1" si="127"/>
        <v>-141.01591154602275</v>
      </c>
      <c r="AB195" s="81">
        <f t="shared" ca="1" si="107"/>
        <v>-981.3297022191631</v>
      </c>
      <c r="AC195" s="79">
        <f t="shared" ca="1" si="108"/>
        <v>148198.43878310913</v>
      </c>
      <c r="AD195" s="35"/>
      <c r="AE195" s="62">
        <f t="shared" ca="1" si="109"/>
        <v>-2500.6101455486773</v>
      </c>
      <c r="AF195" s="62">
        <f t="shared" ca="1" si="110"/>
        <v>377637.11700306111</v>
      </c>
      <c r="AG195" s="35"/>
      <c r="AH195" s="35"/>
      <c r="AR195" s="69">
        <f t="shared" si="121"/>
        <v>16</v>
      </c>
      <c r="AS195" s="70">
        <f t="shared" si="128"/>
        <v>192</v>
      </c>
      <c r="AT195" s="71">
        <f t="shared" si="134"/>
        <v>0.26868534857333376</v>
      </c>
      <c r="AU195" s="72">
        <f t="shared" si="111"/>
        <v>6.8214933659622723E-3</v>
      </c>
      <c r="AV195" s="73">
        <f t="shared" si="122"/>
        <v>1.0068214933659623</v>
      </c>
      <c r="AW195" s="74">
        <f>PRODUCT(AV$4:AV195)</f>
        <v>3.6887210235209427</v>
      </c>
    </row>
    <row r="196" spans="5:49">
      <c r="E196">
        <f t="shared" si="136"/>
        <v>193</v>
      </c>
      <c r="F196" s="64">
        <f t="shared" si="113"/>
        <v>70.36</v>
      </c>
      <c r="G196" s="55">
        <f t="shared" ref="G196:G259" si="137">(1-(1-IF(F196&gt;$AJ$90,0,VLOOKUP(ROUND(F196,0),$AJ$4:$AK$90,2,FALSE)))^(1/12))*0</f>
        <v>0</v>
      </c>
      <c r="H196" s="78">
        <f t="shared" si="131"/>
        <v>1</v>
      </c>
      <c r="I196" s="79">
        <f t="shared" si="114"/>
        <v>461530.55274303252</v>
      </c>
      <c r="J196" s="79">
        <f t="shared" ref="J196:J259" si="138">(I196)*$AU196</f>
        <v>3148.3276037254968</v>
      </c>
      <c r="K196" s="80">
        <f t="shared" ref="K196:K259" si="139">IF(I196=0,0,-$C$19)*H196</f>
        <v>-15</v>
      </c>
      <c r="L196" s="80">
        <f t="shared" si="115"/>
        <v>-384.60879395252709</v>
      </c>
      <c r="M196" s="80">
        <f t="shared" si="133"/>
        <v>-3461.4791455727436</v>
      </c>
      <c r="N196" s="80">
        <f t="shared" si="116"/>
        <v>-438.45402510588093</v>
      </c>
      <c r="O196" s="81">
        <f t="shared" ref="O196:O259" si="140">-MIN(
IF(MOD(E196-1,IF($C$7="Annual",12,1))=0,1,0)
*IF(F196&lt;=$C$6,H196*$C$5*$C$4/IF($C$7="Monthly",12,1),$C$12),I196)</f>
        <v>-2500.6101455486769</v>
      </c>
      <c r="P196" s="79">
        <f t="shared" ref="P196:P259" si="141">SUM(I196:O196)</f>
        <v>457878.72823657823</v>
      </c>
      <c r="Q196" s="35"/>
      <c r="R196">
        <f t="shared" ca="1" si="117"/>
        <v>318</v>
      </c>
      <c r="S196" s="78">
        <f t="shared" ca="1" si="118"/>
        <v>80.36</v>
      </c>
      <c r="T196" s="55">
        <f t="shared" ref="T196:T259" ca="1" si="142">(1-(1-IF(S196&gt;$AJ$90,0,VLOOKUP(ROUND(S196,0),$AJ$4:$AK$90,2,FALSE)))^(1/12))</f>
        <v>8.641806137517527E-3</v>
      </c>
      <c r="U196" s="78">
        <f t="shared" ca="1" si="124"/>
        <v>0.38904474690201551</v>
      </c>
      <c r="V196" s="79">
        <f t="shared" ca="1" si="119"/>
        <v>146917.73660526273</v>
      </c>
      <c r="W196" s="79">
        <f t="shared" ref="W196:W259" ca="1" si="143">(V196)*$AU196</f>
        <v>1002.1983655949922</v>
      </c>
      <c r="X196" s="80">
        <f t="shared" ca="1" si="125"/>
        <v>-5.8356712035302323</v>
      </c>
      <c r="Y196" s="80">
        <f t="shared" ca="1" si="126"/>
        <v>-122.43144717105228</v>
      </c>
      <c r="Z196" s="80">
        <f t="shared" ca="1" si="120"/>
        <v>0</v>
      </c>
      <c r="AA196" s="80">
        <f t="shared" ca="1" si="127"/>
        <v>-139.57184977499961</v>
      </c>
      <c r="AB196" s="81">
        <f t="shared" ref="AB196:AB259" ca="1" si="144">-MIN(IF(MOD(R196,IF($C$7="Annual",12,1))=0,1,0)*$C$39*U196/IF($C$7="Monthly",12,1),V196)</f>
        <v>-972.84924117559729</v>
      </c>
      <c r="AC196" s="79">
        <f t="shared" ref="AC196:AC259" ca="1" si="145">SUM(V196:AB196)</f>
        <v>146679.24676153253</v>
      </c>
      <c r="AD196" s="35"/>
      <c r="AE196" s="62">
        <f t="shared" ref="AE196:AE259" ca="1" si="146">AB196/U196</f>
        <v>-2500.6101455486773</v>
      </c>
      <c r="AF196" s="62">
        <f t="shared" ref="AF196:AF259" ca="1" si="147">AC196/U196</f>
        <v>377024.10308723443</v>
      </c>
      <c r="AG196" s="35"/>
      <c r="AH196" s="35"/>
      <c r="AR196" s="69">
        <f t="shared" si="121"/>
        <v>17</v>
      </c>
      <c r="AS196" s="70">
        <f t="shared" si="128"/>
        <v>193</v>
      </c>
      <c r="AT196" s="71">
        <f t="shared" si="134"/>
        <v>0.26685251325050952</v>
      </c>
      <c r="AU196" s="72">
        <f t="shared" ref="AU196:AU259" si="148">((1+$AH$21)^(1/12))-1</f>
        <v>6.8214933659622723E-3</v>
      </c>
      <c r="AV196" s="73">
        <f t="shared" si="122"/>
        <v>1.0068214933659623</v>
      </c>
      <c r="AW196" s="74">
        <f>PRODUCT(AV$4:AV196)</f>
        <v>3.7138836095117762</v>
      </c>
    </row>
    <row r="197" spans="5:49">
      <c r="E197">
        <f t="shared" si="136"/>
        <v>194</v>
      </c>
      <c r="F197" s="64">
        <f t="shared" ref="F197:F260" si="149">ROUND((E197-E196)/12+F196,2)</f>
        <v>70.44</v>
      </c>
      <c r="G197" s="55">
        <f t="shared" si="137"/>
        <v>0</v>
      </c>
      <c r="H197" s="78">
        <f t="shared" si="131"/>
        <v>1</v>
      </c>
      <c r="I197" s="79">
        <f t="shared" ref="I197:I260" si="150">MAX(P196,0)*(1-G197)</f>
        <v>457878.72823657823</v>
      </c>
      <c r="J197" s="79">
        <f t="shared" si="138"/>
        <v>3123.4167070810604</v>
      </c>
      <c r="K197" s="80">
        <f t="shared" si="139"/>
        <v>-15</v>
      </c>
      <c r="L197" s="80">
        <f t="shared" ref="L197:L260" si="151">IF(OR(I196+O196=0,K196=0),0,-I197*($C$16/12))</f>
        <v>-381.56560686381522</v>
      </c>
      <c r="M197" s="80">
        <f t="shared" si="133"/>
        <v>0</v>
      </c>
      <c r="N197" s="80">
        <f t="shared" ref="N197:N260" si="152">IF(OR(I196+O196=0,K196=0),0,-I197*($C$18*(1+$C$20))/12)</f>
        <v>-434.98479182474944</v>
      </c>
      <c r="O197" s="81">
        <f t="shared" si="140"/>
        <v>-2500.6101455486769</v>
      </c>
      <c r="P197" s="79">
        <f t="shared" si="141"/>
        <v>457669.98439942207</v>
      </c>
      <c r="Q197" s="35"/>
      <c r="R197">
        <f t="shared" ref="R197:R260" ca="1" si="153">R196+1</f>
        <v>319</v>
      </c>
      <c r="S197" s="78">
        <f t="shared" ref="S197:S260" ca="1" si="154">ROUND((R197-R196)/12+S196,2)</f>
        <v>80.44</v>
      </c>
      <c r="T197" s="55">
        <f t="shared" ca="1" si="142"/>
        <v>8.641806137517527E-3</v>
      </c>
      <c r="U197" s="78">
        <f t="shared" ca="1" si="124"/>
        <v>0.38568269762046875</v>
      </c>
      <c r="V197" s="79">
        <f t="shared" ref="V197:V260" ca="1" si="155">MAX(AC196,0)*(1-T197)</f>
        <v>145411.67314662226</v>
      </c>
      <c r="W197" s="79">
        <f t="shared" ca="1" si="143"/>
        <v>991.92476370315796</v>
      </c>
      <c r="X197" s="80">
        <f t="shared" ca="1" si="125"/>
        <v>-5.785240464307031</v>
      </c>
      <c r="Y197" s="80">
        <f t="shared" ca="1" si="126"/>
        <v>-121.17639428885188</v>
      </c>
      <c r="Z197" s="80">
        <f t="shared" ref="Z197:Z260" ca="1" si="156">-IF(MOD(R197-1,12)=0,1,0)*V197*($C$17)</f>
        <v>0</v>
      </c>
      <c r="AA197" s="80">
        <f t="shared" ca="1" si="127"/>
        <v>-138.14108948929118</v>
      </c>
      <c r="AB197" s="81">
        <f t="shared" ca="1" si="144"/>
        <v>-964.44206663232671</v>
      </c>
      <c r="AC197" s="79">
        <f t="shared" ca="1" si="145"/>
        <v>145174.0531194506</v>
      </c>
      <c r="AD197" s="35"/>
      <c r="AE197" s="62">
        <f t="shared" ca="1" si="146"/>
        <v>-2500.6101455486769</v>
      </c>
      <c r="AF197" s="62">
        <f t="shared" ca="1" si="147"/>
        <v>376408.00070919748</v>
      </c>
      <c r="AG197" s="35"/>
      <c r="AH197" s="35"/>
      <c r="AR197" s="69">
        <f t="shared" ref="AR197:AR260" si="157">ROUNDDOWN((AS197-1)/12,0)+1</f>
        <v>17</v>
      </c>
      <c r="AS197" s="70">
        <f t="shared" si="128"/>
        <v>194</v>
      </c>
      <c r="AT197" s="71">
        <f t="shared" si="134"/>
        <v>0.26503218060168082</v>
      </c>
      <c r="AU197" s="72">
        <f t="shared" si="148"/>
        <v>6.8214933659622723E-3</v>
      </c>
      <c r="AV197" s="73">
        <f t="shared" ref="AV197:AV260" si="158">(1+AU197)</f>
        <v>1.0068214933659623</v>
      </c>
      <c r="AW197" s="74">
        <f>PRODUCT(AV$4:AV197)</f>
        <v>3.7392178419160169</v>
      </c>
    </row>
    <row r="198" spans="5:49">
      <c r="E198">
        <f t="shared" si="136"/>
        <v>195</v>
      </c>
      <c r="F198" s="64">
        <f t="shared" si="149"/>
        <v>70.52</v>
      </c>
      <c r="G198" s="55">
        <f t="shared" si="137"/>
        <v>0</v>
      </c>
      <c r="H198" s="78">
        <f t="shared" si="131"/>
        <v>1</v>
      </c>
      <c r="I198" s="79">
        <f t="shared" si="150"/>
        <v>457669.98439942207</v>
      </c>
      <c r="J198" s="79">
        <f t="shared" si="138"/>
        <v>3121.9927623807143</v>
      </c>
      <c r="K198" s="80">
        <f t="shared" si="139"/>
        <v>-15</v>
      </c>
      <c r="L198" s="80">
        <f t="shared" si="151"/>
        <v>-381.39165366618511</v>
      </c>
      <c r="M198" s="80">
        <f t="shared" si="133"/>
        <v>0</v>
      </c>
      <c r="N198" s="80">
        <f t="shared" si="152"/>
        <v>-434.78648517945106</v>
      </c>
      <c r="O198" s="81">
        <f t="shared" si="140"/>
        <v>-2500.6101455486769</v>
      </c>
      <c r="P198" s="79">
        <f t="shared" si="141"/>
        <v>457460.18887740851</v>
      </c>
      <c r="Q198" s="35"/>
      <c r="R198">
        <f t="shared" ca="1" si="153"/>
        <v>320</v>
      </c>
      <c r="S198" s="78">
        <f t="shared" ca="1" si="154"/>
        <v>80.52</v>
      </c>
      <c r="T198" s="55">
        <f t="shared" ca="1" si="142"/>
        <v>9.4522381300610192E-3</v>
      </c>
      <c r="U198" s="78">
        <f t="shared" ref="U198:U261" ca="1" si="159">U197*(1-T198)</f>
        <v>0.38203713291991576</v>
      </c>
      <c r="V198" s="79">
        <f t="shared" ca="1" si="155"/>
        <v>143801.83339905943</v>
      </c>
      <c r="W198" s="79">
        <f t="shared" ca="1" si="143"/>
        <v>980.94325254489581</v>
      </c>
      <c r="X198" s="80">
        <f t="shared" ref="X198:X261" ca="1" si="160">IF(V198=0,0,-$C$19)*U198</f>
        <v>-5.7305569937987366</v>
      </c>
      <c r="Y198" s="80">
        <f t="shared" ref="Y198:Y261" ca="1" si="161">IF(OR(V197+AB197=0,X197=0),0,-V198*($C$16/12))</f>
        <v>-119.83486116588286</v>
      </c>
      <c r="Z198" s="80">
        <f t="shared" ca="1" si="156"/>
        <v>0</v>
      </c>
      <c r="AA198" s="80">
        <f t="shared" ref="AA198:AA261" ca="1" si="162">IF(OR(V197+AB197=0,X197=0),0,-V198*($C$18*(1+$C$20))/12)</f>
        <v>-136.61174172910648</v>
      </c>
      <c r="AB198" s="81">
        <f t="shared" ca="1" si="144"/>
        <v>-955.32593055586983</v>
      </c>
      <c r="AC198" s="79">
        <f t="shared" ca="1" si="145"/>
        <v>143565.27356115967</v>
      </c>
      <c r="AD198" s="35"/>
      <c r="AE198" s="62">
        <f t="shared" ca="1" si="146"/>
        <v>-2500.6101455486769</v>
      </c>
      <c r="AF198" s="62">
        <f t="shared" ca="1" si="147"/>
        <v>375788.79430878366</v>
      </c>
      <c r="AG198" s="35"/>
      <c r="AH198" s="35"/>
      <c r="AR198" s="69">
        <f t="shared" si="157"/>
        <v>17</v>
      </c>
      <c r="AS198" s="70">
        <f t="shared" ref="AS198:AS261" si="163">AS197+1</f>
        <v>195</v>
      </c>
      <c r="AT198" s="71">
        <f t="shared" si="134"/>
        <v>0.26322426533993992</v>
      </c>
      <c r="AU198" s="72">
        <f t="shared" si="148"/>
        <v>6.8214933659622723E-3</v>
      </c>
      <c r="AV198" s="73">
        <f t="shared" si="158"/>
        <v>1.0068214933659623</v>
      </c>
      <c r="AW198" s="74">
        <f>PRODUCT(AV$4:AV198)</f>
        <v>3.7647248916185347</v>
      </c>
    </row>
    <row r="199" spans="5:49">
      <c r="E199">
        <f t="shared" si="136"/>
        <v>196</v>
      </c>
      <c r="F199" s="64">
        <f t="shared" si="149"/>
        <v>70.599999999999994</v>
      </c>
      <c r="G199" s="55">
        <f t="shared" si="137"/>
        <v>0</v>
      </c>
      <c r="H199" s="78">
        <f t="shared" ref="H199:H262" si="164">H198*(1-G199)</f>
        <v>1</v>
      </c>
      <c r="I199" s="79">
        <f t="shared" si="150"/>
        <v>457460.18887740851</v>
      </c>
      <c r="J199" s="79">
        <f t="shared" si="138"/>
        <v>3120.5616436190903</v>
      </c>
      <c r="K199" s="80">
        <f t="shared" si="139"/>
        <v>-15</v>
      </c>
      <c r="L199" s="80">
        <f t="shared" si="151"/>
        <v>-381.21682406450714</v>
      </c>
      <c r="M199" s="80">
        <f t="shared" si="133"/>
        <v>0</v>
      </c>
      <c r="N199" s="80">
        <f t="shared" si="152"/>
        <v>-434.58717943353821</v>
      </c>
      <c r="O199" s="81">
        <f t="shared" si="140"/>
        <v>-2500.6101455486769</v>
      </c>
      <c r="P199" s="79">
        <f t="shared" si="141"/>
        <v>457249.3363719809</v>
      </c>
      <c r="Q199" s="35"/>
      <c r="R199">
        <f t="shared" ca="1" si="153"/>
        <v>321</v>
      </c>
      <c r="S199" s="78">
        <f t="shared" ca="1" si="154"/>
        <v>80.599999999999994</v>
      </c>
      <c r="T199" s="55">
        <f t="shared" ca="1" si="142"/>
        <v>9.4522381300610192E-3</v>
      </c>
      <c r="U199" s="78">
        <f t="shared" ca="1" si="159"/>
        <v>0.37842602696503091</v>
      </c>
      <c r="V199" s="79">
        <f t="shared" ca="1" si="155"/>
        <v>142208.26040825224</v>
      </c>
      <c r="W199" s="79">
        <f t="shared" ca="1" si="143"/>
        <v>970.07270495992793</v>
      </c>
      <c r="X199" s="80">
        <f t="shared" ca="1" si="160"/>
        <v>-5.6763904044754634</v>
      </c>
      <c r="Y199" s="80">
        <f t="shared" ca="1" si="161"/>
        <v>-118.50688367354354</v>
      </c>
      <c r="Z199" s="80">
        <f t="shared" ca="1" si="156"/>
        <v>0</v>
      </c>
      <c r="AA199" s="80">
        <f t="shared" ca="1" si="162"/>
        <v>-135.09784738783966</v>
      </c>
      <c r="AB199" s="81">
        <f t="shared" ca="1" si="144"/>
        <v>-946.29596236843338</v>
      </c>
      <c r="AC199" s="79">
        <f t="shared" ca="1" si="145"/>
        <v>141972.7560293779</v>
      </c>
      <c r="AD199" s="35"/>
      <c r="AE199" s="62">
        <f t="shared" ca="1" si="146"/>
        <v>-2500.6101455486764</v>
      </c>
      <c r="AF199" s="62">
        <f t="shared" ca="1" si="147"/>
        <v>375166.46824743139</v>
      </c>
      <c r="AG199" s="35"/>
      <c r="AH199" s="35"/>
      <c r="AR199" s="69">
        <f t="shared" si="157"/>
        <v>17</v>
      </c>
      <c r="AS199" s="70">
        <f t="shared" si="163"/>
        <v>196</v>
      </c>
      <c r="AT199" s="71">
        <f t="shared" si="134"/>
        <v>0.26142868276016323</v>
      </c>
      <c r="AU199" s="72">
        <f t="shared" si="148"/>
        <v>6.8214933659622723E-3</v>
      </c>
      <c r="AV199" s="73">
        <f t="shared" si="158"/>
        <v>1.0068214933659623</v>
      </c>
      <c r="AW199" s="74">
        <f>PRODUCT(AV$4:AV199)</f>
        <v>3.7904059374913834</v>
      </c>
    </row>
    <row r="200" spans="5:49">
      <c r="E200">
        <f t="shared" si="136"/>
        <v>197</v>
      </c>
      <c r="F200" s="64">
        <f t="shared" si="149"/>
        <v>70.680000000000007</v>
      </c>
      <c r="G200" s="55">
        <f t="shared" si="137"/>
        <v>0</v>
      </c>
      <c r="H200" s="78">
        <f t="shared" si="164"/>
        <v>1</v>
      </c>
      <c r="I200" s="79">
        <f t="shared" si="150"/>
        <v>457249.3363719809</v>
      </c>
      <c r="J200" s="79">
        <f t="shared" si="138"/>
        <v>3119.1233146521195</v>
      </c>
      <c r="K200" s="80">
        <f t="shared" si="139"/>
        <v>-15</v>
      </c>
      <c r="L200" s="80">
        <f t="shared" si="151"/>
        <v>-381.04111364331743</v>
      </c>
      <c r="M200" s="80">
        <f t="shared" si="133"/>
        <v>0</v>
      </c>
      <c r="N200" s="80">
        <f t="shared" si="152"/>
        <v>-434.38686955338193</v>
      </c>
      <c r="O200" s="81">
        <f t="shared" si="140"/>
        <v>-2500.6101455486769</v>
      </c>
      <c r="P200" s="79">
        <f t="shared" si="141"/>
        <v>457037.42155788769</v>
      </c>
      <c r="Q200" s="35"/>
      <c r="R200">
        <f t="shared" ca="1" si="153"/>
        <v>322</v>
      </c>
      <c r="S200" s="78">
        <f t="shared" ca="1" si="154"/>
        <v>80.680000000000007</v>
      </c>
      <c r="T200" s="55">
        <f t="shared" ca="1" si="142"/>
        <v>9.4522381300610192E-3</v>
      </c>
      <c r="U200" s="78">
        <f t="shared" ca="1" si="159"/>
        <v>0.37484905404354457</v>
      </c>
      <c r="V200" s="79">
        <f t="shared" ca="1" si="155"/>
        <v>140630.79573140715</v>
      </c>
      <c r="W200" s="79">
        <f t="shared" ca="1" si="143"/>
        <v>959.31204013178933</v>
      </c>
      <c r="X200" s="80">
        <f t="shared" ca="1" si="160"/>
        <v>-5.6227358106531682</v>
      </c>
      <c r="Y200" s="80">
        <f t="shared" ca="1" si="161"/>
        <v>-117.19232977617264</v>
      </c>
      <c r="Z200" s="80">
        <f t="shared" ca="1" si="156"/>
        <v>0</v>
      </c>
      <c r="AA200" s="80">
        <f t="shared" ca="1" si="162"/>
        <v>-133.59925594483681</v>
      </c>
      <c r="AB200" s="81">
        <f t="shared" ca="1" si="144"/>
        <v>-937.35134759061191</v>
      </c>
      <c r="AC200" s="79">
        <f t="shared" ca="1" si="145"/>
        <v>140396.34210241667</v>
      </c>
      <c r="AD200" s="35"/>
      <c r="AE200" s="62">
        <f t="shared" ca="1" si="146"/>
        <v>-2500.6101455486769</v>
      </c>
      <c r="AF200" s="62">
        <f t="shared" ca="1" si="147"/>
        <v>374541.0068077895</v>
      </c>
      <c r="AG200" s="35"/>
      <c r="AH200" s="35"/>
      <c r="AR200" s="69">
        <f t="shared" si="157"/>
        <v>17</v>
      </c>
      <c r="AS200" s="70">
        <f t="shared" si="163"/>
        <v>197</v>
      </c>
      <c r="AT200" s="71">
        <f t="shared" si="134"/>
        <v>0.25964534873504252</v>
      </c>
      <c r="AU200" s="72">
        <f t="shared" si="148"/>
        <v>6.8214933659622723E-3</v>
      </c>
      <c r="AV200" s="73">
        <f t="shared" si="158"/>
        <v>1.0068214933659623</v>
      </c>
      <c r="AW200" s="74">
        <f>PRODUCT(AV$4:AV200)</f>
        <v>3.816262166448285</v>
      </c>
    </row>
    <row r="201" spans="5:49">
      <c r="E201">
        <f t="shared" si="136"/>
        <v>198</v>
      </c>
      <c r="F201" s="64">
        <f t="shared" si="149"/>
        <v>70.760000000000005</v>
      </c>
      <c r="G201" s="55">
        <f t="shared" si="137"/>
        <v>0</v>
      </c>
      <c r="H201" s="78">
        <f t="shared" si="164"/>
        <v>1</v>
      </c>
      <c r="I201" s="79">
        <f t="shared" si="150"/>
        <v>457037.42155788769</v>
      </c>
      <c r="J201" s="79">
        <f t="shared" si="138"/>
        <v>3117.6777391536334</v>
      </c>
      <c r="K201" s="80">
        <f t="shared" si="139"/>
        <v>-15</v>
      </c>
      <c r="L201" s="80">
        <f t="shared" si="151"/>
        <v>-380.86451796490644</v>
      </c>
      <c r="M201" s="80">
        <f t="shared" si="133"/>
        <v>0</v>
      </c>
      <c r="N201" s="80">
        <f t="shared" si="152"/>
        <v>-434.18555047999342</v>
      </c>
      <c r="O201" s="81">
        <f t="shared" si="140"/>
        <v>-2500.6101455486769</v>
      </c>
      <c r="P201" s="79">
        <f t="shared" si="141"/>
        <v>456824.43908304779</v>
      </c>
      <c r="Q201" s="35"/>
      <c r="R201">
        <f t="shared" ca="1" si="153"/>
        <v>323</v>
      </c>
      <c r="S201" s="78">
        <f t="shared" ca="1" si="154"/>
        <v>80.760000000000005</v>
      </c>
      <c r="T201" s="55">
        <f t="shared" ca="1" si="142"/>
        <v>9.4522381300610192E-3</v>
      </c>
      <c r="U201" s="78">
        <f t="shared" ca="1" si="159"/>
        <v>0.37130589152189686</v>
      </c>
      <c r="V201" s="79">
        <f t="shared" ca="1" si="155"/>
        <v>139069.28244427513</v>
      </c>
      <c r="W201" s="79">
        <f t="shared" ca="1" si="143"/>
        <v>948.66018760275631</v>
      </c>
      <c r="X201" s="80">
        <f t="shared" ca="1" si="160"/>
        <v>-5.569588372828453</v>
      </c>
      <c r="Y201" s="80">
        <f t="shared" ca="1" si="161"/>
        <v>-115.89106870356261</v>
      </c>
      <c r="Z201" s="80">
        <f t="shared" ca="1" si="156"/>
        <v>0</v>
      </c>
      <c r="AA201" s="80">
        <f t="shared" ca="1" si="162"/>
        <v>-132.11581832206141</v>
      </c>
      <c r="AB201" s="81">
        <f t="shared" ca="1" si="144"/>
        <v>-928.49127944165173</v>
      </c>
      <c r="AC201" s="79">
        <f t="shared" ca="1" si="145"/>
        <v>138835.8748770378</v>
      </c>
      <c r="AD201" s="35"/>
      <c r="AE201" s="62">
        <f t="shared" ca="1" si="146"/>
        <v>-2500.6101455486769</v>
      </c>
      <c r="AF201" s="62">
        <f t="shared" ca="1" si="147"/>
        <v>373912.39419332054</v>
      </c>
      <c r="AG201" s="35"/>
      <c r="AH201" s="35"/>
      <c r="AR201" s="69">
        <f t="shared" si="157"/>
        <v>17</v>
      </c>
      <c r="AS201" s="70">
        <f t="shared" si="163"/>
        <v>198</v>
      </c>
      <c r="AT201" s="71">
        <f t="shared" si="134"/>
        <v>0.25787417971114346</v>
      </c>
      <c r="AU201" s="72">
        <f t="shared" si="148"/>
        <v>6.8214933659622723E-3</v>
      </c>
      <c r="AV201" s="73">
        <f t="shared" si="158"/>
        <v>1.0068214933659623</v>
      </c>
      <c r="AW201" s="74">
        <f>PRODUCT(AV$4:AV201)</f>
        <v>3.8422947734994848</v>
      </c>
    </row>
    <row r="202" spans="5:49">
      <c r="E202">
        <f t="shared" si="136"/>
        <v>199</v>
      </c>
      <c r="F202" s="64">
        <f t="shared" si="149"/>
        <v>70.84</v>
      </c>
      <c r="G202" s="55">
        <f t="shared" si="137"/>
        <v>0</v>
      </c>
      <c r="H202" s="78">
        <f t="shared" si="164"/>
        <v>1</v>
      </c>
      <c r="I202" s="79">
        <f t="shared" si="150"/>
        <v>456824.43908304779</v>
      </c>
      <c r="J202" s="79">
        <f t="shared" si="138"/>
        <v>3116.2248806144466</v>
      </c>
      <c r="K202" s="80">
        <f t="shared" si="139"/>
        <v>-15</v>
      </c>
      <c r="L202" s="80">
        <f t="shared" si="151"/>
        <v>-380.68703256920651</v>
      </c>
      <c r="M202" s="80">
        <f t="shared" si="133"/>
        <v>0</v>
      </c>
      <c r="N202" s="80">
        <f t="shared" si="152"/>
        <v>-433.98321712889543</v>
      </c>
      <c r="O202" s="81">
        <f t="shared" si="140"/>
        <v>-2500.6101455486769</v>
      </c>
      <c r="P202" s="79">
        <f t="shared" si="141"/>
        <v>456610.38356841548</v>
      </c>
      <c r="Q202" s="35"/>
      <c r="R202">
        <f t="shared" ca="1" si="153"/>
        <v>324</v>
      </c>
      <c r="S202" s="78">
        <f t="shared" ca="1" si="154"/>
        <v>80.84</v>
      </c>
      <c r="T202" s="55">
        <f t="shared" ca="1" si="142"/>
        <v>9.4522381300610192E-3</v>
      </c>
      <c r="U202" s="78">
        <f t="shared" ca="1" si="159"/>
        <v>0.3677962198161373</v>
      </c>
      <c r="V202" s="79">
        <f t="shared" ca="1" si="155"/>
        <v>137523.56512670469</v>
      </c>
      <c r="W202" s="79">
        <f t="shared" ca="1" si="143"/>
        <v>938.11608717529657</v>
      </c>
      <c r="X202" s="80">
        <f t="shared" ca="1" si="160"/>
        <v>-5.5169432972420598</v>
      </c>
      <c r="Y202" s="80">
        <f t="shared" ca="1" si="161"/>
        <v>-114.60297093892058</v>
      </c>
      <c r="Z202" s="80">
        <f t="shared" ca="1" si="156"/>
        <v>0</v>
      </c>
      <c r="AA202" s="80">
        <f t="shared" ca="1" si="162"/>
        <v>-130.64738687036947</v>
      </c>
      <c r="AB202" s="81">
        <f t="shared" ca="1" si="144"/>
        <v>-919.71495876668416</v>
      </c>
      <c r="AC202" s="79">
        <f t="shared" ca="1" si="145"/>
        <v>137291.19895400677</v>
      </c>
      <c r="AD202" s="35"/>
      <c r="AE202" s="62">
        <f t="shared" ca="1" si="146"/>
        <v>-2500.6101455486764</v>
      </c>
      <c r="AF202" s="62">
        <f t="shared" ca="1" si="147"/>
        <v>373280.61452790123</v>
      </c>
      <c r="AG202" s="35"/>
      <c r="AH202" s="35"/>
      <c r="AR202" s="69">
        <f t="shared" si="157"/>
        <v>17</v>
      </c>
      <c r="AS202" s="70">
        <f t="shared" si="163"/>
        <v>199</v>
      </c>
      <c r="AT202" s="71">
        <f t="shared" si="134"/>
        <v>0.25611509270499094</v>
      </c>
      <c r="AU202" s="72">
        <f t="shared" si="148"/>
        <v>6.8214933659622723E-3</v>
      </c>
      <c r="AV202" s="73">
        <f t="shared" si="158"/>
        <v>1.0068214933659623</v>
      </c>
      <c r="AW202" s="74">
        <f>PRODUCT(AV$4:AV202)</f>
        <v>3.8685049618069831</v>
      </c>
    </row>
    <row r="203" spans="5:49">
      <c r="E203">
        <f t="shared" si="136"/>
        <v>200</v>
      </c>
      <c r="F203" s="64">
        <f t="shared" si="149"/>
        <v>70.92</v>
      </c>
      <c r="G203" s="55">
        <f t="shared" si="137"/>
        <v>0</v>
      </c>
      <c r="H203" s="78">
        <f t="shared" si="164"/>
        <v>1</v>
      </c>
      <c r="I203" s="79">
        <f t="shared" si="150"/>
        <v>456610.38356841548</v>
      </c>
      <c r="J203" s="79">
        <f t="shared" si="138"/>
        <v>3114.7647023414347</v>
      </c>
      <c r="K203" s="80">
        <f t="shared" si="139"/>
        <v>-15</v>
      </c>
      <c r="L203" s="80">
        <f t="shared" si="151"/>
        <v>-380.5086529736796</v>
      </c>
      <c r="M203" s="80">
        <f t="shared" si="133"/>
        <v>0</v>
      </c>
      <c r="N203" s="80">
        <f t="shared" si="152"/>
        <v>-433.77986438999477</v>
      </c>
      <c r="O203" s="81">
        <f t="shared" si="140"/>
        <v>-2500.6101455486769</v>
      </c>
      <c r="P203" s="79">
        <f t="shared" si="141"/>
        <v>456395.24960784463</v>
      </c>
      <c r="Q203" s="35"/>
      <c r="R203">
        <f t="shared" ca="1" si="153"/>
        <v>325</v>
      </c>
      <c r="S203" s="78">
        <f t="shared" ca="1" si="154"/>
        <v>80.92</v>
      </c>
      <c r="T203" s="55">
        <f t="shared" ca="1" si="142"/>
        <v>9.4522381300610192E-3</v>
      </c>
      <c r="U203" s="78">
        <f t="shared" ca="1" si="159"/>
        <v>0.3643197223630989</v>
      </c>
      <c r="V203" s="79">
        <f t="shared" ca="1" si="155"/>
        <v>135993.48984833193</v>
      </c>
      <c r="W203" s="79">
        <f t="shared" ca="1" si="143"/>
        <v>927.67868881445384</v>
      </c>
      <c r="X203" s="80">
        <f t="shared" ca="1" si="160"/>
        <v>-5.4647958354464832</v>
      </c>
      <c r="Y203" s="80">
        <f t="shared" ca="1" si="161"/>
        <v>-113.32790820694328</v>
      </c>
      <c r="Z203" s="80">
        <f t="shared" ca="1" si="156"/>
        <v>-1019.9511738624894</v>
      </c>
      <c r="AA203" s="80">
        <f t="shared" ca="1" si="162"/>
        <v>-129.19381535591535</v>
      </c>
      <c r="AB203" s="81">
        <f t="shared" ca="1" si="144"/>
        <v>-911.02159396464231</v>
      </c>
      <c r="AC203" s="79">
        <f t="shared" ca="1" si="145"/>
        <v>134742.20924992097</v>
      </c>
      <c r="AD203" s="35"/>
      <c r="AE203" s="62">
        <f t="shared" ca="1" si="146"/>
        <v>-2500.6101455486769</v>
      </c>
      <c r="AF203" s="62">
        <f t="shared" ca="1" si="147"/>
        <v>369846.04724646301</v>
      </c>
      <c r="AG203" s="35"/>
      <c r="AH203" s="35"/>
      <c r="AR203" s="69">
        <f t="shared" si="157"/>
        <v>17</v>
      </c>
      <c r="AS203" s="70">
        <f t="shared" si="163"/>
        <v>200</v>
      </c>
      <c r="AT203" s="71">
        <f t="shared" si="134"/>
        <v>0.25436800529918102</v>
      </c>
      <c r="AU203" s="72">
        <f t="shared" si="148"/>
        <v>6.8214933659622723E-3</v>
      </c>
      <c r="AV203" s="73">
        <f t="shared" si="158"/>
        <v>1.0068214933659623</v>
      </c>
      <c r="AW203" s="74">
        <f>PRODUCT(AV$4:AV203)</f>
        <v>3.8948939427401417</v>
      </c>
    </row>
    <row r="204" spans="5:49">
      <c r="E204">
        <f t="shared" si="136"/>
        <v>201</v>
      </c>
      <c r="F204" s="64">
        <f t="shared" si="149"/>
        <v>71</v>
      </c>
      <c r="G204" s="55">
        <f t="shared" si="137"/>
        <v>0</v>
      </c>
      <c r="H204" s="78">
        <f t="shared" si="164"/>
        <v>1</v>
      </c>
      <c r="I204" s="79">
        <f t="shared" si="150"/>
        <v>456395.24960784463</v>
      </c>
      <c r="J204" s="79">
        <f t="shared" si="138"/>
        <v>3113.2971674566074</v>
      </c>
      <c r="K204" s="80">
        <f t="shared" si="139"/>
        <v>-15</v>
      </c>
      <c r="L204" s="80">
        <f t="shared" si="151"/>
        <v>-380.32937467320386</v>
      </c>
      <c r="M204" s="80">
        <f t="shared" si="133"/>
        <v>0</v>
      </c>
      <c r="N204" s="80">
        <f t="shared" si="152"/>
        <v>-433.5754871274525</v>
      </c>
      <c r="O204" s="81">
        <f t="shared" si="140"/>
        <v>-2500.6101455486769</v>
      </c>
      <c r="P204" s="79">
        <f t="shared" si="141"/>
        <v>456179.03176795191</v>
      </c>
      <c r="Q204" s="35"/>
      <c r="R204">
        <f t="shared" ca="1" si="153"/>
        <v>326</v>
      </c>
      <c r="S204" s="78">
        <f t="shared" ca="1" si="154"/>
        <v>81</v>
      </c>
      <c r="T204" s="55">
        <f t="shared" ca="1" si="142"/>
        <v>9.4522381300610192E-3</v>
      </c>
      <c r="U204" s="78">
        <f t="shared" ca="1" si="159"/>
        <v>0.36087608559184514</v>
      </c>
      <c r="V204" s="79">
        <f t="shared" ca="1" si="155"/>
        <v>133468.59380192021</v>
      </c>
      <c r="W204" s="79">
        <f t="shared" ca="1" si="143"/>
        <v>910.45512718411203</v>
      </c>
      <c r="X204" s="80">
        <f t="shared" ca="1" si="160"/>
        <v>-5.4131412838776773</v>
      </c>
      <c r="Y204" s="80">
        <f t="shared" ca="1" si="161"/>
        <v>-111.22382816826685</v>
      </c>
      <c r="Z204" s="80">
        <f t="shared" ca="1" si="156"/>
        <v>0</v>
      </c>
      <c r="AA204" s="80">
        <f t="shared" ca="1" si="162"/>
        <v>-126.79516411182423</v>
      </c>
      <c r="AB204" s="81">
        <f t="shared" ca="1" si="144"/>
        <v>-902.41040091686057</v>
      </c>
      <c r="AC204" s="79">
        <f t="shared" ca="1" si="145"/>
        <v>133233.2063946235</v>
      </c>
      <c r="AD204" s="35"/>
      <c r="AE204" s="62">
        <f t="shared" ca="1" si="146"/>
        <v>-2500.6101455486764</v>
      </c>
      <c r="AF204" s="62">
        <f t="shared" ca="1" si="147"/>
        <v>369193.78067437734</v>
      </c>
      <c r="AG204" s="35"/>
      <c r="AH204" s="35"/>
      <c r="AR204" s="69">
        <f t="shared" si="157"/>
        <v>17</v>
      </c>
      <c r="AS204" s="70">
        <f t="shared" si="163"/>
        <v>201</v>
      </c>
      <c r="AT204" s="71">
        <f t="shared" si="134"/>
        <v>0.25263283563851963</v>
      </c>
      <c r="AU204" s="72">
        <f t="shared" si="148"/>
        <v>6.8214933659622723E-3</v>
      </c>
      <c r="AV204" s="73">
        <f t="shared" si="158"/>
        <v>1.0068214933659623</v>
      </c>
      <c r="AW204" s="74">
        <f>PRODUCT(AV$4:AV204)</f>
        <v>3.9214629359316704</v>
      </c>
    </row>
    <row r="205" spans="5:49">
      <c r="E205">
        <f t="shared" si="136"/>
        <v>202</v>
      </c>
      <c r="F205" s="64">
        <f t="shared" si="149"/>
        <v>71.08</v>
      </c>
      <c r="G205" s="55">
        <f t="shared" si="137"/>
        <v>0</v>
      </c>
      <c r="H205" s="78">
        <f t="shared" si="164"/>
        <v>1</v>
      </c>
      <c r="I205" s="79">
        <f t="shared" si="150"/>
        <v>456179.03176795191</v>
      </c>
      <c r="J205" s="79">
        <f t="shared" si="138"/>
        <v>3111.8222388961767</v>
      </c>
      <c r="K205" s="80">
        <f t="shared" si="139"/>
        <v>-15</v>
      </c>
      <c r="L205" s="80">
        <f t="shared" si="151"/>
        <v>-380.14919313995995</v>
      </c>
      <c r="M205" s="80">
        <f t="shared" si="133"/>
        <v>0</v>
      </c>
      <c r="N205" s="80">
        <f t="shared" si="152"/>
        <v>-433.37008017955441</v>
      </c>
      <c r="O205" s="81">
        <f t="shared" si="140"/>
        <v>-2500.6101455486769</v>
      </c>
      <c r="P205" s="79">
        <f t="shared" si="141"/>
        <v>455961.7245879799</v>
      </c>
      <c r="Q205" s="35"/>
      <c r="R205">
        <f t="shared" ca="1" si="153"/>
        <v>327</v>
      </c>
      <c r="S205" s="78">
        <f t="shared" ca="1" si="154"/>
        <v>81.08</v>
      </c>
      <c r="T205" s="55">
        <f t="shared" ca="1" si="142"/>
        <v>9.4522381300610192E-3</v>
      </c>
      <c r="U205" s="78">
        <f t="shared" ca="1" si="159"/>
        <v>0.35746499889538674</v>
      </c>
      <c r="V205" s="79">
        <f t="shared" ca="1" si="155"/>
        <v>131973.85440094996</v>
      </c>
      <c r="W205" s="79">
        <f t="shared" ca="1" si="143"/>
        <v>900.25877227655099</v>
      </c>
      <c r="X205" s="80">
        <f t="shared" ca="1" si="160"/>
        <v>-5.3619749834308008</v>
      </c>
      <c r="Y205" s="80">
        <f t="shared" ca="1" si="161"/>
        <v>-109.97821200079164</v>
      </c>
      <c r="Z205" s="80">
        <f t="shared" ca="1" si="156"/>
        <v>0</v>
      </c>
      <c r="AA205" s="80">
        <f t="shared" ca="1" si="162"/>
        <v>-125.37516168090248</v>
      </c>
      <c r="AB205" s="81">
        <f t="shared" ca="1" si="144"/>
        <v>-893.88060291635065</v>
      </c>
      <c r="AC205" s="79">
        <f t="shared" ca="1" si="145"/>
        <v>131739.51722164502</v>
      </c>
      <c r="AD205" s="35"/>
      <c r="AE205" s="62">
        <f t="shared" ca="1" si="146"/>
        <v>-2500.6101455486769</v>
      </c>
      <c r="AF205" s="62">
        <f t="shared" ca="1" si="147"/>
        <v>368538.22787891747</v>
      </c>
      <c r="AG205" s="35"/>
      <c r="AH205" s="35"/>
      <c r="AR205" s="69">
        <f t="shared" si="157"/>
        <v>17</v>
      </c>
      <c r="AS205" s="70">
        <f t="shared" si="163"/>
        <v>202</v>
      </c>
      <c r="AT205" s="71">
        <f t="shared" si="134"/>
        <v>0.2509095024261872</v>
      </c>
      <c r="AU205" s="72">
        <f t="shared" si="148"/>
        <v>6.8214933659622723E-3</v>
      </c>
      <c r="AV205" s="73">
        <f t="shared" si="158"/>
        <v>1.0068214933659623</v>
      </c>
      <c r="AW205" s="74">
        <f>PRODUCT(AV$4:AV205)</f>
        <v>3.9482131693339952</v>
      </c>
    </row>
    <row r="206" spans="5:49">
      <c r="E206">
        <f t="shared" si="136"/>
        <v>203</v>
      </c>
      <c r="F206" s="64">
        <f t="shared" si="149"/>
        <v>71.16</v>
      </c>
      <c r="G206" s="55">
        <f t="shared" si="137"/>
        <v>0</v>
      </c>
      <c r="H206" s="78">
        <f t="shared" si="164"/>
        <v>1</v>
      </c>
      <c r="I206" s="79">
        <f t="shared" si="150"/>
        <v>455961.7245879799</v>
      </c>
      <c r="J206" s="79">
        <f t="shared" si="138"/>
        <v>3110.3398794096215</v>
      </c>
      <c r="K206" s="80">
        <f t="shared" si="139"/>
        <v>-15</v>
      </c>
      <c r="L206" s="80">
        <f t="shared" si="151"/>
        <v>-379.9681038233166</v>
      </c>
      <c r="M206" s="80">
        <f t="shared" si="133"/>
        <v>0</v>
      </c>
      <c r="N206" s="80">
        <f t="shared" si="152"/>
        <v>-433.16363835858101</v>
      </c>
      <c r="O206" s="81">
        <f t="shared" si="140"/>
        <v>-2500.6101455486769</v>
      </c>
      <c r="P206" s="79">
        <f t="shared" si="141"/>
        <v>455743.322579659</v>
      </c>
      <c r="Q206" s="35"/>
      <c r="R206">
        <f t="shared" ca="1" si="153"/>
        <v>328</v>
      </c>
      <c r="S206" s="78">
        <f t="shared" ca="1" si="154"/>
        <v>81.16</v>
      </c>
      <c r="T206" s="55">
        <f t="shared" ca="1" si="142"/>
        <v>9.4522381300610192E-3</v>
      </c>
      <c r="U206" s="78">
        <f t="shared" ca="1" si="159"/>
        <v>0.35408615460266557</v>
      </c>
      <c r="V206" s="79">
        <f t="shared" ca="1" si="155"/>
        <v>130494.28393372675</v>
      </c>
      <c r="W206" s="79">
        <f t="shared" ca="1" si="143"/>
        <v>890.16589214991416</v>
      </c>
      <c r="X206" s="80">
        <f t="shared" ca="1" si="160"/>
        <v>-5.3112923190399837</v>
      </c>
      <c r="Y206" s="80">
        <f t="shared" ca="1" si="161"/>
        <v>-108.74523661143897</v>
      </c>
      <c r="Z206" s="80">
        <f t="shared" ca="1" si="156"/>
        <v>0</v>
      </c>
      <c r="AA206" s="80">
        <f t="shared" ca="1" si="162"/>
        <v>-123.96956973704044</v>
      </c>
      <c r="AB206" s="81">
        <f t="shared" ca="1" si="144"/>
        <v>-885.43143059774286</v>
      </c>
      <c r="AC206" s="79">
        <f t="shared" ca="1" si="145"/>
        <v>130260.99229661141</v>
      </c>
      <c r="AD206" s="35"/>
      <c r="AE206" s="62">
        <f t="shared" ca="1" si="146"/>
        <v>-2500.6101455486769</v>
      </c>
      <c r="AF206" s="62">
        <f t="shared" ca="1" si="147"/>
        <v>367879.37230356422</v>
      </c>
      <c r="AG206" s="35"/>
      <c r="AH206" s="35"/>
      <c r="AR206" s="69">
        <f t="shared" si="157"/>
        <v>17</v>
      </c>
      <c r="AS206" s="70">
        <f t="shared" si="163"/>
        <v>203</v>
      </c>
      <c r="AT206" s="71">
        <f t="shared" si="134"/>
        <v>0.24919792491993006</v>
      </c>
      <c r="AU206" s="72">
        <f t="shared" si="148"/>
        <v>6.8214933659622723E-3</v>
      </c>
      <c r="AV206" s="73">
        <f t="shared" si="158"/>
        <v>1.0068214933659623</v>
      </c>
      <c r="AW206" s="74">
        <f>PRODUCT(AV$4:AV206)</f>
        <v>3.9751458792760119</v>
      </c>
    </row>
    <row r="207" spans="5:49">
      <c r="E207">
        <f t="shared" si="136"/>
        <v>204</v>
      </c>
      <c r="F207" s="64">
        <f t="shared" si="149"/>
        <v>71.239999999999995</v>
      </c>
      <c r="G207" s="55">
        <f t="shared" si="137"/>
        <v>0</v>
      </c>
      <c r="H207" s="78">
        <f t="shared" si="164"/>
        <v>1</v>
      </c>
      <c r="I207" s="79">
        <f t="shared" si="150"/>
        <v>455743.322579659</v>
      </c>
      <c r="J207" s="79">
        <f t="shared" si="138"/>
        <v>3108.8500515587475</v>
      </c>
      <c r="K207" s="80">
        <f t="shared" si="139"/>
        <v>-15</v>
      </c>
      <c r="L207" s="80">
        <f t="shared" si="151"/>
        <v>-379.78610214971587</v>
      </c>
      <c r="M207" s="80">
        <f t="shared" si="133"/>
        <v>0</v>
      </c>
      <c r="N207" s="80">
        <f t="shared" si="152"/>
        <v>-432.95615645067613</v>
      </c>
      <c r="O207" s="81">
        <f t="shared" si="140"/>
        <v>-2500.6101455486769</v>
      </c>
      <c r="P207" s="79">
        <f t="shared" si="141"/>
        <v>455523.82022706873</v>
      </c>
      <c r="Q207" s="35"/>
      <c r="R207">
        <f t="shared" ca="1" si="153"/>
        <v>329</v>
      </c>
      <c r="S207" s="78">
        <f t="shared" ca="1" si="154"/>
        <v>81.239999999999995</v>
      </c>
      <c r="T207" s="55">
        <f t="shared" ca="1" si="142"/>
        <v>9.4522381300610192E-3</v>
      </c>
      <c r="U207" s="78">
        <f t="shared" ca="1" si="159"/>
        <v>0.35073924795080358</v>
      </c>
      <c r="V207" s="79">
        <f t="shared" ca="1" si="155"/>
        <v>129029.7343783658</v>
      </c>
      <c r="W207" s="79">
        <f t="shared" ca="1" si="143"/>
        <v>880.17547707389645</v>
      </c>
      <c r="X207" s="80">
        <f t="shared" ca="1" si="160"/>
        <v>-5.2610887192620535</v>
      </c>
      <c r="Y207" s="80">
        <f t="shared" ca="1" si="161"/>
        <v>-107.52477864863818</v>
      </c>
      <c r="Z207" s="80">
        <f t="shared" ca="1" si="156"/>
        <v>0</v>
      </c>
      <c r="AA207" s="80">
        <f t="shared" ca="1" si="162"/>
        <v>-122.57824765944753</v>
      </c>
      <c r="AB207" s="81">
        <f t="shared" ca="1" si="144"/>
        <v>-877.06212186789242</v>
      </c>
      <c r="AC207" s="79">
        <f t="shared" ca="1" si="145"/>
        <v>128797.48361854446</v>
      </c>
      <c r="AD207" s="35"/>
      <c r="AE207" s="62">
        <f t="shared" ca="1" si="146"/>
        <v>-2500.6101455486769</v>
      </c>
      <c r="AF207" s="62">
        <f t="shared" ca="1" si="147"/>
        <v>367217.197308384</v>
      </c>
      <c r="AG207" s="35"/>
      <c r="AH207" s="35"/>
      <c r="AR207" s="69">
        <f t="shared" si="157"/>
        <v>17</v>
      </c>
      <c r="AS207" s="70">
        <f t="shared" si="163"/>
        <v>204</v>
      </c>
      <c r="AT207" s="71">
        <f t="shared" si="134"/>
        <v>0.24749802292827719</v>
      </c>
      <c r="AU207" s="72">
        <f t="shared" si="148"/>
        <v>6.8214933659622723E-3</v>
      </c>
      <c r="AV207" s="73">
        <f t="shared" si="158"/>
        <v>1.0068214933659623</v>
      </c>
      <c r="AW207" s="74">
        <f>PRODUCT(AV$4:AV207)</f>
        <v>4.0022623105202255</v>
      </c>
    </row>
    <row r="208" spans="5:49">
      <c r="E208">
        <f t="shared" si="136"/>
        <v>205</v>
      </c>
      <c r="F208" s="64">
        <f t="shared" si="149"/>
        <v>71.319999999999993</v>
      </c>
      <c r="G208" s="55">
        <f t="shared" si="137"/>
        <v>0</v>
      </c>
      <c r="H208" s="78">
        <f t="shared" si="164"/>
        <v>1</v>
      </c>
      <c r="I208" s="79">
        <f t="shared" si="150"/>
        <v>455523.82022706873</v>
      </c>
      <c r="J208" s="79">
        <f t="shared" si="138"/>
        <v>3107.3527177167402</v>
      </c>
      <c r="K208" s="80">
        <f t="shared" si="139"/>
        <v>-15</v>
      </c>
      <c r="L208" s="80">
        <f t="shared" si="151"/>
        <v>-379.60318352255729</v>
      </c>
      <c r="M208" s="80">
        <f t="shared" ref="M208:M271" si="165">IF(OR(I207+O207=0,K207=0),0,-IF(MOD(E208-1,12)=0,1,0)*I208*($C$17))</f>
        <v>-3416.4286517030155</v>
      </c>
      <c r="N208" s="80">
        <f t="shared" si="152"/>
        <v>-432.74762921571534</v>
      </c>
      <c r="O208" s="81">
        <f t="shared" si="140"/>
        <v>-2500.6101455486769</v>
      </c>
      <c r="P208" s="79">
        <f t="shared" si="141"/>
        <v>451886.78333479556</v>
      </c>
      <c r="Q208" s="35"/>
      <c r="R208">
        <f t="shared" ca="1" si="153"/>
        <v>330</v>
      </c>
      <c r="S208" s="78">
        <f t="shared" ca="1" si="154"/>
        <v>81.319999999999993</v>
      </c>
      <c r="T208" s="55">
        <f t="shared" ca="1" si="142"/>
        <v>9.4522381300610192E-3</v>
      </c>
      <c r="U208" s="78">
        <f t="shared" ca="1" si="159"/>
        <v>0.34742397705761408</v>
      </c>
      <c r="V208" s="79">
        <f t="shared" ca="1" si="155"/>
        <v>127580.05913282934</v>
      </c>
      <c r="W208" s="79">
        <f t="shared" ca="1" si="143"/>
        <v>870.28652700366979</v>
      </c>
      <c r="X208" s="80">
        <f t="shared" ca="1" si="160"/>
        <v>-5.2113596558642108</v>
      </c>
      <c r="Y208" s="80">
        <f t="shared" ca="1" si="161"/>
        <v>-106.31671594402445</v>
      </c>
      <c r="Z208" s="80">
        <f t="shared" ca="1" si="156"/>
        <v>0</v>
      </c>
      <c r="AA208" s="80">
        <f t="shared" ca="1" si="162"/>
        <v>-121.20105617618789</v>
      </c>
      <c r="AB208" s="81">
        <f t="shared" ca="1" si="144"/>
        <v>-868.77192183714044</v>
      </c>
      <c r="AC208" s="79">
        <f t="shared" ca="1" si="145"/>
        <v>127348.84460621981</v>
      </c>
      <c r="AD208" s="35"/>
      <c r="AE208" s="62">
        <f t="shared" ca="1" si="146"/>
        <v>-2500.6101455486769</v>
      </c>
      <c r="AF208" s="62">
        <f t="shared" ca="1" si="147"/>
        <v>366551.68616960844</v>
      </c>
      <c r="AG208" s="35"/>
      <c r="AH208" s="35"/>
      <c r="AR208" s="69">
        <f t="shared" si="157"/>
        <v>18</v>
      </c>
      <c r="AS208" s="70">
        <f t="shared" si="163"/>
        <v>205</v>
      </c>
      <c r="AT208" s="71">
        <f t="shared" ref="AT208:AT271" si="166">(1-AU208)*AT207</f>
        <v>0.24580971680678318</v>
      </c>
      <c r="AU208" s="72">
        <f t="shared" si="148"/>
        <v>6.8214933659622723E-3</v>
      </c>
      <c r="AV208" s="73">
        <f t="shared" si="158"/>
        <v>1.0068214933659623</v>
      </c>
      <c r="AW208" s="74">
        <f>PRODUCT(AV$4:AV208)</f>
        <v>4.02956371632028</v>
      </c>
    </row>
    <row r="209" spans="5:49">
      <c r="E209">
        <f t="shared" si="136"/>
        <v>206</v>
      </c>
      <c r="F209" s="64">
        <f t="shared" si="149"/>
        <v>71.400000000000006</v>
      </c>
      <c r="G209" s="55">
        <f t="shared" si="137"/>
        <v>0</v>
      </c>
      <c r="H209" s="78">
        <f t="shared" si="164"/>
        <v>1</v>
      </c>
      <c r="I209" s="79">
        <f t="shared" si="150"/>
        <v>451886.78333479556</v>
      </c>
      <c r="J209" s="79">
        <f t="shared" si="138"/>
        <v>3082.5426946843386</v>
      </c>
      <c r="K209" s="80">
        <f t="shared" si="139"/>
        <v>-15</v>
      </c>
      <c r="L209" s="80">
        <f t="shared" si="151"/>
        <v>-376.57231944566297</v>
      </c>
      <c r="M209" s="80">
        <f t="shared" si="165"/>
        <v>0</v>
      </c>
      <c r="N209" s="80">
        <f t="shared" si="152"/>
        <v>-429.29244416805585</v>
      </c>
      <c r="O209" s="81">
        <f t="shared" si="140"/>
        <v>-2500.6101455486769</v>
      </c>
      <c r="P209" s="79">
        <f t="shared" si="141"/>
        <v>451647.85112031753</v>
      </c>
      <c r="Q209" s="35"/>
      <c r="R209">
        <f t="shared" ca="1" si="153"/>
        <v>331</v>
      </c>
      <c r="S209" s="78">
        <f t="shared" ca="1" si="154"/>
        <v>81.400000000000006</v>
      </c>
      <c r="T209" s="55">
        <f t="shared" ca="1" si="142"/>
        <v>9.4522381300610192E-3</v>
      </c>
      <c r="U209" s="78">
        <f t="shared" ca="1" si="159"/>
        <v>0.34414004289437267</v>
      </c>
      <c r="V209" s="79">
        <f t="shared" ca="1" si="155"/>
        <v>126145.11300141367</v>
      </c>
      <c r="W209" s="79">
        <f t="shared" ca="1" si="143"/>
        <v>860.49805148770452</v>
      </c>
      <c r="X209" s="80">
        <f t="shared" ca="1" si="160"/>
        <v>-5.1621006434155898</v>
      </c>
      <c r="Y209" s="80">
        <f t="shared" ca="1" si="161"/>
        <v>-105.12092750117807</v>
      </c>
      <c r="Z209" s="80">
        <f t="shared" ca="1" si="156"/>
        <v>0</v>
      </c>
      <c r="AA209" s="80">
        <f t="shared" ca="1" si="162"/>
        <v>-119.83785735134302</v>
      </c>
      <c r="AB209" s="81">
        <f t="shared" ca="1" si="144"/>
        <v>-860.5600827512252</v>
      </c>
      <c r="AC209" s="79">
        <f t="shared" ca="1" si="145"/>
        <v>125914.93008465422</v>
      </c>
      <c r="AD209" s="35"/>
      <c r="AE209" s="62">
        <f t="shared" ca="1" si="146"/>
        <v>-2500.6101455486769</v>
      </c>
      <c r="AF209" s="62">
        <f t="shared" ca="1" si="147"/>
        <v>365882.82207921223</v>
      </c>
      <c r="AG209" s="35"/>
      <c r="AH209" s="35"/>
      <c r="AR209" s="69">
        <f t="shared" si="157"/>
        <v>18</v>
      </c>
      <c r="AS209" s="70">
        <f t="shared" si="163"/>
        <v>206</v>
      </c>
      <c r="AT209" s="71">
        <f t="shared" si="166"/>
        <v>0.24413292745429666</v>
      </c>
      <c r="AU209" s="72">
        <f t="shared" si="148"/>
        <v>6.8214933659622723E-3</v>
      </c>
      <c r="AV209" s="73">
        <f t="shared" si="158"/>
        <v>1.0068214933659623</v>
      </c>
      <c r="AW209" s="74">
        <f>PRODUCT(AV$4:AV209)</f>
        <v>4.0570513584788808</v>
      </c>
    </row>
    <row r="210" spans="5:49">
      <c r="E210">
        <f t="shared" si="136"/>
        <v>207</v>
      </c>
      <c r="F210" s="64">
        <f t="shared" si="149"/>
        <v>71.48</v>
      </c>
      <c r="G210" s="55">
        <f t="shared" si="137"/>
        <v>0</v>
      </c>
      <c r="H210" s="78">
        <f t="shared" si="164"/>
        <v>1</v>
      </c>
      <c r="I210" s="79">
        <f t="shared" si="150"/>
        <v>451647.85112031753</v>
      </c>
      <c r="J210" s="79">
        <f t="shared" si="138"/>
        <v>3080.912820168362</v>
      </c>
      <c r="K210" s="80">
        <f t="shared" si="139"/>
        <v>-15</v>
      </c>
      <c r="L210" s="80">
        <f t="shared" si="151"/>
        <v>-376.37320926693133</v>
      </c>
      <c r="M210" s="80">
        <f t="shared" si="165"/>
        <v>0</v>
      </c>
      <c r="N210" s="80">
        <f t="shared" si="152"/>
        <v>-429.06545856430171</v>
      </c>
      <c r="O210" s="81">
        <f t="shared" si="140"/>
        <v>-2500.6101455486769</v>
      </c>
      <c r="P210" s="79">
        <f t="shared" si="141"/>
        <v>451407.715127106</v>
      </c>
      <c r="Q210" s="35"/>
      <c r="R210">
        <f t="shared" ca="1" si="153"/>
        <v>332</v>
      </c>
      <c r="S210" s="78">
        <f t="shared" ca="1" si="154"/>
        <v>81.48</v>
      </c>
      <c r="T210" s="55">
        <f t="shared" ca="1" si="142"/>
        <v>9.4522381300610192E-3</v>
      </c>
      <c r="U210" s="78">
        <f t="shared" ca="1" si="159"/>
        <v>0.34088714925884567</v>
      </c>
      <c r="V210" s="79">
        <f t="shared" ca="1" si="155"/>
        <v>124724.75218136408</v>
      </c>
      <c r="W210" s="79">
        <f t="shared" ca="1" si="143"/>
        <v>850.80906957646346</v>
      </c>
      <c r="X210" s="80">
        <f t="shared" ca="1" si="160"/>
        <v>-5.113307238882685</v>
      </c>
      <c r="Y210" s="80">
        <f t="shared" ca="1" si="161"/>
        <v>-103.93729348447008</v>
      </c>
      <c r="Z210" s="80">
        <f t="shared" ca="1" si="156"/>
        <v>0</v>
      </c>
      <c r="AA210" s="80">
        <f t="shared" ca="1" si="162"/>
        <v>-118.4885145722959</v>
      </c>
      <c r="AB210" s="81">
        <f t="shared" ca="1" si="144"/>
        <v>-852.42586392383555</v>
      </c>
      <c r="AC210" s="79">
        <f t="shared" ca="1" si="145"/>
        <v>124495.59627172106</v>
      </c>
      <c r="AD210" s="35"/>
      <c r="AE210" s="62">
        <f t="shared" ca="1" si="146"/>
        <v>-2500.6101455486769</v>
      </c>
      <c r="AF210" s="62">
        <f t="shared" ca="1" si="147"/>
        <v>365210.58814448852</v>
      </c>
      <c r="AG210" s="35"/>
      <c r="AH210" s="35"/>
      <c r="AR210" s="69">
        <f t="shared" si="157"/>
        <v>18</v>
      </c>
      <c r="AS210" s="70">
        <f t="shared" si="163"/>
        <v>207</v>
      </c>
      <c r="AT210" s="71">
        <f t="shared" si="166"/>
        <v>0.24246757630925422</v>
      </c>
      <c r="AU210" s="72">
        <f t="shared" si="148"/>
        <v>6.8214933659622723E-3</v>
      </c>
      <c r="AV210" s="73">
        <f t="shared" si="158"/>
        <v>1.0068214933659623</v>
      </c>
      <c r="AW210" s="74">
        <f>PRODUCT(AV$4:AV210)</f>
        <v>4.0847265074061125</v>
      </c>
    </row>
    <row r="211" spans="5:49">
      <c r="E211">
        <f t="shared" si="136"/>
        <v>208</v>
      </c>
      <c r="F211" s="64">
        <f t="shared" si="149"/>
        <v>71.56</v>
      </c>
      <c r="G211" s="55">
        <f t="shared" si="137"/>
        <v>0</v>
      </c>
      <c r="H211" s="78">
        <f t="shared" si="164"/>
        <v>1</v>
      </c>
      <c r="I211" s="79">
        <f t="shared" si="150"/>
        <v>451407.715127106</v>
      </c>
      <c r="J211" s="79">
        <f t="shared" si="138"/>
        <v>3079.2747340837409</v>
      </c>
      <c r="K211" s="80">
        <f t="shared" si="139"/>
        <v>-15</v>
      </c>
      <c r="L211" s="80">
        <f t="shared" si="151"/>
        <v>-376.17309593925501</v>
      </c>
      <c r="M211" s="80">
        <f t="shared" si="165"/>
        <v>0</v>
      </c>
      <c r="N211" s="80">
        <f t="shared" si="152"/>
        <v>-428.83732937075075</v>
      </c>
      <c r="O211" s="81">
        <f t="shared" si="140"/>
        <v>-2500.6101455486769</v>
      </c>
      <c r="P211" s="79">
        <f t="shared" si="141"/>
        <v>451166.36929033109</v>
      </c>
      <c r="Q211" s="35"/>
      <c r="R211">
        <f t="shared" ca="1" si="153"/>
        <v>333</v>
      </c>
      <c r="S211" s="78">
        <f t="shared" ca="1" si="154"/>
        <v>81.56</v>
      </c>
      <c r="T211" s="55">
        <f t="shared" ca="1" si="142"/>
        <v>1.0343997254147252E-2</v>
      </c>
      <c r="U211" s="78">
        <f t="shared" ca="1" si="159"/>
        <v>0.33736101352293807</v>
      </c>
      <c r="V211" s="79">
        <f t="shared" ca="1" si="155"/>
        <v>123207.81416573295</v>
      </c>
      <c r="W211" s="79">
        <f t="shared" ca="1" si="143"/>
        <v>840.46128696625988</v>
      </c>
      <c r="X211" s="80">
        <f t="shared" ca="1" si="160"/>
        <v>-5.0604152028440712</v>
      </c>
      <c r="Y211" s="80">
        <f t="shared" ca="1" si="161"/>
        <v>-102.67317847144413</v>
      </c>
      <c r="Z211" s="80">
        <f t="shared" ca="1" si="156"/>
        <v>0</v>
      </c>
      <c r="AA211" s="80">
        <f t="shared" ca="1" si="162"/>
        <v>-117.04742345744633</v>
      </c>
      <c r="AB211" s="81">
        <f t="shared" ca="1" si="144"/>
        <v>-843.60837312804324</v>
      </c>
      <c r="AC211" s="79">
        <f t="shared" ca="1" si="145"/>
        <v>122979.88606243944</v>
      </c>
      <c r="AD211" s="35"/>
      <c r="AE211" s="62">
        <f t="shared" ca="1" si="146"/>
        <v>-2500.6101455486769</v>
      </c>
      <c r="AF211" s="62">
        <f t="shared" ca="1" si="147"/>
        <v>364534.96738762234</v>
      </c>
      <c r="AG211" s="35"/>
      <c r="AH211" s="35"/>
      <c r="AR211" s="69">
        <f t="shared" si="157"/>
        <v>18</v>
      </c>
      <c r="AS211" s="70">
        <f t="shared" si="163"/>
        <v>208</v>
      </c>
      <c r="AT211" s="71">
        <f t="shared" si="166"/>
        <v>0.2408135853459997</v>
      </c>
      <c r="AU211" s="72">
        <f t="shared" si="148"/>
        <v>6.8214933659622723E-3</v>
      </c>
      <c r="AV211" s="73">
        <f t="shared" si="158"/>
        <v>1.0068214933659623</v>
      </c>
      <c r="AW211" s="74">
        <f>PRODUCT(AV$4:AV211)</f>
        <v>4.1125904421781536</v>
      </c>
    </row>
    <row r="212" spans="5:49">
      <c r="E212">
        <f t="shared" si="136"/>
        <v>209</v>
      </c>
      <c r="F212" s="64">
        <f t="shared" si="149"/>
        <v>71.64</v>
      </c>
      <c r="G212" s="55">
        <f t="shared" si="137"/>
        <v>0</v>
      </c>
      <c r="H212" s="78">
        <f t="shared" si="164"/>
        <v>1</v>
      </c>
      <c r="I212" s="79">
        <f t="shared" si="150"/>
        <v>451166.36929033109</v>
      </c>
      <c r="J212" s="79">
        <f t="shared" si="138"/>
        <v>3077.6283950592783</v>
      </c>
      <c r="K212" s="80">
        <f t="shared" si="139"/>
        <v>-15</v>
      </c>
      <c r="L212" s="80">
        <f t="shared" si="151"/>
        <v>-375.97197440860924</v>
      </c>
      <c r="M212" s="80">
        <f t="shared" si="165"/>
        <v>0</v>
      </c>
      <c r="N212" s="80">
        <f t="shared" si="152"/>
        <v>-428.60805082581464</v>
      </c>
      <c r="O212" s="81">
        <f t="shared" si="140"/>
        <v>-2500.6101455486769</v>
      </c>
      <c r="P212" s="79">
        <f t="shared" si="141"/>
        <v>450923.80751460727</v>
      </c>
      <c r="Q212" s="35"/>
      <c r="R212">
        <f t="shared" ca="1" si="153"/>
        <v>334</v>
      </c>
      <c r="S212" s="78">
        <f t="shared" ca="1" si="154"/>
        <v>81.64</v>
      </c>
      <c r="T212" s="55">
        <f t="shared" ca="1" si="142"/>
        <v>1.0343997254147252E-2</v>
      </c>
      <c r="U212" s="78">
        <f t="shared" ca="1" si="159"/>
        <v>0.33387135212540048</v>
      </c>
      <c r="V212" s="79">
        <f t="shared" ca="1" si="155"/>
        <v>121707.78245869423</v>
      </c>
      <c r="W212" s="79">
        <f t="shared" ca="1" si="143"/>
        <v>830.22883062796211</v>
      </c>
      <c r="X212" s="80">
        <f t="shared" ca="1" si="160"/>
        <v>-5.0080702818810074</v>
      </c>
      <c r="Y212" s="80">
        <f t="shared" ca="1" si="161"/>
        <v>-101.42315204891186</v>
      </c>
      <c r="Z212" s="80">
        <f t="shared" ca="1" si="156"/>
        <v>0</v>
      </c>
      <c r="AA212" s="80">
        <f t="shared" ca="1" si="162"/>
        <v>-115.62239333575955</v>
      </c>
      <c r="AB212" s="81">
        <f t="shared" ca="1" si="144"/>
        <v>-834.88209043283121</v>
      </c>
      <c r="AC212" s="79">
        <f t="shared" ca="1" si="145"/>
        <v>121481.07558322282</v>
      </c>
      <c r="AD212" s="35"/>
      <c r="AE212" s="62">
        <f t="shared" ca="1" si="146"/>
        <v>-2500.6101455486769</v>
      </c>
      <c r="AF212" s="62">
        <f t="shared" ca="1" si="147"/>
        <v>363855.94274526165</v>
      </c>
      <c r="AG212" s="35"/>
      <c r="AH212" s="35"/>
      <c r="AR212" s="69">
        <f t="shared" si="157"/>
        <v>18</v>
      </c>
      <c r="AS212" s="70">
        <f t="shared" si="163"/>
        <v>209</v>
      </c>
      <c r="AT212" s="71">
        <f t="shared" si="166"/>
        <v>0.23917087707112838</v>
      </c>
      <c r="AU212" s="72">
        <f t="shared" si="148"/>
        <v>6.8214933659622723E-3</v>
      </c>
      <c r="AV212" s="73">
        <f t="shared" si="158"/>
        <v>1.0068214933659623</v>
      </c>
      <c r="AW212" s="74">
        <f>PRODUCT(AV$4:AV212)</f>
        <v>4.1406444505963913</v>
      </c>
    </row>
    <row r="213" spans="5:49">
      <c r="E213">
        <f t="shared" si="136"/>
        <v>210</v>
      </c>
      <c r="F213" s="64">
        <f t="shared" si="149"/>
        <v>71.72</v>
      </c>
      <c r="G213" s="55">
        <f t="shared" si="137"/>
        <v>0</v>
      </c>
      <c r="H213" s="78">
        <f t="shared" si="164"/>
        <v>1</v>
      </c>
      <c r="I213" s="79">
        <f t="shared" si="150"/>
        <v>450923.80751460727</v>
      </c>
      <c r="J213" s="79">
        <f t="shared" si="138"/>
        <v>3075.9737615153422</v>
      </c>
      <c r="K213" s="80">
        <f t="shared" si="139"/>
        <v>-15</v>
      </c>
      <c r="L213" s="80">
        <f t="shared" si="151"/>
        <v>-375.76983959550608</v>
      </c>
      <c r="M213" s="80">
        <f t="shared" si="165"/>
        <v>0</v>
      </c>
      <c r="N213" s="80">
        <f t="shared" si="152"/>
        <v>-428.37761713887699</v>
      </c>
      <c r="O213" s="81">
        <f t="shared" si="140"/>
        <v>-2500.6101455486769</v>
      </c>
      <c r="P213" s="79">
        <f t="shared" si="141"/>
        <v>450680.02367383958</v>
      </c>
      <c r="Q213" s="35"/>
      <c r="R213">
        <f t="shared" ca="1" si="153"/>
        <v>335</v>
      </c>
      <c r="S213" s="78">
        <f t="shared" ca="1" si="154"/>
        <v>81.72</v>
      </c>
      <c r="T213" s="55">
        <f t="shared" ca="1" si="142"/>
        <v>1.0343997254147252E-2</v>
      </c>
      <c r="U213" s="78">
        <f t="shared" ca="1" si="159"/>
        <v>0.33041778777577691</v>
      </c>
      <c r="V213" s="79">
        <f t="shared" ca="1" si="155"/>
        <v>120224.4756709591</v>
      </c>
      <c r="W213" s="79">
        <f t="shared" ca="1" si="143"/>
        <v>820.11046321574008</v>
      </c>
      <c r="X213" s="80">
        <f t="shared" ca="1" si="160"/>
        <v>-4.9562668166366537</v>
      </c>
      <c r="Y213" s="80">
        <f t="shared" ca="1" si="161"/>
        <v>-100.1870630591326</v>
      </c>
      <c r="Z213" s="80">
        <f t="shared" ca="1" si="156"/>
        <v>0</v>
      </c>
      <c r="AA213" s="80">
        <f t="shared" ca="1" si="162"/>
        <v>-114.21325188741116</v>
      </c>
      <c r="AB213" s="81">
        <f t="shared" ca="1" si="144"/>
        <v>-826.24607238185729</v>
      </c>
      <c r="AC213" s="79">
        <f t="shared" ca="1" si="145"/>
        <v>119998.98348002981</v>
      </c>
      <c r="AD213" s="35"/>
      <c r="AE213" s="62">
        <f t="shared" ca="1" si="146"/>
        <v>-2500.6101455486769</v>
      </c>
      <c r="AF213" s="62">
        <f t="shared" ca="1" si="147"/>
        <v>363173.4970680867</v>
      </c>
      <c r="AG213" s="35"/>
      <c r="AH213" s="35"/>
      <c r="AR213" s="69">
        <f t="shared" si="157"/>
        <v>18</v>
      </c>
      <c r="AS213" s="70">
        <f t="shared" si="163"/>
        <v>210</v>
      </c>
      <c r="AT213" s="71">
        <f t="shared" si="166"/>
        <v>0.23753937451985629</v>
      </c>
      <c r="AU213" s="72">
        <f t="shared" si="148"/>
        <v>6.8214933659622723E-3</v>
      </c>
      <c r="AV213" s="73">
        <f t="shared" si="158"/>
        <v>1.0068214933659623</v>
      </c>
      <c r="AW213" s="74">
        <f>PRODUCT(AV$4:AV213)</f>
        <v>4.1688898292469432</v>
      </c>
    </row>
    <row r="214" spans="5:49">
      <c r="E214">
        <f t="shared" si="136"/>
        <v>211</v>
      </c>
      <c r="F214" s="64">
        <f t="shared" si="149"/>
        <v>71.8</v>
      </c>
      <c r="G214" s="55">
        <f t="shared" si="137"/>
        <v>0</v>
      </c>
      <c r="H214" s="78">
        <f t="shared" si="164"/>
        <v>1</v>
      </c>
      <c r="I214" s="79">
        <f t="shared" si="150"/>
        <v>450680.02367383958</v>
      </c>
      <c r="J214" s="79">
        <f t="shared" si="138"/>
        <v>3074.3107916628164</v>
      </c>
      <c r="K214" s="80">
        <f t="shared" si="139"/>
        <v>-15</v>
      </c>
      <c r="L214" s="80">
        <f t="shared" si="151"/>
        <v>-375.56668639486634</v>
      </c>
      <c r="M214" s="80">
        <f t="shared" si="165"/>
        <v>0</v>
      </c>
      <c r="N214" s="80">
        <f t="shared" si="152"/>
        <v>-428.14602249014769</v>
      </c>
      <c r="O214" s="81">
        <f t="shared" si="140"/>
        <v>-2500.6101455486769</v>
      </c>
      <c r="P214" s="79">
        <f t="shared" si="141"/>
        <v>450435.01161106874</v>
      </c>
      <c r="Q214" s="35"/>
      <c r="R214">
        <f t="shared" ca="1" si="153"/>
        <v>336</v>
      </c>
      <c r="S214" s="78">
        <f t="shared" ca="1" si="154"/>
        <v>81.8</v>
      </c>
      <c r="T214" s="55">
        <f t="shared" ca="1" si="142"/>
        <v>1.0343997254147252E-2</v>
      </c>
      <c r="U214" s="78">
        <f t="shared" ca="1" si="159"/>
        <v>0.32699994708630287</v>
      </c>
      <c r="V214" s="79">
        <f t="shared" ca="1" si="155"/>
        <v>118757.71432441192</v>
      </c>
      <c r="W214" s="79">
        <f t="shared" ca="1" si="143"/>
        <v>810.10496042081866</v>
      </c>
      <c r="X214" s="80">
        <f t="shared" ca="1" si="160"/>
        <v>-4.9049992062945433</v>
      </c>
      <c r="Y214" s="80">
        <f t="shared" ca="1" si="161"/>
        <v>-98.964761937009939</v>
      </c>
      <c r="Z214" s="80">
        <f t="shared" ca="1" si="156"/>
        <v>0</v>
      </c>
      <c r="AA214" s="80">
        <f t="shared" ca="1" si="162"/>
        <v>-112.81982860819134</v>
      </c>
      <c r="AB214" s="81">
        <f t="shared" ca="1" si="144"/>
        <v>-817.69938527788952</v>
      </c>
      <c r="AC214" s="79">
        <f t="shared" ca="1" si="145"/>
        <v>118533.43030980337</v>
      </c>
      <c r="AD214" s="35"/>
      <c r="AE214" s="62">
        <f t="shared" ca="1" si="146"/>
        <v>-2500.6101455486769</v>
      </c>
      <c r="AF214" s="62">
        <f t="shared" ca="1" si="147"/>
        <v>362487.6131203766</v>
      </c>
      <c r="AG214" s="35"/>
      <c r="AH214" s="35"/>
      <c r="AR214" s="69">
        <f t="shared" si="157"/>
        <v>18</v>
      </c>
      <c r="AS214" s="70">
        <f t="shared" si="163"/>
        <v>211</v>
      </c>
      <c r="AT214" s="71">
        <f t="shared" si="166"/>
        <v>0.23591900125241427</v>
      </c>
      <c r="AU214" s="72">
        <f t="shared" si="148"/>
        <v>6.8214933659622723E-3</v>
      </c>
      <c r="AV214" s="73">
        <f t="shared" si="158"/>
        <v>1.0068214933659623</v>
      </c>
      <c r="AW214" s="74">
        <f>PRODUCT(AV$4:AV214)</f>
        <v>4.197327883560579</v>
      </c>
    </row>
    <row r="215" spans="5:49">
      <c r="E215">
        <f t="shared" si="136"/>
        <v>212</v>
      </c>
      <c r="F215" s="64">
        <f t="shared" si="149"/>
        <v>71.88</v>
      </c>
      <c r="G215" s="55">
        <f t="shared" si="137"/>
        <v>0</v>
      </c>
      <c r="H215" s="78">
        <f t="shared" si="164"/>
        <v>1</v>
      </c>
      <c r="I215" s="79">
        <f t="shared" si="150"/>
        <v>450435.01161106874</v>
      </c>
      <c r="J215" s="79">
        <f t="shared" si="138"/>
        <v>3072.6394435020443</v>
      </c>
      <c r="K215" s="80">
        <f t="shared" si="139"/>
        <v>-15</v>
      </c>
      <c r="L215" s="80">
        <f t="shared" si="151"/>
        <v>-375.36250967589064</v>
      </c>
      <c r="M215" s="80">
        <f t="shared" si="165"/>
        <v>0</v>
      </c>
      <c r="N215" s="80">
        <f t="shared" si="152"/>
        <v>-427.91326103051534</v>
      </c>
      <c r="O215" s="81">
        <f t="shared" si="140"/>
        <v>-2500.6101455486769</v>
      </c>
      <c r="P215" s="79">
        <f t="shared" si="141"/>
        <v>450188.76513831574</v>
      </c>
      <c r="Q215" s="35"/>
      <c r="R215">
        <f t="shared" ca="1" si="153"/>
        <v>337</v>
      </c>
      <c r="S215" s="78">
        <f t="shared" ca="1" si="154"/>
        <v>81.88</v>
      </c>
      <c r="T215" s="55">
        <f t="shared" ca="1" si="142"/>
        <v>1.0343997254147252E-2</v>
      </c>
      <c r="U215" s="78">
        <f t="shared" ca="1" si="159"/>
        <v>0.32361746053153584</v>
      </c>
      <c r="V215" s="79">
        <f t="shared" ca="1" si="155"/>
        <v>117307.32083215412</v>
      </c>
      <c r="W215" s="79">
        <f t="shared" ca="1" si="143"/>
        <v>800.2111108353472</v>
      </c>
      <c r="X215" s="80">
        <f t="shared" ca="1" si="160"/>
        <v>-4.8542619079730374</v>
      </c>
      <c r="Y215" s="80">
        <f t="shared" ca="1" si="161"/>
        <v>-97.756100693461775</v>
      </c>
      <c r="Z215" s="80">
        <f t="shared" ca="1" si="156"/>
        <v>-879.80490624115589</v>
      </c>
      <c r="AA215" s="80">
        <f t="shared" ca="1" si="162"/>
        <v>-111.44195479054643</v>
      </c>
      <c r="AB215" s="81">
        <f t="shared" ca="1" si="144"/>
        <v>-809.24110508185697</v>
      </c>
      <c r="AC215" s="79">
        <f t="shared" ca="1" si="145"/>
        <v>116204.43361427447</v>
      </c>
      <c r="AD215" s="35"/>
      <c r="AE215" s="62">
        <f t="shared" ca="1" si="146"/>
        <v>-2500.6101455486769</v>
      </c>
      <c r="AF215" s="62">
        <f t="shared" ca="1" si="147"/>
        <v>359079.61648117128</v>
      </c>
      <c r="AG215" s="35"/>
      <c r="AH215" s="35"/>
      <c r="AR215" s="69">
        <f t="shared" si="157"/>
        <v>18</v>
      </c>
      <c r="AS215" s="70">
        <f t="shared" si="163"/>
        <v>212</v>
      </c>
      <c r="AT215" s="71">
        <f t="shared" si="166"/>
        <v>0.23430968135046648</v>
      </c>
      <c r="AU215" s="72">
        <f t="shared" si="148"/>
        <v>6.8214933659622723E-3</v>
      </c>
      <c r="AV215" s="73">
        <f t="shared" si="158"/>
        <v>1.0068214933659623</v>
      </c>
      <c r="AW215" s="74">
        <f>PRODUCT(AV$4:AV215)</f>
        <v>4.2259599278730562</v>
      </c>
    </row>
    <row r="216" spans="5:49">
      <c r="E216">
        <f t="shared" si="136"/>
        <v>213</v>
      </c>
      <c r="F216" s="64">
        <f t="shared" si="149"/>
        <v>71.959999999999994</v>
      </c>
      <c r="G216" s="55">
        <f t="shared" si="137"/>
        <v>0</v>
      </c>
      <c r="H216" s="78">
        <f t="shared" si="164"/>
        <v>1</v>
      </c>
      <c r="I216" s="79">
        <f t="shared" si="150"/>
        <v>450188.76513831574</v>
      </c>
      <c r="J216" s="79">
        <f t="shared" si="138"/>
        <v>3070.9596748217682</v>
      </c>
      <c r="K216" s="80">
        <f t="shared" si="139"/>
        <v>-15</v>
      </c>
      <c r="L216" s="80">
        <f t="shared" si="151"/>
        <v>-375.15730428192978</v>
      </c>
      <c r="M216" s="80">
        <f t="shared" si="165"/>
        <v>0</v>
      </c>
      <c r="N216" s="80">
        <f t="shared" si="152"/>
        <v>-427.67932688140007</v>
      </c>
      <c r="O216" s="81">
        <f t="shared" si="140"/>
        <v>-2500.6101455486769</v>
      </c>
      <c r="P216" s="79">
        <f t="shared" si="141"/>
        <v>449941.27803642547</v>
      </c>
      <c r="Q216" s="35"/>
      <c r="R216">
        <f t="shared" ca="1" si="153"/>
        <v>338</v>
      </c>
      <c r="S216" s="78">
        <f t="shared" ca="1" si="154"/>
        <v>81.96</v>
      </c>
      <c r="T216" s="55">
        <f t="shared" ca="1" si="142"/>
        <v>1.0343997254147252E-2</v>
      </c>
      <c r="U216" s="78">
        <f t="shared" ca="1" si="159"/>
        <v>0.32026996240840355</v>
      </c>
      <c r="V216" s="79">
        <f t="shared" ca="1" si="155"/>
        <v>115002.41527204867</v>
      </c>
      <c r="W216" s="79">
        <f t="shared" ca="1" si="143"/>
        <v>784.48821284791836</v>
      </c>
      <c r="X216" s="80">
        <f t="shared" ca="1" si="160"/>
        <v>-4.8040494361260535</v>
      </c>
      <c r="Y216" s="80">
        <f t="shared" ca="1" si="161"/>
        <v>-95.835346060040564</v>
      </c>
      <c r="Z216" s="80">
        <f t="shared" ca="1" si="156"/>
        <v>0</v>
      </c>
      <c r="AA216" s="80">
        <f t="shared" ca="1" si="162"/>
        <v>-109.25229450844625</v>
      </c>
      <c r="AB216" s="81">
        <f t="shared" ca="1" si="144"/>
        <v>-800.87031731294735</v>
      </c>
      <c r="AC216" s="79">
        <f t="shared" ca="1" si="145"/>
        <v>114776.14147757905</v>
      </c>
      <c r="AD216" s="35"/>
      <c r="AE216" s="62">
        <f t="shared" ca="1" si="146"/>
        <v>-2500.6101455486769</v>
      </c>
      <c r="AF216" s="62">
        <f t="shared" ca="1" si="147"/>
        <v>358373.10690790974</v>
      </c>
      <c r="AG216" s="35"/>
      <c r="AH216" s="35"/>
      <c r="AR216" s="69">
        <f t="shared" si="157"/>
        <v>18</v>
      </c>
      <c r="AS216" s="70">
        <f t="shared" si="163"/>
        <v>213</v>
      </c>
      <c r="AT216" s="71">
        <f t="shared" si="166"/>
        <v>0.23271133941355354</v>
      </c>
      <c r="AU216" s="72">
        <f t="shared" si="148"/>
        <v>6.8214933659622723E-3</v>
      </c>
      <c r="AV216" s="73">
        <f t="shared" si="158"/>
        <v>1.0068214933659623</v>
      </c>
      <c r="AW216" s="74">
        <f>PRODUCT(AV$4:AV216)</f>
        <v>4.2547872854858646</v>
      </c>
    </row>
    <row r="217" spans="5:49">
      <c r="E217">
        <f t="shared" si="136"/>
        <v>214</v>
      </c>
      <c r="F217" s="64">
        <f t="shared" si="149"/>
        <v>72.040000000000006</v>
      </c>
      <c r="G217" s="55">
        <f t="shared" si="137"/>
        <v>0</v>
      </c>
      <c r="H217" s="78">
        <f t="shared" si="164"/>
        <v>1</v>
      </c>
      <c r="I217" s="79">
        <f t="shared" si="150"/>
        <v>449941.27803642547</v>
      </c>
      <c r="J217" s="79">
        <f t="shared" si="138"/>
        <v>3069.2714431980626</v>
      </c>
      <c r="K217" s="80">
        <f t="shared" si="139"/>
        <v>-15</v>
      </c>
      <c r="L217" s="80">
        <f t="shared" si="151"/>
        <v>-374.95106503035458</v>
      </c>
      <c r="M217" s="80">
        <f t="shared" si="165"/>
        <v>0</v>
      </c>
      <c r="N217" s="80">
        <f t="shared" si="152"/>
        <v>-427.44421413460424</v>
      </c>
      <c r="O217" s="81">
        <f t="shared" si="140"/>
        <v>-2500.6101455486769</v>
      </c>
      <c r="P217" s="79">
        <f t="shared" si="141"/>
        <v>449692.54405490996</v>
      </c>
      <c r="Q217" s="35"/>
      <c r="R217">
        <f t="shared" ca="1" si="153"/>
        <v>339</v>
      </c>
      <c r="S217" s="78">
        <f t="shared" ca="1" si="154"/>
        <v>82.04</v>
      </c>
      <c r="T217" s="55">
        <f t="shared" ca="1" si="142"/>
        <v>1.0343997254147252E-2</v>
      </c>
      <c r="U217" s="78">
        <f t="shared" ca="1" si="159"/>
        <v>0.31695709079666518</v>
      </c>
      <c r="V217" s="79">
        <f t="shared" ca="1" si="155"/>
        <v>113588.89738529336</v>
      </c>
      <c r="W217" s="79">
        <f t="shared" ca="1" si="143"/>
        <v>774.84590996074792</v>
      </c>
      <c r="X217" s="80">
        <f t="shared" ca="1" si="160"/>
        <v>-4.754356361949978</v>
      </c>
      <c r="Y217" s="80">
        <f t="shared" ca="1" si="161"/>
        <v>-94.657414487744475</v>
      </c>
      <c r="Z217" s="80">
        <f t="shared" ca="1" si="156"/>
        <v>0</v>
      </c>
      <c r="AA217" s="80">
        <f t="shared" ca="1" si="162"/>
        <v>-107.90945251602871</v>
      </c>
      <c r="AB217" s="81">
        <f t="shared" ca="1" si="144"/>
        <v>-792.58611694973399</v>
      </c>
      <c r="AC217" s="79">
        <f t="shared" ca="1" si="145"/>
        <v>113363.83595493864</v>
      </c>
      <c r="AD217" s="35"/>
      <c r="AE217" s="62">
        <f t="shared" ca="1" si="146"/>
        <v>-2500.6101455486764</v>
      </c>
      <c r="AF217" s="62">
        <f t="shared" ca="1" si="147"/>
        <v>357663.03782635357</v>
      </c>
      <c r="AG217" s="35"/>
      <c r="AH217" s="35"/>
      <c r="AR217" s="69">
        <f t="shared" si="157"/>
        <v>18</v>
      </c>
      <c r="AS217" s="70">
        <f t="shared" si="163"/>
        <v>214</v>
      </c>
      <c r="AT217" s="71">
        <f t="shared" si="166"/>
        <v>0.23112390055555979</v>
      </c>
      <c r="AU217" s="72">
        <f t="shared" si="148"/>
        <v>6.8214933659622723E-3</v>
      </c>
      <c r="AV217" s="73">
        <f t="shared" si="158"/>
        <v>1.0068214933659623</v>
      </c>
      <c r="AW217" s="74">
        <f>PRODUCT(AV$4:AV217)</f>
        <v>4.2838112887273869</v>
      </c>
    </row>
    <row r="218" spans="5:49">
      <c r="E218">
        <f t="shared" si="136"/>
        <v>215</v>
      </c>
      <c r="F218" s="64">
        <f t="shared" si="149"/>
        <v>72.12</v>
      </c>
      <c r="G218" s="55">
        <f t="shared" si="137"/>
        <v>0</v>
      </c>
      <c r="H218" s="78">
        <f t="shared" si="164"/>
        <v>1</v>
      </c>
      <c r="I218" s="79">
        <f t="shared" si="150"/>
        <v>449692.54405490996</v>
      </c>
      <c r="J218" s="79">
        <f t="shared" si="138"/>
        <v>3067.5747059932651</v>
      </c>
      <c r="K218" s="80">
        <f t="shared" si="139"/>
        <v>-15</v>
      </c>
      <c r="L218" s="80">
        <f t="shared" si="151"/>
        <v>-374.74378671242499</v>
      </c>
      <c r="M218" s="80">
        <f t="shared" si="165"/>
        <v>0</v>
      </c>
      <c r="N218" s="80">
        <f t="shared" si="152"/>
        <v>-427.20791685216454</v>
      </c>
      <c r="O218" s="81">
        <f t="shared" si="140"/>
        <v>-2500.6101455486769</v>
      </c>
      <c r="P218" s="79">
        <f t="shared" si="141"/>
        <v>449442.55691179004</v>
      </c>
      <c r="Q218" s="35"/>
      <c r="R218">
        <f t="shared" ca="1" si="153"/>
        <v>340</v>
      </c>
      <c r="S218" s="78">
        <f t="shared" ca="1" si="154"/>
        <v>82.12</v>
      </c>
      <c r="T218" s="55">
        <f t="shared" ca="1" si="142"/>
        <v>1.0343997254147252E-2</v>
      </c>
      <c r="U218" s="78">
        <f t="shared" ca="1" si="159"/>
        <v>0.31367848751978195</v>
      </c>
      <c r="V218" s="79">
        <f t="shared" ca="1" si="155"/>
        <v>112191.20074710115</v>
      </c>
      <c r="W218" s="79">
        <f t="shared" ca="1" si="143"/>
        <v>765.31153161569205</v>
      </c>
      <c r="X218" s="80">
        <f t="shared" ca="1" si="160"/>
        <v>-4.7051773127967289</v>
      </c>
      <c r="Y218" s="80">
        <f t="shared" ca="1" si="161"/>
        <v>-93.49266728925096</v>
      </c>
      <c r="Z218" s="80">
        <f t="shared" ca="1" si="156"/>
        <v>0</v>
      </c>
      <c r="AA218" s="80">
        <f t="shared" ca="1" si="162"/>
        <v>-106.58164070974611</v>
      </c>
      <c r="AB218" s="81">
        <f t="shared" ca="1" si="144"/>
        <v>-784.38760833233073</v>
      </c>
      <c r="AC218" s="79">
        <f t="shared" ca="1" si="145"/>
        <v>111967.34518507273</v>
      </c>
      <c r="AD218" s="35"/>
      <c r="AE218" s="62">
        <f t="shared" ca="1" si="146"/>
        <v>-2500.6101455486769</v>
      </c>
      <c r="AF218" s="62">
        <f t="shared" ca="1" si="147"/>
        <v>356949.39130313031</v>
      </c>
      <c r="AG218" s="35"/>
      <c r="AH218" s="35"/>
      <c r="AR218" s="69">
        <f t="shared" si="157"/>
        <v>18</v>
      </c>
      <c r="AS218" s="70">
        <f t="shared" si="163"/>
        <v>215</v>
      </c>
      <c r="AT218" s="71">
        <f t="shared" si="166"/>
        <v>0.22954729040120472</v>
      </c>
      <c r="AU218" s="72">
        <f t="shared" si="148"/>
        <v>6.8214933659622723E-3</v>
      </c>
      <c r="AV218" s="73">
        <f t="shared" si="158"/>
        <v>1.0068214933659623</v>
      </c>
      <c r="AW218" s="74">
        <f>PRODUCT(AV$4:AV218)</f>
        <v>4.3130332790144754</v>
      </c>
    </row>
    <row r="219" spans="5:49">
      <c r="E219">
        <f t="shared" ref="E219:E282" si="167">E218+1</f>
        <v>216</v>
      </c>
      <c r="F219" s="64">
        <f t="shared" si="149"/>
        <v>72.2</v>
      </c>
      <c r="G219" s="55">
        <f t="shared" si="137"/>
        <v>0</v>
      </c>
      <c r="H219" s="78">
        <f t="shared" si="164"/>
        <v>1</v>
      </c>
      <c r="I219" s="79">
        <f t="shared" si="150"/>
        <v>449442.55691179004</v>
      </c>
      <c r="J219" s="79">
        <f t="shared" si="138"/>
        <v>3065.8694203548966</v>
      </c>
      <c r="K219" s="80">
        <f t="shared" si="139"/>
        <v>-15</v>
      </c>
      <c r="L219" s="80">
        <f t="shared" si="151"/>
        <v>-374.5354640931584</v>
      </c>
      <c r="M219" s="80">
        <f t="shared" si="165"/>
        <v>0</v>
      </c>
      <c r="N219" s="80">
        <f t="shared" si="152"/>
        <v>-426.97042906620067</v>
      </c>
      <c r="O219" s="81">
        <f t="shared" si="140"/>
        <v>-2500.6101455486769</v>
      </c>
      <c r="P219" s="79">
        <f t="shared" si="141"/>
        <v>449191.31029343692</v>
      </c>
      <c r="Q219" s="35"/>
      <c r="R219">
        <f t="shared" ca="1" si="153"/>
        <v>341</v>
      </c>
      <c r="S219" s="78">
        <f t="shared" ca="1" si="154"/>
        <v>82.2</v>
      </c>
      <c r="T219" s="55">
        <f t="shared" ca="1" si="142"/>
        <v>1.0343997254147252E-2</v>
      </c>
      <c r="U219" s="78">
        <f t="shared" ca="1" si="159"/>
        <v>0.31043379810619226</v>
      </c>
      <c r="V219" s="79">
        <f t="shared" ca="1" si="155"/>
        <v>110809.15527392417</v>
      </c>
      <c r="W219" s="79">
        <f t="shared" ca="1" si="143"/>
        <v>755.88391758895705</v>
      </c>
      <c r="X219" s="80">
        <f t="shared" ca="1" si="160"/>
        <v>-4.6565069715928837</v>
      </c>
      <c r="Y219" s="80">
        <f t="shared" ca="1" si="161"/>
        <v>-92.340962728270156</v>
      </c>
      <c r="Z219" s="80">
        <f t="shared" ca="1" si="156"/>
        <v>0</v>
      </c>
      <c r="AA219" s="80">
        <f t="shared" ca="1" si="162"/>
        <v>-105.26869751022798</v>
      </c>
      <c r="AB219" s="81">
        <f t="shared" ca="1" si="144"/>
        <v>-776.273905065554</v>
      </c>
      <c r="AC219" s="79">
        <f t="shared" ca="1" si="145"/>
        <v>110586.4991192375</v>
      </c>
      <c r="AD219" s="35"/>
      <c r="AE219" s="62">
        <f t="shared" ca="1" si="146"/>
        <v>-2500.6101455486769</v>
      </c>
      <c r="AF219" s="62">
        <f t="shared" ca="1" si="147"/>
        <v>356232.14931451634</v>
      </c>
      <c r="AG219" s="35"/>
      <c r="AH219" s="35"/>
      <c r="AR219" s="69">
        <f t="shared" si="157"/>
        <v>18</v>
      </c>
      <c r="AS219" s="70">
        <f t="shared" si="163"/>
        <v>216</v>
      </c>
      <c r="AT219" s="71">
        <f t="shared" si="166"/>
        <v>0.2279814350825583</v>
      </c>
      <c r="AU219" s="72">
        <f t="shared" si="148"/>
        <v>6.8214933659622723E-3</v>
      </c>
      <c r="AV219" s="73">
        <f t="shared" si="158"/>
        <v>1.0068214933659623</v>
      </c>
      <c r="AW219" s="74">
        <f>PRODUCT(AV$4:AV219)</f>
        <v>4.3424546069144467</v>
      </c>
    </row>
    <row r="220" spans="5:49">
      <c r="E220">
        <f t="shared" si="167"/>
        <v>217</v>
      </c>
      <c r="F220" s="64">
        <f t="shared" si="149"/>
        <v>72.28</v>
      </c>
      <c r="G220" s="55">
        <f t="shared" si="137"/>
        <v>0</v>
      </c>
      <c r="H220" s="78">
        <f t="shared" si="164"/>
        <v>1</v>
      </c>
      <c r="I220" s="79">
        <f t="shared" si="150"/>
        <v>449191.31029343692</v>
      </c>
      <c r="J220" s="79">
        <f t="shared" si="138"/>
        <v>3064.1555432145806</v>
      </c>
      <c r="K220" s="80">
        <f t="shared" si="139"/>
        <v>-15</v>
      </c>
      <c r="L220" s="80">
        <f t="shared" si="151"/>
        <v>-374.32609191119747</v>
      </c>
      <c r="M220" s="80">
        <f t="shared" si="165"/>
        <v>-3368.9348272007769</v>
      </c>
      <c r="N220" s="80">
        <f t="shared" si="152"/>
        <v>-426.73174477876518</v>
      </c>
      <c r="O220" s="81">
        <f t="shared" si="140"/>
        <v>-2500.6101455486769</v>
      </c>
      <c r="P220" s="79">
        <f t="shared" si="141"/>
        <v>445569.86302721215</v>
      </c>
      <c r="Q220" s="35"/>
      <c r="R220">
        <f t="shared" ca="1" si="153"/>
        <v>342</v>
      </c>
      <c r="S220" s="78">
        <f t="shared" ca="1" si="154"/>
        <v>82.28</v>
      </c>
      <c r="T220" s="55">
        <f t="shared" ca="1" si="142"/>
        <v>1.0343997254147252E-2</v>
      </c>
      <c r="U220" s="78">
        <f t="shared" ca="1" si="159"/>
        <v>0.30722267175098733</v>
      </c>
      <c r="V220" s="79">
        <f t="shared" ca="1" si="155"/>
        <v>109442.59267600236</v>
      </c>
      <c r="W220" s="79">
        <f t="shared" ca="1" si="143"/>
        <v>746.56191989306126</v>
      </c>
      <c r="X220" s="80">
        <f t="shared" ca="1" si="160"/>
        <v>-4.6083400762648097</v>
      </c>
      <c r="Y220" s="80">
        <f t="shared" ca="1" si="161"/>
        <v>-91.202160563335298</v>
      </c>
      <c r="Z220" s="80">
        <f t="shared" ca="1" si="156"/>
        <v>0</v>
      </c>
      <c r="AA220" s="80">
        <f t="shared" ca="1" si="162"/>
        <v>-103.97046304220225</v>
      </c>
      <c r="AB220" s="81">
        <f t="shared" ca="1" si="144"/>
        <v>-768.24412992308987</v>
      </c>
      <c r="AC220" s="79">
        <f t="shared" ca="1" si="145"/>
        <v>109221.12950229054</v>
      </c>
      <c r="AD220" s="35"/>
      <c r="AE220" s="62">
        <f t="shared" ca="1" si="146"/>
        <v>-2500.6101455486769</v>
      </c>
      <c r="AF220" s="62">
        <f t="shared" ca="1" si="147"/>
        <v>355511.29374598159</v>
      </c>
      <c r="AG220" s="35"/>
      <c r="AH220" s="35"/>
      <c r="AR220" s="69">
        <f t="shared" si="157"/>
        <v>19</v>
      </c>
      <c r="AS220" s="70">
        <f t="shared" si="163"/>
        <v>217</v>
      </c>
      <c r="AT220" s="71">
        <f t="shared" si="166"/>
        <v>0.22642626123558007</v>
      </c>
      <c r="AU220" s="72">
        <f t="shared" si="148"/>
        <v>6.8214933659622723E-3</v>
      </c>
      <c r="AV220" s="73">
        <f t="shared" si="158"/>
        <v>1.0068214933659623</v>
      </c>
      <c r="AW220" s="74">
        <f>PRODUCT(AV$4:AV220)</f>
        <v>4.3720766322075058</v>
      </c>
    </row>
    <row r="221" spans="5:49">
      <c r="E221">
        <f t="shared" si="167"/>
        <v>218</v>
      </c>
      <c r="F221" s="64">
        <f t="shared" si="149"/>
        <v>72.36</v>
      </c>
      <c r="G221" s="55">
        <f t="shared" si="137"/>
        <v>0</v>
      </c>
      <c r="H221" s="78">
        <f t="shared" si="164"/>
        <v>1</v>
      </c>
      <c r="I221" s="79">
        <f t="shared" si="150"/>
        <v>445569.86302721215</v>
      </c>
      <c r="J221" s="79">
        <f t="shared" si="138"/>
        <v>3039.4518647128461</v>
      </c>
      <c r="K221" s="80">
        <f t="shared" si="139"/>
        <v>-15</v>
      </c>
      <c r="L221" s="80">
        <f t="shared" si="151"/>
        <v>-371.3082191893435</v>
      </c>
      <c r="M221" s="80">
        <f t="shared" si="165"/>
        <v>0</v>
      </c>
      <c r="N221" s="80">
        <f t="shared" si="152"/>
        <v>-423.29136987585161</v>
      </c>
      <c r="O221" s="81">
        <f t="shared" si="140"/>
        <v>-2500.6101455486769</v>
      </c>
      <c r="P221" s="79">
        <f t="shared" si="141"/>
        <v>445299.10515731119</v>
      </c>
      <c r="Q221" s="35"/>
      <c r="R221">
        <f t="shared" ca="1" si="153"/>
        <v>343</v>
      </c>
      <c r="S221" s="78">
        <f t="shared" ca="1" si="154"/>
        <v>82.36</v>
      </c>
      <c r="T221" s="55">
        <f t="shared" ca="1" si="142"/>
        <v>1.0343997254147252E-2</v>
      </c>
      <c r="U221" s="78">
        <f t="shared" ca="1" si="159"/>
        <v>0.30404476127798336</v>
      </c>
      <c r="V221" s="79">
        <f t="shared" ca="1" si="155"/>
        <v>108091.34643862398</v>
      </c>
      <c r="W221" s="79">
        <f t="shared" ca="1" si="143"/>
        <v>737.3444026490032</v>
      </c>
      <c r="X221" s="80">
        <f t="shared" ca="1" si="160"/>
        <v>-4.5606714191697506</v>
      </c>
      <c r="Y221" s="80">
        <f t="shared" ca="1" si="161"/>
        <v>-90.07612203218666</v>
      </c>
      <c r="Z221" s="80">
        <f t="shared" ca="1" si="156"/>
        <v>0</v>
      </c>
      <c r="AA221" s="80">
        <f t="shared" ca="1" si="162"/>
        <v>-102.68677911669279</v>
      </c>
      <c r="AB221" s="81">
        <f t="shared" ca="1" si="144"/>
        <v>-760.29741475265064</v>
      </c>
      <c r="AC221" s="79">
        <f t="shared" ca="1" si="145"/>
        <v>107871.06985395229</v>
      </c>
      <c r="AD221" s="35"/>
      <c r="AE221" s="62">
        <f t="shared" ca="1" si="146"/>
        <v>-2500.6101455486769</v>
      </c>
      <c r="AF221" s="62">
        <f t="shared" ca="1" si="147"/>
        <v>354786.80639173213</v>
      </c>
      <c r="AG221" s="35"/>
      <c r="AH221" s="35"/>
      <c r="AR221" s="69">
        <f t="shared" si="157"/>
        <v>19</v>
      </c>
      <c r="AS221" s="70">
        <f t="shared" si="163"/>
        <v>218</v>
      </c>
      <c r="AT221" s="71">
        <f t="shared" si="166"/>
        <v>0.22488169599668192</v>
      </c>
      <c r="AU221" s="72">
        <f t="shared" si="148"/>
        <v>6.8214933659622723E-3</v>
      </c>
      <c r="AV221" s="73">
        <f t="shared" si="158"/>
        <v>1.0068214933659623</v>
      </c>
      <c r="AW221" s="74">
        <f>PRODUCT(AV$4:AV221)</f>
        <v>4.4019007239495878</v>
      </c>
    </row>
    <row r="222" spans="5:49">
      <c r="E222">
        <f t="shared" si="167"/>
        <v>219</v>
      </c>
      <c r="F222" s="64">
        <f t="shared" si="149"/>
        <v>72.44</v>
      </c>
      <c r="G222" s="55">
        <f t="shared" si="137"/>
        <v>0</v>
      </c>
      <c r="H222" s="78">
        <f t="shared" si="164"/>
        <v>1</v>
      </c>
      <c r="I222" s="79">
        <f t="shared" si="150"/>
        <v>445299.10515731119</v>
      </c>
      <c r="J222" s="79">
        <f t="shared" si="138"/>
        <v>3037.6048916995346</v>
      </c>
      <c r="K222" s="80">
        <f t="shared" si="139"/>
        <v>-15</v>
      </c>
      <c r="L222" s="80">
        <f t="shared" si="151"/>
        <v>-371.08258763109268</v>
      </c>
      <c r="M222" s="80">
        <f t="shared" si="165"/>
        <v>0</v>
      </c>
      <c r="N222" s="80">
        <f t="shared" si="152"/>
        <v>-423.03414989944571</v>
      </c>
      <c r="O222" s="81">
        <f t="shared" si="140"/>
        <v>-2500.6101455486769</v>
      </c>
      <c r="P222" s="79">
        <f t="shared" si="141"/>
        <v>445026.98316593154</v>
      </c>
      <c r="Q222" s="35"/>
      <c r="R222">
        <f t="shared" ca="1" si="153"/>
        <v>344</v>
      </c>
      <c r="S222" s="78">
        <f t="shared" ca="1" si="154"/>
        <v>82.44</v>
      </c>
      <c r="T222" s="55">
        <f t="shared" ca="1" si="142"/>
        <v>1.0343997254147252E-2</v>
      </c>
      <c r="U222" s="78">
        <f t="shared" ca="1" si="159"/>
        <v>0.30089972310218605</v>
      </c>
      <c r="V222" s="79">
        <f t="shared" ca="1" si="155"/>
        <v>106755.25180358108</v>
      </c>
      <c r="W222" s="79">
        <f t="shared" ca="1" si="143"/>
        <v>728.23024195976018</v>
      </c>
      <c r="X222" s="80">
        <f t="shared" ca="1" si="160"/>
        <v>-4.5134958465327903</v>
      </c>
      <c r="Y222" s="80">
        <f t="shared" ca="1" si="161"/>
        <v>-88.962709836317572</v>
      </c>
      <c r="Z222" s="80">
        <f t="shared" ca="1" si="156"/>
        <v>0</v>
      </c>
      <c r="AA222" s="80">
        <f t="shared" ca="1" si="162"/>
        <v>-101.41748921340205</v>
      </c>
      <c r="AB222" s="81">
        <f t="shared" ca="1" si="144"/>
        <v>-752.43290038211398</v>
      </c>
      <c r="AC222" s="79">
        <f t="shared" ca="1" si="145"/>
        <v>106536.15545026246</v>
      </c>
      <c r="AD222" s="35"/>
      <c r="AE222" s="62">
        <f t="shared" ca="1" si="146"/>
        <v>-2500.6101455486769</v>
      </c>
      <c r="AF222" s="62">
        <f t="shared" ca="1" si="147"/>
        <v>354058.66895425029</v>
      </c>
      <c r="AG222" s="35"/>
      <c r="AH222" s="35"/>
      <c r="AR222" s="69">
        <f t="shared" si="157"/>
        <v>19</v>
      </c>
      <c r="AS222" s="70">
        <f t="shared" si="163"/>
        <v>219</v>
      </c>
      <c r="AT222" s="71">
        <f t="shared" si="166"/>
        <v>0.22334766699931421</v>
      </c>
      <c r="AU222" s="72">
        <f t="shared" si="148"/>
        <v>6.8214933659622723E-3</v>
      </c>
      <c r="AV222" s="73">
        <f t="shared" si="158"/>
        <v>1.0068214933659623</v>
      </c>
      <c r="AW222" s="74">
        <f>PRODUCT(AV$4:AV222)</f>
        <v>4.431928260535634</v>
      </c>
    </row>
    <row r="223" spans="5:49">
      <c r="E223">
        <f t="shared" si="167"/>
        <v>220</v>
      </c>
      <c r="F223" s="64">
        <f t="shared" si="149"/>
        <v>72.52</v>
      </c>
      <c r="G223" s="55">
        <f t="shared" si="137"/>
        <v>0</v>
      </c>
      <c r="H223" s="78">
        <f t="shared" si="164"/>
        <v>1</v>
      </c>
      <c r="I223" s="79">
        <f t="shared" si="150"/>
        <v>445026.98316593154</v>
      </c>
      <c r="J223" s="79">
        <f t="shared" si="138"/>
        <v>3035.748613340606</v>
      </c>
      <c r="K223" s="80">
        <f t="shared" si="139"/>
        <v>-15</v>
      </c>
      <c r="L223" s="80">
        <f t="shared" si="151"/>
        <v>-370.855819304943</v>
      </c>
      <c r="M223" s="80">
        <f t="shared" si="165"/>
        <v>0</v>
      </c>
      <c r="N223" s="80">
        <f t="shared" si="152"/>
        <v>-422.77563400763506</v>
      </c>
      <c r="O223" s="81">
        <f t="shared" si="140"/>
        <v>-2500.6101455486769</v>
      </c>
      <c r="P223" s="79">
        <f t="shared" si="141"/>
        <v>444753.49018041091</v>
      </c>
      <c r="Q223" s="35"/>
      <c r="R223">
        <f t="shared" ca="1" si="153"/>
        <v>345</v>
      </c>
      <c r="S223" s="78">
        <f t="shared" ca="1" si="154"/>
        <v>82.52</v>
      </c>
      <c r="T223" s="55">
        <f t="shared" ca="1" si="142"/>
        <v>1.1324652332016072E-2</v>
      </c>
      <c r="U223" s="78">
        <f t="shared" ca="1" si="159"/>
        <v>0.29749213835125388</v>
      </c>
      <c r="V223" s="79">
        <f t="shared" ca="1" si="155"/>
        <v>105329.67052899863</v>
      </c>
      <c r="W223" s="79">
        <f t="shared" ca="1" si="143"/>
        <v>718.505648752556</v>
      </c>
      <c r="X223" s="80">
        <f t="shared" ca="1" si="160"/>
        <v>-4.4623820752688079</v>
      </c>
      <c r="Y223" s="80">
        <f t="shared" ca="1" si="161"/>
        <v>-87.774725440832199</v>
      </c>
      <c r="Z223" s="80">
        <f t="shared" ca="1" si="156"/>
        <v>0</v>
      </c>
      <c r="AA223" s="80">
        <f t="shared" ca="1" si="162"/>
        <v>-100.06318700254872</v>
      </c>
      <c r="AB223" s="81">
        <f t="shared" ca="1" si="144"/>
        <v>-743.91185938211618</v>
      </c>
      <c r="AC223" s="79">
        <f t="shared" ca="1" si="145"/>
        <v>105111.96402385041</v>
      </c>
      <c r="AD223" s="35"/>
      <c r="AE223" s="62">
        <f t="shared" ca="1" si="146"/>
        <v>-2500.6101455486773</v>
      </c>
      <c r="AF223" s="62">
        <f t="shared" ca="1" si="147"/>
        <v>353326.86304383271</v>
      </c>
      <c r="AG223" s="35"/>
      <c r="AH223" s="35"/>
      <c r="AR223" s="69">
        <f t="shared" si="157"/>
        <v>19</v>
      </c>
      <c r="AS223" s="70">
        <f t="shared" si="163"/>
        <v>220</v>
      </c>
      <c r="AT223" s="71">
        <f t="shared" si="166"/>
        <v>0.22182410237057523</v>
      </c>
      <c r="AU223" s="72">
        <f t="shared" si="148"/>
        <v>6.8214933659622723E-3</v>
      </c>
      <c r="AV223" s="73">
        <f t="shared" si="158"/>
        <v>1.0068214933659623</v>
      </c>
      <c r="AW223" s="74">
        <f>PRODUCT(AV$4:AV223)</f>
        <v>4.4621606297632983</v>
      </c>
    </row>
    <row r="224" spans="5:49">
      <c r="E224">
        <f t="shared" si="167"/>
        <v>221</v>
      </c>
      <c r="F224" s="64">
        <f t="shared" si="149"/>
        <v>72.599999999999994</v>
      </c>
      <c r="G224" s="55">
        <f t="shared" si="137"/>
        <v>0</v>
      </c>
      <c r="H224" s="78">
        <f t="shared" si="164"/>
        <v>1</v>
      </c>
      <c r="I224" s="79">
        <f t="shared" si="150"/>
        <v>444753.49018041091</v>
      </c>
      <c r="J224" s="79">
        <f t="shared" si="138"/>
        <v>3033.8829827542395</v>
      </c>
      <c r="K224" s="80">
        <f t="shared" si="139"/>
        <v>-15</v>
      </c>
      <c r="L224" s="80">
        <f t="shared" si="151"/>
        <v>-370.62790848367581</v>
      </c>
      <c r="M224" s="80">
        <f t="shared" si="165"/>
        <v>0</v>
      </c>
      <c r="N224" s="80">
        <f t="shared" si="152"/>
        <v>-422.5158156713905</v>
      </c>
      <c r="O224" s="81">
        <f t="shared" si="140"/>
        <v>-2500.6101455486769</v>
      </c>
      <c r="P224" s="79">
        <f t="shared" si="141"/>
        <v>444478.61929346144</v>
      </c>
      <c r="Q224" s="35"/>
      <c r="R224">
        <f t="shared" ca="1" si="153"/>
        <v>346</v>
      </c>
      <c r="S224" s="78">
        <f t="shared" ca="1" si="154"/>
        <v>82.6</v>
      </c>
      <c r="T224" s="55">
        <f t="shared" ca="1" si="142"/>
        <v>1.1324652332016072E-2</v>
      </c>
      <c r="U224" s="78">
        <f t="shared" ca="1" si="159"/>
        <v>0.29412314331291789</v>
      </c>
      <c r="V224" s="79">
        <f t="shared" ca="1" si="155"/>
        <v>103921.60757534493</v>
      </c>
      <c r="W224" s="79">
        <f t="shared" ca="1" si="143"/>
        <v>708.90055665534999</v>
      </c>
      <c r="X224" s="80">
        <f t="shared" ca="1" si="160"/>
        <v>-4.4118471496937683</v>
      </c>
      <c r="Y224" s="80">
        <f t="shared" ca="1" si="161"/>
        <v>-86.601339646120778</v>
      </c>
      <c r="Z224" s="80">
        <f t="shared" ca="1" si="156"/>
        <v>0</v>
      </c>
      <c r="AA224" s="80">
        <f t="shared" ca="1" si="162"/>
        <v>-98.725527196577687</v>
      </c>
      <c r="AB224" s="81">
        <f t="shared" ca="1" si="144"/>
        <v>-735.48731620894989</v>
      </c>
      <c r="AC224" s="79">
        <f t="shared" ca="1" si="145"/>
        <v>103705.28210179893</v>
      </c>
      <c r="AD224" s="35"/>
      <c r="AE224" s="62">
        <f t="shared" ca="1" si="146"/>
        <v>-2500.6101455486769</v>
      </c>
      <c r="AF224" s="62">
        <f t="shared" ca="1" si="147"/>
        <v>352591.37017812562</v>
      </c>
      <c r="AG224" s="35"/>
      <c r="AH224" s="35"/>
      <c r="AR224" s="69">
        <f t="shared" si="157"/>
        <v>19</v>
      </c>
      <c r="AS224" s="70">
        <f t="shared" si="163"/>
        <v>221</v>
      </c>
      <c r="AT224" s="71">
        <f t="shared" si="166"/>
        <v>0.22031093072784383</v>
      </c>
      <c r="AU224" s="72">
        <f t="shared" si="148"/>
        <v>6.8214933659622723E-3</v>
      </c>
      <c r="AV224" s="73">
        <f t="shared" si="158"/>
        <v>1.0068214933659623</v>
      </c>
      <c r="AW224" s="74">
        <f>PRODUCT(AV$4:AV224)</f>
        <v>4.4925992288970864</v>
      </c>
    </row>
    <row r="225" spans="5:49">
      <c r="E225">
        <f t="shared" si="167"/>
        <v>222</v>
      </c>
      <c r="F225" s="64">
        <f t="shared" si="149"/>
        <v>72.680000000000007</v>
      </c>
      <c r="G225" s="55">
        <f t="shared" si="137"/>
        <v>0</v>
      </c>
      <c r="H225" s="78">
        <f t="shared" si="164"/>
        <v>1</v>
      </c>
      <c r="I225" s="79">
        <f t="shared" si="150"/>
        <v>444478.61929346144</v>
      </c>
      <c r="J225" s="79">
        <f t="shared" si="138"/>
        <v>3032.0079528224178</v>
      </c>
      <c r="K225" s="80">
        <f t="shared" si="139"/>
        <v>-15</v>
      </c>
      <c r="L225" s="80">
        <f t="shared" si="151"/>
        <v>-370.3988494112179</v>
      </c>
      <c r="M225" s="80">
        <f t="shared" si="165"/>
        <v>0</v>
      </c>
      <c r="N225" s="80">
        <f t="shared" si="152"/>
        <v>-422.25468832878846</v>
      </c>
      <c r="O225" s="81">
        <f t="shared" si="140"/>
        <v>-2500.6101455486769</v>
      </c>
      <c r="P225" s="79">
        <f t="shared" si="141"/>
        <v>444202.36356299522</v>
      </c>
      <c r="Q225" s="35"/>
      <c r="R225">
        <f t="shared" ca="1" si="153"/>
        <v>347</v>
      </c>
      <c r="S225" s="78">
        <f t="shared" ca="1" si="154"/>
        <v>82.68</v>
      </c>
      <c r="T225" s="55">
        <f t="shared" ca="1" si="142"/>
        <v>1.1324652332016072E-2</v>
      </c>
      <c r="U225" s="78">
        <f t="shared" ca="1" si="159"/>
        <v>0.29079230097209935</v>
      </c>
      <c r="V225" s="79">
        <f t="shared" ca="1" si="155"/>
        <v>102530.85583700241</v>
      </c>
      <c r="W225" s="79">
        <f t="shared" ca="1" si="143"/>
        <v>699.41355289854607</v>
      </c>
      <c r="X225" s="80">
        <f t="shared" ca="1" si="160"/>
        <v>-4.3618845145814902</v>
      </c>
      <c r="Y225" s="80">
        <f t="shared" ca="1" si="161"/>
        <v>-85.442379864168686</v>
      </c>
      <c r="Z225" s="80">
        <f t="shared" ca="1" si="156"/>
        <v>0</v>
      </c>
      <c r="AA225" s="80">
        <f t="shared" ca="1" si="162"/>
        <v>-97.404313045152307</v>
      </c>
      <c r="AB225" s="81">
        <f t="shared" ca="1" si="144"/>
        <v>-727.15817805827601</v>
      </c>
      <c r="AC225" s="79">
        <f t="shared" ca="1" si="145"/>
        <v>102315.90263441879</v>
      </c>
      <c r="AD225" s="35"/>
      <c r="AE225" s="62">
        <f t="shared" ca="1" si="146"/>
        <v>-2500.6101455486769</v>
      </c>
      <c r="AF225" s="62">
        <f t="shared" ca="1" si="147"/>
        <v>351852.17178165831</v>
      </c>
      <c r="AG225" s="35"/>
      <c r="AH225" s="35"/>
      <c r="AR225" s="69">
        <f t="shared" si="157"/>
        <v>19</v>
      </c>
      <c r="AS225" s="70">
        <f t="shared" si="163"/>
        <v>222</v>
      </c>
      <c r="AT225" s="71">
        <f t="shared" si="166"/>
        <v>0.21880808117543488</v>
      </c>
      <c r="AU225" s="72">
        <f t="shared" si="148"/>
        <v>6.8214933659622723E-3</v>
      </c>
      <c r="AV225" s="73">
        <f t="shared" si="158"/>
        <v>1.0068214933659623</v>
      </c>
      <c r="AW225" s="74">
        <f>PRODUCT(AV$4:AV225)</f>
        <v>4.523245464732935</v>
      </c>
    </row>
    <row r="226" spans="5:49">
      <c r="E226">
        <f t="shared" si="167"/>
        <v>223</v>
      </c>
      <c r="F226" s="64">
        <f t="shared" si="149"/>
        <v>72.760000000000005</v>
      </c>
      <c r="G226" s="55">
        <f t="shared" si="137"/>
        <v>0</v>
      </c>
      <c r="H226" s="78">
        <f t="shared" si="164"/>
        <v>1</v>
      </c>
      <c r="I226" s="79">
        <f t="shared" si="150"/>
        <v>444202.36356299522</v>
      </c>
      <c r="J226" s="79">
        <f t="shared" si="138"/>
        <v>3030.1234761897331</v>
      </c>
      <c r="K226" s="80">
        <f t="shared" si="139"/>
        <v>-15</v>
      </c>
      <c r="L226" s="80">
        <f t="shared" si="151"/>
        <v>-370.16863630249605</v>
      </c>
      <c r="M226" s="80">
        <f t="shared" si="165"/>
        <v>0</v>
      </c>
      <c r="N226" s="80">
        <f t="shared" si="152"/>
        <v>-421.99224538484555</v>
      </c>
      <c r="O226" s="81">
        <f t="shared" si="140"/>
        <v>-2500.6101455486769</v>
      </c>
      <c r="P226" s="79">
        <f t="shared" si="141"/>
        <v>443924.71601194894</v>
      </c>
      <c r="Q226" s="35"/>
      <c r="R226">
        <f t="shared" ca="1" si="153"/>
        <v>348</v>
      </c>
      <c r="S226" s="78">
        <f t="shared" ca="1" si="154"/>
        <v>82.76</v>
      </c>
      <c r="T226" s="55">
        <f t="shared" ca="1" si="142"/>
        <v>1.1324652332016072E-2</v>
      </c>
      <c r="U226" s="78">
        <f t="shared" ca="1" si="159"/>
        <v>0.28749917926276336</v>
      </c>
      <c r="V226" s="79">
        <f t="shared" ca="1" si="155"/>
        <v>101157.21060904759</v>
      </c>
      <c r="W226" s="79">
        <f t="shared" ca="1" si="143"/>
        <v>690.04324108886647</v>
      </c>
      <c r="X226" s="80">
        <f t="shared" ca="1" si="160"/>
        <v>-4.3124876889414505</v>
      </c>
      <c r="Y226" s="80">
        <f t="shared" ca="1" si="161"/>
        <v>-84.297675507539665</v>
      </c>
      <c r="Z226" s="80">
        <f t="shared" ca="1" si="156"/>
        <v>0</v>
      </c>
      <c r="AA226" s="80">
        <f t="shared" ca="1" si="162"/>
        <v>-96.099350078595236</v>
      </c>
      <c r="AB226" s="81">
        <f t="shared" ca="1" si="144"/>
        <v>-718.92336450138384</v>
      </c>
      <c r="AC226" s="79">
        <f t="shared" ca="1" si="145"/>
        <v>100943.62097235999</v>
      </c>
      <c r="AD226" s="35"/>
      <c r="AE226" s="62">
        <f t="shared" ca="1" si="146"/>
        <v>-2500.6101455486769</v>
      </c>
      <c r="AF226" s="62">
        <f t="shared" ca="1" si="147"/>
        <v>351109.24918537366</v>
      </c>
      <c r="AG226" s="35"/>
      <c r="AH226" s="35"/>
      <c r="AR226" s="69">
        <f t="shared" si="157"/>
        <v>19</v>
      </c>
      <c r="AS226" s="70">
        <f t="shared" si="163"/>
        <v>223</v>
      </c>
      <c r="AT226" s="71">
        <f t="shared" si="166"/>
        <v>0.2173154833012777</v>
      </c>
      <c r="AU226" s="72">
        <f t="shared" si="148"/>
        <v>6.8214933659622723E-3</v>
      </c>
      <c r="AV226" s="73">
        <f t="shared" si="158"/>
        <v>1.0068214933659623</v>
      </c>
      <c r="AW226" s="74">
        <f>PRODUCT(AV$4:AV226)</f>
        <v>4.5541007536632296</v>
      </c>
    </row>
    <row r="227" spans="5:49">
      <c r="E227">
        <f t="shared" si="167"/>
        <v>224</v>
      </c>
      <c r="F227" s="64">
        <f t="shared" si="149"/>
        <v>72.84</v>
      </c>
      <c r="G227" s="55">
        <f t="shared" si="137"/>
        <v>0</v>
      </c>
      <c r="H227" s="78">
        <f t="shared" si="164"/>
        <v>1</v>
      </c>
      <c r="I227" s="79">
        <f t="shared" si="150"/>
        <v>443924.71601194894</v>
      </c>
      <c r="J227" s="79">
        <f t="shared" si="138"/>
        <v>3028.2295052621953</v>
      </c>
      <c r="K227" s="80">
        <f t="shared" si="139"/>
        <v>-15</v>
      </c>
      <c r="L227" s="80">
        <f t="shared" si="151"/>
        <v>-369.93726334329079</v>
      </c>
      <c r="M227" s="80">
        <f t="shared" si="165"/>
        <v>0</v>
      </c>
      <c r="N227" s="80">
        <f t="shared" si="152"/>
        <v>-421.72848021135155</v>
      </c>
      <c r="O227" s="81">
        <f t="shared" si="140"/>
        <v>-2500.6101455486769</v>
      </c>
      <c r="P227" s="79">
        <f t="shared" si="141"/>
        <v>443645.66962810786</v>
      </c>
      <c r="Q227" s="35"/>
      <c r="R227">
        <f t="shared" ca="1" si="153"/>
        <v>349</v>
      </c>
      <c r="S227" s="78">
        <f t="shared" ca="1" si="154"/>
        <v>82.84</v>
      </c>
      <c r="T227" s="55">
        <f t="shared" ca="1" si="142"/>
        <v>1.1324652332016072E-2</v>
      </c>
      <c r="U227" s="78">
        <f t="shared" ca="1" si="159"/>
        <v>0.28424335101187259</v>
      </c>
      <c r="V227" s="79">
        <f t="shared" ca="1" si="155"/>
        <v>99800.469559713209</v>
      </c>
      <c r="W227" s="79">
        <f t="shared" ca="1" si="143"/>
        <v>680.78824102150338</v>
      </c>
      <c r="X227" s="80">
        <f t="shared" ca="1" si="160"/>
        <v>-4.2636502651780885</v>
      </c>
      <c r="Y227" s="80">
        <f t="shared" ca="1" si="161"/>
        <v>-83.167057966427677</v>
      </c>
      <c r="Z227" s="80">
        <f t="shared" ca="1" si="156"/>
        <v>-748.50352169784901</v>
      </c>
      <c r="AA227" s="80">
        <f t="shared" ca="1" si="162"/>
        <v>-94.810446081727562</v>
      </c>
      <c r="AB227" s="81">
        <f t="shared" ca="1" si="144"/>
        <v>-710.78180734504247</v>
      </c>
      <c r="AC227" s="79">
        <f t="shared" ca="1" si="145"/>
        <v>98839.731317378508</v>
      </c>
      <c r="AD227" s="35"/>
      <c r="AE227" s="62">
        <f t="shared" ca="1" si="146"/>
        <v>-2500.6101455486773</v>
      </c>
      <c r="AF227" s="62">
        <f t="shared" ca="1" si="147"/>
        <v>347729.26425726688</v>
      </c>
      <c r="AG227" s="35"/>
      <c r="AH227" s="35"/>
      <c r="AR227" s="69">
        <f t="shared" si="157"/>
        <v>19</v>
      </c>
      <c r="AS227" s="70">
        <f t="shared" si="163"/>
        <v>224</v>
      </c>
      <c r="AT227" s="71">
        <f t="shared" si="166"/>
        <v>0.21583306717361714</v>
      </c>
      <c r="AU227" s="72">
        <f t="shared" si="148"/>
        <v>6.8214933659622723E-3</v>
      </c>
      <c r="AV227" s="73">
        <f t="shared" si="158"/>
        <v>1.0068214933659623</v>
      </c>
      <c r="AW227" s="74">
        <f>PRODUCT(AV$4:AV227)</f>
        <v>4.5851665217422672</v>
      </c>
    </row>
    <row r="228" spans="5:49">
      <c r="E228">
        <f t="shared" si="167"/>
        <v>225</v>
      </c>
      <c r="F228" s="64">
        <f t="shared" si="149"/>
        <v>72.92</v>
      </c>
      <c r="G228" s="55">
        <f t="shared" si="137"/>
        <v>0</v>
      </c>
      <c r="H228" s="78">
        <f t="shared" si="164"/>
        <v>1</v>
      </c>
      <c r="I228" s="79">
        <f t="shared" si="150"/>
        <v>443645.66962810786</v>
      </c>
      <c r="J228" s="79">
        <f t="shared" si="138"/>
        <v>3026.3259922060279</v>
      </c>
      <c r="K228" s="80">
        <f t="shared" si="139"/>
        <v>-15</v>
      </c>
      <c r="L228" s="80">
        <f t="shared" si="151"/>
        <v>-369.7047246900899</v>
      </c>
      <c r="M228" s="80">
        <f t="shared" si="165"/>
        <v>0</v>
      </c>
      <c r="N228" s="80">
        <f t="shared" si="152"/>
        <v>-421.46338614670253</v>
      </c>
      <c r="O228" s="81">
        <f t="shared" si="140"/>
        <v>-2500.6101455486769</v>
      </c>
      <c r="P228" s="79">
        <f t="shared" si="141"/>
        <v>443365.2173639285</v>
      </c>
      <c r="Q228" s="35"/>
      <c r="R228">
        <f t="shared" ca="1" si="153"/>
        <v>350</v>
      </c>
      <c r="S228" s="78">
        <f t="shared" ca="1" si="154"/>
        <v>82.92</v>
      </c>
      <c r="T228" s="55">
        <f t="shared" ca="1" si="142"/>
        <v>1.1324652332016072E-2</v>
      </c>
      <c r="U228" s="78">
        <f t="shared" ca="1" si="159"/>
        <v>0.28102439388397593</v>
      </c>
      <c r="V228" s="79">
        <f t="shared" ca="1" si="155"/>
        <v>97720.405723619318</v>
      </c>
      <c r="W228" s="79">
        <f t="shared" ca="1" si="143"/>
        <v>666.59909936281088</v>
      </c>
      <c r="X228" s="80">
        <f t="shared" ca="1" si="160"/>
        <v>-4.2153659082596393</v>
      </c>
      <c r="Y228" s="80">
        <f t="shared" ca="1" si="161"/>
        <v>-81.433671436349442</v>
      </c>
      <c r="Z228" s="80">
        <f t="shared" ca="1" si="156"/>
        <v>0</v>
      </c>
      <c r="AA228" s="80">
        <f t="shared" ca="1" si="162"/>
        <v>-92.834385437438371</v>
      </c>
      <c r="AB228" s="81">
        <f t="shared" ca="1" si="144"/>
        <v>-702.7324504929378</v>
      </c>
      <c r="AC228" s="79">
        <f t="shared" ca="1" si="145"/>
        <v>97505.788949707145</v>
      </c>
      <c r="AD228" s="35"/>
      <c r="AE228" s="62">
        <f t="shared" ca="1" si="146"/>
        <v>-2500.6101455486769</v>
      </c>
      <c r="AF228" s="62">
        <f t="shared" ca="1" si="147"/>
        <v>346965.56979307462</v>
      </c>
      <c r="AG228" s="35"/>
      <c r="AH228" s="35"/>
      <c r="AR228" s="69">
        <f t="shared" si="157"/>
        <v>19</v>
      </c>
      <c r="AS228" s="70">
        <f t="shared" si="163"/>
        <v>225</v>
      </c>
      <c r="AT228" s="71">
        <f t="shared" si="166"/>
        <v>0.21436076333773701</v>
      </c>
      <c r="AU228" s="72">
        <f t="shared" si="148"/>
        <v>6.8214933659622723E-3</v>
      </c>
      <c r="AV228" s="73">
        <f t="shared" si="158"/>
        <v>1.0068214933659623</v>
      </c>
      <c r="AW228" s="74">
        <f>PRODUCT(AV$4:AV228)</f>
        <v>4.6164442047521641</v>
      </c>
    </row>
    <row r="229" spans="5:49">
      <c r="E229">
        <f t="shared" si="167"/>
        <v>226</v>
      </c>
      <c r="F229" s="64">
        <f t="shared" si="149"/>
        <v>73</v>
      </c>
      <c r="G229" s="55">
        <f t="shared" si="137"/>
        <v>0</v>
      </c>
      <c r="H229" s="78">
        <f t="shared" si="164"/>
        <v>1</v>
      </c>
      <c r="I229" s="79">
        <f t="shared" si="150"/>
        <v>443365.2173639285</v>
      </c>
      <c r="J229" s="79">
        <f t="shared" si="138"/>
        <v>3024.4128889464591</v>
      </c>
      <c r="K229" s="80">
        <f t="shared" si="139"/>
        <v>-15</v>
      </c>
      <c r="L229" s="80">
        <f t="shared" si="151"/>
        <v>-369.47101446994043</v>
      </c>
      <c r="M229" s="80">
        <f t="shared" si="165"/>
        <v>0</v>
      </c>
      <c r="N229" s="80">
        <f t="shared" si="152"/>
        <v>-421.19695649573214</v>
      </c>
      <c r="O229" s="81">
        <f t="shared" si="140"/>
        <v>-2500.6101455486769</v>
      </c>
      <c r="P229" s="79">
        <f t="shared" si="141"/>
        <v>443083.35213636066</v>
      </c>
      <c r="Q229" s="35"/>
      <c r="R229">
        <f t="shared" ca="1" si="153"/>
        <v>351</v>
      </c>
      <c r="S229" s="78">
        <f t="shared" ca="1" si="154"/>
        <v>83</v>
      </c>
      <c r="T229" s="55">
        <f t="shared" ca="1" si="142"/>
        <v>1.1324652332016072E-2</v>
      </c>
      <c r="U229" s="78">
        <f t="shared" ca="1" si="159"/>
        <v>0.27784189032642437</v>
      </c>
      <c r="V229" s="79">
        <f t="shared" ca="1" si="155"/>
        <v>96401.569789492773</v>
      </c>
      <c r="W229" s="79">
        <f t="shared" ca="1" si="143"/>
        <v>657.602668787374</v>
      </c>
      <c r="X229" s="80">
        <f t="shared" ca="1" si="160"/>
        <v>-4.1676283548963653</v>
      </c>
      <c r="Y229" s="80">
        <f t="shared" ca="1" si="161"/>
        <v>-80.334641491243985</v>
      </c>
      <c r="Z229" s="80">
        <f t="shared" ca="1" si="156"/>
        <v>0</v>
      </c>
      <c r="AA229" s="80">
        <f t="shared" ca="1" si="162"/>
        <v>-91.581491300018158</v>
      </c>
      <c r="AB229" s="81">
        <f t="shared" ca="1" si="144"/>
        <v>-694.77424980867954</v>
      </c>
      <c r="AC229" s="79">
        <f t="shared" ca="1" si="145"/>
        <v>96188.314447325305</v>
      </c>
      <c r="AD229" s="35"/>
      <c r="AE229" s="62">
        <f t="shared" ca="1" si="146"/>
        <v>-2500.6101455486769</v>
      </c>
      <c r="AF229" s="62">
        <f t="shared" ca="1" si="147"/>
        <v>346198.02771395573</v>
      </c>
      <c r="AG229" s="35"/>
      <c r="AH229" s="35"/>
      <c r="AR229" s="69">
        <f t="shared" si="157"/>
        <v>19</v>
      </c>
      <c r="AS229" s="70">
        <f t="shared" si="163"/>
        <v>226</v>
      </c>
      <c r="AT229" s="71">
        <f t="shared" si="166"/>
        <v>0.21289850281270603</v>
      </c>
      <c r="AU229" s="72">
        <f t="shared" si="148"/>
        <v>6.8214933659622723E-3</v>
      </c>
      <c r="AV229" s="73">
        <f t="shared" si="158"/>
        <v>1.0068214933659623</v>
      </c>
      <c r="AW229" s="74">
        <f>PRODUCT(AV$4:AV229)</f>
        <v>4.6479352482692162</v>
      </c>
    </row>
    <row r="230" spans="5:49">
      <c r="E230">
        <f t="shared" si="167"/>
        <v>227</v>
      </c>
      <c r="F230" s="64">
        <f t="shared" si="149"/>
        <v>73.08</v>
      </c>
      <c r="G230" s="55">
        <f t="shared" si="137"/>
        <v>0</v>
      </c>
      <c r="H230" s="78">
        <f t="shared" si="164"/>
        <v>1</v>
      </c>
      <c r="I230" s="79">
        <f t="shared" si="150"/>
        <v>443083.35213636066</v>
      </c>
      <c r="J230" s="79">
        <f t="shared" si="138"/>
        <v>3022.4901471665098</v>
      </c>
      <c r="K230" s="80">
        <f t="shared" si="139"/>
        <v>-15</v>
      </c>
      <c r="L230" s="80">
        <f t="shared" si="151"/>
        <v>-369.23612678030059</v>
      </c>
      <c r="M230" s="80">
        <f t="shared" si="165"/>
        <v>0</v>
      </c>
      <c r="N230" s="80">
        <f t="shared" si="152"/>
        <v>-420.92918452954268</v>
      </c>
      <c r="O230" s="81">
        <f t="shared" si="140"/>
        <v>-2500.6101455486769</v>
      </c>
      <c r="P230" s="79">
        <f t="shared" si="141"/>
        <v>442800.06682666874</v>
      </c>
      <c r="Q230" s="35"/>
      <c r="R230">
        <f t="shared" ca="1" si="153"/>
        <v>352</v>
      </c>
      <c r="S230" s="78">
        <f t="shared" ca="1" si="154"/>
        <v>83.08</v>
      </c>
      <c r="T230" s="55">
        <f t="shared" ca="1" si="142"/>
        <v>1.1324652332016072E-2</v>
      </c>
      <c r="U230" s="78">
        <f t="shared" ca="1" si="159"/>
        <v>0.27469542751520748</v>
      </c>
      <c r="V230" s="79">
        <f t="shared" ca="1" si="155"/>
        <v>95099.015227806711</v>
      </c>
      <c r="W230" s="79">
        <f t="shared" ca="1" si="143"/>
        <v>648.71730148602853</v>
      </c>
      <c r="X230" s="80">
        <f t="shared" ca="1" si="160"/>
        <v>-4.1204314127281121</v>
      </c>
      <c r="Y230" s="80">
        <f t="shared" ca="1" si="161"/>
        <v>-79.249179356505593</v>
      </c>
      <c r="Z230" s="80">
        <f t="shared" ca="1" si="156"/>
        <v>0</v>
      </c>
      <c r="AA230" s="80">
        <f t="shared" ca="1" si="162"/>
        <v>-90.344064466416398</v>
      </c>
      <c r="AB230" s="81">
        <f t="shared" ca="1" si="144"/>
        <v>-686.90617298035897</v>
      </c>
      <c r="AC230" s="79">
        <f t="shared" ca="1" si="145"/>
        <v>94887.112681076731</v>
      </c>
      <c r="AD230" s="35"/>
      <c r="AE230" s="62">
        <f t="shared" ca="1" si="146"/>
        <v>-2500.6101455486769</v>
      </c>
      <c r="AF230" s="62">
        <f t="shared" ca="1" si="147"/>
        <v>345426.61863501044</v>
      </c>
      <c r="AG230" s="35"/>
      <c r="AH230" s="35"/>
      <c r="AR230" s="69">
        <f t="shared" si="157"/>
        <v>19</v>
      </c>
      <c r="AS230" s="70">
        <f t="shared" si="163"/>
        <v>227</v>
      </c>
      <c r="AT230" s="71">
        <f t="shared" si="166"/>
        <v>0.21144621708814584</v>
      </c>
      <c r="AU230" s="72">
        <f t="shared" si="148"/>
        <v>6.8214933659622723E-3</v>
      </c>
      <c r="AV230" s="73">
        <f t="shared" si="158"/>
        <v>1.0068214933659623</v>
      </c>
      <c r="AW230" s="74">
        <f>PRODUCT(AV$4:AV230)</f>
        <v>4.6796411077307072</v>
      </c>
    </row>
    <row r="231" spans="5:49">
      <c r="E231">
        <f t="shared" si="167"/>
        <v>228</v>
      </c>
      <c r="F231" s="64">
        <f t="shared" si="149"/>
        <v>73.16</v>
      </c>
      <c r="G231" s="55">
        <f t="shared" si="137"/>
        <v>0</v>
      </c>
      <c r="H231" s="78">
        <f t="shared" si="164"/>
        <v>1</v>
      </c>
      <c r="I231" s="79">
        <f t="shared" si="150"/>
        <v>442800.06682666874</v>
      </c>
      <c r="J231" s="79">
        <f t="shared" si="138"/>
        <v>3020.5577183057717</v>
      </c>
      <c r="K231" s="80">
        <f t="shared" si="139"/>
        <v>-15</v>
      </c>
      <c r="L231" s="80">
        <f t="shared" si="151"/>
        <v>-369.00005568889065</v>
      </c>
      <c r="M231" s="80">
        <f t="shared" si="165"/>
        <v>0</v>
      </c>
      <c r="N231" s="80">
        <f t="shared" si="152"/>
        <v>-420.66006348533534</v>
      </c>
      <c r="O231" s="81">
        <f t="shared" si="140"/>
        <v>-2500.6101455486769</v>
      </c>
      <c r="P231" s="79">
        <f t="shared" si="141"/>
        <v>442515.35428025166</v>
      </c>
      <c r="Q231" s="35"/>
      <c r="R231">
        <f t="shared" ca="1" si="153"/>
        <v>353</v>
      </c>
      <c r="S231" s="78">
        <f t="shared" ca="1" si="154"/>
        <v>83.16</v>
      </c>
      <c r="T231" s="55">
        <f t="shared" ca="1" si="142"/>
        <v>1.1324652332016072E-2</v>
      </c>
      <c r="U231" s="78">
        <f t="shared" ca="1" si="159"/>
        <v>0.27158459730140322</v>
      </c>
      <c r="V231" s="79">
        <f t="shared" ca="1" si="155"/>
        <v>93812.549119174699</v>
      </c>
      <c r="W231" s="79">
        <f t="shared" ca="1" si="143"/>
        <v>639.94168146046002</v>
      </c>
      <c r="X231" s="80">
        <f t="shared" ca="1" si="160"/>
        <v>-4.0737689595210487</v>
      </c>
      <c r="Y231" s="80">
        <f t="shared" ca="1" si="161"/>
        <v>-78.177124265978918</v>
      </c>
      <c r="Z231" s="80">
        <f t="shared" ca="1" si="156"/>
        <v>0</v>
      </c>
      <c r="AA231" s="80">
        <f t="shared" ca="1" si="162"/>
        <v>-89.121921663215971</v>
      </c>
      <c r="AB231" s="81">
        <f t="shared" ca="1" si="144"/>
        <v>-679.12719938664065</v>
      </c>
      <c r="AC231" s="79">
        <f t="shared" ca="1" si="145"/>
        <v>93601.990786359805</v>
      </c>
      <c r="AD231" s="35"/>
      <c r="AE231" s="62">
        <f t="shared" ca="1" si="146"/>
        <v>-2500.6101455486769</v>
      </c>
      <c r="AF231" s="62">
        <f t="shared" ca="1" si="147"/>
        <v>344651.32307367487</v>
      </c>
      <c r="AG231" s="35"/>
      <c r="AH231" s="35"/>
      <c r="AR231" s="69">
        <f t="shared" si="157"/>
        <v>19</v>
      </c>
      <c r="AS231" s="70">
        <f t="shared" si="163"/>
        <v>228</v>
      </c>
      <c r="AT231" s="71">
        <f t="shared" si="166"/>
        <v>0.21000383812102125</v>
      </c>
      <c r="AU231" s="72">
        <f t="shared" si="148"/>
        <v>6.8214933659622723E-3</v>
      </c>
      <c r="AV231" s="73">
        <f t="shared" si="158"/>
        <v>1.0068214933659623</v>
      </c>
      <c r="AW231" s="74">
        <f>PRODUCT(AV$4:AV231)</f>
        <v>4.7115632485021761</v>
      </c>
    </row>
    <row r="232" spans="5:49">
      <c r="E232">
        <f t="shared" si="167"/>
        <v>229</v>
      </c>
      <c r="F232" s="64">
        <f t="shared" si="149"/>
        <v>73.239999999999995</v>
      </c>
      <c r="G232" s="55">
        <f t="shared" si="137"/>
        <v>0</v>
      </c>
      <c r="H232" s="78">
        <f t="shared" si="164"/>
        <v>1</v>
      </c>
      <c r="I232" s="79">
        <f t="shared" si="150"/>
        <v>442515.35428025166</v>
      </c>
      <c r="J232" s="79">
        <f t="shared" si="138"/>
        <v>3018.6155535591815</v>
      </c>
      <c r="K232" s="80">
        <f t="shared" si="139"/>
        <v>-15</v>
      </c>
      <c r="L232" s="80">
        <f t="shared" si="151"/>
        <v>-368.7627952335431</v>
      </c>
      <c r="M232" s="80">
        <f t="shared" si="165"/>
        <v>-3318.8651571018872</v>
      </c>
      <c r="N232" s="80">
        <f t="shared" si="152"/>
        <v>-420.38958656623913</v>
      </c>
      <c r="O232" s="81">
        <f t="shared" si="140"/>
        <v>-2500.6101455486769</v>
      </c>
      <c r="P232" s="79">
        <f t="shared" si="141"/>
        <v>438910.34214936051</v>
      </c>
      <c r="Q232" s="35"/>
      <c r="R232">
        <f t="shared" ca="1" si="153"/>
        <v>354</v>
      </c>
      <c r="S232" s="78">
        <f t="shared" ca="1" si="154"/>
        <v>83.24</v>
      </c>
      <c r="T232" s="55">
        <f t="shared" ca="1" si="142"/>
        <v>1.1324652332016072E-2</v>
      </c>
      <c r="U232" s="78">
        <f t="shared" ca="1" si="159"/>
        <v>0.26850899615823426</v>
      </c>
      <c r="V232" s="79">
        <f t="shared" ca="1" si="155"/>
        <v>92541.98078311971</v>
      </c>
      <c r="W232" s="79">
        <f t="shared" ca="1" si="143"/>
        <v>631.27450798505924</v>
      </c>
      <c r="X232" s="80">
        <f t="shared" ca="1" si="160"/>
        <v>-4.0276349423735143</v>
      </c>
      <c r="Y232" s="80">
        <f t="shared" ca="1" si="161"/>
        <v>-77.118317319266424</v>
      </c>
      <c r="Z232" s="80">
        <f t="shared" ca="1" si="156"/>
        <v>0</v>
      </c>
      <c r="AA232" s="80">
        <f t="shared" ca="1" si="162"/>
        <v>-87.914881743963747</v>
      </c>
      <c r="AB232" s="81">
        <f t="shared" ca="1" si="144"/>
        <v>-671.43631996437136</v>
      </c>
      <c r="AC232" s="79">
        <f t="shared" ca="1" si="145"/>
        <v>92332.758137134777</v>
      </c>
      <c r="AD232" s="35"/>
      <c r="AE232" s="62">
        <f t="shared" ca="1" si="146"/>
        <v>-2500.6101455486773</v>
      </c>
      <c r="AF232" s="62">
        <f t="shared" ca="1" si="147"/>
        <v>343872.12144922855</v>
      </c>
      <c r="AG232" s="35"/>
      <c r="AH232" s="35"/>
      <c r="AR232" s="69">
        <f t="shared" si="157"/>
        <v>20</v>
      </c>
      <c r="AS232" s="70">
        <f t="shared" si="163"/>
        <v>229</v>
      </c>
      <c r="AT232" s="71">
        <f t="shared" si="166"/>
        <v>0.20857129833245208</v>
      </c>
      <c r="AU232" s="72">
        <f t="shared" si="148"/>
        <v>6.8214933659622723E-3</v>
      </c>
      <c r="AV232" s="73">
        <f t="shared" si="158"/>
        <v>1.0068214933659623</v>
      </c>
      <c r="AW232" s="74">
        <f>PRODUCT(AV$4:AV232)</f>
        <v>4.7437031459451457</v>
      </c>
    </row>
    <row r="233" spans="5:49">
      <c r="E233">
        <f t="shared" si="167"/>
        <v>230</v>
      </c>
      <c r="F233" s="64">
        <f t="shared" si="149"/>
        <v>73.319999999999993</v>
      </c>
      <c r="G233" s="55">
        <f t="shared" si="137"/>
        <v>0</v>
      </c>
      <c r="H233" s="78">
        <f t="shared" si="164"/>
        <v>1</v>
      </c>
      <c r="I233" s="79">
        <f t="shared" si="150"/>
        <v>438910.34214936051</v>
      </c>
      <c r="J233" s="79">
        <f t="shared" si="138"/>
        <v>2994.0239872240936</v>
      </c>
      <c r="K233" s="80">
        <f t="shared" si="139"/>
        <v>-15</v>
      </c>
      <c r="L233" s="80">
        <f t="shared" si="151"/>
        <v>-365.75861845780042</v>
      </c>
      <c r="M233" s="80">
        <f t="shared" si="165"/>
        <v>0</v>
      </c>
      <c r="N233" s="80">
        <f t="shared" si="152"/>
        <v>-416.96482504189254</v>
      </c>
      <c r="O233" s="81">
        <f t="shared" si="140"/>
        <v>-2500.6101455486769</v>
      </c>
      <c r="P233" s="79">
        <f t="shared" si="141"/>
        <v>438606.03254753625</v>
      </c>
      <c r="Q233" s="35"/>
      <c r="R233">
        <f t="shared" ca="1" si="153"/>
        <v>355</v>
      </c>
      <c r="S233" s="78">
        <f t="shared" ca="1" si="154"/>
        <v>83.32</v>
      </c>
      <c r="T233" s="55">
        <f t="shared" ca="1" si="142"/>
        <v>1.1324652332016072E-2</v>
      </c>
      <c r="U233" s="78">
        <f t="shared" ca="1" si="159"/>
        <v>0.26546822512872359</v>
      </c>
      <c r="V233" s="79">
        <f t="shared" ca="1" si="155"/>
        <v>91287.121752375591</v>
      </c>
      <c r="W233" s="79">
        <f t="shared" ca="1" si="143"/>
        <v>622.71449543162032</v>
      </c>
      <c r="X233" s="80">
        <f t="shared" ca="1" si="160"/>
        <v>-3.982023376930854</v>
      </c>
      <c r="Y233" s="80">
        <f t="shared" ca="1" si="161"/>
        <v>-76.072601460312995</v>
      </c>
      <c r="Z233" s="80">
        <f t="shared" ca="1" si="156"/>
        <v>0</v>
      </c>
      <c r="AA233" s="80">
        <f t="shared" ca="1" si="162"/>
        <v>-86.722765664756821</v>
      </c>
      <c r="AB233" s="81">
        <f t="shared" ca="1" si="144"/>
        <v>-663.83253707768642</v>
      </c>
      <c r="AC233" s="79">
        <f t="shared" ca="1" si="145"/>
        <v>91079.226320227521</v>
      </c>
      <c r="AD233" s="35"/>
      <c r="AE233" s="62">
        <f t="shared" ca="1" si="146"/>
        <v>-2500.6101455486769</v>
      </c>
      <c r="AF233" s="62">
        <f t="shared" ca="1" si="147"/>
        <v>343088.99408230069</v>
      </c>
      <c r="AG233" s="35"/>
      <c r="AH233" s="35"/>
      <c r="AR233" s="69">
        <f t="shared" si="157"/>
        <v>20</v>
      </c>
      <c r="AS233" s="70">
        <f t="shared" si="163"/>
        <v>230</v>
      </c>
      <c r="AT233" s="71">
        <f t="shared" si="166"/>
        <v>0.20714853060454713</v>
      </c>
      <c r="AU233" s="72">
        <f t="shared" si="148"/>
        <v>6.8214933659622723E-3</v>
      </c>
      <c r="AV233" s="73">
        <f t="shared" si="158"/>
        <v>1.0068214933659623</v>
      </c>
      <c r="AW233" s="74">
        <f>PRODUCT(AV$4:AV233)</f>
        <v>4.7760622854853052</v>
      </c>
    </row>
    <row r="234" spans="5:49">
      <c r="E234">
        <f t="shared" si="167"/>
        <v>231</v>
      </c>
      <c r="F234" s="64">
        <f t="shared" si="149"/>
        <v>73.400000000000006</v>
      </c>
      <c r="G234" s="55">
        <f t="shared" si="137"/>
        <v>0</v>
      </c>
      <c r="H234" s="78">
        <f t="shared" si="164"/>
        <v>1</v>
      </c>
      <c r="I234" s="79">
        <f t="shared" si="150"/>
        <v>438606.03254753625</v>
      </c>
      <c r="J234" s="79">
        <f t="shared" si="138"/>
        <v>2991.9481412940509</v>
      </c>
      <c r="K234" s="80">
        <f t="shared" si="139"/>
        <v>-15</v>
      </c>
      <c r="L234" s="80">
        <f t="shared" si="151"/>
        <v>-365.5050271229469</v>
      </c>
      <c r="M234" s="80">
        <f t="shared" si="165"/>
        <v>0</v>
      </c>
      <c r="N234" s="80">
        <f t="shared" si="152"/>
        <v>-416.67573092015954</v>
      </c>
      <c r="O234" s="81">
        <f t="shared" si="140"/>
        <v>-2500.6101455486769</v>
      </c>
      <c r="P234" s="79">
        <f t="shared" si="141"/>
        <v>438300.18978523853</v>
      </c>
      <c r="Q234" s="35"/>
      <c r="R234">
        <f t="shared" ca="1" si="153"/>
        <v>356</v>
      </c>
      <c r="S234" s="78">
        <f t="shared" ca="1" si="154"/>
        <v>83.4</v>
      </c>
      <c r="T234" s="55">
        <f t="shared" ca="1" si="142"/>
        <v>1.1324652332016072E-2</v>
      </c>
      <c r="U234" s="78">
        <f t="shared" ca="1" si="159"/>
        <v>0.26246188977394341</v>
      </c>
      <c r="V234" s="79">
        <f t="shared" ca="1" si="155"/>
        <v>90047.785747481932</v>
      </c>
      <c r="W234" s="79">
        <f t="shared" ca="1" si="143"/>
        <v>614.2603730960401</v>
      </c>
      <c r="X234" s="80">
        <f t="shared" ca="1" si="160"/>
        <v>-3.9369283466091511</v>
      </c>
      <c r="Y234" s="80">
        <f t="shared" ca="1" si="161"/>
        <v>-75.039821456234947</v>
      </c>
      <c r="Z234" s="80">
        <f t="shared" ca="1" si="156"/>
        <v>0</v>
      </c>
      <c r="AA234" s="80">
        <f t="shared" ca="1" si="162"/>
        <v>-85.545396460107852</v>
      </c>
      <c r="AB234" s="81">
        <f t="shared" ca="1" si="144"/>
        <v>-656.31486438860145</v>
      </c>
      <c r="AC234" s="79">
        <f t="shared" ca="1" si="145"/>
        <v>89841.209109926436</v>
      </c>
      <c r="AD234" s="35"/>
      <c r="AE234" s="62">
        <f t="shared" ca="1" si="146"/>
        <v>-2500.6101455486769</v>
      </c>
      <c r="AF234" s="62">
        <f t="shared" ca="1" si="147"/>
        <v>342301.92119437241</v>
      </c>
      <c r="AG234" s="35"/>
      <c r="AH234" s="35"/>
      <c r="AR234" s="69">
        <f t="shared" si="157"/>
        <v>20</v>
      </c>
      <c r="AS234" s="70">
        <f t="shared" si="163"/>
        <v>231</v>
      </c>
      <c r="AT234" s="71">
        <f t="shared" si="166"/>
        <v>0.20573546827725939</v>
      </c>
      <c r="AU234" s="72">
        <f t="shared" si="148"/>
        <v>6.8214933659622723E-3</v>
      </c>
      <c r="AV234" s="73">
        <f t="shared" si="158"/>
        <v>1.0068214933659623</v>
      </c>
      <c r="AW234" s="74">
        <f>PRODUCT(AV$4:AV234)</f>
        <v>4.8086421626811662</v>
      </c>
    </row>
    <row r="235" spans="5:49">
      <c r="E235">
        <f t="shared" si="167"/>
        <v>232</v>
      </c>
      <c r="F235" s="64">
        <f t="shared" si="149"/>
        <v>73.48</v>
      </c>
      <c r="G235" s="55">
        <f t="shared" si="137"/>
        <v>0</v>
      </c>
      <c r="H235" s="78">
        <f t="shared" si="164"/>
        <v>1</v>
      </c>
      <c r="I235" s="79">
        <f t="shared" si="150"/>
        <v>438300.18978523853</v>
      </c>
      <c r="J235" s="79">
        <f t="shared" si="138"/>
        <v>2989.8618369200094</v>
      </c>
      <c r="K235" s="80">
        <f t="shared" si="139"/>
        <v>-15</v>
      </c>
      <c r="L235" s="80">
        <f t="shared" si="151"/>
        <v>-365.25015815436547</v>
      </c>
      <c r="M235" s="80">
        <f t="shared" si="165"/>
        <v>0</v>
      </c>
      <c r="N235" s="80">
        <f t="shared" si="152"/>
        <v>-416.38518029597668</v>
      </c>
      <c r="O235" s="81">
        <f t="shared" si="140"/>
        <v>-2500.6101455486769</v>
      </c>
      <c r="P235" s="79">
        <f t="shared" si="141"/>
        <v>437992.80613815959</v>
      </c>
      <c r="Q235" s="35"/>
      <c r="R235">
        <f t="shared" ca="1" si="153"/>
        <v>357</v>
      </c>
      <c r="S235" s="78">
        <f t="shared" ca="1" si="154"/>
        <v>83.48</v>
      </c>
      <c r="T235" s="55">
        <f t="shared" ca="1" si="142"/>
        <v>1.1324652332016072E-2</v>
      </c>
      <c r="U235" s="78">
        <f t="shared" ca="1" si="159"/>
        <v>0.25948960012184957</v>
      </c>
      <c r="V235" s="79">
        <f t="shared" ca="1" si="155"/>
        <v>88823.788651668568</v>
      </c>
      <c r="W235" s="79">
        <f t="shared" ca="1" si="143"/>
        <v>605.9108850269921</v>
      </c>
      <c r="X235" s="80">
        <f t="shared" ca="1" si="160"/>
        <v>-3.8923440018277438</v>
      </c>
      <c r="Y235" s="80">
        <f t="shared" ca="1" si="161"/>
        <v>-74.019823876390475</v>
      </c>
      <c r="Z235" s="80">
        <f t="shared" ca="1" si="156"/>
        <v>0</v>
      </c>
      <c r="AA235" s="80">
        <f t="shared" ca="1" si="162"/>
        <v>-84.382599219085151</v>
      </c>
      <c r="AB235" s="81">
        <f t="shared" ca="1" si="144"/>
        <v>-648.88232672906622</v>
      </c>
      <c r="AC235" s="79">
        <f t="shared" ca="1" si="145"/>
        <v>88618.522442869202</v>
      </c>
      <c r="AD235" s="35"/>
      <c r="AE235" s="62">
        <f t="shared" ca="1" si="146"/>
        <v>-2500.6101455486769</v>
      </c>
      <c r="AF235" s="62">
        <f t="shared" ca="1" si="147"/>
        <v>341510.88290727738</v>
      </c>
      <c r="AG235" s="35"/>
      <c r="AH235" s="35"/>
      <c r="AR235" s="69">
        <f t="shared" si="157"/>
        <v>20</v>
      </c>
      <c r="AS235" s="70">
        <f t="shared" si="163"/>
        <v>232</v>
      </c>
      <c r="AT235" s="71">
        <f t="shared" si="166"/>
        <v>0.20433204514526293</v>
      </c>
      <c r="AU235" s="72">
        <f t="shared" si="148"/>
        <v>6.8214933659622723E-3</v>
      </c>
      <c r="AV235" s="73">
        <f t="shared" si="158"/>
        <v>1.0068214933659623</v>
      </c>
      <c r="AW235" s="74">
        <f>PRODUCT(AV$4:AV235)</f>
        <v>4.8414442832931819</v>
      </c>
    </row>
    <row r="236" spans="5:49">
      <c r="E236">
        <f t="shared" si="167"/>
        <v>233</v>
      </c>
      <c r="F236" s="64">
        <f t="shared" si="149"/>
        <v>73.56</v>
      </c>
      <c r="G236" s="55">
        <f t="shared" si="137"/>
        <v>0</v>
      </c>
      <c r="H236" s="78">
        <f t="shared" si="164"/>
        <v>1</v>
      </c>
      <c r="I236" s="79">
        <f t="shared" si="150"/>
        <v>437992.80613815959</v>
      </c>
      <c r="J236" s="79">
        <f t="shared" si="138"/>
        <v>2987.7650214106552</v>
      </c>
      <c r="K236" s="80">
        <f t="shared" si="139"/>
        <v>-15</v>
      </c>
      <c r="L236" s="80">
        <f t="shared" si="151"/>
        <v>-364.99400511513301</v>
      </c>
      <c r="M236" s="80">
        <f t="shared" si="165"/>
        <v>0</v>
      </c>
      <c r="N236" s="80">
        <f t="shared" si="152"/>
        <v>-416.09316583125172</v>
      </c>
      <c r="O236" s="81">
        <f t="shared" si="140"/>
        <v>-2500.6101455486769</v>
      </c>
      <c r="P236" s="79">
        <f t="shared" si="141"/>
        <v>437683.87384307524</v>
      </c>
      <c r="Q236" s="35"/>
      <c r="R236">
        <f t="shared" ca="1" si="153"/>
        <v>358</v>
      </c>
      <c r="S236" s="78">
        <f t="shared" ca="1" si="154"/>
        <v>83.56</v>
      </c>
      <c r="T236" s="55">
        <f t="shared" ca="1" si="142"/>
        <v>1.2403362716826516E-2</v>
      </c>
      <c r="U236" s="78">
        <f t="shared" ca="1" si="159"/>
        <v>0.25627105649029402</v>
      </c>
      <c r="V236" s="79">
        <f t="shared" ca="1" si="155"/>
        <v>87519.354765581069</v>
      </c>
      <c r="W236" s="79">
        <f t="shared" ca="1" si="143"/>
        <v>597.01269792670985</v>
      </c>
      <c r="X236" s="80">
        <f t="shared" ca="1" si="160"/>
        <v>-3.8440658473544103</v>
      </c>
      <c r="Y236" s="80">
        <f t="shared" ca="1" si="161"/>
        <v>-72.932795637984228</v>
      </c>
      <c r="Z236" s="80">
        <f t="shared" ca="1" si="156"/>
        <v>0</v>
      </c>
      <c r="AA236" s="80">
        <f t="shared" ca="1" si="162"/>
        <v>-83.14338702730204</v>
      </c>
      <c r="AB236" s="81">
        <f t="shared" ca="1" si="144"/>
        <v>-640.83400387010727</v>
      </c>
      <c r="AC236" s="79">
        <f t="shared" ca="1" si="145"/>
        <v>87315.613211125019</v>
      </c>
      <c r="AD236" s="35"/>
      <c r="AE236" s="62">
        <f t="shared" ca="1" si="146"/>
        <v>-2500.6101455486764</v>
      </c>
      <c r="AF236" s="62">
        <f t="shared" ca="1" si="147"/>
        <v>340715.85924269992</v>
      </c>
      <c r="AG236" s="35"/>
      <c r="AH236" s="35"/>
      <c r="AR236" s="69">
        <f t="shared" si="157"/>
        <v>20</v>
      </c>
      <c r="AS236" s="70">
        <f t="shared" si="163"/>
        <v>233</v>
      </c>
      <c r="AT236" s="71">
        <f t="shared" si="166"/>
        <v>0.20293819545485101</v>
      </c>
      <c r="AU236" s="72">
        <f t="shared" si="148"/>
        <v>6.8214933659622723E-3</v>
      </c>
      <c r="AV236" s="73">
        <f t="shared" si="158"/>
        <v>1.0068214933659623</v>
      </c>
      <c r="AW236" s="74">
        <f>PRODUCT(AV$4:AV236)</f>
        <v>4.874470163353342</v>
      </c>
    </row>
    <row r="237" spans="5:49">
      <c r="E237">
        <f t="shared" si="167"/>
        <v>234</v>
      </c>
      <c r="F237" s="64">
        <f t="shared" si="149"/>
        <v>73.64</v>
      </c>
      <c r="G237" s="55">
        <f t="shared" si="137"/>
        <v>0</v>
      </c>
      <c r="H237" s="78">
        <f t="shared" si="164"/>
        <v>1</v>
      </c>
      <c r="I237" s="79">
        <f t="shared" si="150"/>
        <v>437683.87384307524</v>
      </c>
      <c r="J237" s="79">
        <f t="shared" si="138"/>
        <v>2985.6576418092059</v>
      </c>
      <c r="K237" s="80">
        <f t="shared" si="139"/>
        <v>-15</v>
      </c>
      <c r="L237" s="80">
        <f t="shared" si="151"/>
        <v>-364.73656153589604</v>
      </c>
      <c r="M237" s="80">
        <f t="shared" si="165"/>
        <v>0</v>
      </c>
      <c r="N237" s="80">
        <f t="shared" si="152"/>
        <v>-415.79968015092157</v>
      </c>
      <c r="O237" s="81">
        <f t="shared" si="140"/>
        <v>-2500.6101455486769</v>
      </c>
      <c r="P237" s="79">
        <f t="shared" si="141"/>
        <v>437373.38509764895</v>
      </c>
      <c r="Q237" s="35"/>
      <c r="R237">
        <f t="shared" ca="1" si="153"/>
        <v>359</v>
      </c>
      <c r="S237" s="78">
        <f t="shared" ca="1" si="154"/>
        <v>83.64</v>
      </c>
      <c r="T237" s="55">
        <f t="shared" ca="1" si="142"/>
        <v>1.2403362716826516E-2</v>
      </c>
      <c r="U237" s="78">
        <f t="shared" ca="1" si="159"/>
        <v>0.25309243362282058</v>
      </c>
      <c r="V237" s="79">
        <f t="shared" ca="1" si="155"/>
        <v>86232.605989625299</v>
      </c>
      <c r="W237" s="79">
        <f t="shared" ca="1" si="143"/>
        <v>588.23514968786753</v>
      </c>
      <c r="X237" s="80">
        <f t="shared" ca="1" si="160"/>
        <v>-3.7963865043423088</v>
      </c>
      <c r="Y237" s="80">
        <f t="shared" ca="1" si="161"/>
        <v>-71.860504991354418</v>
      </c>
      <c r="Z237" s="80">
        <f t="shared" ca="1" si="156"/>
        <v>0</v>
      </c>
      <c r="AA237" s="80">
        <f t="shared" ca="1" si="162"/>
        <v>-81.920975690144047</v>
      </c>
      <c r="AB237" s="81">
        <f t="shared" ca="1" si="144"/>
        <v>-632.88550727883023</v>
      </c>
      <c r="AC237" s="79">
        <f t="shared" ca="1" si="145"/>
        <v>86030.377764848497</v>
      </c>
      <c r="AD237" s="35"/>
      <c r="AE237" s="62">
        <f t="shared" ca="1" si="146"/>
        <v>-2500.6101455486769</v>
      </c>
      <c r="AF237" s="62">
        <f t="shared" ca="1" si="147"/>
        <v>339916.83012167062</v>
      </c>
      <c r="AG237" s="35"/>
      <c r="AH237" s="35"/>
      <c r="AR237" s="69">
        <f t="shared" si="157"/>
        <v>20</v>
      </c>
      <c r="AS237" s="70">
        <f t="shared" si="163"/>
        <v>234</v>
      </c>
      <c r="AT237" s="71">
        <f t="shared" si="166"/>
        <v>0.2015538539008554</v>
      </c>
      <c r="AU237" s="72">
        <f t="shared" si="148"/>
        <v>6.8214933659622723E-3</v>
      </c>
      <c r="AV237" s="73">
        <f t="shared" si="158"/>
        <v>1.0068214933659623</v>
      </c>
      <c r="AW237" s="74">
        <f>PRODUCT(AV$4:AV237)</f>
        <v>4.9077213292352377</v>
      </c>
    </row>
    <row r="238" spans="5:49">
      <c r="E238">
        <f t="shared" si="167"/>
        <v>235</v>
      </c>
      <c r="F238" s="64">
        <f t="shared" si="149"/>
        <v>73.72</v>
      </c>
      <c r="G238" s="55">
        <f t="shared" si="137"/>
        <v>0</v>
      </c>
      <c r="H238" s="78">
        <f t="shared" si="164"/>
        <v>1</v>
      </c>
      <c r="I238" s="79">
        <f t="shared" si="150"/>
        <v>437373.38509764895</v>
      </c>
      <c r="J238" s="79">
        <f t="shared" si="138"/>
        <v>2983.5396448920746</v>
      </c>
      <c r="K238" s="80">
        <f t="shared" si="139"/>
        <v>-15</v>
      </c>
      <c r="L238" s="80">
        <f t="shared" si="151"/>
        <v>-364.47782091470748</v>
      </c>
      <c r="M238" s="80">
        <f t="shared" si="165"/>
        <v>0</v>
      </c>
      <c r="N238" s="80">
        <f t="shared" si="152"/>
        <v>-415.50471584276653</v>
      </c>
      <c r="O238" s="81">
        <f t="shared" si="140"/>
        <v>-2500.6101455486769</v>
      </c>
      <c r="P238" s="79">
        <f t="shared" si="141"/>
        <v>437061.33206023491</v>
      </c>
      <c r="Q238" s="35"/>
      <c r="R238">
        <f t="shared" ca="1" si="153"/>
        <v>360</v>
      </c>
      <c r="S238" s="78">
        <f t="shared" ca="1" si="154"/>
        <v>83.72</v>
      </c>
      <c r="T238" s="55">
        <f t="shared" ca="1" si="142"/>
        <v>1.2403362716826516E-2</v>
      </c>
      <c r="U238" s="78">
        <f t="shared" ca="1" si="159"/>
        <v>0.24995323636771238</v>
      </c>
      <c r="V238" s="79">
        <f t="shared" ca="1" si="155"/>
        <v>84963.311784765479</v>
      </c>
      <c r="W238" s="79">
        <f t="shared" ca="1" si="143"/>
        <v>579.57666768996182</v>
      </c>
      <c r="X238" s="80">
        <f t="shared" ca="1" si="160"/>
        <v>-3.7492985455156855</v>
      </c>
      <c r="Y238" s="80">
        <f t="shared" ca="1" si="161"/>
        <v>-70.802759820637903</v>
      </c>
      <c r="Z238" s="80">
        <f t="shared" ca="1" si="156"/>
        <v>0</v>
      </c>
      <c r="AA238" s="80">
        <f t="shared" ca="1" si="162"/>
        <v>-80.715146195527225</v>
      </c>
      <c r="AB238" s="81">
        <f t="shared" ca="1" si="144"/>
        <v>-625.03559877382816</v>
      </c>
      <c r="AC238" s="79">
        <f t="shared" ca="1" si="145"/>
        <v>84762.585649119937</v>
      </c>
      <c r="AD238" s="35"/>
      <c r="AE238" s="62">
        <f t="shared" ca="1" si="146"/>
        <v>-2500.6101455486769</v>
      </c>
      <c r="AF238" s="62">
        <f t="shared" ca="1" si="147"/>
        <v>339113.77536405891</v>
      </c>
      <c r="AG238" s="35"/>
      <c r="AH238" s="35"/>
      <c r="AR238" s="69">
        <f t="shared" si="157"/>
        <v>20</v>
      </c>
      <c r="AS238" s="70">
        <f t="shared" si="163"/>
        <v>235</v>
      </c>
      <c r="AT238" s="71">
        <f t="shared" si="166"/>
        <v>0.20017895562358659</v>
      </c>
      <c r="AU238" s="72">
        <f t="shared" si="148"/>
        <v>6.8214933659622723E-3</v>
      </c>
      <c r="AV238" s="73">
        <f t="shared" si="158"/>
        <v>1.0068214933659623</v>
      </c>
      <c r="AW238" s="74">
        <f>PRODUCT(AV$4:AV238)</f>
        <v>4.9411993177246076</v>
      </c>
    </row>
    <row r="239" spans="5:49">
      <c r="E239">
        <f t="shared" si="167"/>
        <v>236</v>
      </c>
      <c r="F239" s="64">
        <f t="shared" si="149"/>
        <v>73.8</v>
      </c>
      <c r="G239" s="55">
        <f t="shared" si="137"/>
        <v>0</v>
      </c>
      <c r="H239" s="78">
        <f t="shared" si="164"/>
        <v>1</v>
      </c>
      <c r="I239" s="79">
        <f t="shared" si="150"/>
        <v>437061.33206023491</v>
      </c>
      <c r="J239" s="79">
        <f t="shared" si="138"/>
        <v>2981.4109771675262</v>
      </c>
      <c r="K239" s="80">
        <f t="shared" si="139"/>
        <v>-15</v>
      </c>
      <c r="L239" s="80">
        <f t="shared" si="151"/>
        <v>-364.21777671686243</v>
      </c>
      <c r="M239" s="80">
        <f t="shared" si="165"/>
        <v>0</v>
      </c>
      <c r="N239" s="80">
        <f t="shared" si="152"/>
        <v>-415.20826545722326</v>
      </c>
      <c r="O239" s="81">
        <f t="shared" si="140"/>
        <v>-2500.6101455486769</v>
      </c>
      <c r="P239" s="79">
        <f t="shared" si="141"/>
        <v>436747.7068496797</v>
      </c>
      <c r="Q239" s="35"/>
      <c r="R239">
        <f t="shared" ca="1" si="153"/>
        <v>361</v>
      </c>
      <c r="S239" s="78">
        <f t="shared" ca="1" si="154"/>
        <v>83.8</v>
      </c>
      <c r="T239" s="55">
        <f t="shared" ca="1" si="142"/>
        <v>1.2403362716826516E-2</v>
      </c>
      <c r="U239" s="78">
        <f t="shared" ca="1" si="159"/>
        <v>0.24685297571479897</v>
      </c>
      <c r="V239" s="79">
        <f t="shared" ca="1" si="155"/>
        <v>83711.244554497825</v>
      </c>
      <c r="W239" s="79">
        <f t="shared" ca="1" si="143"/>
        <v>571.0356993849523</v>
      </c>
      <c r="X239" s="80">
        <f t="shared" ca="1" si="160"/>
        <v>-3.7027946357219848</v>
      </c>
      <c r="Y239" s="80">
        <f t="shared" ca="1" si="161"/>
        <v>-69.75937046208152</v>
      </c>
      <c r="Z239" s="80">
        <f t="shared" ca="1" si="156"/>
        <v>-627.83433415873367</v>
      </c>
      <c r="AA239" s="80">
        <f t="shared" ca="1" si="162"/>
        <v>-79.525682326772952</v>
      </c>
      <c r="AB239" s="81">
        <f t="shared" ca="1" si="144"/>
        <v>-617.28305553130747</v>
      </c>
      <c r="AC239" s="79">
        <f t="shared" ca="1" si="145"/>
        <v>82884.17501676816</v>
      </c>
      <c r="AD239" s="35"/>
      <c r="AE239" s="62">
        <f t="shared" ca="1" si="146"/>
        <v>-2500.6101455486769</v>
      </c>
      <c r="AF239" s="62">
        <f t="shared" ca="1" si="147"/>
        <v>335763.32137283287</v>
      </c>
      <c r="AG239" s="35"/>
      <c r="AH239" s="35"/>
      <c r="AR239" s="69">
        <f t="shared" si="157"/>
        <v>20</v>
      </c>
      <c r="AS239" s="70">
        <f t="shared" si="163"/>
        <v>236</v>
      </c>
      <c r="AT239" s="71">
        <f t="shared" si="166"/>
        <v>0.19881343620579503</v>
      </c>
      <c r="AU239" s="72">
        <f t="shared" si="148"/>
        <v>6.8214933659622723E-3</v>
      </c>
      <c r="AV239" s="73">
        <f t="shared" si="158"/>
        <v>1.0068214933659623</v>
      </c>
      <c r="AW239" s="74">
        <f>PRODUCT(AV$4:AV239)</f>
        <v>4.9749056760903629</v>
      </c>
    </row>
    <row r="240" spans="5:49">
      <c r="E240">
        <f t="shared" si="167"/>
        <v>237</v>
      </c>
      <c r="F240" s="64">
        <f t="shared" si="149"/>
        <v>73.88</v>
      </c>
      <c r="G240" s="55">
        <f t="shared" si="137"/>
        <v>0</v>
      </c>
      <c r="H240" s="78">
        <f t="shared" si="164"/>
        <v>1</v>
      </c>
      <c r="I240" s="79">
        <f t="shared" si="150"/>
        <v>436747.7068496797</v>
      </c>
      <c r="J240" s="79">
        <f t="shared" si="138"/>
        <v>2979.2715848743255</v>
      </c>
      <c r="K240" s="80">
        <f t="shared" si="139"/>
        <v>-15</v>
      </c>
      <c r="L240" s="80">
        <f t="shared" si="151"/>
        <v>-363.95642237473311</v>
      </c>
      <c r="M240" s="80">
        <f t="shared" si="165"/>
        <v>0</v>
      </c>
      <c r="N240" s="80">
        <f t="shared" si="152"/>
        <v>-414.91032150719576</v>
      </c>
      <c r="O240" s="81">
        <f t="shared" si="140"/>
        <v>-2500.6101455486769</v>
      </c>
      <c r="P240" s="79">
        <f t="shared" si="141"/>
        <v>436432.50154512341</v>
      </c>
      <c r="Q240" s="35"/>
      <c r="R240">
        <f t="shared" ca="1" si="153"/>
        <v>362</v>
      </c>
      <c r="S240" s="78">
        <f t="shared" ca="1" si="154"/>
        <v>83.88</v>
      </c>
      <c r="T240" s="55">
        <f t="shared" ca="1" si="142"/>
        <v>1.2403362716826516E-2</v>
      </c>
      <c r="U240" s="78">
        <f t="shared" ca="1" si="159"/>
        <v>0.24379116871928036</v>
      </c>
      <c r="V240" s="79">
        <f t="shared" ca="1" si="155"/>
        <v>81856.132530550254</v>
      </c>
      <c r="W240" s="79">
        <f t="shared" ca="1" si="143"/>
        <v>558.38106502047708</v>
      </c>
      <c r="X240" s="80">
        <f t="shared" ca="1" si="160"/>
        <v>-3.6568675307892056</v>
      </c>
      <c r="Y240" s="80">
        <f t="shared" ca="1" si="161"/>
        <v>-68.213443775458543</v>
      </c>
      <c r="Z240" s="80">
        <f t="shared" ca="1" si="156"/>
        <v>0</v>
      </c>
      <c r="AA240" s="80">
        <f t="shared" ca="1" si="162"/>
        <v>-77.76332590402275</v>
      </c>
      <c r="AB240" s="81">
        <f t="shared" ca="1" si="144"/>
        <v>-609.62666989460172</v>
      </c>
      <c r="AC240" s="79">
        <f t="shared" ca="1" si="145"/>
        <v>81655.253288465872</v>
      </c>
      <c r="AD240" s="35"/>
      <c r="AE240" s="62">
        <f t="shared" ca="1" si="146"/>
        <v>-2500.6101455486769</v>
      </c>
      <c r="AF240" s="62">
        <f t="shared" ca="1" si="147"/>
        <v>334939.34057344758</v>
      </c>
      <c r="AG240" s="35"/>
      <c r="AH240" s="35"/>
      <c r="AR240" s="69">
        <f t="shared" si="157"/>
        <v>20</v>
      </c>
      <c r="AS240" s="70">
        <f t="shared" si="163"/>
        <v>237</v>
      </c>
      <c r="AT240" s="71">
        <f t="shared" si="166"/>
        <v>0.19745723166965304</v>
      </c>
      <c r="AU240" s="72">
        <f t="shared" si="148"/>
        <v>6.8214933659622723E-3</v>
      </c>
      <c r="AV240" s="73">
        <f t="shared" si="158"/>
        <v>1.0068214933659623</v>
      </c>
      <c r="AW240" s="74">
        <f>PRODUCT(AV$4:AV240)</f>
        <v>5.0088419621561018</v>
      </c>
    </row>
    <row r="241" spans="5:49">
      <c r="E241">
        <f t="shared" si="167"/>
        <v>238</v>
      </c>
      <c r="F241" s="64">
        <f t="shared" si="149"/>
        <v>73.959999999999994</v>
      </c>
      <c r="G241" s="55">
        <f t="shared" si="137"/>
        <v>0</v>
      </c>
      <c r="H241" s="78">
        <f t="shared" si="164"/>
        <v>1</v>
      </c>
      <c r="I241" s="79">
        <f t="shared" si="150"/>
        <v>436432.50154512341</v>
      </c>
      <c r="J241" s="79">
        <f t="shared" si="138"/>
        <v>2977.1214139803783</v>
      </c>
      <c r="K241" s="80">
        <f t="shared" si="139"/>
        <v>-15</v>
      </c>
      <c r="L241" s="80">
        <f t="shared" si="151"/>
        <v>-363.69375128760288</v>
      </c>
      <c r="M241" s="80">
        <f t="shared" si="165"/>
        <v>0</v>
      </c>
      <c r="N241" s="80">
        <f t="shared" si="152"/>
        <v>-414.61087646786729</v>
      </c>
      <c r="O241" s="81">
        <f t="shared" si="140"/>
        <v>-2500.6101455486769</v>
      </c>
      <c r="P241" s="79">
        <f t="shared" si="141"/>
        <v>436115.70818579965</v>
      </c>
      <c r="Q241" s="35"/>
      <c r="R241">
        <f t="shared" ca="1" si="153"/>
        <v>363</v>
      </c>
      <c r="S241" s="78">
        <f t="shared" ca="1" si="154"/>
        <v>83.96</v>
      </c>
      <c r="T241" s="55">
        <f t="shared" ca="1" si="142"/>
        <v>1.2403362716826516E-2</v>
      </c>
      <c r="U241" s="78">
        <f t="shared" ca="1" si="159"/>
        <v>0.24076733842649609</v>
      </c>
      <c r="V241" s="79">
        <f t="shared" ca="1" si="155"/>
        <v>80642.453564194686</v>
      </c>
      <c r="W241" s="79">
        <f t="shared" ca="1" si="143"/>
        <v>550.10196200307462</v>
      </c>
      <c r="X241" s="80">
        <f t="shared" ca="1" si="160"/>
        <v>-3.6115100763974413</v>
      </c>
      <c r="Y241" s="80">
        <f t="shared" ca="1" si="161"/>
        <v>-67.202044636828916</v>
      </c>
      <c r="Z241" s="80">
        <f t="shared" ca="1" si="156"/>
        <v>0</v>
      </c>
      <c r="AA241" s="80">
        <f t="shared" ca="1" si="162"/>
        <v>-76.610330885984965</v>
      </c>
      <c r="AB241" s="81">
        <f t="shared" ca="1" si="144"/>
        <v>-602.06524918604794</v>
      </c>
      <c r="AC241" s="79">
        <f t="shared" ca="1" si="145"/>
        <v>80443.066391412489</v>
      </c>
      <c r="AD241" s="35"/>
      <c r="AE241" s="62">
        <f t="shared" ca="1" si="146"/>
        <v>-2500.6101455486769</v>
      </c>
      <c r="AF241" s="62">
        <f t="shared" ca="1" si="147"/>
        <v>334111.20842693112</v>
      </c>
      <c r="AG241" s="35"/>
      <c r="AH241" s="35"/>
      <c r="AR241" s="69">
        <f t="shared" si="157"/>
        <v>20</v>
      </c>
      <c r="AS241" s="70">
        <f t="shared" si="163"/>
        <v>238</v>
      </c>
      <c r="AT241" s="71">
        <f t="shared" si="166"/>
        <v>0.19611027847375723</v>
      </c>
      <c r="AU241" s="72">
        <f t="shared" si="148"/>
        <v>6.8214933659622723E-3</v>
      </c>
      <c r="AV241" s="73">
        <f t="shared" si="158"/>
        <v>1.0068214933659623</v>
      </c>
      <c r="AW241" s="74">
        <f>PRODUCT(AV$4:AV241)</f>
        <v>5.0430097443721031</v>
      </c>
    </row>
    <row r="242" spans="5:49">
      <c r="E242">
        <f t="shared" si="167"/>
        <v>239</v>
      </c>
      <c r="F242" s="64">
        <f t="shared" si="149"/>
        <v>74.040000000000006</v>
      </c>
      <c r="G242" s="55">
        <f t="shared" si="137"/>
        <v>0</v>
      </c>
      <c r="H242" s="78">
        <f t="shared" si="164"/>
        <v>1</v>
      </c>
      <c r="I242" s="79">
        <f t="shared" si="150"/>
        <v>436115.70818579965</v>
      </c>
      <c r="J242" s="79">
        <f t="shared" si="138"/>
        <v>2974.9604101813707</v>
      </c>
      <c r="K242" s="80">
        <f t="shared" si="139"/>
        <v>-15</v>
      </c>
      <c r="L242" s="80">
        <f t="shared" si="151"/>
        <v>-363.42975682149972</v>
      </c>
      <c r="M242" s="80">
        <f t="shared" si="165"/>
        <v>0</v>
      </c>
      <c r="N242" s="80">
        <f t="shared" si="152"/>
        <v>-414.30992277650972</v>
      </c>
      <c r="O242" s="81">
        <f t="shared" si="140"/>
        <v>-2500.6101455486769</v>
      </c>
      <c r="P242" s="79">
        <f t="shared" si="141"/>
        <v>435797.31877083436</v>
      </c>
      <c r="Q242" s="35"/>
      <c r="R242">
        <f t="shared" ca="1" si="153"/>
        <v>364</v>
      </c>
      <c r="S242" s="78">
        <f t="shared" ca="1" si="154"/>
        <v>84.04</v>
      </c>
      <c r="T242" s="55">
        <f t="shared" ca="1" si="142"/>
        <v>1.2403362716826516E-2</v>
      </c>
      <c r="U242" s="78">
        <f t="shared" ca="1" si="159"/>
        <v>0.23778101379762734</v>
      </c>
      <c r="V242" s="79">
        <f t="shared" ca="1" si="155"/>
        <v>79445.301860906038</v>
      </c>
      <c r="W242" s="79">
        <f t="shared" ca="1" si="143"/>
        <v>541.93559960104074</v>
      </c>
      <c r="X242" s="80">
        <f t="shared" ca="1" si="160"/>
        <v>-3.5667152069644099</v>
      </c>
      <c r="Y242" s="80">
        <f t="shared" ca="1" si="161"/>
        <v>-66.204418217421704</v>
      </c>
      <c r="Z242" s="80">
        <f t="shared" ca="1" si="156"/>
        <v>0</v>
      </c>
      <c r="AA242" s="80">
        <f t="shared" ca="1" si="162"/>
        <v>-75.473036767860748</v>
      </c>
      <c r="AB242" s="81">
        <f t="shared" ca="1" si="144"/>
        <v>-594.59761552119687</v>
      </c>
      <c r="AC242" s="79">
        <f t="shared" ca="1" si="145"/>
        <v>79247.395674793632</v>
      </c>
      <c r="AD242" s="35"/>
      <c r="AE242" s="62">
        <f t="shared" ca="1" si="146"/>
        <v>-2500.6101455486769</v>
      </c>
      <c r="AF242" s="62">
        <f t="shared" ca="1" si="147"/>
        <v>333278.90401813231</v>
      </c>
      <c r="AG242" s="35"/>
      <c r="AH242" s="35"/>
      <c r="AR242" s="69">
        <f t="shared" si="157"/>
        <v>20</v>
      </c>
      <c r="AS242" s="70">
        <f t="shared" si="163"/>
        <v>239</v>
      </c>
      <c r="AT242" s="71">
        <f t="shared" si="166"/>
        <v>0.19477251351015148</v>
      </c>
      <c r="AU242" s="72">
        <f t="shared" si="148"/>
        <v>6.8214933659622723E-3</v>
      </c>
      <c r="AV242" s="73">
        <f t="shared" si="158"/>
        <v>1.0068214933659623</v>
      </c>
      <c r="AW242" s="74">
        <f>PRODUCT(AV$4:AV242)</f>
        <v>5.0774106018878209</v>
      </c>
    </row>
    <row r="243" spans="5:49">
      <c r="E243">
        <f t="shared" si="167"/>
        <v>240</v>
      </c>
      <c r="F243" s="64">
        <f t="shared" si="149"/>
        <v>74.12</v>
      </c>
      <c r="G243" s="55">
        <f t="shared" si="137"/>
        <v>0</v>
      </c>
      <c r="H243" s="78">
        <f t="shared" si="164"/>
        <v>1</v>
      </c>
      <c r="I243" s="79">
        <f t="shared" si="150"/>
        <v>435797.31877083436</v>
      </c>
      <c r="J243" s="79">
        <f t="shared" si="138"/>
        <v>2972.7885188993923</v>
      </c>
      <c r="K243" s="80">
        <f t="shared" si="139"/>
        <v>-15</v>
      </c>
      <c r="L243" s="80">
        <f t="shared" si="151"/>
        <v>-363.16443230902865</v>
      </c>
      <c r="M243" s="80">
        <f t="shared" si="165"/>
        <v>0</v>
      </c>
      <c r="N243" s="80">
        <f t="shared" si="152"/>
        <v>-414.00745283229276</v>
      </c>
      <c r="O243" s="81">
        <f t="shared" si="140"/>
        <v>-2500.6101455486769</v>
      </c>
      <c r="P243" s="79">
        <f t="shared" si="141"/>
        <v>435477.32525904378</v>
      </c>
      <c r="Q243" s="35"/>
      <c r="R243">
        <f t="shared" ca="1" si="153"/>
        <v>365</v>
      </c>
      <c r="S243" s="78">
        <f t="shared" ca="1" si="154"/>
        <v>84.12</v>
      </c>
      <c r="T243" s="55">
        <f t="shared" ca="1" si="142"/>
        <v>1.2403362716826516E-2</v>
      </c>
      <c r="U243" s="78">
        <f t="shared" ca="1" si="159"/>
        <v>0.23483172963632062</v>
      </c>
      <c r="V243" s="79">
        <f t="shared" ca="1" si="155"/>
        <v>78264.461481875303</v>
      </c>
      <c r="W243" s="79">
        <f t="shared" ca="1" si="143"/>
        <v>533.88050478922219</v>
      </c>
      <c r="X243" s="80">
        <f t="shared" ca="1" si="160"/>
        <v>-3.5224759445448095</v>
      </c>
      <c r="Y243" s="80">
        <f t="shared" ca="1" si="161"/>
        <v>-65.22038456822942</v>
      </c>
      <c r="Z243" s="80">
        <f t="shared" ca="1" si="156"/>
        <v>0</v>
      </c>
      <c r="AA243" s="80">
        <f t="shared" ca="1" si="162"/>
        <v>-74.351238407781551</v>
      </c>
      <c r="AB243" s="81">
        <f t="shared" ca="1" si="144"/>
        <v>-587.22260562532722</v>
      </c>
      <c r="AC243" s="79">
        <f t="shared" ca="1" si="145"/>
        <v>78068.025282118659</v>
      </c>
      <c r="AD243" s="35"/>
      <c r="AE243" s="62">
        <f t="shared" ca="1" si="146"/>
        <v>-2500.6101455486769</v>
      </c>
      <c r="AF243" s="62">
        <f t="shared" ca="1" si="147"/>
        <v>332442.40632652625</v>
      </c>
      <c r="AG243" s="35"/>
      <c r="AH243" s="35"/>
      <c r="AR243" s="69">
        <f t="shared" si="157"/>
        <v>20</v>
      </c>
      <c r="AS243" s="70">
        <f t="shared" si="163"/>
        <v>240</v>
      </c>
      <c r="AT243" s="71">
        <f t="shared" si="166"/>
        <v>0.19344387410137018</v>
      </c>
      <c r="AU243" s="72">
        <f t="shared" si="148"/>
        <v>6.8214933659622723E-3</v>
      </c>
      <c r="AV243" s="73">
        <f t="shared" si="158"/>
        <v>1.0068214933659623</v>
      </c>
      <c r="AW243" s="74">
        <f>PRODUCT(AV$4:AV243)</f>
        <v>5.1120461246248654</v>
      </c>
    </row>
    <row r="244" spans="5:49">
      <c r="E244">
        <f t="shared" si="167"/>
        <v>241</v>
      </c>
      <c r="F244" s="64">
        <f t="shared" si="149"/>
        <v>74.2</v>
      </c>
      <c r="G244" s="55">
        <f t="shared" si="137"/>
        <v>0</v>
      </c>
      <c r="H244" s="78">
        <f t="shared" si="164"/>
        <v>1</v>
      </c>
      <c r="I244" s="79">
        <f t="shared" si="150"/>
        <v>435477.32525904378</v>
      </c>
      <c r="J244" s="79">
        <f t="shared" si="138"/>
        <v>2970.6056852815618</v>
      </c>
      <c r="K244" s="80">
        <f t="shared" si="139"/>
        <v>-15</v>
      </c>
      <c r="L244" s="80">
        <f t="shared" si="151"/>
        <v>-362.89777104920319</v>
      </c>
      <c r="M244" s="80">
        <f t="shared" si="165"/>
        <v>-3266.0799394428282</v>
      </c>
      <c r="N244" s="80">
        <f t="shared" si="152"/>
        <v>-413.70345899609168</v>
      </c>
      <c r="O244" s="81">
        <f t="shared" si="140"/>
        <v>-2500.6101455486769</v>
      </c>
      <c r="P244" s="79">
        <f t="shared" si="141"/>
        <v>431889.63962928863</v>
      </c>
      <c r="Q244" s="35"/>
      <c r="R244">
        <f t="shared" ca="1" si="153"/>
        <v>366</v>
      </c>
      <c r="S244" s="78">
        <f t="shared" ca="1" si="154"/>
        <v>84.2</v>
      </c>
      <c r="T244" s="55">
        <f t="shared" ca="1" si="142"/>
        <v>1.2403362716826516E-2</v>
      </c>
      <c r="U244" s="78">
        <f t="shared" ca="1" si="159"/>
        <v>0.23191902651622159</v>
      </c>
      <c r="V244" s="79">
        <f t="shared" ca="1" si="155"/>
        <v>77099.719247958157</v>
      </c>
      <c r="W244" s="79">
        <f t="shared" ca="1" si="143"/>
        <v>525.93522336750027</v>
      </c>
      <c r="X244" s="80">
        <f t="shared" ca="1" si="160"/>
        <v>-3.4787853977433238</v>
      </c>
      <c r="Y244" s="80">
        <f t="shared" ca="1" si="161"/>
        <v>-64.249766039965138</v>
      </c>
      <c r="Z244" s="80">
        <f t="shared" ca="1" si="156"/>
        <v>0</v>
      </c>
      <c r="AA244" s="80">
        <f t="shared" ca="1" si="162"/>
        <v>-73.244733285560258</v>
      </c>
      <c r="AB244" s="81">
        <f t="shared" ca="1" si="144"/>
        <v>-579.9390706522363</v>
      </c>
      <c r="AC244" s="79">
        <f t="shared" ca="1" si="145"/>
        <v>76904.742115950139</v>
      </c>
      <c r="AD244" s="35"/>
      <c r="AE244" s="62">
        <f t="shared" ca="1" si="146"/>
        <v>-2500.6101455486769</v>
      </c>
      <c r="AF244" s="62">
        <f t="shared" ca="1" si="147"/>
        <v>331601.69422568282</v>
      </c>
      <c r="AG244" s="35"/>
      <c r="AH244" s="35"/>
      <c r="AR244" s="69">
        <f t="shared" si="157"/>
        <v>21</v>
      </c>
      <c r="AS244" s="70">
        <f t="shared" si="163"/>
        <v>241</v>
      </c>
      <c r="AT244" s="71">
        <f t="shared" si="166"/>
        <v>0.19212429799750164</v>
      </c>
      <c r="AU244" s="72">
        <f t="shared" si="148"/>
        <v>6.8214933659622723E-3</v>
      </c>
      <c r="AV244" s="73">
        <f t="shared" si="158"/>
        <v>1.0068214933659623</v>
      </c>
      <c r="AW244" s="74">
        <f>PRODUCT(AV$4:AV244)</f>
        <v>5.146917913350487</v>
      </c>
    </row>
    <row r="245" spans="5:49">
      <c r="E245">
        <f t="shared" si="167"/>
        <v>242</v>
      </c>
      <c r="F245" s="64">
        <f t="shared" si="149"/>
        <v>74.28</v>
      </c>
      <c r="G245" s="55">
        <f t="shared" si="137"/>
        <v>0</v>
      </c>
      <c r="H245" s="78">
        <f t="shared" si="164"/>
        <v>1</v>
      </c>
      <c r="I245" s="79">
        <f t="shared" si="150"/>
        <v>431889.63962928863</v>
      </c>
      <c r="J245" s="79">
        <f t="shared" si="138"/>
        <v>2946.1323115590289</v>
      </c>
      <c r="K245" s="80">
        <f t="shared" si="139"/>
        <v>-15</v>
      </c>
      <c r="L245" s="80">
        <f t="shared" si="151"/>
        <v>-359.90803302440725</v>
      </c>
      <c r="M245" s="80">
        <f t="shared" si="165"/>
        <v>0</v>
      </c>
      <c r="N245" s="80">
        <f t="shared" si="152"/>
        <v>-410.29515764782428</v>
      </c>
      <c r="O245" s="81">
        <f t="shared" si="140"/>
        <v>-2500.6101455486769</v>
      </c>
      <c r="P245" s="79">
        <f t="shared" si="141"/>
        <v>431549.95860462682</v>
      </c>
      <c r="Q245" s="35"/>
      <c r="R245">
        <f t="shared" ca="1" si="153"/>
        <v>367</v>
      </c>
      <c r="S245" s="78">
        <f t="shared" ca="1" si="154"/>
        <v>84.28</v>
      </c>
      <c r="T245" s="55">
        <f t="shared" ca="1" si="142"/>
        <v>1.2403362716826516E-2</v>
      </c>
      <c r="U245" s="78">
        <f t="shared" ca="1" si="159"/>
        <v>0.2290424507094076</v>
      </c>
      <c r="V245" s="79">
        <f t="shared" ca="1" si="155"/>
        <v>75950.86470484201</v>
      </c>
      <c r="W245" s="79">
        <f t="shared" ca="1" si="143"/>
        <v>518.09831972317784</v>
      </c>
      <c r="X245" s="80">
        <f t="shared" ca="1" si="160"/>
        <v>-3.4356367606411138</v>
      </c>
      <c r="Y245" s="80">
        <f t="shared" ca="1" si="161"/>
        <v>-63.292387254035013</v>
      </c>
      <c r="Z245" s="80">
        <f t="shared" ca="1" si="156"/>
        <v>0</v>
      </c>
      <c r="AA245" s="80">
        <f t="shared" ca="1" si="162"/>
        <v>-72.153321469599931</v>
      </c>
      <c r="AB245" s="81">
        <f t="shared" ca="1" si="144"/>
        <v>-572.74587600527741</v>
      </c>
      <c r="AC245" s="79">
        <f t="shared" ca="1" si="145"/>
        <v>75757.335803075635</v>
      </c>
      <c r="AD245" s="35"/>
      <c r="AE245" s="62">
        <f t="shared" ca="1" si="146"/>
        <v>-2500.6101455486769</v>
      </c>
      <c r="AF245" s="62">
        <f t="shared" ca="1" si="147"/>
        <v>330756.74648273404</v>
      </c>
      <c r="AG245" s="35"/>
      <c r="AH245" s="35"/>
      <c r="AR245" s="69">
        <f t="shared" si="157"/>
        <v>21</v>
      </c>
      <c r="AS245" s="70">
        <f t="shared" si="163"/>
        <v>242</v>
      </c>
      <c r="AT245" s="71">
        <f t="shared" si="166"/>
        <v>0.19081372337327152</v>
      </c>
      <c r="AU245" s="72">
        <f t="shared" si="148"/>
        <v>6.8214933659622723E-3</v>
      </c>
      <c r="AV245" s="73">
        <f t="shared" si="158"/>
        <v>1.0068214933659623</v>
      </c>
      <c r="AW245" s="74">
        <f>PRODUCT(AV$4:AV245)</f>
        <v>5.1820275797515594</v>
      </c>
    </row>
    <row r="246" spans="5:49">
      <c r="E246">
        <f t="shared" si="167"/>
        <v>243</v>
      </c>
      <c r="F246" s="64">
        <f t="shared" si="149"/>
        <v>74.36</v>
      </c>
      <c r="G246" s="55">
        <f t="shared" si="137"/>
        <v>0</v>
      </c>
      <c r="H246" s="78">
        <f t="shared" si="164"/>
        <v>1</v>
      </c>
      <c r="I246" s="79">
        <f t="shared" si="150"/>
        <v>431549.95860462682</v>
      </c>
      <c r="J246" s="79">
        <f t="shared" si="138"/>
        <v>2943.8151797027549</v>
      </c>
      <c r="K246" s="80">
        <f t="shared" si="139"/>
        <v>-15</v>
      </c>
      <c r="L246" s="80">
        <f t="shared" si="151"/>
        <v>-359.62496550385572</v>
      </c>
      <c r="M246" s="80">
        <f t="shared" si="165"/>
        <v>0</v>
      </c>
      <c r="N246" s="80">
        <f t="shared" si="152"/>
        <v>-409.97246067439556</v>
      </c>
      <c r="O246" s="81">
        <f t="shared" si="140"/>
        <v>-2500.6101455486769</v>
      </c>
      <c r="P246" s="79">
        <f t="shared" si="141"/>
        <v>431208.56621260266</v>
      </c>
      <c r="Q246" s="35"/>
      <c r="R246">
        <f t="shared" ca="1" si="153"/>
        <v>368</v>
      </c>
      <c r="S246" s="78">
        <f t="shared" ca="1" si="154"/>
        <v>84.36</v>
      </c>
      <c r="T246" s="55">
        <f t="shared" ca="1" si="142"/>
        <v>1.2403362716826516E-2</v>
      </c>
      <c r="U246" s="78">
        <f t="shared" ca="1" si="159"/>
        <v>0.22620155411570794</v>
      </c>
      <c r="V246" s="79">
        <f t="shared" ca="1" si="155"/>
        <v>74817.690088649659</v>
      </c>
      <c r="W246" s="79">
        <f t="shared" ca="1" si="143"/>
        <v>510.36837659634489</v>
      </c>
      <c r="X246" s="80">
        <f t="shared" ca="1" si="160"/>
        <v>-3.393023311735619</v>
      </c>
      <c r="Y246" s="80">
        <f t="shared" ca="1" si="161"/>
        <v>-62.348075073874718</v>
      </c>
      <c r="Z246" s="80">
        <f t="shared" ca="1" si="156"/>
        <v>0</v>
      </c>
      <c r="AA246" s="80">
        <f t="shared" ca="1" si="162"/>
        <v>-71.076805584217183</v>
      </c>
      <c r="AB246" s="81">
        <f t="shared" ca="1" si="144"/>
        <v>-565.64190116061729</v>
      </c>
      <c r="AC246" s="79">
        <f t="shared" ca="1" si="145"/>
        <v>74625.598660115545</v>
      </c>
      <c r="AD246" s="35"/>
      <c r="AE246" s="62">
        <f t="shared" ca="1" si="146"/>
        <v>-2500.6101455486764</v>
      </c>
      <c r="AF246" s="62">
        <f t="shared" ca="1" si="147"/>
        <v>329907.541757837</v>
      </c>
      <c r="AG246" s="35"/>
      <c r="AH246" s="35"/>
      <c r="AR246" s="69">
        <f t="shared" si="157"/>
        <v>21</v>
      </c>
      <c r="AS246" s="70">
        <f t="shared" si="163"/>
        <v>243</v>
      </c>
      <c r="AT246" s="71">
        <f t="shared" si="166"/>
        <v>0.1895120888251462</v>
      </c>
      <c r="AU246" s="72">
        <f t="shared" si="148"/>
        <v>6.8214933659622723E-3</v>
      </c>
      <c r="AV246" s="73">
        <f t="shared" si="158"/>
        <v>1.0068214933659623</v>
      </c>
      <c r="AW246" s="74">
        <f>PRODUCT(AV$4:AV246)</f>
        <v>5.2173767465090686</v>
      </c>
    </row>
    <row r="247" spans="5:49">
      <c r="E247">
        <f t="shared" si="167"/>
        <v>244</v>
      </c>
      <c r="F247" s="64">
        <f t="shared" si="149"/>
        <v>74.44</v>
      </c>
      <c r="G247" s="55">
        <f t="shared" si="137"/>
        <v>0</v>
      </c>
      <c r="H247" s="78">
        <f t="shared" si="164"/>
        <v>1</v>
      </c>
      <c r="I247" s="79">
        <f t="shared" si="150"/>
        <v>431208.56621260266</v>
      </c>
      <c r="J247" s="79">
        <f t="shared" si="138"/>
        <v>2941.4863737653723</v>
      </c>
      <c r="K247" s="80">
        <f t="shared" si="139"/>
        <v>-15</v>
      </c>
      <c r="L247" s="80">
        <f t="shared" si="151"/>
        <v>-359.34047184383559</v>
      </c>
      <c r="M247" s="80">
        <f t="shared" si="165"/>
        <v>0</v>
      </c>
      <c r="N247" s="80">
        <f t="shared" si="152"/>
        <v>-409.64813790197263</v>
      </c>
      <c r="O247" s="81">
        <f t="shared" si="140"/>
        <v>-2500.6101455486769</v>
      </c>
      <c r="P247" s="79">
        <f t="shared" si="141"/>
        <v>430865.4538310736</v>
      </c>
      <c r="Q247" s="35"/>
      <c r="R247">
        <f t="shared" ca="1" si="153"/>
        <v>369</v>
      </c>
      <c r="S247" s="78">
        <f t="shared" ca="1" si="154"/>
        <v>84.44</v>
      </c>
      <c r="T247" s="55">
        <f t="shared" ca="1" si="142"/>
        <v>1.2403362716826516E-2</v>
      </c>
      <c r="U247" s="78">
        <f t="shared" ca="1" si="159"/>
        <v>0.22339589419290096</v>
      </c>
      <c r="V247" s="79">
        <f t="shared" ca="1" si="155"/>
        <v>73699.990291973809</v>
      </c>
      <c r="W247" s="79">
        <f t="shared" ca="1" si="143"/>
        <v>502.74399484818321</v>
      </c>
      <c r="X247" s="80">
        <f t="shared" ca="1" si="160"/>
        <v>-3.3509384128935142</v>
      </c>
      <c r="Y247" s="80">
        <f t="shared" ca="1" si="161"/>
        <v>-61.416658576644842</v>
      </c>
      <c r="Z247" s="80">
        <f t="shared" ca="1" si="156"/>
        <v>0</v>
      </c>
      <c r="AA247" s="80">
        <f t="shared" ca="1" si="162"/>
        <v>-70.014990777375132</v>
      </c>
      <c r="AB247" s="81">
        <f t="shared" ca="1" si="144"/>
        <v>-558.62603949268691</v>
      </c>
      <c r="AC247" s="79">
        <f t="shared" ca="1" si="145"/>
        <v>73509.325659562368</v>
      </c>
      <c r="AD247" s="35"/>
      <c r="AE247" s="62">
        <f t="shared" ca="1" si="146"/>
        <v>-2500.6101455486769</v>
      </c>
      <c r="AF247" s="62">
        <f t="shared" ca="1" si="147"/>
        <v>329054.05860363541</v>
      </c>
      <c r="AG247" s="35"/>
      <c r="AH247" s="35"/>
      <c r="AR247" s="69">
        <f t="shared" si="157"/>
        <v>21</v>
      </c>
      <c r="AS247" s="70">
        <f t="shared" si="163"/>
        <v>244</v>
      </c>
      <c r="AT247" s="71">
        <f t="shared" si="166"/>
        <v>0.18821933336845581</v>
      </c>
      <c r="AU247" s="72">
        <f t="shared" si="148"/>
        <v>6.8214933659622723E-3</v>
      </c>
      <c r="AV247" s="73">
        <f t="shared" si="158"/>
        <v>1.0068214933659623</v>
      </c>
      <c r="AW247" s="74">
        <f>PRODUCT(AV$4:AV247)</f>
        <v>5.2529670473731063</v>
      </c>
    </row>
    <row r="248" spans="5:49">
      <c r="E248">
        <f t="shared" si="167"/>
        <v>245</v>
      </c>
      <c r="F248" s="64">
        <f t="shared" si="149"/>
        <v>74.52</v>
      </c>
      <c r="G248" s="55">
        <f t="shared" si="137"/>
        <v>0</v>
      </c>
      <c r="H248" s="78">
        <f t="shared" si="164"/>
        <v>1</v>
      </c>
      <c r="I248" s="79">
        <f t="shared" si="150"/>
        <v>430865.4538310736</v>
      </c>
      <c r="J248" s="79">
        <f t="shared" si="138"/>
        <v>2939.1458349309924</v>
      </c>
      <c r="K248" s="80">
        <f t="shared" si="139"/>
        <v>-15</v>
      </c>
      <c r="L248" s="80">
        <f t="shared" si="151"/>
        <v>-359.05454485922803</v>
      </c>
      <c r="M248" s="80">
        <f t="shared" si="165"/>
        <v>0</v>
      </c>
      <c r="N248" s="80">
        <f t="shared" si="152"/>
        <v>-409.32218113951996</v>
      </c>
      <c r="O248" s="81">
        <f t="shared" si="140"/>
        <v>-2500.6101455486769</v>
      </c>
      <c r="P248" s="79">
        <f t="shared" si="141"/>
        <v>430520.61279445718</v>
      </c>
      <c r="Q248" s="35"/>
      <c r="R248">
        <f t="shared" ca="1" si="153"/>
        <v>370</v>
      </c>
      <c r="S248" s="78">
        <f t="shared" ca="1" si="154"/>
        <v>84.52</v>
      </c>
      <c r="T248" s="55">
        <f t="shared" ca="1" si="142"/>
        <v>1.3587845363505768E-2</v>
      </c>
      <c r="U248" s="78">
        <f t="shared" ca="1" si="159"/>
        <v>0.22036042532776573</v>
      </c>
      <c r="V248" s="79">
        <f t="shared" ca="1" si="155"/>
        <v>72510.49230972465</v>
      </c>
      <c r="W248" s="79">
        <f t="shared" ca="1" si="143"/>
        <v>494.62984225344508</v>
      </c>
      <c r="X248" s="80">
        <f t="shared" ca="1" si="160"/>
        <v>-3.3054063799164859</v>
      </c>
      <c r="Y248" s="80">
        <f t="shared" ca="1" si="161"/>
        <v>-60.425410258103881</v>
      </c>
      <c r="Z248" s="80">
        <f t="shared" ca="1" si="156"/>
        <v>0</v>
      </c>
      <c r="AA248" s="80">
        <f t="shared" ca="1" si="162"/>
        <v>-68.884967694238426</v>
      </c>
      <c r="AB248" s="81">
        <f t="shared" ca="1" si="144"/>
        <v>-551.03551525203261</v>
      </c>
      <c r="AC248" s="79">
        <f t="shared" ca="1" si="145"/>
        <v>72321.470852393802</v>
      </c>
      <c r="AD248" s="35"/>
      <c r="AE248" s="62">
        <f t="shared" ca="1" si="146"/>
        <v>-2500.6101455486769</v>
      </c>
      <c r="AF248" s="62">
        <f t="shared" ca="1" si="147"/>
        <v>328196.27546471788</v>
      </c>
      <c r="AG248" s="35"/>
      <c r="AH248" s="35"/>
      <c r="AR248" s="69">
        <f t="shared" si="157"/>
        <v>21</v>
      </c>
      <c r="AS248" s="70">
        <f t="shared" si="163"/>
        <v>245</v>
      </c>
      <c r="AT248" s="71">
        <f t="shared" si="166"/>
        <v>0.18693539643453705</v>
      </c>
      <c r="AU248" s="72">
        <f t="shared" si="148"/>
        <v>6.8214933659622723E-3</v>
      </c>
      <c r="AV248" s="73">
        <f t="shared" si="158"/>
        <v>1.0068214933659623</v>
      </c>
      <c r="AW248" s="74">
        <f>PRODUCT(AV$4:AV248)</f>
        <v>5.28880012723838</v>
      </c>
    </row>
    <row r="249" spans="5:49">
      <c r="E249">
        <f t="shared" si="167"/>
        <v>246</v>
      </c>
      <c r="F249" s="64">
        <f t="shared" si="149"/>
        <v>74.599999999999994</v>
      </c>
      <c r="G249" s="55">
        <f t="shared" si="137"/>
        <v>0</v>
      </c>
      <c r="H249" s="78">
        <f t="shared" si="164"/>
        <v>1</v>
      </c>
      <c r="I249" s="79">
        <f t="shared" si="150"/>
        <v>430520.61279445718</v>
      </c>
      <c r="J249" s="79">
        <f t="shared" si="138"/>
        <v>2936.7935040874017</v>
      </c>
      <c r="K249" s="80">
        <f t="shared" si="139"/>
        <v>-15</v>
      </c>
      <c r="L249" s="80">
        <f t="shared" si="151"/>
        <v>-358.76717732871435</v>
      </c>
      <c r="M249" s="80">
        <f t="shared" si="165"/>
        <v>0</v>
      </c>
      <c r="N249" s="80">
        <f t="shared" si="152"/>
        <v>-408.99458215473442</v>
      </c>
      <c r="O249" s="81">
        <f t="shared" si="140"/>
        <v>-2500.6101455486769</v>
      </c>
      <c r="P249" s="79">
        <f t="shared" si="141"/>
        <v>430174.03439351253</v>
      </c>
      <c r="Q249" s="35"/>
      <c r="R249">
        <f t="shared" ca="1" si="153"/>
        <v>371</v>
      </c>
      <c r="S249" s="78">
        <f t="shared" ca="1" si="154"/>
        <v>84.6</v>
      </c>
      <c r="T249" s="55">
        <f t="shared" ca="1" si="142"/>
        <v>1.3587845363505768E-2</v>
      </c>
      <c r="U249" s="78">
        <f t="shared" ca="1" si="159"/>
        <v>0.21736620194417569</v>
      </c>
      <c r="V249" s="79">
        <f t="shared" ca="1" si="155"/>
        <v>71338.77788999019</v>
      </c>
      <c r="W249" s="79">
        <f t="shared" ca="1" si="143"/>
        <v>486.63700011242412</v>
      </c>
      <c r="X249" s="80">
        <f t="shared" ca="1" si="160"/>
        <v>-3.2604930291626353</v>
      </c>
      <c r="Y249" s="80">
        <f t="shared" ca="1" si="161"/>
        <v>-59.448981574991826</v>
      </c>
      <c r="Z249" s="80">
        <f t="shared" ca="1" si="156"/>
        <v>0</v>
      </c>
      <c r="AA249" s="80">
        <f t="shared" ca="1" si="162"/>
        <v>-67.771838995490697</v>
      </c>
      <c r="AB249" s="81">
        <f t="shared" ca="1" si="144"/>
        <v>-543.54812988098831</v>
      </c>
      <c r="AC249" s="79">
        <f t="shared" ca="1" si="145"/>
        <v>71151.385446621978</v>
      </c>
      <c r="AD249" s="35"/>
      <c r="AE249" s="62">
        <f t="shared" ca="1" si="146"/>
        <v>-2500.6101455486769</v>
      </c>
      <c r="AF249" s="62">
        <f t="shared" ca="1" si="147"/>
        <v>327334.17067707324</v>
      </c>
      <c r="AG249" s="35"/>
      <c r="AH249" s="35"/>
      <c r="AR249" s="69">
        <f t="shared" si="157"/>
        <v>21</v>
      </c>
      <c r="AS249" s="70">
        <f t="shared" si="163"/>
        <v>246</v>
      </c>
      <c r="AT249" s="71">
        <f t="shared" si="166"/>
        <v>0.18566021786789533</v>
      </c>
      <c r="AU249" s="72">
        <f t="shared" si="148"/>
        <v>6.8214933659622723E-3</v>
      </c>
      <c r="AV249" s="73">
        <f t="shared" si="158"/>
        <v>1.0068214933659623</v>
      </c>
      <c r="AW249" s="74">
        <f>PRODUCT(AV$4:AV249)</f>
        <v>5.3248776422202369</v>
      </c>
    </row>
    <row r="250" spans="5:49">
      <c r="E250">
        <f t="shared" si="167"/>
        <v>247</v>
      </c>
      <c r="F250" s="64">
        <f t="shared" si="149"/>
        <v>74.680000000000007</v>
      </c>
      <c r="G250" s="55">
        <f t="shared" si="137"/>
        <v>0</v>
      </c>
      <c r="H250" s="78">
        <f t="shared" si="164"/>
        <v>1</v>
      </c>
      <c r="I250" s="79">
        <f t="shared" si="150"/>
        <v>430174.03439351253</v>
      </c>
      <c r="J250" s="79">
        <f t="shared" si="138"/>
        <v>2934.4293218245721</v>
      </c>
      <c r="K250" s="80">
        <f t="shared" si="139"/>
        <v>-15</v>
      </c>
      <c r="L250" s="80">
        <f t="shared" si="151"/>
        <v>-358.4783619945938</v>
      </c>
      <c r="M250" s="80">
        <f t="shared" si="165"/>
        <v>0</v>
      </c>
      <c r="N250" s="80">
        <f t="shared" si="152"/>
        <v>-408.66533267383699</v>
      </c>
      <c r="O250" s="81">
        <f t="shared" si="140"/>
        <v>-2500.6101455486769</v>
      </c>
      <c r="P250" s="79">
        <f t="shared" si="141"/>
        <v>429825.70987512002</v>
      </c>
      <c r="Q250" s="35"/>
      <c r="R250">
        <f t="shared" ca="1" si="153"/>
        <v>372</v>
      </c>
      <c r="S250" s="78">
        <f t="shared" ca="1" si="154"/>
        <v>84.68</v>
      </c>
      <c r="T250" s="55">
        <f t="shared" ca="1" si="142"/>
        <v>1.3587845363505768E-2</v>
      </c>
      <c r="U250" s="78">
        <f t="shared" ca="1" si="159"/>
        <v>0.21441266360490566</v>
      </c>
      <c r="V250" s="79">
        <f t="shared" ca="1" si="155"/>
        <v>70184.59142377408</v>
      </c>
      <c r="W250" s="79">
        <f t="shared" ca="1" si="143"/>
        <v>478.76372479004749</v>
      </c>
      <c r="X250" s="80">
        <f t="shared" ca="1" si="160"/>
        <v>-3.216189954073585</v>
      </c>
      <c r="Y250" s="80">
        <f t="shared" ca="1" si="161"/>
        <v>-58.48715951981174</v>
      </c>
      <c r="Z250" s="80">
        <f t="shared" ca="1" si="156"/>
        <v>0</v>
      </c>
      <c r="AA250" s="80">
        <f t="shared" ca="1" si="162"/>
        <v>-66.675361852585397</v>
      </c>
      <c r="AB250" s="81">
        <f t="shared" ca="1" si="144"/>
        <v>-536.16248194454261</v>
      </c>
      <c r="AC250" s="79">
        <f t="shared" ca="1" si="145"/>
        <v>69998.81395529311</v>
      </c>
      <c r="AD250" s="35"/>
      <c r="AE250" s="62">
        <f t="shared" ca="1" si="146"/>
        <v>-2500.6101455486769</v>
      </c>
      <c r="AF250" s="62">
        <f t="shared" ca="1" si="147"/>
        <v>326467.7224675435</v>
      </c>
      <c r="AG250" s="35"/>
      <c r="AH250" s="35"/>
      <c r="AR250" s="69">
        <f t="shared" si="157"/>
        <v>21</v>
      </c>
      <c r="AS250" s="70">
        <f t="shared" si="163"/>
        <v>247</v>
      </c>
      <c r="AT250" s="71">
        <f t="shared" si="166"/>
        <v>0.18439373792338637</v>
      </c>
      <c r="AU250" s="72">
        <f t="shared" si="148"/>
        <v>6.8214933659622723E-3</v>
      </c>
      <c r="AV250" s="73">
        <f t="shared" si="158"/>
        <v>1.0068214933659623</v>
      </c>
      <c r="AW250" s="74">
        <f>PRODUCT(AV$4:AV250)</f>
        <v>5.3612012597312031</v>
      </c>
    </row>
    <row r="251" spans="5:49">
      <c r="E251">
        <f t="shared" si="167"/>
        <v>248</v>
      </c>
      <c r="F251" s="64">
        <f t="shared" si="149"/>
        <v>74.760000000000005</v>
      </c>
      <c r="G251" s="55">
        <f t="shared" si="137"/>
        <v>0</v>
      </c>
      <c r="H251" s="78">
        <f t="shared" si="164"/>
        <v>1</v>
      </c>
      <c r="I251" s="79">
        <f t="shared" si="150"/>
        <v>429825.70987512002</v>
      </c>
      <c r="J251" s="79">
        <f t="shared" si="138"/>
        <v>2932.0532284331557</v>
      </c>
      <c r="K251" s="80">
        <f t="shared" si="139"/>
        <v>-15</v>
      </c>
      <c r="L251" s="80">
        <f t="shared" si="151"/>
        <v>-358.18809156260005</v>
      </c>
      <c r="M251" s="80">
        <f t="shared" si="165"/>
        <v>0</v>
      </c>
      <c r="N251" s="80">
        <f t="shared" si="152"/>
        <v>-408.33442438136404</v>
      </c>
      <c r="O251" s="81">
        <f t="shared" si="140"/>
        <v>-2500.6101455486769</v>
      </c>
      <c r="P251" s="79">
        <f t="shared" si="141"/>
        <v>429475.63044206053</v>
      </c>
      <c r="Q251" s="35"/>
      <c r="R251">
        <f t="shared" ca="1" si="153"/>
        <v>373</v>
      </c>
      <c r="S251" s="78">
        <f t="shared" ca="1" si="154"/>
        <v>84.76</v>
      </c>
      <c r="T251" s="55">
        <f t="shared" ca="1" si="142"/>
        <v>1.3587845363505768E-2</v>
      </c>
      <c r="U251" s="78">
        <f t="shared" ca="1" si="159"/>
        <v>0.21149925748786483</v>
      </c>
      <c r="V251" s="79">
        <f t="shared" ca="1" si="155"/>
        <v>69047.680895639773</v>
      </c>
      <c r="W251" s="79">
        <f t="shared" ca="1" si="143"/>
        <v>471.00829716468661</v>
      </c>
      <c r="X251" s="80">
        <f t="shared" ca="1" si="160"/>
        <v>-3.1724888623179726</v>
      </c>
      <c r="Y251" s="80">
        <f t="shared" ca="1" si="161"/>
        <v>-57.539734079699812</v>
      </c>
      <c r="Z251" s="80">
        <f t="shared" ca="1" si="156"/>
        <v>-517.85760671729827</v>
      </c>
      <c r="AA251" s="80">
        <f t="shared" ca="1" si="162"/>
        <v>-65.595296850857792</v>
      </c>
      <c r="AB251" s="81">
        <f t="shared" ca="1" si="144"/>
        <v>-528.87718905016675</v>
      </c>
      <c r="AC251" s="79">
        <f t="shared" ca="1" si="145"/>
        <v>68345.646877244115</v>
      </c>
      <c r="AD251" s="35"/>
      <c r="AE251" s="62">
        <f t="shared" ca="1" si="146"/>
        <v>-2500.6101455486769</v>
      </c>
      <c r="AF251" s="62">
        <f t="shared" ca="1" si="147"/>
        <v>323148.40103476756</v>
      </c>
      <c r="AG251" s="35"/>
      <c r="AH251" s="35"/>
      <c r="AR251" s="69">
        <f t="shared" si="157"/>
        <v>21</v>
      </c>
      <c r="AS251" s="70">
        <f t="shared" si="163"/>
        <v>248</v>
      </c>
      <c r="AT251" s="71">
        <f t="shared" si="166"/>
        <v>0.183135897263417</v>
      </c>
      <c r="AU251" s="72">
        <f t="shared" si="148"/>
        <v>6.8214933659622723E-3</v>
      </c>
      <c r="AV251" s="73">
        <f t="shared" si="158"/>
        <v>1.0068214933659623</v>
      </c>
      <c r="AW251" s="74">
        <f>PRODUCT(AV$4:AV251)</f>
        <v>5.3977726585580479</v>
      </c>
    </row>
    <row r="252" spans="5:49">
      <c r="E252">
        <f t="shared" si="167"/>
        <v>249</v>
      </c>
      <c r="F252" s="64">
        <f t="shared" si="149"/>
        <v>74.84</v>
      </c>
      <c r="G252" s="55">
        <f t="shared" si="137"/>
        <v>0</v>
      </c>
      <c r="H252" s="78">
        <f t="shared" si="164"/>
        <v>1</v>
      </c>
      <c r="I252" s="79">
        <f t="shared" si="150"/>
        <v>429475.63044206053</v>
      </c>
      <c r="J252" s="79">
        <f t="shared" si="138"/>
        <v>2929.6651639029806</v>
      </c>
      <c r="K252" s="80">
        <f t="shared" si="139"/>
        <v>-15</v>
      </c>
      <c r="L252" s="80">
        <f t="shared" si="151"/>
        <v>-357.89635870171713</v>
      </c>
      <c r="M252" s="80">
        <f t="shared" si="165"/>
        <v>0</v>
      </c>
      <c r="N252" s="80">
        <f t="shared" si="152"/>
        <v>-408.00184891995758</v>
      </c>
      <c r="O252" s="81">
        <f t="shared" si="140"/>
        <v>-2500.6101455486769</v>
      </c>
      <c r="P252" s="79">
        <f t="shared" si="141"/>
        <v>429123.7872527932</v>
      </c>
      <c r="Q252" s="35"/>
      <c r="R252">
        <f t="shared" ca="1" si="153"/>
        <v>374</v>
      </c>
      <c r="S252" s="78">
        <f t="shared" ca="1" si="154"/>
        <v>84.84</v>
      </c>
      <c r="T252" s="55">
        <f t="shared" ca="1" si="142"/>
        <v>1.3587845363505768E-2</v>
      </c>
      <c r="U252" s="78">
        <f t="shared" ca="1" si="159"/>
        <v>0.20862543828262342</v>
      </c>
      <c r="V252" s="79">
        <f t="shared" ca="1" si="155"/>
        <v>67416.976796207353</v>
      </c>
      <c r="W252" s="79">
        <f t="shared" ca="1" si="143"/>
        <v>459.88445996856092</v>
      </c>
      <c r="X252" s="80">
        <f t="shared" ca="1" si="160"/>
        <v>-3.1293815742393511</v>
      </c>
      <c r="Y252" s="80">
        <f t="shared" ca="1" si="161"/>
        <v>-56.180813996839461</v>
      </c>
      <c r="Z252" s="80">
        <f t="shared" ca="1" si="156"/>
        <v>0</v>
      </c>
      <c r="AA252" s="80">
        <f t="shared" ca="1" si="162"/>
        <v>-64.046127956397001</v>
      </c>
      <c r="AB252" s="81">
        <f t="shared" ca="1" si="144"/>
        <v>-521.69088758906753</v>
      </c>
      <c r="AC252" s="79">
        <f t="shared" ca="1" si="145"/>
        <v>67231.814045059364</v>
      </c>
      <c r="AD252" s="35"/>
      <c r="AE252" s="62">
        <f t="shared" ca="1" si="146"/>
        <v>-2500.6101455486773</v>
      </c>
      <c r="AF252" s="62">
        <f t="shared" ca="1" si="147"/>
        <v>322260.86424792022</v>
      </c>
      <c r="AG252" s="35"/>
      <c r="AH252" s="35"/>
      <c r="AR252" s="69">
        <f t="shared" si="157"/>
        <v>21</v>
      </c>
      <c r="AS252" s="70">
        <f t="shared" si="163"/>
        <v>249</v>
      </c>
      <c r="AT252" s="71">
        <f t="shared" si="166"/>
        <v>0.18188663695516505</v>
      </c>
      <c r="AU252" s="72">
        <f t="shared" si="148"/>
        <v>6.8214933659622723E-3</v>
      </c>
      <c r="AV252" s="73">
        <f t="shared" si="158"/>
        <v>1.0068214933659623</v>
      </c>
      <c r="AW252" s="74">
        <f>PRODUCT(AV$4:AV252)</f>
        <v>5.4345935289393745</v>
      </c>
    </row>
    <row r="253" spans="5:49">
      <c r="E253">
        <f t="shared" si="167"/>
        <v>250</v>
      </c>
      <c r="F253" s="64">
        <f t="shared" si="149"/>
        <v>74.92</v>
      </c>
      <c r="G253" s="55">
        <f t="shared" si="137"/>
        <v>0</v>
      </c>
      <c r="H253" s="78">
        <f t="shared" si="164"/>
        <v>1</v>
      </c>
      <c r="I253" s="79">
        <f t="shared" si="150"/>
        <v>429123.7872527932</v>
      </c>
      <c r="J253" s="79">
        <f t="shared" si="138"/>
        <v>2927.2650679215344</v>
      </c>
      <c r="K253" s="80">
        <f t="shared" si="139"/>
        <v>-15</v>
      </c>
      <c r="L253" s="80">
        <f t="shared" si="151"/>
        <v>-357.60315604399437</v>
      </c>
      <c r="M253" s="80">
        <f t="shared" si="165"/>
        <v>0</v>
      </c>
      <c r="N253" s="80">
        <f t="shared" si="152"/>
        <v>-407.66759789015367</v>
      </c>
      <c r="O253" s="81">
        <f t="shared" si="140"/>
        <v>-2500.6101455486769</v>
      </c>
      <c r="P253" s="79">
        <f t="shared" si="141"/>
        <v>428770.17142123199</v>
      </c>
      <c r="Q253" s="35"/>
      <c r="R253">
        <f t="shared" ca="1" si="153"/>
        <v>375</v>
      </c>
      <c r="S253" s="78">
        <f t="shared" ca="1" si="154"/>
        <v>84.92</v>
      </c>
      <c r="T253" s="55">
        <f t="shared" ca="1" si="142"/>
        <v>1.3587845363505768E-2</v>
      </c>
      <c r="U253" s="78">
        <f t="shared" ca="1" si="159"/>
        <v>0.20579066808834551</v>
      </c>
      <c r="V253" s="79">
        <f t="shared" ca="1" si="155"/>
        <v>66318.278552307122</v>
      </c>
      <c r="W253" s="79">
        <f t="shared" ca="1" si="143"/>
        <v>452.3896971866011</v>
      </c>
      <c r="X253" s="80">
        <f t="shared" ca="1" si="160"/>
        <v>-3.0868600213251827</v>
      </c>
      <c r="Y253" s="80">
        <f t="shared" ca="1" si="161"/>
        <v>-55.265232126922605</v>
      </c>
      <c r="Z253" s="80">
        <f t="shared" ca="1" si="156"/>
        <v>0</v>
      </c>
      <c r="AA253" s="80">
        <f t="shared" ca="1" si="162"/>
        <v>-63.002364624691779</v>
      </c>
      <c r="AB253" s="81">
        <f t="shared" ca="1" si="144"/>
        <v>-514.60223248095713</v>
      </c>
      <c r="AC253" s="79">
        <f t="shared" ca="1" si="145"/>
        <v>66134.711560239826</v>
      </c>
      <c r="AD253" s="35"/>
      <c r="AE253" s="62">
        <f t="shared" ca="1" si="146"/>
        <v>-2500.6101455486769</v>
      </c>
      <c r="AF253" s="62">
        <f t="shared" ca="1" si="147"/>
        <v>321368.85590870591</v>
      </c>
      <c r="AG253" s="35"/>
      <c r="AH253" s="35"/>
      <c r="AR253" s="69">
        <f t="shared" si="157"/>
        <v>21</v>
      </c>
      <c r="AS253" s="70">
        <f t="shared" si="163"/>
        <v>250</v>
      </c>
      <c r="AT253" s="71">
        <f t="shared" si="166"/>
        <v>0.1806458984678182</v>
      </c>
      <c r="AU253" s="72">
        <f t="shared" si="148"/>
        <v>6.8214933659622723E-3</v>
      </c>
      <c r="AV253" s="73">
        <f t="shared" si="158"/>
        <v>1.0068214933659623</v>
      </c>
      <c r="AW253" s="74">
        <f>PRODUCT(AV$4:AV253)</f>
        <v>5.4716655726437358</v>
      </c>
    </row>
    <row r="254" spans="5:49">
      <c r="E254">
        <f t="shared" si="167"/>
        <v>251</v>
      </c>
      <c r="F254" s="64">
        <f t="shared" si="149"/>
        <v>75</v>
      </c>
      <c r="G254" s="55">
        <f t="shared" si="137"/>
        <v>0</v>
      </c>
      <c r="H254" s="78">
        <f t="shared" si="164"/>
        <v>1</v>
      </c>
      <c r="I254" s="79">
        <f t="shared" si="150"/>
        <v>428770.17142123199</v>
      </c>
      <c r="J254" s="79">
        <f t="shared" si="138"/>
        <v>2924.8528798724401</v>
      </c>
      <c r="K254" s="80">
        <f t="shared" si="139"/>
        <v>-15</v>
      </c>
      <c r="L254" s="80">
        <f t="shared" si="151"/>
        <v>-357.30847618436002</v>
      </c>
      <c r="M254" s="80">
        <f t="shared" si="165"/>
        <v>0</v>
      </c>
      <c r="N254" s="80">
        <f t="shared" si="152"/>
        <v>-407.33166285017046</v>
      </c>
      <c r="O254" s="81">
        <f t="shared" si="140"/>
        <v>-2500.6101455486769</v>
      </c>
      <c r="P254" s="79">
        <f t="shared" si="141"/>
        <v>428414.77401652123</v>
      </c>
      <c r="Q254" s="35"/>
      <c r="R254">
        <f t="shared" ca="1" si="153"/>
        <v>376</v>
      </c>
      <c r="S254" s="78">
        <f t="shared" ca="1" si="154"/>
        <v>85</v>
      </c>
      <c r="T254" s="55">
        <f t="shared" ca="1" si="142"/>
        <v>1.3587845363505768E-2</v>
      </c>
      <c r="U254" s="78">
        <f t="shared" ca="1" si="159"/>
        <v>0.20299441631310852</v>
      </c>
      <c r="V254" s="79">
        <f t="shared" ca="1" si="155"/>
        <v>65236.083326399232</v>
      </c>
      <c r="W254" s="79">
        <f t="shared" ca="1" si="143"/>
        <v>445.00750963239437</v>
      </c>
      <c r="X254" s="80">
        <f t="shared" ca="1" si="160"/>
        <v>-3.044916244696628</v>
      </c>
      <c r="Y254" s="80">
        <f t="shared" ca="1" si="161"/>
        <v>-54.363402771999361</v>
      </c>
      <c r="Z254" s="80">
        <f t="shared" ca="1" si="156"/>
        <v>0</v>
      </c>
      <c r="AA254" s="80">
        <f t="shared" ca="1" si="162"/>
        <v>-61.974279160079284</v>
      </c>
      <c r="AB254" s="81">
        <f t="shared" ca="1" si="144"/>
        <v>-507.609896922291</v>
      </c>
      <c r="AC254" s="79">
        <f t="shared" ca="1" si="145"/>
        <v>65054.098340932578</v>
      </c>
      <c r="AD254" s="35"/>
      <c r="AE254" s="62">
        <f t="shared" ca="1" si="146"/>
        <v>-2500.6101455486769</v>
      </c>
      <c r="AF254" s="62">
        <f t="shared" ca="1" si="147"/>
        <v>320472.35348872823</v>
      </c>
      <c r="AG254" s="35"/>
      <c r="AH254" s="35"/>
      <c r="AR254" s="69">
        <f t="shared" si="157"/>
        <v>21</v>
      </c>
      <c r="AS254" s="70">
        <f t="shared" si="163"/>
        <v>251</v>
      </c>
      <c r="AT254" s="71">
        <f t="shared" si="166"/>
        <v>0.17941362366983168</v>
      </c>
      <c r="AU254" s="72">
        <f t="shared" si="148"/>
        <v>6.8214933659622723E-3</v>
      </c>
      <c r="AV254" s="73">
        <f t="shared" si="158"/>
        <v>1.0068214933659623</v>
      </c>
      <c r="AW254" s="74">
        <f>PRODUCT(AV$4:AV254)</f>
        <v>5.5089905030482891</v>
      </c>
    </row>
    <row r="255" spans="5:49">
      <c r="E255">
        <f t="shared" si="167"/>
        <v>252</v>
      </c>
      <c r="F255" s="64">
        <f t="shared" si="149"/>
        <v>75.08</v>
      </c>
      <c r="G255" s="55">
        <f t="shared" si="137"/>
        <v>0</v>
      </c>
      <c r="H255" s="78">
        <f t="shared" si="164"/>
        <v>1</v>
      </c>
      <c r="I255" s="79">
        <f t="shared" si="150"/>
        <v>428414.77401652123</v>
      </c>
      <c r="J255" s="79">
        <f t="shared" si="138"/>
        <v>2922.4285388339258</v>
      </c>
      <c r="K255" s="80">
        <f t="shared" si="139"/>
        <v>-15</v>
      </c>
      <c r="L255" s="80">
        <f t="shared" si="151"/>
        <v>-357.01231168043438</v>
      </c>
      <c r="M255" s="80">
        <f t="shared" si="165"/>
        <v>0</v>
      </c>
      <c r="N255" s="80">
        <f t="shared" si="152"/>
        <v>-406.99403531569527</v>
      </c>
      <c r="O255" s="81">
        <f t="shared" si="140"/>
        <v>-2500.6101455486769</v>
      </c>
      <c r="P255" s="79">
        <f t="shared" si="141"/>
        <v>428057.58606281038</v>
      </c>
      <c r="Q255" s="35"/>
      <c r="R255">
        <f t="shared" ca="1" si="153"/>
        <v>377</v>
      </c>
      <c r="S255" s="78">
        <f t="shared" ca="1" si="154"/>
        <v>85.08</v>
      </c>
      <c r="T255" s="55">
        <f t="shared" ca="1" si="142"/>
        <v>1.3587845363505768E-2</v>
      </c>
      <c r="U255" s="78">
        <f t="shared" ca="1" si="159"/>
        <v>0.2002361595745909</v>
      </c>
      <c r="V255" s="79">
        <f t="shared" ca="1" si="155"/>
        <v>64170.153312413691</v>
      </c>
      <c r="W255" s="79">
        <f t="shared" ca="1" si="143"/>
        <v>437.73627511341192</v>
      </c>
      <c r="X255" s="80">
        <f t="shared" ca="1" si="160"/>
        <v>-3.0035423936188637</v>
      </c>
      <c r="Y255" s="80">
        <f t="shared" ca="1" si="161"/>
        <v>-53.475127760344748</v>
      </c>
      <c r="Z255" s="80">
        <f t="shared" ca="1" si="156"/>
        <v>0</v>
      </c>
      <c r="AA255" s="80">
        <f t="shared" ca="1" si="162"/>
        <v>-60.961645646793016</v>
      </c>
      <c r="AB255" s="81">
        <f t="shared" ca="1" si="144"/>
        <v>-500.71257213792586</v>
      </c>
      <c r="AC255" s="79">
        <f t="shared" ca="1" si="145"/>
        <v>63989.736699588422</v>
      </c>
      <c r="AD255" s="35"/>
      <c r="AE255" s="62">
        <f t="shared" ca="1" si="146"/>
        <v>-2500.6101455486769</v>
      </c>
      <c r="AF255" s="62">
        <f t="shared" ca="1" si="147"/>
        <v>319571.33434608905</v>
      </c>
      <c r="AG255" s="35"/>
      <c r="AH255" s="35"/>
      <c r="AR255" s="69">
        <f t="shared" si="157"/>
        <v>21</v>
      </c>
      <c r="AS255" s="70">
        <f t="shared" si="163"/>
        <v>252</v>
      </c>
      <c r="AT255" s="71">
        <f t="shared" si="166"/>
        <v>0.17818975482620467</v>
      </c>
      <c r="AU255" s="72">
        <f t="shared" si="148"/>
        <v>6.8214933659622723E-3</v>
      </c>
      <c r="AV255" s="73">
        <f t="shared" si="158"/>
        <v>1.0068214933659623</v>
      </c>
      <c r="AW255" s="74">
        <f>PRODUCT(AV$4:AV255)</f>
        <v>5.5465700452179822</v>
      </c>
    </row>
    <row r="256" spans="5:49">
      <c r="E256">
        <f t="shared" si="167"/>
        <v>253</v>
      </c>
      <c r="F256" s="64">
        <f t="shared" si="149"/>
        <v>75.16</v>
      </c>
      <c r="G256" s="55">
        <f t="shared" si="137"/>
        <v>0</v>
      </c>
      <c r="H256" s="78">
        <f t="shared" si="164"/>
        <v>1</v>
      </c>
      <c r="I256" s="79">
        <f t="shared" si="150"/>
        <v>428057.58606281038</v>
      </c>
      <c r="J256" s="79">
        <f t="shared" si="138"/>
        <v>2919.9919835772853</v>
      </c>
      <c r="K256" s="80">
        <f t="shared" si="139"/>
        <v>-15</v>
      </c>
      <c r="L256" s="80">
        <f t="shared" si="151"/>
        <v>-356.71465505234198</v>
      </c>
      <c r="M256" s="80">
        <f t="shared" si="165"/>
        <v>-3210.431895471078</v>
      </c>
      <c r="N256" s="80">
        <f t="shared" si="152"/>
        <v>-406.65470675966998</v>
      </c>
      <c r="O256" s="81">
        <f t="shared" si="140"/>
        <v>-2500.6101455486769</v>
      </c>
      <c r="P256" s="79">
        <f t="shared" si="141"/>
        <v>424488.16664355592</v>
      </c>
      <c r="Q256" s="35"/>
      <c r="R256">
        <f t="shared" ca="1" si="153"/>
        <v>378</v>
      </c>
      <c r="S256" s="78">
        <f t="shared" ca="1" si="154"/>
        <v>85.16</v>
      </c>
      <c r="T256" s="55">
        <f t="shared" ca="1" si="142"/>
        <v>1.3587845363505768E-2</v>
      </c>
      <c r="U256" s="78">
        <f t="shared" ca="1" si="159"/>
        <v>0.1975153816021091</v>
      </c>
      <c r="V256" s="79">
        <f t="shared" ca="1" si="155"/>
        <v>63120.254052462966</v>
      </c>
      <c r="W256" s="79">
        <f t="shared" ca="1" si="143"/>
        <v>430.57439427672938</v>
      </c>
      <c r="X256" s="80">
        <f t="shared" ca="1" si="160"/>
        <v>-2.9627307240316365</v>
      </c>
      <c r="Y256" s="80">
        <f t="shared" ca="1" si="161"/>
        <v>-52.600211710385807</v>
      </c>
      <c r="Z256" s="80">
        <f t="shared" ca="1" si="156"/>
        <v>0</v>
      </c>
      <c r="AA256" s="80">
        <f t="shared" ca="1" si="162"/>
        <v>-59.964241349839824</v>
      </c>
      <c r="AB256" s="81">
        <f t="shared" ca="1" si="144"/>
        <v>-493.90896713615251</v>
      </c>
      <c r="AC256" s="79">
        <f t="shared" ca="1" si="145"/>
        <v>62941.392295819292</v>
      </c>
      <c r="AD256" s="35"/>
      <c r="AE256" s="62">
        <f t="shared" ca="1" si="146"/>
        <v>-2500.6101455486769</v>
      </c>
      <c r="AF256" s="62">
        <f t="shared" ca="1" si="147"/>
        <v>318665.77572481672</v>
      </c>
      <c r="AG256" s="35"/>
      <c r="AH256" s="35"/>
      <c r="AR256" s="69">
        <f t="shared" si="157"/>
        <v>22</v>
      </c>
      <c r="AS256" s="70">
        <f t="shared" si="163"/>
        <v>253</v>
      </c>
      <c r="AT256" s="71">
        <f t="shared" si="166"/>
        <v>0.17697423459577527</v>
      </c>
      <c r="AU256" s="72">
        <f t="shared" si="148"/>
        <v>6.8214933659622723E-3</v>
      </c>
      <c r="AV256" s="73">
        <f t="shared" si="158"/>
        <v>1.0068214933659623</v>
      </c>
      <c r="AW256" s="74">
        <f>PRODUCT(AV$4:AV256)</f>
        <v>5.5844059359852816</v>
      </c>
    </row>
    <row r="257" spans="5:49">
      <c r="E257">
        <f t="shared" si="167"/>
        <v>254</v>
      </c>
      <c r="F257" s="64">
        <f t="shared" si="149"/>
        <v>75.239999999999995</v>
      </c>
      <c r="G257" s="55">
        <f t="shared" si="137"/>
        <v>0</v>
      </c>
      <c r="H257" s="78">
        <f t="shared" si="164"/>
        <v>1</v>
      </c>
      <c r="I257" s="79">
        <f t="shared" si="150"/>
        <v>424488.16664355592</v>
      </c>
      <c r="J257" s="79">
        <f t="shared" si="138"/>
        <v>2895.6432126885043</v>
      </c>
      <c r="K257" s="80">
        <f t="shared" si="139"/>
        <v>-15</v>
      </c>
      <c r="L257" s="80">
        <f t="shared" si="151"/>
        <v>-353.74013886962996</v>
      </c>
      <c r="M257" s="80">
        <f t="shared" si="165"/>
        <v>0</v>
      </c>
      <c r="N257" s="80">
        <f t="shared" si="152"/>
        <v>-403.26375831137824</v>
      </c>
      <c r="O257" s="81">
        <f t="shared" si="140"/>
        <v>-2500.6101455486769</v>
      </c>
      <c r="P257" s="79">
        <f t="shared" si="141"/>
        <v>424111.19581351476</v>
      </c>
      <c r="Q257" s="35"/>
      <c r="R257">
        <f t="shared" ca="1" si="153"/>
        <v>379</v>
      </c>
      <c r="S257" s="78">
        <f t="shared" ca="1" si="154"/>
        <v>85.24</v>
      </c>
      <c r="T257" s="55">
        <f t="shared" ca="1" si="142"/>
        <v>1.3587845363505768E-2</v>
      </c>
      <c r="U257" s="78">
        <f t="shared" ca="1" si="159"/>
        <v>0.19483157313998581</v>
      </c>
      <c r="V257" s="79">
        <f t="shared" ca="1" si="155"/>
        <v>62086.154390339943</v>
      </c>
      <c r="W257" s="79">
        <f t="shared" ca="1" si="143"/>
        <v>423.52029029181335</v>
      </c>
      <c r="X257" s="80">
        <f t="shared" ca="1" si="160"/>
        <v>-2.922473597099787</v>
      </c>
      <c r="Y257" s="80">
        <f t="shared" ca="1" si="161"/>
        <v>-51.738461991949954</v>
      </c>
      <c r="Z257" s="80">
        <f t="shared" ca="1" si="156"/>
        <v>0</v>
      </c>
      <c r="AA257" s="80">
        <f t="shared" ca="1" si="162"/>
        <v>-58.981846670822961</v>
      </c>
      <c r="AB257" s="81">
        <f t="shared" ca="1" si="144"/>
        <v>-487.19780846705765</v>
      </c>
      <c r="AC257" s="79">
        <f t="shared" ca="1" si="145"/>
        <v>61908.834089904827</v>
      </c>
      <c r="AD257" s="35"/>
      <c r="AE257" s="62">
        <f t="shared" ca="1" si="146"/>
        <v>-2500.6101455486773</v>
      </c>
      <c r="AF257" s="62">
        <f t="shared" ca="1" si="147"/>
        <v>317755.65475429152</v>
      </c>
      <c r="AG257" s="35"/>
      <c r="AH257" s="35"/>
      <c r="AR257" s="69">
        <f t="shared" si="157"/>
        <v>22</v>
      </c>
      <c r="AS257" s="70">
        <f t="shared" si="163"/>
        <v>254</v>
      </c>
      <c r="AT257" s="71">
        <f t="shared" si="166"/>
        <v>0.17576700602853393</v>
      </c>
      <c r="AU257" s="72">
        <f t="shared" si="148"/>
        <v>6.8214933659622723E-3</v>
      </c>
      <c r="AV257" s="73">
        <f t="shared" si="158"/>
        <v>1.0068214933659623</v>
      </c>
      <c r="AW257" s="74">
        <f>PRODUCT(AV$4:AV257)</f>
        <v>5.6224999240304454</v>
      </c>
    </row>
    <row r="258" spans="5:49">
      <c r="E258">
        <f t="shared" si="167"/>
        <v>255</v>
      </c>
      <c r="F258" s="64">
        <f t="shared" si="149"/>
        <v>75.319999999999993</v>
      </c>
      <c r="G258" s="55">
        <f t="shared" si="137"/>
        <v>0</v>
      </c>
      <c r="H258" s="78">
        <f t="shared" si="164"/>
        <v>1</v>
      </c>
      <c r="I258" s="79">
        <f t="shared" si="150"/>
        <v>424111.19581351476</v>
      </c>
      <c r="J258" s="79">
        <f t="shared" si="138"/>
        <v>2893.071708672217</v>
      </c>
      <c r="K258" s="80">
        <f t="shared" si="139"/>
        <v>-15</v>
      </c>
      <c r="L258" s="80">
        <f t="shared" si="151"/>
        <v>-353.42599651126233</v>
      </c>
      <c r="M258" s="80">
        <f t="shared" si="165"/>
        <v>0</v>
      </c>
      <c r="N258" s="80">
        <f t="shared" si="152"/>
        <v>-402.90563602283913</v>
      </c>
      <c r="O258" s="81">
        <f t="shared" si="140"/>
        <v>-2500.6101455486769</v>
      </c>
      <c r="P258" s="79">
        <f t="shared" si="141"/>
        <v>423732.32574410422</v>
      </c>
      <c r="Q258" s="35"/>
      <c r="R258">
        <f t="shared" ca="1" si="153"/>
        <v>380</v>
      </c>
      <c r="S258" s="78">
        <f t="shared" ca="1" si="154"/>
        <v>85.32</v>
      </c>
      <c r="T258" s="55">
        <f t="shared" ca="1" si="142"/>
        <v>1.3587845363505768E-2</v>
      </c>
      <c r="U258" s="78">
        <f t="shared" ca="1" si="159"/>
        <v>0.19218423185223113</v>
      </c>
      <c r="V258" s="79">
        <f t="shared" ca="1" si="155"/>
        <v>61067.626425656264</v>
      </c>
      <c r="W258" s="79">
        <f t="shared" ca="1" si="143"/>
        <v>416.57240853767655</v>
      </c>
      <c r="X258" s="80">
        <f t="shared" ca="1" si="160"/>
        <v>-2.8827634777834668</v>
      </c>
      <c r="Y258" s="80">
        <f t="shared" ca="1" si="161"/>
        <v>-50.889688688046888</v>
      </c>
      <c r="Z258" s="80">
        <f t="shared" ca="1" si="156"/>
        <v>0</v>
      </c>
      <c r="AA258" s="80">
        <f t="shared" ca="1" si="162"/>
        <v>-58.014245104373458</v>
      </c>
      <c r="AB258" s="81">
        <f t="shared" ca="1" si="144"/>
        <v>-480.57783998416835</v>
      </c>
      <c r="AC258" s="79">
        <f t="shared" ca="1" si="145"/>
        <v>60891.834296939574</v>
      </c>
      <c r="AD258" s="35"/>
      <c r="AE258" s="62">
        <f t="shared" ca="1" si="146"/>
        <v>-2500.6101455486769</v>
      </c>
      <c r="AF258" s="62">
        <f t="shared" ca="1" si="147"/>
        <v>316840.94844866777</v>
      </c>
      <c r="AG258" s="35"/>
      <c r="AH258" s="35"/>
      <c r="AR258" s="69">
        <f t="shared" si="157"/>
        <v>22</v>
      </c>
      <c r="AS258" s="70">
        <f t="shared" si="163"/>
        <v>255</v>
      </c>
      <c r="AT258" s="71">
        <f t="shared" si="166"/>
        <v>0.17456801256295523</v>
      </c>
      <c r="AU258" s="72">
        <f t="shared" si="148"/>
        <v>6.8214933659622723E-3</v>
      </c>
      <c r="AV258" s="73">
        <f t="shared" si="158"/>
        <v>1.0068214933659623</v>
      </c>
      <c r="AW258" s="74">
        <f>PRODUCT(AV$4:AV258)</f>
        <v>5.6608537699623422</v>
      </c>
    </row>
    <row r="259" spans="5:49">
      <c r="E259">
        <f t="shared" si="167"/>
        <v>256</v>
      </c>
      <c r="F259" s="64">
        <f t="shared" si="149"/>
        <v>75.400000000000006</v>
      </c>
      <c r="G259" s="55">
        <f t="shared" si="137"/>
        <v>0</v>
      </c>
      <c r="H259" s="78">
        <f t="shared" si="164"/>
        <v>1</v>
      </c>
      <c r="I259" s="79">
        <f t="shared" si="150"/>
        <v>423732.32574410422</v>
      </c>
      <c r="J259" s="79">
        <f t="shared" si="138"/>
        <v>2890.4872490071716</v>
      </c>
      <c r="K259" s="80">
        <f t="shared" si="139"/>
        <v>-15</v>
      </c>
      <c r="L259" s="80">
        <f t="shared" si="151"/>
        <v>-353.11027145342018</v>
      </c>
      <c r="M259" s="80">
        <f t="shared" si="165"/>
        <v>0</v>
      </c>
      <c r="N259" s="80">
        <f t="shared" si="152"/>
        <v>-402.54570945689903</v>
      </c>
      <c r="O259" s="81">
        <f t="shared" si="140"/>
        <v>-2500.6101455486769</v>
      </c>
      <c r="P259" s="79">
        <f t="shared" si="141"/>
        <v>423351.54686665244</v>
      </c>
      <c r="Q259" s="35"/>
      <c r="R259">
        <f t="shared" ca="1" si="153"/>
        <v>381</v>
      </c>
      <c r="S259" s="78">
        <f t="shared" ca="1" si="154"/>
        <v>85.4</v>
      </c>
      <c r="T259" s="55">
        <f t="shared" ca="1" si="142"/>
        <v>1.3587845363505768E-2</v>
      </c>
      <c r="U259" s="78">
        <f t="shared" ca="1" si="159"/>
        <v>0.18957286222851888</v>
      </c>
      <c r="V259" s="79">
        <f t="shared" ca="1" si="155"/>
        <v>60064.445468612539</v>
      </c>
      <c r="W259" s="79">
        <f t="shared" ca="1" si="143"/>
        <v>409.72921629434308</v>
      </c>
      <c r="X259" s="80">
        <f t="shared" ca="1" si="160"/>
        <v>-2.8435929334277832</v>
      </c>
      <c r="Y259" s="80">
        <f t="shared" ca="1" si="161"/>
        <v>-50.05370455717712</v>
      </c>
      <c r="Z259" s="80">
        <f t="shared" ca="1" si="156"/>
        <v>0</v>
      </c>
      <c r="AA259" s="80">
        <f t="shared" ca="1" si="162"/>
        <v>-57.061223195181924</v>
      </c>
      <c r="AB259" s="81">
        <f t="shared" ca="1" si="144"/>
        <v>-474.04782260933581</v>
      </c>
      <c r="AC259" s="79">
        <f t="shared" ca="1" si="145"/>
        <v>59890.168341611759</v>
      </c>
      <c r="AD259" s="35"/>
      <c r="AE259" s="62">
        <f t="shared" ca="1" si="146"/>
        <v>-2500.6101455486764</v>
      </c>
      <c r="AF259" s="62">
        <f t="shared" ca="1" si="147"/>
        <v>315921.63370629336</v>
      </c>
      <c r="AG259" s="35"/>
      <c r="AH259" s="35"/>
      <c r="AR259" s="69">
        <f t="shared" si="157"/>
        <v>22</v>
      </c>
      <c r="AS259" s="70">
        <f t="shared" si="163"/>
        <v>256</v>
      </c>
      <c r="AT259" s="71">
        <f t="shared" si="166"/>
        <v>0.17337719802334781</v>
      </c>
      <c r="AU259" s="72">
        <f t="shared" si="148"/>
        <v>6.8214933659622723E-3</v>
      </c>
      <c r="AV259" s="73">
        <f t="shared" si="158"/>
        <v>1.0068214933659623</v>
      </c>
      <c r="AW259" s="74">
        <f>PRODUCT(AV$4:AV259)</f>
        <v>5.6994692463998229</v>
      </c>
    </row>
    <row r="260" spans="5:49">
      <c r="E260">
        <f t="shared" si="167"/>
        <v>257</v>
      </c>
      <c r="F260" s="64">
        <f t="shared" si="149"/>
        <v>75.48</v>
      </c>
      <c r="G260" s="55">
        <f t="shared" ref="G260:G323" si="168">(1-(1-IF(F260&gt;$AJ$90,0,VLOOKUP(ROUND(F260,0),$AJ$4:$AK$90,2,FALSE)))^(1/12))*0</f>
        <v>0</v>
      </c>
      <c r="H260" s="78">
        <f t="shared" si="164"/>
        <v>1</v>
      </c>
      <c r="I260" s="79">
        <f t="shared" si="150"/>
        <v>423351.54686665244</v>
      </c>
      <c r="J260" s="79">
        <f t="shared" ref="J260:J323" si="169">(I260)*$AU260</f>
        <v>2887.8897684207354</v>
      </c>
      <c r="K260" s="80">
        <f t="shared" ref="K260:K323" si="170">IF(I260=0,0,-$C$19)*H260</f>
        <v>-15</v>
      </c>
      <c r="L260" s="80">
        <f t="shared" si="151"/>
        <v>-352.79295572221037</v>
      </c>
      <c r="M260" s="80">
        <f t="shared" si="165"/>
        <v>0</v>
      </c>
      <c r="N260" s="80">
        <f t="shared" si="152"/>
        <v>-402.18396952331994</v>
      </c>
      <c r="O260" s="81">
        <f t="shared" ref="O260:O323" si="171">-MIN(
IF(MOD(E260-1,IF($C$7="Annual",12,1))=0,1,0)
*IF(F260&lt;=$C$6,H260*$C$5*$C$4/IF($C$7="Monthly",12,1),$C$12),I260)</f>
        <v>-2500.6101455486769</v>
      </c>
      <c r="P260" s="79">
        <f t="shared" ref="P260:P323" si="172">SUM(I260:O260)</f>
        <v>422968.84956427902</v>
      </c>
      <c r="Q260" s="35"/>
      <c r="R260">
        <f t="shared" ca="1" si="153"/>
        <v>382</v>
      </c>
      <c r="S260" s="78">
        <f t="shared" ca="1" si="154"/>
        <v>85.48</v>
      </c>
      <c r="T260" s="55">
        <f t="shared" ref="T260:T323" ca="1" si="173">(1-(1-IF(S260&gt;$AJ$90,0,VLOOKUP(ROUND(S260,0),$AJ$4:$AK$90,2,FALSE)))^(1/12))</f>
        <v>1.3587845363505768E-2</v>
      </c>
      <c r="U260" s="78">
        <f t="shared" ca="1" si="159"/>
        <v>0.18699697549144059</v>
      </c>
      <c r="V260" s="79">
        <f t="shared" ca="1" si="155"/>
        <v>59076.389995391612</v>
      </c>
      <c r="W260" s="79">
        <f t="shared" ref="W260:W323" ca="1" si="174">(V260)*$AU260</f>
        <v>402.98920243856384</v>
      </c>
      <c r="X260" s="80">
        <f t="shared" ca="1" si="160"/>
        <v>-2.8049546323716088</v>
      </c>
      <c r="Y260" s="80">
        <f t="shared" ca="1" si="161"/>
        <v>-49.23032499615968</v>
      </c>
      <c r="Z260" s="80">
        <f t="shared" ca="1" si="156"/>
        <v>0</v>
      </c>
      <c r="AA260" s="80">
        <f t="shared" ca="1" si="162"/>
        <v>-56.122570495622035</v>
      </c>
      <c r="AB260" s="81">
        <f t="shared" ref="AB260:AB323" ca="1" si="175">-MIN(IF(MOD(R260,IF($C$7="Annual",12,1))=0,1,0)*$C$39*U260/IF($C$7="Monthly",12,1),V260)</f>
        <v>-467.60653410081363</v>
      </c>
      <c r="AC260" s="79">
        <f t="shared" ref="AC260:AC323" ca="1" si="176">SUM(V260:AB260)</f>
        <v>58903.6148136052</v>
      </c>
      <c r="AD260" s="35"/>
      <c r="AE260" s="62">
        <f t="shared" ref="AE260:AE323" ca="1" si="177">AB260/U260</f>
        <v>-2500.6101455486769</v>
      </c>
      <c r="AF260" s="62">
        <f t="shared" ref="AF260:AF323" ca="1" si="178">AC260/U260</f>
        <v>314997.68730912654</v>
      </c>
      <c r="AG260" s="35"/>
      <c r="AH260" s="35"/>
      <c r="AR260" s="69">
        <f t="shared" si="157"/>
        <v>22</v>
      </c>
      <c r="AS260" s="70">
        <f t="shared" si="163"/>
        <v>257</v>
      </c>
      <c r="AT260" s="71">
        <f t="shared" si="166"/>
        <v>0.17219450661722241</v>
      </c>
      <c r="AU260" s="72">
        <f t="shared" ref="AU260:AU323" si="179">((1+$AH$21)^(1/12))-1</f>
        <v>6.8214933659622723E-3</v>
      </c>
      <c r="AV260" s="73">
        <f t="shared" si="158"/>
        <v>1.0068214933659623</v>
      </c>
      <c r="AW260" s="74">
        <f>PRODUCT(AV$4:AV260)</f>
        <v>5.7383481380536452</v>
      </c>
    </row>
    <row r="261" spans="5:49">
      <c r="E261">
        <f t="shared" si="167"/>
        <v>258</v>
      </c>
      <c r="F261" s="64">
        <f t="shared" ref="F261:F324" si="180">ROUND((E261-E260)/12+F260,2)</f>
        <v>75.56</v>
      </c>
      <c r="G261" s="55">
        <f t="shared" si="168"/>
        <v>0</v>
      </c>
      <c r="H261" s="78">
        <f t="shared" si="164"/>
        <v>1</v>
      </c>
      <c r="I261" s="79">
        <f t="shared" ref="I261:I324" si="181">MAX(P260,0)*(1-G261)</f>
        <v>422968.84956427902</v>
      </c>
      <c r="J261" s="79">
        <f t="shared" si="169"/>
        <v>2885.2792013114235</v>
      </c>
      <c r="K261" s="80">
        <f t="shared" si="170"/>
        <v>-15</v>
      </c>
      <c r="L261" s="80">
        <f t="shared" ref="L261:L324" si="182">IF(OR(I260+O260=0,K260=0),0,-I261*($C$16/12))</f>
        <v>-352.47404130356585</v>
      </c>
      <c r="M261" s="80">
        <f t="shared" si="165"/>
        <v>0</v>
      </c>
      <c r="N261" s="80">
        <f t="shared" ref="N261:N324" si="183">IF(OR(I260+O260=0,K260=0),0,-I261*($C$18*(1+$C$20))/12)</f>
        <v>-401.82040708606513</v>
      </c>
      <c r="O261" s="81">
        <f t="shared" si="171"/>
        <v>-2500.6101455486769</v>
      </c>
      <c r="P261" s="79">
        <f t="shared" si="172"/>
        <v>422584.22417165217</v>
      </c>
      <c r="Q261" s="35"/>
      <c r="R261">
        <f t="shared" ref="R261:R324" ca="1" si="184">R260+1</f>
        <v>383</v>
      </c>
      <c r="S261" s="78">
        <f t="shared" ref="S261:S324" ca="1" si="185">ROUND((R261-R260)/12+S260,2)</f>
        <v>85.56</v>
      </c>
      <c r="T261" s="55">
        <f t="shared" ca="1" si="173"/>
        <v>1.4888670873660748E-2</v>
      </c>
      <c r="U261" s="78">
        <f t="shared" ca="1" si="159"/>
        <v>0.18421283906897853</v>
      </c>
      <c r="V261" s="79">
        <f t="shared" ref="V261:V324" ca="1" si="186">MAX(AC260,0)*(1-T261)</f>
        <v>58026.618279376547</v>
      </c>
      <c r="W261" s="79">
        <f t="shared" ca="1" si="174"/>
        <v>395.82819164199225</v>
      </c>
      <c r="X261" s="80">
        <f t="shared" ca="1" si="160"/>
        <v>-2.7631925860346782</v>
      </c>
      <c r="Y261" s="80">
        <f t="shared" ca="1" si="161"/>
        <v>-48.355515232813794</v>
      </c>
      <c r="Z261" s="80">
        <f t="shared" ref="Z261:Z324" ca="1" si="187">-IF(MOD(R261-1,12)=0,1,0)*V261*($C$17)</f>
        <v>0</v>
      </c>
      <c r="AA261" s="80">
        <f t="shared" ca="1" si="162"/>
        <v>-55.125287365407729</v>
      </c>
      <c r="AB261" s="81">
        <f t="shared" ca="1" si="175"/>
        <v>-460.64449431621341</v>
      </c>
      <c r="AC261" s="79">
        <f t="shared" ca="1" si="176"/>
        <v>57855.557981518075</v>
      </c>
      <c r="AD261" s="35"/>
      <c r="AE261" s="62">
        <f t="shared" ca="1" si="177"/>
        <v>-2500.6101455486769</v>
      </c>
      <c r="AF261" s="62">
        <f t="shared" ca="1" si="178"/>
        <v>314069.08592214924</v>
      </c>
      <c r="AG261" s="35"/>
      <c r="AH261" s="35"/>
      <c r="AR261" s="69">
        <f t="shared" ref="AR261:AR324" si="188">ROUNDDOWN((AS261-1)/12,0)+1</f>
        <v>22</v>
      </c>
      <c r="AS261" s="70">
        <f t="shared" si="163"/>
        <v>258</v>
      </c>
      <c r="AT261" s="71">
        <f t="shared" si="166"/>
        <v>0.17101988293267789</v>
      </c>
      <c r="AU261" s="72">
        <f t="shared" si="179"/>
        <v>6.8214933659622723E-3</v>
      </c>
      <c r="AV261" s="73">
        <f t="shared" ref="AV261:AV324" si="189">(1+AU261)</f>
        <v>1.0068214933659623</v>
      </c>
      <c r="AW261" s="74">
        <f>PRODUCT(AV$4:AV261)</f>
        <v>5.77749224180896</v>
      </c>
    </row>
    <row r="262" spans="5:49">
      <c r="E262">
        <f t="shared" si="167"/>
        <v>259</v>
      </c>
      <c r="F262" s="64">
        <f t="shared" si="180"/>
        <v>75.64</v>
      </c>
      <c r="G262" s="55">
        <f t="shared" si="168"/>
        <v>0</v>
      </c>
      <c r="H262" s="78">
        <f t="shared" si="164"/>
        <v>1</v>
      </c>
      <c r="I262" s="79">
        <f t="shared" si="181"/>
        <v>422584.22417165217</v>
      </c>
      <c r="J262" s="79">
        <f t="shared" si="169"/>
        <v>2882.6554817472388</v>
      </c>
      <c r="K262" s="80">
        <f t="shared" si="170"/>
        <v>-15</v>
      </c>
      <c r="L262" s="80">
        <f t="shared" si="182"/>
        <v>-352.15352014304352</v>
      </c>
      <c r="M262" s="80">
        <f t="shared" si="165"/>
        <v>0</v>
      </c>
      <c r="N262" s="80">
        <f t="shared" si="183"/>
        <v>-401.45501296306969</v>
      </c>
      <c r="O262" s="81">
        <f t="shared" si="171"/>
        <v>-2500.6101455486769</v>
      </c>
      <c r="P262" s="79">
        <f t="shared" si="172"/>
        <v>422197.66097474459</v>
      </c>
      <c r="Q262" s="35"/>
      <c r="R262">
        <f t="shared" ca="1" si="184"/>
        <v>384</v>
      </c>
      <c r="S262" s="78">
        <f t="shared" ca="1" si="185"/>
        <v>85.64</v>
      </c>
      <c r="T262" s="55">
        <f t="shared" ca="1" si="173"/>
        <v>1.4888670873660748E-2</v>
      </c>
      <c r="U262" s="78">
        <f t="shared" ref="U262:U325" ca="1" si="190">U261*(1-T262)</f>
        <v>0.18147015473737788</v>
      </c>
      <c r="V262" s="79">
        <f t="shared" ca="1" si="186"/>
        <v>56994.165620519256</v>
      </c>
      <c r="W262" s="79">
        <f t="shared" ca="1" si="174"/>
        <v>388.78532267892712</v>
      </c>
      <c r="X262" s="80">
        <f t="shared" ref="X262:X325" ca="1" si="191">IF(V262=0,0,-$C$19)*U262</f>
        <v>-2.722052321060668</v>
      </c>
      <c r="Y262" s="80">
        <f t="shared" ref="Y262:Y325" ca="1" si="192">IF(OR(V261+AB261=0,X261=0),0,-V262*($C$16/12))</f>
        <v>-47.495138017099386</v>
      </c>
      <c r="Z262" s="80">
        <f t="shared" ca="1" si="187"/>
        <v>0</v>
      </c>
      <c r="AA262" s="80">
        <f t="shared" ref="AA262:AA325" ca="1" si="193">IF(OR(V261+AB261=0,X261=0),0,-V262*($C$18*(1+$C$20))/12)</f>
        <v>-54.1444573394933</v>
      </c>
      <c r="AB262" s="81">
        <f t="shared" ca="1" si="175"/>
        <v>-453.78611005057542</v>
      </c>
      <c r="AC262" s="79">
        <f t="shared" ca="1" si="176"/>
        <v>56824.803185469958</v>
      </c>
      <c r="AD262" s="35"/>
      <c r="AE262" s="62">
        <f t="shared" ca="1" si="177"/>
        <v>-2500.6101455486769</v>
      </c>
      <c r="AF262" s="62">
        <f t="shared" ca="1" si="178"/>
        <v>313135.80609277787</v>
      </c>
      <c r="AG262" s="35"/>
      <c r="AH262" s="35"/>
      <c r="AR262" s="69">
        <f t="shared" si="188"/>
        <v>22</v>
      </c>
      <c r="AS262" s="70">
        <f t="shared" ref="AS262:AS325" si="194">AS261+1</f>
        <v>259</v>
      </c>
      <c r="AT262" s="71">
        <f t="shared" si="166"/>
        <v>0.16985327193580499</v>
      </c>
      <c r="AU262" s="72">
        <f t="shared" si="179"/>
        <v>6.8214933659622723E-3</v>
      </c>
      <c r="AV262" s="73">
        <f t="shared" si="189"/>
        <v>1.0068214933659623</v>
      </c>
      <c r="AW262" s="74">
        <f>PRODUCT(AV$4:AV262)</f>
        <v>5.8169033668083587</v>
      </c>
    </row>
    <row r="263" spans="5:49">
      <c r="E263">
        <f t="shared" si="167"/>
        <v>260</v>
      </c>
      <c r="F263" s="64">
        <f t="shared" si="180"/>
        <v>75.72</v>
      </c>
      <c r="G263" s="55">
        <f t="shared" si="168"/>
        <v>0</v>
      </c>
      <c r="H263" s="78">
        <f t="shared" ref="H263:H326" si="195">H262*(1-G263)</f>
        <v>1</v>
      </c>
      <c r="I263" s="79">
        <f t="shared" si="181"/>
        <v>422197.66097474459</v>
      </c>
      <c r="J263" s="79">
        <f t="shared" si="169"/>
        <v>2880.0185434640089</v>
      </c>
      <c r="K263" s="80">
        <f t="shared" si="170"/>
        <v>-15</v>
      </c>
      <c r="L263" s="80">
        <f t="shared" si="182"/>
        <v>-351.83138414562052</v>
      </c>
      <c r="M263" s="80">
        <f t="shared" si="165"/>
        <v>0</v>
      </c>
      <c r="N263" s="80">
        <f t="shared" si="183"/>
        <v>-401.08777792600745</v>
      </c>
      <c r="O263" s="81">
        <f t="shared" si="171"/>
        <v>-2500.6101455486769</v>
      </c>
      <c r="P263" s="79">
        <f t="shared" si="172"/>
        <v>421809.15021058836</v>
      </c>
      <c r="Q263" s="35"/>
      <c r="R263">
        <f t="shared" ca="1" si="184"/>
        <v>385</v>
      </c>
      <c r="S263" s="78">
        <f t="shared" ca="1" si="185"/>
        <v>85.72</v>
      </c>
      <c r="T263" s="55">
        <f t="shared" ca="1" si="173"/>
        <v>1.4888670873660748E-2</v>
      </c>
      <c r="U263" s="78">
        <f t="shared" ca="1" si="190"/>
        <v>0.17876830533010077</v>
      </c>
      <c r="V263" s="79">
        <f t="shared" ca="1" si="186"/>
        <v>55978.757393380947</v>
      </c>
      <c r="W263" s="79">
        <f t="shared" ca="1" si="174"/>
        <v>381.85872219375966</v>
      </c>
      <c r="X263" s="80">
        <f t="shared" ca="1" si="191"/>
        <v>-2.6815245799515117</v>
      </c>
      <c r="Y263" s="80">
        <f t="shared" ca="1" si="192"/>
        <v>-46.648964494484126</v>
      </c>
      <c r="Z263" s="80">
        <f t="shared" ca="1" si="187"/>
        <v>-419.84068045035707</v>
      </c>
      <c r="AA263" s="80">
        <f t="shared" ca="1" si="193"/>
        <v>-53.179819523711906</v>
      </c>
      <c r="AB263" s="81">
        <f t="shared" ca="1" si="175"/>
        <v>-447.02983801099361</v>
      </c>
      <c r="AC263" s="79">
        <f t="shared" ca="1" si="176"/>
        <v>55391.235288515214</v>
      </c>
      <c r="AD263" s="35"/>
      <c r="AE263" s="62">
        <f t="shared" ca="1" si="177"/>
        <v>-2500.6101455486769</v>
      </c>
      <c r="AF263" s="62">
        <f t="shared" ca="1" si="178"/>
        <v>309849.30570457509</v>
      </c>
      <c r="AG263" s="35"/>
      <c r="AH263" s="35"/>
      <c r="AR263" s="69">
        <f t="shared" si="188"/>
        <v>22</v>
      </c>
      <c r="AS263" s="70">
        <f t="shared" si="194"/>
        <v>260</v>
      </c>
      <c r="AT263" s="71">
        <f t="shared" si="166"/>
        <v>0.16869461896810792</v>
      </c>
      <c r="AU263" s="72">
        <f t="shared" si="179"/>
        <v>6.8214933659622723E-3</v>
      </c>
      <c r="AV263" s="73">
        <f t="shared" si="189"/>
        <v>1.0068214933659623</v>
      </c>
      <c r="AW263" s="74">
        <f>PRODUCT(AV$4:AV263)</f>
        <v>5.8565833345354852</v>
      </c>
    </row>
    <row r="264" spans="5:49">
      <c r="E264">
        <f t="shared" si="167"/>
        <v>261</v>
      </c>
      <c r="F264" s="64">
        <f t="shared" si="180"/>
        <v>75.8</v>
      </c>
      <c r="G264" s="55">
        <f t="shared" si="168"/>
        <v>0</v>
      </c>
      <c r="H264" s="78">
        <f t="shared" si="195"/>
        <v>1</v>
      </c>
      <c r="I264" s="79">
        <f t="shared" si="181"/>
        <v>421809.15021058836</v>
      </c>
      <c r="J264" s="79">
        <f t="shared" si="169"/>
        <v>2877.3683198637123</v>
      </c>
      <c r="K264" s="80">
        <f t="shared" si="170"/>
        <v>-15</v>
      </c>
      <c r="L264" s="80">
        <f t="shared" si="182"/>
        <v>-351.50762517549032</v>
      </c>
      <c r="M264" s="80">
        <f t="shared" si="165"/>
        <v>0</v>
      </c>
      <c r="N264" s="80">
        <f t="shared" si="183"/>
        <v>-400.71869270005897</v>
      </c>
      <c r="O264" s="81">
        <f t="shared" si="171"/>
        <v>-2500.6101455486769</v>
      </c>
      <c r="P264" s="79">
        <f t="shared" si="172"/>
        <v>421418.68206702784</v>
      </c>
      <c r="Q264" s="35"/>
      <c r="R264">
        <f t="shared" ca="1" si="184"/>
        <v>386</v>
      </c>
      <c r="S264" s="78">
        <f t="shared" ca="1" si="185"/>
        <v>85.8</v>
      </c>
      <c r="T264" s="55">
        <f t="shared" ca="1" si="173"/>
        <v>1.4888670873660748E-2</v>
      </c>
      <c r="U264" s="78">
        <f t="shared" ca="1" si="190"/>
        <v>0.17610668286939882</v>
      </c>
      <c r="V264" s="79">
        <f t="shared" ca="1" si="186"/>
        <v>54566.533417019011</v>
      </c>
      <c r="W264" s="79">
        <f t="shared" ca="1" si="174"/>
        <v>372.2252457077538</v>
      </c>
      <c r="X264" s="80">
        <f t="shared" ca="1" si="191"/>
        <v>-2.6416002430409824</v>
      </c>
      <c r="Y264" s="80">
        <f t="shared" ca="1" si="192"/>
        <v>-45.472111180849176</v>
      </c>
      <c r="Z264" s="80">
        <f t="shared" ca="1" si="187"/>
        <v>0</v>
      </c>
      <c r="AA264" s="80">
        <f t="shared" ca="1" si="193"/>
        <v>-51.838206746168076</v>
      </c>
      <c r="AB264" s="81">
        <f t="shared" ca="1" si="175"/>
        <v>-440.37415788214207</v>
      </c>
      <c r="AC264" s="79">
        <f t="shared" ca="1" si="176"/>
        <v>54398.432586674564</v>
      </c>
      <c r="AD264" s="35"/>
      <c r="AE264" s="62">
        <f t="shared" ca="1" si="177"/>
        <v>-2500.6101455486769</v>
      </c>
      <c r="AF264" s="62">
        <f t="shared" ca="1" si="178"/>
        <v>308894.76594716503</v>
      </c>
      <c r="AG264" s="35"/>
      <c r="AH264" s="35"/>
      <c r="AR264" s="69">
        <f t="shared" si="188"/>
        <v>22</v>
      </c>
      <c r="AS264" s="70">
        <f t="shared" si="194"/>
        <v>261</v>
      </c>
      <c r="AT264" s="71">
        <f t="shared" si="166"/>
        <v>0.16754386974394345</v>
      </c>
      <c r="AU264" s="72">
        <f t="shared" si="179"/>
        <v>6.8214933659622723E-3</v>
      </c>
      <c r="AV264" s="73">
        <f t="shared" si="189"/>
        <v>1.0068214933659623</v>
      </c>
      <c r="AW264" s="74">
        <f>PRODUCT(AV$4:AV264)</f>
        <v>5.8965339788992246</v>
      </c>
    </row>
    <row r="265" spans="5:49">
      <c r="E265">
        <f t="shared" si="167"/>
        <v>262</v>
      </c>
      <c r="F265" s="64">
        <f t="shared" si="180"/>
        <v>75.88</v>
      </c>
      <c r="G265" s="55">
        <f t="shared" si="168"/>
        <v>0</v>
      </c>
      <c r="H265" s="78">
        <f t="shared" si="195"/>
        <v>1</v>
      </c>
      <c r="I265" s="79">
        <f t="shared" si="181"/>
        <v>421418.68206702784</v>
      </c>
      <c r="J265" s="79">
        <f t="shared" si="169"/>
        <v>2874.7047440127944</v>
      </c>
      <c r="K265" s="80">
        <f t="shared" si="170"/>
        <v>-15</v>
      </c>
      <c r="L265" s="80">
        <f t="shared" si="182"/>
        <v>-351.18223505585655</v>
      </c>
      <c r="M265" s="80">
        <f t="shared" si="165"/>
        <v>0</v>
      </c>
      <c r="N265" s="80">
        <f t="shared" si="183"/>
        <v>-400.34774796367651</v>
      </c>
      <c r="O265" s="81">
        <f t="shared" si="171"/>
        <v>-2500.6101455486769</v>
      </c>
      <c r="P265" s="79">
        <f t="shared" si="172"/>
        <v>421026.24668247247</v>
      </c>
      <c r="Q265" s="35"/>
      <c r="R265">
        <f t="shared" ca="1" si="184"/>
        <v>387</v>
      </c>
      <c r="S265" s="78">
        <f t="shared" ca="1" si="185"/>
        <v>85.88</v>
      </c>
      <c r="T265" s="55">
        <f t="shared" ca="1" si="173"/>
        <v>1.4888670873660748E-2</v>
      </c>
      <c r="U265" s="78">
        <f t="shared" ca="1" si="190"/>
        <v>0.17348468842950418</v>
      </c>
      <c r="V265" s="79">
        <f t="shared" ca="1" si="186"/>
        <v>53588.512227848543</v>
      </c>
      <c r="W265" s="79">
        <f t="shared" ca="1" si="174"/>
        <v>365.55368065405696</v>
      </c>
      <c r="X265" s="80">
        <f t="shared" ca="1" si="191"/>
        <v>-2.6022703264425626</v>
      </c>
      <c r="Y265" s="80">
        <f t="shared" ca="1" si="192"/>
        <v>-44.657093523207124</v>
      </c>
      <c r="Z265" s="80">
        <f t="shared" ca="1" si="187"/>
        <v>0</v>
      </c>
      <c r="AA265" s="80">
        <f t="shared" ca="1" si="193"/>
        <v>-50.909086616456129</v>
      </c>
      <c r="AB265" s="81">
        <f t="shared" ca="1" si="175"/>
        <v>-433.81757198416932</v>
      </c>
      <c r="AC265" s="79">
        <f t="shared" ca="1" si="176"/>
        <v>53422.079886052321</v>
      </c>
      <c r="AD265" s="35"/>
      <c r="AE265" s="62">
        <f t="shared" ca="1" si="177"/>
        <v>-2500.6101455486769</v>
      </c>
      <c r="AF265" s="62">
        <f t="shared" ca="1" si="178"/>
        <v>307935.41706569958</v>
      </c>
      <c r="AG265" s="35"/>
      <c r="AH265" s="35"/>
      <c r="AR265" s="69">
        <f t="shared" si="188"/>
        <v>22</v>
      </c>
      <c r="AS265" s="70">
        <f t="shared" si="194"/>
        <v>262</v>
      </c>
      <c r="AT265" s="71">
        <f t="shared" si="166"/>
        <v>0.16640097034797749</v>
      </c>
      <c r="AU265" s="72">
        <f t="shared" si="179"/>
        <v>6.8214933659622723E-3</v>
      </c>
      <c r="AV265" s="73">
        <f t="shared" si="189"/>
        <v>1.0068214933659623</v>
      </c>
      <c r="AW265" s="74">
        <f>PRODUCT(AV$4:AV265)</f>
        <v>5.936757146318457</v>
      </c>
    </row>
    <row r="266" spans="5:49">
      <c r="E266">
        <f t="shared" si="167"/>
        <v>263</v>
      </c>
      <c r="F266" s="64">
        <f t="shared" si="180"/>
        <v>75.959999999999994</v>
      </c>
      <c r="G266" s="55">
        <f t="shared" si="168"/>
        <v>0</v>
      </c>
      <c r="H266" s="78">
        <f t="shared" si="195"/>
        <v>1</v>
      </c>
      <c r="I266" s="79">
        <f t="shared" si="181"/>
        <v>421026.24668247247</v>
      </c>
      <c r="J266" s="79">
        <f t="shared" si="169"/>
        <v>2872.0277486404811</v>
      </c>
      <c r="K266" s="80">
        <f t="shared" si="170"/>
        <v>-15</v>
      </c>
      <c r="L266" s="80">
        <f t="shared" si="182"/>
        <v>-350.85520556872706</v>
      </c>
      <c r="M266" s="80">
        <f t="shared" si="165"/>
        <v>0</v>
      </c>
      <c r="N266" s="80">
        <f t="shared" si="183"/>
        <v>-399.97493434834888</v>
      </c>
      <c r="O266" s="81">
        <f t="shared" si="171"/>
        <v>-2500.6101455486769</v>
      </c>
      <c r="P266" s="79">
        <f t="shared" si="172"/>
        <v>420631.83414564718</v>
      </c>
      <c r="Q266" s="35"/>
      <c r="R266">
        <f t="shared" ca="1" si="184"/>
        <v>388</v>
      </c>
      <c r="S266" s="78">
        <f t="shared" ca="1" si="185"/>
        <v>85.96</v>
      </c>
      <c r="T266" s="55">
        <f t="shared" ca="1" si="173"/>
        <v>1.4888670873660748E-2</v>
      </c>
      <c r="U266" s="78">
        <f t="shared" ca="1" si="190"/>
        <v>0.17090173200185771</v>
      </c>
      <c r="V266" s="79">
        <f t="shared" ca="1" si="186"/>
        <v>52626.696121242479</v>
      </c>
      <c r="W266" s="79">
        <f t="shared" ca="1" si="174"/>
        <v>358.99265846356803</v>
      </c>
      <c r="X266" s="80">
        <f t="shared" ca="1" si="191"/>
        <v>-2.5635259800278658</v>
      </c>
      <c r="Y266" s="80">
        <f t="shared" ca="1" si="192"/>
        <v>-43.8555801010354</v>
      </c>
      <c r="Z266" s="80">
        <f t="shared" ca="1" si="187"/>
        <v>0</v>
      </c>
      <c r="AA266" s="80">
        <f t="shared" ca="1" si="193"/>
        <v>-49.995361315180361</v>
      </c>
      <c r="AB266" s="81">
        <f t="shared" ca="1" si="175"/>
        <v>-427.35860493568634</v>
      </c>
      <c r="AC266" s="79">
        <f t="shared" ca="1" si="176"/>
        <v>52461.915707374115</v>
      </c>
      <c r="AD266" s="35"/>
      <c r="AE266" s="62">
        <f t="shared" ca="1" si="177"/>
        <v>-2500.6101455486769</v>
      </c>
      <c r="AF266" s="62">
        <f t="shared" ca="1" si="178"/>
        <v>306971.2348310423</v>
      </c>
      <c r="AG266" s="35"/>
      <c r="AH266" s="35"/>
      <c r="AR266" s="69">
        <f t="shared" si="188"/>
        <v>22</v>
      </c>
      <c r="AS266" s="70">
        <f t="shared" si="194"/>
        <v>263</v>
      </c>
      <c r="AT266" s="71">
        <f t="shared" si="166"/>
        <v>0.16526586723265907</v>
      </c>
      <c r="AU266" s="72">
        <f t="shared" si="179"/>
        <v>6.8214933659622723E-3</v>
      </c>
      <c r="AV266" s="73">
        <f t="shared" si="189"/>
        <v>1.0068214933659623</v>
      </c>
      <c r="AW266" s="74">
        <f>PRODUCT(AV$4:AV266)</f>
        <v>5.9772546958073978</v>
      </c>
    </row>
    <row r="267" spans="5:49">
      <c r="E267">
        <f t="shared" si="167"/>
        <v>264</v>
      </c>
      <c r="F267" s="64">
        <f t="shared" si="180"/>
        <v>76.040000000000006</v>
      </c>
      <c r="G267" s="55">
        <f t="shared" si="168"/>
        <v>0</v>
      </c>
      <c r="H267" s="78">
        <f t="shared" si="195"/>
        <v>1</v>
      </c>
      <c r="I267" s="79">
        <f t="shared" si="181"/>
        <v>420631.83414564718</v>
      </c>
      <c r="J267" s="79">
        <f t="shared" si="169"/>
        <v>2869.3372661370749</v>
      </c>
      <c r="K267" s="80">
        <f t="shared" si="170"/>
        <v>-15</v>
      </c>
      <c r="L267" s="80">
        <f t="shared" si="182"/>
        <v>-350.52652845470601</v>
      </c>
      <c r="M267" s="80">
        <f t="shared" si="165"/>
        <v>0</v>
      </c>
      <c r="N267" s="80">
        <f t="shared" si="183"/>
        <v>-399.60024243836489</v>
      </c>
      <c r="O267" s="81">
        <f t="shared" si="171"/>
        <v>-2500.6101455486769</v>
      </c>
      <c r="P267" s="79">
        <f t="shared" si="172"/>
        <v>420235.43449534249</v>
      </c>
      <c r="Q267" s="35"/>
      <c r="R267">
        <f t="shared" ca="1" si="184"/>
        <v>389</v>
      </c>
      <c r="S267" s="78">
        <f t="shared" ca="1" si="185"/>
        <v>86.04</v>
      </c>
      <c r="T267" s="55">
        <f t="shared" ca="1" si="173"/>
        <v>1.4888670873660748E-2</v>
      </c>
      <c r="U267" s="78">
        <f t="shared" ca="1" si="190"/>
        <v>0.16835723236234348</v>
      </c>
      <c r="V267" s="79">
        <f t="shared" ca="1" si="186"/>
        <v>51680.827511005285</v>
      </c>
      <c r="W267" s="79">
        <f t="shared" ca="1" si="174"/>
        <v>352.54042201376302</v>
      </c>
      <c r="X267" s="80">
        <f t="shared" ca="1" si="191"/>
        <v>-2.5253584854351523</v>
      </c>
      <c r="Y267" s="80">
        <f t="shared" ca="1" si="192"/>
        <v>-43.067356259171071</v>
      </c>
      <c r="Z267" s="80">
        <f t="shared" ca="1" si="187"/>
        <v>0</v>
      </c>
      <c r="AA267" s="80">
        <f t="shared" ca="1" si="193"/>
        <v>-49.096786135455034</v>
      </c>
      <c r="AB267" s="81">
        <f t="shared" ca="1" si="175"/>
        <v>-420.99580332177214</v>
      </c>
      <c r="AC267" s="79">
        <f t="shared" ca="1" si="176"/>
        <v>51517.682628817216</v>
      </c>
      <c r="AD267" s="35"/>
      <c r="AE267" s="62">
        <f t="shared" ca="1" si="177"/>
        <v>-2500.6101455486769</v>
      </c>
      <c r="AF267" s="62">
        <f t="shared" ca="1" si="178"/>
        <v>306002.19489198609</v>
      </c>
      <c r="AG267" s="35"/>
      <c r="AH267" s="35"/>
      <c r="AR267" s="69">
        <f t="shared" si="188"/>
        <v>22</v>
      </c>
      <c r="AS267" s="70">
        <f t="shared" si="194"/>
        <v>264</v>
      </c>
      <c r="AT267" s="71">
        <f t="shared" si="166"/>
        <v>0.16413850721571149</v>
      </c>
      <c r="AU267" s="72">
        <f t="shared" si="179"/>
        <v>6.8214933659622723E-3</v>
      </c>
      <c r="AV267" s="73">
        <f t="shared" si="189"/>
        <v>1.0068214933659623</v>
      </c>
      <c r="AW267" s="74">
        <f>PRODUCT(AV$4:AV267)</f>
        <v>6.0180284990615149</v>
      </c>
    </row>
    <row r="268" spans="5:49">
      <c r="E268">
        <f t="shared" si="167"/>
        <v>265</v>
      </c>
      <c r="F268" s="64">
        <f t="shared" si="180"/>
        <v>76.12</v>
      </c>
      <c r="G268" s="55">
        <f t="shared" si="168"/>
        <v>0</v>
      </c>
      <c r="H268" s="78">
        <f t="shared" si="195"/>
        <v>1</v>
      </c>
      <c r="I268" s="79">
        <f t="shared" si="181"/>
        <v>420235.43449534249</v>
      </c>
      <c r="J268" s="79">
        <f t="shared" si="169"/>
        <v>2866.6332285522517</v>
      </c>
      <c r="K268" s="80">
        <f t="shared" si="170"/>
        <v>-15</v>
      </c>
      <c r="L268" s="80">
        <f t="shared" si="182"/>
        <v>-350.19619541278541</v>
      </c>
      <c r="M268" s="80">
        <f t="shared" si="165"/>
        <v>-3151.7657587150684</v>
      </c>
      <c r="N268" s="80">
        <f t="shared" si="183"/>
        <v>-399.2236627705754</v>
      </c>
      <c r="O268" s="81">
        <f t="shared" si="171"/>
        <v>-2500.6101455486769</v>
      </c>
      <c r="P268" s="79">
        <f t="shared" si="172"/>
        <v>416685.27196144767</v>
      </c>
      <c r="Q268" s="35"/>
      <c r="R268">
        <f t="shared" ca="1" si="184"/>
        <v>390</v>
      </c>
      <c r="S268" s="78">
        <f t="shared" ca="1" si="185"/>
        <v>86.12</v>
      </c>
      <c r="T268" s="55">
        <f t="shared" ca="1" si="173"/>
        <v>1.4888670873660748E-2</v>
      </c>
      <c r="U268" s="78">
        <f t="shared" ca="1" si="190"/>
        <v>0.16585061694050013</v>
      </c>
      <c r="V268" s="79">
        <f t="shared" ca="1" si="186"/>
        <v>50750.652807983046</v>
      </c>
      <c r="W268" s="79">
        <f t="shared" ca="1" si="174"/>
        <v>346.19524144791092</v>
      </c>
      <c r="X268" s="80">
        <f t="shared" ca="1" si="191"/>
        <v>-2.4877592541075018</v>
      </c>
      <c r="Y268" s="80">
        <f t="shared" ca="1" si="192"/>
        <v>-42.292210673319211</v>
      </c>
      <c r="Z268" s="80">
        <f t="shared" ca="1" si="187"/>
        <v>0</v>
      </c>
      <c r="AA268" s="80">
        <f t="shared" ca="1" si="193"/>
        <v>-48.213120167583902</v>
      </c>
      <c r="AB268" s="81">
        <f t="shared" ca="1" si="175"/>
        <v>-414.72773536692188</v>
      </c>
      <c r="AC268" s="79">
        <f t="shared" ca="1" si="176"/>
        <v>50589.127223969022</v>
      </c>
      <c r="AD268" s="35"/>
      <c r="AE268" s="62">
        <f t="shared" ca="1" si="177"/>
        <v>-2500.6101455486769</v>
      </c>
      <c r="AF268" s="62">
        <f t="shared" ca="1" si="178"/>
        <v>305028.2727746389</v>
      </c>
      <c r="AG268" s="35"/>
      <c r="AH268" s="35"/>
      <c r="AR268" s="69">
        <f t="shared" si="188"/>
        <v>23</v>
      </c>
      <c r="AS268" s="70">
        <f t="shared" si="194"/>
        <v>265</v>
      </c>
      <c r="AT268" s="71">
        <f t="shared" si="166"/>
        <v>0.16301883747764057</v>
      </c>
      <c r="AU268" s="72">
        <f t="shared" si="179"/>
        <v>6.8214933659622723E-3</v>
      </c>
      <c r="AV268" s="73">
        <f t="shared" si="189"/>
        <v>1.0068214933659623</v>
      </c>
      <c r="AW268" s="74">
        <f>PRODUCT(AV$4:AV268)</f>
        <v>6.0590804405440348</v>
      </c>
    </row>
    <row r="269" spans="5:49">
      <c r="E269">
        <f t="shared" si="167"/>
        <v>266</v>
      </c>
      <c r="F269" s="64">
        <f t="shared" si="180"/>
        <v>76.2</v>
      </c>
      <c r="G269" s="55">
        <f t="shared" si="168"/>
        <v>0</v>
      </c>
      <c r="H269" s="78">
        <f t="shared" si="195"/>
        <v>1</v>
      </c>
      <c r="I269" s="79">
        <f t="shared" si="181"/>
        <v>416685.27196144767</v>
      </c>
      <c r="J269" s="79">
        <f t="shared" si="169"/>
        <v>2842.4158183792006</v>
      </c>
      <c r="K269" s="80">
        <f t="shared" si="170"/>
        <v>-15</v>
      </c>
      <c r="L269" s="80">
        <f t="shared" si="182"/>
        <v>-347.23772663453974</v>
      </c>
      <c r="M269" s="80">
        <f t="shared" si="165"/>
        <v>0</v>
      </c>
      <c r="N269" s="80">
        <f t="shared" si="183"/>
        <v>-395.85100836337534</v>
      </c>
      <c r="O269" s="81">
        <f t="shared" si="171"/>
        <v>-2500.6101455486769</v>
      </c>
      <c r="P269" s="79">
        <f t="shared" si="172"/>
        <v>416268.98889928032</v>
      </c>
      <c r="Q269" s="35"/>
      <c r="R269">
        <f t="shared" ca="1" si="184"/>
        <v>391</v>
      </c>
      <c r="S269" s="78">
        <f t="shared" ca="1" si="185"/>
        <v>86.2</v>
      </c>
      <c r="T269" s="55">
        <f t="shared" ca="1" si="173"/>
        <v>1.4888670873660748E-2</v>
      </c>
      <c r="U269" s="78">
        <f t="shared" ca="1" si="190"/>
        <v>0.16338132169067943</v>
      </c>
      <c r="V269" s="79">
        <f t="shared" ca="1" si="186"/>
        <v>49835.922358945594</v>
      </c>
      <c r="W269" s="79">
        <f t="shared" ca="1" si="174"/>
        <v>339.95541375815827</v>
      </c>
      <c r="X269" s="80">
        <f t="shared" ca="1" si="191"/>
        <v>-2.4507198253601912</v>
      </c>
      <c r="Y269" s="80">
        <f t="shared" ca="1" si="192"/>
        <v>-41.529935299121334</v>
      </c>
      <c r="Z269" s="80">
        <f t="shared" ca="1" si="187"/>
        <v>0</v>
      </c>
      <c r="AA269" s="80">
        <f t="shared" ca="1" si="193"/>
        <v>-47.344126240998321</v>
      </c>
      <c r="AB269" s="81">
        <f t="shared" ca="1" si="175"/>
        <v>-408.55299061286513</v>
      </c>
      <c r="AC269" s="79">
        <f t="shared" ca="1" si="176"/>
        <v>49676.000000725406</v>
      </c>
      <c r="AD269" s="35"/>
      <c r="AE269" s="62">
        <f t="shared" ca="1" si="177"/>
        <v>-2500.6101455486773</v>
      </c>
      <c r="AF269" s="62">
        <f t="shared" ca="1" si="178"/>
        <v>304049.44388180523</v>
      </c>
      <c r="AG269" s="35"/>
      <c r="AH269" s="35"/>
      <c r="AR269" s="69">
        <f t="shared" si="188"/>
        <v>23</v>
      </c>
      <c r="AS269" s="70">
        <f t="shared" si="194"/>
        <v>266</v>
      </c>
      <c r="AT269" s="71">
        <f t="shared" si="166"/>
        <v>0.16190680555925996</v>
      </c>
      <c r="AU269" s="72">
        <f t="shared" si="179"/>
        <v>6.8214933659622723E-3</v>
      </c>
      <c r="AV269" s="73">
        <f t="shared" si="189"/>
        <v>1.0068214933659623</v>
      </c>
      <c r="AW269" s="74">
        <f>PRODUCT(AV$4:AV269)</f>
        <v>6.1004124175730379</v>
      </c>
    </row>
    <row r="270" spans="5:49">
      <c r="E270">
        <f t="shared" si="167"/>
        <v>267</v>
      </c>
      <c r="F270" s="64">
        <f t="shared" si="180"/>
        <v>76.28</v>
      </c>
      <c r="G270" s="55">
        <f t="shared" si="168"/>
        <v>0</v>
      </c>
      <c r="H270" s="78">
        <f t="shared" si="195"/>
        <v>1</v>
      </c>
      <c r="I270" s="79">
        <f t="shared" si="181"/>
        <v>416268.98889928032</v>
      </c>
      <c r="J270" s="79">
        <f t="shared" si="169"/>
        <v>2839.5761462322635</v>
      </c>
      <c r="K270" s="80">
        <f t="shared" si="170"/>
        <v>-15</v>
      </c>
      <c r="L270" s="80">
        <f t="shared" si="182"/>
        <v>-346.89082408273362</v>
      </c>
      <c r="M270" s="80">
        <f t="shared" si="165"/>
        <v>0</v>
      </c>
      <c r="N270" s="80">
        <f t="shared" si="183"/>
        <v>-395.45553945431635</v>
      </c>
      <c r="O270" s="81">
        <f t="shared" si="171"/>
        <v>-2500.6101455486769</v>
      </c>
      <c r="P270" s="79">
        <f t="shared" si="172"/>
        <v>415850.60853642691</v>
      </c>
      <c r="Q270" s="35"/>
      <c r="R270">
        <f t="shared" ca="1" si="184"/>
        <v>392</v>
      </c>
      <c r="S270" s="78">
        <f t="shared" ca="1" si="185"/>
        <v>86.28</v>
      </c>
      <c r="T270" s="55">
        <f t="shared" ca="1" si="173"/>
        <v>1.4888670873660748E-2</v>
      </c>
      <c r="U270" s="78">
        <f t="shared" ca="1" si="190"/>
        <v>0.16094879096512321</v>
      </c>
      <c r="V270" s="79">
        <f t="shared" ca="1" si="186"/>
        <v>48936.390386394633</v>
      </c>
      <c r="W270" s="79">
        <f t="shared" ca="1" si="174"/>
        <v>333.81926237493093</v>
      </c>
      <c r="X270" s="80">
        <f t="shared" ca="1" si="191"/>
        <v>-2.4142318644768483</v>
      </c>
      <c r="Y270" s="80">
        <f t="shared" ca="1" si="192"/>
        <v>-40.780325321995527</v>
      </c>
      <c r="Z270" s="80">
        <f t="shared" ca="1" si="187"/>
        <v>0</v>
      </c>
      <c r="AA270" s="80">
        <f t="shared" ca="1" si="193"/>
        <v>-46.48957086707491</v>
      </c>
      <c r="AB270" s="81">
        <f t="shared" ca="1" si="175"/>
        <v>-402.47017960118029</v>
      </c>
      <c r="AC270" s="79">
        <f t="shared" ca="1" si="176"/>
        <v>48778.055341114836</v>
      </c>
      <c r="AD270" s="35"/>
      <c r="AE270" s="62">
        <f t="shared" ca="1" si="177"/>
        <v>-2500.6101455486769</v>
      </c>
      <c r="AF270" s="62">
        <f t="shared" ca="1" si="178"/>
        <v>303065.68349236494</v>
      </c>
      <c r="AG270" s="35"/>
      <c r="AH270" s="35"/>
      <c r="AR270" s="69">
        <f t="shared" si="188"/>
        <v>23</v>
      </c>
      <c r="AS270" s="70">
        <f t="shared" si="194"/>
        <v>267</v>
      </c>
      <c r="AT270" s="71">
        <f t="shared" si="166"/>
        <v>0.16080235935923332</v>
      </c>
      <c r="AU270" s="72">
        <f t="shared" si="179"/>
        <v>6.8214933659622723E-3</v>
      </c>
      <c r="AV270" s="73">
        <f t="shared" si="189"/>
        <v>1.0068214933659623</v>
      </c>
      <c r="AW270" s="74">
        <f>PRODUCT(AV$4:AV270)</f>
        <v>6.1420263404091466</v>
      </c>
    </row>
    <row r="271" spans="5:49">
      <c r="E271">
        <f t="shared" si="167"/>
        <v>268</v>
      </c>
      <c r="F271" s="64">
        <f t="shared" si="180"/>
        <v>76.36</v>
      </c>
      <c r="G271" s="55">
        <f t="shared" si="168"/>
        <v>0</v>
      </c>
      <c r="H271" s="78">
        <f t="shared" si="195"/>
        <v>1</v>
      </c>
      <c r="I271" s="79">
        <f t="shared" si="181"/>
        <v>415850.60853642691</v>
      </c>
      <c r="J271" s="79">
        <f t="shared" si="169"/>
        <v>2836.72216736261</v>
      </c>
      <c r="K271" s="80">
        <f t="shared" si="170"/>
        <v>-15</v>
      </c>
      <c r="L271" s="80">
        <f t="shared" si="182"/>
        <v>-346.54217378035577</v>
      </c>
      <c r="M271" s="80">
        <f t="shared" si="165"/>
        <v>0</v>
      </c>
      <c r="N271" s="80">
        <f t="shared" si="183"/>
        <v>-395.05807810960567</v>
      </c>
      <c r="O271" s="81">
        <f t="shared" si="171"/>
        <v>-2500.6101455486769</v>
      </c>
      <c r="P271" s="79">
        <f t="shared" si="172"/>
        <v>415430.12030635093</v>
      </c>
      <c r="Q271" s="35"/>
      <c r="R271">
        <f t="shared" ca="1" si="184"/>
        <v>393</v>
      </c>
      <c r="S271" s="78">
        <f t="shared" ca="1" si="185"/>
        <v>86.36</v>
      </c>
      <c r="T271" s="55">
        <f t="shared" ca="1" si="173"/>
        <v>1.4888670873660748E-2</v>
      </c>
      <c r="U271" s="78">
        <f t="shared" ca="1" si="190"/>
        <v>0.15855247738892986</v>
      </c>
      <c r="V271" s="79">
        <f t="shared" ca="1" si="186"/>
        <v>48051.81492928377</v>
      </c>
      <c r="W271" s="79">
        <f t="shared" ca="1" si="174"/>
        <v>327.78513676255614</v>
      </c>
      <c r="X271" s="80">
        <f t="shared" ca="1" si="191"/>
        <v>-2.3782871608339478</v>
      </c>
      <c r="Y271" s="80">
        <f t="shared" ca="1" si="192"/>
        <v>-40.043179107736478</v>
      </c>
      <c r="Z271" s="80">
        <f t="shared" ca="1" si="187"/>
        <v>0</v>
      </c>
      <c r="AA271" s="80">
        <f t="shared" ca="1" si="193"/>
        <v>-45.649224182819587</v>
      </c>
      <c r="AB271" s="81">
        <f t="shared" ca="1" si="175"/>
        <v>-396.47793356063517</v>
      </c>
      <c r="AC271" s="79">
        <f t="shared" ca="1" si="176"/>
        <v>47895.051442034302</v>
      </c>
      <c r="AD271" s="35"/>
      <c r="AE271" s="62">
        <f t="shared" ca="1" si="177"/>
        <v>-2500.6101455486769</v>
      </c>
      <c r="AF271" s="62">
        <f t="shared" ca="1" si="178"/>
        <v>302076.96676064894</v>
      </c>
      <c r="AG271" s="35"/>
      <c r="AH271" s="35"/>
      <c r="AR271" s="69">
        <f t="shared" si="188"/>
        <v>23</v>
      </c>
      <c r="AS271" s="70">
        <f t="shared" si="194"/>
        <v>268</v>
      </c>
      <c r="AT271" s="71">
        <f t="shared" si="166"/>
        <v>0.15970544713163323</v>
      </c>
      <c r="AU271" s="72">
        <f t="shared" si="179"/>
        <v>6.8214933659622723E-3</v>
      </c>
      <c r="AV271" s="73">
        <f t="shared" si="189"/>
        <v>1.0068214933659623</v>
      </c>
      <c r="AW271" s="74">
        <f>PRODUCT(AV$4:AV271)</f>
        <v>6.1839241323438134</v>
      </c>
    </row>
    <row r="272" spans="5:49">
      <c r="E272">
        <f t="shared" si="167"/>
        <v>269</v>
      </c>
      <c r="F272" s="64">
        <f t="shared" si="180"/>
        <v>76.44</v>
      </c>
      <c r="G272" s="55">
        <f t="shared" si="168"/>
        <v>0</v>
      </c>
      <c r="H272" s="78">
        <f t="shared" si="195"/>
        <v>1</v>
      </c>
      <c r="I272" s="79">
        <f t="shared" si="181"/>
        <v>415430.12030635093</v>
      </c>
      <c r="J272" s="79">
        <f t="shared" si="169"/>
        <v>2833.8538096906814</v>
      </c>
      <c r="K272" s="80">
        <f t="shared" si="170"/>
        <v>-15</v>
      </c>
      <c r="L272" s="80">
        <f t="shared" si="182"/>
        <v>-346.19176692195913</v>
      </c>
      <c r="M272" s="80">
        <f t="shared" ref="M272:M335" si="196">IF(OR(I271+O271=0,K271=0),0,-IF(MOD(E272-1,12)=0,1,0)*I272*($C$17))</f>
        <v>0</v>
      </c>
      <c r="N272" s="80">
        <f t="shared" si="183"/>
        <v>-394.65861429103347</v>
      </c>
      <c r="O272" s="81">
        <f t="shared" si="171"/>
        <v>-2500.6101455486769</v>
      </c>
      <c r="P272" s="79">
        <f t="shared" si="172"/>
        <v>415007.51358927996</v>
      </c>
      <c r="Q272" s="35"/>
      <c r="R272">
        <f t="shared" ca="1" si="184"/>
        <v>394</v>
      </c>
      <c r="S272" s="78">
        <f t="shared" ca="1" si="185"/>
        <v>86.44</v>
      </c>
      <c r="T272" s="55">
        <f t="shared" ca="1" si="173"/>
        <v>1.4888670873660748E-2</v>
      </c>
      <c r="U272" s="78">
        <f t="shared" ca="1" si="190"/>
        <v>0.15619184173688255</v>
      </c>
      <c r="V272" s="79">
        <f t="shared" ca="1" si="186"/>
        <v>47181.957784636805</v>
      </c>
      <c r="W272" s="79">
        <f t="shared" ca="1" si="174"/>
        <v>321.85141202101198</v>
      </c>
      <c r="X272" s="80">
        <f t="shared" ca="1" si="191"/>
        <v>-2.3428776260532382</v>
      </c>
      <c r="Y272" s="80">
        <f t="shared" ca="1" si="192"/>
        <v>-39.318298153864006</v>
      </c>
      <c r="Z272" s="80">
        <f t="shared" ca="1" si="187"/>
        <v>0</v>
      </c>
      <c r="AA272" s="80">
        <f t="shared" ca="1" si="193"/>
        <v>-44.822859895404974</v>
      </c>
      <c r="AB272" s="81">
        <f t="shared" ca="1" si="175"/>
        <v>-390.57490409918182</v>
      </c>
      <c r="AC272" s="79">
        <f t="shared" ca="1" si="176"/>
        <v>47026.750256883308</v>
      </c>
      <c r="AD272" s="35"/>
      <c r="AE272" s="62">
        <f t="shared" ca="1" si="177"/>
        <v>-2500.6101455486773</v>
      </c>
      <c r="AF272" s="62">
        <f t="shared" ca="1" si="178"/>
        <v>301083.26871581149</v>
      </c>
      <c r="AG272" s="35"/>
      <c r="AH272" s="35"/>
      <c r="AR272" s="69">
        <f t="shared" si="188"/>
        <v>23</v>
      </c>
      <c r="AS272" s="70">
        <f t="shared" si="194"/>
        <v>269</v>
      </c>
      <c r="AT272" s="71">
        <f t="shared" ref="AT272:AT283" si="197">(1-AU272)*AT271</f>
        <v>0.15861601748351675</v>
      </c>
      <c r="AU272" s="72">
        <f t="shared" si="179"/>
        <v>6.8214933659622723E-3</v>
      </c>
      <c r="AV272" s="73">
        <f t="shared" si="189"/>
        <v>1.0068214933659623</v>
      </c>
      <c r="AW272" s="74">
        <f>PRODUCT(AV$4:AV272)</f>
        <v>6.226107729788211</v>
      </c>
    </row>
    <row r="273" spans="5:49">
      <c r="E273">
        <f t="shared" si="167"/>
        <v>270</v>
      </c>
      <c r="F273" s="64">
        <f t="shared" si="180"/>
        <v>76.52</v>
      </c>
      <c r="G273" s="55">
        <f t="shared" si="168"/>
        <v>0</v>
      </c>
      <c r="H273" s="78">
        <f t="shared" si="195"/>
        <v>1</v>
      </c>
      <c r="I273" s="79">
        <f t="shared" si="181"/>
        <v>415007.51358927996</v>
      </c>
      <c r="J273" s="79">
        <f t="shared" si="169"/>
        <v>2830.9710007737708</v>
      </c>
      <c r="K273" s="80">
        <f t="shared" si="170"/>
        <v>-15</v>
      </c>
      <c r="L273" s="80">
        <f t="shared" si="182"/>
        <v>-345.8395946577333</v>
      </c>
      <c r="M273" s="80">
        <f t="shared" si="196"/>
        <v>0</v>
      </c>
      <c r="N273" s="80">
        <f t="shared" si="183"/>
        <v>-394.25713790981604</v>
      </c>
      <c r="O273" s="81">
        <f t="shared" si="171"/>
        <v>-2500.6101455486769</v>
      </c>
      <c r="P273" s="79">
        <f t="shared" si="172"/>
        <v>414582.77771193755</v>
      </c>
      <c r="Q273" s="35"/>
      <c r="R273">
        <f t="shared" ca="1" si="184"/>
        <v>395</v>
      </c>
      <c r="S273" s="78">
        <f t="shared" ca="1" si="185"/>
        <v>86.52</v>
      </c>
      <c r="T273" s="55">
        <f t="shared" ca="1" si="173"/>
        <v>1.6316258762122726E-2</v>
      </c>
      <c r="U273" s="78">
        <f t="shared" ca="1" si="190"/>
        <v>0.15364337523057106</v>
      </c>
      <c r="V273" s="79">
        <f t="shared" ca="1" si="186"/>
        <v>46259.449630950279</v>
      </c>
      <c r="W273" s="79">
        <f t="shared" ca="1" si="174"/>
        <v>315.55852877059323</v>
      </c>
      <c r="X273" s="80">
        <f t="shared" ca="1" si="191"/>
        <v>-2.3046506284585657</v>
      </c>
      <c r="Y273" s="80">
        <f t="shared" ca="1" si="192"/>
        <v>-38.549541359125236</v>
      </c>
      <c r="Z273" s="80">
        <f t="shared" ca="1" si="187"/>
        <v>0</v>
      </c>
      <c r="AA273" s="80">
        <f t="shared" ca="1" si="193"/>
        <v>-43.946477149402774</v>
      </c>
      <c r="AB273" s="81">
        <f t="shared" ca="1" si="175"/>
        <v>-384.20218289790824</v>
      </c>
      <c r="AC273" s="79">
        <f t="shared" ca="1" si="176"/>
        <v>46106.005307685977</v>
      </c>
      <c r="AD273" s="35"/>
      <c r="AE273" s="62">
        <f t="shared" ca="1" si="177"/>
        <v>-2500.6101455486769</v>
      </c>
      <c r="AF273" s="62">
        <f t="shared" ca="1" si="178"/>
        <v>300084.56426120008</v>
      </c>
      <c r="AG273" s="35"/>
      <c r="AH273" s="35"/>
      <c r="AR273" s="69">
        <f t="shared" si="188"/>
        <v>23</v>
      </c>
      <c r="AS273" s="70">
        <f t="shared" si="194"/>
        <v>270</v>
      </c>
      <c r="AT273" s="71">
        <f t="shared" si="197"/>
        <v>0.1575340193725176</v>
      </c>
      <c r="AU273" s="72">
        <f t="shared" si="179"/>
        <v>6.8214933659622723E-3</v>
      </c>
      <c r="AV273" s="73">
        <f t="shared" si="189"/>
        <v>1.0068214933659623</v>
      </c>
      <c r="AW273" s="74">
        <f>PRODUCT(AV$4:AV273)</f>
        <v>6.2685790823627281</v>
      </c>
    </row>
    <row r="274" spans="5:49">
      <c r="E274">
        <f t="shared" si="167"/>
        <v>271</v>
      </c>
      <c r="F274" s="64">
        <f t="shared" si="180"/>
        <v>76.599999999999994</v>
      </c>
      <c r="G274" s="55">
        <f t="shared" si="168"/>
        <v>0</v>
      </c>
      <c r="H274" s="78">
        <f t="shared" si="195"/>
        <v>1</v>
      </c>
      <c r="I274" s="79">
        <f t="shared" si="181"/>
        <v>414582.77771193755</v>
      </c>
      <c r="J274" s="79">
        <f t="shared" si="169"/>
        <v>2828.0736678041935</v>
      </c>
      <c r="K274" s="80">
        <f t="shared" si="170"/>
        <v>-15</v>
      </c>
      <c r="L274" s="80">
        <f t="shared" si="182"/>
        <v>-345.48564809328133</v>
      </c>
      <c r="M274" s="80">
        <f t="shared" si="196"/>
        <v>0</v>
      </c>
      <c r="N274" s="80">
        <f t="shared" si="183"/>
        <v>-393.85363882634078</v>
      </c>
      <c r="O274" s="81">
        <f t="shared" si="171"/>
        <v>-2500.6101455486769</v>
      </c>
      <c r="P274" s="79">
        <f t="shared" si="172"/>
        <v>414155.90194727347</v>
      </c>
      <c r="Q274" s="35"/>
      <c r="R274">
        <f t="shared" ca="1" si="184"/>
        <v>396</v>
      </c>
      <c r="S274" s="78">
        <f t="shared" ca="1" si="185"/>
        <v>86.6</v>
      </c>
      <c r="T274" s="55">
        <f t="shared" ca="1" si="173"/>
        <v>1.6316258762122726E-2</v>
      </c>
      <c r="U274" s="78">
        <f t="shared" ca="1" si="190"/>
        <v>0.15113649016322314</v>
      </c>
      <c r="V274" s="79">
        <f t="shared" ca="1" si="186"/>
        <v>45353.727794597966</v>
      </c>
      <c r="W274" s="79">
        <f t="shared" ca="1" si="174"/>
        <v>309.38015327250872</v>
      </c>
      <c r="X274" s="80">
        <f t="shared" ca="1" si="191"/>
        <v>-2.2670473524483472</v>
      </c>
      <c r="Y274" s="80">
        <f t="shared" ca="1" si="192"/>
        <v>-37.794773162164972</v>
      </c>
      <c r="Z274" s="80">
        <f t="shared" ca="1" si="187"/>
        <v>0</v>
      </c>
      <c r="AA274" s="80">
        <f t="shared" ca="1" si="193"/>
        <v>-43.086041404868077</v>
      </c>
      <c r="AB274" s="81">
        <f t="shared" ca="1" si="175"/>
        <v>-377.93344066477357</v>
      </c>
      <c r="AC274" s="79">
        <f t="shared" ca="1" si="176"/>
        <v>45202.02664528622</v>
      </c>
      <c r="AD274" s="35"/>
      <c r="AE274" s="62">
        <f t="shared" ca="1" si="177"/>
        <v>-2500.6101455486769</v>
      </c>
      <c r="AF274" s="62">
        <f t="shared" ca="1" si="178"/>
        <v>299080.82817372103</v>
      </c>
      <c r="AG274" s="35"/>
      <c r="AH274" s="35"/>
      <c r="AR274" s="69">
        <f t="shared" si="188"/>
        <v>23</v>
      </c>
      <c r="AS274" s="70">
        <f t="shared" si="194"/>
        <v>271</v>
      </c>
      <c r="AT274" s="71">
        <f t="shared" si="197"/>
        <v>0.15645940210445461</v>
      </c>
      <c r="AU274" s="72">
        <f t="shared" si="179"/>
        <v>6.8214933659622723E-3</v>
      </c>
      <c r="AV274" s="73">
        <f t="shared" si="189"/>
        <v>1.0068214933659623</v>
      </c>
      <c r="AW274" s="74">
        <f>PRODUCT(AV$4:AV274)</f>
        <v>6.311340152987075</v>
      </c>
    </row>
    <row r="275" spans="5:49">
      <c r="E275">
        <f t="shared" si="167"/>
        <v>272</v>
      </c>
      <c r="F275" s="64">
        <f t="shared" si="180"/>
        <v>76.680000000000007</v>
      </c>
      <c r="G275" s="55">
        <f t="shared" si="168"/>
        <v>0</v>
      </c>
      <c r="H275" s="78">
        <f t="shared" si="195"/>
        <v>1</v>
      </c>
      <c r="I275" s="79">
        <f t="shared" si="181"/>
        <v>414155.90194727347</v>
      </c>
      <c r="J275" s="79">
        <f t="shared" si="169"/>
        <v>2825.1617376074473</v>
      </c>
      <c r="K275" s="80">
        <f t="shared" si="170"/>
        <v>-15</v>
      </c>
      <c r="L275" s="80">
        <f t="shared" si="182"/>
        <v>-345.1299182893946</v>
      </c>
      <c r="M275" s="80">
        <f t="shared" si="196"/>
        <v>0</v>
      </c>
      <c r="N275" s="80">
        <f t="shared" si="183"/>
        <v>-393.44810684990989</v>
      </c>
      <c r="O275" s="81">
        <f t="shared" si="171"/>
        <v>-2500.6101455486769</v>
      </c>
      <c r="P275" s="79">
        <f t="shared" si="172"/>
        <v>413726.87551419297</v>
      </c>
      <c r="Q275" s="35"/>
      <c r="R275">
        <f t="shared" ca="1" si="184"/>
        <v>397</v>
      </c>
      <c r="S275" s="78">
        <f t="shared" ca="1" si="185"/>
        <v>86.68</v>
      </c>
      <c r="T275" s="55">
        <f t="shared" ca="1" si="173"/>
        <v>1.6316258762122726E-2</v>
      </c>
      <c r="U275" s="78">
        <f t="shared" ca="1" si="190"/>
        <v>0.14867050808132098</v>
      </c>
      <c r="V275" s="79">
        <f t="shared" ca="1" si="186"/>
        <v>44464.498681969366</v>
      </c>
      <c r="W275" s="79">
        <f t="shared" ca="1" si="174"/>
        <v>303.31428277989221</v>
      </c>
      <c r="X275" s="80">
        <f t="shared" ca="1" si="191"/>
        <v>-2.2300576212198147</v>
      </c>
      <c r="Y275" s="80">
        <f t="shared" ca="1" si="192"/>
        <v>-37.053748901641143</v>
      </c>
      <c r="Z275" s="80">
        <f t="shared" ca="1" si="187"/>
        <v>-333.48374011477023</v>
      </c>
      <c r="AA275" s="80">
        <f t="shared" ca="1" si="193"/>
        <v>-42.241273747870906</v>
      </c>
      <c r="AB275" s="81">
        <f t="shared" ca="1" si="175"/>
        <v>-371.76698085202776</v>
      </c>
      <c r="AC275" s="79">
        <f t="shared" ca="1" si="176"/>
        <v>43981.037163511726</v>
      </c>
      <c r="AD275" s="35"/>
      <c r="AE275" s="62">
        <f t="shared" ca="1" si="177"/>
        <v>-2500.6101455486764</v>
      </c>
      <c r="AF275" s="62">
        <f t="shared" ca="1" si="178"/>
        <v>295828.92889189982</v>
      </c>
      <c r="AG275" s="35"/>
      <c r="AH275" s="35"/>
      <c r="AR275" s="69">
        <f t="shared" si="188"/>
        <v>23</v>
      </c>
      <c r="AS275" s="70">
        <f t="shared" si="194"/>
        <v>272</v>
      </c>
      <c r="AT275" s="71">
        <f t="shared" si="197"/>
        <v>0.15539211533095665</v>
      </c>
      <c r="AU275" s="72">
        <f t="shared" si="179"/>
        <v>6.8214933659622723E-3</v>
      </c>
      <c r="AV275" s="73">
        <f t="shared" si="189"/>
        <v>1.0068214933659623</v>
      </c>
      <c r="AW275" s="74">
        <f>PRODUCT(AV$4:AV275)</f>
        <v>6.3543929179710075</v>
      </c>
    </row>
    <row r="276" spans="5:49">
      <c r="E276">
        <f t="shared" si="167"/>
        <v>273</v>
      </c>
      <c r="F276" s="64">
        <f t="shared" si="180"/>
        <v>76.760000000000005</v>
      </c>
      <c r="G276" s="55">
        <f t="shared" si="168"/>
        <v>0</v>
      </c>
      <c r="H276" s="78">
        <f t="shared" si="195"/>
        <v>1</v>
      </c>
      <c r="I276" s="79">
        <f t="shared" si="181"/>
        <v>413726.87551419297</v>
      </c>
      <c r="J276" s="79">
        <f t="shared" si="169"/>
        <v>2822.2351366403664</v>
      </c>
      <c r="K276" s="80">
        <f t="shared" si="170"/>
        <v>-15</v>
      </c>
      <c r="L276" s="80">
        <f t="shared" si="182"/>
        <v>-344.77239626182751</v>
      </c>
      <c r="M276" s="80">
        <f t="shared" si="196"/>
        <v>0</v>
      </c>
      <c r="N276" s="80">
        <f t="shared" si="183"/>
        <v>-393.04053173848342</v>
      </c>
      <c r="O276" s="81">
        <f t="shared" si="171"/>
        <v>-2500.6101455486769</v>
      </c>
      <c r="P276" s="79">
        <f t="shared" si="172"/>
        <v>413295.68757728441</v>
      </c>
      <c r="Q276" s="35"/>
      <c r="R276">
        <f t="shared" ca="1" si="184"/>
        <v>398</v>
      </c>
      <c r="S276" s="78">
        <f t="shared" ca="1" si="185"/>
        <v>86.76</v>
      </c>
      <c r="T276" s="55">
        <f t="shared" ca="1" si="173"/>
        <v>1.6316258762122726E-2</v>
      </c>
      <c r="U276" s="78">
        <f t="shared" ca="1" si="190"/>
        <v>0.14624476160116989</v>
      </c>
      <c r="V276" s="79">
        <f t="shared" ca="1" si="186"/>
        <v>43263.431180525331</v>
      </c>
      <c r="W276" s="79">
        <f t="shared" ca="1" si="174"/>
        <v>295.12120878671885</v>
      </c>
      <c r="X276" s="80">
        <f t="shared" ca="1" si="191"/>
        <v>-2.1936714240175483</v>
      </c>
      <c r="Y276" s="80">
        <f t="shared" ca="1" si="192"/>
        <v>-36.052859317104442</v>
      </c>
      <c r="Z276" s="80">
        <f t="shared" ca="1" si="187"/>
        <v>0</v>
      </c>
      <c r="AA276" s="80">
        <f t="shared" ca="1" si="193"/>
        <v>-41.10025962149907</v>
      </c>
      <c r="AB276" s="81">
        <f t="shared" ca="1" si="175"/>
        <v>-365.70113459323301</v>
      </c>
      <c r="AC276" s="79">
        <f t="shared" ca="1" si="176"/>
        <v>43113.5044643562</v>
      </c>
      <c r="AD276" s="35"/>
      <c r="AE276" s="62">
        <f t="shared" ca="1" si="177"/>
        <v>-2500.6101455486769</v>
      </c>
      <c r="AF276" s="62">
        <f t="shared" ca="1" si="178"/>
        <v>294803.75223238976</v>
      </c>
      <c r="AG276" s="35"/>
      <c r="AH276" s="35"/>
      <c r="AR276" s="69">
        <f t="shared" si="188"/>
        <v>23</v>
      </c>
      <c r="AS276" s="70">
        <f t="shared" si="194"/>
        <v>273</v>
      </c>
      <c r="AT276" s="71">
        <f t="shared" si="197"/>
        <v>0.15433210904710368</v>
      </c>
      <c r="AU276" s="72">
        <f t="shared" si="179"/>
        <v>6.8214933659622723E-3</v>
      </c>
      <c r="AV276" s="73">
        <f t="shared" si="189"/>
        <v>1.0068214933659623</v>
      </c>
      <c r="AW276" s="74">
        <f>PRODUCT(AV$4:AV276)</f>
        <v>6.3977393671056646</v>
      </c>
    </row>
    <row r="277" spans="5:49">
      <c r="E277">
        <f t="shared" si="167"/>
        <v>274</v>
      </c>
      <c r="F277" s="64">
        <f t="shared" si="180"/>
        <v>76.84</v>
      </c>
      <c r="G277" s="55">
        <f t="shared" si="168"/>
        <v>0</v>
      </c>
      <c r="H277" s="78">
        <f t="shared" si="195"/>
        <v>1</v>
      </c>
      <c r="I277" s="79">
        <f t="shared" si="181"/>
        <v>413295.68757728441</v>
      </c>
      <c r="J277" s="79">
        <f t="shared" si="169"/>
        <v>2819.2937909892617</v>
      </c>
      <c r="K277" s="80">
        <f t="shared" si="170"/>
        <v>-15</v>
      </c>
      <c r="L277" s="80">
        <f t="shared" si="182"/>
        <v>-344.41307298107034</v>
      </c>
      <c r="M277" s="80">
        <f t="shared" si="196"/>
        <v>0</v>
      </c>
      <c r="N277" s="80">
        <f t="shared" si="183"/>
        <v>-392.6309031984203</v>
      </c>
      <c r="O277" s="81">
        <f t="shared" si="171"/>
        <v>-2500.6101455486769</v>
      </c>
      <c r="P277" s="79">
        <f t="shared" si="172"/>
        <v>412862.32724654552</v>
      </c>
      <c r="Q277" s="35"/>
      <c r="R277">
        <f t="shared" ca="1" si="184"/>
        <v>399</v>
      </c>
      <c r="S277" s="78">
        <f t="shared" ca="1" si="185"/>
        <v>86.84</v>
      </c>
      <c r="T277" s="55">
        <f t="shared" ca="1" si="173"/>
        <v>1.6316258762122726E-2</v>
      </c>
      <c r="U277" s="78">
        <f t="shared" ca="1" si="190"/>
        <v>0.14385859422828026</v>
      </c>
      <c r="V277" s="79">
        <f t="shared" ca="1" si="186"/>
        <v>42410.053369373833</v>
      </c>
      <c r="W277" s="79">
        <f t="shared" ca="1" si="174"/>
        <v>289.2998977092895</v>
      </c>
      <c r="X277" s="80">
        <f t="shared" ca="1" si="191"/>
        <v>-2.157878913424204</v>
      </c>
      <c r="Y277" s="80">
        <f t="shared" ca="1" si="192"/>
        <v>-35.341711141144863</v>
      </c>
      <c r="Z277" s="80">
        <f t="shared" ca="1" si="187"/>
        <v>0</v>
      </c>
      <c r="AA277" s="80">
        <f t="shared" ca="1" si="193"/>
        <v>-40.289550700905146</v>
      </c>
      <c r="AB277" s="81">
        <f t="shared" ca="1" si="175"/>
        <v>-359.73426025160796</v>
      </c>
      <c r="AC277" s="79">
        <f t="shared" ca="1" si="176"/>
        <v>42261.829866076041</v>
      </c>
      <c r="AD277" s="35"/>
      <c r="AE277" s="62">
        <f t="shared" ca="1" si="177"/>
        <v>-2500.6101455486769</v>
      </c>
      <c r="AF277" s="62">
        <f t="shared" ca="1" si="178"/>
        <v>293773.41056880739</v>
      </c>
      <c r="AG277" s="35"/>
      <c r="AH277" s="35"/>
      <c r="AR277" s="69">
        <f t="shared" si="188"/>
        <v>23</v>
      </c>
      <c r="AS277" s="70">
        <f t="shared" si="194"/>
        <v>274</v>
      </c>
      <c r="AT277" s="71">
        <f t="shared" si="197"/>
        <v>0.15327933358908388</v>
      </c>
      <c r="AU277" s="72">
        <f t="shared" si="179"/>
        <v>6.8214933659622723E-3</v>
      </c>
      <c r="AV277" s="73">
        <f t="shared" si="189"/>
        <v>1.0068214933659623</v>
      </c>
      <c r="AW277" s="74">
        <f>PRODUCT(AV$4:AV277)</f>
        <v>6.4413815037555313</v>
      </c>
    </row>
    <row r="278" spans="5:49">
      <c r="E278">
        <f t="shared" si="167"/>
        <v>275</v>
      </c>
      <c r="F278" s="64">
        <f t="shared" si="180"/>
        <v>76.92</v>
      </c>
      <c r="G278" s="55">
        <f t="shared" si="168"/>
        <v>0</v>
      </c>
      <c r="H278" s="78">
        <f t="shared" si="195"/>
        <v>1</v>
      </c>
      <c r="I278" s="79">
        <f t="shared" si="181"/>
        <v>412862.32724654552</v>
      </c>
      <c r="J278" s="79">
        <f t="shared" si="169"/>
        <v>2816.3376263680548</v>
      </c>
      <c r="K278" s="80">
        <f t="shared" si="170"/>
        <v>-15</v>
      </c>
      <c r="L278" s="80">
        <f t="shared" si="182"/>
        <v>-344.0519393721213</v>
      </c>
      <c r="M278" s="80">
        <f t="shared" si="196"/>
        <v>0</v>
      </c>
      <c r="N278" s="80">
        <f t="shared" si="183"/>
        <v>-392.21921088421828</v>
      </c>
      <c r="O278" s="81">
        <f t="shared" si="171"/>
        <v>-2500.6101455486769</v>
      </c>
      <c r="P278" s="79">
        <f t="shared" si="172"/>
        <v>412426.78357710852</v>
      </c>
      <c r="Q278" s="35"/>
      <c r="R278">
        <f t="shared" ca="1" si="184"/>
        <v>400</v>
      </c>
      <c r="S278" s="78">
        <f t="shared" ca="1" si="185"/>
        <v>86.92</v>
      </c>
      <c r="T278" s="55">
        <f t="shared" ca="1" si="173"/>
        <v>1.6316258762122726E-2</v>
      </c>
      <c r="U278" s="78">
        <f t="shared" ca="1" si="190"/>
        <v>0.14151136017969643</v>
      </c>
      <c r="V278" s="79">
        <f t="shared" ca="1" si="186"/>
        <v>41572.274914220339</v>
      </c>
      <c r="W278" s="79">
        <f t="shared" ca="1" si="174"/>
        <v>283.58499753531385</v>
      </c>
      <c r="X278" s="80">
        <f t="shared" ca="1" si="191"/>
        <v>-2.1226704026954466</v>
      </c>
      <c r="Y278" s="80">
        <f t="shared" ca="1" si="192"/>
        <v>-34.643562428516951</v>
      </c>
      <c r="Z278" s="80">
        <f t="shared" ca="1" si="187"/>
        <v>0</v>
      </c>
      <c r="AA278" s="80">
        <f t="shared" ca="1" si="193"/>
        <v>-39.493661168509327</v>
      </c>
      <c r="AB278" s="81">
        <f t="shared" ca="1" si="175"/>
        <v>-353.86474297574188</v>
      </c>
      <c r="AC278" s="79">
        <f t="shared" ca="1" si="176"/>
        <v>41425.735274780192</v>
      </c>
      <c r="AD278" s="35"/>
      <c r="AE278" s="62">
        <f t="shared" ca="1" si="177"/>
        <v>-2500.6101455486764</v>
      </c>
      <c r="AF278" s="62">
        <f t="shared" ca="1" si="178"/>
        <v>292737.8778790356</v>
      </c>
      <c r="AG278" s="35"/>
      <c r="AH278" s="35"/>
      <c r="AR278" s="69">
        <f t="shared" si="188"/>
        <v>23</v>
      </c>
      <c r="AS278" s="70">
        <f t="shared" si="194"/>
        <v>275</v>
      </c>
      <c r="AT278" s="71">
        <f t="shared" si="197"/>
        <v>0.15223373963186682</v>
      </c>
      <c r="AU278" s="72">
        <f t="shared" si="179"/>
        <v>6.8214933659622723E-3</v>
      </c>
      <c r="AV278" s="73">
        <f t="shared" si="189"/>
        <v>1.0068214933659623</v>
      </c>
      <c r="AW278" s="74">
        <f>PRODUCT(AV$4:AV278)</f>
        <v>6.4853213449510321</v>
      </c>
    </row>
    <row r="279" spans="5:49">
      <c r="E279">
        <f t="shared" si="167"/>
        <v>276</v>
      </c>
      <c r="F279" s="64">
        <f t="shared" si="180"/>
        <v>77</v>
      </c>
      <c r="G279" s="55">
        <f t="shared" si="168"/>
        <v>0</v>
      </c>
      <c r="H279" s="78">
        <f t="shared" si="195"/>
        <v>1</v>
      </c>
      <c r="I279" s="79">
        <f t="shared" si="181"/>
        <v>412426.78357710852</v>
      </c>
      <c r="J279" s="79">
        <f t="shared" si="169"/>
        <v>2813.3665681164034</v>
      </c>
      <c r="K279" s="80">
        <f t="shared" si="170"/>
        <v>-15</v>
      </c>
      <c r="L279" s="80">
        <f t="shared" si="182"/>
        <v>-343.68898631425714</v>
      </c>
      <c r="M279" s="80">
        <f t="shared" si="196"/>
        <v>0</v>
      </c>
      <c r="N279" s="80">
        <f t="shared" si="183"/>
        <v>-391.8054443982532</v>
      </c>
      <c r="O279" s="81">
        <f t="shared" si="171"/>
        <v>-2500.6101455486769</v>
      </c>
      <c r="P279" s="79">
        <f t="shared" si="172"/>
        <v>411989.04556896375</v>
      </c>
      <c r="Q279" s="35"/>
      <c r="R279">
        <f t="shared" ca="1" si="184"/>
        <v>401</v>
      </c>
      <c r="S279" s="78">
        <f t="shared" ca="1" si="185"/>
        <v>87</v>
      </c>
      <c r="T279" s="55">
        <f t="shared" ca="1" si="173"/>
        <v>1.6316258762122726E-2</v>
      </c>
      <c r="U279" s="78">
        <f t="shared" ca="1" si="190"/>
        <v>0.13920242420922455</v>
      </c>
      <c r="V279" s="79">
        <f t="shared" ca="1" si="186"/>
        <v>40749.822258625682</v>
      </c>
      <c r="W279" s="79">
        <f t="shared" ca="1" si="174"/>
        <v>277.9746422013568</v>
      </c>
      <c r="X279" s="80">
        <f t="shared" ca="1" si="191"/>
        <v>-2.088036363138368</v>
      </c>
      <c r="Y279" s="80">
        <f t="shared" ca="1" si="192"/>
        <v>-33.958185215521404</v>
      </c>
      <c r="Z279" s="80">
        <f t="shared" ca="1" si="187"/>
        <v>0</v>
      </c>
      <c r="AA279" s="80">
        <f t="shared" ca="1" si="193"/>
        <v>-38.712331145694407</v>
      </c>
      <c r="AB279" s="81">
        <f t="shared" ca="1" si="175"/>
        <v>-348.09099426255767</v>
      </c>
      <c r="AC279" s="79">
        <f t="shared" ca="1" si="176"/>
        <v>40604.947353840122</v>
      </c>
      <c r="AD279" s="35"/>
      <c r="AE279" s="62">
        <f t="shared" ca="1" si="177"/>
        <v>-2500.6101455486769</v>
      </c>
      <c r="AF279" s="62">
        <f t="shared" ca="1" si="178"/>
        <v>291697.12800985365</v>
      </c>
      <c r="AG279" s="35"/>
      <c r="AH279" s="35"/>
      <c r="AR279" s="69">
        <f t="shared" si="188"/>
        <v>23</v>
      </c>
      <c r="AS279" s="70">
        <f t="shared" si="194"/>
        <v>276</v>
      </c>
      <c r="AT279" s="71">
        <f t="shared" si="197"/>
        <v>0.15119527818689241</v>
      </c>
      <c r="AU279" s="72">
        <f t="shared" si="179"/>
        <v>6.8214933659622723E-3</v>
      </c>
      <c r="AV279" s="73">
        <f t="shared" si="189"/>
        <v>1.0068214933659623</v>
      </c>
      <c r="AW279" s="74">
        <f>PRODUCT(AV$4:AV279)</f>
        <v>6.5295609214817487</v>
      </c>
    </row>
    <row r="280" spans="5:49">
      <c r="E280">
        <f t="shared" si="167"/>
        <v>277</v>
      </c>
      <c r="F280" s="64">
        <f t="shared" si="180"/>
        <v>77.08</v>
      </c>
      <c r="G280" s="55">
        <f t="shared" si="168"/>
        <v>0</v>
      </c>
      <c r="H280" s="78">
        <f t="shared" si="195"/>
        <v>1</v>
      </c>
      <c r="I280" s="79">
        <f t="shared" si="181"/>
        <v>411989.04556896375</v>
      </c>
      <c r="J280" s="79">
        <f t="shared" si="169"/>
        <v>2810.3805411978146</v>
      </c>
      <c r="K280" s="80">
        <f t="shared" si="170"/>
        <v>-15</v>
      </c>
      <c r="L280" s="80">
        <f t="shared" si="182"/>
        <v>-343.32420464080315</v>
      </c>
      <c r="M280" s="80">
        <f t="shared" si="196"/>
        <v>-3089.9178417672279</v>
      </c>
      <c r="N280" s="80">
        <f t="shared" si="183"/>
        <v>-391.38959329051562</v>
      </c>
      <c r="O280" s="81">
        <f t="shared" si="171"/>
        <v>-2500.6101455486769</v>
      </c>
      <c r="P280" s="79">
        <f t="shared" si="172"/>
        <v>408459.18432491436</v>
      </c>
      <c r="Q280" s="35"/>
      <c r="R280">
        <f t="shared" ca="1" si="184"/>
        <v>402</v>
      </c>
      <c r="S280" s="78">
        <f t="shared" ca="1" si="185"/>
        <v>87.08</v>
      </c>
      <c r="T280" s="55">
        <f t="shared" ca="1" si="173"/>
        <v>1.6316258762122726E-2</v>
      </c>
      <c r="U280" s="78">
        <f t="shared" ca="1" si="190"/>
        <v>0.13693116143551207</v>
      </c>
      <c r="V280" s="79">
        <f t="shared" ca="1" si="186"/>
        <v>39942.426525792493</v>
      </c>
      <c r="W280" s="79">
        <f t="shared" ca="1" si="174"/>
        <v>272.46699756612895</v>
      </c>
      <c r="X280" s="80">
        <f t="shared" ca="1" si="191"/>
        <v>-2.0539674215326809</v>
      </c>
      <c r="Y280" s="80">
        <f t="shared" ca="1" si="192"/>
        <v>-33.285355438160416</v>
      </c>
      <c r="Z280" s="80">
        <f t="shared" ca="1" si="187"/>
        <v>0</v>
      </c>
      <c r="AA280" s="80">
        <f t="shared" ca="1" si="193"/>
        <v>-37.945305199502876</v>
      </c>
      <c r="AB280" s="81">
        <f t="shared" ca="1" si="175"/>
        <v>-342.41145152740523</v>
      </c>
      <c r="AC280" s="79">
        <f t="shared" ca="1" si="176"/>
        <v>39799.197443772027</v>
      </c>
      <c r="AD280" s="35"/>
      <c r="AE280" s="62">
        <f t="shared" ca="1" si="177"/>
        <v>-2500.6101455486773</v>
      </c>
      <c r="AF280" s="62">
        <f t="shared" ca="1" si="178"/>
        <v>290651.13467627688</v>
      </c>
      <c r="AG280" s="35"/>
      <c r="AH280" s="35"/>
      <c r="AR280" s="69">
        <f t="shared" si="188"/>
        <v>24</v>
      </c>
      <c r="AS280" s="70">
        <f t="shared" si="194"/>
        <v>277</v>
      </c>
      <c r="AT280" s="71">
        <f t="shared" si="197"/>
        <v>0.15016390059977569</v>
      </c>
      <c r="AU280" s="72">
        <f t="shared" si="179"/>
        <v>6.8214933659622723E-3</v>
      </c>
      <c r="AV280" s="73">
        <f t="shared" si="189"/>
        <v>1.0068214933659623</v>
      </c>
      <c r="AW280" s="74">
        <f>PRODUCT(AV$4:AV280)</f>
        <v>6.5741022779902831</v>
      </c>
    </row>
    <row r="281" spans="5:49">
      <c r="E281">
        <f t="shared" si="167"/>
        <v>278</v>
      </c>
      <c r="F281" s="64">
        <f t="shared" si="180"/>
        <v>77.16</v>
      </c>
      <c r="G281" s="55">
        <f t="shared" si="168"/>
        <v>0</v>
      </c>
      <c r="H281" s="78">
        <f t="shared" si="195"/>
        <v>1</v>
      </c>
      <c r="I281" s="79">
        <f t="shared" si="181"/>
        <v>408459.18432491436</v>
      </c>
      <c r="J281" s="79">
        <f t="shared" si="169"/>
        <v>2786.3016161387641</v>
      </c>
      <c r="K281" s="80">
        <f t="shared" si="170"/>
        <v>-15</v>
      </c>
      <c r="L281" s="80">
        <f t="shared" si="182"/>
        <v>-340.38265360409531</v>
      </c>
      <c r="M281" s="80">
        <f t="shared" si="196"/>
        <v>0</v>
      </c>
      <c r="N281" s="80">
        <f t="shared" si="183"/>
        <v>-388.0362251086687</v>
      </c>
      <c r="O281" s="81">
        <f t="shared" si="171"/>
        <v>-2500.6101455486769</v>
      </c>
      <c r="P281" s="79">
        <f t="shared" si="172"/>
        <v>408001.45691679174</v>
      </c>
      <c r="Q281" s="35"/>
      <c r="R281">
        <f t="shared" ca="1" si="184"/>
        <v>403</v>
      </c>
      <c r="S281" s="78">
        <f t="shared" ca="1" si="185"/>
        <v>87.16</v>
      </c>
      <c r="T281" s="55">
        <f t="shared" ca="1" si="173"/>
        <v>1.6316258762122726E-2</v>
      </c>
      <c r="U281" s="78">
        <f t="shared" ca="1" si="190"/>
        <v>0.13469695717293226</v>
      </c>
      <c r="V281" s="79">
        <f t="shared" ca="1" si="186"/>
        <v>39149.823439754633</v>
      </c>
      <c r="W281" s="79">
        <f t="shared" ca="1" si="174"/>
        <v>267.06026087288052</v>
      </c>
      <c r="X281" s="80">
        <f t="shared" ca="1" si="191"/>
        <v>-2.0204543575939837</v>
      </c>
      <c r="Y281" s="80">
        <f t="shared" ca="1" si="192"/>
        <v>-32.624852866462199</v>
      </c>
      <c r="Z281" s="80">
        <f t="shared" ca="1" si="187"/>
        <v>0</v>
      </c>
      <c r="AA281" s="80">
        <f t="shared" ca="1" si="193"/>
        <v>-37.192332267766908</v>
      </c>
      <c r="AB281" s="81">
        <f t="shared" ca="1" si="175"/>
        <v>-336.82457768117001</v>
      </c>
      <c r="AC281" s="79">
        <f t="shared" ca="1" si="176"/>
        <v>39008.221483454516</v>
      </c>
      <c r="AD281" s="35"/>
      <c r="AE281" s="62">
        <f t="shared" ca="1" si="177"/>
        <v>-2500.6101455486769</v>
      </c>
      <c r="AF281" s="62">
        <f t="shared" ca="1" si="178"/>
        <v>289599.87146089243</v>
      </c>
      <c r="AG281" s="35"/>
      <c r="AH281" s="35"/>
      <c r="AR281" s="69">
        <f t="shared" si="188"/>
        <v>24</v>
      </c>
      <c r="AS281" s="70">
        <f t="shared" si="194"/>
        <v>278</v>
      </c>
      <c r="AT281" s="71">
        <f t="shared" si="197"/>
        <v>0.1491395585480273</v>
      </c>
      <c r="AU281" s="72">
        <f t="shared" si="179"/>
        <v>6.8214933659622723E-3</v>
      </c>
      <c r="AV281" s="73">
        <f t="shared" si="189"/>
        <v>1.0068214933659623</v>
      </c>
      <c r="AW281" s="74">
        <f>PRODUCT(AV$4:AV281)</f>
        <v>6.6189474730667515</v>
      </c>
    </row>
    <row r="282" spans="5:49">
      <c r="E282">
        <f t="shared" si="167"/>
        <v>279</v>
      </c>
      <c r="F282" s="64">
        <f t="shared" si="180"/>
        <v>77.239999999999995</v>
      </c>
      <c r="G282" s="55">
        <f t="shared" si="168"/>
        <v>0</v>
      </c>
      <c r="H282" s="78">
        <f t="shared" si="195"/>
        <v>1</v>
      </c>
      <c r="I282" s="79">
        <f t="shared" si="181"/>
        <v>408001.45691679174</v>
      </c>
      <c r="J282" s="79">
        <f t="shared" si="169"/>
        <v>2783.1792316608366</v>
      </c>
      <c r="K282" s="80">
        <f t="shared" si="170"/>
        <v>-15</v>
      </c>
      <c r="L282" s="80">
        <f t="shared" si="182"/>
        <v>-340.00121409732645</v>
      </c>
      <c r="M282" s="80">
        <f t="shared" si="196"/>
        <v>0</v>
      </c>
      <c r="N282" s="80">
        <f t="shared" si="183"/>
        <v>-387.60138407095224</v>
      </c>
      <c r="O282" s="81">
        <f t="shared" si="171"/>
        <v>-2500.6101455486769</v>
      </c>
      <c r="P282" s="79">
        <f t="shared" si="172"/>
        <v>407541.42340473569</v>
      </c>
      <c r="Q282" s="35"/>
      <c r="R282">
        <f t="shared" ca="1" si="184"/>
        <v>404</v>
      </c>
      <c r="S282" s="78">
        <f t="shared" ca="1" si="185"/>
        <v>87.24</v>
      </c>
      <c r="T282" s="55">
        <f t="shared" ca="1" si="173"/>
        <v>1.6316258762122726E-2</v>
      </c>
      <c r="U282" s="78">
        <f t="shared" ca="1" si="190"/>
        <v>0.13249920676522814</v>
      </c>
      <c r="V282" s="79">
        <f t="shared" ca="1" si="186"/>
        <v>38371.753247880275</v>
      </c>
      <c r="W282" s="79">
        <f t="shared" ca="1" si="174"/>
        <v>261.75266022075658</v>
      </c>
      <c r="X282" s="80">
        <f t="shared" ca="1" si="191"/>
        <v>-1.987488101478422</v>
      </c>
      <c r="Y282" s="80">
        <f t="shared" ca="1" si="192"/>
        <v>-31.976461039900233</v>
      </c>
      <c r="Z282" s="80">
        <f t="shared" ca="1" si="187"/>
        <v>0</v>
      </c>
      <c r="AA282" s="80">
        <f t="shared" ca="1" si="193"/>
        <v>-36.453165585486268</v>
      </c>
      <c r="AB282" s="81">
        <f t="shared" ca="1" si="175"/>
        <v>-331.32886071428135</v>
      </c>
      <c r="AC282" s="79">
        <f t="shared" ca="1" si="176"/>
        <v>38231.759932659887</v>
      </c>
      <c r="AD282" s="35"/>
      <c r="AE282" s="62">
        <f t="shared" ca="1" si="177"/>
        <v>-2500.6101455486769</v>
      </c>
      <c r="AF282" s="62">
        <f t="shared" ca="1" si="178"/>
        <v>288543.3118131925</v>
      </c>
      <c r="AG282" s="35"/>
      <c r="AH282" s="35"/>
      <c r="AR282" s="69">
        <f t="shared" si="188"/>
        <v>24</v>
      </c>
      <c r="AS282" s="70">
        <f t="shared" si="194"/>
        <v>279</v>
      </c>
      <c r="AT282" s="71">
        <f t="shared" si="197"/>
        <v>0.1481222040387894</v>
      </c>
      <c r="AU282" s="72">
        <f t="shared" si="179"/>
        <v>6.8214933659622723E-3</v>
      </c>
      <c r="AV282" s="73">
        <f t="shared" si="189"/>
        <v>1.0068214933659623</v>
      </c>
      <c r="AW282" s="74">
        <f>PRODUCT(AV$4:AV282)</f>
        <v>6.6640985793439294</v>
      </c>
    </row>
    <row r="283" spans="5:49">
      <c r="E283">
        <f t="shared" ref="E283:E335" si="198">E282+1</f>
        <v>280</v>
      </c>
      <c r="F283" s="64">
        <f t="shared" si="180"/>
        <v>77.319999999999993</v>
      </c>
      <c r="G283" s="55">
        <f t="shared" si="168"/>
        <v>0</v>
      </c>
      <c r="H283" s="78">
        <f t="shared" si="195"/>
        <v>1</v>
      </c>
      <c r="I283" s="79">
        <f t="shared" si="181"/>
        <v>407541.42340473569</v>
      </c>
      <c r="J283" s="79">
        <f t="shared" si="169"/>
        <v>2780.0411161102261</v>
      </c>
      <c r="K283" s="80">
        <f t="shared" si="170"/>
        <v>-15</v>
      </c>
      <c r="L283" s="80">
        <f t="shared" si="182"/>
        <v>-339.61785283727977</v>
      </c>
      <c r="M283" s="80">
        <f t="shared" si="196"/>
        <v>0</v>
      </c>
      <c r="N283" s="80">
        <f t="shared" si="183"/>
        <v>-387.16435223449895</v>
      </c>
      <c r="O283" s="81">
        <f t="shared" si="171"/>
        <v>-2500.6101455486769</v>
      </c>
      <c r="P283" s="79">
        <f t="shared" si="172"/>
        <v>407079.0721702255</v>
      </c>
      <c r="Q283" s="35"/>
      <c r="R283">
        <f t="shared" ca="1" si="184"/>
        <v>405</v>
      </c>
      <c r="S283" s="78">
        <f t="shared" ca="1" si="185"/>
        <v>87.32</v>
      </c>
      <c r="T283" s="55">
        <f t="shared" ca="1" si="173"/>
        <v>1.6316258762122726E-2</v>
      </c>
      <c r="U283" s="78">
        <f t="shared" ca="1" si="190"/>
        <v>0.13033731542187069</v>
      </c>
      <c r="V283" s="79">
        <f t="shared" ca="1" si="186"/>
        <v>37607.960644667255</v>
      </c>
      <c r="W283" s="79">
        <f t="shared" ca="1" si="174"/>
        <v>256.54245404496788</v>
      </c>
      <c r="X283" s="80">
        <f t="shared" ca="1" si="191"/>
        <v>-1.9550597313280602</v>
      </c>
      <c r="Y283" s="80">
        <f t="shared" ca="1" si="192"/>
        <v>-31.33996720388938</v>
      </c>
      <c r="Z283" s="80">
        <f t="shared" ca="1" si="187"/>
        <v>0</v>
      </c>
      <c r="AA283" s="80">
        <f t="shared" ca="1" si="193"/>
        <v>-35.7275626124339</v>
      </c>
      <c r="AB283" s="81">
        <f t="shared" ca="1" si="175"/>
        <v>-325.92281328750784</v>
      </c>
      <c r="AC283" s="79">
        <f t="shared" ca="1" si="176"/>
        <v>37469.557695877069</v>
      </c>
      <c r="AD283" s="35"/>
      <c r="AE283" s="62">
        <f t="shared" ca="1" si="177"/>
        <v>-2500.6101455486769</v>
      </c>
      <c r="AF283" s="62">
        <f t="shared" ca="1" si="178"/>
        <v>287481.42904890346</v>
      </c>
      <c r="AG283" s="35"/>
      <c r="AH283" s="35"/>
      <c r="AR283" s="69">
        <f t="shared" si="188"/>
        <v>24</v>
      </c>
      <c r="AS283" s="70">
        <f t="shared" si="194"/>
        <v>280</v>
      </c>
      <c r="AT283" s="71">
        <f t="shared" si="197"/>
        <v>0.14711178940658709</v>
      </c>
      <c r="AU283" s="72">
        <f t="shared" si="179"/>
        <v>6.8214933659622723E-3</v>
      </c>
      <c r="AV283" s="73">
        <f t="shared" si="189"/>
        <v>1.0068214933659623</v>
      </c>
      <c r="AW283" s="74">
        <f>PRODUCT(AV$4:AV283)</f>
        <v>6.7095576835930428</v>
      </c>
    </row>
    <row r="284" spans="5:49">
      <c r="E284">
        <f t="shared" si="198"/>
        <v>281</v>
      </c>
      <c r="F284" s="64">
        <f t="shared" si="180"/>
        <v>77.400000000000006</v>
      </c>
      <c r="G284" s="55">
        <f t="shared" si="168"/>
        <v>0</v>
      </c>
      <c r="H284" s="78">
        <f t="shared" si="195"/>
        <v>1</v>
      </c>
      <c r="I284" s="79">
        <f t="shared" si="181"/>
        <v>407079.0721702255</v>
      </c>
      <c r="J284" s="79">
        <f t="shared" si="169"/>
        <v>2776.8871902312703</v>
      </c>
      <c r="K284" s="80">
        <f t="shared" si="170"/>
        <v>-15</v>
      </c>
      <c r="L284" s="80">
        <f t="shared" si="182"/>
        <v>-339.23256014185461</v>
      </c>
      <c r="M284" s="80">
        <f t="shared" si="196"/>
        <v>0</v>
      </c>
      <c r="N284" s="80">
        <f t="shared" si="183"/>
        <v>-386.72511856171428</v>
      </c>
      <c r="O284" s="81">
        <f t="shared" si="171"/>
        <v>-2500.6101455486769</v>
      </c>
      <c r="P284" s="79">
        <f t="shared" si="172"/>
        <v>406614.39153620461</v>
      </c>
      <c r="Q284" s="35"/>
      <c r="R284">
        <f t="shared" ca="1" si="184"/>
        <v>406</v>
      </c>
      <c r="S284" s="78">
        <f t="shared" ca="1" si="185"/>
        <v>87.4</v>
      </c>
      <c r="T284" s="55">
        <f t="shared" ca="1" si="173"/>
        <v>1.6316258762122726E-2</v>
      </c>
      <c r="U284" s="78">
        <f t="shared" ca="1" si="190"/>
        <v>0.12821069805708704</v>
      </c>
      <c r="V284" s="79">
        <f t="shared" ca="1" si="186"/>
        <v>36858.194696808852</v>
      </c>
      <c r="W284" s="79">
        <f t="shared" ca="1" si="174"/>
        <v>251.42793060562738</v>
      </c>
      <c r="X284" s="80">
        <f t="shared" ca="1" si="191"/>
        <v>-1.9231604708563057</v>
      </c>
      <c r="Y284" s="80">
        <f t="shared" ca="1" si="192"/>
        <v>-30.715162247340711</v>
      </c>
      <c r="Z284" s="80">
        <f t="shared" ca="1" si="187"/>
        <v>0</v>
      </c>
      <c r="AA284" s="80">
        <f t="shared" ca="1" si="193"/>
        <v>-35.015284961968412</v>
      </c>
      <c r="AB284" s="81">
        <f t="shared" ca="1" si="175"/>
        <v>-320.60497232942993</v>
      </c>
      <c r="AC284" s="79">
        <f t="shared" ca="1" si="176"/>
        <v>36721.364047404888</v>
      </c>
      <c r="AD284" s="35"/>
      <c r="AE284" s="62">
        <f t="shared" ca="1" si="177"/>
        <v>-2500.6101455486773</v>
      </c>
      <c r="AF284" s="62">
        <f t="shared" ca="1" si="178"/>
        <v>286414.19634931203</v>
      </c>
      <c r="AG284" s="35"/>
      <c r="AH284" s="35"/>
      <c r="AR284" s="69">
        <f t="shared" si="188"/>
        <v>24</v>
      </c>
      <c r="AS284" s="70">
        <f t="shared" si="194"/>
        <v>281</v>
      </c>
      <c r="AT284" s="71">
        <f t="shared" ref="AT284:AT347" si="199">(1-AU284)*AT283</f>
        <v>0.14610826731109522</v>
      </c>
      <c r="AU284" s="72">
        <f t="shared" si="179"/>
        <v>6.8214933659622723E-3</v>
      </c>
      <c r="AV284" s="73">
        <f t="shared" si="189"/>
        <v>1.0068214933659623</v>
      </c>
      <c r="AW284" s="74">
        <f>PRODUCT(AV$4:AV284)</f>
        <v>6.7553268868202139</v>
      </c>
    </row>
    <row r="285" spans="5:49">
      <c r="E285">
        <f t="shared" si="198"/>
        <v>282</v>
      </c>
      <c r="F285" s="64">
        <f t="shared" si="180"/>
        <v>77.48</v>
      </c>
      <c r="G285" s="55">
        <f t="shared" si="168"/>
        <v>0</v>
      </c>
      <c r="H285" s="78">
        <f t="shared" si="195"/>
        <v>1</v>
      </c>
      <c r="I285" s="79">
        <f t="shared" si="181"/>
        <v>406614.39153620461</v>
      </c>
      <c r="J285" s="79">
        <f t="shared" si="169"/>
        <v>2773.7173743690055</v>
      </c>
      <c r="K285" s="80">
        <f t="shared" si="170"/>
        <v>-15</v>
      </c>
      <c r="L285" s="80">
        <f t="shared" si="182"/>
        <v>-338.84532628017053</v>
      </c>
      <c r="M285" s="80">
        <f t="shared" si="196"/>
        <v>0</v>
      </c>
      <c r="N285" s="80">
        <f t="shared" si="183"/>
        <v>-386.28367195939444</v>
      </c>
      <c r="O285" s="81">
        <f t="shared" si="171"/>
        <v>-2500.6101455486769</v>
      </c>
      <c r="P285" s="79">
        <f t="shared" si="172"/>
        <v>406147.36976678536</v>
      </c>
      <c r="Q285" s="35"/>
      <c r="R285">
        <f t="shared" ca="1" si="184"/>
        <v>407</v>
      </c>
      <c r="S285" s="78">
        <f t="shared" ca="1" si="185"/>
        <v>87.48</v>
      </c>
      <c r="T285" s="55">
        <f t="shared" ca="1" si="173"/>
        <v>1.6316258762122726E-2</v>
      </c>
      <c r="U285" s="78">
        <f t="shared" ca="1" si="190"/>
        <v>0.12611877913151523</v>
      </c>
      <c r="V285" s="79">
        <f t="shared" ca="1" si="186"/>
        <v>36122.208769509321</v>
      </c>
      <c r="W285" s="79">
        <f t="shared" ca="1" si="174"/>
        <v>246.40740748511206</v>
      </c>
      <c r="X285" s="80">
        <f t="shared" ca="1" si="191"/>
        <v>-1.8917816869727284</v>
      </c>
      <c r="Y285" s="80">
        <f t="shared" ca="1" si="192"/>
        <v>-30.10184064125777</v>
      </c>
      <c r="Z285" s="80">
        <f t="shared" ca="1" si="187"/>
        <v>0</v>
      </c>
      <c r="AA285" s="80">
        <f t="shared" ca="1" si="193"/>
        <v>-34.316098331033864</v>
      </c>
      <c r="AB285" s="81">
        <f t="shared" ca="1" si="175"/>
        <v>-315.37389864047969</v>
      </c>
      <c r="AC285" s="79">
        <f t="shared" ca="1" si="176"/>
        <v>35986.932557694687</v>
      </c>
      <c r="AD285" s="35"/>
      <c r="AE285" s="62">
        <f t="shared" ca="1" si="177"/>
        <v>-2500.6101455486764</v>
      </c>
      <c r="AF285" s="62">
        <f t="shared" ca="1" si="178"/>
        <v>285341.58676058799</v>
      </c>
      <c r="AG285" s="35"/>
      <c r="AH285" s="35"/>
      <c r="AR285" s="69">
        <f t="shared" si="188"/>
        <v>24</v>
      </c>
      <c r="AS285" s="70">
        <f t="shared" si="194"/>
        <v>282</v>
      </c>
      <c r="AT285" s="71">
        <f t="shared" si="199"/>
        <v>0.14511159073492033</v>
      </c>
      <c r="AU285" s="72">
        <f t="shared" si="179"/>
        <v>6.8214933659622723E-3</v>
      </c>
      <c r="AV285" s="73">
        <f t="shared" si="189"/>
        <v>1.0068214933659623</v>
      </c>
      <c r="AW285" s="74">
        <f>PRODUCT(AV$4:AV285)</f>
        <v>6.8014083043635649</v>
      </c>
    </row>
    <row r="286" spans="5:49">
      <c r="E286">
        <f t="shared" si="198"/>
        <v>283</v>
      </c>
      <c r="F286" s="64">
        <f t="shared" si="180"/>
        <v>77.56</v>
      </c>
      <c r="G286" s="55">
        <f t="shared" si="168"/>
        <v>0</v>
      </c>
      <c r="H286" s="78">
        <f t="shared" si="195"/>
        <v>1</v>
      </c>
      <c r="I286" s="79">
        <f t="shared" si="181"/>
        <v>406147.36976678536</v>
      </c>
      <c r="J286" s="79">
        <f t="shared" si="169"/>
        <v>2770.5315884671522</v>
      </c>
      <c r="K286" s="80">
        <f t="shared" si="170"/>
        <v>-15</v>
      </c>
      <c r="L286" s="80">
        <f t="shared" si="182"/>
        <v>-338.45614147232118</v>
      </c>
      <c r="M286" s="80">
        <f t="shared" si="196"/>
        <v>0</v>
      </c>
      <c r="N286" s="80">
        <f t="shared" si="183"/>
        <v>-385.84000127844615</v>
      </c>
      <c r="O286" s="81">
        <f t="shared" si="171"/>
        <v>-2500.6101455486769</v>
      </c>
      <c r="P286" s="79">
        <f t="shared" si="172"/>
        <v>405677.99506695307</v>
      </c>
      <c r="Q286" s="35"/>
      <c r="R286">
        <f t="shared" ca="1" si="184"/>
        <v>408</v>
      </c>
      <c r="S286" s="78">
        <f t="shared" ca="1" si="185"/>
        <v>87.56</v>
      </c>
      <c r="T286" s="55">
        <f t="shared" ca="1" si="173"/>
        <v>1.7882078716896954E-2</v>
      </c>
      <c r="U286" s="78">
        <f t="shared" ca="1" si="190"/>
        <v>0.12386351319540653</v>
      </c>
      <c r="V286" s="79">
        <f t="shared" ca="1" si="186"/>
        <v>35343.411396918331</v>
      </c>
      <c r="W286" s="79">
        <f t="shared" ca="1" si="174"/>
        <v>241.09484637455375</v>
      </c>
      <c r="X286" s="80">
        <f t="shared" ca="1" si="191"/>
        <v>-1.8579526979310981</v>
      </c>
      <c r="Y286" s="80">
        <f t="shared" ca="1" si="192"/>
        <v>-29.452842830765277</v>
      </c>
      <c r="Z286" s="80">
        <f t="shared" ca="1" si="187"/>
        <v>0</v>
      </c>
      <c r="AA286" s="80">
        <f t="shared" ca="1" si="193"/>
        <v>-33.576240827072418</v>
      </c>
      <c r="AB286" s="81">
        <f t="shared" ca="1" si="175"/>
        <v>-309.73435775973599</v>
      </c>
      <c r="AC286" s="79">
        <f t="shared" ca="1" si="176"/>
        <v>35209.884849177375</v>
      </c>
      <c r="AD286" s="35"/>
      <c r="AE286" s="62">
        <f t="shared" ca="1" si="177"/>
        <v>-2500.6101455486769</v>
      </c>
      <c r="AF286" s="62">
        <f t="shared" ca="1" si="178"/>
        <v>284263.57319310342</v>
      </c>
      <c r="AG286" s="35"/>
      <c r="AH286" s="35"/>
      <c r="AR286" s="69">
        <f t="shared" si="188"/>
        <v>24</v>
      </c>
      <c r="AS286" s="70">
        <f t="shared" si="194"/>
        <v>283</v>
      </c>
      <c r="AT286" s="71">
        <f t="shared" si="199"/>
        <v>0.14412171298139784</v>
      </c>
      <c r="AU286" s="72">
        <f t="shared" si="179"/>
        <v>6.8214933659622723E-3</v>
      </c>
      <c r="AV286" s="73">
        <f t="shared" si="189"/>
        <v>1.0068214933659623</v>
      </c>
      <c r="AW286" s="74">
        <f>PRODUCT(AV$4:AV286)</f>
        <v>6.8478040659909816</v>
      </c>
    </row>
    <row r="287" spans="5:49">
      <c r="E287">
        <f t="shared" si="198"/>
        <v>284</v>
      </c>
      <c r="F287" s="64">
        <f t="shared" si="180"/>
        <v>77.64</v>
      </c>
      <c r="G287" s="55">
        <f t="shared" si="168"/>
        <v>0</v>
      </c>
      <c r="H287" s="78">
        <f t="shared" si="195"/>
        <v>1</v>
      </c>
      <c r="I287" s="79">
        <f t="shared" si="181"/>
        <v>405677.99506695307</v>
      </c>
      <c r="J287" s="79">
        <f t="shared" si="169"/>
        <v>2767.3297520660958</v>
      </c>
      <c r="K287" s="80">
        <f t="shared" si="170"/>
        <v>-15</v>
      </c>
      <c r="L287" s="80">
        <f t="shared" si="182"/>
        <v>-338.0649958891276</v>
      </c>
      <c r="M287" s="80">
        <f t="shared" si="196"/>
        <v>0</v>
      </c>
      <c r="N287" s="80">
        <f t="shared" si="183"/>
        <v>-385.39409531360548</v>
      </c>
      <c r="O287" s="81">
        <f t="shared" si="171"/>
        <v>-2500.6101455486769</v>
      </c>
      <c r="P287" s="79">
        <f t="shared" si="172"/>
        <v>405206.25558226777</v>
      </c>
      <c r="Q287" s="35"/>
      <c r="R287">
        <f t="shared" ca="1" si="184"/>
        <v>409</v>
      </c>
      <c r="S287" s="78">
        <f t="shared" ca="1" si="185"/>
        <v>87.64</v>
      </c>
      <c r="T287" s="55">
        <f t="shared" ca="1" si="173"/>
        <v>1.7882078716896954E-2</v>
      </c>
      <c r="U287" s="78">
        <f t="shared" ca="1" si="190"/>
        <v>0.12164857610229488</v>
      </c>
      <c r="V287" s="79">
        <f t="shared" ca="1" si="186"/>
        <v>34580.258916691506</v>
      </c>
      <c r="W287" s="79">
        <f t="shared" ca="1" si="174"/>
        <v>235.88900679346881</v>
      </c>
      <c r="X287" s="80">
        <f t="shared" ca="1" si="191"/>
        <v>-1.824728641534423</v>
      </c>
      <c r="Y287" s="80">
        <f t="shared" ca="1" si="192"/>
        <v>-28.816882430576257</v>
      </c>
      <c r="Z287" s="80">
        <f t="shared" ca="1" si="187"/>
        <v>-259.3519418751863</v>
      </c>
      <c r="AA287" s="80">
        <f t="shared" ca="1" si="193"/>
        <v>-32.851245970856937</v>
      </c>
      <c r="AB287" s="81">
        <f t="shared" ca="1" si="175"/>
        <v>-304.19566359294885</v>
      </c>
      <c r="AC287" s="79">
        <f t="shared" ca="1" si="176"/>
        <v>34189.107460973872</v>
      </c>
      <c r="AD287" s="35"/>
      <c r="AE287" s="62">
        <f t="shared" ca="1" si="177"/>
        <v>-2500.6101455486764</v>
      </c>
      <c r="AF287" s="62">
        <f t="shared" ca="1" si="178"/>
        <v>281048.15162180021</v>
      </c>
      <c r="AG287" s="35"/>
      <c r="AH287" s="35"/>
      <c r="AR287" s="69">
        <f t="shared" si="188"/>
        <v>24</v>
      </c>
      <c r="AS287" s="70">
        <f t="shared" si="194"/>
        <v>284</v>
      </c>
      <c r="AT287" s="71">
        <f t="shared" si="199"/>
        <v>0.14313858767240412</v>
      </c>
      <c r="AU287" s="72">
        <f t="shared" si="179"/>
        <v>6.8214933659622723E-3</v>
      </c>
      <c r="AV287" s="73">
        <f t="shared" si="189"/>
        <v>1.0068214933659623</v>
      </c>
      <c r="AW287" s="74">
        <f>PRODUCT(AV$4:AV287)</f>
        <v>6.8945163159985485</v>
      </c>
    </row>
    <row r="288" spans="5:49">
      <c r="E288">
        <f t="shared" si="198"/>
        <v>285</v>
      </c>
      <c r="F288" s="64">
        <f t="shared" si="180"/>
        <v>77.72</v>
      </c>
      <c r="G288" s="55">
        <f t="shared" si="168"/>
        <v>0</v>
      </c>
      <c r="H288" s="78">
        <f t="shared" si="195"/>
        <v>1</v>
      </c>
      <c r="I288" s="79">
        <f t="shared" si="181"/>
        <v>405206.25558226777</v>
      </c>
      <c r="J288" s="79">
        <f t="shared" si="169"/>
        <v>2764.1117843008524</v>
      </c>
      <c r="K288" s="80">
        <f t="shared" si="170"/>
        <v>-15</v>
      </c>
      <c r="L288" s="80">
        <f t="shared" si="182"/>
        <v>-337.67187965188981</v>
      </c>
      <c r="M288" s="80">
        <f t="shared" si="196"/>
        <v>0</v>
      </c>
      <c r="N288" s="80">
        <f t="shared" si="183"/>
        <v>-384.94594280315442</v>
      </c>
      <c r="O288" s="81">
        <f t="shared" si="171"/>
        <v>-2500.6101455486769</v>
      </c>
      <c r="P288" s="79">
        <f t="shared" si="172"/>
        <v>404732.13939856488</v>
      </c>
      <c r="Q288" s="35"/>
      <c r="R288">
        <f t="shared" ca="1" si="184"/>
        <v>410</v>
      </c>
      <c r="S288" s="78">
        <f t="shared" ca="1" si="185"/>
        <v>87.72</v>
      </c>
      <c r="T288" s="55">
        <f t="shared" ca="1" si="173"/>
        <v>1.7882078716896954E-2</v>
      </c>
      <c r="U288" s="78">
        <f t="shared" ca="1" si="190"/>
        <v>0.11947324668863521</v>
      </c>
      <c r="V288" s="79">
        <f t="shared" ca="1" si="186"/>
        <v>33577.73515009629</v>
      </c>
      <c r="W288" s="79">
        <f t="shared" ca="1" si="174"/>
        <v>229.05029757042004</v>
      </c>
      <c r="X288" s="80">
        <f t="shared" ca="1" si="191"/>
        <v>-1.7920987003295281</v>
      </c>
      <c r="Y288" s="80">
        <f t="shared" ca="1" si="192"/>
        <v>-27.981445958413577</v>
      </c>
      <c r="Z288" s="80">
        <f t="shared" ca="1" si="187"/>
        <v>0</v>
      </c>
      <c r="AA288" s="80">
        <f t="shared" ca="1" si="193"/>
        <v>-31.898848392591479</v>
      </c>
      <c r="AB288" s="81">
        <f t="shared" ca="1" si="175"/>
        <v>-298.75601279124106</v>
      </c>
      <c r="AC288" s="79">
        <f t="shared" ca="1" si="176"/>
        <v>33446.357041824129</v>
      </c>
      <c r="AD288" s="35"/>
      <c r="AE288" s="62">
        <f t="shared" ca="1" si="177"/>
        <v>-2500.6101455486769</v>
      </c>
      <c r="AF288" s="62">
        <f t="shared" ca="1" si="178"/>
        <v>279948.50704099669</v>
      </c>
      <c r="AG288" s="35"/>
      <c r="AH288" s="35"/>
      <c r="AR288" s="69">
        <f t="shared" si="188"/>
        <v>24</v>
      </c>
      <c r="AS288" s="70">
        <f t="shared" si="194"/>
        <v>285</v>
      </c>
      <c r="AT288" s="71">
        <f t="shared" si="199"/>
        <v>0.14216216874618359</v>
      </c>
      <c r="AU288" s="72">
        <f t="shared" si="179"/>
        <v>6.8214933659622723E-3</v>
      </c>
      <c r="AV288" s="73">
        <f t="shared" si="189"/>
        <v>1.0068214933659623</v>
      </c>
      <c r="AW288" s="74">
        <f>PRODUCT(AV$4:AV288)</f>
        <v>6.9415472133096516</v>
      </c>
    </row>
    <row r="289" spans="5:49">
      <c r="E289">
        <f t="shared" si="198"/>
        <v>286</v>
      </c>
      <c r="F289" s="64">
        <f t="shared" si="180"/>
        <v>77.8</v>
      </c>
      <c r="G289" s="55">
        <f t="shared" si="168"/>
        <v>0</v>
      </c>
      <c r="H289" s="78">
        <f t="shared" si="195"/>
        <v>1</v>
      </c>
      <c r="I289" s="79">
        <f t="shared" si="181"/>
        <v>404732.13939856488</v>
      </c>
      <c r="J289" s="79">
        <f t="shared" si="169"/>
        <v>2760.8776038990277</v>
      </c>
      <c r="K289" s="80">
        <f t="shared" si="170"/>
        <v>-15</v>
      </c>
      <c r="L289" s="80">
        <f t="shared" si="182"/>
        <v>-337.27678283213743</v>
      </c>
      <c r="M289" s="80">
        <f t="shared" si="196"/>
        <v>0</v>
      </c>
      <c r="N289" s="80">
        <f t="shared" si="183"/>
        <v>-384.49553242863675</v>
      </c>
      <c r="O289" s="81">
        <f t="shared" si="171"/>
        <v>-2500.6101455486769</v>
      </c>
      <c r="P289" s="79">
        <f t="shared" si="172"/>
        <v>404255.63454165455</v>
      </c>
      <c r="Q289" s="35"/>
      <c r="R289">
        <f t="shared" ca="1" si="184"/>
        <v>411</v>
      </c>
      <c r="S289" s="78">
        <f t="shared" ca="1" si="185"/>
        <v>87.8</v>
      </c>
      <c r="T289" s="55">
        <f t="shared" ca="1" si="173"/>
        <v>1.7882078716896954E-2</v>
      </c>
      <c r="U289" s="78">
        <f t="shared" ca="1" si="190"/>
        <v>0.11733681668678579</v>
      </c>
      <c r="V289" s="79">
        <f t="shared" ca="1" si="186"/>
        <v>32848.266652408791</v>
      </c>
      <c r="W289" s="79">
        <f t="shared" ca="1" si="174"/>
        <v>224.07423305276632</v>
      </c>
      <c r="X289" s="80">
        <f t="shared" ca="1" si="191"/>
        <v>-1.7600522503017868</v>
      </c>
      <c r="Y289" s="80">
        <f t="shared" ca="1" si="192"/>
        <v>-27.373555543673994</v>
      </c>
      <c r="Z289" s="80">
        <f t="shared" ca="1" si="187"/>
        <v>0</v>
      </c>
      <c r="AA289" s="80">
        <f t="shared" ca="1" si="193"/>
        <v>-31.205853319788357</v>
      </c>
      <c r="AB289" s="81">
        <f t="shared" ca="1" si="175"/>
        <v>-293.41363425336186</v>
      </c>
      <c r="AC289" s="79">
        <f t="shared" ca="1" si="176"/>
        <v>32718.587790094432</v>
      </c>
      <c r="AD289" s="35"/>
      <c r="AE289" s="62">
        <f t="shared" ca="1" si="177"/>
        <v>-2500.6101455486773</v>
      </c>
      <c r="AF289" s="62">
        <f t="shared" ca="1" si="178"/>
        <v>278843.32227481611</v>
      </c>
      <c r="AG289" s="35"/>
      <c r="AH289" s="35"/>
      <c r="AR289" s="69">
        <f t="shared" si="188"/>
        <v>24</v>
      </c>
      <c r="AS289" s="70">
        <f t="shared" si="194"/>
        <v>286</v>
      </c>
      <c r="AT289" s="71">
        <f t="shared" si="199"/>
        <v>0.14119241045519068</v>
      </c>
      <c r="AU289" s="72">
        <f t="shared" si="179"/>
        <v>6.8214933659622723E-3</v>
      </c>
      <c r="AV289" s="73">
        <f t="shared" si="189"/>
        <v>1.0068214933659623</v>
      </c>
      <c r="AW289" s="74">
        <f>PRODUCT(AV$4:AV289)</f>
        <v>6.9888989315747576</v>
      </c>
    </row>
    <row r="290" spans="5:49">
      <c r="E290">
        <f t="shared" si="198"/>
        <v>287</v>
      </c>
      <c r="F290" s="64">
        <f t="shared" si="180"/>
        <v>77.88</v>
      </c>
      <c r="G290" s="55">
        <f t="shared" si="168"/>
        <v>0</v>
      </c>
      <c r="H290" s="78">
        <f t="shared" si="195"/>
        <v>1</v>
      </c>
      <c r="I290" s="79">
        <f t="shared" si="181"/>
        <v>404255.63454165455</v>
      </c>
      <c r="J290" s="79">
        <f t="shared" si="169"/>
        <v>2757.6271291787652</v>
      </c>
      <c r="K290" s="80">
        <f t="shared" si="170"/>
        <v>-15</v>
      </c>
      <c r="L290" s="80">
        <f t="shared" si="182"/>
        <v>-336.87969545137884</v>
      </c>
      <c r="M290" s="80">
        <f t="shared" si="196"/>
        <v>0</v>
      </c>
      <c r="N290" s="80">
        <f t="shared" si="183"/>
        <v>-384.04285281457192</v>
      </c>
      <c r="O290" s="81">
        <f t="shared" si="171"/>
        <v>-2500.6101455486769</v>
      </c>
      <c r="P290" s="79">
        <f t="shared" si="172"/>
        <v>403776.72897701873</v>
      </c>
      <c r="Q290" s="35"/>
      <c r="R290">
        <f t="shared" ca="1" si="184"/>
        <v>412</v>
      </c>
      <c r="S290" s="78">
        <f t="shared" ca="1" si="185"/>
        <v>87.88</v>
      </c>
      <c r="T290" s="55">
        <f t="shared" ca="1" si="173"/>
        <v>1.7882078716896954E-2</v>
      </c>
      <c r="U290" s="78">
        <f t="shared" ca="1" si="190"/>
        <v>0.11523859049440258</v>
      </c>
      <c r="V290" s="79">
        <f t="shared" ca="1" si="186"/>
        <v>32133.511427726262</v>
      </c>
      <c r="W290" s="79">
        <f t="shared" ca="1" si="174"/>
        <v>219.19853502930755</v>
      </c>
      <c r="X290" s="80">
        <f t="shared" ca="1" si="191"/>
        <v>-1.7285788574160386</v>
      </c>
      <c r="Y290" s="80">
        <f t="shared" ca="1" si="192"/>
        <v>-26.777926189771886</v>
      </c>
      <c r="Z290" s="80">
        <f t="shared" ca="1" si="187"/>
        <v>0</v>
      </c>
      <c r="AA290" s="80">
        <f t="shared" ca="1" si="193"/>
        <v>-30.526835856339954</v>
      </c>
      <c r="AB290" s="81">
        <f t="shared" ca="1" si="175"/>
        <v>-288.16678854903239</v>
      </c>
      <c r="AC290" s="79">
        <f t="shared" ca="1" si="176"/>
        <v>32005.509833303011</v>
      </c>
      <c r="AD290" s="35"/>
      <c r="AE290" s="62">
        <f t="shared" ca="1" si="177"/>
        <v>-2500.6101455486769</v>
      </c>
      <c r="AF290" s="62">
        <f t="shared" ca="1" si="178"/>
        <v>277732.56941091793</v>
      </c>
      <c r="AG290" s="35"/>
      <c r="AH290" s="35"/>
      <c r="AR290" s="69">
        <f t="shared" si="188"/>
        <v>24</v>
      </c>
      <c r="AS290" s="70">
        <f t="shared" si="194"/>
        <v>287</v>
      </c>
      <c r="AT290" s="71">
        <f t="shared" si="199"/>
        <v>0.14022926736394636</v>
      </c>
      <c r="AU290" s="72">
        <f t="shared" si="179"/>
        <v>6.8214933659622723E-3</v>
      </c>
      <c r="AV290" s="73">
        <f t="shared" si="189"/>
        <v>1.0068214933659623</v>
      </c>
      <c r="AW290" s="74">
        <f>PRODUCT(AV$4:AV290)</f>
        <v>7.0365736592718759</v>
      </c>
    </row>
    <row r="291" spans="5:49">
      <c r="E291">
        <f t="shared" si="198"/>
        <v>288</v>
      </c>
      <c r="F291" s="64">
        <f t="shared" si="180"/>
        <v>77.959999999999994</v>
      </c>
      <c r="G291" s="55">
        <f t="shared" si="168"/>
        <v>0</v>
      </c>
      <c r="H291" s="78">
        <f t="shared" si="195"/>
        <v>1</v>
      </c>
      <c r="I291" s="79">
        <f t="shared" si="181"/>
        <v>403776.72897701873</v>
      </c>
      <c r="J291" s="79">
        <f t="shared" si="169"/>
        <v>2754.3602780466795</v>
      </c>
      <c r="K291" s="80">
        <f t="shared" si="170"/>
        <v>-15</v>
      </c>
      <c r="L291" s="80">
        <f t="shared" si="182"/>
        <v>-336.48060748084896</v>
      </c>
      <c r="M291" s="80">
        <f t="shared" si="196"/>
        <v>0</v>
      </c>
      <c r="N291" s="80">
        <f t="shared" si="183"/>
        <v>-383.58789252816786</v>
      </c>
      <c r="O291" s="81">
        <f t="shared" si="171"/>
        <v>-2500.6101455486769</v>
      </c>
      <c r="P291" s="79">
        <f t="shared" si="172"/>
        <v>403295.41060950776</v>
      </c>
      <c r="Q291" s="35"/>
      <c r="R291">
        <f t="shared" ca="1" si="184"/>
        <v>413</v>
      </c>
      <c r="S291" s="78">
        <f t="shared" ca="1" si="185"/>
        <v>87.96</v>
      </c>
      <c r="T291" s="55">
        <f t="shared" ca="1" si="173"/>
        <v>1.7882078716896954E-2</v>
      </c>
      <c r="U291" s="78">
        <f t="shared" ca="1" si="190"/>
        <v>0.11317788494795741</v>
      </c>
      <c r="V291" s="79">
        <f t="shared" ca="1" si="186"/>
        <v>31433.184787089467</v>
      </c>
      <c r="W291" s="79">
        <f t="shared" ca="1" si="174"/>
        <v>214.42126149619702</v>
      </c>
      <c r="X291" s="80">
        <f t="shared" ca="1" si="191"/>
        <v>-1.6976682742193612</v>
      </c>
      <c r="Y291" s="80">
        <f t="shared" ca="1" si="192"/>
        <v>-26.194320655907891</v>
      </c>
      <c r="Z291" s="80">
        <f t="shared" ca="1" si="187"/>
        <v>0</v>
      </c>
      <c r="AA291" s="80">
        <f t="shared" ca="1" si="193"/>
        <v>-29.861525547734999</v>
      </c>
      <c r="AB291" s="81">
        <f t="shared" ca="1" si="175"/>
        <v>-283.01376735260322</v>
      </c>
      <c r="AC291" s="79">
        <f t="shared" ca="1" si="176"/>
        <v>31306.838766755198</v>
      </c>
      <c r="AD291" s="35"/>
      <c r="AE291" s="62">
        <f t="shared" ca="1" si="177"/>
        <v>-2500.6101455486773</v>
      </c>
      <c r="AF291" s="62">
        <f t="shared" ca="1" si="178"/>
        <v>276616.22039633471</v>
      </c>
      <c r="AG291" s="35"/>
      <c r="AH291" s="35"/>
      <c r="AR291" s="69">
        <f t="shared" si="188"/>
        <v>24</v>
      </c>
      <c r="AS291" s="70">
        <f t="shared" si="194"/>
        <v>288</v>
      </c>
      <c r="AT291" s="71">
        <f t="shared" si="199"/>
        <v>0.13927269434690945</v>
      </c>
      <c r="AU291" s="72">
        <f t="shared" si="179"/>
        <v>6.8214933659622723E-3</v>
      </c>
      <c r="AV291" s="73">
        <f t="shared" si="189"/>
        <v>1.0068214933659623</v>
      </c>
      <c r="AW291" s="74">
        <f>PRODUCT(AV$4:AV291)</f>
        <v>7.0845735998077037</v>
      </c>
    </row>
    <row r="292" spans="5:49">
      <c r="E292">
        <f t="shared" si="198"/>
        <v>289</v>
      </c>
      <c r="F292" s="64">
        <f t="shared" si="180"/>
        <v>78.040000000000006</v>
      </c>
      <c r="G292" s="55">
        <f t="shared" si="168"/>
        <v>0</v>
      </c>
      <c r="H292" s="78">
        <f t="shared" si="195"/>
        <v>1</v>
      </c>
      <c r="I292" s="79">
        <f t="shared" si="181"/>
        <v>403295.41060950776</v>
      </c>
      <c r="J292" s="79">
        <f t="shared" si="169"/>
        <v>2751.076967995788</v>
      </c>
      <c r="K292" s="80">
        <f t="shared" si="170"/>
        <v>-15</v>
      </c>
      <c r="L292" s="80">
        <f t="shared" si="182"/>
        <v>-336.07950884125648</v>
      </c>
      <c r="M292" s="80">
        <f t="shared" si="196"/>
        <v>-3024.7155795713079</v>
      </c>
      <c r="N292" s="80">
        <f t="shared" si="183"/>
        <v>-383.13064007903245</v>
      </c>
      <c r="O292" s="81">
        <f t="shared" si="171"/>
        <v>-2500.6101455486769</v>
      </c>
      <c r="P292" s="79">
        <f t="shared" si="172"/>
        <v>399786.95170346327</v>
      </c>
      <c r="Q292" s="35"/>
      <c r="R292">
        <f t="shared" ca="1" si="184"/>
        <v>414</v>
      </c>
      <c r="S292" s="78">
        <f t="shared" ca="1" si="185"/>
        <v>88.04</v>
      </c>
      <c r="T292" s="55">
        <f t="shared" ca="1" si="173"/>
        <v>1.7882078716896954E-2</v>
      </c>
      <c r="U292" s="78">
        <f t="shared" ca="1" si="190"/>
        <v>0.11115402910030613</v>
      </c>
      <c r="V292" s="79">
        <f t="shared" ca="1" si="186"/>
        <v>30747.00741155088</v>
      </c>
      <c r="W292" s="79">
        <f t="shared" ca="1" si="174"/>
        <v>209.74050708108715</v>
      </c>
      <c r="X292" s="80">
        <f t="shared" ca="1" si="191"/>
        <v>-1.6673104365045919</v>
      </c>
      <c r="Y292" s="80">
        <f t="shared" ca="1" si="192"/>
        <v>-25.622506176292401</v>
      </c>
      <c r="Z292" s="80">
        <f t="shared" ca="1" si="187"/>
        <v>0</v>
      </c>
      <c r="AA292" s="80">
        <f t="shared" ca="1" si="193"/>
        <v>-29.20965704097334</v>
      </c>
      <c r="AB292" s="81">
        <f t="shared" ca="1" si="175"/>
        <v>-277.95289288683836</v>
      </c>
      <c r="AC292" s="79">
        <f t="shared" ca="1" si="176"/>
        <v>30622.295552091357</v>
      </c>
      <c r="AD292" s="35"/>
      <c r="AE292" s="62">
        <f t="shared" ca="1" si="177"/>
        <v>-2500.6101455486769</v>
      </c>
      <c r="AF292" s="62">
        <f t="shared" ca="1" si="178"/>
        <v>275494.2470367637</v>
      </c>
      <c r="AG292" s="35"/>
      <c r="AH292" s="35"/>
      <c r="AR292" s="69">
        <f t="shared" si="188"/>
        <v>25</v>
      </c>
      <c r="AS292" s="70">
        <f t="shared" si="194"/>
        <v>289</v>
      </c>
      <c r="AT292" s="71">
        <f t="shared" si="199"/>
        <v>0.13832264658636231</v>
      </c>
      <c r="AU292" s="72">
        <f t="shared" si="179"/>
        <v>6.8214933659622723E-3</v>
      </c>
      <c r="AV292" s="73">
        <f t="shared" si="189"/>
        <v>1.0068214933659623</v>
      </c>
      <c r="AW292" s="74">
        <f>PRODUCT(AV$4:AV292)</f>
        <v>7.1329009716194633</v>
      </c>
    </row>
    <row r="293" spans="5:49">
      <c r="E293">
        <f t="shared" si="198"/>
        <v>290</v>
      </c>
      <c r="F293" s="64">
        <f t="shared" si="180"/>
        <v>78.12</v>
      </c>
      <c r="G293" s="55">
        <f t="shared" si="168"/>
        <v>0</v>
      </c>
      <c r="H293" s="78">
        <f t="shared" si="195"/>
        <v>1</v>
      </c>
      <c r="I293" s="79">
        <f t="shared" si="181"/>
        <v>399786.95170346327</v>
      </c>
      <c r="J293" s="79">
        <f t="shared" si="169"/>
        <v>2727.1440388434539</v>
      </c>
      <c r="K293" s="80">
        <f t="shared" si="170"/>
        <v>-15</v>
      </c>
      <c r="L293" s="80">
        <f t="shared" si="182"/>
        <v>-333.15579308621943</v>
      </c>
      <c r="M293" s="80">
        <f t="shared" si="196"/>
        <v>0</v>
      </c>
      <c r="N293" s="80">
        <f t="shared" si="183"/>
        <v>-379.79760411829017</v>
      </c>
      <c r="O293" s="81">
        <f t="shared" si="171"/>
        <v>-2500.6101455486769</v>
      </c>
      <c r="P293" s="79">
        <f t="shared" si="172"/>
        <v>399285.53219955356</v>
      </c>
      <c r="Q293" s="35"/>
      <c r="R293">
        <f t="shared" ca="1" si="184"/>
        <v>415</v>
      </c>
      <c r="S293" s="78">
        <f t="shared" ca="1" si="185"/>
        <v>88.12</v>
      </c>
      <c r="T293" s="55">
        <f t="shared" ca="1" si="173"/>
        <v>1.7882078716896954E-2</v>
      </c>
      <c r="U293" s="78">
        <f t="shared" ca="1" si="190"/>
        <v>0.1091663640022342</v>
      </c>
      <c r="V293" s="79">
        <f t="shared" ca="1" si="186"/>
        <v>30074.705252536776</v>
      </c>
      <c r="W293" s="79">
        <f t="shared" ca="1" si="174"/>
        <v>205.15440236345032</v>
      </c>
      <c r="X293" s="80">
        <f t="shared" ca="1" si="191"/>
        <v>-1.637495460033513</v>
      </c>
      <c r="Y293" s="80">
        <f t="shared" ca="1" si="192"/>
        <v>-25.06225437711398</v>
      </c>
      <c r="Z293" s="80">
        <f t="shared" ca="1" si="187"/>
        <v>0</v>
      </c>
      <c r="AA293" s="80">
        <f t="shared" ca="1" si="193"/>
        <v>-28.570969989909941</v>
      </c>
      <c r="AB293" s="81">
        <f t="shared" ca="1" si="175"/>
        <v>-272.98251737664674</v>
      </c>
      <c r="AC293" s="79">
        <f t="shared" ca="1" si="176"/>
        <v>29951.606417696523</v>
      </c>
      <c r="AD293" s="35"/>
      <c r="AE293" s="62">
        <f t="shared" ca="1" si="177"/>
        <v>-2500.6101455486773</v>
      </c>
      <c r="AF293" s="62">
        <f t="shared" ca="1" si="178"/>
        <v>274366.62099585484</v>
      </c>
      <c r="AG293" s="35"/>
      <c r="AH293" s="35"/>
      <c r="AR293" s="69">
        <f t="shared" si="188"/>
        <v>25</v>
      </c>
      <c r="AS293" s="70">
        <f t="shared" si="194"/>
        <v>290</v>
      </c>
      <c r="AT293" s="71">
        <f t="shared" si="199"/>
        <v>0.13737907957031109</v>
      </c>
      <c r="AU293" s="72">
        <f t="shared" si="179"/>
        <v>6.8214933659622723E-3</v>
      </c>
      <c r="AV293" s="73">
        <f t="shared" si="189"/>
        <v>1.0068214933659623</v>
      </c>
      <c r="AW293" s="74">
        <f>PRODUCT(AV$4:AV293)</f>
        <v>7.1815580082774311</v>
      </c>
    </row>
    <row r="294" spans="5:49">
      <c r="E294">
        <f t="shared" si="198"/>
        <v>291</v>
      </c>
      <c r="F294" s="64">
        <f t="shared" si="180"/>
        <v>78.2</v>
      </c>
      <c r="G294" s="55">
        <f t="shared" si="168"/>
        <v>0</v>
      </c>
      <c r="H294" s="78">
        <f t="shared" si="195"/>
        <v>1</v>
      </c>
      <c r="I294" s="79">
        <f t="shared" si="181"/>
        <v>399285.53219955356</v>
      </c>
      <c r="J294" s="79">
        <f t="shared" si="169"/>
        <v>2723.7236090239699</v>
      </c>
      <c r="K294" s="80">
        <f t="shared" si="170"/>
        <v>-15</v>
      </c>
      <c r="L294" s="80">
        <f t="shared" si="182"/>
        <v>-332.73794349962799</v>
      </c>
      <c r="M294" s="80">
        <f t="shared" si="196"/>
        <v>0</v>
      </c>
      <c r="N294" s="80">
        <f t="shared" si="183"/>
        <v>-379.32125558957597</v>
      </c>
      <c r="O294" s="81">
        <f t="shared" si="171"/>
        <v>-2500.6101455486769</v>
      </c>
      <c r="P294" s="79">
        <f t="shared" si="172"/>
        <v>398781.58646393963</v>
      </c>
      <c r="Q294" s="35"/>
      <c r="R294">
        <f t="shared" ca="1" si="184"/>
        <v>416</v>
      </c>
      <c r="S294" s="78">
        <f t="shared" ca="1" si="185"/>
        <v>88.2</v>
      </c>
      <c r="T294" s="55">
        <f t="shared" ca="1" si="173"/>
        <v>1.7882078716896954E-2</v>
      </c>
      <c r="U294" s="78">
        <f t="shared" ca="1" si="190"/>
        <v>0.10721424248790883</v>
      </c>
      <c r="V294" s="79">
        <f t="shared" ca="1" si="186"/>
        <v>29416.009434037758</v>
      </c>
      <c r="W294" s="79">
        <f t="shared" ca="1" si="174"/>
        <v>200.66111320737218</v>
      </c>
      <c r="X294" s="80">
        <f t="shared" ca="1" si="191"/>
        <v>-1.6082136373186324</v>
      </c>
      <c r="Y294" s="80">
        <f t="shared" ca="1" si="192"/>
        <v>-24.513341195031465</v>
      </c>
      <c r="Z294" s="80">
        <f t="shared" ca="1" si="187"/>
        <v>0</v>
      </c>
      <c r="AA294" s="80">
        <f t="shared" ca="1" si="193"/>
        <v>-27.945208962335872</v>
      </c>
      <c r="AB294" s="81">
        <f t="shared" ca="1" si="175"/>
        <v>-268.10102251258081</v>
      </c>
      <c r="AC294" s="79">
        <f t="shared" ca="1" si="176"/>
        <v>29294.502760937863</v>
      </c>
      <c r="AD294" s="35"/>
      <c r="AE294" s="62">
        <f t="shared" ca="1" si="177"/>
        <v>-2500.6101455486769</v>
      </c>
      <c r="AF294" s="62">
        <f t="shared" ca="1" si="178"/>
        <v>273233.31379449496</v>
      </c>
      <c r="AG294" s="35"/>
      <c r="AH294" s="35"/>
      <c r="AR294" s="69">
        <f t="shared" si="188"/>
        <v>25</v>
      </c>
      <c r="AS294" s="70">
        <f t="shared" si="194"/>
        <v>291</v>
      </c>
      <c r="AT294" s="71">
        <f t="shared" si="199"/>
        <v>0.13644194909040022</v>
      </c>
      <c r="AU294" s="72">
        <f t="shared" si="179"/>
        <v>6.8214933659622723E-3</v>
      </c>
      <c r="AV294" s="73">
        <f t="shared" si="189"/>
        <v>1.0068214933659623</v>
      </c>
      <c r="AW294" s="74">
        <f>PRODUCT(AV$4:AV294)</f>
        <v>7.2305469585881692</v>
      </c>
    </row>
    <row r="295" spans="5:49">
      <c r="E295">
        <f t="shared" si="198"/>
        <v>292</v>
      </c>
      <c r="F295" s="64">
        <f t="shared" si="180"/>
        <v>78.28</v>
      </c>
      <c r="G295" s="55">
        <f t="shared" si="168"/>
        <v>0</v>
      </c>
      <c r="H295" s="78">
        <f t="shared" si="195"/>
        <v>1</v>
      </c>
      <c r="I295" s="79">
        <f t="shared" si="181"/>
        <v>398781.58646393963</v>
      </c>
      <c r="J295" s="79">
        <f t="shared" si="169"/>
        <v>2720.2859465316747</v>
      </c>
      <c r="K295" s="80">
        <f t="shared" si="170"/>
        <v>-15</v>
      </c>
      <c r="L295" s="80">
        <f t="shared" si="182"/>
        <v>-332.31798871994971</v>
      </c>
      <c r="M295" s="80">
        <f t="shared" si="196"/>
        <v>0</v>
      </c>
      <c r="N295" s="80">
        <f t="shared" si="183"/>
        <v>-378.84250714074273</v>
      </c>
      <c r="O295" s="81">
        <f t="shared" si="171"/>
        <v>-2500.6101455486769</v>
      </c>
      <c r="P295" s="79">
        <f t="shared" si="172"/>
        <v>398275.10176906193</v>
      </c>
      <c r="Q295" s="35"/>
      <c r="R295">
        <f t="shared" ca="1" si="184"/>
        <v>417</v>
      </c>
      <c r="S295" s="78">
        <f t="shared" ca="1" si="185"/>
        <v>88.28</v>
      </c>
      <c r="T295" s="55">
        <f t="shared" ca="1" si="173"/>
        <v>1.7882078716896954E-2</v>
      </c>
      <c r="U295" s="78">
        <f t="shared" ca="1" si="190"/>
        <v>0.10529702896416757</v>
      </c>
      <c r="V295" s="79">
        <f t="shared" ca="1" si="186"/>
        <v>28770.656156594418</v>
      </c>
      <c r="W295" s="79">
        <f t="shared" ca="1" si="174"/>
        <v>196.25884010659041</v>
      </c>
      <c r="X295" s="80">
        <f t="shared" ca="1" si="191"/>
        <v>-1.5794554344625136</v>
      </c>
      <c r="Y295" s="80">
        <f t="shared" ca="1" si="192"/>
        <v>-23.975546797162018</v>
      </c>
      <c r="Z295" s="80">
        <f t="shared" ca="1" si="187"/>
        <v>0</v>
      </c>
      <c r="AA295" s="80">
        <f t="shared" ca="1" si="193"/>
        <v>-27.3321233487647</v>
      </c>
      <c r="AB295" s="81">
        <f t="shared" ca="1" si="175"/>
        <v>-263.30681892393028</v>
      </c>
      <c r="AC295" s="79">
        <f t="shared" ca="1" si="176"/>
        <v>28650.721052196688</v>
      </c>
      <c r="AD295" s="35"/>
      <c r="AE295" s="62">
        <f t="shared" ca="1" si="177"/>
        <v>-2500.6101455486769</v>
      </c>
      <c r="AF295" s="62">
        <f t="shared" ca="1" si="178"/>
        <v>272094.29681008845</v>
      </c>
      <c r="AG295" s="35"/>
      <c r="AH295" s="35"/>
      <c r="AR295" s="69">
        <f t="shared" si="188"/>
        <v>25</v>
      </c>
      <c r="AS295" s="70">
        <f t="shared" si="194"/>
        <v>292</v>
      </c>
      <c r="AT295" s="71">
        <f t="shared" si="199"/>
        <v>0.13551121123984108</v>
      </c>
      <c r="AU295" s="72">
        <f t="shared" si="179"/>
        <v>6.8214933659622723E-3</v>
      </c>
      <c r="AV295" s="73">
        <f t="shared" si="189"/>
        <v>1.0068214933659623</v>
      </c>
      <c r="AW295" s="74">
        <f>PRODUCT(AV$4:AV295)</f>
        <v>7.2798700866984571</v>
      </c>
    </row>
    <row r="296" spans="5:49">
      <c r="E296">
        <f t="shared" si="198"/>
        <v>293</v>
      </c>
      <c r="F296" s="64">
        <f t="shared" si="180"/>
        <v>78.36</v>
      </c>
      <c r="G296" s="55">
        <f t="shared" si="168"/>
        <v>0</v>
      </c>
      <c r="H296" s="78">
        <f t="shared" si="195"/>
        <v>1</v>
      </c>
      <c r="I296" s="79">
        <f t="shared" si="181"/>
        <v>398275.10176906193</v>
      </c>
      <c r="J296" s="79">
        <f t="shared" si="169"/>
        <v>2716.8309645456047</v>
      </c>
      <c r="K296" s="80">
        <f t="shared" si="170"/>
        <v>-15</v>
      </c>
      <c r="L296" s="80">
        <f t="shared" si="182"/>
        <v>-331.89591814088499</v>
      </c>
      <c r="M296" s="80">
        <f t="shared" si="196"/>
        <v>0</v>
      </c>
      <c r="N296" s="80">
        <f t="shared" si="183"/>
        <v>-378.3613466806089</v>
      </c>
      <c r="O296" s="81">
        <f t="shared" si="171"/>
        <v>-2500.6101455486769</v>
      </c>
      <c r="P296" s="79">
        <f t="shared" si="172"/>
        <v>397766.06532323739</v>
      </c>
      <c r="Q296" s="35"/>
      <c r="R296">
        <f t="shared" ca="1" si="184"/>
        <v>418</v>
      </c>
      <c r="S296" s="78">
        <f t="shared" ca="1" si="185"/>
        <v>88.36</v>
      </c>
      <c r="T296" s="55">
        <f t="shared" ca="1" si="173"/>
        <v>1.7882078716896954E-2</v>
      </c>
      <c r="U296" s="78">
        <f t="shared" ca="1" si="190"/>
        <v>0.10341409920357494</v>
      </c>
      <c r="V296" s="79">
        <f t="shared" ca="1" si="186"/>
        <v>28138.386603045452</v>
      </c>
      <c r="W296" s="79">
        <f t="shared" ca="1" si="174"/>
        <v>191.94581754155624</v>
      </c>
      <c r="X296" s="80">
        <f t="shared" ca="1" si="191"/>
        <v>-1.5512114880536241</v>
      </c>
      <c r="Y296" s="80">
        <f t="shared" ca="1" si="192"/>
        <v>-23.448655502537878</v>
      </c>
      <c r="Z296" s="80">
        <f t="shared" ca="1" si="187"/>
        <v>0</v>
      </c>
      <c r="AA296" s="80">
        <f t="shared" ca="1" si="193"/>
        <v>-26.731467272893184</v>
      </c>
      <c r="AB296" s="81">
        <f t="shared" ca="1" si="175"/>
        <v>-258.59834566123686</v>
      </c>
      <c r="AC296" s="79">
        <f t="shared" ca="1" si="176"/>
        <v>28020.002740662283</v>
      </c>
      <c r="AD296" s="35"/>
      <c r="AE296" s="62">
        <f t="shared" ca="1" si="177"/>
        <v>-2500.6101455486769</v>
      </c>
      <c r="AF296" s="62">
        <f t="shared" ca="1" si="178"/>
        <v>270949.54127583461</v>
      </c>
      <c r="AG296" s="35"/>
      <c r="AH296" s="35"/>
      <c r="AR296" s="69">
        <f t="shared" si="188"/>
        <v>25</v>
      </c>
      <c r="AS296" s="70">
        <f t="shared" si="194"/>
        <v>293</v>
      </c>
      <c r="AT296" s="71">
        <f t="shared" si="199"/>
        <v>0.134586822411355</v>
      </c>
      <c r="AU296" s="72">
        <f t="shared" si="179"/>
        <v>6.8214933659622723E-3</v>
      </c>
      <c r="AV296" s="73">
        <f t="shared" si="189"/>
        <v>1.0068214933659623</v>
      </c>
      <c r="AW296" s="74">
        <f>PRODUCT(AV$4:AV296)</f>
        <v>7.3295296721999375</v>
      </c>
    </row>
    <row r="297" spans="5:49">
      <c r="E297">
        <f t="shared" si="198"/>
        <v>294</v>
      </c>
      <c r="F297" s="64">
        <f t="shared" si="180"/>
        <v>78.44</v>
      </c>
      <c r="G297" s="55">
        <f t="shared" si="168"/>
        <v>0</v>
      </c>
      <c r="H297" s="78">
        <f t="shared" si="195"/>
        <v>1</v>
      </c>
      <c r="I297" s="79">
        <f t="shared" si="181"/>
        <v>397766.06532323739</v>
      </c>
      <c r="J297" s="79">
        <f t="shared" si="169"/>
        <v>2713.3585758073796</v>
      </c>
      <c r="K297" s="80">
        <f t="shared" si="170"/>
        <v>-15</v>
      </c>
      <c r="L297" s="80">
        <f t="shared" si="182"/>
        <v>-331.47172110269787</v>
      </c>
      <c r="M297" s="80">
        <f t="shared" si="196"/>
        <v>0</v>
      </c>
      <c r="N297" s="80">
        <f t="shared" si="183"/>
        <v>-377.87776205707559</v>
      </c>
      <c r="O297" s="81">
        <f t="shared" si="171"/>
        <v>-2500.6101455486769</v>
      </c>
      <c r="P297" s="79">
        <f t="shared" si="172"/>
        <v>397254.46427033632</v>
      </c>
      <c r="Q297" s="35"/>
      <c r="R297">
        <f t="shared" ca="1" si="184"/>
        <v>419</v>
      </c>
      <c r="S297" s="78">
        <f t="shared" ca="1" si="185"/>
        <v>88.44</v>
      </c>
      <c r="T297" s="55">
        <f t="shared" ca="1" si="173"/>
        <v>1.7882078716896954E-2</v>
      </c>
      <c r="U297" s="78">
        <f t="shared" ca="1" si="190"/>
        <v>0.10156484014117963</v>
      </c>
      <c r="V297" s="79">
        <f t="shared" ca="1" si="186"/>
        <v>27518.946846006093</v>
      </c>
      <c r="W297" s="79">
        <f t="shared" ca="1" si="174"/>
        <v>187.72031334829896</v>
      </c>
      <c r="X297" s="80">
        <f t="shared" ca="1" si="191"/>
        <v>-1.5234726021176943</v>
      </c>
      <c r="Y297" s="80">
        <f t="shared" ca="1" si="192"/>
        <v>-22.932455705005079</v>
      </c>
      <c r="Z297" s="80">
        <f t="shared" ca="1" si="187"/>
        <v>0</v>
      </c>
      <c r="AA297" s="80">
        <f t="shared" ca="1" si="193"/>
        <v>-26.142999503705795</v>
      </c>
      <c r="AB297" s="81">
        <f t="shared" ca="1" si="175"/>
        <v>-253.97406968806328</v>
      </c>
      <c r="AC297" s="79">
        <f t="shared" ca="1" si="176"/>
        <v>27402.094161855497</v>
      </c>
      <c r="AD297" s="35"/>
      <c r="AE297" s="62">
        <f t="shared" ca="1" si="177"/>
        <v>-2500.6101455486769</v>
      </c>
      <c r="AF297" s="62">
        <f t="shared" ca="1" si="178"/>
        <v>269799.01828000095</v>
      </c>
      <c r="AG297" s="35"/>
      <c r="AH297" s="35"/>
      <c r="AR297" s="69">
        <f t="shared" si="188"/>
        <v>25</v>
      </c>
      <c r="AS297" s="70">
        <f t="shared" si="194"/>
        <v>294</v>
      </c>
      <c r="AT297" s="71">
        <f t="shared" si="199"/>
        <v>0.13366873929513001</v>
      </c>
      <c r="AU297" s="72">
        <f t="shared" si="179"/>
        <v>6.8214933659622723E-3</v>
      </c>
      <c r="AV297" s="73">
        <f t="shared" si="189"/>
        <v>1.0068214933659623</v>
      </c>
      <c r="AW297" s="74">
        <f>PRODUCT(AV$4:AV297)</f>
        <v>7.3795280102344734</v>
      </c>
    </row>
    <row r="298" spans="5:49">
      <c r="E298">
        <f t="shared" si="198"/>
        <v>295</v>
      </c>
      <c r="F298" s="64">
        <f t="shared" si="180"/>
        <v>78.52</v>
      </c>
      <c r="G298" s="55">
        <f t="shared" si="168"/>
        <v>0</v>
      </c>
      <c r="H298" s="78">
        <f t="shared" si="195"/>
        <v>1</v>
      </c>
      <c r="I298" s="79">
        <f t="shared" si="181"/>
        <v>397254.46427033632</v>
      </c>
      <c r="J298" s="79">
        <f t="shared" si="169"/>
        <v>2709.8686926189957</v>
      </c>
      <c r="K298" s="80">
        <f t="shared" si="170"/>
        <v>-15</v>
      </c>
      <c r="L298" s="80">
        <f t="shared" si="182"/>
        <v>-331.04538689194698</v>
      </c>
      <c r="M298" s="80">
        <f t="shared" si="196"/>
        <v>0</v>
      </c>
      <c r="N298" s="80">
        <f t="shared" si="183"/>
        <v>-377.39174105681963</v>
      </c>
      <c r="O298" s="81">
        <f t="shared" si="171"/>
        <v>-2500.6101455486769</v>
      </c>
      <c r="P298" s="79">
        <f t="shared" si="172"/>
        <v>396740.2856894579</v>
      </c>
      <c r="Q298" s="35"/>
      <c r="R298">
        <f t="shared" ca="1" si="184"/>
        <v>420</v>
      </c>
      <c r="S298" s="78">
        <f t="shared" ca="1" si="185"/>
        <v>88.52</v>
      </c>
      <c r="T298" s="55">
        <f t="shared" ca="1" si="173"/>
        <v>1.9598847320330681E-2</v>
      </c>
      <c r="U298" s="78">
        <f t="shared" ca="1" si="190"/>
        <v>9.9574286346138852E-2</v>
      </c>
      <c r="V298" s="79">
        <f t="shared" ca="1" si="186"/>
        <v>26865.044702119965</v>
      </c>
      <c r="W298" s="79">
        <f t="shared" ca="1" si="174"/>
        <v>183.25972421179122</v>
      </c>
      <c r="X298" s="80">
        <f t="shared" ca="1" si="191"/>
        <v>-1.4936142951920828</v>
      </c>
      <c r="Y298" s="80">
        <f t="shared" ca="1" si="192"/>
        <v>-22.387537251766638</v>
      </c>
      <c r="Z298" s="80">
        <f t="shared" ca="1" si="187"/>
        <v>0</v>
      </c>
      <c r="AA298" s="80">
        <f t="shared" ca="1" si="193"/>
        <v>-25.52179246701397</v>
      </c>
      <c r="AB298" s="81">
        <f t="shared" ca="1" si="175"/>
        <v>-248.99647067292392</v>
      </c>
      <c r="AC298" s="79">
        <f t="shared" ca="1" si="176"/>
        <v>26749.905011644863</v>
      </c>
      <c r="AD298" s="35"/>
      <c r="AE298" s="62">
        <f t="shared" ca="1" si="177"/>
        <v>-2500.6101455486769</v>
      </c>
      <c r="AF298" s="62">
        <f t="shared" ca="1" si="178"/>
        <v>268642.69876519311</v>
      </c>
      <c r="AG298" s="35"/>
      <c r="AH298" s="35"/>
      <c r="AR298" s="69">
        <f t="shared" si="188"/>
        <v>25</v>
      </c>
      <c r="AS298" s="70">
        <f t="shared" si="194"/>
        <v>295</v>
      </c>
      <c r="AT298" s="71">
        <f t="shared" si="199"/>
        <v>0.13275691887679175</v>
      </c>
      <c r="AU298" s="72">
        <f t="shared" si="179"/>
        <v>6.8214933659622723E-3</v>
      </c>
      <c r="AV298" s="73">
        <f t="shared" si="189"/>
        <v>1.0068214933659623</v>
      </c>
      <c r="AW298" s="74">
        <f>PRODUCT(AV$4:AV298)</f>
        <v>7.4298674116002204</v>
      </c>
    </row>
    <row r="299" spans="5:49">
      <c r="E299">
        <f t="shared" si="198"/>
        <v>296</v>
      </c>
      <c r="F299" s="64">
        <f t="shared" si="180"/>
        <v>78.599999999999994</v>
      </c>
      <c r="G299" s="55">
        <f t="shared" si="168"/>
        <v>0</v>
      </c>
      <c r="H299" s="78">
        <f t="shared" si="195"/>
        <v>1</v>
      </c>
      <c r="I299" s="79">
        <f t="shared" si="181"/>
        <v>396740.2856894579</v>
      </c>
      <c r="J299" s="79">
        <f t="shared" si="169"/>
        <v>2706.3612268406137</v>
      </c>
      <c r="K299" s="80">
        <f t="shared" si="170"/>
        <v>-15</v>
      </c>
      <c r="L299" s="80">
        <f t="shared" si="182"/>
        <v>-330.61690474121497</v>
      </c>
      <c r="M299" s="80">
        <f t="shared" si="196"/>
        <v>0</v>
      </c>
      <c r="N299" s="80">
        <f t="shared" si="183"/>
        <v>-376.90327140498511</v>
      </c>
      <c r="O299" s="81">
        <f t="shared" si="171"/>
        <v>-2500.6101455486769</v>
      </c>
      <c r="P299" s="79">
        <f t="shared" si="172"/>
        <v>396223.51659460366</v>
      </c>
      <c r="Q299" s="35"/>
      <c r="R299">
        <f t="shared" ca="1" si="184"/>
        <v>421</v>
      </c>
      <c r="S299" s="78">
        <f t="shared" ca="1" si="185"/>
        <v>88.6</v>
      </c>
      <c r="T299" s="55">
        <f t="shared" ca="1" si="173"/>
        <v>1.9598847320330681E-2</v>
      </c>
      <c r="U299" s="78">
        <f t="shared" ca="1" si="190"/>
        <v>9.762274511100999E-2</v>
      </c>
      <c r="V299" s="79">
        <f t="shared" ca="1" si="186"/>
        <v>26225.637707488288</v>
      </c>
      <c r="W299" s="79">
        <f t="shared" ca="1" si="174"/>
        <v>178.89801363976136</v>
      </c>
      <c r="X299" s="80">
        <f t="shared" ca="1" si="191"/>
        <v>-1.4643411766651497</v>
      </c>
      <c r="Y299" s="80">
        <f t="shared" ca="1" si="192"/>
        <v>-21.854698089573574</v>
      </c>
      <c r="Z299" s="80">
        <f t="shared" ca="1" si="187"/>
        <v>-196.69228280616215</v>
      </c>
      <c r="AA299" s="80">
        <f t="shared" ca="1" si="193"/>
        <v>-24.914355822113876</v>
      </c>
      <c r="AB299" s="81">
        <f t="shared" ca="1" si="175"/>
        <v>-244.11642686090408</v>
      </c>
      <c r="AC299" s="79">
        <f t="shared" ca="1" si="176"/>
        <v>25915.493616372631</v>
      </c>
      <c r="AD299" s="35"/>
      <c r="AE299" s="62">
        <f t="shared" ca="1" si="177"/>
        <v>-2500.6101455486769</v>
      </c>
      <c r="AF299" s="62">
        <f t="shared" ca="1" si="178"/>
        <v>265465.73328688188</v>
      </c>
      <c r="AG299" s="35"/>
      <c r="AH299" s="35"/>
      <c r="AR299" s="69">
        <f t="shared" si="188"/>
        <v>25</v>
      </c>
      <c r="AS299" s="70">
        <f t="shared" si="194"/>
        <v>296</v>
      </c>
      <c r="AT299" s="71">
        <f t="shared" si="199"/>
        <v>0.13185131843538814</v>
      </c>
      <c r="AU299" s="72">
        <f t="shared" si="179"/>
        <v>6.8214933659622723E-3</v>
      </c>
      <c r="AV299" s="73">
        <f t="shared" si="189"/>
        <v>1.0068214933659623</v>
      </c>
      <c r="AW299" s="74">
        <f>PRODUCT(AV$4:AV299)</f>
        <v>7.4805502028584305</v>
      </c>
    </row>
    <row r="300" spans="5:49">
      <c r="E300">
        <f t="shared" si="198"/>
        <v>297</v>
      </c>
      <c r="F300" s="64">
        <f t="shared" si="180"/>
        <v>78.680000000000007</v>
      </c>
      <c r="G300" s="55">
        <f t="shared" si="168"/>
        <v>0</v>
      </c>
      <c r="H300" s="78">
        <f t="shared" si="195"/>
        <v>1</v>
      </c>
      <c r="I300" s="79">
        <f t="shared" si="181"/>
        <v>396223.51659460366</v>
      </c>
      <c r="J300" s="79">
        <f t="shared" si="169"/>
        <v>2702.8360898883311</v>
      </c>
      <c r="K300" s="80">
        <f t="shared" si="170"/>
        <v>-15</v>
      </c>
      <c r="L300" s="80">
        <f t="shared" si="182"/>
        <v>-330.18626382883639</v>
      </c>
      <c r="M300" s="80">
        <f t="shared" si="196"/>
        <v>0</v>
      </c>
      <c r="N300" s="80">
        <f t="shared" si="183"/>
        <v>-376.41234076487353</v>
      </c>
      <c r="O300" s="81">
        <f t="shared" si="171"/>
        <v>-2500.6101455486769</v>
      </c>
      <c r="P300" s="79">
        <f t="shared" si="172"/>
        <v>395704.14393434965</v>
      </c>
      <c r="Q300" s="35"/>
      <c r="R300">
        <f t="shared" ca="1" si="184"/>
        <v>422</v>
      </c>
      <c r="S300" s="78">
        <f t="shared" ca="1" si="185"/>
        <v>88.68</v>
      </c>
      <c r="T300" s="55">
        <f t="shared" ca="1" si="173"/>
        <v>1.9598847320330681E-2</v>
      </c>
      <c r="U300" s="78">
        <f t="shared" ca="1" si="190"/>
        <v>9.5709451834587747E-2</v>
      </c>
      <c r="V300" s="79">
        <f t="shared" ca="1" si="186"/>
        <v>25407.579813754339</v>
      </c>
      <c r="W300" s="79">
        <f t="shared" ca="1" si="174"/>
        <v>173.31763714468218</v>
      </c>
      <c r="X300" s="80">
        <f t="shared" ca="1" si="191"/>
        <v>-1.4356417775188162</v>
      </c>
      <c r="Y300" s="80">
        <f t="shared" ca="1" si="192"/>
        <v>-21.172983178128618</v>
      </c>
      <c r="Z300" s="80">
        <f t="shared" ca="1" si="187"/>
        <v>0</v>
      </c>
      <c r="AA300" s="80">
        <f t="shared" ca="1" si="193"/>
        <v>-24.137200823066625</v>
      </c>
      <c r="AB300" s="81">
        <f t="shared" ca="1" si="175"/>
        <v>-239.33202628247253</v>
      </c>
      <c r="AC300" s="79">
        <f t="shared" ca="1" si="176"/>
        <v>25294.819598837832</v>
      </c>
      <c r="AD300" s="35"/>
      <c r="AE300" s="62">
        <f t="shared" ca="1" si="177"/>
        <v>-2500.6101455486769</v>
      </c>
      <c r="AF300" s="62">
        <f t="shared" ca="1" si="178"/>
        <v>264287.58198881167</v>
      </c>
      <c r="AH300" s="35"/>
      <c r="AR300" s="69">
        <f t="shared" si="188"/>
        <v>25</v>
      </c>
      <c r="AS300" s="70">
        <f t="shared" si="194"/>
        <v>297</v>
      </c>
      <c r="AT300" s="71">
        <f t="shared" si="199"/>
        <v>0.13095189554138775</v>
      </c>
      <c r="AU300" s="72">
        <f t="shared" si="179"/>
        <v>6.8214933659622723E-3</v>
      </c>
      <c r="AV300" s="73">
        <f t="shared" si="189"/>
        <v>1.0068214933659623</v>
      </c>
      <c r="AW300" s="74">
        <f>PRODUCT(AV$4:AV300)</f>
        <v>7.5315787264409773</v>
      </c>
    </row>
    <row r="301" spans="5:49">
      <c r="E301">
        <f t="shared" si="198"/>
        <v>298</v>
      </c>
      <c r="F301" s="64">
        <f t="shared" si="180"/>
        <v>78.760000000000005</v>
      </c>
      <c r="G301" s="55">
        <f t="shared" si="168"/>
        <v>0</v>
      </c>
      <c r="H301" s="78">
        <f t="shared" si="195"/>
        <v>1</v>
      </c>
      <c r="I301" s="79">
        <f t="shared" si="181"/>
        <v>395704.14393434965</v>
      </c>
      <c r="J301" s="79">
        <f t="shared" si="169"/>
        <v>2699.2931927319464</v>
      </c>
      <c r="K301" s="80">
        <f t="shared" si="170"/>
        <v>-15</v>
      </c>
      <c r="L301" s="80">
        <f t="shared" si="182"/>
        <v>-329.7534532786247</v>
      </c>
      <c r="M301" s="80">
        <f t="shared" si="196"/>
        <v>0</v>
      </c>
      <c r="N301" s="80">
        <f t="shared" si="183"/>
        <v>-375.91893673763224</v>
      </c>
      <c r="O301" s="81">
        <f t="shared" si="171"/>
        <v>-2500.6101455486769</v>
      </c>
      <c r="P301" s="79">
        <f t="shared" si="172"/>
        <v>395182.15459151671</v>
      </c>
      <c r="Q301" s="35"/>
      <c r="R301">
        <f t="shared" ca="1" si="184"/>
        <v>423</v>
      </c>
      <c r="S301" s="78">
        <f t="shared" ca="1" si="185"/>
        <v>88.76</v>
      </c>
      <c r="T301" s="55">
        <f t="shared" ca="1" si="173"/>
        <v>1.9598847320330681E-2</v>
      </c>
      <c r="U301" s="78">
        <f t="shared" ca="1" si="190"/>
        <v>9.383365690096912E-2</v>
      </c>
      <c r="V301" s="79">
        <f t="shared" ca="1" si="186"/>
        <v>24799.070291524902</v>
      </c>
      <c r="W301" s="79">
        <f t="shared" ca="1" si="174"/>
        <v>169.16669347566921</v>
      </c>
      <c r="X301" s="80">
        <f t="shared" ca="1" si="191"/>
        <v>-1.4075048535145367</v>
      </c>
      <c r="Y301" s="80">
        <f t="shared" ca="1" si="192"/>
        <v>-20.665891909604085</v>
      </c>
      <c r="Z301" s="80">
        <f t="shared" ca="1" si="187"/>
        <v>0</v>
      </c>
      <c r="AA301" s="80">
        <f t="shared" ca="1" si="193"/>
        <v>-23.55911677694866</v>
      </c>
      <c r="AB301" s="81">
        <f t="shared" ca="1" si="175"/>
        <v>-234.64139444049701</v>
      </c>
      <c r="AC301" s="79">
        <f t="shared" ca="1" si="176"/>
        <v>24687.963077020006</v>
      </c>
      <c r="AD301" s="35"/>
      <c r="AE301" s="62">
        <f t="shared" ca="1" si="177"/>
        <v>-2500.6101455486769</v>
      </c>
      <c r="AF301" s="62">
        <f t="shared" ca="1" si="178"/>
        <v>263103.49497595918</v>
      </c>
      <c r="AG301" s="35"/>
      <c r="AH301" s="35"/>
      <c r="AR301" s="69">
        <f t="shared" si="188"/>
        <v>25</v>
      </c>
      <c r="AS301" s="70">
        <f t="shared" si="194"/>
        <v>298</v>
      </c>
      <c r="AT301" s="71">
        <f t="shared" si="199"/>
        <v>0.13005860805469199</v>
      </c>
      <c r="AU301" s="72">
        <f t="shared" si="179"/>
        <v>6.8214933659622723E-3</v>
      </c>
      <c r="AV301" s="73">
        <f t="shared" si="189"/>
        <v>1.0068214933659623</v>
      </c>
      <c r="AW301" s="74">
        <f>PRODUCT(AV$4:AV301)</f>
        <v>7.582955340758617</v>
      </c>
    </row>
    <row r="302" spans="5:49">
      <c r="E302">
        <f t="shared" si="198"/>
        <v>299</v>
      </c>
      <c r="F302" s="64">
        <f t="shared" si="180"/>
        <v>78.84</v>
      </c>
      <c r="G302" s="55">
        <f t="shared" si="168"/>
        <v>0</v>
      </c>
      <c r="H302" s="78">
        <f t="shared" si="195"/>
        <v>1</v>
      </c>
      <c r="I302" s="79">
        <f t="shared" si="181"/>
        <v>395182.15459151671</v>
      </c>
      <c r="J302" s="79">
        <f t="shared" si="169"/>
        <v>2695.7324458927083</v>
      </c>
      <c r="K302" s="80">
        <f t="shared" si="170"/>
        <v>-15</v>
      </c>
      <c r="L302" s="80">
        <f t="shared" si="182"/>
        <v>-329.31846215959729</v>
      </c>
      <c r="M302" s="80">
        <f t="shared" si="196"/>
        <v>0</v>
      </c>
      <c r="N302" s="80">
        <f t="shared" si="183"/>
        <v>-375.42304686194097</v>
      </c>
      <c r="O302" s="81">
        <f t="shared" si="171"/>
        <v>-2500.6101455486769</v>
      </c>
      <c r="P302" s="79">
        <f t="shared" si="172"/>
        <v>394657.53538283921</v>
      </c>
      <c r="Q302" s="35"/>
      <c r="R302">
        <f t="shared" ca="1" si="184"/>
        <v>424</v>
      </c>
      <c r="S302" s="78">
        <f t="shared" ca="1" si="185"/>
        <v>88.84</v>
      </c>
      <c r="T302" s="55">
        <f t="shared" ca="1" si="173"/>
        <v>1.9598847320330681E-2</v>
      </c>
      <c r="U302" s="78">
        <f t="shared" ca="1" si="190"/>
        <v>9.199462538585873E-2</v>
      </c>
      <c r="V302" s="79">
        <f t="shared" ca="1" si="186"/>
        <v>24204.107458023529</v>
      </c>
      <c r="W302" s="79">
        <f t="shared" ca="1" si="174"/>
        <v>165.10815845394546</v>
      </c>
      <c r="X302" s="80">
        <f t="shared" ca="1" si="191"/>
        <v>-1.3799193807878809</v>
      </c>
      <c r="Y302" s="80">
        <f t="shared" ca="1" si="192"/>
        <v>-20.170089548352941</v>
      </c>
      <c r="Z302" s="80">
        <f t="shared" ca="1" si="187"/>
        <v>0</v>
      </c>
      <c r="AA302" s="80">
        <f t="shared" ca="1" si="193"/>
        <v>-22.993902085122357</v>
      </c>
      <c r="AB302" s="81">
        <f t="shared" ca="1" si="175"/>
        <v>-230.04269357582822</v>
      </c>
      <c r="AC302" s="79">
        <f t="shared" ca="1" si="176"/>
        <v>24094.629011887384</v>
      </c>
      <c r="AD302" s="35"/>
      <c r="AE302" s="62">
        <f t="shared" ca="1" si="177"/>
        <v>-2500.6101455486769</v>
      </c>
      <c r="AF302" s="62">
        <f t="shared" ca="1" si="178"/>
        <v>261913.44234324337</v>
      </c>
      <c r="AG302" s="35"/>
      <c r="AH302" s="35"/>
      <c r="AR302" s="69">
        <f t="shared" si="188"/>
        <v>25</v>
      </c>
      <c r="AS302" s="70">
        <f t="shared" si="194"/>
        <v>299</v>
      </c>
      <c r="AT302" s="71">
        <f t="shared" si="199"/>
        <v>0.12917141412266062</v>
      </c>
      <c r="AU302" s="72">
        <f t="shared" si="179"/>
        <v>6.8214933659622723E-3</v>
      </c>
      <c r="AV302" s="73">
        <f t="shared" si="189"/>
        <v>1.0068214933659623</v>
      </c>
      <c r="AW302" s="74">
        <f>PRODUCT(AV$4:AV302)</f>
        <v>7.6346824203099901</v>
      </c>
    </row>
    <row r="303" spans="5:49">
      <c r="E303">
        <f t="shared" si="198"/>
        <v>300</v>
      </c>
      <c r="F303" s="64">
        <f t="shared" si="180"/>
        <v>78.92</v>
      </c>
      <c r="G303" s="55">
        <f t="shared" si="168"/>
        <v>0</v>
      </c>
      <c r="H303" s="78">
        <f t="shared" si="195"/>
        <v>1</v>
      </c>
      <c r="I303" s="79">
        <f t="shared" si="181"/>
        <v>394657.53538283921</v>
      </c>
      <c r="J303" s="79">
        <f t="shared" si="169"/>
        <v>2692.1537594410584</v>
      </c>
      <c r="K303" s="80">
        <f t="shared" si="170"/>
        <v>-15</v>
      </c>
      <c r="L303" s="80">
        <f t="shared" si="182"/>
        <v>-328.88127948569934</v>
      </c>
      <c r="M303" s="80">
        <f t="shared" si="196"/>
        <v>0</v>
      </c>
      <c r="N303" s="80">
        <f t="shared" si="183"/>
        <v>-374.92465861369732</v>
      </c>
      <c r="O303" s="81">
        <f t="shared" si="171"/>
        <v>-2500.6101455486769</v>
      </c>
      <c r="P303" s="79">
        <f t="shared" si="172"/>
        <v>394130.27305863221</v>
      </c>
      <c r="Q303" s="35"/>
      <c r="R303">
        <f t="shared" ca="1" si="184"/>
        <v>425</v>
      </c>
      <c r="S303" s="78">
        <f t="shared" ca="1" si="185"/>
        <v>88.92</v>
      </c>
      <c r="T303" s="55">
        <f t="shared" ca="1" si="173"/>
        <v>1.9598847320330681E-2</v>
      </c>
      <c r="U303" s="78">
        <f t="shared" ca="1" si="190"/>
        <v>9.0191636768630262E-2</v>
      </c>
      <c r="V303" s="79">
        <f t="shared" ca="1" si="186"/>
        <v>23622.402056643394</v>
      </c>
      <c r="W303" s="79">
        <f t="shared" ca="1" si="174"/>
        <v>161.14005891748644</v>
      </c>
      <c r="X303" s="80">
        <f t="shared" ca="1" si="191"/>
        <v>-1.352874551529454</v>
      </c>
      <c r="Y303" s="80">
        <f t="shared" ca="1" si="192"/>
        <v>-19.68533504720283</v>
      </c>
      <c r="Z303" s="80">
        <f t="shared" ca="1" si="187"/>
        <v>0</v>
      </c>
      <c r="AA303" s="80">
        <f t="shared" ca="1" si="193"/>
        <v>-22.441281953811227</v>
      </c>
      <c r="AB303" s="81">
        <f t="shared" ca="1" si="175"/>
        <v>-225.5341219472779</v>
      </c>
      <c r="AC303" s="79">
        <f t="shared" ca="1" si="176"/>
        <v>23514.528502061061</v>
      </c>
      <c r="AD303" s="35"/>
      <c r="AE303" s="62">
        <f t="shared" ca="1" si="177"/>
        <v>-2500.6101455486764</v>
      </c>
      <c r="AF303" s="62">
        <f t="shared" ca="1" si="178"/>
        <v>260717.39403491674</v>
      </c>
      <c r="AG303" s="35"/>
      <c r="AH303" s="35"/>
      <c r="AR303" s="69">
        <f t="shared" si="188"/>
        <v>25</v>
      </c>
      <c r="AS303" s="70">
        <f t="shared" si="194"/>
        <v>300</v>
      </c>
      <c r="AT303" s="71">
        <f t="shared" si="199"/>
        <v>0.12829027217815092</v>
      </c>
      <c r="AU303" s="72">
        <f t="shared" si="179"/>
        <v>6.8214933659622723E-3</v>
      </c>
      <c r="AV303" s="73">
        <f t="shared" si="189"/>
        <v>1.0068214933659623</v>
      </c>
      <c r="AW303" s="74">
        <f>PRODUCT(AV$4:AV303)</f>
        <v>7.6867623557913634</v>
      </c>
    </row>
    <row r="304" spans="5:49">
      <c r="E304">
        <f t="shared" si="198"/>
        <v>301</v>
      </c>
      <c r="F304" s="64">
        <f t="shared" si="180"/>
        <v>79</v>
      </c>
      <c r="G304" s="55">
        <f t="shared" si="168"/>
        <v>0</v>
      </c>
      <c r="H304" s="78">
        <f t="shared" si="195"/>
        <v>1</v>
      </c>
      <c r="I304" s="79">
        <f t="shared" si="181"/>
        <v>394130.27305863221</v>
      </c>
      <c r="J304" s="79">
        <f t="shared" si="169"/>
        <v>2688.5570429943587</v>
      </c>
      <c r="K304" s="80">
        <f t="shared" si="170"/>
        <v>-15</v>
      </c>
      <c r="L304" s="80">
        <f t="shared" si="182"/>
        <v>-328.44189421552687</v>
      </c>
      <c r="M304" s="80">
        <f t="shared" si="196"/>
        <v>-2955.9770479397416</v>
      </c>
      <c r="N304" s="80">
        <f t="shared" si="183"/>
        <v>-374.42375940570065</v>
      </c>
      <c r="O304" s="81">
        <f t="shared" si="171"/>
        <v>-2500.6101455486769</v>
      </c>
      <c r="P304" s="79">
        <f t="shared" si="172"/>
        <v>390644.37725451699</v>
      </c>
      <c r="Q304" s="35"/>
      <c r="R304">
        <f t="shared" ca="1" si="184"/>
        <v>426</v>
      </c>
      <c r="S304" s="78">
        <f t="shared" ca="1" si="185"/>
        <v>89</v>
      </c>
      <c r="T304" s="55">
        <f t="shared" ca="1" si="173"/>
        <v>1.9598847320330681E-2</v>
      </c>
      <c r="U304" s="78">
        <f t="shared" ca="1" si="190"/>
        <v>8.8423984650031151E-2</v>
      </c>
      <c r="V304" s="79">
        <f t="shared" ca="1" si="186"/>
        <v>23053.670848139602</v>
      </c>
      <c r="W304" s="79">
        <f t="shared" ca="1" si="174"/>
        <v>157.26046275166212</v>
      </c>
      <c r="X304" s="80">
        <f t="shared" ca="1" si="191"/>
        <v>-1.3263597697504672</v>
      </c>
      <c r="Y304" s="80">
        <f t="shared" ca="1" si="192"/>
        <v>-19.211392373449669</v>
      </c>
      <c r="Z304" s="80">
        <f t="shared" ca="1" si="187"/>
        <v>0</v>
      </c>
      <c r="AA304" s="80">
        <f t="shared" ca="1" si="193"/>
        <v>-21.900987305732627</v>
      </c>
      <c r="AB304" s="81">
        <f t="shared" ca="1" si="175"/>
        <v>-221.11391312570836</v>
      </c>
      <c r="AC304" s="79">
        <f t="shared" ca="1" si="176"/>
        <v>22947.378658316622</v>
      </c>
      <c r="AD304" s="35"/>
      <c r="AE304" s="62">
        <f t="shared" ca="1" si="177"/>
        <v>-2500.6101455486769</v>
      </c>
      <c r="AF304" s="62">
        <f t="shared" ca="1" si="178"/>
        <v>259515.31984380595</v>
      </c>
      <c r="AG304" s="35"/>
      <c r="AH304" s="35"/>
      <c r="AR304" s="69">
        <f t="shared" si="188"/>
        <v>26</v>
      </c>
      <c r="AS304" s="70">
        <f t="shared" si="194"/>
        <v>301</v>
      </c>
      <c r="AT304" s="71">
        <f t="shared" si="199"/>
        <v>0.12741514093757017</v>
      </c>
      <c r="AU304" s="72">
        <f t="shared" si="179"/>
        <v>6.8214933659622723E-3</v>
      </c>
      <c r="AV304" s="73">
        <f t="shared" si="189"/>
        <v>1.0068214933659623</v>
      </c>
      <c r="AW304" s="74">
        <f>PRODUCT(AV$4:AV304)</f>
        <v>7.7391975542071227</v>
      </c>
    </row>
    <row r="305" spans="5:49">
      <c r="E305">
        <f t="shared" si="198"/>
        <v>302</v>
      </c>
      <c r="F305" s="64">
        <f t="shared" si="180"/>
        <v>79.08</v>
      </c>
      <c r="G305" s="55">
        <f t="shared" si="168"/>
        <v>0</v>
      </c>
      <c r="H305" s="78">
        <f t="shared" si="195"/>
        <v>1</v>
      </c>
      <c r="I305" s="79">
        <f t="shared" si="181"/>
        <v>390644.37725451699</v>
      </c>
      <c r="J305" s="79">
        <f t="shared" si="169"/>
        <v>2664.7780278921509</v>
      </c>
      <c r="K305" s="80">
        <f t="shared" si="170"/>
        <v>-15</v>
      </c>
      <c r="L305" s="80">
        <f t="shared" si="182"/>
        <v>-325.53698104543082</v>
      </c>
      <c r="M305" s="80">
        <f t="shared" si="196"/>
        <v>0</v>
      </c>
      <c r="N305" s="80">
        <f t="shared" si="183"/>
        <v>-371.11215839179118</v>
      </c>
      <c r="O305" s="81">
        <f t="shared" si="171"/>
        <v>-2500.6101455486769</v>
      </c>
      <c r="P305" s="79">
        <f t="shared" si="172"/>
        <v>390096.89599742327</v>
      </c>
      <c r="Q305" s="35"/>
      <c r="R305">
        <f t="shared" ca="1" si="184"/>
        <v>427</v>
      </c>
      <c r="S305" s="78">
        <f t="shared" ca="1" si="185"/>
        <v>89.08</v>
      </c>
      <c r="T305" s="55">
        <f t="shared" ca="1" si="173"/>
        <v>1.9598847320330681E-2</v>
      </c>
      <c r="U305" s="78">
        <f t="shared" ca="1" si="190"/>
        <v>8.6690976475419929E-2</v>
      </c>
      <c r="V305" s="79">
        <f t="shared" ca="1" si="186"/>
        <v>22497.636487590458</v>
      </c>
      <c r="W305" s="79">
        <f t="shared" ca="1" si="174"/>
        <v>153.46747804992907</v>
      </c>
      <c r="X305" s="80">
        <f t="shared" ca="1" si="191"/>
        <v>-1.3003646471312988</v>
      </c>
      <c r="Y305" s="80">
        <f t="shared" ca="1" si="192"/>
        <v>-18.748030406325384</v>
      </c>
      <c r="Z305" s="80">
        <f t="shared" ca="1" si="187"/>
        <v>0</v>
      </c>
      <c r="AA305" s="80">
        <f t="shared" ca="1" si="193"/>
        <v>-21.372754663210941</v>
      </c>
      <c r="AB305" s="81">
        <f t="shared" ca="1" si="175"/>
        <v>-216.78033530195674</v>
      </c>
      <c r="AC305" s="79">
        <f t="shared" ca="1" si="176"/>
        <v>22392.902480621768</v>
      </c>
      <c r="AD305" s="35"/>
      <c r="AE305" s="62">
        <f t="shared" ca="1" si="177"/>
        <v>-2500.6101455486769</v>
      </c>
      <c r="AF305" s="62">
        <f t="shared" ca="1" si="178"/>
        <v>258307.1894105493</v>
      </c>
      <c r="AG305" s="35"/>
      <c r="AH305" s="35"/>
      <c r="AR305" s="69">
        <f t="shared" si="188"/>
        <v>26</v>
      </c>
      <c r="AS305" s="70">
        <f t="shared" si="194"/>
        <v>302</v>
      </c>
      <c r="AT305" s="71">
        <f t="shared" si="199"/>
        <v>0.12654597939894138</v>
      </c>
      <c r="AU305" s="72">
        <f t="shared" si="179"/>
        <v>6.8214933659622723E-3</v>
      </c>
      <c r="AV305" s="73">
        <f t="shared" si="189"/>
        <v>1.0068214933659623</v>
      </c>
      <c r="AW305" s="74">
        <f>PRODUCT(AV$4:AV305)</f>
        <v>7.791990438981018</v>
      </c>
    </row>
    <row r="306" spans="5:49">
      <c r="E306">
        <f t="shared" si="198"/>
        <v>303</v>
      </c>
      <c r="F306" s="64">
        <f t="shared" si="180"/>
        <v>79.16</v>
      </c>
      <c r="G306" s="55">
        <f t="shared" si="168"/>
        <v>0</v>
      </c>
      <c r="H306" s="78">
        <f t="shared" si="195"/>
        <v>1</v>
      </c>
      <c r="I306" s="79">
        <f t="shared" si="181"/>
        <v>390096.89599742327</v>
      </c>
      <c r="J306" s="79">
        <f t="shared" si="169"/>
        <v>2661.0433881288973</v>
      </c>
      <c r="K306" s="80">
        <f t="shared" si="170"/>
        <v>-15</v>
      </c>
      <c r="L306" s="80">
        <f t="shared" si="182"/>
        <v>-325.08074666451944</v>
      </c>
      <c r="M306" s="80">
        <f t="shared" si="196"/>
        <v>0</v>
      </c>
      <c r="N306" s="80">
        <f t="shared" si="183"/>
        <v>-370.59205119755217</v>
      </c>
      <c r="O306" s="81">
        <f t="shared" si="171"/>
        <v>-2500.6101455486769</v>
      </c>
      <c r="P306" s="79">
        <f t="shared" si="172"/>
        <v>389546.65644214151</v>
      </c>
      <c r="Q306" s="35"/>
      <c r="R306">
        <f t="shared" ca="1" si="184"/>
        <v>428</v>
      </c>
      <c r="S306" s="78">
        <f t="shared" ca="1" si="185"/>
        <v>89.16</v>
      </c>
      <c r="T306" s="55">
        <f t="shared" ca="1" si="173"/>
        <v>1.9598847320330681E-2</v>
      </c>
      <c r="U306" s="78">
        <f t="shared" ca="1" si="190"/>
        <v>8.4991933263427799E-2</v>
      </c>
      <c r="V306" s="79">
        <f t="shared" ca="1" si="186"/>
        <v>21954.027403845008</v>
      </c>
      <c r="W306" s="79">
        <f t="shared" ca="1" si="174"/>
        <v>149.75925229148265</v>
      </c>
      <c r="X306" s="80">
        <f t="shared" ca="1" si="191"/>
        <v>-1.2748789989514169</v>
      </c>
      <c r="Y306" s="80">
        <f t="shared" ca="1" si="192"/>
        <v>-18.295022836537509</v>
      </c>
      <c r="Z306" s="80">
        <f t="shared" ca="1" si="187"/>
        <v>0</v>
      </c>
      <c r="AA306" s="80">
        <f t="shared" ca="1" si="193"/>
        <v>-20.85632603365276</v>
      </c>
      <c r="AB306" s="81">
        <f t="shared" ca="1" si="175"/>
        <v>-212.53169060832363</v>
      </c>
      <c r="AC306" s="79">
        <f t="shared" ca="1" si="176"/>
        <v>21850.828737659023</v>
      </c>
      <c r="AD306" s="35"/>
      <c r="AE306" s="62">
        <f t="shared" ca="1" si="177"/>
        <v>-2500.6101455486769</v>
      </c>
      <c r="AF306" s="62">
        <f t="shared" ca="1" si="178"/>
        <v>257092.97222282953</v>
      </c>
      <c r="AG306" s="35"/>
      <c r="AH306" s="35"/>
      <c r="AR306" s="69">
        <f t="shared" si="188"/>
        <v>26</v>
      </c>
      <c r="AS306" s="70">
        <f t="shared" si="194"/>
        <v>303</v>
      </c>
      <c r="AT306" s="71">
        <f t="shared" si="199"/>
        <v>0.12568274683998232</v>
      </c>
      <c r="AU306" s="72">
        <f t="shared" si="179"/>
        <v>6.8214933659622723E-3</v>
      </c>
      <c r="AV306" s="73">
        <f t="shared" si="189"/>
        <v>1.0068214933659623</v>
      </c>
      <c r="AW306" s="74">
        <f>PRODUCT(AV$4:AV306)</f>
        <v>7.8451434500681687</v>
      </c>
    </row>
    <row r="307" spans="5:49">
      <c r="E307">
        <f t="shared" si="198"/>
        <v>304</v>
      </c>
      <c r="F307" s="64">
        <f t="shared" si="180"/>
        <v>79.239999999999995</v>
      </c>
      <c r="G307" s="55">
        <f t="shared" si="168"/>
        <v>0</v>
      </c>
      <c r="H307" s="78">
        <f t="shared" si="195"/>
        <v>1</v>
      </c>
      <c r="I307" s="79">
        <f t="shared" si="181"/>
        <v>389546.65644214151</v>
      </c>
      <c r="J307" s="79">
        <f t="shared" si="169"/>
        <v>2657.2899326528527</v>
      </c>
      <c r="K307" s="80">
        <f t="shared" si="170"/>
        <v>-15</v>
      </c>
      <c r="L307" s="80">
        <f t="shared" si="182"/>
        <v>-324.62221370178463</v>
      </c>
      <c r="M307" s="80">
        <f t="shared" si="196"/>
        <v>0</v>
      </c>
      <c r="N307" s="80">
        <f t="shared" si="183"/>
        <v>-370.06932362003454</v>
      </c>
      <c r="O307" s="81">
        <f t="shared" si="171"/>
        <v>-2500.6101455486769</v>
      </c>
      <c r="P307" s="79">
        <f t="shared" si="172"/>
        <v>388993.64469192387</v>
      </c>
      <c r="Q307" s="35"/>
      <c r="R307">
        <f t="shared" ca="1" si="184"/>
        <v>429</v>
      </c>
      <c r="S307" s="78">
        <f t="shared" ca="1" si="185"/>
        <v>89.24</v>
      </c>
      <c r="T307" s="55">
        <f t="shared" ca="1" si="173"/>
        <v>1.9598847320330681E-2</v>
      </c>
      <c r="U307" s="78">
        <f t="shared" ca="1" si="190"/>
        <v>8.3326189339938142E-2</v>
      </c>
      <c r="V307" s="79">
        <f t="shared" ca="1" si="186"/>
        <v>21422.57768140695</v>
      </c>
      <c r="W307" s="79">
        <f t="shared" ca="1" si="174"/>
        <v>146.13397153552896</v>
      </c>
      <c r="X307" s="80">
        <f t="shared" ca="1" si="191"/>
        <v>-1.2498928400990721</v>
      </c>
      <c r="Y307" s="80">
        <f t="shared" ca="1" si="192"/>
        <v>-17.852148067839128</v>
      </c>
      <c r="Z307" s="80">
        <f t="shared" ca="1" si="187"/>
        <v>0</v>
      </c>
      <c r="AA307" s="80">
        <f t="shared" ca="1" si="193"/>
        <v>-20.351448797336605</v>
      </c>
      <c r="AB307" s="81">
        <f t="shared" ca="1" si="175"/>
        <v>-208.36631445335934</v>
      </c>
      <c r="AC307" s="79">
        <f t="shared" ca="1" si="176"/>
        <v>21320.891848783842</v>
      </c>
      <c r="AD307" s="35"/>
      <c r="AE307" s="62">
        <f t="shared" ca="1" si="177"/>
        <v>-2500.6101455486769</v>
      </c>
      <c r="AF307" s="62">
        <f t="shared" ca="1" si="178"/>
        <v>255872.63761460365</v>
      </c>
      <c r="AG307" s="35"/>
      <c r="AH307" s="35"/>
      <c r="AR307" s="69">
        <f t="shared" si="188"/>
        <v>26</v>
      </c>
      <c r="AS307" s="70">
        <f t="shared" si="194"/>
        <v>304</v>
      </c>
      <c r="AT307" s="71">
        <f t="shared" si="199"/>
        <v>0.12482540281619746</v>
      </c>
      <c r="AU307" s="72">
        <f t="shared" si="179"/>
        <v>6.8214933659622723E-3</v>
      </c>
      <c r="AV307" s="73">
        <f t="shared" si="189"/>
        <v>1.0068214933659623</v>
      </c>
      <c r="AW307" s="74">
        <f>PRODUCT(AV$4:AV307)</f>
        <v>7.8986590440678315</v>
      </c>
    </row>
    <row r="308" spans="5:49">
      <c r="E308">
        <f t="shared" si="198"/>
        <v>305</v>
      </c>
      <c r="F308" s="64">
        <f t="shared" si="180"/>
        <v>79.319999999999993</v>
      </c>
      <c r="G308" s="55">
        <f t="shared" si="168"/>
        <v>0</v>
      </c>
      <c r="H308" s="78">
        <f t="shared" si="195"/>
        <v>1</v>
      </c>
      <c r="I308" s="79">
        <f t="shared" si="181"/>
        <v>388993.64469192387</v>
      </c>
      <c r="J308" s="79">
        <f t="shared" si="169"/>
        <v>2653.517566667444</v>
      </c>
      <c r="K308" s="80">
        <f t="shared" si="170"/>
        <v>-15</v>
      </c>
      <c r="L308" s="80">
        <f t="shared" si="182"/>
        <v>-324.16137057660325</v>
      </c>
      <c r="M308" s="80">
        <f t="shared" si="196"/>
        <v>0</v>
      </c>
      <c r="N308" s="80">
        <f t="shared" si="183"/>
        <v>-369.54396245732778</v>
      </c>
      <c r="O308" s="81">
        <f t="shared" si="171"/>
        <v>-2500.6101455486769</v>
      </c>
      <c r="P308" s="79">
        <f t="shared" si="172"/>
        <v>388437.84678000875</v>
      </c>
      <c r="Q308" s="35"/>
      <c r="R308">
        <f t="shared" ca="1" si="184"/>
        <v>430</v>
      </c>
      <c r="S308" s="78">
        <f t="shared" ca="1" si="185"/>
        <v>89.32</v>
      </c>
      <c r="T308" s="55">
        <f t="shared" ca="1" si="173"/>
        <v>1.9598847320330681E-2</v>
      </c>
      <c r="U308" s="78">
        <f t="shared" ca="1" si="190"/>
        <v>8.1693092077279733E-2</v>
      </c>
      <c r="V308" s="79">
        <f t="shared" ca="1" si="186"/>
        <v>20903.026944706246</v>
      </c>
      <c r="W308" s="79">
        <f t="shared" ca="1" si="174"/>
        <v>142.58985963184429</v>
      </c>
      <c r="X308" s="80">
        <f t="shared" ca="1" si="191"/>
        <v>-1.2253963811591959</v>
      </c>
      <c r="Y308" s="80">
        <f t="shared" ca="1" si="192"/>
        <v>-17.419189120588538</v>
      </c>
      <c r="Z308" s="80">
        <f t="shared" ca="1" si="187"/>
        <v>0</v>
      </c>
      <c r="AA308" s="80">
        <f t="shared" ca="1" si="193"/>
        <v>-19.857875597470937</v>
      </c>
      <c r="AB308" s="81">
        <f t="shared" ca="1" si="175"/>
        <v>-204.28257486968792</v>
      </c>
      <c r="AC308" s="79">
        <f t="shared" ca="1" si="176"/>
        <v>20802.831768369182</v>
      </c>
      <c r="AD308" s="35"/>
      <c r="AE308" s="62">
        <f t="shared" ca="1" si="177"/>
        <v>-2500.6101455486769</v>
      </c>
      <c r="AF308" s="62">
        <f t="shared" ca="1" si="178"/>
        <v>254646.15476532819</v>
      </c>
      <c r="AG308" s="35"/>
      <c r="AH308" s="35"/>
      <c r="AR308" s="69">
        <f t="shared" si="188"/>
        <v>26</v>
      </c>
      <c r="AS308" s="70">
        <f t="shared" si="194"/>
        <v>305</v>
      </c>
      <c r="AT308" s="71">
        <f t="shared" si="199"/>
        <v>0.1239739071589832</v>
      </c>
      <c r="AU308" s="72">
        <f t="shared" si="179"/>
        <v>6.8214933659622723E-3</v>
      </c>
      <c r="AV308" s="73">
        <f t="shared" si="189"/>
        <v>1.0068214933659623</v>
      </c>
      <c r="AW308" s="74">
        <f>PRODUCT(AV$4:AV308)</f>
        <v>7.952539694336938</v>
      </c>
    </row>
    <row r="309" spans="5:49">
      <c r="E309">
        <f t="shared" si="198"/>
        <v>306</v>
      </c>
      <c r="F309" s="64">
        <f t="shared" si="180"/>
        <v>79.400000000000006</v>
      </c>
      <c r="G309" s="55">
        <f t="shared" si="168"/>
        <v>0</v>
      </c>
      <c r="H309" s="78">
        <f t="shared" si="195"/>
        <v>1</v>
      </c>
      <c r="I309" s="79">
        <f t="shared" si="181"/>
        <v>388437.84678000875</v>
      </c>
      <c r="J309" s="79">
        <f t="shared" si="169"/>
        <v>2649.7261948984992</v>
      </c>
      <c r="K309" s="80">
        <f t="shared" si="170"/>
        <v>-15</v>
      </c>
      <c r="L309" s="80">
        <f t="shared" si="182"/>
        <v>-323.69820565000731</v>
      </c>
      <c r="M309" s="80">
        <f t="shared" si="196"/>
        <v>0</v>
      </c>
      <c r="N309" s="80">
        <f t="shared" si="183"/>
        <v>-369.01595444100843</v>
      </c>
      <c r="O309" s="81">
        <f t="shared" si="171"/>
        <v>-2500.6101455486769</v>
      </c>
      <c r="P309" s="79">
        <f t="shared" si="172"/>
        <v>387879.24866926757</v>
      </c>
      <c r="Q309" s="35"/>
      <c r="R309">
        <f t="shared" ca="1" si="184"/>
        <v>431</v>
      </c>
      <c r="S309" s="78">
        <f t="shared" ca="1" si="185"/>
        <v>89.4</v>
      </c>
      <c r="T309" s="55">
        <f t="shared" ca="1" si="173"/>
        <v>1.9598847320330681E-2</v>
      </c>
      <c r="U309" s="78">
        <f t="shared" ca="1" si="190"/>
        <v>8.0092001638531418E-2</v>
      </c>
      <c r="V309" s="79">
        <f t="shared" ca="1" si="186"/>
        <v>20395.12024471039</v>
      </c>
      <c r="W309" s="79">
        <f t="shared" ca="1" si="174"/>
        <v>139.12517744729476</v>
      </c>
      <c r="X309" s="80">
        <f t="shared" ca="1" si="191"/>
        <v>-1.2013800245779713</v>
      </c>
      <c r="Y309" s="80">
        <f t="shared" ca="1" si="192"/>
        <v>-16.995933537258658</v>
      </c>
      <c r="Z309" s="80">
        <f t="shared" ca="1" si="187"/>
        <v>0</v>
      </c>
      <c r="AA309" s="80">
        <f t="shared" ca="1" si="193"/>
        <v>-19.375364232474876</v>
      </c>
      <c r="AB309" s="81">
        <f t="shared" ca="1" si="175"/>
        <v>-200.27887187461292</v>
      </c>
      <c r="AC309" s="79">
        <f t="shared" ca="1" si="176"/>
        <v>20296.393872488763</v>
      </c>
      <c r="AD309" s="35"/>
      <c r="AE309" s="62">
        <f t="shared" ca="1" si="177"/>
        <v>-2500.6101455486769</v>
      </c>
      <c r="AF309" s="62">
        <f t="shared" ca="1" si="178"/>
        <v>253413.49269918085</v>
      </c>
      <c r="AG309" s="35"/>
      <c r="AH309" s="35"/>
      <c r="AR309" s="69">
        <f t="shared" si="188"/>
        <v>26</v>
      </c>
      <c r="AS309" s="70">
        <f t="shared" si="194"/>
        <v>306</v>
      </c>
      <c r="AT309" s="71">
        <f t="shared" si="199"/>
        <v>0.12312821997374578</v>
      </c>
      <c r="AU309" s="72">
        <f t="shared" si="179"/>
        <v>6.8214933659622723E-3</v>
      </c>
      <c r="AV309" s="73">
        <f t="shared" si="189"/>
        <v>1.0068214933659623</v>
      </c>
      <c r="AW309" s="74">
        <f>PRODUCT(AV$4:AV309)</f>
        <v>8.006787891104409</v>
      </c>
    </row>
    <row r="310" spans="5:49">
      <c r="E310">
        <f t="shared" si="198"/>
        <v>307</v>
      </c>
      <c r="F310" s="64">
        <f t="shared" si="180"/>
        <v>79.48</v>
      </c>
      <c r="G310" s="55">
        <f t="shared" si="168"/>
        <v>0</v>
      </c>
      <c r="H310" s="78">
        <f t="shared" si="195"/>
        <v>1</v>
      </c>
      <c r="I310" s="79">
        <f t="shared" si="181"/>
        <v>387879.24866926757</v>
      </c>
      <c r="J310" s="79">
        <f t="shared" si="169"/>
        <v>2645.9157215918394</v>
      </c>
      <c r="K310" s="80">
        <f t="shared" si="170"/>
        <v>-15</v>
      </c>
      <c r="L310" s="80">
        <f t="shared" si="182"/>
        <v>-323.23270722438969</v>
      </c>
      <c r="M310" s="80">
        <f t="shared" si="196"/>
        <v>0</v>
      </c>
      <c r="N310" s="80">
        <f t="shared" si="183"/>
        <v>-368.48528623580427</v>
      </c>
      <c r="O310" s="81">
        <f t="shared" si="171"/>
        <v>-2500.6101455486769</v>
      </c>
      <c r="P310" s="79">
        <f t="shared" si="172"/>
        <v>387317.83625185059</v>
      </c>
      <c r="Q310" s="35"/>
      <c r="R310">
        <f t="shared" ca="1" si="184"/>
        <v>432</v>
      </c>
      <c r="S310" s="78">
        <f t="shared" ca="1" si="185"/>
        <v>89.48</v>
      </c>
      <c r="T310" s="55">
        <f t="shared" ca="1" si="173"/>
        <v>1.9598847320330681E-2</v>
      </c>
      <c r="U310" s="78">
        <f t="shared" ca="1" si="190"/>
        <v>7.8522290726838168E-2</v>
      </c>
      <c r="V310" s="79">
        <f t="shared" ca="1" si="186"/>
        <v>19898.607947828561</v>
      </c>
      <c r="W310" s="79">
        <f t="shared" ca="1" si="174"/>
        <v>135.73822210799668</v>
      </c>
      <c r="X310" s="80">
        <f t="shared" ca="1" si="191"/>
        <v>-1.1778343609025725</v>
      </c>
      <c r="Y310" s="80">
        <f t="shared" ca="1" si="192"/>
        <v>-16.582173289857135</v>
      </c>
      <c r="Z310" s="80">
        <f t="shared" ca="1" si="187"/>
        <v>0</v>
      </c>
      <c r="AA310" s="80">
        <f t="shared" ca="1" si="193"/>
        <v>-18.903677550437134</v>
      </c>
      <c r="AB310" s="81">
        <f t="shared" ca="1" si="175"/>
        <v>-196.35363684325432</v>
      </c>
      <c r="AC310" s="79">
        <f t="shared" ca="1" si="176"/>
        <v>19801.328847892106</v>
      </c>
      <c r="AD310" s="35"/>
      <c r="AE310" s="62">
        <f t="shared" ca="1" si="177"/>
        <v>-2500.6101455486769</v>
      </c>
      <c r="AF310" s="62">
        <f t="shared" ca="1" si="178"/>
        <v>252174.62028427809</v>
      </c>
      <c r="AG310" s="35"/>
      <c r="AH310" s="35"/>
      <c r="AR310" s="69">
        <f t="shared" si="188"/>
        <v>26</v>
      </c>
      <c r="AS310" s="70">
        <f t="shared" si="194"/>
        <v>307</v>
      </c>
      <c r="AT310" s="71">
        <f t="shared" si="199"/>
        <v>0.12228830163803213</v>
      </c>
      <c r="AU310" s="72">
        <f t="shared" si="179"/>
        <v>6.8214933659622723E-3</v>
      </c>
      <c r="AV310" s="73">
        <f t="shared" si="189"/>
        <v>1.0068214933659623</v>
      </c>
      <c r="AW310" s="74">
        <f>PRODUCT(AV$4:AV310)</f>
        <v>8.0614061415862448</v>
      </c>
    </row>
    <row r="311" spans="5:49">
      <c r="E311">
        <f t="shared" si="198"/>
        <v>308</v>
      </c>
      <c r="F311" s="64">
        <f t="shared" si="180"/>
        <v>79.56</v>
      </c>
      <c r="G311" s="55">
        <f t="shared" si="168"/>
        <v>0</v>
      </c>
      <c r="H311" s="78">
        <f t="shared" si="195"/>
        <v>1</v>
      </c>
      <c r="I311" s="79">
        <f t="shared" si="181"/>
        <v>387317.83625185059</v>
      </c>
      <c r="J311" s="79">
        <f t="shared" si="169"/>
        <v>2642.0860505108603</v>
      </c>
      <c r="K311" s="80">
        <f t="shared" si="170"/>
        <v>-15</v>
      </c>
      <c r="L311" s="80">
        <f t="shared" si="182"/>
        <v>-322.76486354320883</v>
      </c>
      <c r="M311" s="80">
        <f t="shared" si="196"/>
        <v>0</v>
      </c>
      <c r="N311" s="80">
        <f t="shared" si="183"/>
        <v>-367.95194443925811</v>
      </c>
      <c r="O311" s="81">
        <f t="shared" si="171"/>
        <v>-2500.6101455486769</v>
      </c>
      <c r="P311" s="79">
        <f t="shared" si="172"/>
        <v>386753.59534883033</v>
      </c>
      <c r="Q311" s="35"/>
      <c r="R311">
        <f t="shared" ca="1" si="184"/>
        <v>433</v>
      </c>
      <c r="S311" s="78">
        <f t="shared" ca="1" si="185"/>
        <v>89.56</v>
      </c>
      <c r="T311" s="55">
        <f t="shared" ca="1" si="173"/>
        <v>2.1466801853951778E-2</v>
      </c>
      <c r="U311" s="78">
        <f t="shared" ca="1" si="190"/>
        <v>7.6836668270686734E-2</v>
      </c>
      <c r="V311" s="79">
        <f t="shared" ca="1" si="186"/>
        <v>19376.257645069465</v>
      </c>
      <c r="W311" s="79">
        <f t="shared" ca="1" si="174"/>
        <v>132.17501298301713</v>
      </c>
      <c r="X311" s="80">
        <f t="shared" ca="1" si="191"/>
        <v>-1.152550024060301</v>
      </c>
      <c r="Y311" s="80">
        <f t="shared" ca="1" si="192"/>
        <v>-16.146881370891222</v>
      </c>
      <c r="Z311" s="80">
        <f t="shared" ca="1" si="187"/>
        <v>-145.32193233802099</v>
      </c>
      <c r="AA311" s="80">
        <f t="shared" ca="1" si="193"/>
        <v>-18.407444762815995</v>
      </c>
      <c r="AB311" s="81">
        <f t="shared" ca="1" si="175"/>
        <v>-192.13855222783738</v>
      </c>
      <c r="AC311" s="79">
        <f t="shared" ca="1" si="176"/>
        <v>19135.265297328857</v>
      </c>
      <c r="AD311" s="35"/>
      <c r="AE311" s="62">
        <f t="shared" ca="1" si="177"/>
        <v>-2500.6101455486773</v>
      </c>
      <c r="AF311" s="62">
        <f t="shared" ca="1" si="178"/>
        <v>249038.19657975694</v>
      </c>
      <c r="AG311" s="35"/>
      <c r="AH311" s="35"/>
      <c r="AR311" s="69">
        <f t="shared" si="188"/>
        <v>26</v>
      </c>
      <c r="AS311" s="70">
        <f t="shared" si="194"/>
        <v>308</v>
      </c>
      <c r="AT311" s="71">
        <f t="shared" si="199"/>
        <v>0.1214541127996735</v>
      </c>
      <c r="AU311" s="72">
        <f t="shared" si="179"/>
        <v>6.8214933659622723E-3</v>
      </c>
      <c r="AV311" s="73">
        <f t="shared" si="189"/>
        <v>1.0068214933659623</v>
      </c>
      <c r="AW311" s="74">
        <f>PRODUCT(AV$4:AV311)</f>
        <v>8.1163969701014036</v>
      </c>
    </row>
    <row r="312" spans="5:49">
      <c r="E312">
        <f t="shared" si="198"/>
        <v>309</v>
      </c>
      <c r="F312" s="64">
        <f t="shared" si="180"/>
        <v>79.64</v>
      </c>
      <c r="G312" s="55">
        <f t="shared" si="168"/>
        <v>0</v>
      </c>
      <c r="H312" s="78">
        <f t="shared" si="195"/>
        <v>1</v>
      </c>
      <c r="I312" s="79">
        <f t="shared" si="181"/>
        <v>386753.59534883033</v>
      </c>
      <c r="J312" s="79">
        <f t="shared" si="169"/>
        <v>2638.2370849341032</v>
      </c>
      <c r="K312" s="80">
        <f t="shared" si="170"/>
        <v>-15</v>
      </c>
      <c r="L312" s="80">
        <f t="shared" si="182"/>
        <v>-322.29466279069197</v>
      </c>
      <c r="M312" s="80">
        <f t="shared" si="196"/>
        <v>0</v>
      </c>
      <c r="N312" s="80">
        <f t="shared" si="183"/>
        <v>-367.4159155813889</v>
      </c>
      <c r="O312" s="81">
        <f t="shared" si="171"/>
        <v>-2500.6101455486769</v>
      </c>
      <c r="P312" s="79">
        <f t="shared" si="172"/>
        <v>386186.5117098437</v>
      </c>
      <c r="Q312" s="35"/>
      <c r="R312">
        <f t="shared" ca="1" si="184"/>
        <v>434</v>
      </c>
      <c r="S312" s="78">
        <f t="shared" ca="1" si="185"/>
        <v>89.64</v>
      </c>
      <c r="T312" s="55">
        <f t="shared" ca="1" si="173"/>
        <v>2.1466801853951778E-2</v>
      </c>
      <c r="U312" s="78">
        <f t="shared" ca="1" si="190"/>
        <v>7.5187230737802077E-2</v>
      </c>
      <c r="V312" s="79">
        <f t="shared" ca="1" si="186"/>
        <v>18724.492348768297</v>
      </c>
      <c r="W312" s="79">
        <f t="shared" ca="1" si="174"/>
        <v>127.72900033813427</v>
      </c>
      <c r="X312" s="80">
        <f t="shared" ca="1" si="191"/>
        <v>-1.1278084610670311</v>
      </c>
      <c r="Y312" s="80">
        <f t="shared" ca="1" si="192"/>
        <v>-15.603743623973582</v>
      </c>
      <c r="Z312" s="80">
        <f t="shared" ca="1" si="187"/>
        <v>0</v>
      </c>
      <c r="AA312" s="80">
        <f t="shared" ca="1" si="193"/>
        <v>-17.788267731329885</v>
      </c>
      <c r="AB312" s="81">
        <f t="shared" ca="1" si="175"/>
        <v>-188.01395199865718</v>
      </c>
      <c r="AC312" s="79">
        <f t="shared" ca="1" si="176"/>
        <v>18629.687577291403</v>
      </c>
      <c r="AD312" s="35"/>
      <c r="AE312" s="62">
        <f t="shared" ca="1" si="177"/>
        <v>-2500.6101455486764</v>
      </c>
      <c r="AF312" s="62">
        <f t="shared" ca="1" si="178"/>
        <v>247777.28072281438</v>
      </c>
      <c r="AG312" s="35"/>
      <c r="AH312" s="35"/>
      <c r="AR312" s="69">
        <f t="shared" si="188"/>
        <v>26</v>
      </c>
      <c r="AS312" s="70">
        <f t="shared" si="194"/>
        <v>309</v>
      </c>
      <c r="AT312" s="71">
        <f t="shared" si="199"/>
        <v>0.12062561437494169</v>
      </c>
      <c r="AU312" s="72">
        <f t="shared" si="179"/>
        <v>6.8214933659622723E-3</v>
      </c>
      <c r="AV312" s="73">
        <f t="shared" si="189"/>
        <v>1.0068214933659623</v>
      </c>
      <c r="AW312" s="74">
        <f>PRODUCT(AV$4:AV312)</f>
        <v>8.1717629181884668</v>
      </c>
    </row>
    <row r="313" spans="5:49">
      <c r="E313">
        <f t="shared" si="198"/>
        <v>310</v>
      </c>
      <c r="F313" s="64">
        <f t="shared" si="180"/>
        <v>79.72</v>
      </c>
      <c r="G313" s="55">
        <f t="shared" si="168"/>
        <v>0</v>
      </c>
      <c r="H313" s="78">
        <f t="shared" si="195"/>
        <v>1</v>
      </c>
      <c r="I313" s="79">
        <f t="shared" si="181"/>
        <v>386186.5117098437</v>
      </c>
      <c r="J313" s="79">
        <f t="shared" si="169"/>
        <v>2634.3687276528103</v>
      </c>
      <c r="K313" s="80">
        <f t="shared" si="170"/>
        <v>-15</v>
      </c>
      <c r="L313" s="80">
        <f t="shared" si="182"/>
        <v>-321.82209309153643</v>
      </c>
      <c r="M313" s="80">
        <f t="shared" si="196"/>
        <v>0</v>
      </c>
      <c r="N313" s="80">
        <f t="shared" si="183"/>
        <v>-366.87718612435157</v>
      </c>
      <c r="O313" s="81">
        <f t="shared" si="171"/>
        <v>-2500.6101455486769</v>
      </c>
      <c r="P313" s="79">
        <f t="shared" si="172"/>
        <v>385616.57101273199</v>
      </c>
      <c r="Q313" s="35"/>
      <c r="R313">
        <f t="shared" ca="1" si="184"/>
        <v>435</v>
      </c>
      <c r="S313" s="78">
        <f t="shared" ca="1" si="185"/>
        <v>89.72</v>
      </c>
      <c r="T313" s="55">
        <f t="shared" ca="1" si="173"/>
        <v>2.1466801853951778E-2</v>
      </c>
      <c r="U313" s="78">
        <f t="shared" ca="1" si="190"/>
        <v>7.357320135360633E-2</v>
      </c>
      <c r="V313" s="79">
        <f t="shared" ca="1" si="186"/>
        <v>18229.767765468659</v>
      </c>
      <c r="W313" s="79">
        <f t="shared" ca="1" si="174"/>
        <v>124.35423987517734</v>
      </c>
      <c r="X313" s="80">
        <f t="shared" ca="1" si="191"/>
        <v>-1.1035980203040949</v>
      </c>
      <c r="Y313" s="80">
        <f t="shared" ca="1" si="192"/>
        <v>-15.191473137890551</v>
      </c>
      <c r="Z313" s="80">
        <f t="shared" ca="1" si="187"/>
        <v>0</v>
      </c>
      <c r="AA313" s="80">
        <f t="shared" ca="1" si="193"/>
        <v>-17.318279377195228</v>
      </c>
      <c r="AB313" s="81">
        <f t="shared" ca="1" si="175"/>
        <v>-183.97789374532363</v>
      </c>
      <c r="AC313" s="79">
        <f t="shared" ca="1" si="176"/>
        <v>18136.530761063124</v>
      </c>
      <c r="AD313" s="35"/>
      <c r="AE313" s="62">
        <f t="shared" ca="1" si="177"/>
        <v>-2500.6101455486769</v>
      </c>
      <c r="AF313" s="62">
        <f t="shared" ca="1" si="178"/>
        <v>246510.01216999683</v>
      </c>
      <c r="AG313" s="35"/>
      <c r="AH313" s="35"/>
      <c r="AR313" s="69">
        <f t="shared" si="188"/>
        <v>26</v>
      </c>
      <c r="AS313" s="70">
        <f t="shared" si="194"/>
        <v>310</v>
      </c>
      <c r="AT313" s="71">
        <f t="shared" si="199"/>
        <v>0.11980276754671791</v>
      </c>
      <c r="AU313" s="72">
        <f t="shared" si="179"/>
        <v>6.8214933659622723E-3</v>
      </c>
      <c r="AV313" s="73">
        <f t="shared" si="189"/>
        <v>1.0068214933659623</v>
      </c>
      <c r="AW313" s="74">
        <f>PRODUCT(AV$4:AV313)</f>
        <v>8.2275065447231057</v>
      </c>
    </row>
    <row r="314" spans="5:49">
      <c r="E314">
        <f t="shared" si="198"/>
        <v>311</v>
      </c>
      <c r="F314" s="64">
        <f t="shared" si="180"/>
        <v>79.8</v>
      </c>
      <c r="G314" s="55">
        <f t="shared" si="168"/>
        <v>0</v>
      </c>
      <c r="H314" s="78">
        <f t="shared" si="195"/>
        <v>1</v>
      </c>
      <c r="I314" s="79">
        <f t="shared" si="181"/>
        <v>385616.57101273199</v>
      </c>
      <c r="J314" s="79">
        <f t="shared" si="169"/>
        <v>2630.480880968471</v>
      </c>
      <c r="K314" s="80">
        <f t="shared" si="170"/>
        <v>-15</v>
      </c>
      <c r="L314" s="80">
        <f t="shared" si="182"/>
        <v>-321.34714251061001</v>
      </c>
      <c r="M314" s="80">
        <f t="shared" si="196"/>
        <v>0</v>
      </c>
      <c r="N314" s="80">
        <f t="shared" si="183"/>
        <v>-366.33574246209542</v>
      </c>
      <c r="O314" s="81">
        <f t="shared" si="171"/>
        <v>-2500.6101455486769</v>
      </c>
      <c r="P314" s="79">
        <f t="shared" si="172"/>
        <v>385043.75886317913</v>
      </c>
      <c r="Q314" s="35"/>
      <c r="R314">
        <f t="shared" ca="1" si="184"/>
        <v>436</v>
      </c>
      <c r="S314" s="78">
        <f t="shared" ca="1" si="185"/>
        <v>89.8</v>
      </c>
      <c r="T314" s="55">
        <f t="shared" ca="1" si="173"/>
        <v>2.1466801853951778E-2</v>
      </c>
      <c r="U314" s="78">
        <f t="shared" ca="1" si="190"/>
        <v>7.1993820018387569E-2</v>
      </c>
      <c r="V314" s="79">
        <f t="shared" ca="1" si="186"/>
        <v>17747.197448897281</v>
      </c>
      <c r="W314" s="79">
        <f t="shared" ca="1" si="174"/>
        <v>121.06238966207536</v>
      </c>
      <c r="X314" s="80">
        <f t="shared" ca="1" si="191"/>
        <v>-1.0799073002758135</v>
      </c>
      <c r="Y314" s="80">
        <f t="shared" ca="1" si="192"/>
        <v>-14.789331207414401</v>
      </c>
      <c r="Z314" s="80">
        <f t="shared" ca="1" si="187"/>
        <v>0</v>
      </c>
      <c r="AA314" s="80">
        <f t="shared" ca="1" si="193"/>
        <v>-16.859837576452421</v>
      </c>
      <c r="AB314" s="81">
        <f t="shared" ca="1" si="175"/>
        <v>-180.0284767547854</v>
      </c>
      <c r="AC314" s="79">
        <f t="shared" ca="1" si="176"/>
        <v>17655.502285720428</v>
      </c>
      <c r="AD314" s="35"/>
      <c r="AE314" s="62">
        <f t="shared" ca="1" si="177"/>
        <v>-2500.6101455486769</v>
      </c>
      <c r="AF314" s="62">
        <f t="shared" ca="1" si="178"/>
        <v>245236.3589154059</v>
      </c>
      <c r="AG314" s="35"/>
      <c r="AH314" s="35"/>
      <c r="AR314" s="69">
        <f t="shared" si="188"/>
        <v>26</v>
      </c>
      <c r="AS314" s="70">
        <f t="shared" si="194"/>
        <v>311</v>
      </c>
      <c r="AT314" s="71">
        <f t="shared" si="199"/>
        <v>0.11898553376267405</v>
      </c>
      <c r="AU314" s="72">
        <f t="shared" si="179"/>
        <v>6.8214933659622723E-3</v>
      </c>
      <c r="AV314" s="73">
        <f t="shared" si="189"/>
        <v>1.0068214933659623</v>
      </c>
      <c r="AW314" s="74">
        <f>PRODUCT(AV$4:AV314)</f>
        <v>8.2836304260363463</v>
      </c>
    </row>
    <row r="315" spans="5:49">
      <c r="E315">
        <f t="shared" si="198"/>
        <v>312</v>
      </c>
      <c r="F315" s="64">
        <f t="shared" si="180"/>
        <v>79.88</v>
      </c>
      <c r="G315" s="55">
        <f t="shared" si="168"/>
        <v>0</v>
      </c>
      <c r="H315" s="78">
        <f t="shared" si="195"/>
        <v>1</v>
      </c>
      <c r="I315" s="79">
        <f t="shared" si="181"/>
        <v>385043.75886317913</v>
      </c>
      <c r="J315" s="79">
        <f t="shared" si="169"/>
        <v>2626.5734466903532</v>
      </c>
      <c r="K315" s="80">
        <f t="shared" si="170"/>
        <v>-15</v>
      </c>
      <c r="L315" s="80">
        <f t="shared" si="182"/>
        <v>-320.86979905264928</v>
      </c>
      <c r="M315" s="80">
        <f t="shared" si="196"/>
        <v>0</v>
      </c>
      <c r="N315" s="80">
        <f t="shared" si="183"/>
        <v>-365.79157092002021</v>
      </c>
      <c r="O315" s="81">
        <f t="shared" si="171"/>
        <v>-2500.6101455486769</v>
      </c>
      <c r="P315" s="79">
        <f t="shared" si="172"/>
        <v>384468.06079434813</v>
      </c>
      <c r="Q315" s="35"/>
      <c r="R315">
        <f t="shared" ca="1" si="184"/>
        <v>437</v>
      </c>
      <c r="S315" s="78">
        <f t="shared" ca="1" si="185"/>
        <v>89.88</v>
      </c>
      <c r="T315" s="55">
        <f t="shared" ca="1" si="173"/>
        <v>2.1466801853951778E-2</v>
      </c>
      <c r="U315" s="78">
        <f t="shared" ca="1" si="190"/>
        <v>7.0448342949343781E-2</v>
      </c>
      <c r="V315" s="79">
        <f t="shared" ca="1" si="186"/>
        <v>17276.495116520873</v>
      </c>
      <c r="W315" s="79">
        <f t="shared" ca="1" si="174"/>
        <v>117.85149682442673</v>
      </c>
      <c r="X315" s="80">
        <f t="shared" ca="1" si="191"/>
        <v>-1.0567251442401566</v>
      </c>
      <c r="Y315" s="80">
        <f t="shared" ca="1" si="192"/>
        <v>-14.397079263767395</v>
      </c>
      <c r="Z315" s="80">
        <f t="shared" ca="1" si="187"/>
        <v>0</v>
      </c>
      <c r="AA315" s="80">
        <f t="shared" ca="1" si="193"/>
        <v>-16.412670360694833</v>
      </c>
      <c r="AB315" s="81">
        <f t="shared" ca="1" si="175"/>
        <v>-176.16384111622165</v>
      </c>
      <c r="AC315" s="79">
        <f t="shared" ca="1" si="176"/>
        <v>17186.316297460377</v>
      </c>
      <c r="AD315" s="35"/>
      <c r="AE315" s="62">
        <f t="shared" ca="1" si="177"/>
        <v>-2500.6101455486769</v>
      </c>
      <c r="AF315" s="62">
        <f t="shared" ca="1" si="178"/>
        <v>243956.28879189224</v>
      </c>
      <c r="AG315" s="35"/>
      <c r="AH315" s="35"/>
      <c r="AR315" s="69">
        <f t="shared" si="188"/>
        <v>26</v>
      </c>
      <c r="AS315" s="70">
        <f t="shared" si="194"/>
        <v>312</v>
      </c>
      <c r="AT315" s="71">
        <f t="shared" si="199"/>
        <v>0.11817387473346649</v>
      </c>
      <c r="AU315" s="72">
        <f t="shared" si="179"/>
        <v>6.8214933659622723E-3</v>
      </c>
      <c r="AV315" s="73">
        <f t="shared" si="189"/>
        <v>1.0068214933659623</v>
      </c>
      <c r="AW315" s="74">
        <f>PRODUCT(AV$4:AV315)</f>
        <v>8.3401371560336361</v>
      </c>
    </row>
    <row r="316" spans="5:49">
      <c r="E316">
        <f t="shared" si="198"/>
        <v>313</v>
      </c>
      <c r="F316" s="64">
        <f t="shared" si="180"/>
        <v>79.959999999999994</v>
      </c>
      <c r="G316" s="55">
        <f t="shared" si="168"/>
        <v>0</v>
      </c>
      <c r="H316" s="78">
        <f t="shared" si="195"/>
        <v>1</v>
      </c>
      <c r="I316" s="79">
        <f t="shared" si="181"/>
        <v>384468.06079434813</v>
      </c>
      <c r="J316" s="79">
        <f t="shared" si="169"/>
        <v>2622.6463261330255</v>
      </c>
      <c r="K316" s="80">
        <f t="shared" si="170"/>
        <v>-15</v>
      </c>
      <c r="L316" s="80">
        <f t="shared" si="182"/>
        <v>-320.39005066195682</v>
      </c>
      <c r="M316" s="80">
        <f t="shared" si="196"/>
        <v>-2883.5104559576107</v>
      </c>
      <c r="N316" s="80">
        <f t="shared" si="183"/>
        <v>-365.24465775463074</v>
      </c>
      <c r="O316" s="81">
        <f t="shared" si="171"/>
        <v>-2500.6101455486769</v>
      </c>
      <c r="P316" s="79">
        <f t="shared" si="172"/>
        <v>381005.95181055833</v>
      </c>
      <c r="Q316" s="35"/>
      <c r="R316">
        <f t="shared" ca="1" si="184"/>
        <v>438</v>
      </c>
      <c r="S316" s="78">
        <f t="shared" ca="1" si="185"/>
        <v>89.96</v>
      </c>
      <c r="T316" s="55">
        <f t="shared" ca="1" si="173"/>
        <v>2.1466801853951778E-2</v>
      </c>
      <c r="U316" s="78">
        <f t="shared" ca="1" si="190"/>
        <v>6.8936042330310976E-2</v>
      </c>
      <c r="V316" s="79">
        <f t="shared" ca="1" si="186"/>
        <v>16817.381050903452</v>
      </c>
      <c r="W316" s="79">
        <f t="shared" ca="1" si="174"/>
        <v>114.71965327159752</v>
      </c>
      <c r="X316" s="80">
        <f t="shared" ca="1" si="191"/>
        <v>-1.0340406349546647</v>
      </c>
      <c r="Y316" s="80">
        <f t="shared" ca="1" si="192"/>
        <v>-14.014484209086211</v>
      </c>
      <c r="Z316" s="80">
        <f t="shared" ca="1" si="187"/>
        <v>0</v>
      </c>
      <c r="AA316" s="80">
        <f t="shared" ca="1" si="193"/>
        <v>-15.976511998358284</v>
      </c>
      <c r="AB316" s="81">
        <f t="shared" ca="1" si="175"/>
        <v>-172.3821668451487</v>
      </c>
      <c r="AC316" s="79">
        <f t="shared" ca="1" si="176"/>
        <v>16728.693500487505</v>
      </c>
      <c r="AD316" s="35"/>
      <c r="AE316" s="62">
        <f t="shared" ca="1" si="177"/>
        <v>-2500.6101455486773</v>
      </c>
      <c r="AF316" s="62">
        <f t="shared" ca="1" si="178"/>
        <v>242669.76947024339</v>
      </c>
      <c r="AG316" s="35"/>
      <c r="AH316" s="35"/>
      <c r="AR316" s="69">
        <f t="shared" si="188"/>
        <v>27</v>
      </c>
      <c r="AS316" s="70">
        <f t="shared" si="194"/>
        <v>313</v>
      </c>
      <c r="AT316" s="71">
        <f t="shared" si="199"/>
        <v>0.11736775243094209</v>
      </c>
      <c r="AU316" s="72">
        <f t="shared" si="179"/>
        <v>6.8214933659622723E-3</v>
      </c>
      <c r="AV316" s="73">
        <f t="shared" si="189"/>
        <v>1.0068214933659623</v>
      </c>
      <c r="AW316" s="74">
        <f>PRODUCT(AV$4:AV316)</f>
        <v>8.397029346314735</v>
      </c>
    </row>
    <row r="317" spans="5:49">
      <c r="E317">
        <f t="shared" si="198"/>
        <v>314</v>
      </c>
      <c r="F317" s="64">
        <f t="shared" si="180"/>
        <v>80.040000000000006</v>
      </c>
      <c r="G317" s="55">
        <f t="shared" si="168"/>
        <v>0</v>
      </c>
      <c r="H317" s="78">
        <f t="shared" si="195"/>
        <v>1</v>
      </c>
      <c r="I317" s="79">
        <f t="shared" si="181"/>
        <v>381005.95181055833</v>
      </c>
      <c r="J317" s="79">
        <f t="shared" si="169"/>
        <v>2599.0295726678646</v>
      </c>
      <c r="K317" s="80">
        <f t="shared" si="170"/>
        <v>-15</v>
      </c>
      <c r="L317" s="80">
        <f t="shared" si="182"/>
        <v>-317.50495984213194</v>
      </c>
      <c r="M317" s="80">
        <f t="shared" si="196"/>
        <v>0</v>
      </c>
      <c r="N317" s="80">
        <f t="shared" si="183"/>
        <v>-361.95565422003051</v>
      </c>
      <c r="O317" s="81">
        <f t="shared" si="171"/>
        <v>-2500.6101455486769</v>
      </c>
      <c r="P317" s="79">
        <f t="shared" si="172"/>
        <v>380409.91062361537</v>
      </c>
      <c r="Q317" s="35"/>
      <c r="R317">
        <f t="shared" ca="1" si="184"/>
        <v>439</v>
      </c>
      <c r="S317" s="78">
        <f t="shared" ca="1" si="185"/>
        <v>90.04</v>
      </c>
      <c r="T317" s="55">
        <f t="shared" ca="1" si="173"/>
        <v>2.1466801853951778E-2</v>
      </c>
      <c r="U317" s="78">
        <f t="shared" ca="1" si="190"/>
        <v>6.7456205969010558E-2</v>
      </c>
      <c r="V317" s="79">
        <f t="shared" ca="1" si="186"/>
        <v>16369.581951837048</v>
      </c>
      <c r="W317" s="79">
        <f t="shared" ca="1" si="174"/>
        <v>111.66499468803217</v>
      </c>
      <c r="X317" s="80">
        <f t="shared" ca="1" si="191"/>
        <v>-1.0118430895351584</v>
      </c>
      <c r="Y317" s="80">
        <f t="shared" ca="1" si="192"/>
        <v>-13.641318293197541</v>
      </c>
      <c r="Z317" s="80">
        <f t="shared" ca="1" si="187"/>
        <v>0</v>
      </c>
      <c r="AA317" s="80">
        <f t="shared" ca="1" si="193"/>
        <v>-15.551102854245199</v>
      </c>
      <c r="AB317" s="81">
        <f t="shared" ca="1" si="175"/>
        <v>-168.68167302632901</v>
      </c>
      <c r="AC317" s="79">
        <f t="shared" ca="1" si="176"/>
        <v>16282.361009261773</v>
      </c>
      <c r="AD317" s="35"/>
      <c r="AE317" s="62">
        <f t="shared" ca="1" si="177"/>
        <v>-2500.6101455486769</v>
      </c>
      <c r="AF317" s="62">
        <f t="shared" ca="1" si="178"/>
        <v>241376.76845836698</v>
      </c>
      <c r="AG317" s="35"/>
      <c r="AH317" s="35"/>
      <c r="AR317" s="69">
        <f t="shared" si="188"/>
        <v>27</v>
      </c>
      <c r="AS317" s="70">
        <f t="shared" si="194"/>
        <v>314</v>
      </c>
      <c r="AT317" s="71">
        <f t="shared" si="199"/>
        <v>0.11656712908635652</v>
      </c>
      <c r="AU317" s="72">
        <f t="shared" si="179"/>
        <v>6.8214933659622723E-3</v>
      </c>
      <c r="AV317" s="73">
        <f t="shared" si="189"/>
        <v>1.0068214933659623</v>
      </c>
      <c r="AW317" s="74">
        <f>PRODUCT(AV$4:AV317)</f>
        <v>8.4543096262944122</v>
      </c>
    </row>
    <row r="318" spans="5:49">
      <c r="E318">
        <f t="shared" si="198"/>
        <v>315</v>
      </c>
      <c r="F318" s="64">
        <f t="shared" si="180"/>
        <v>80.12</v>
      </c>
      <c r="G318" s="55">
        <f t="shared" si="168"/>
        <v>0</v>
      </c>
      <c r="H318" s="78">
        <f t="shared" si="195"/>
        <v>1</v>
      </c>
      <c r="I318" s="79">
        <f t="shared" si="181"/>
        <v>380409.91062361537</v>
      </c>
      <c r="J318" s="79">
        <f t="shared" si="169"/>
        <v>2594.9636816652933</v>
      </c>
      <c r="K318" s="80">
        <f t="shared" si="170"/>
        <v>-15</v>
      </c>
      <c r="L318" s="80">
        <f t="shared" si="182"/>
        <v>-317.00825885301282</v>
      </c>
      <c r="M318" s="80">
        <f t="shared" si="196"/>
        <v>0</v>
      </c>
      <c r="N318" s="80">
        <f t="shared" si="183"/>
        <v>-361.38941509243472</v>
      </c>
      <c r="O318" s="81">
        <f t="shared" si="171"/>
        <v>-2500.6101455486769</v>
      </c>
      <c r="P318" s="79">
        <f t="shared" si="172"/>
        <v>379810.86648578662</v>
      </c>
      <c r="Q318" s="35"/>
      <c r="R318">
        <f t="shared" ca="1" si="184"/>
        <v>440</v>
      </c>
      <c r="S318" s="78">
        <f t="shared" ca="1" si="185"/>
        <v>90.12</v>
      </c>
      <c r="T318" s="55">
        <f t="shared" ca="1" si="173"/>
        <v>2.1466801853951778E-2</v>
      </c>
      <c r="U318" s="78">
        <f t="shared" ca="1" si="190"/>
        <v>6.6008136961654446E-2</v>
      </c>
      <c r="V318" s="79">
        <f t="shared" ca="1" si="186"/>
        <v>15932.83079176144</v>
      </c>
      <c r="W318" s="79">
        <f t="shared" ca="1" si="174"/>
        <v>108.68569954700008</v>
      </c>
      <c r="X318" s="80">
        <f t="shared" ca="1" si="191"/>
        <v>-0.99012205442481671</v>
      </c>
      <c r="Y318" s="80">
        <f t="shared" ca="1" si="192"/>
        <v>-13.277358993134534</v>
      </c>
      <c r="Z318" s="80">
        <f t="shared" ca="1" si="187"/>
        <v>0</v>
      </c>
      <c r="AA318" s="80">
        <f t="shared" ca="1" si="193"/>
        <v>-15.136189252173372</v>
      </c>
      <c r="AB318" s="81">
        <f t="shared" ca="1" si="175"/>
        <v>-165.06061697507974</v>
      </c>
      <c r="AC318" s="79">
        <f t="shared" ca="1" si="176"/>
        <v>15847.052204033629</v>
      </c>
      <c r="AD318" s="35"/>
      <c r="AE318" s="62">
        <f t="shared" ca="1" si="177"/>
        <v>-2500.6101455486773</v>
      </c>
      <c r="AF318" s="62">
        <f t="shared" ca="1" si="178"/>
        <v>240077.25310047041</v>
      </c>
      <c r="AG318" s="35"/>
      <c r="AH318" s="35"/>
      <c r="AR318" s="69">
        <f t="shared" si="188"/>
        <v>27</v>
      </c>
      <c r="AS318" s="70">
        <f t="shared" si="194"/>
        <v>315</v>
      </c>
      <c r="AT318" s="71">
        <f t="shared" si="199"/>
        <v>0.11577196718860468</v>
      </c>
      <c r="AU318" s="72">
        <f t="shared" si="179"/>
        <v>6.8214933659622723E-3</v>
      </c>
      <c r="AV318" s="73">
        <f t="shared" si="189"/>
        <v>1.0068214933659623</v>
      </c>
      <c r="AW318" s="74">
        <f>PRODUCT(AV$4:AV318)</f>
        <v>8.5119806433239713</v>
      </c>
    </row>
    <row r="319" spans="5:49">
      <c r="E319">
        <f t="shared" si="198"/>
        <v>316</v>
      </c>
      <c r="F319" s="64">
        <f t="shared" si="180"/>
        <v>80.2</v>
      </c>
      <c r="G319" s="55">
        <f t="shared" si="168"/>
        <v>0</v>
      </c>
      <c r="H319" s="78">
        <f t="shared" si="195"/>
        <v>1</v>
      </c>
      <c r="I319" s="79">
        <f t="shared" si="181"/>
        <v>379810.86648578662</v>
      </c>
      <c r="J319" s="79">
        <f t="shared" si="169"/>
        <v>2590.8773060531757</v>
      </c>
      <c r="K319" s="80">
        <f t="shared" si="170"/>
        <v>-15</v>
      </c>
      <c r="L319" s="80">
        <f t="shared" si="182"/>
        <v>-316.50905540482222</v>
      </c>
      <c r="M319" s="80">
        <f t="shared" si="196"/>
        <v>0</v>
      </c>
      <c r="N319" s="80">
        <f t="shared" si="183"/>
        <v>-360.82032316149736</v>
      </c>
      <c r="O319" s="81">
        <f t="shared" si="171"/>
        <v>-2500.6101455486769</v>
      </c>
      <c r="P319" s="79">
        <f t="shared" si="172"/>
        <v>379208.80426772486</v>
      </c>
      <c r="Q319" s="35"/>
      <c r="R319">
        <f t="shared" ca="1" si="184"/>
        <v>441</v>
      </c>
      <c r="S319" s="78">
        <f t="shared" ca="1" si="185"/>
        <v>90.2</v>
      </c>
      <c r="T319" s="55">
        <f t="shared" ca="1" si="173"/>
        <v>2.1466801853951778E-2</v>
      </c>
      <c r="U319" s="78">
        <f t="shared" ca="1" si="190"/>
        <v>6.4591153364750103E-2</v>
      </c>
      <c r="V319" s="79">
        <f t="shared" ca="1" si="186"/>
        <v>15506.866674400409</v>
      </c>
      <c r="W319" s="79">
        <f t="shared" ca="1" si="174"/>
        <v>105.77998814628384</v>
      </c>
      <c r="X319" s="80">
        <f t="shared" ca="1" si="191"/>
        <v>-0.96886730047125158</v>
      </c>
      <c r="Y319" s="80">
        <f t="shared" ca="1" si="192"/>
        <v>-12.922388895333675</v>
      </c>
      <c r="Z319" s="80">
        <f t="shared" ca="1" si="187"/>
        <v>0</v>
      </c>
      <c r="AA319" s="80">
        <f t="shared" ca="1" si="193"/>
        <v>-14.731523340680392</v>
      </c>
      <c r="AB319" s="81">
        <f t="shared" ca="1" si="175"/>
        <v>-161.51729341658466</v>
      </c>
      <c r="AC319" s="79">
        <f t="shared" ca="1" si="176"/>
        <v>15422.506589593624</v>
      </c>
      <c r="AD319" s="35"/>
      <c r="AE319" s="62">
        <f t="shared" ca="1" si="177"/>
        <v>-2500.6101455486769</v>
      </c>
      <c r="AF319" s="62">
        <f t="shared" ca="1" si="178"/>
        <v>238771.19057623585</v>
      </c>
      <c r="AG319" s="35"/>
      <c r="AH319" s="35"/>
      <c r="AR319" s="69">
        <f t="shared" si="188"/>
        <v>27</v>
      </c>
      <c r="AS319" s="70">
        <f t="shared" si="194"/>
        <v>316</v>
      </c>
      <c r="AT319" s="71">
        <f t="shared" si="199"/>
        <v>0.11498222948246321</v>
      </c>
      <c r="AU319" s="72">
        <f t="shared" si="179"/>
        <v>6.8214933659622723E-3</v>
      </c>
      <c r="AV319" s="73">
        <f t="shared" si="189"/>
        <v>1.0068214933659623</v>
      </c>
      <c r="AW319" s="74">
        <f>PRODUCT(AV$4:AV319)</f>
        <v>8.5700450628136053</v>
      </c>
    </row>
    <row r="320" spans="5:49">
      <c r="E320">
        <f t="shared" si="198"/>
        <v>317</v>
      </c>
      <c r="F320" s="64">
        <f t="shared" si="180"/>
        <v>80.28</v>
      </c>
      <c r="G320" s="55">
        <f t="shared" si="168"/>
        <v>0</v>
      </c>
      <c r="H320" s="78">
        <f t="shared" si="195"/>
        <v>1</v>
      </c>
      <c r="I320" s="79">
        <f t="shared" si="181"/>
        <v>379208.80426772486</v>
      </c>
      <c r="J320" s="79">
        <f t="shared" si="169"/>
        <v>2586.7703426267708</v>
      </c>
      <c r="K320" s="80">
        <f t="shared" si="170"/>
        <v>-15</v>
      </c>
      <c r="L320" s="80">
        <f t="shared" si="182"/>
        <v>-316.00733688977073</v>
      </c>
      <c r="M320" s="80">
        <f t="shared" si="196"/>
        <v>0</v>
      </c>
      <c r="N320" s="80">
        <f t="shared" si="183"/>
        <v>-360.24836405433871</v>
      </c>
      <c r="O320" s="81">
        <f t="shared" si="171"/>
        <v>-2500.6101455486769</v>
      </c>
      <c r="P320" s="79">
        <f t="shared" si="172"/>
        <v>378603.70876385889</v>
      </c>
      <c r="Q320" s="35"/>
      <c r="R320">
        <f t="shared" ca="1" si="184"/>
        <v>442</v>
      </c>
      <c r="S320" s="78">
        <f t="shared" ca="1" si="185"/>
        <v>90.28</v>
      </c>
      <c r="T320" s="55">
        <f t="shared" ca="1" si="173"/>
        <v>2.1466801853951778E-2</v>
      </c>
      <c r="U320" s="78">
        <f t="shared" ca="1" si="190"/>
        <v>6.3204587873950807E-2</v>
      </c>
      <c r="V320" s="79">
        <f t="shared" ca="1" si="186"/>
        <v>15091.434696543552</v>
      </c>
      <c r="W320" s="79">
        <f t="shared" ca="1" si="174"/>
        <v>102.9461216653247</v>
      </c>
      <c r="X320" s="80">
        <f t="shared" ca="1" si="191"/>
        <v>-0.94806881810926213</v>
      </c>
      <c r="Y320" s="80">
        <f t="shared" ca="1" si="192"/>
        <v>-12.576195580452961</v>
      </c>
      <c r="Z320" s="80">
        <f t="shared" ca="1" si="187"/>
        <v>0</v>
      </c>
      <c r="AA320" s="80">
        <f t="shared" ca="1" si="193"/>
        <v>-14.336862961716378</v>
      </c>
      <c r="AB320" s="81">
        <f t="shared" ca="1" si="175"/>
        <v>-158.05003368282425</v>
      </c>
      <c r="AC320" s="79">
        <f t="shared" ca="1" si="176"/>
        <v>15008.469657165775</v>
      </c>
      <c r="AD320" s="35"/>
      <c r="AE320" s="62">
        <f t="shared" ca="1" si="177"/>
        <v>-2500.6101455486764</v>
      </c>
      <c r="AF320" s="62">
        <f t="shared" ca="1" si="178"/>
        <v>237458.54789999159</v>
      </c>
      <c r="AG320" s="35"/>
      <c r="AH320" s="35"/>
      <c r="AR320" s="69">
        <f t="shared" si="188"/>
        <v>27</v>
      </c>
      <c r="AS320" s="70">
        <f t="shared" si="194"/>
        <v>317</v>
      </c>
      <c r="AT320" s="71">
        <f t="shared" si="199"/>
        <v>0.11419787896684504</v>
      </c>
      <c r="AU320" s="72">
        <f t="shared" si="179"/>
        <v>6.8214933659622723E-3</v>
      </c>
      <c r="AV320" s="73">
        <f t="shared" si="189"/>
        <v>1.0068214933659623</v>
      </c>
      <c r="AW320" s="74">
        <f>PRODUCT(AV$4:AV320)</f>
        <v>8.6285055683555854</v>
      </c>
    </row>
    <row r="321" spans="5:49">
      <c r="E321">
        <f t="shared" si="198"/>
        <v>318</v>
      </c>
      <c r="F321" s="64">
        <f t="shared" si="180"/>
        <v>80.36</v>
      </c>
      <c r="G321" s="55">
        <f t="shared" si="168"/>
        <v>0</v>
      </c>
      <c r="H321" s="78">
        <f t="shared" si="195"/>
        <v>1</v>
      </c>
      <c r="I321" s="79">
        <f t="shared" si="181"/>
        <v>378603.70876385889</v>
      </c>
      <c r="J321" s="79">
        <f t="shared" si="169"/>
        <v>2582.6426876613755</v>
      </c>
      <c r="K321" s="80">
        <f t="shared" si="170"/>
        <v>-15</v>
      </c>
      <c r="L321" s="80">
        <f t="shared" si="182"/>
        <v>-315.50309063654908</v>
      </c>
      <c r="M321" s="80">
        <f t="shared" si="196"/>
        <v>0</v>
      </c>
      <c r="N321" s="80">
        <f t="shared" si="183"/>
        <v>-359.67352332566605</v>
      </c>
      <c r="O321" s="81">
        <f t="shared" si="171"/>
        <v>-2500.6101455486769</v>
      </c>
      <c r="P321" s="79">
        <f t="shared" si="172"/>
        <v>377995.56469200942</v>
      </c>
      <c r="Q321" s="35"/>
      <c r="R321">
        <f t="shared" ca="1" si="184"/>
        <v>443</v>
      </c>
      <c r="S321" s="78">
        <f t="shared" ca="1" si="185"/>
        <v>90.36</v>
      </c>
      <c r="T321" s="55">
        <f t="shared" ca="1" si="173"/>
        <v>2.1466801853951778E-2</v>
      </c>
      <c r="U321" s="78">
        <f t="shared" ca="1" si="190"/>
        <v>6.1847787509800023E-2</v>
      </c>
      <c r="V321" s="79">
        <f t="shared" ca="1" si="186"/>
        <v>14686.285812904351</v>
      </c>
      <c r="W321" s="79">
        <f t="shared" ca="1" si="174"/>
        <v>100.18240124335287</v>
      </c>
      <c r="X321" s="80">
        <f t="shared" ca="1" si="191"/>
        <v>-0.92771681264700034</v>
      </c>
      <c r="Y321" s="80">
        <f t="shared" ca="1" si="192"/>
        <v>-12.238571510753626</v>
      </c>
      <c r="Z321" s="80">
        <f t="shared" ca="1" si="187"/>
        <v>0</v>
      </c>
      <c r="AA321" s="80">
        <f t="shared" ca="1" si="193"/>
        <v>-13.951971522259136</v>
      </c>
      <c r="AB321" s="81">
        <f t="shared" ca="1" si="175"/>
        <v>-154.65720492674467</v>
      </c>
      <c r="AC321" s="79">
        <f t="shared" ca="1" si="176"/>
        <v>14604.692749375299</v>
      </c>
      <c r="AD321" s="35"/>
      <c r="AE321" s="62">
        <f t="shared" ca="1" si="177"/>
        <v>-2500.6101455486769</v>
      </c>
      <c r="AF321" s="62">
        <f t="shared" ca="1" si="178"/>
        <v>236139.29191987877</v>
      </c>
      <c r="AG321" s="35"/>
      <c r="AH321" s="35"/>
      <c r="AR321" s="69">
        <f t="shared" si="188"/>
        <v>27</v>
      </c>
      <c r="AS321" s="70">
        <f t="shared" si="194"/>
        <v>318</v>
      </c>
      <c r="AT321" s="71">
        <f t="shared" si="199"/>
        <v>0.11341887889306575</v>
      </c>
      <c r="AU321" s="72">
        <f t="shared" si="179"/>
        <v>6.8214933659622723E-3</v>
      </c>
      <c r="AV321" s="73">
        <f t="shared" si="189"/>
        <v>1.0068214933659623</v>
      </c>
      <c r="AW321" s="74">
        <f>PRODUCT(AV$4:AV321)</f>
        <v>8.687364861848291</v>
      </c>
    </row>
    <row r="322" spans="5:49">
      <c r="E322">
        <f t="shared" si="198"/>
        <v>319</v>
      </c>
      <c r="F322" s="64">
        <f t="shared" si="180"/>
        <v>80.44</v>
      </c>
      <c r="G322" s="55">
        <f t="shared" si="168"/>
        <v>0</v>
      </c>
      <c r="H322" s="78">
        <f t="shared" si="195"/>
        <v>1</v>
      </c>
      <c r="I322" s="79">
        <f t="shared" si="181"/>
        <v>377995.56469200942</v>
      </c>
      <c r="J322" s="79">
        <f t="shared" si="169"/>
        <v>2578.4942369097053</v>
      </c>
      <c r="K322" s="80">
        <f t="shared" si="170"/>
        <v>-15</v>
      </c>
      <c r="L322" s="80">
        <f t="shared" si="182"/>
        <v>-314.99630391000784</v>
      </c>
      <c r="M322" s="80">
        <f t="shared" si="196"/>
        <v>0</v>
      </c>
      <c r="N322" s="80">
        <f t="shared" si="183"/>
        <v>-359.09578645740902</v>
      </c>
      <c r="O322" s="81">
        <f t="shared" si="171"/>
        <v>-2500.6101455486769</v>
      </c>
      <c r="P322" s="79">
        <f t="shared" si="172"/>
        <v>377384.35669300309</v>
      </c>
      <c r="Q322" s="35"/>
      <c r="R322">
        <f t="shared" ca="1" si="184"/>
        <v>444</v>
      </c>
      <c r="S322" s="78">
        <f t="shared" ca="1" si="185"/>
        <v>90.44</v>
      </c>
      <c r="T322" s="55">
        <f t="shared" ca="1" si="173"/>
        <v>2.1466801853951778E-2</v>
      </c>
      <c r="U322" s="78">
        <f t="shared" ca="1" si="190"/>
        <v>6.0520113310221835E-2</v>
      </c>
      <c r="V322" s="79">
        <f t="shared" ca="1" si="186"/>
        <v>14291.176703986614</v>
      </c>
      <c r="W322" s="79">
        <f t="shared" ca="1" si="174"/>
        <v>97.487167078039263</v>
      </c>
      <c r="X322" s="80">
        <f t="shared" ca="1" si="191"/>
        <v>-0.90780169965332758</v>
      </c>
      <c r="Y322" s="80">
        <f t="shared" ca="1" si="192"/>
        <v>-11.909313919988845</v>
      </c>
      <c r="Z322" s="80">
        <f t="shared" ca="1" si="187"/>
        <v>0</v>
      </c>
      <c r="AA322" s="80">
        <f t="shared" ca="1" si="193"/>
        <v>-13.576617868787286</v>
      </c>
      <c r="AB322" s="81">
        <f t="shared" ca="1" si="175"/>
        <v>-151.33720935329623</v>
      </c>
      <c r="AC322" s="79">
        <f t="shared" ca="1" si="176"/>
        <v>14210.932928222926</v>
      </c>
      <c r="AD322" s="35"/>
      <c r="AE322" s="62">
        <f t="shared" ca="1" si="177"/>
        <v>-2500.6101455486769</v>
      </c>
      <c r="AF322" s="62">
        <f t="shared" ca="1" si="178"/>
        <v>234813.38931701411</v>
      </c>
      <c r="AG322" s="35"/>
      <c r="AH322" s="35"/>
      <c r="AR322" s="69">
        <f t="shared" si="188"/>
        <v>27</v>
      </c>
      <c r="AS322" s="70">
        <f t="shared" si="194"/>
        <v>319</v>
      </c>
      <c r="AT322" s="71">
        <f t="shared" si="199"/>
        <v>0.11264519276312182</v>
      </c>
      <c r="AU322" s="72">
        <f t="shared" si="179"/>
        <v>6.8214933659622723E-3</v>
      </c>
      <c r="AV322" s="73">
        <f t="shared" si="189"/>
        <v>1.0068214933659623</v>
      </c>
      <c r="AW322" s="74">
        <f>PRODUCT(AV$4:AV322)</f>
        <v>8.7466256636210833</v>
      </c>
    </row>
    <row r="323" spans="5:49">
      <c r="E323">
        <f t="shared" si="198"/>
        <v>320</v>
      </c>
      <c r="F323" s="64">
        <f t="shared" si="180"/>
        <v>80.52</v>
      </c>
      <c r="G323" s="55">
        <f t="shared" si="168"/>
        <v>0</v>
      </c>
      <c r="H323" s="78">
        <f t="shared" si="195"/>
        <v>1</v>
      </c>
      <c r="I323" s="79">
        <f t="shared" si="181"/>
        <v>377384.35669300309</v>
      </c>
      <c r="J323" s="79">
        <f t="shared" si="169"/>
        <v>2574.3248855992606</v>
      </c>
      <c r="K323" s="80">
        <f t="shared" si="170"/>
        <v>-15</v>
      </c>
      <c r="L323" s="80">
        <f t="shared" si="182"/>
        <v>-314.48696391083593</v>
      </c>
      <c r="M323" s="80">
        <f t="shared" si="196"/>
        <v>0</v>
      </c>
      <c r="N323" s="80">
        <f t="shared" si="183"/>
        <v>-358.51513885835305</v>
      </c>
      <c r="O323" s="81">
        <f t="shared" si="171"/>
        <v>-2500.6101455486769</v>
      </c>
      <c r="P323" s="79">
        <f t="shared" si="172"/>
        <v>376770.06933028455</v>
      </c>
      <c r="Q323" s="35"/>
      <c r="R323">
        <f t="shared" ca="1" si="184"/>
        <v>445</v>
      </c>
      <c r="S323" s="78">
        <f t="shared" ca="1" si="185"/>
        <v>90.52</v>
      </c>
      <c r="T323" s="55">
        <f t="shared" ca="1" si="173"/>
        <v>2.3512861877976521E-2</v>
      </c>
      <c r="U323" s="78">
        <f t="shared" ca="1" si="190"/>
        <v>5.9097112245119099E-2</v>
      </c>
      <c r="V323" s="79">
        <f t="shared" ca="1" si="186"/>
        <v>13876.793225124433</v>
      </c>
      <c r="W323" s="79">
        <f t="shared" ca="1" si="174"/>
        <v>94.660452926016518</v>
      </c>
      <c r="X323" s="80">
        <f t="shared" ca="1" si="191"/>
        <v>-0.88645668367678643</v>
      </c>
      <c r="Y323" s="80">
        <f t="shared" ca="1" si="192"/>
        <v>-11.563994354270362</v>
      </c>
      <c r="Z323" s="80">
        <f t="shared" ca="1" si="187"/>
        <v>-104.07594918843324</v>
      </c>
      <c r="AA323" s="80">
        <f t="shared" ca="1" si="193"/>
        <v>-13.182953563868212</v>
      </c>
      <c r="AB323" s="81">
        <f t="shared" ca="1" si="175"/>
        <v>-147.77883845277378</v>
      </c>
      <c r="AC323" s="79">
        <f t="shared" ca="1" si="176"/>
        <v>13693.965485807428</v>
      </c>
      <c r="AD323" s="35"/>
      <c r="AE323" s="62">
        <f t="shared" ca="1" si="177"/>
        <v>-2500.6101455486773</v>
      </c>
      <c r="AF323" s="62">
        <f t="shared" ca="1" si="178"/>
        <v>231719.70618477097</v>
      </c>
      <c r="AG323" s="35"/>
      <c r="AH323" s="35"/>
      <c r="AR323" s="69">
        <f t="shared" si="188"/>
        <v>27</v>
      </c>
      <c r="AS323" s="70">
        <f t="shared" si="194"/>
        <v>320</v>
      </c>
      <c r="AT323" s="71">
        <f t="shared" si="199"/>
        <v>0.11187678432798065</v>
      </c>
      <c r="AU323" s="72">
        <f t="shared" si="179"/>
        <v>6.8214933659622723E-3</v>
      </c>
      <c r="AV323" s="73">
        <f t="shared" si="189"/>
        <v>1.0068214933659623</v>
      </c>
      <c r="AW323" s="74">
        <f>PRODUCT(AV$4:AV323)</f>
        <v>8.8062907125600294</v>
      </c>
    </row>
    <row r="324" spans="5:49">
      <c r="E324">
        <f t="shared" si="198"/>
        <v>321</v>
      </c>
      <c r="F324" s="64">
        <f t="shared" si="180"/>
        <v>80.599999999999994</v>
      </c>
      <c r="G324" s="55">
        <f t="shared" ref="G324:G387" si="200">(1-(1-IF(F324&gt;$AJ$90,0,VLOOKUP(ROUND(F324,0),$AJ$4:$AK$90,2,FALSE)))^(1/12))*0</f>
        <v>0</v>
      </c>
      <c r="H324" s="78">
        <f t="shared" si="195"/>
        <v>1</v>
      </c>
      <c r="I324" s="79">
        <f t="shared" si="181"/>
        <v>376770.06933028455</v>
      </c>
      <c r="J324" s="79">
        <f t="shared" ref="J324:J387" si="201">(I324)*$AU324</f>
        <v>2570.1345284296813</v>
      </c>
      <c r="K324" s="80">
        <f t="shared" ref="K324:K387" si="202">IF(I324=0,0,-$C$19)*H324</f>
        <v>-15</v>
      </c>
      <c r="L324" s="80">
        <f t="shared" si="182"/>
        <v>-313.97505777523713</v>
      </c>
      <c r="M324" s="80">
        <f t="shared" si="196"/>
        <v>0</v>
      </c>
      <c r="N324" s="80">
        <f t="shared" si="183"/>
        <v>-357.9315658637704</v>
      </c>
      <c r="O324" s="81">
        <f t="shared" ref="O324:O387" si="203">-MIN(
IF(MOD(E324-1,IF($C$7="Annual",12,1))=0,1,0)
*IF(F324&lt;=$C$6,H324*$C$5*$C$4/IF($C$7="Monthly",12,1),$C$12),I324)</f>
        <v>-2500.6101455486769</v>
      </c>
      <c r="P324" s="79">
        <f t="shared" ref="P324:P387" si="204">SUM(I324:O324)</f>
        <v>376152.68708952656</v>
      </c>
      <c r="Q324" s="35"/>
      <c r="R324">
        <f t="shared" ca="1" si="184"/>
        <v>446</v>
      </c>
      <c r="S324" s="78">
        <f t="shared" ca="1" si="185"/>
        <v>90.6</v>
      </c>
      <c r="T324" s="55">
        <f t="shared" ref="T324:T387" ca="1" si="205">(1-(1-IF(S324&gt;$AJ$90,0,VLOOKUP(ROUND(S324,0),$AJ$4:$AK$90,2,FALSE)))^(1/12))</f>
        <v>2.3512861877976521E-2</v>
      </c>
      <c r="U324" s="78">
        <f t="shared" ca="1" si="190"/>
        <v>5.7707570007512338E-2</v>
      </c>
      <c r="V324" s="79">
        <f t="shared" ca="1" si="186"/>
        <v>13371.981166777861</v>
      </c>
      <c r="W324" s="79">
        <f t="shared" ref="W324:W387" ca="1" si="206">(V324)*$AU324</f>
        <v>91.216880818947629</v>
      </c>
      <c r="X324" s="80">
        <f t="shared" ca="1" si="191"/>
        <v>-0.86561355011268504</v>
      </c>
      <c r="Y324" s="80">
        <f t="shared" ca="1" si="192"/>
        <v>-11.143317638981552</v>
      </c>
      <c r="Z324" s="80">
        <f t="shared" ca="1" si="187"/>
        <v>0</v>
      </c>
      <c r="AA324" s="80">
        <f t="shared" ca="1" si="193"/>
        <v>-12.703382108438971</v>
      </c>
      <c r="AB324" s="81">
        <f t="shared" ref="AB324:AB387" ca="1" si="207">-MIN(IF(MOD(R324,IF($C$7="Annual",12,1))=0,1,0)*$C$39*U324/IF($C$7="Monthly",12,1),V324)</f>
        <v>-144.30413503574587</v>
      </c>
      <c r="AC324" s="79">
        <f t="shared" ref="AC324:AC387" ca="1" si="208">SUM(V324:AB324)</f>
        <v>13294.181599263529</v>
      </c>
      <c r="AD324" s="35"/>
      <c r="AE324" s="62">
        <f t="shared" ref="AE324:AE387" ca="1" si="209">AB324/U324</f>
        <v>-2500.6101455486764</v>
      </c>
      <c r="AF324" s="62">
        <f t="shared" ref="AF324:AF387" ca="1" si="210">AC324/U324</f>
        <v>230371.53700169493</v>
      </c>
      <c r="AG324" s="35"/>
      <c r="AH324" s="35"/>
      <c r="AR324" s="69">
        <f t="shared" si="188"/>
        <v>27</v>
      </c>
      <c r="AS324" s="70">
        <f t="shared" si="194"/>
        <v>321</v>
      </c>
      <c r="AT324" s="71">
        <f t="shared" si="199"/>
        <v>0.11111361758588213</v>
      </c>
      <c r="AU324" s="72">
        <f t="shared" ref="AU324:AU387" si="211">((1+$AH$21)^(1/12))-1</f>
        <v>6.8214933659622723E-3</v>
      </c>
      <c r="AV324" s="73">
        <f t="shared" si="189"/>
        <v>1.0068214933659623</v>
      </c>
      <c r="AW324" s="74">
        <f>PRODUCT(AV$4:AV324)</f>
        <v>8.8663627662344933</v>
      </c>
    </row>
    <row r="325" spans="5:49">
      <c r="E325">
        <f t="shared" si="198"/>
        <v>322</v>
      </c>
      <c r="F325" s="64">
        <f t="shared" ref="F325:F388" si="212">ROUND((E325-E324)/12+F324,2)</f>
        <v>80.680000000000007</v>
      </c>
      <c r="G325" s="55">
        <f t="shared" si="200"/>
        <v>0</v>
      </c>
      <c r="H325" s="78">
        <f t="shared" si="195"/>
        <v>1</v>
      </c>
      <c r="I325" s="79">
        <f t="shared" ref="I325:I388" si="213">MAX(P324,0)*(1-G325)</f>
        <v>376152.68708952656</v>
      </c>
      <c r="J325" s="79">
        <f t="shared" si="201"/>
        <v>2565.9230595700878</v>
      </c>
      <c r="K325" s="80">
        <f t="shared" si="202"/>
        <v>-15</v>
      </c>
      <c r="L325" s="80">
        <f t="shared" ref="L325:L388" si="214">IF(OR(I324+O324=0,K324=0),0,-I325*($C$16/12))</f>
        <v>-313.46057257460546</v>
      </c>
      <c r="M325" s="80">
        <f t="shared" si="196"/>
        <v>0</v>
      </c>
      <c r="N325" s="80">
        <f t="shared" ref="N325:N388" si="215">IF(OR(I324+O324=0,K324=0),0,-I325*($C$18*(1+$C$20))/12)</f>
        <v>-357.34505273505033</v>
      </c>
      <c r="O325" s="81">
        <f t="shared" si="203"/>
        <v>-2500.6101455486769</v>
      </c>
      <c r="P325" s="79">
        <f t="shared" si="204"/>
        <v>375532.19437823835</v>
      </c>
      <c r="Q325" s="35"/>
      <c r="R325">
        <f t="shared" ref="R325:R388" ca="1" si="216">R324+1</f>
        <v>447</v>
      </c>
      <c r="S325" s="78">
        <f t="shared" ref="S325:S388" ca="1" si="217">ROUND((R325-R324)/12+S324,2)</f>
        <v>90.68</v>
      </c>
      <c r="T325" s="55">
        <f t="shared" ca="1" si="205"/>
        <v>2.3512861877976521E-2</v>
      </c>
      <c r="U325" s="78">
        <f t="shared" ca="1" si="190"/>
        <v>5.635069988461204E-2</v>
      </c>
      <c r="V325" s="79">
        <f t="shared" ref="V325:V388" ca="1" si="218">MAX(AC324,0)*(1-T325)</f>
        <v>12981.59734353931</v>
      </c>
      <c r="W325" s="79">
        <f t="shared" ca="1" si="206"/>
        <v>88.55388015854686</v>
      </c>
      <c r="X325" s="80">
        <f t="shared" ca="1" si="191"/>
        <v>-0.84526049826918059</v>
      </c>
      <c r="Y325" s="80">
        <f t="shared" ca="1" si="192"/>
        <v>-10.817997786282758</v>
      </c>
      <c r="Z325" s="80">
        <f t="shared" ref="Z325:Z388" ca="1" si="219">-IF(MOD(R325-1,12)=0,1,0)*V325*($C$17)</f>
        <v>0</v>
      </c>
      <c r="AA325" s="80">
        <f t="shared" ca="1" si="193"/>
        <v>-12.332517476362346</v>
      </c>
      <c r="AB325" s="81">
        <f t="shared" ca="1" si="207"/>
        <v>-140.91113184022953</v>
      </c>
      <c r="AC325" s="79">
        <f t="shared" ca="1" si="208"/>
        <v>12905.244316096712</v>
      </c>
      <c r="AD325" s="35"/>
      <c r="AE325" s="62">
        <f t="shared" ca="1" si="209"/>
        <v>-2500.6101455486769</v>
      </c>
      <c r="AF325" s="62">
        <f t="shared" ca="1" si="210"/>
        <v>229016.57552652349</v>
      </c>
      <c r="AG325" s="35"/>
      <c r="AH325" s="35"/>
      <c r="AR325" s="69">
        <f t="shared" ref="AR325:AR388" si="220">ROUNDDOWN((AS325-1)/12,0)+1</f>
        <v>27</v>
      </c>
      <c r="AS325" s="70">
        <f t="shared" si="194"/>
        <v>322</v>
      </c>
      <c r="AT325" s="71">
        <f t="shared" si="199"/>
        <v>0.11035565678065197</v>
      </c>
      <c r="AU325" s="72">
        <f t="shared" si="211"/>
        <v>6.8214933659622723E-3</v>
      </c>
      <c r="AV325" s="73">
        <f t="shared" ref="AV325:AV388" si="221">(1+AU325)</f>
        <v>1.0068214933659623</v>
      </c>
      <c r="AW325" s="74">
        <f>PRODUCT(AV$4:AV325)</f>
        <v>8.9268446010245768</v>
      </c>
    </row>
    <row r="326" spans="5:49">
      <c r="E326">
        <f t="shared" si="198"/>
        <v>323</v>
      </c>
      <c r="F326" s="64">
        <f t="shared" si="212"/>
        <v>80.760000000000005</v>
      </c>
      <c r="G326" s="55">
        <f t="shared" si="200"/>
        <v>0</v>
      </c>
      <c r="H326" s="78">
        <f t="shared" si="195"/>
        <v>1</v>
      </c>
      <c r="I326" s="79">
        <f t="shared" si="213"/>
        <v>375532.19437823835</v>
      </c>
      <c r="J326" s="79">
        <f t="shared" si="201"/>
        <v>2561.6903726564074</v>
      </c>
      <c r="K326" s="80">
        <f t="shared" si="202"/>
        <v>-15</v>
      </c>
      <c r="L326" s="80">
        <f t="shared" si="214"/>
        <v>-312.94349531519862</v>
      </c>
      <c r="M326" s="80">
        <f t="shared" si="196"/>
        <v>0</v>
      </c>
      <c r="N326" s="80">
        <f t="shared" si="215"/>
        <v>-356.75558465932653</v>
      </c>
      <c r="O326" s="81">
        <f t="shared" si="203"/>
        <v>-2500.6101455486769</v>
      </c>
      <c r="P326" s="79">
        <f t="shared" si="204"/>
        <v>374908.57552537153</v>
      </c>
      <c r="Q326" s="35"/>
      <c r="R326">
        <f t="shared" ca="1" si="216"/>
        <v>448</v>
      </c>
      <c r="S326" s="78">
        <f t="shared" ca="1" si="217"/>
        <v>90.76</v>
      </c>
      <c r="T326" s="55">
        <f t="shared" ca="1" si="205"/>
        <v>2.3512861877976521E-2</v>
      </c>
      <c r="U326" s="78">
        <f t="shared" ref="U326:U389" ca="1" si="222">U325*(1-T326)</f>
        <v>5.502573366149785E-2</v>
      </c>
      <c r="V326" s="79">
        <f t="shared" ca="1" si="218"/>
        <v>12601.805088990788</v>
      </c>
      <c r="W326" s="79">
        <f t="shared" ca="1" si="206"/>
        <v>85.963129813700263</v>
      </c>
      <c r="X326" s="80">
        <f t="shared" ref="X326:X389" ca="1" si="223">IF(V326=0,0,-$C$19)*U326</f>
        <v>-0.82538600492246772</v>
      </c>
      <c r="Y326" s="80">
        <f t="shared" ref="Y326:Y389" ca="1" si="224">IF(OR(V325+AB325=0,X325=0),0,-V326*($C$16/12))</f>
        <v>-10.501504240825657</v>
      </c>
      <c r="Z326" s="80">
        <f t="shared" ca="1" si="219"/>
        <v>0</v>
      </c>
      <c r="AA326" s="80">
        <f t="shared" ref="AA326:AA389" ca="1" si="225">IF(OR(V325+AB325=0,X325=0),0,-V326*($C$18*(1+$C$20))/12)</f>
        <v>-11.971714834541251</v>
      </c>
      <c r="AB326" s="81">
        <f t="shared" ca="1" si="207"/>
        <v>-137.59790786020088</v>
      </c>
      <c r="AC326" s="79">
        <f t="shared" ca="1" si="208"/>
        <v>12526.871705864</v>
      </c>
      <c r="AD326" s="35"/>
      <c r="AE326" s="62">
        <f t="shared" ca="1" si="209"/>
        <v>-2500.6101455486769</v>
      </c>
      <c r="AF326" s="62">
        <f t="shared" ca="1" si="210"/>
        <v>227654.7875386021</v>
      </c>
      <c r="AG326" s="35"/>
      <c r="AH326" s="35"/>
      <c r="AR326" s="69">
        <f t="shared" si="220"/>
        <v>27</v>
      </c>
      <c r="AS326" s="70">
        <f t="shared" ref="AS326:AS389" si="226">AS325+1</f>
        <v>323</v>
      </c>
      <c r="AT326" s="71">
        <f t="shared" si="199"/>
        <v>0.10960286640002634</v>
      </c>
      <c r="AU326" s="72">
        <f t="shared" si="211"/>
        <v>6.8214933659622723E-3</v>
      </c>
      <c r="AV326" s="73">
        <f t="shared" si="221"/>
        <v>1.0068214933659623</v>
      </c>
      <c r="AW326" s="74">
        <f>PRODUCT(AV$4:AV326)</f>
        <v>8.9877390122494418</v>
      </c>
    </row>
    <row r="327" spans="5:49">
      <c r="E327">
        <f t="shared" si="198"/>
        <v>324</v>
      </c>
      <c r="F327" s="64">
        <f t="shared" si="212"/>
        <v>80.84</v>
      </c>
      <c r="G327" s="55">
        <f t="shared" si="200"/>
        <v>0</v>
      </c>
      <c r="H327" s="78">
        <f t="shared" ref="H327:H390" si="227">H326*(1-G327)</f>
        <v>1</v>
      </c>
      <c r="I327" s="79">
        <f t="shared" si="213"/>
        <v>374908.57552537153</v>
      </c>
      <c r="J327" s="79">
        <f t="shared" si="201"/>
        <v>2557.4363607886876</v>
      </c>
      <c r="K327" s="80">
        <f t="shared" si="202"/>
        <v>-15</v>
      </c>
      <c r="L327" s="80">
        <f t="shared" si="214"/>
        <v>-312.42381293780966</v>
      </c>
      <c r="M327" s="80">
        <f t="shared" si="196"/>
        <v>0</v>
      </c>
      <c r="N327" s="80">
        <f t="shared" si="215"/>
        <v>-356.16314674910308</v>
      </c>
      <c r="O327" s="81">
        <f t="shared" si="203"/>
        <v>-2500.6101455486769</v>
      </c>
      <c r="P327" s="79">
        <f t="shared" si="204"/>
        <v>374281.8147809247</v>
      </c>
      <c r="Q327" s="35"/>
      <c r="R327">
        <f t="shared" ca="1" si="216"/>
        <v>449</v>
      </c>
      <c r="S327" s="78">
        <f t="shared" ca="1" si="217"/>
        <v>90.84</v>
      </c>
      <c r="T327" s="55">
        <f t="shared" ca="1" si="205"/>
        <v>2.3512861877976521E-2</v>
      </c>
      <c r="U327" s="78">
        <f t="shared" ca="1" si="222"/>
        <v>5.3731921186180726E-2</v>
      </c>
      <c r="V327" s="79">
        <f t="shared" ca="1" si="218"/>
        <v>12232.329101680887</v>
      </c>
      <c r="W327" s="79">
        <f t="shared" ca="1" si="206"/>
        <v>83.44275181738341</v>
      </c>
      <c r="X327" s="80">
        <f t="shared" ca="1" si="223"/>
        <v>-0.80597881779271086</v>
      </c>
      <c r="Y327" s="80">
        <f t="shared" ca="1" si="224"/>
        <v>-10.193607584734073</v>
      </c>
      <c r="Z327" s="80">
        <f t="shared" ca="1" si="219"/>
        <v>0</v>
      </c>
      <c r="AA327" s="80">
        <f t="shared" ca="1" si="225"/>
        <v>-11.620712646596845</v>
      </c>
      <c r="AB327" s="81">
        <f t="shared" ca="1" si="207"/>
        <v>-134.36258725798541</v>
      </c>
      <c r="AC327" s="79">
        <f t="shared" ca="1" si="208"/>
        <v>12158.788967191163</v>
      </c>
      <c r="AD327" s="35"/>
      <c r="AE327" s="62">
        <f t="shared" ca="1" si="209"/>
        <v>-2500.6101455486769</v>
      </c>
      <c r="AF327" s="62">
        <f t="shared" ca="1" si="210"/>
        <v>226286.13864486711</v>
      </c>
      <c r="AG327" s="35"/>
      <c r="AH327" s="35"/>
      <c r="AR327" s="69">
        <f t="shared" si="220"/>
        <v>27</v>
      </c>
      <c r="AS327" s="70">
        <f t="shared" si="226"/>
        <v>324</v>
      </c>
      <c r="AT327" s="71">
        <f t="shared" si="199"/>
        <v>0.10885521117398811</v>
      </c>
      <c r="AU327" s="72">
        <f t="shared" si="211"/>
        <v>6.8214933659622723E-3</v>
      </c>
      <c r="AV327" s="73">
        <f t="shared" si="221"/>
        <v>1.0068214933659623</v>
      </c>
      <c r="AW327" s="74">
        <f>PRODUCT(AV$4:AV327)</f>
        <v>9.0490488142965013</v>
      </c>
    </row>
    <row r="328" spans="5:49">
      <c r="E328">
        <f t="shared" si="198"/>
        <v>325</v>
      </c>
      <c r="F328" s="64">
        <f t="shared" si="212"/>
        <v>80.92</v>
      </c>
      <c r="G328" s="55">
        <f t="shared" si="200"/>
        <v>0</v>
      </c>
      <c r="H328" s="78">
        <f t="shared" si="227"/>
        <v>1</v>
      </c>
      <c r="I328" s="79">
        <f t="shared" si="213"/>
        <v>374281.8147809247</v>
      </c>
      <c r="J328" s="79">
        <f t="shared" si="201"/>
        <v>2553.1609165283976</v>
      </c>
      <c r="K328" s="80">
        <f t="shared" si="202"/>
        <v>-15</v>
      </c>
      <c r="L328" s="80">
        <f t="shared" si="214"/>
        <v>-311.90151231743727</v>
      </c>
      <c r="M328" s="80">
        <f t="shared" si="196"/>
        <v>-2807.1136108569353</v>
      </c>
      <c r="N328" s="80">
        <f t="shared" si="215"/>
        <v>-355.56772404187853</v>
      </c>
      <c r="O328" s="81">
        <f t="shared" si="203"/>
        <v>-2500.6101455486769</v>
      </c>
      <c r="P328" s="79">
        <f t="shared" si="204"/>
        <v>370844.7827046882</v>
      </c>
      <c r="Q328" s="35"/>
      <c r="R328">
        <f t="shared" ca="1" si="216"/>
        <v>450</v>
      </c>
      <c r="S328" s="78">
        <f t="shared" ca="1" si="217"/>
        <v>90.92</v>
      </c>
      <c r="T328" s="55">
        <f t="shared" ca="1" si="205"/>
        <v>2.3512861877976521E-2</v>
      </c>
      <c r="U328" s="78">
        <f t="shared" ca="1" si="222"/>
        <v>5.2468529944891741E-2</v>
      </c>
      <c r="V328" s="79">
        <f t="shared" ca="1" si="218"/>
        <v>11872.901041602132</v>
      </c>
      <c r="W328" s="79">
        <f t="shared" ca="1" si="206"/>
        <v>80.990915690015498</v>
      </c>
      <c r="X328" s="80">
        <f t="shared" ca="1" si="223"/>
        <v>-0.78702794917337615</v>
      </c>
      <c r="Y328" s="80">
        <f t="shared" ca="1" si="224"/>
        <v>-9.8940842013351098</v>
      </c>
      <c r="Z328" s="80">
        <f t="shared" ca="1" si="219"/>
        <v>0</v>
      </c>
      <c r="AA328" s="80">
        <f t="shared" ca="1" si="225"/>
        <v>-11.279255989522028</v>
      </c>
      <c r="AB328" s="81">
        <f t="shared" ca="1" si="207"/>
        <v>-131.20333830222086</v>
      </c>
      <c r="AC328" s="79">
        <f t="shared" ca="1" si="208"/>
        <v>11800.728250849897</v>
      </c>
      <c r="AD328" s="35"/>
      <c r="AE328" s="62">
        <f t="shared" ca="1" si="209"/>
        <v>-2500.6101455486769</v>
      </c>
      <c r="AF328" s="62">
        <f t="shared" ca="1" si="210"/>
        <v>224910.5942789769</v>
      </c>
      <c r="AG328" s="35"/>
      <c r="AH328" s="35"/>
      <c r="AR328" s="69">
        <f t="shared" si="220"/>
        <v>28</v>
      </c>
      <c r="AS328" s="70">
        <f t="shared" si="226"/>
        <v>325</v>
      </c>
      <c r="AT328" s="71">
        <f t="shared" si="199"/>
        <v>0.10811265607311432</v>
      </c>
      <c r="AU328" s="72">
        <f t="shared" si="211"/>
        <v>6.8214933659622723E-3</v>
      </c>
      <c r="AV328" s="73">
        <f t="shared" si="221"/>
        <v>1.0068214933659623</v>
      </c>
      <c r="AW328" s="74">
        <f>PRODUCT(AV$4:AV328)</f>
        <v>9.1107768407514929</v>
      </c>
    </row>
    <row r="329" spans="5:49">
      <c r="E329">
        <f t="shared" si="198"/>
        <v>326</v>
      </c>
      <c r="F329" s="64">
        <f t="shared" si="212"/>
        <v>81</v>
      </c>
      <c r="G329" s="55">
        <f t="shared" si="200"/>
        <v>0</v>
      </c>
      <c r="H329" s="78">
        <f t="shared" si="227"/>
        <v>1</v>
      </c>
      <c r="I329" s="79">
        <f t="shared" si="213"/>
        <v>370844.7827046882</v>
      </c>
      <c r="J329" s="79">
        <f t="shared" si="201"/>
        <v>2529.7152250217509</v>
      </c>
      <c r="K329" s="80">
        <f t="shared" si="202"/>
        <v>-15</v>
      </c>
      <c r="L329" s="80">
        <f t="shared" si="214"/>
        <v>-309.03731892057351</v>
      </c>
      <c r="M329" s="80">
        <f t="shared" si="196"/>
        <v>0</v>
      </c>
      <c r="N329" s="80">
        <f t="shared" si="215"/>
        <v>-352.3025435694538</v>
      </c>
      <c r="O329" s="81">
        <f t="shared" si="203"/>
        <v>-2500.6101455486769</v>
      </c>
      <c r="P329" s="79">
        <f t="shared" si="204"/>
        <v>370197.54792167124</v>
      </c>
      <c r="Q329" s="35"/>
      <c r="R329">
        <f t="shared" ca="1" si="216"/>
        <v>451</v>
      </c>
      <c r="S329" s="78">
        <f t="shared" ca="1" si="217"/>
        <v>91</v>
      </c>
      <c r="T329" s="55">
        <f t="shared" ca="1" si="205"/>
        <v>2.3512861877976521E-2</v>
      </c>
      <c r="U329" s="78">
        <f t="shared" ca="1" si="222"/>
        <v>5.1234844647357024E-2</v>
      </c>
      <c r="V329" s="79">
        <f t="shared" ca="1" si="218"/>
        <v>11523.259357428129</v>
      </c>
      <c r="W329" s="79">
        <f t="shared" ca="1" si="206"/>
        <v>78.605837260958666</v>
      </c>
      <c r="X329" s="80">
        <f t="shared" ca="1" si="223"/>
        <v>-0.76852266971035532</v>
      </c>
      <c r="Y329" s="80">
        <f t="shared" ca="1" si="224"/>
        <v>-9.6027161311901086</v>
      </c>
      <c r="Z329" s="80">
        <f t="shared" ca="1" si="219"/>
        <v>0</v>
      </c>
      <c r="AA329" s="80">
        <f t="shared" ca="1" si="225"/>
        <v>-10.947096389556725</v>
      </c>
      <c r="AB329" s="81">
        <f t="shared" ca="1" si="207"/>
        <v>-128.11837233079129</v>
      </c>
      <c r="AC329" s="79">
        <f t="shared" ca="1" si="208"/>
        <v>11452.428487167839</v>
      </c>
      <c r="AD329" s="35"/>
      <c r="AE329" s="62">
        <f t="shared" ca="1" si="209"/>
        <v>-2500.6101455486769</v>
      </c>
      <c r="AF329" s="62">
        <f t="shared" ca="1" si="210"/>
        <v>223528.11970043942</v>
      </c>
      <c r="AG329" s="35"/>
      <c r="AH329" s="35"/>
      <c r="AR329" s="69">
        <f t="shared" si="220"/>
        <v>28</v>
      </c>
      <c r="AS329" s="70">
        <f t="shared" si="226"/>
        <v>326</v>
      </c>
      <c r="AT329" s="71">
        <f t="shared" si="199"/>
        <v>0.10737516630693501</v>
      </c>
      <c r="AU329" s="72">
        <f t="shared" si="211"/>
        <v>6.8214933659622723E-3</v>
      </c>
      <c r="AV329" s="73">
        <f t="shared" si="221"/>
        <v>1.0068214933659623</v>
      </c>
      <c r="AW329" s="74">
        <f>PRODUCT(AV$4:AV329)</f>
        <v>9.1729259445294424</v>
      </c>
    </row>
    <row r="330" spans="5:49">
      <c r="E330">
        <f t="shared" si="198"/>
        <v>327</v>
      </c>
      <c r="F330" s="64">
        <f t="shared" si="212"/>
        <v>81.08</v>
      </c>
      <c r="G330" s="55">
        <f t="shared" si="200"/>
        <v>0</v>
      </c>
      <c r="H330" s="78">
        <f t="shared" si="227"/>
        <v>1</v>
      </c>
      <c r="I330" s="79">
        <f t="shared" si="213"/>
        <v>370197.54792167124</v>
      </c>
      <c r="J330" s="79">
        <f t="shared" si="201"/>
        <v>2525.3001172431809</v>
      </c>
      <c r="K330" s="80">
        <f t="shared" si="202"/>
        <v>-15</v>
      </c>
      <c r="L330" s="80">
        <f t="shared" si="214"/>
        <v>-308.49795660139273</v>
      </c>
      <c r="M330" s="80">
        <f t="shared" si="196"/>
        <v>0</v>
      </c>
      <c r="N330" s="80">
        <f t="shared" si="215"/>
        <v>-351.68767052558775</v>
      </c>
      <c r="O330" s="81">
        <f t="shared" si="203"/>
        <v>-2500.6101455486769</v>
      </c>
      <c r="P330" s="79">
        <f t="shared" si="204"/>
        <v>369547.05226623884</v>
      </c>
      <c r="Q330" s="35"/>
      <c r="R330">
        <f t="shared" ca="1" si="216"/>
        <v>452</v>
      </c>
      <c r="S330" s="78">
        <f t="shared" ca="1" si="217"/>
        <v>91.08</v>
      </c>
      <c r="T330" s="55">
        <f t="shared" ca="1" si="205"/>
        <v>2.3512861877976521E-2</v>
      </c>
      <c r="U330" s="78">
        <f t="shared" ca="1" si="222"/>
        <v>5.003016682182413E-2</v>
      </c>
      <c r="V330" s="79">
        <f t="shared" ca="1" si="218"/>
        <v>11183.149117981658</v>
      </c>
      <c r="W330" s="79">
        <f t="shared" ca="1" si="206"/>
        <v>76.285777518878717</v>
      </c>
      <c r="X330" s="80">
        <f t="shared" ca="1" si="223"/>
        <v>-0.75045250232736194</v>
      </c>
      <c r="Y330" s="80">
        <f t="shared" ca="1" si="224"/>
        <v>-9.3192909316513823</v>
      </c>
      <c r="Z330" s="80">
        <f t="shared" ca="1" si="219"/>
        <v>0</v>
      </c>
      <c r="AA330" s="80">
        <f t="shared" ca="1" si="225"/>
        <v>-10.623991662082577</v>
      </c>
      <c r="AB330" s="81">
        <f t="shared" ca="1" si="207"/>
        <v>-125.10594273814623</v>
      </c>
      <c r="AC330" s="79">
        <f t="shared" ca="1" si="208"/>
        <v>11113.635217666329</v>
      </c>
      <c r="AD330" s="35"/>
      <c r="AE330" s="62">
        <f t="shared" ca="1" si="209"/>
        <v>-2500.6101455486769</v>
      </c>
      <c r="AF330" s="62">
        <f t="shared" ca="1" si="210"/>
        <v>222138.67999373423</v>
      </c>
      <c r="AG330" s="35"/>
      <c r="AH330" s="35"/>
      <c r="AR330" s="69">
        <f t="shared" si="220"/>
        <v>28</v>
      </c>
      <c r="AS330" s="70">
        <f t="shared" si="226"/>
        <v>327</v>
      </c>
      <c r="AT330" s="71">
        <f t="shared" si="199"/>
        <v>0.10664270732230316</v>
      </c>
      <c r="AU330" s="72">
        <f t="shared" si="211"/>
        <v>6.8214933659622723E-3</v>
      </c>
      <c r="AV330" s="73">
        <f t="shared" si="221"/>
        <v>1.0068214933659623</v>
      </c>
      <c r="AW330" s="74">
        <f>PRODUCT(AV$4:AV330)</f>
        <v>9.2354989980065127</v>
      </c>
    </row>
    <row r="331" spans="5:49">
      <c r="E331">
        <f t="shared" si="198"/>
        <v>328</v>
      </c>
      <c r="F331" s="64">
        <f t="shared" si="212"/>
        <v>81.16</v>
      </c>
      <c r="G331" s="55">
        <f t="shared" si="200"/>
        <v>0</v>
      </c>
      <c r="H331" s="78">
        <f t="shared" si="227"/>
        <v>1</v>
      </c>
      <c r="I331" s="79">
        <f t="shared" si="213"/>
        <v>369547.05226623884</v>
      </c>
      <c r="J331" s="79">
        <f t="shared" si="201"/>
        <v>2520.8627654450615</v>
      </c>
      <c r="K331" s="80">
        <f t="shared" si="202"/>
        <v>-15</v>
      </c>
      <c r="L331" s="80">
        <f t="shared" si="214"/>
        <v>-307.95587688853237</v>
      </c>
      <c r="M331" s="80">
        <f t="shared" si="196"/>
        <v>0</v>
      </c>
      <c r="N331" s="80">
        <f t="shared" si="215"/>
        <v>-351.069699652927</v>
      </c>
      <c r="O331" s="81">
        <f t="shared" si="203"/>
        <v>-2500.6101455486769</v>
      </c>
      <c r="P331" s="79">
        <f t="shared" si="204"/>
        <v>368893.27930959384</v>
      </c>
      <c r="Q331" s="35"/>
      <c r="R331">
        <f t="shared" ca="1" si="216"/>
        <v>453</v>
      </c>
      <c r="S331" s="78">
        <f t="shared" ca="1" si="217"/>
        <v>91.16</v>
      </c>
      <c r="T331" s="55">
        <f t="shared" ca="1" si="205"/>
        <v>2.3512861877976521E-2</v>
      </c>
      <c r="U331" s="78">
        <f t="shared" ca="1" si="222"/>
        <v>4.8853814419610453E-2</v>
      </c>
      <c r="V331" s="79">
        <f t="shared" ca="1" si="218"/>
        <v>10852.321847831126</v>
      </c>
      <c r="W331" s="79">
        <f t="shared" ca="1" si="206"/>
        <v>74.02904149026746</v>
      </c>
      <c r="X331" s="80">
        <f t="shared" ca="1" si="223"/>
        <v>-0.73280721629415679</v>
      </c>
      <c r="Y331" s="80">
        <f t="shared" ca="1" si="224"/>
        <v>-9.0436015398592726</v>
      </c>
      <c r="Z331" s="80">
        <f t="shared" ca="1" si="219"/>
        <v>0</v>
      </c>
      <c r="AA331" s="80">
        <f t="shared" ca="1" si="225"/>
        <v>-10.309705755439571</v>
      </c>
      <c r="AB331" s="81">
        <f t="shared" ca="1" si="207"/>
        <v>-122.16434398643014</v>
      </c>
      <c r="AC331" s="79">
        <f t="shared" ca="1" si="208"/>
        <v>10784.100430823371</v>
      </c>
      <c r="AD331" s="35"/>
      <c r="AE331" s="62">
        <f t="shared" ca="1" si="209"/>
        <v>-2500.6101455486769</v>
      </c>
      <c r="AF331" s="62">
        <f t="shared" ca="1" si="210"/>
        <v>220742.24006743098</v>
      </c>
      <c r="AG331" s="35"/>
      <c r="AH331" s="35"/>
      <c r="AR331" s="69">
        <f t="shared" si="220"/>
        <v>28</v>
      </c>
      <c r="AS331" s="70">
        <f t="shared" si="226"/>
        <v>328</v>
      </c>
      <c r="AT331" s="71">
        <f t="shared" si="199"/>
        <v>0.10591524480177582</v>
      </c>
      <c r="AU331" s="72">
        <f t="shared" si="211"/>
        <v>6.8214933659622723E-3</v>
      </c>
      <c r="AV331" s="73">
        <f t="shared" si="221"/>
        <v>1.0068214933659623</v>
      </c>
      <c r="AW331" s="74">
        <f>PRODUCT(AV$4:AV331)</f>
        <v>9.2984988931527646</v>
      </c>
    </row>
    <row r="332" spans="5:49">
      <c r="E332">
        <f t="shared" si="198"/>
        <v>329</v>
      </c>
      <c r="F332" s="64">
        <f t="shared" si="212"/>
        <v>81.239999999999995</v>
      </c>
      <c r="G332" s="55">
        <f t="shared" si="200"/>
        <v>0</v>
      </c>
      <c r="H332" s="78">
        <f t="shared" si="227"/>
        <v>1</v>
      </c>
      <c r="I332" s="79">
        <f t="shared" si="213"/>
        <v>368893.27930959384</v>
      </c>
      <c r="J332" s="79">
        <f t="shared" si="201"/>
        <v>2516.403057558462</v>
      </c>
      <c r="K332" s="80">
        <f t="shared" si="202"/>
        <v>-15</v>
      </c>
      <c r="L332" s="80">
        <f t="shared" si="214"/>
        <v>-307.41106609132822</v>
      </c>
      <c r="M332" s="80">
        <f t="shared" si="196"/>
        <v>0</v>
      </c>
      <c r="N332" s="80">
        <f t="shared" si="215"/>
        <v>-350.44861534411422</v>
      </c>
      <c r="O332" s="81">
        <f t="shared" si="203"/>
        <v>-2500.6101455486769</v>
      </c>
      <c r="P332" s="79">
        <f t="shared" si="204"/>
        <v>368236.2125401682</v>
      </c>
      <c r="Q332" s="35"/>
      <c r="R332">
        <f t="shared" ca="1" si="216"/>
        <v>454</v>
      </c>
      <c r="S332" s="78">
        <f t="shared" ca="1" si="217"/>
        <v>91.24</v>
      </c>
      <c r="T332" s="55">
        <f t="shared" ca="1" si="205"/>
        <v>2.3512861877976521E-2</v>
      </c>
      <c r="U332" s="78">
        <f t="shared" ca="1" si="222"/>
        <v>4.7705121428949858E-2</v>
      </c>
      <c r="V332" s="79">
        <f t="shared" ca="1" si="218"/>
        <v>10530.535366915194</v>
      </c>
      <c r="W332" s="79">
        <f t="shared" ca="1" si="206"/>
        <v>71.833977145443072</v>
      </c>
      <c r="X332" s="80">
        <f t="shared" ca="1" si="223"/>
        <v>-0.71557682143424783</v>
      </c>
      <c r="Y332" s="80">
        <f t="shared" ca="1" si="224"/>
        <v>-8.7754461390959957</v>
      </c>
      <c r="Z332" s="80">
        <f t="shared" ca="1" si="219"/>
        <v>0</v>
      </c>
      <c r="AA332" s="80">
        <f t="shared" ca="1" si="225"/>
        <v>-10.004008598569436</v>
      </c>
      <c r="AB332" s="81">
        <f t="shared" ca="1" si="207"/>
        <v>-119.2919106398636</v>
      </c>
      <c r="AC332" s="79">
        <f t="shared" ca="1" si="208"/>
        <v>10463.582401861673</v>
      </c>
      <c r="AD332" s="35"/>
      <c r="AE332" s="62">
        <f t="shared" ca="1" si="209"/>
        <v>-2500.6101455486769</v>
      </c>
      <c r="AF332" s="62">
        <f t="shared" ca="1" si="210"/>
        <v>219338.76465330296</v>
      </c>
      <c r="AG332" s="35"/>
      <c r="AH332" s="35"/>
      <c r="AR332" s="69">
        <f t="shared" si="220"/>
        <v>28</v>
      </c>
      <c r="AS332" s="70">
        <f t="shared" si="226"/>
        <v>329</v>
      </c>
      <c r="AT332" s="71">
        <f t="shared" si="199"/>
        <v>0.10519274466200623</v>
      </c>
      <c r="AU332" s="72">
        <f t="shared" si="211"/>
        <v>6.8214933659622723E-3</v>
      </c>
      <c r="AV332" s="73">
        <f t="shared" si="221"/>
        <v>1.0068214933659623</v>
      </c>
      <c r="AW332" s="74">
        <f>PRODUCT(AV$4:AV332)</f>
        <v>9.3619285416658133</v>
      </c>
    </row>
    <row r="333" spans="5:49">
      <c r="E333">
        <f t="shared" si="198"/>
        <v>330</v>
      </c>
      <c r="F333" s="64">
        <f t="shared" si="212"/>
        <v>81.319999999999993</v>
      </c>
      <c r="G333" s="55">
        <f t="shared" si="200"/>
        <v>0</v>
      </c>
      <c r="H333" s="78">
        <f t="shared" si="227"/>
        <v>1</v>
      </c>
      <c r="I333" s="79">
        <f t="shared" si="213"/>
        <v>368236.2125401682</v>
      </c>
      <c r="J333" s="79">
        <f t="shared" si="201"/>
        <v>2511.9208809498305</v>
      </c>
      <c r="K333" s="80">
        <f t="shared" si="202"/>
        <v>-15</v>
      </c>
      <c r="L333" s="80">
        <f t="shared" si="214"/>
        <v>-306.86351045014021</v>
      </c>
      <c r="M333" s="80">
        <f t="shared" si="196"/>
        <v>0</v>
      </c>
      <c r="N333" s="80">
        <f t="shared" si="215"/>
        <v>-349.82440191315982</v>
      </c>
      <c r="O333" s="81">
        <f t="shared" si="203"/>
        <v>-2500.6101455486769</v>
      </c>
      <c r="P333" s="79">
        <f t="shared" si="204"/>
        <v>367575.8353632061</v>
      </c>
      <c r="Q333" s="35"/>
      <c r="R333">
        <f t="shared" ca="1" si="216"/>
        <v>455</v>
      </c>
      <c r="S333" s="78">
        <f t="shared" ca="1" si="217"/>
        <v>91.32</v>
      </c>
      <c r="T333" s="55">
        <f t="shared" ca="1" si="205"/>
        <v>2.3512861877976521E-2</v>
      </c>
      <c r="U333" s="78">
        <f t="shared" ca="1" si="222"/>
        <v>4.6583437497918864E-2</v>
      </c>
      <c r="V333" s="79">
        <f t="shared" ca="1" si="218"/>
        <v>10217.553634097874</v>
      </c>
      <c r="W333" s="79">
        <f t="shared" ca="1" si="206"/>
        <v>69.698974331362351</v>
      </c>
      <c r="X333" s="80">
        <f t="shared" ca="1" si="223"/>
        <v>-0.69875156246878301</v>
      </c>
      <c r="Y333" s="80">
        <f t="shared" ca="1" si="224"/>
        <v>-8.5146280284148954</v>
      </c>
      <c r="Z333" s="80">
        <f t="shared" ca="1" si="219"/>
        <v>0</v>
      </c>
      <c r="AA333" s="80">
        <f t="shared" ca="1" si="225"/>
        <v>-9.7066759523929829</v>
      </c>
      <c r="AB333" s="81">
        <f t="shared" ca="1" si="207"/>
        <v>-116.48701642182859</v>
      </c>
      <c r="AC333" s="79">
        <f t="shared" ca="1" si="208"/>
        <v>10151.84553646413</v>
      </c>
      <c r="AD333" s="35"/>
      <c r="AE333" s="62">
        <f t="shared" ca="1" si="209"/>
        <v>-2500.6101455486769</v>
      </c>
      <c r="AF333" s="62">
        <f t="shared" ca="1" si="210"/>
        <v>217928.21830543675</v>
      </c>
      <c r="AG333" s="35"/>
      <c r="AH333" s="35"/>
      <c r="AR333" s="69">
        <f t="shared" si="220"/>
        <v>28</v>
      </c>
      <c r="AS333" s="70">
        <f t="shared" si="226"/>
        <v>330</v>
      </c>
      <c r="AT333" s="71">
        <f t="shared" si="199"/>
        <v>0.104475173052147</v>
      </c>
      <c r="AU333" s="72">
        <f t="shared" si="211"/>
        <v>6.8214933659622723E-3</v>
      </c>
      <c r="AV333" s="73">
        <f t="shared" si="221"/>
        <v>1.0068214933659623</v>
      </c>
      <c r="AW333" s="74">
        <f>PRODUCT(AV$4:AV333)</f>
        <v>9.4257908751053989</v>
      </c>
    </row>
    <row r="334" spans="5:49">
      <c r="E334">
        <f t="shared" si="198"/>
        <v>331</v>
      </c>
      <c r="F334" s="64">
        <f t="shared" si="212"/>
        <v>81.400000000000006</v>
      </c>
      <c r="G334" s="55">
        <f t="shared" si="200"/>
        <v>0</v>
      </c>
      <c r="H334" s="78">
        <f t="shared" si="227"/>
        <v>1</v>
      </c>
      <c r="I334" s="79">
        <f t="shared" si="213"/>
        <v>367575.8353632061</v>
      </c>
      <c r="J334" s="79">
        <f t="shared" si="201"/>
        <v>2507.4161224181507</v>
      </c>
      <c r="K334" s="80">
        <f t="shared" si="202"/>
        <v>-15</v>
      </c>
      <c r="L334" s="80">
        <f t="shared" si="214"/>
        <v>-306.3131961360051</v>
      </c>
      <c r="M334" s="80">
        <f t="shared" si="196"/>
        <v>0</v>
      </c>
      <c r="N334" s="80">
        <f t="shared" si="215"/>
        <v>-349.1970435950459</v>
      </c>
      <c r="O334" s="81">
        <f t="shared" si="203"/>
        <v>-2500.6101455486769</v>
      </c>
      <c r="P334" s="79">
        <f t="shared" si="204"/>
        <v>366912.13110034453</v>
      </c>
      <c r="Q334" s="35"/>
      <c r="R334">
        <f t="shared" ca="1" si="216"/>
        <v>456</v>
      </c>
      <c r="S334" s="78">
        <f t="shared" ca="1" si="217"/>
        <v>91.4</v>
      </c>
      <c r="T334" s="55">
        <f t="shared" ca="1" si="205"/>
        <v>2.3512861877976521E-2</v>
      </c>
      <c r="U334" s="78">
        <f t="shared" ca="1" si="222"/>
        <v>4.5488127566228949E-2</v>
      </c>
      <c r="V334" s="79">
        <f t="shared" ca="1" si="218"/>
        <v>9913.146594558697</v>
      </c>
      <c r="W334" s="79">
        <f t="shared" ca="1" si="206"/>
        <v>67.622463730593637</v>
      </c>
      <c r="X334" s="80">
        <f t="shared" ca="1" si="223"/>
        <v>-0.68232191349343418</v>
      </c>
      <c r="Y334" s="80">
        <f t="shared" ca="1" si="224"/>
        <v>-8.2609554954655806</v>
      </c>
      <c r="Z334" s="80">
        <f t="shared" ca="1" si="219"/>
        <v>0</v>
      </c>
      <c r="AA334" s="80">
        <f t="shared" ca="1" si="225"/>
        <v>-9.4174892648307633</v>
      </c>
      <c r="AB334" s="81">
        <f t="shared" ca="1" si="207"/>
        <v>-113.74807329412455</v>
      </c>
      <c r="AC334" s="79">
        <f t="shared" ca="1" si="208"/>
        <v>9848.6602183213763</v>
      </c>
      <c r="AD334" s="35"/>
      <c r="AE334" s="62">
        <f t="shared" ca="1" si="209"/>
        <v>-2500.6101455486769</v>
      </c>
      <c r="AF334" s="62">
        <f t="shared" ca="1" si="210"/>
        <v>216510.56539933654</v>
      </c>
      <c r="AG334" s="35"/>
      <c r="AH334" s="35"/>
      <c r="AR334" s="69">
        <f t="shared" si="220"/>
        <v>28</v>
      </c>
      <c r="AS334" s="70">
        <f t="shared" si="226"/>
        <v>331</v>
      </c>
      <c r="AT334" s="71">
        <f t="shared" si="199"/>
        <v>0.10376249635226402</v>
      </c>
      <c r="AU334" s="72">
        <f t="shared" si="211"/>
        <v>6.8214933659622723E-3</v>
      </c>
      <c r="AV334" s="73">
        <f t="shared" si="221"/>
        <v>1.0068214933659623</v>
      </c>
      <c r="AW334" s="74">
        <f>PRODUCT(AV$4:AV334)</f>
        <v>9.4900888450288789</v>
      </c>
    </row>
    <row r="335" spans="5:49">
      <c r="E335">
        <f t="shared" si="198"/>
        <v>332</v>
      </c>
      <c r="F335" s="64">
        <f t="shared" si="212"/>
        <v>81.48</v>
      </c>
      <c r="G335" s="55">
        <f t="shared" si="200"/>
        <v>0</v>
      </c>
      <c r="H335" s="78">
        <f t="shared" si="227"/>
        <v>1</v>
      </c>
      <c r="I335" s="79">
        <f t="shared" si="213"/>
        <v>366912.13110034453</v>
      </c>
      <c r="J335" s="79">
        <f t="shared" si="201"/>
        <v>2502.8886681920799</v>
      </c>
      <c r="K335" s="80">
        <f t="shared" si="202"/>
        <v>-15</v>
      </c>
      <c r="L335" s="80">
        <f t="shared" si="214"/>
        <v>-305.76010925028714</v>
      </c>
      <c r="M335" s="80">
        <f t="shared" si="196"/>
        <v>0</v>
      </c>
      <c r="N335" s="80">
        <f t="shared" si="215"/>
        <v>-348.56652454532735</v>
      </c>
      <c r="O335" s="81">
        <f t="shared" si="203"/>
        <v>-2500.6101455486769</v>
      </c>
      <c r="P335" s="79">
        <f t="shared" si="204"/>
        <v>366245.08298919239</v>
      </c>
      <c r="Q335" s="35"/>
      <c r="R335">
        <f t="shared" ca="1" si="216"/>
        <v>457</v>
      </c>
      <c r="S335" s="78">
        <f t="shared" ca="1" si="217"/>
        <v>91.48</v>
      </c>
      <c r="T335" s="55">
        <f t="shared" ca="1" si="205"/>
        <v>2.3512861877976521E-2</v>
      </c>
      <c r="U335" s="78">
        <f t="shared" ca="1" si="222"/>
        <v>4.4418571505676428E-2</v>
      </c>
      <c r="V335" s="79">
        <f t="shared" ca="1" si="218"/>
        <v>9617.0900309248645</v>
      </c>
      <c r="W335" s="79">
        <f t="shared" ca="1" si="206"/>
        <v>65.602915845815872</v>
      </c>
      <c r="X335" s="80">
        <f t="shared" ca="1" si="223"/>
        <v>-0.66627857258514644</v>
      </c>
      <c r="Y335" s="80">
        <f t="shared" ca="1" si="224"/>
        <v>-8.0142416924373876</v>
      </c>
      <c r="Z335" s="80">
        <f t="shared" ca="1" si="219"/>
        <v>-72.128175231936481</v>
      </c>
      <c r="AA335" s="80">
        <f t="shared" ca="1" si="225"/>
        <v>-9.1362355293786219</v>
      </c>
      <c r="AB335" s="81">
        <f t="shared" ca="1" si="207"/>
        <v>-111.07353055787384</v>
      </c>
      <c r="AC335" s="79">
        <f t="shared" ca="1" si="208"/>
        <v>9481.674485186466</v>
      </c>
      <c r="AD335" s="35"/>
      <c r="AE335" s="62">
        <f t="shared" ca="1" si="209"/>
        <v>-2500.6101455486769</v>
      </c>
      <c r="AF335" s="62">
        <f t="shared" ca="1" si="210"/>
        <v>213461.94089052963</v>
      </c>
      <c r="AG335" s="35"/>
      <c r="AH335" s="35"/>
      <c r="AR335" s="69">
        <f t="shared" si="220"/>
        <v>28</v>
      </c>
      <c r="AS335" s="70">
        <f t="shared" si="226"/>
        <v>332</v>
      </c>
      <c r="AT335" s="71">
        <f t="shared" si="199"/>
        <v>0.10305468117176136</v>
      </c>
      <c r="AU335" s="72">
        <f t="shared" si="211"/>
        <v>6.8214933659622723E-3</v>
      </c>
      <c r="AV335" s="73">
        <f t="shared" si="221"/>
        <v>1.0068214933659623</v>
      </c>
      <c r="AW335" s="74">
        <f>PRODUCT(AV$4:AV335)</f>
        <v>9.5548254231276353</v>
      </c>
    </row>
    <row r="336" spans="5:49">
      <c r="E336">
        <f t="shared" ref="E336:E399" si="228">E335+1</f>
        <v>333</v>
      </c>
      <c r="F336" s="64">
        <f t="shared" si="212"/>
        <v>81.56</v>
      </c>
      <c r="G336" s="55">
        <f t="shared" si="200"/>
        <v>0</v>
      </c>
      <c r="H336" s="78">
        <f t="shared" si="227"/>
        <v>1</v>
      </c>
      <c r="I336" s="79">
        <f t="shared" si="213"/>
        <v>366245.08298919239</v>
      </c>
      <c r="J336" s="79">
        <f t="shared" si="201"/>
        <v>2498.3384039270777</v>
      </c>
      <c r="K336" s="80">
        <f t="shared" si="202"/>
        <v>-15</v>
      </c>
      <c r="L336" s="80">
        <f t="shared" si="214"/>
        <v>-305.20423582432699</v>
      </c>
      <c r="M336" s="80">
        <f t="shared" ref="M336:M399" si="229">IF(OR(I335+O335=0,K335=0),0,-IF(MOD(E336-1,12)=0,1,0)*I336*($C$17))</f>
        <v>0</v>
      </c>
      <c r="N336" s="80">
        <f t="shared" si="215"/>
        <v>-347.93282883973285</v>
      </c>
      <c r="O336" s="81">
        <f t="shared" si="203"/>
        <v>-2500.6101455486769</v>
      </c>
      <c r="P336" s="79">
        <f t="shared" si="204"/>
        <v>365574.67418290675</v>
      </c>
      <c r="Q336" s="35"/>
      <c r="R336">
        <f t="shared" ca="1" si="216"/>
        <v>458</v>
      </c>
      <c r="S336" s="78">
        <f t="shared" ca="1" si="217"/>
        <v>91.56</v>
      </c>
      <c r="T336" s="55">
        <f t="shared" ca="1" si="205"/>
        <v>2.5756084803392754E-2</v>
      </c>
      <c r="U336" s="78">
        <f t="shared" ca="1" si="222"/>
        <v>4.3274523011130661E-2</v>
      </c>
      <c r="V336" s="79">
        <f t="shared" ca="1" si="218"/>
        <v>9237.4636730678376</v>
      </c>
      <c r="W336" s="79">
        <f t="shared" ca="1" si="206"/>
        <v>63.013297164149741</v>
      </c>
      <c r="X336" s="80">
        <f t="shared" ca="1" si="223"/>
        <v>-0.64911784516695992</v>
      </c>
      <c r="Y336" s="80">
        <f t="shared" ca="1" si="224"/>
        <v>-7.6978863942231985</v>
      </c>
      <c r="Z336" s="80">
        <f t="shared" ca="1" si="219"/>
        <v>0</v>
      </c>
      <c r="AA336" s="80">
        <f t="shared" ca="1" si="225"/>
        <v>-8.7755904894144479</v>
      </c>
      <c r="AB336" s="81">
        <f t="shared" ca="1" si="207"/>
        <v>-108.21271128541302</v>
      </c>
      <c r="AC336" s="79">
        <f t="shared" ca="1" si="208"/>
        <v>9175.1416642177701</v>
      </c>
      <c r="AD336" s="35"/>
      <c r="AE336" s="62">
        <f t="shared" ca="1" si="209"/>
        <v>-2500.6101455486773</v>
      </c>
      <c r="AF336" s="62">
        <f t="shared" ca="1" si="210"/>
        <v>212021.78616406303</v>
      </c>
      <c r="AG336" s="35"/>
      <c r="AH336" s="35"/>
      <c r="AR336" s="69">
        <f t="shared" si="220"/>
        <v>28</v>
      </c>
      <c r="AS336" s="70">
        <f t="shared" si="226"/>
        <v>333</v>
      </c>
      <c r="AT336" s="71">
        <f t="shared" si="199"/>
        <v>0.10235169434781684</v>
      </c>
      <c r="AU336" s="72">
        <f t="shared" si="211"/>
        <v>6.8214933659622723E-3</v>
      </c>
      <c r="AV336" s="73">
        <f t="shared" si="221"/>
        <v>1.0068214933659623</v>
      </c>
      <c r="AW336" s="74">
        <f>PRODUCT(AV$4:AV336)</f>
        <v>9.6200036013644272</v>
      </c>
    </row>
    <row r="337" spans="5:49">
      <c r="E337">
        <f t="shared" si="228"/>
        <v>334</v>
      </c>
      <c r="F337" s="64">
        <f t="shared" si="212"/>
        <v>81.64</v>
      </c>
      <c r="G337" s="55">
        <f t="shared" si="200"/>
        <v>0</v>
      </c>
      <c r="H337" s="78">
        <f t="shared" si="227"/>
        <v>1</v>
      </c>
      <c r="I337" s="79">
        <f t="shared" si="213"/>
        <v>365574.67418290675</v>
      </c>
      <c r="J337" s="79">
        <f t="shared" si="201"/>
        <v>2493.7652147025174</v>
      </c>
      <c r="K337" s="80">
        <f t="shared" si="202"/>
        <v>-15</v>
      </c>
      <c r="L337" s="80">
        <f t="shared" si="214"/>
        <v>-304.64556181908898</v>
      </c>
      <c r="M337" s="80">
        <f t="shared" si="229"/>
        <v>0</v>
      </c>
      <c r="N337" s="80">
        <f t="shared" si="215"/>
        <v>-347.29594047376145</v>
      </c>
      <c r="O337" s="81">
        <f t="shared" si="203"/>
        <v>-2500.6101455486769</v>
      </c>
      <c r="P337" s="79">
        <f t="shared" si="204"/>
        <v>364900.8877497678</v>
      </c>
      <c r="Q337" s="35"/>
      <c r="R337">
        <f t="shared" ca="1" si="216"/>
        <v>459</v>
      </c>
      <c r="S337" s="78">
        <f t="shared" ca="1" si="217"/>
        <v>91.64</v>
      </c>
      <c r="T337" s="55">
        <f t="shared" ca="1" si="205"/>
        <v>2.5756084803392754E-2</v>
      </c>
      <c r="U337" s="78">
        <f t="shared" ca="1" si="222"/>
        <v>4.2159940726629611E-2</v>
      </c>
      <c r="V337" s="79">
        <f t="shared" ca="1" si="218"/>
        <v>8938.8259374310346</v>
      </c>
      <c r="W337" s="79">
        <f t="shared" ca="1" si="206"/>
        <v>60.976141831677289</v>
      </c>
      <c r="X337" s="80">
        <f t="shared" ca="1" si="223"/>
        <v>-0.63239911089944412</v>
      </c>
      <c r="Y337" s="80">
        <f t="shared" ca="1" si="224"/>
        <v>-7.4490216145258623</v>
      </c>
      <c r="Z337" s="80">
        <f t="shared" ca="1" si="219"/>
        <v>0</v>
      </c>
      <c r="AA337" s="80">
        <f t="shared" ca="1" si="225"/>
        <v>-8.4918846405594852</v>
      </c>
      <c r="AB337" s="81">
        <f t="shared" ca="1" si="207"/>
        <v>-105.42557551674086</v>
      </c>
      <c r="AC337" s="79">
        <f t="shared" ca="1" si="208"/>
        <v>8877.8031983799847</v>
      </c>
      <c r="AD337" s="35"/>
      <c r="AE337" s="62">
        <f t="shared" ca="1" si="209"/>
        <v>-2500.6101455486769</v>
      </c>
      <c r="AF337" s="62">
        <f t="shared" ca="1" si="210"/>
        <v>210574.37570761266</v>
      </c>
      <c r="AG337" s="35"/>
      <c r="AH337" s="35"/>
      <c r="AR337" s="69">
        <f t="shared" si="220"/>
        <v>28</v>
      </c>
      <c r="AS337" s="70">
        <f t="shared" si="226"/>
        <v>334</v>
      </c>
      <c r="AT337" s="71">
        <f t="shared" si="199"/>
        <v>0.1016535029438282</v>
      </c>
      <c r="AU337" s="72">
        <f t="shared" si="211"/>
        <v>6.8214933659622723E-3</v>
      </c>
      <c r="AV337" s="73">
        <f t="shared" si="221"/>
        <v>1.0068214933659623</v>
      </c>
      <c r="AW337" s="74">
        <f>PRODUCT(AV$4:AV337)</f>
        <v>9.6856263921116685</v>
      </c>
    </row>
    <row r="338" spans="5:49">
      <c r="E338">
        <f t="shared" si="228"/>
        <v>335</v>
      </c>
      <c r="F338" s="64">
        <f t="shared" si="212"/>
        <v>81.72</v>
      </c>
      <c r="G338" s="55">
        <f t="shared" si="200"/>
        <v>0</v>
      </c>
      <c r="H338" s="78">
        <f t="shared" si="227"/>
        <v>1</v>
      </c>
      <c r="I338" s="79">
        <f t="shared" si="213"/>
        <v>364900.8877497678</v>
      </c>
      <c r="J338" s="79">
        <f t="shared" si="201"/>
        <v>2489.168985018785</v>
      </c>
      <c r="K338" s="80">
        <f t="shared" si="202"/>
        <v>-15</v>
      </c>
      <c r="L338" s="80">
        <f t="shared" si="214"/>
        <v>-304.08407312480654</v>
      </c>
      <c r="M338" s="80">
        <f t="shared" si="229"/>
        <v>0</v>
      </c>
      <c r="N338" s="80">
        <f t="shared" si="215"/>
        <v>-346.65584336227948</v>
      </c>
      <c r="O338" s="81">
        <f t="shared" si="203"/>
        <v>-2500.6101455486769</v>
      </c>
      <c r="P338" s="79">
        <f t="shared" si="204"/>
        <v>364223.70667275088</v>
      </c>
      <c r="Q338" s="35"/>
      <c r="R338">
        <f t="shared" ca="1" si="216"/>
        <v>460</v>
      </c>
      <c r="S338" s="78">
        <f t="shared" ca="1" si="217"/>
        <v>91.72</v>
      </c>
      <c r="T338" s="55">
        <f t="shared" ca="1" si="205"/>
        <v>2.5756084803392754E-2</v>
      </c>
      <c r="U338" s="78">
        <f t="shared" ca="1" si="222"/>
        <v>4.1074065717968525E-2</v>
      </c>
      <c r="V338" s="79">
        <f t="shared" ca="1" si="218"/>
        <v>8649.1457463346778</v>
      </c>
      <c r="W338" s="79">
        <f t="shared" ca="1" si="206"/>
        <v>59.000090329862815</v>
      </c>
      <c r="X338" s="80">
        <f t="shared" ca="1" si="223"/>
        <v>-0.61611098576952783</v>
      </c>
      <c r="Y338" s="80">
        <f t="shared" ca="1" si="224"/>
        <v>-7.2076214552788986</v>
      </c>
      <c r="Z338" s="80">
        <f t="shared" ca="1" si="219"/>
        <v>0</v>
      </c>
      <c r="AA338" s="80">
        <f t="shared" ca="1" si="225"/>
        <v>-8.216688459017945</v>
      </c>
      <c r="AB338" s="81">
        <f t="shared" ca="1" si="207"/>
        <v>-102.71022545328519</v>
      </c>
      <c r="AC338" s="79">
        <f t="shared" ca="1" si="208"/>
        <v>8589.3951903111883</v>
      </c>
      <c r="AD338" s="35"/>
      <c r="AE338" s="62">
        <f t="shared" ca="1" si="209"/>
        <v>-2500.6101455486769</v>
      </c>
      <c r="AF338" s="62">
        <f t="shared" ca="1" si="210"/>
        <v>209119.67296564986</v>
      </c>
      <c r="AG338" s="35"/>
      <c r="AH338" s="35"/>
      <c r="AR338" s="69">
        <f t="shared" si="220"/>
        <v>28</v>
      </c>
      <c r="AS338" s="70">
        <f t="shared" si="226"/>
        <v>335</v>
      </c>
      <c r="AT338" s="71">
        <f t="shared" si="199"/>
        <v>0.10096007424787005</v>
      </c>
      <c r="AU338" s="72">
        <f t="shared" si="211"/>
        <v>6.8214933659622723E-3</v>
      </c>
      <c r="AV338" s="73">
        <f t="shared" si="221"/>
        <v>1.0068214933659623</v>
      </c>
      <c r="AW338" s="74">
        <f>PRODUCT(AV$4:AV338)</f>
        <v>9.7516968282906475</v>
      </c>
    </row>
    <row r="339" spans="5:49">
      <c r="E339">
        <f t="shared" si="228"/>
        <v>336</v>
      </c>
      <c r="F339" s="64">
        <f t="shared" si="212"/>
        <v>81.8</v>
      </c>
      <c r="G339" s="55">
        <f t="shared" si="200"/>
        <v>0</v>
      </c>
      <c r="H339" s="78">
        <f t="shared" si="227"/>
        <v>1</v>
      </c>
      <c r="I339" s="79">
        <f t="shared" si="213"/>
        <v>364223.70667275088</v>
      </c>
      <c r="J339" s="79">
        <f t="shared" si="201"/>
        <v>2484.5495987943586</v>
      </c>
      <c r="K339" s="80">
        <f t="shared" si="202"/>
        <v>-15</v>
      </c>
      <c r="L339" s="80">
        <f t="shared" si="214"/>
        <v>-303.51975556062575</v>
      </c>
      <c r="M339" s="80">
        <f t="shared" si="229"/>
        <v>0</v>
      </c>
      <c r="N339" s="80">
        <f t="shared" si="215"/>
        <v>-346.01252133911339</v>
      </c>
      <c r="O339" s="81">
        <f t="shared" si="203"/>
        <v>-2500.6101455486769</v>
      </c>
      <c r="P339" s="79">
        <f t="shared" si="204"/>
        <v>363543.11384909687</v>
      </c>
      <c r="Q339" s="35"/>
      <c r="R339">
        <f t="shared" ca="1" si="216"/>
        <v>461</v>
      </c>
      <c r="S339" s="78">
        <f t="shared" ca="1" si="217"/>
        <v>91.8</v>
      </c>
      <c r="T339" s="55">
        <f t="shared" ca="1" si="205"/>
        <v>2.5756084803392754E-2</v>
      </c>
      <c r="U339" s="78">
        <f t="shared" ca="1" si="222"/>
        <v>4.00161585981164E-2</v>
      </c>
      <c r="V339" s="79">
        <f t="shared" ca="1" si="218"/>
        <v>8368.1659993796802</v>
      </c>
      <c r="W339" s="79">
        <f t="shared" ca="1" si="206"/>
        <v>57.08338885003954</v>
      </c>
      <c r="X339" s="80">
        <f t="shared" ca="1" si="223"/>
        <v>-0.60024237897174604</v>
      </c>
      <c r="Y339" s="80">
        <f t="shared" ca="1" si="224"/>
        <v>-6.9734716661497336</v>
      </c>
      <c r="Z339" s="80">
        <f t="shared" ca="1" si="219"/>
        <v>0</v>
      </c>
      <c r="AA339" s="80">
        <f t="shared" ca="1" si="225"/>
        <v>-7.9497576994106973</v>
      </c>
      <c r="AB339" s="81">
        <f t="shared" ca="1" si="207"/>
        <v>-100.06481217633478</v>
      </c>
      <c r="AC339" s="79">
        <f t="shared" ca="1" si="208"/>
        <v>8309.6611043088524</v>
      </c>
      <c r="AD339" s="35"/>
      <c r="AE339" s="62">
        <f t="shared" ca="1" si="209"/>
        <v>-2500.6101455486769</v>
      </c>
      <c r="AF339" s="62">
        <f t="shared" ca="1" si="210"/>
        <v>207657.64119847317</v>
      </c>
      <c r="AG339" s="35"/>
      <c r="AH339" s="35"/>
      <c r="AR339" s="69">
        <f t="shared" si="220"/>
        <v>28</v>
      </c>
      <c r="AS339" s="70">
        <f t="shared" si="226"/>
        <v>336</v>
      </c>
      <c r="AT339" s="71">
        <f t="shared" si="199"/>
        <v>0.10027137577116114</v>
      </c>
      <c r="AU339" s="72">
        <f t="shared" si="211"/>
        <v>6.8214933659622723E-3</v>
      </c>
      <c r="AV339" s="73">
        <f t="shared" si="221"/>
        <v>1.0068214933659623</v>
      </c>
      <c r="AW339" s="74">
        <f>PRODUCT(AV$4:AV339)</f>
        <v>9.8182179635117084</v>
      </c>
    </row>
    <row r="340" spans="5:49">
      <c r="E340">
        <f t="shared" si="228"/>
        <v>337</v>
      </c>
      <c r="F340" s="64">
        <f t="shared" si="212"/>
        <v>81.88</v>
      </c>
      <c r="G340" s="55">
        <f t="shared" si="200"/>
        <v>0</v>
      </c>
      <c r="H340" s="78">
        <f t="shared" si="227"/>
        <v>1</v>
      </c>
      <c r="I340" s="79">
        <f t="shared" si="213"/>
        <v>363543.11384909687</v>
      </c>
      <c r="J340" s="79">
        <f t="shared" si="201"/>
        <v>2479.9069393628815</v>
      </c>
      <c r="K340" s="80">
        <f t="shared" si="202"/>
        <v>-15</v>
      </c>
      <c r="L340" s="80">
        <f t="shared" si="214"/>
        <v>-302.95259487424744</v>
      </c>
      <c r="M340" s="80">
        <f t="shared" si="229"/>
        <v>-2726.5733538682266</v>
      </c>
      <c r="N340" s="80">
        <f t="shared" si="215"/>
        <v>-345.36595815664208</v>
      </c>
      <c r="O340" s="81">
        <f t="shared" si="203"/>
        <v>-2500.6101455486769</v>
      </c>
      <c r="P340" s="79">
        <f t="shared" si="204"/>
        <v>360132.51873601199</v>
      </c>
      <c r="Q340" s="35"/>
      <c r="R340">
        <f t="shared" ca="1" si="216"/>
        <v>462</v>
      </c>
      <c r="S340" s="78">
        <f t="shared" ca="1" si="217"/>
        <v>91.88</v>
      </c>
      <c r="T340" s="55">
        <f t="shared" ca="1" si="205"/>
        <v>2.5756084803392754E-2</v>
      </c>
      <c r="U340" s="78">
        <f t="shared" ca="1" si="222"/>
        <v>3.8985499023757302E-2</v>
      </c>
      <c r="V340" s="79">
        <f t="shared" ca="1" si="218"/>
        <v>8095.6367682188193</v>
      </c>
      <c r="W340" s="79">
        <f t="shared" ca="1" si="206"/>
        <v>55.224332507644924</v>
      </c>
      <c r="X340" s="80">
        <f t="shared" ca="1" si="223"/>
        <v>-0.58478248535635957</v>
      </c>
      <c r="Y340" s="80">
        <f t="shared" ca="1" si="224"/>
        <v>-6.7463639735156828</v>
      </c>
      <c r="Z340" s="80">
        <f t="shared" ca="1" si="219"/>
        <v>0</v>
      </c>
      <c r="AA340" s="80">
        <f t="shared" ca="1" si="225"/>
        <v>-7.6908549298078803</v>
      </c>
      <c r="AB340" s="81">
        <f t="shared" ca="1" si="207"/>
        <v>-97.487534388085535</v>
      </c>
      <c r="AC340" s="79">
        <f t="shared" ca="1" si="208"/>
        <v>8038.3515649496985</v>
      </c>
      <c r="AD340" s="35"/>
      <c r="AE340" s="62">
        <f t="shared" ca="1" si="209"/>
        <v>-2500.6101455486764</v>
      </c>
      <c r="AF340" s="62">
        <f t="shared" ca="1" si="210"/>
        <v>206188.24348128063</v>
      </c>
      <c r="AG340" s="35"/>
      <c r="AH340" s="35"/>
      <c r="AR340" s="69">
        <f t="shared" si="220"/>
        <v>29</v>
      </c>
      <c r="AS340" s="70">
        <f t="shared" si="226"/>
        <v>337</v>
      </c>
      <c r="AT340" s="71">
        <f t="shared" si="199"/>
        <v>9.9587375246542265E-2</v>
      </c>
      <c r="AU340" s="72">
        <f t="shared" si="211"/>
        <v>6.8214933659622723E-3</v>
      </c>
      <c r="AV340" s="73">
        <f t="shared" si="221"/>
        <v>1.0068214933659623</v>
      </c>
      <c r="AW340" s="74">
        <f>PRODUCT(AV$4:AV340)</f>
        <v>9.8851928722153755</v>
      </c>
    </row>
    <row r="341" spans="5:49">
      <c r="E341">
        <f t="shared" si="228"/>
        <v>338</v>
      </c>
      <c r="F341" s="64">
        <f t="shared" si="212"/>
        <v>81.96</v>
      </c>
      <c r="G341" s="55">
        <f t="shared" si="200"/>
        <v>0</v>
      </c>
      <c r="H341" s="78">
        <f t="shared" si="227"/>
        <v>1</v>
      </c>
      <c r="I341" s="79">
        <f t="shared" si="213"/>
        <v>360132.51873601199</v>
      </c>
      <c r="J341" s="79">
        <f t="shared" si="201"/>
        <v>2456.6415874249897</v>
      </c>
      <c r="K341" s="80">
        <f t="shared" si="202"/>
        <v>-15</v>
      </c>
      <c r="L341" s="80">
        <f t="shared" si="214"/>
        <v>-300.11043228001</v>
      </c>
      <c r="M341" s="80">
        <f t="shared" si="229"/>
        <v>0</v>
      </c>
      <c r="N341" s="80">
        <f t="shared" si="215"/>
        <v>-342.12589279921144</v>
      </c>
      <c r="O341" s="81">
        <f t="shared" si="203"/>
        <v>-2500.6101455486769</v>
      </c>
      <c r="P341" s="79">
        <f t="shared" si="204"/>
        <v>359431.31385280908</v>
      </c>
      <c r="Q341" s="35"/>
      <c r="R341">
        <f t="shared" ca="1" si="216"/>
        <v>463</v>
      </c>
      <c r="S341" s="78">
        <f t="shared" ca="1" si="217"/>
        <v>91.96</v>
      </c>
      <c r="T341" s="55">
        <f t="shared" ca="1" si="205"/>
        <v>2.5756084803392754E-2</v>
      </c>
      <c r="U341" s="78">
        <f t="shared" ca="1" si="222"/>
        <v>3.7981385204798823E-2</v>
      </c>
      <c r="V341" s="79">
        <f t="shared" ca="1" si="218"/>
        <v>7831.3151003633693</v>
      </c>
      <c r="W341" s="79">
        <f t="shared" ca="1" si="206"/>
        <v>53.421264003888894</v>
      </c>
      <c r="X341" s="80">
        <f t="shared" ca="1" si="223"/>
        <v>-0.5697207780719824</v>
      </c>
      <c r="Y341" s="80">
        <f t="shared" ca="1" si="224"/>
        <v>-6.5260959169694752</v>
      </c>
      <c r="Z341" s="80">
        <f t="shared" ca="1" si="219"/>
        <v>0</v>
      </c>
      <c r="AA341" s="80">
        <f t="shared" ca="1" si="225"/>
        <v>-7.4397493453452022</v>
      </c>
      <c r="AB341" s="81">
        <f t="shared" ca="1" si="207"/>
        <v>-94.976637185112352</v>
      </c>
      <c r="AC341" s="79">
        <f t="shared" ca="1" si="208"/>
        <v>7775.2241611417594</v>
      </c>
      <c r="AD341" s="35"/>
      <c r="AE341" s="62">
        <f t="shared" ca="1" si="209"/>
        <v>-2500.6101455486769</v>
      </c>
      <c r="AF341" s="62">
        <f t="shared" ca="1" si="210"/>
        <v>204711.44270323729</v>
      </c>
      <c r="AG341" s="35"/>
      <c r="AH341" s="35"/>
      <c r="AR341" s="69">
        <f t="shared" si="220"/>
        <v>29</v>
      </c>
      <c r="AS341" s="70">
        <f t="shared" si="226"/>
        <v>338</v>
      </c>
      <c r="AT341" s="71">
        <f t="shared" si="199"/>
        <v>9.8908040626964386E-2</v>
      </c>
      <c r="AU341" s="72">
        <f t="shared" si="211"/>
        <v>6.8214933659622723E-3</v>
      </c>
      <c r="AV341" s="73">
        <f t="shared" si="221"/>
        <v>1.0068214933659623</v>
      </c>
      <c r="AW341" s="74">
        <f>PRODUCT(AV$4:AV341)</f>
        <v>9.9526246498144495</v>
      </c>
    </row>
    <row r="342" spans="5:49">
      <c r="E342">
        <f t="shared" si="228"/>
        <v>339</v>
      </c>
      <c r="F342" s="64">
        <f t="shared" si="212"/>
        <v>82.04</v>
      </c>
      <c r="G342" s="55">
        <f t="shared" si="200"/>
        <v>0</v>
      </c>
      <c r="H342" s="78">
        <f t="shared" si="227"/>
        <v>1</v>
      </c>
      <c r="I342" s="79">
        <f t="shared" si="213"/>
        <v>359431.31385280908</v>
      </c>
      <c r="J342" s="79">
        <f t="shared" si="201"/>
        <v>2451.8583229660403</v>
      </c>
      <c r="K342" s="80">
        <f t="shared" si="202"/>
        <v>-15</v>
      </c>
      <c r="L342" s="80">
        <f t="shared" si="214"/>
        <v>-299.52609487734094</v>
      </c>
      <c r="M342" s="80">
        <f t="shared" si="229"/>
        <v>0</v>
      </c>
      <c r="N342" s="80">
        <f t="shared" si="215"/>
        <v>-341.45974816016866</v>
      </c>
      <c r="O342" s="81">
        <f t="shared" si="203"/>
        <v>-2500.6101455486769</v>
      </c>
      <c r="P342" s="79">
        <f t="shared" si="204"/>
        <v>358726.57618718897</v>
      </c>
      <c r="Q342" s="35"/>
      <c r="R342">
        <f t="shared" ca="1" si="216"/>
        <v>464</v>
      </c>
      <c r="S342" s="78">
        <f t="shared" ca="1" si="217"/>
        <v>92.04</v>
      </c>
      <c r="T342" s="55">
        <f t="shared" ca="1" si="205"/>
        <v>2.5756084803392754E-2</v>
      </c>
      <c r="U342" s="78">
        <f t="shared" ca="1" si="222"/>
        <v>3.70031334265137E-2</v>
      </c>
      <c r="V342" s="79">
        <f t="shared" ca="1" si="218"/>
        <v>7574.9648282820035</v>
      </c>
      <c r="W342" s="79">
        <f t="shared" ca="1" si="206"/>
        <v>51.672572323523227</v>
      </c>
      <c r="X342" s="80">
        <f t="shared" ca="1" si="223"/>
        <v>-0.55504700139770546</v>
      </c>
      <c r="Y342" s="80">
        <f t="shared" ca="1" si="224"/>
        <v>-6.3124706902350036</v>
      </c>
      <c r="Z342" s="80">
        <f t="shared" ca="1" si="219"/>
        <v>0</v>
      </c>
      <c r="AA342" s="80">
        <f t="shared" ca="1" si="225"/>
        <v>-7.1962165868679051</v>
      </c>
      <c r="AB342" s="81">
        <f t="shared" ca="1" si="207"/>
        <v>-92.530410863431541</v>
      </c>
      <c r="AC342" s="79">
        <f t="shared" ca="1" si="208"/>
        <v>7520.0432554635936</v>
      </c>
      <c r="AD342" s="35"/>
      <c r="AE342" s="62">
        <f t="shared" ca="1" si="209"/>
        <v>-2500.6101455486769</v>
      </c>
      <c r="AF342" s="62">
        <f t="shared" ca="1" si="210"/>
        <v>203227.20156653784</v>
      </c>
      <c r="AG342" s="35"/>
      <c r="AH342" s="35"/>
      <c r="AR342" s="69">
        <f t="shared" si="220"/>
        <v>29</v>
      </c>
      <c r="AS342" s="70">
        <f t="shared" si="226"/>
        <v>339</v>
      </c>
      <c r="AT342" s="71">
        <f t="shared" si="199"/>
        <v>9.8233340083987222E-2</v>
      </c>
      <c r="AU342" s="72">
        <f t="shared" si="211"/>
        <v>6.8214933659622723E-3</v>
      </c>
      <c r="AV342" s="73">
        <f t="shared" si="221"/>
        <v>1.0068214933659623</v>
      </c>
      <c r="AW342" s="74">
        <f>PRODUCT(AV$4:AV342)</f>
        <v>10.020516412837072</v>
      </c>
    </row>
    <row r="343" spans="5:49">
      <c r="E343">
        <f t="shared" si="228"/>
        <v>340</v>
      </c>
      <c r="F343" s="64">
        <f t="shared" si="212"/>
        <v>82.12</v>
      </c>
      <c r="G343" s="55">
        <f t="shared" si="200"/>
        <v>0</v>
      </c>
      <c r="H343" s="78">
        <f t="shared" si="227"/>
        <v>1</v>
      </c>
      <c r="I343" s="79">
        <f t="shared" si="213"/>
        <v>358726.57618718897</v>
      </c>
      <c r="J343" s="79">
        <f t="shared" si="201"/>
        <v>2447.0509596552693</v>
      </c>
      <c r="K343" s="80">
        <f t="shared" si="202"/>
        <v>-15</v>
      </c>
      <c r="L343" s="80">
        <f t="shared" si="214"/>
        <v>-298.93881348932416</v>
      </c>
      <c r="M343" s="80">
        <f t="shared" si="229"/>
        <v>0</v>
      </c>
      <c r="N343" s="80">
        <f t="shared" si="215"/>
        <v>-340.79024737782959</v>
      </c>
      <c r="O343" s="81">
        <f t="shared" si="203"/>
        <v>-2500.6101455486769</v>
      </c>
      <c r="P343" s="79">
        <f t="shared" si="204"/>
        <v>358018.28794042842</v>
      </c>
      <c r="Q343" s="35"/>
      <c r="R343">
        <f t="shared" ca="1" si="216"/>
        <v>465</v>
      </c>
      <c r="S343" s="78">
        <f t="shared" ca="1" si="217"/>
        <v>92.12</v>
      </c>
      <c r="T343" s="55">
        <f t="shared" ca="1" si="205"/>
        <v>2.5756084803392754E-2</v>
      </c>
      <c r="U343" s="78">
        <f t="shared" ca="1" si="222"/>
        <v>3.6050077583989155E-2</v>
      </c>
      <c r="V343" s="79">
        <f t="shared" ca="1" si="218"/>
        <v>7326.3563836506919</v>
      </c>
      <c r="W343" s="79">
        <f t="shared" ca="1" si="206"/>
        <v>49.976691467748537</v>
      </c>
      <c r="X343" s="80">
        <f t="shared" ca="1" si="223"/>
        <v>-0.54075116375983734</v>
      </c>
      <c r="Y343" s="80">
        <f t="shared" ca="1" si="224"/>
        <v>-6.1052969863755768</v>
      </c>
      <c r="Z343" s="80">
        <f t="shared" ca="1" si="219"/>
        <v>0</v>
      </c>
      <c r="AA343" s="80">
        <f t="shared" ca="1" si="225"/>
        <v>-6.9600385644681593</v>
      </c>
      <c r="AB343" s="81">
        <f t="shared" ca="1" si="207"/>
        <v>-90.147189754340218</v>
      </c>
      <c r="AC343" s="79">
        <f t="shared" ca="1" si="208"/>
        <v>7272.5797986494963</v>
      </c>
      <c r="AD343" s="35"/>
      <c r="AE343" s="62">
        <f t="shared" ca="1" si="209"/>
        <v>-2500.6101455486769</v>
      </c>
      <c r="AF343" s="62">
        <f t="shared" ca="1" si="210"/>
        <v>201735.48258546472</v>
      </c>
      <c r="AG343" s="35"/>
      <c r="AH343" s="35"/>
      <c r="AR343" s="69">
        <f t="shared" si="220"/>
        <v>29</v>
      </c>
      <c r="AS343" s="70">
        <f t="shared" si="226"/>
        <v>340</v>
      </c>
      <c r="AT343" s="71">
        <f t="shared" si="199"/>
        <v>9.7563242006287992E-2</v>
      </c>
      <c r="AU343" s="72">
        <f t="shared" si="211"/>
        <v>6.8214933659622723E-3</v>
      </c>
      <c r="AV343" s="73">
        <f t="shared" si="221"/>
        <v>1.0068214933659623</v>
      </c>
      <c r="AW343" s="74">
        <f>PRODUCT(AV$4:AV343)</f>
        <v>10.088871299070757</v>
      </c>
    </row>
    <row r="344" spans="5:49">
      <c r="E344">
        <f t="shared" si="228"/>
        <v>341</v>
      </c>
      <c r="F344" s="64">
        <f t="shared" si="212"/>
        <v>82.2</v>
      </c>
      <c r="G344" s="55">
        <f t="shared" si="200"/>
        <v>0</v>
      </c>
      <c r="H344" s="78">
        <f t="shared" si="227"/>
        <v>1</v>
      </c>
      <c r="I344" s="79">
        <f t="shared" si="213"/>
        <v>358018.28794042842</v>
      </c>
      <c r="J344" s="79">
        <f t="shared" si="201"/>
        <v>2442.2193760788032</v>
      </c>
      <c r="K344" s="80">
        <f t="shared" si="202"/>
        <v>-15</v>
      </c>
      <c r="L344" s="80">
        <f t="shared" si="214"/>
        <v>-298.34857328369037</v>
      </c>
      <c r="M344" s="80">
        <f t="shared" si="229"/>
        <v>0</v>
      </c>
      <c r="N344" s="80">
        <f t="shared" si="215"/>
        <v>-340.11737354340704</v>
      </c>
      <c r="O344" s="81">
        <f t="shared" si="203"/>
        <v>-2500.6101455486769</v>
      </c>
      <c r="P344" s="79">
        <f t="shared" si="204"/>
        <v>357306.43122413149</v>
      </c>
      <c r="Q344" s="35"/>
      <c r="R344">
        <f t="shared" ca="1" si="216"/>
        <v>466</v>
      </c>
      <c r="S344" s="78">
        <f t="shared" ca="1" si="217"/>
        <v>92.2</v>
      </c>
      <c r="T344" s="55">
        <f t="shared" ca="1" si="205"/>
        <v>2.5756084803392754E-2</v>
      </c>
      <c r="U344" s="78">
        <f t="shared" ca="1" si="222"/>
        <v>3.5121568728567046E-2</v>
      </c>
      <c r="V344" s="79">
        <f t="shared" ca="1" si="218"/>
        <v>7085.2666166160388</v>
      </c>
      <c r="W344" s="79">
        <f t="shared" ca="1" si="206"/>
        <v>48.332099221320263</v>
      </c>
      <c r="X344" s="80">
        <f t="shared" ca="1" si="223"/>
        <v>-0.52682353092850565</v>
      </c>
      <c r="Y344" s="80">
        <f t="shared" ca="1" si="224"/>
        <v>-5.9043888471800328</v>
      </c>
      <c r="Z344" s="80">
        <f t="shared" ca="1" si="219"/>
        <v>0</v>
      </c>
      <c r="AA344" s="80">
        <f t="shared" ca="1" si="225"/>
        <v>-6.7310032857852384</v>
      </c>
      <c r="AB344" s="81">
        <f t="shared" ca="1" si="207"/>
        <v>-87.825351090239906</v>
      </c>
      <c r="AC344" s="79">
        <f t="shared" ca="1" si="208"/>
        <v>7032.6111490832263</v>
      </c>
      <c r="AD344" s="35"/>
      <c r="AE344" s="62">
        <f t="shared" ca="1" si="209"/>
        <v>-2500.6101455486769</v>
      </c>
      <c r="AF344" s="62">
        <f t="shared" ca="1" si="210"/>
        <v>200236.24808544124</v>
      </c>
      <c r="AG344" s="35"/>
      <c r="AH344" s="35"/>
      <c r="AR344" s="69">
        <f t="shared" si="220"/>
        <v>29</v>
      </c>
      <c r="AS344" s="70">
        <f t="shared" si="226"/>
        <v>341</v>
      </c>
      <c r="AT344" s="71">
        <f t="shared" si="199"/>
        <v>9.6897714998180326E-2</v>
      </c>
      <c r="AU344" s="72">
        <f t="shared" si="211"/>
        <v>6.8214933659622723E-3</v>
      </c>
      <c r="AV344" s="73">
        <f t="shared" si="221"/>
        <v>1.0068214933659623</v>
      </c>
      <c r="AW344" s="74">
        <f>PRODUCT(AV$4:AV344)</f>
        <v>10.157692467707415</v>
      </c>
    </row>
    <row r="345" spans="5:49">
      <c r="E345">
        <f t="shared" si="228"/>
        <v>342</v>
      </c>
      <c r="F345" s="64">
        <f t="shared" si="212"/>
        <v>82.28</v>
      </c>
      <c r="G345" s="55">
        <f t="shared" si="200"/>
        <v>0</v>
      </c>
      <c r="H345" s="78">
        <f t="shared" si="227"/>
        <v>1</v>
      </c>
      <c r="I345" s="79">
        <f t="shared" si="213"/>
        <v>357306.43122413149</v>
      </c>
      <c r="J345" s="79">
        <f t="shared" si="201"/>
        <v>2437.3634502110681</v>
      </c>
      <c r="K345" s="80">
        <f t="shared" si="202"/>
        <v>-15</v>
      </c>
      <c r="L345" s="80">
        <f t="shared" si="214"/>
        <v>-297.75535935344294</v>
      </c>
      <c r="M345" s="80">
        <f t="shared" si="229"/>
        <v>0</v>
      </c>
      <c r="N345" s="80">
        <f t="shared" si="215"/>
        <v>-339.44110966292499</v>
      </c>
      <c r="O345" s="81">
        <f t="shared" si="203"/>
        <v>-2500.6101455486769</v>
      </c>
      <c r="P345" s="79">
        <f t="shared" si="204"/>
        <v>356590.98805977753</v>
      </c>
      <c r="Q345" s="35"/>
      <c r="R345">
        <f t="shared" ca="1" si="216"/>
        <v>467</v>
      </c>
      <c r="S345" s="78">
        <f t="shared" ca="1" si="217"/>
        <v>92.28</v>
      </c>
      <c r="T345" s="55">
        <f t="shared" ca="1" si="205"/>
        <v>2.5756084803392754E-2</v>
      </c>
      <c r="U345" s="78">
        <f t="shared" ca="1" si="222"/>
        <v>3.4216974625965887E-2</v>
      </c>
      <c r="V345" s="79">
        <f t="shared" ca="1" si="218"/>
        <v>6851.4786199381533</v>
      </c>
      <c r="W345" s="79">
        <f t="shared" ca="1" si="206"/>
        <v>46.737315952940456</v>
      </c>
      <c r="X345" s="80">
        <f t="shared" ca="1" si="223"/>
        <v>-0.51325461938948835</v>
      </c>
      <c r="Y345" s="80">
        <f t="shared" ca="1" si="224"/>
        <v>-5.709565516615128</v>
      </c>
      <c r="Z345" s="80">
        <f t="shared" ca="1" si="219"/>
        <v>0</v>
      </c>
      <c r="AA345" s="80">
        <f t="shared" ca="1" si="225"/>
        <v>-6.5089046889412465</v>
      </c>
      <c r="AB345" s="81">
        <f t="shared" ca="1" si="207"/>
        <v>-85.56331389967194</v>
      </c>
      <c r="AC345" s="79">
        <f t="shared" ca="1" si="208"/>
        <v>6799.9208971664766</v>
      </c>
      <c r="AD345" s="35"/>
      <c r="AE345" s="62">
        <f t="shared" ca="1" si="209"/>
        <v>-2500.6101455486769</v>
      </c>
      <c r="AF345" s="62">
        <f t="shared" ca="1" si="210"/>
        <v>198729.46020208023</v>
      </c>
      <c r="AG345" s="35"/>
      <c r="AH345" s="35"/>
      <c r="AR345" s="69">
        <f t="shared" si="220"/>
        <v>29</v>
      </c>
      <c r="AS345" s="70">
        <f t="shared" si="226"/>
        <v>342</v>
      </c>
      <c r="AT345" s="71">
        <f t="shared" si="199"/>
        <v>9.623672787814333E-2</v>
      </c>
      <c r="AU345" s="72">
        <f t="shared" si="211"/>
        <v>6.8214933659622723E-3</v>
      </c>
      <c r="AV345" s="73">
        <f t="shared" si="221"/>
        <v>1.0068214933659623</v>
      </c>
      <c r="AW345" s="74">
        <f>PRODUCT(AV$4:AV345)</f>
        <v>10.226983099489367</v>
      </c>
    </row>
    <row r="346" spans="5:49">
      <c r="E346">
        <f t="shared" si="228"/>
        <v>343</v>
      </c>
      <c r="F346" s="64">
        <f t="shared" si="212"/>
        <v>82.36</v>
      </c>
      <c r="G346" s="55">
        <f t="shared" si="200"/>
        <v>0</v>
      </c>
      <c r="H346" s="78">
        <f t="shared" si="227"/>
        <v>1</v>
      </c>
      <c r="I346" s="79">
        <f t="shared" si="213"/>
        <v>356590.98805977753</v>
      </c>
      <c r="J346" s="79">
        <f t="shared" si="201"/>
        <v>2432.4830594117043</v>
      </c>
      <c r="K346" s="80">
        <f t="shared" si="202"/>
        <v>-15</v>
      </c>
      <c r="L346" s="80">
        <f t="shared" si="214"/>
        <v>-297.15915671648128</v>
      </c>
      <c r="M346" s="80">
        <f t="shared" si="229"/>
        <v>0</v>
      </c>
      <c r="N346" s="80">
        <f t="shared" si="215"/>
        <v>-338.7614386567887</v>
      </c>
      <c r="O346" s="81">
        <f t="shared" si="203"/>
        <v>-2500.6101455486769</v>
      </c>
      <c r="P346" s="79">
        <f t="shared" si="204"/>
        <v>355871.94037826732</v>
      </c>
      <c r="Q346" s="35"/>
      <c r="R346">
        <f t="shared" ca="1" si="216"/>
        <v>468</v>
      </c>
      <c r="S346" s="78">
        <f t="shared" ca="1" si="217"/>
        <v>92.36</v>
      </c>
      <c r="T346" s="55">
        <f t="shared" ca="1" si="205"/>
        <v>2.5756084803392754E-2</v>
      </c>
      <c r="U346" s="78">
        <f t="shared" ca="1" si="222"/>
        <v>3.3335679325783969E-2</v>
      </c>
      <c r="V346" s="79">
        <f t="shared" ca="1" si="218"/>
        <v>6624.781557882694</v>
      </c>
      <c r="W346" s="79">
        <f t="shared" ca="1" si="206"/>
        <v>45.190903448046001</v>
      </c>
      <c r="X346" s="80">
        <f t="shared" ca="1" si="223"/>
        <v>-0.50003518988675955</v>
      </c>
      <c r="Y346" s="80">
        <f t="shared" ca="1" si="224"/>
        <v>-5.5206512982355784</v>
      </c>
      <c r="Z346" s="80">
        <f t="shared" ca="1" si="219"/>
        <v>0</v>
      </c>
      <c r="AA346" s="80">
        <f t="shared" ca="1" si="225"/>
        <v>-6.2935424799885604</v>
      </c>
      <c r="AB346" s="81">
        <f t="shared" ca="1" si="207"/>
        <v>-83.359537930812664</v>
      </c>
      <c r="AC346" s="79">
        <f t="shared" ca="1" si="208"/>
        <v>6574.2986944318154</v>
      </c>
      <c r="AD346" s="35"/>
      <c r="AE346" s="62">
        <f t="shared" ca="1" si="209"/>
        <v>-2500.6101455486769</v>
      </c>
      <c r="AF346" s="62">
        <f t="shared" ca="1" si="210"/>
        <v>197215.08088022756</v>
      </c>
      <c r="AG346" s="35"/>
      <c r="AH346" s="35"/>
      <c r="AR346" s="69">
        <f t="shared" si="220"/>
        <v>29</v>
      </c>
      <c r="AS346" s="70">
        <f t="shared" si="226"/>
        <v>343</v>
      </c>
      <c r="AT346" s="71">
        <f t="shared" si="199"/>
        <v>9.558024967736066E-2</v>
      </c>
      <c r="AU346" s="72">
        <f t="shared" si="211"/>
        <v>6.8214933659622723E-3</v>
      </c>
      <c r="AV346" s="73">
        <f t="shared" si="221"/>
        <v>1.0068214933659623</v>
      </c>
      <c r="AW346" s="74">
        <f>PRODUCT(AV$4:AV346)</f>
        <v>10.296746396856342</v>
      </c>
    </row>
    <row r="347" spans="5:49">
      <c r="E347">
        <f t="shared" si="228"/>
        <v>344</v>
      </c>
      <c r="F347" s="64">
        <f t="shared" si="212"/>
        <v>82.44</v>
      </c>
      <c r="G347" s="55">
        <f t="shared" si="200"/>
        <v>0</v>
      </c>
      <c r="H347" s="78">
        <f t="shared" si="227"/>
        <v>1</v>
      </c>
      <c r="I347" s="79">
        <f t="shared" si="213"/>
        <v>355871.94037826732</v>
      </c>
      <c r="J347" s="79">
        <f t="shared" si="201"/>
        <v>2427.5780804224719</v>
      </c>
      <c r="K347" s="80">
        <f t="shared" si="202"/>
        <v>-15</v>
      </c>
      <c r="L347" s="80">
        <f t="shared" si="214"/>
        <v>-296.55995031522281</v>
      </c>
      <c r="M347" s="80">
        <f t="shared" si="229"/>
        <v>0</v>
      </c>
      <c r="N347" s="80">
        <f t="shared" si="215"/>
        <v>-338.07834335935405</v>
      </c>
      <c r="O347" s="81">
        <f t="shared" si="203"/>
        <v>-2500.6101455486769</v>
      </c>
      <c r="P347" s="79">
        <f t="shared" si="204"/>
        <v>355149.27001946658</v>
      </c>
      <c r="Q347" s="35"/>
      <c r="R347">
        <f t="shared" ca="1" si="216"/>
        <v>469</v>
      </c>
      <c r="S347" s="78">
        <f t="shared" ca="1" si="217"/>
        <v>92.44</v>
      </c>
      <c r="T347" s="55">
        <f t="shared" ca="1" si="205"/>
        <v>2.5756084803392754E-2</v>
      </c>
      <c r="U347" s="78">
        <f t="shared" ca="1" si="222"/>
        <v>3.2477082742090373E-2</v>
      </c>
      <c r="V347" s="79">
        <f t="shared" ca="1" si="218"/>
        <v>6404.9704997351955</v>
      </c>
      <c r="W347" s="79">
        <f t="shared" ca="1" si="206"/>
        <v>43.691463773127694</v>
      </c>
      <c r="X347" s="80">
        <f t="shared" ca="1" si="223"/>
        <v>-0.48715624113135558</v>
      </c>
      <c r="Y347" s="80">
        <f t="shared" ca="1" si="224"/>
        <v>-5.3374754164459963</v>
      </c>
      <c r="Z347" s="80">
        <f t="shared" ca="1" si="219"/>
        <v>-48.037278748013968</v>
      </c>
      <c r="AA347" s="80">
        <f t="shared" ca="1" si="225"/>
        <v>-6.0847219747484367</v>
      </c>
      <c r="AB347" s="81">
        <f t="shared" ca="1" si="207"/>
        <v>-81.212522602695032</v>
      </c>
      <c r="AC347" s="79">
        <f t="shared" ca="1" si="208"/>
        <v>6307.5028085252889</v>
      </c>
      <c r="AD347" s="35"/>
      <c r="AE347" s="62">
        <f t="shared" ca="1" si="209"/>
        <v>-2500.6101455486769</v>
      </c>
      <c r="AF347" s="62">
        <f t="shared" ca="1" si="210"/>
        <v>194213.95876639965</v>
      </c>
      <c r="AG347" s="35"/>
      <c r="AH347" s="35"/>
      <c r="AR347" s="69">
        <f t="shared" si="220"/>
        <v>29</v>
      </c>
      <c r="AS347" s="70">
        <f t="shared" si="226"/>
        <v>344</v>
      </c>
      <c r="AT347" s="71">
        <f t="shared" si="199"/>
        <v>9.4928249638269527E-2</v>
      </c>
      <c r="AU347" s="72">
        <f t="shared" si="211"/>
        <v>6.8214933659622723E-3</v>
      </c>
      <c r="AV347" s="73">
        <f t="shared" si="221"/>
        <v>1.0068214933659623</v>
      </c>
      <c r="AW347" s="74">
        <f>PRODUCT(AV$4:AV347)</f>
        <v>10.366985584093493</v>
      </c>
    </row>
    <row r="348" spans="5:49">
      <c r="E348">
        <f t="shared" si="228"/>
        <v>345</v>
      </c>
      <c r="F348" s="64">
        <f t="shared" si="212"/>
        <v>82.52</v>
      </c>
      <c r="G348" s="55">
        <f t="shared" si="200"/>
        <v>0</v>
      </c>
      <c r="H348" s="78">
        <f t="shared" si="227"/>
        <v>1</v>
      </c>
      <c r="I348" s="79">
        <f t="shared" si="213"/>
        <v>355149.27001946658</v>
      </c>
      <c r="J348" s="79">
        <f t="shared" si="201"/>
        <v>2422.6483893641348</v>
      </c>
      <c r="K348" s="80">
        <f t="shared" si="202"/>
        <v>-15</v>
      </c>
      <c r="L348" s="80">
        <f t="shared" si="214"/>
        <v>-295.95772501622218</v>
      </c>
      <c r="M348" s="80">
        <f t="shared" si="229"/>
        <v>0</v>
      </c>
      <c r="N348" s="80">
        <f t="shared" si="215"/>
        <v>-337.3918065184933</v>
      </c>
      <c r="O348" s="81">
        <f t="shared" si="203"/>
        <v>-2500.6101455486769</v>
      </c>
      <c r="P348" s="79">
        <f t="shared" si="204"/>
        <v>354422.95873174735</v>
      </c>
      <c r="Q348" s="35"/>
      <c r="R348">
        <f t="shared" ca="1" si="216"/>
        <v>470</v>
      </c>
      <c r="S348" s="78">
        <f t="shared" ca="1" si="217"/>
        <v>92.52</v>
      </c>
      <c r="T348" s="55">
        <f t="shared" ca="1" si="205"/>
        <v>2.8214445801184374E-2</v>
      </c>
      <c r="U348" s="78">
        <f t="shared" ca="1" si="222"/>
        <v>3.1560759851283086E-2</v>
      </c>
      <c r="V348" s="79">
        <f t="shared" ca="1" si="218"/>
        <v>6129.5401123933343</v>
      </c>
      <c r="W348" s="79">
        <f t="shared" ca="1" si="206"/>
        <v>41.812617213090768</v>
      </c>
      <c r="X348" s="80">
        <f t="shared" ca="1" si="223"/>
        <v>-0.47341139776924629</v>
      </c>
      <c r="Y348" s="80">
        <f t="shared" ca="1" si="224"/>
        <v>-5.1079500936611124</v>
      </c>
      <c r="Z348" s="80">
        <f t="shared" ca="1" si="219"/>
        <v>0</v>
      </c>
      <c r="AA348" s="80">
        <f t="shared" ca="1" si="225"/>
        <v>-5.8230631067736693</v>
      </c>
      <c r="AB348" s="81">
        <f t="shared" ca="1" si="207"/>
        <v>-78.921156285343841</v>
      </c>
      <c r="AC348" s="79">
        <f t="shared" ca="1" si="208"/>
        <v>6081.0271487228765</v>
      </c>
      <c r="AD348" s="35"/>
      <c r="AE348" s="62">
        <f t="shared" ca="1" si="209"/>
        <v>-2500.6101455486769</v>
      </c>
      <c r="AF348" s="62">
        <f t="shared" ca="1" si="210"/>
        <v>192676.82962568646</v>
      </c>
      <c r="AG348" s="35"/>
      <c r="AH348" s="35"/>
      <c r="AR348" s="69">
        <f t="shared" si="220"/>
        <v>29</v>
      </c>
      <c r="AS348" s="70">
        <f t="shared" si="226"/>
        <v>345</v>
      </c>
      <c r="AT348" s="71">
        <f t="shared" ref="AT348:AT411" si="230">(1-AU348)*AT347</f>
        <v>9.4280697213119657E-2</v>
      </c>
      <c r="AU348" s="72">
        <f t="shared" si="211"/>
        <v>6.8214933659622723E-3</v>
      </c>
      <c r="AV348" s="73">
        <f t="shared" si="221"/>
        <v>1.0068214933659623</v>
      </c>
      <c r="AW348" s="74">
        <f>PRODUCT(AV$4:AV348)</f>
        <v>10.437703907480413</v>
      </c>
    </row>
    <row r="349" spans="5:49">
      <c r="E349">
        <f t="shared" si="228"/>
        <v>346</v>
      </c>
      <c r="F349" s="64">
        <f t="shared" si="212"/>
        <v>82.6</v>
      </c>
      <c r="G349" s="55">
        <f t="shared" si="200"/>
        <v>0</v>
      </c>
      <c r="H349" s="78">
        <f t="shared" si="227"/>
        <v>1</v>
      </c>
      <c r="I349" s="79">
        <f t="shared" si="213"/>
        <v>354422.95873174735</v>
      </c>
      <c r="J349" s="79">
        <f t="shared" si="201"/>
        <v>2417.6938617333349</v>
      </c>
      <c r="K349" s="80">
        <f t="shared" si="202"/>
        <v>-15</v>
      </c>
      <c r="L349" s="80">
        <f t="shared" si="214"/>
        <v>-295.35246560978948</v>
      </c>
      <c r="M349" s="80">
        <f t="shared" si="229"/>
        <v>0</v>
      </c>
      <c r="N349" s="80">
        <f t="shared" si="215"/>
        <v>-336.70181079516004</v>
      </c>
      <c r="O349" s="81">
        <f t="shared" si="203"/>
        <v>-2500.6101455486769</v>
      </c>
      <c r="P349" s="79">
        <f t="shared" si="204"/>
        <v>353692.98817152705</v>
      </c>
      <c r="Q349" s="35"/>
      <c r="R349">
        <f t="shared" ca="1" si="216"/>
        <v>471</v>
      </c>
      <c r="S349" s="78">
        <f t="shared" ca="1" si="217"/>
        <v>92.6</v>
      </c>
      <c r="T349" s="55">
        <f t="shared" ca="1" si="205"/>
        <v>2.8214445801184374E-2</v>
      </c>
      <c r="U349" s="78">
        <f t="shared" ca="1" si="222"/>
        <v>3.0670290503014865E-2</v>
      </c>
      <c r="V349" s="79">
        <f t="shared" ca="1" si="218"/>
        <v>5909.4543378197041</v>
      </c>
      <c r="W349" s="79">
        <f t="shared" ca="1" si="206"/>
        <v>40.311303561894086</v>
      </c>
      <c r="X349" s="80">
        <f t="shared" ca="1" si="223"/>
        <v>-0.460054357545223</v>
      </c>
      <c r="Y349" s="80">
        <f t="shared" ca="1" si="224"/>
        <v>-4.9245452815164201</v>
      </c>
      <c r="Z349" s="80">
        <f t="shared" ca="1" si="219"/>
        <v>0</v>
      </c>
      <c r="AA349" s="80">
        <f t="shared" ca="1" si="225"/>
        <v>-5.6139816209287199</v>
      </c>
      <c r="AB349" s="81">
        <f t="shared" ca="1" si="207"/>
        <v>-76.694439598764205</v>
      </c>
      <c r="AC349" s="79">
        <f t="shared" ca="1" si="208"/>
        <v>5862.0726205228439</v>
      </c>
      <c r="AD349" s="35"/>
      <c r="AE349" s="62">
        <f t="shared" ca="1" si="209"/>
        <v>-2500.6101455486769</v>
      </c>
      <c r="AF349" s="62">
        <f t="shared" ca="1" si="210"/>
        <v>191131.95618237156</v>
      </c>
      <c r="AG349" s="35"/>
      <c r="AH349" s="35"/>
      <c r="AR349" s="69">
        <f t="shared" si="220"/>
        <v>29</v>
      </c>
      <c r="AS349" s="70">
        <f t="shared" si="226"/>
        <v>346</v>
      </c>
      <c r="AT349" s="71">
        <f t="shared" si="230"/>
        <v>9.3637562062542062E-2</v>
      </c>
      <c r="AU349" s="72">
        <f t="shared" si="211"/>
        <v>6.8214933659622723E-3</v>
      </c>
      <c r="AV349" s="73">
        <f t="shared" si="221"/>
        <v>1.0068214933659623</v>
      </c>
      <c r="AW349" s="74">
        <f>PRODUCT(AV$4:AV349)</f>
        <v>10.508904635441169</v>
      </c>
    </row>
    <row r="350" spans="5:49">
      <c r="E350">
        <f t="shared" si="228"/>
        <v>347</v>
      </c>
      <c r="F350" s="64">
        <f t="shared" si="212"/>
        <v>82.68</v>
      </c>
      <c r="G350" s="55">
        <f t="shared" si="200"/>
        <v>0</v>
      </c>
      <c r="H350" s="78">
        <f t="shared" si="227"/>
        <v>1</v>
      </c>
      <c r="I350" s="79">
        <f t="shared" si="213"/>
        <v>353692.98817152705</v>
      </c>
      <c r="J350" s="79">
        <f t="shared" si="201"/>
        <v>2412.7143723994441</v>
      </c>
      <c r="K350" s="80">
        <f t="shared" si="202"/>
        <v>-15</v>
      </c>
      <c r="L350" s="80">
        <f t="shared" si="214"/>
        <v>-294.7441568096059</v>
      </c>
      <c r="M350" s="80">
        <f t="shared" si="229"/>
        <v>0</v>
      </c>
      <c r="N350" s="80">
        <f t="shared" si="215"/>
        <v>-336.00833876295076</v>
      </c>
      <c r="O350" s="81">
        <f t="shared" si="203"/>
        <v>-2500.6101455486769</v>
      </c>
      <c r="P350" s="79">
        <f t="shared" si="204"/>
        <v>352959.33990280528</v>
      </c>
      <c r="Q350" s="35"/>
      <c r="R350">
        <f t="shared" ca="1" si="216"/>
        <v>472</v>
      </c>
      <c r="S350" s="78">
        <f t="shared" ca="1" si="217"/>
        <v>92.68</v>
      </c>
      <c r="T350" s="55">
        <f t="shared" ca="1" si="205"/>
        <v>2.8214445801184374E-2</v>
      </c>
      <c r="U350" s="78">
        <f t="shared" ca="1" si="222"/>
        <v>2.9804945253910971E-2</v>
      </c>
      <c r="V350" s="79">
        <f t="shared" ca="1" si="218"/>
        <v>5696.6774902884954</v>
      </c>
      <c r="W350" s="79">
        <f t="shared" ca="1" si="206"/>
        <v>38.859847708029577</v>
      </c>
      <c r="X350" s="80">
        <f t="shared" ca="1" si="223"/>
        <v>-0.44707417880866457</v>
      </c>
      <c r="Y350" s="80">
        <f t="shared" ca="1" si="224"/>
        <v>-4.7472312419070795</v>
      </c>
      <c r="Z350" s="80">
        <f t="shared" ca="1" si="219"/>
        <v>0</v>
      </c>
      <c r="AA350" s="80">
        <f t="shared" ca="1" si="225"/>
        <v>-5.4118436157740719</v>
      </c>
      <c r="AB350" s="81">
        <f t="shared" ca="1" si="207"/>
        <v>-74.53054848945267</v>
      </c>
      <c r="AC350" s="79">
        <f t="shared" ca="1" si="208"/>
        <v>5650.4006404705824</v>
      </c>
      <c r="AD350" s="35"/>
      <c r="AE350" s="62">
        <f t="shared" ca="1" si="209"/>
        <v>-2500.6101455486773</v>
      </c>
      <c r="AF350" s="62">
        <f t="shared" ca="1" si="210"/>
        <v>189579.29941941911</v>
      </c>
      <c r="AG350" s="35"/>
      <c r="AH350" s="35"/>
      <c r="AR350" s="69">
        <f t="shared" si="220"/>
        <v>29</v>
      </c>
      <c r="AS350" s="70">
        <f t="shared" si="226"/>
        <v>347</v>
      </c>
      <c r="AT350" s="71">
        <f t="shared" si="230"/>
        <v>9.2998814054127549E-2</v>
      </c>
      <c r="AU350" s="72">
        <f t="shared" si="211"/>
        <v>6.8214933659622723E-3</v>
      </c>
      <c r="AV350" s="73">
        <f t="shared" si="221"/>
        <v>1.0068214933659623</v>
      </c>
      <c r="AW350" s="74">
        <f>PRODUCT(AV$4:AV350)</f>
        <v>10.580591058695362</v>
      </c>
    </row>
    <row r="351" spans="5:49">
      <c r="E351">
        <f t="shared" si="228"/>
        <v>348</v>
      </c>
      <c r="F351" s="64">
        <f t="shared" si="212"/>
        <v>82.76</v>
      </c>
      <c r="G351" s="55">
        <f t="shared" si="200"/>
        <v>0</v>
      </c>
      <c r="H351" s="78">
        <f t="shared" si="227"/>
        <v>1</v>
      </c>
      <c r="I351" s="79">
        <f t="shared" si="213"/>
        <v>352959.33990280528</v>
      </c>
      <c r="J351" s="79">
        <f t="shared" si="201"/>
        <v>2407.709795601409</v>
      </c>
      <c r="K351" s="80">
        <f t="shared" si="202"/>
        <v>-15</v>
      </c>
      <c r="L351" s="80">
        <f t="shared" si="214"/>
        <v>-294.13278325233773</v>
      </c>
      <c r="M351" s="80">
        <f t="shared" si="229"/>
        <v>0</v>
      </c>
      <c r="N351" s="80">
        <f t="shared" si="215"/>
        <v>-335.31137290766509</v>
      </c>
      <c r="O351" s="81">
        <f t="shared" si="203"/>
        <v>-2500.6101455486769</v>
      </c>
      <c r="P351" s="79">
        <f t="shared" si="204"/>
        <v>352221.99539669807</v>
      </c>
      <c r="Q351" s="35"/>
      <c r="R351">
        <f t="shared" ca="1" si="216"/>
        <v>473</v>
      </c>
      <c r="S351" s="78">
        <f t="shared" ca="1" si="217"/>
        <v>92.76</v>
      </c>
      <c r="T351" s="55">
        <f t="shared" ca="1" si="205"/>
        <v>2.8214445801184374E-2</v>
      </c>
      <c r="U351" s="78">
        <f t="shared" ca="1" si="222"/>
        <v>2.8964015241437234E-2</v>
      </c>
      <c r="V351" s="79">
        <f t="shared" ca="1" si="218"/>
        <v>5490.9777178450477</v>
      </c>
      <c r="W351" s="79">
        <f t="shared" ca="1" si="206"/>
        <v>37.456668074926654</v>
      </c>
      <c r="X351" s="80">
        <f t="shared" ca="1" si="223"/>
        <v>-0.43446022862155853</v>
      </c>
      <c r="Y351" s="80">
        <f t="shared" ca="1" si="224"/>
        <v>-4.5758147648708736</v>
      </c>
      <c r="Z351" s="80">
        <f t="shared" ca="1" si="219"/>
        <v>0</v>
      </c>
      <c r="AA351" s="80">
        <f t="shared" ca="1" si="225"/>
        <v>-5.2164288319527961</v>
      </c>
      <c r="AB351" s="81">
        <f t="shared" ca="1" si="207"/>
        <v>-72.427710368564462</v>
      </c>
      <c r="AC351" s="79">
        <f t="shared" ca="1" si="208"/>
        <v>5445.7799717259641</v>
      </c>
      <c r="AD351" s="35"/>
      <c r="AE351" s="62">
        <f t="shared" ca="1" si="209"/>
        <v>-2500.6101455486769</v>
      </c>
      <c r="AF351" s="62">
        <f t="shared" ca="1" si="210"/>
        <v>188018.82012321911</v>
      </c>
      <c r="AG351" s="35"/>
      <c r="AH351" s="35"/>
      <c r="AR351" s="69">
        <f t="shared" si="220"/>
        <v>29</v>
      </c>
      <c r="AS351" s="70">
        <f t="shared" si="226"/>
        <v>348</v>
      </c>
      <c r="AT351" s="71">
        <f t="shared" si="230"/>
        <v>9.2364423261014961E-2</v>
      </c>
      <c r="AU351" s="72">
        <f t="shared" si="211"/>
        <v>6.8214933659622723E-3</v>
      </c>
      <c r="AV351" s="73">
        <f t="shared" si="221"/>
        <v>1.0068214933659623</v>
      </c>
      <c r="AW351" s="74">
        <f>PRODUCT(AV$4:AV351)</f>
        <v>10.652766490410212</v>
      </c>
    </row>
    <row r="352" spans="5:49">
      <c r="E352">
        <f t="shared" si="228"/>
        <v>349</v>
      </c>
      <c r="F352" s="64">
        <f t="shared" si="212"/>
        <v>82.84</v>
      </c>
      <c r="G352" s="55">
        <f t="shared" si="200"/>
        <v>0</v>
      </c>
      <c r="H352" s="78">
        <f t="shared" si="227"/>
        <v>1</v>
      </c>
      <c r="I352" s="79">
        <f t="shared" si="213"/>
        <v>352221.99539669807</v>
      </c>
      <c r="J352" s="79">
        <f t="shared" si="201"/>
        <v>2402.6800049445701</v>
      </c>
      <c r="K352" s="80">
        <f t="shared" si="202"/>
        <v>-15</v>
      </c>
      <c r="L352" s="80">
        <f t="shared" si="214"/>
        <v>-293.51832949724843</v>
      </c>
      <c r="M352" s="80">
        <f t="shared" si="229"/>
        <v>-2641.6649654752355</v>
      </c>
      <c r="N352" s="80">
        <f t="shared" si="215"/>
        <v>-334.61089562686323</v>
      </c>
      <c r="O352" s="81">
        <f t="shared" si="203"/>
        <v>-2500.6101455486769</v>
      </c>
      <c r="P352" s="79">
        <f t="shared" si="204"/>
        <v>348839.27106549463</v>
      </c>
      <c r="Q352" s="35"/>
      <c r="R352">
        <f t="shared" ca="1" si="216"/>
        <v>474</v>
      </c>
      <c r="S352" s="78">
        <f t="shared" ca="1" si="217"/>
        <v>92.84</v>
      </c>
      <c r="T352" s="55">
        <f t="shared" ca="1" si="205"/>
        <v>2.8214445801184374E-2</v>
      </c>
      <c r="U352" s="78">
        <f t="shared" ca="1" si="222"/>
        <v>2.8146811603223024E-2</v>
      </c>
      <c r="V352" s="79">
        <f t="shared" ca="1" si="218"/>
        <v>5292.1303078685269</v>
      </c>
      <c r="W352" s="79">
        <f t="shared" ca="1" si="206"/>
        <v>36.100231786933037</v>
      </c>
      <c r="X352" s="80">
        <f t="shared" ca="1" si="223"/>
        <v>-0.42220217404834537</v>
      </c>
      <c r="Y352" s="80">
        <f t="shared" ca="1" si="224"/>
        <v>-4.4101085898904397</v>
      </c>
      <c r="Z352" s="80">
        <f t="shared" ca="1" si="219"/>
        <v>0</v>
      </c>
      <c r="AA352" s="80">
        <f t="shared" ca="1" si="225"/>
        <v>-5.0275237924751019</v>
      </c>
      <c r="AB352" s="81">
        <f t="shared" ca="1" si="207"/>
        <v>-70.384202659866716</v>
      </c>
      <c r="AC352" s="79">
        <f t="shared" ca="1" si="208"/>
        <v>5247.9865024391802</v>
      </c>
      <c r="AD352" s="35"/>
      <c r="AE352" s="62">
        <f t="shared" ca="1" si="209"/>
        <v>-2500.6101455486769</v>
      </c>
      <c r="AF352" s="62">
        <f t="shared" ca="1" si="210"/>
        <v>186450.47888259732</v>
      </c>
      <c r="AG352" s="35"/>
      <c r="AH352" s="35"/>
      <c r="AR352" s="69">
        <f t="shared" si="220"/>
        <v>30</v>
      </c>
      <c r="AS352" s="70">
        <f t="shared" si="226"/>
        <v>349</v>
      </c>
      <c r="AT352" s="71">
        <f t="shared" si="230"/>
        <v>9.1734359960489009E-2</v>
      </c>
      <c r="AU352" s="72">
        <f t="shared" si="211"/>
        <v>6.8214933659622723E-3</v>
      </c>
      <c r="AV352" s="73">
        <f t="shared" si="221"/>
        <v>1.0068214933659623</v>
      </c>
      <c r="AW352" s="74">
        <f>PRODUCT(AV$4:AV352)</f>
        <v>10.725434266353691</v>
      </c>
    </row>
    <row r="353" spans="5:49">
      <c r="E353">
        <f t="shared" si="228"/>
        <v>350</v>
      </c>
      <c r="F353" s="64">
        <f t="shared" si="212"/>
        <v>82.92</v>
      </c>
      <c r="G353" s="55">
        <f t="shared" si="200"/>
        <v>0</v>
      </c>
      <c r="H353" s="78">
        <f t="shared" si="227"/>
        <v>1</v>
      </c>
      <c r="I353" s="79">
        <f t="shared" si="213"/>
        <v>348839.27106549463</v>
      </c>
      <c r="J353" s="79">
        <f t="shared" si="201"/>
        <v>2379.6047733603864</v>
      </c>
      <c r="K353" s="80">
        <f t="shared" si="202"/>
        <v>-15</v>
      </c>
      <c r="L353" s="80">
        <f t="shared" si="214"/>
        <v>-290.69939255457888</v>
      </c>
      <c r="M353" s="80">
        <f t="shared" si="229"/>
        <v>0</v>
      </c>
      <c r="N353" s="80">
        <f t="shared" si="215"/>
        <v>-331.39730751221992</v>
      </c>
      <c r="O353" s="81">
        <f t="shared" si="203"/>
        <v>-2500.6101455486769</v>
      </c>
      <c r="P353" s="79">
        <f t="shared" si="204"/>
        <v>348081.16899323952</v>
      </c>
      <c r="Q353" s="35"/>
      <c r="R353">
        <f t="shared" ca="1" si="216"/>
        <v>475</v>
      </c>
      <c r="S353" s="78">
        <f t="shared" ca="1" si="217"/>
        <v>92.92</v>
      </c>
      <c r="T353" s="55">
        <f t="shared" ca="1" si="205"/>
        <v>2.8214445801184374E-2</v>
      </c>
      <c r="U353" s="78">
        <f t="shared" ca="1" si="222"/>
        <v>2.7352664912767742E-2</v>
      </c>
      <c r="V353" s="79">
        <f t="shared" ca="1" si="218"/>
        <v>5099.9174717007627</v>
      </c>
      <c r="W353" s="79">
        <f t="shared" ca="1" si="206"/>
        <v>34.789053200161838</v>
      </c>
      <c r="X353" s="80">
        <f t="shared" ca="1" si="223"/>
        <v>-0.41028997369151615</v>
      </c>
      <c r="Y353" s="80">
        <f t="shared" ca="1" si="224"/>
        <v>-4.2499312264173028</v>
      </c>
      <c r="Z353" s="80">
        <f t="shared" ca="1" si="219"/>
        <v>0</v>
      </c>
      <c r="AA353" s="80">
        <f t="shared" ca="1" si="225"/>
        <v>-4.8449215981157252</v>
      </c>
      <c r="AB353" s="81">
        <f t="shared" ca="1" si="207"/>
        <v>-68.39835138866033</v>
      </c>
      <c r="AC353" s="79">
        <f t="shared" ca="1" si="208"/>
        <v>5056.8030307140398</v>
      </c>
      <c r="AD353" s="35"/>
      <c r="AE353" s="62">
        <f t="shared" ca="1" si="209"/>
        <v>-2500.6101455486769</v>
      </c>
      <c r="AF353" s="62">
        <f t="shared" ca="1" si="210"/>
        <v>184874.23608781947</v>
      </c>
      <c r="AG353" s="35"/>
      <c r="AH353" s="35"/>
      <c r="AR353" s="69">
        <f t="shared" si="220"/>
        <v>30</v>
      </c>
      <c r="AS353" s="70">
        <f t="shared" si="226"/>
        <v>350</v>
      </c>
      <c r="AT353" s="71">
        <f t="shared" si="230"/>
        <v>9.1108594632587733E-2</v>
      </c>
      <c r="AU353" s="72">
        <f t="shared" si="211"/>
        <v>6.8214933659622723E-3</v>
      </c>
      <c r="AV353" s="73">
        <f t="shared" si="221"/>
        <v>1.0068214933659623</v>
      </c>
      <c r="AW353" s="74">
        <f>PRODUCT(AV$4:AV353)</f>
        <v>10.798597745048687</v>
      </c>
    </row>
    <row r="354" spans="5:49">
      <c r="E354">
        <f t="shared" si="228"/>
        <v>351</v>
      </c>
      <c r="F354" s="64">
        <f t="shared" si="212"/>
        <v>83</v>
      </c>
      <c r="G354" s="55">
        <f t="shared" si="200"/>
        <v>0</v>
      </c>
      <c r="H354" s="78">
        <f t="shared" si="227"/>
        <v>1</v>
      </c>
      <c r="I354" s="79">
        <f t="shared" si="213"/>
        <v>348081.16899323952</v>
      </c>
      <c r="J354" s="79">
        <f t="shared" si="201"/>
        <v>2374.4333851037759</v>
      </c>
      <c r="K354" s="80">
        <f t="shared" si="202"/>
        <v>-15</v>
      </c>
      <c r="L354" s="80">
        <f t="shared" si="214"/>
        <v>-290.06764082769962</v>
      </c>
      <c r="M354" s="80">
        <f t="shared" si="229"/>
        <v>0</v>
      </c>
      <c r="N354" s="80">
        <f t="shared" si="215"/>
        <v>-330.67711054357761</v>
      </c>
      <c r="O354" s="81">
        <f t="shared" si="203"/>
        <v>-2500.6101455486769</v>
      </c>
      <c r="P354" s="79">
        <f t="shared" si="204"/>
        <v>347319.24748142337</v>
      </c>
      <c r="Q354" s="35"/>
      <c r="R354">
        <f t="shared" ca="1" si="216"/>
        <v>476</v>
      </c>
      <c r="S354" s="78">
        <f t="shared" ca="1" si="217"/>
        <v>93</v>
      </c>
      <c r="T354" s="55">
        <f t="shared" ca="1" si="205"/>
        <v>2.8214445801184374E-2</v>
      </c>
      <c r="U354" s="78">
        <f t="shared" ca="1" si="222"/>
        <v>2.6580924631068498E-2</v>
      </c>
      <c r="V354" s="79">
        <f t="shared" ca="1" si="218"/>
        <v>4914.128135676694</v>
      </c>
      <c r="W354" s="79">
        <f t="shared" ca="1" si="206"/>
        <v>33.521692477007115</v>
      </c>
      <c r="X354" s="80">
        <f t="shared" ca="1" si="223"/>
        <v>-0.39871386946602749</v>
      </c>
      <c r="Y354" s="80">
        <f t="shared" ca="1" si="224"/>
        <v>-4.0951067797305782</v>
      </c>
      <c r="Z354" s="80">
        <f t="shared" ca="1" si="219"/>
        <v>0</v>
      </c>
      <c r="AA354" s="80">
        <f t="shared" ca="1" si="225"/>
        <v>-4.6684217288928602</v>
      </c>
      <c r="AB354" s="81">
        <f t="shared" ca="1" si="207"/>
        <v>-66.46852981051461</v>
      </c>
      <c r="AC354" s="79">
        <f t="shared" ca="1" si="208"/>
        <v>4872.0190559650982</v>
      </c>
      <c r="AD354" s="35"/>
      <c r="AE354" s="62">
        <f t="shared" ca="1" si="209"/>
        <v>-2500.6101455486769</v>
      </c>
      <c r="AF354" s="62">
        <f t="shared" ca="1" si="210"/>
        <v>183290.05192959134</v>
      </c>
      <c r="AG354" s="35"/>
      <c r="AH354" s="35"/>
      <c r="AR354" s="69">
        <f t="shared" si="220"/>
        <v>30</v>
      </c>
      <c r="AS354" s="70">
        <f t="shared" si="226"/>
        <v>351</v>
      </c>
      <c r="AT354" s="71">
        <f t="shared" si="230"/>
        <v>9.0487097958719384E-2</v>
      </c>
      <c r="AU354" s="72">
        <f t="shared" si="211"/>
        <v>6.8214933659622723E-3</v>
      </c>
      <c r="AV354" s="73">
        <f t="shared" si="221"/>
        <v>1.0068214933659623</v>
      </c>
      <c r="AW354" s="74">
        <f>PRODUCT(AV$4:AV354)</f>
        <v>10.872260307928231</v>
      </c>
    </row>
    <row r="355" spans="5:49">
      <c r="E355">
        <f t="shared" si="228"/>
        <v>352</v>
      </c>
      <c r="F355" s="64">
        <f t="shared" si="212"/>
        <v>83.08</v>
      </c>
      <c r="G355" s="55">
        <f t="shared" si="200"/>
        <v>0</v>
      </c>
      <c r="H355" s="78">
        <f t="shared" si="227"/>
        <v>1</v>
      </c>
      <c r="I355" s="79">
        <f t="shared" si="213"/>
        <v>347319.24748142337</v>
      </c>
      <c r="J355" s="79">
        <f t="shared" si="201"/>
        <v>2369.2359425655382</v>
      </c>
      <c r="K355" s="80">
        <f t="shared" si="202"/>
        <v>-15</v>
      </c>
      <c r="L355" s="80">
        <f t="shared" si="214"/>
        <v>-289.43270623451951</v>
      </c>
      <c r="M355" s="80">
        <f t="shared" si="229"/>
        <v>0</v>
      </c>
      <c r="N355" s="80">
        <f t="shared" si="215"/>
        <v>-329.95328510735226</v>
      </c>
      <c r="O355" s="81">
        <f t="shared" si="203"/>
        <v>-2500.6101455486769</v>
      </c>
      <c r="P355" s="79">
        <f t="shared" si="204"/>
        <v>346553.48728709843</v>
      </c>
      <c r="Q355" s="35"/>
      <c r="R355">
        <f t="shared" ca="1" si="216"/>
        <v>477</v>
      </c>
      <c r="S355" s="78">
        <f t="shared" ca="1" si="217"/>
        <v>93.08</v>
      </c>
      <c r="T355" s="55">
        <f t="shared" ca="1" si="205"/>
        <v>2.8214445801184374E-2</v>
      </c>
      <c r="U355" s="78">
        <f t="shared" ca="1" si="222"/>
        <v>2.583095857371985E-2</v>
      </c>
      <c r="V355" s="79">
        <f t="shared" ca="1" si="218"/>
        <v>4734.5577383682339</v>
      </c>
      <c r="W355" s="79">
        <f t="shared" ca="1" si="206"/>
        <v>32.296754203044244</v>
      </c>
      <c r="X355" s="80">
        <f t="shared" ca="1" si="223"/>
        <v>-0.38746437860579774</v>
      </c>
      <c r="Y355" s="80">
        <f t="shared" ca="1" si="224"/>
        <v>-3.9454647819735285</v>
      </c>
      <c r="Z355" s="80">
        <f t="shared" ca="1" si="219"/>
        <v>0</v>
      </c>
      <c r="AA355" s="80">
        <f t="shared" ca="1" si="225"/>
        <v>-4.4978298514498229</v>
      </c>
      <c r="AB355" s="81">
        <f t="shared" ca="1" si="207"/>
        <v>-64.593157078691448</v>
      </c>
      <c r="AC355" s="79">
        <f t="shared" ca="1" si="208"/>
        <v>4693.4305764805576</v>
      </c>
      <c r="AD355" s="35"/>
      <c r="AE355" s="62">
        <f t="shared" ca="1" si="209"/>
        <v>-2500.6101455486773</v>
      </c>
      <c r="AF355" s="62">
        <f t="shared" ca="1" si="210"/>
        <v>181697.8863980528</v>
      </c>
      <c r="AG355" s="35"/>
      <c r="AH355" s="35"/>
      <c r="AR355" s="69">
        <f t="shared" si="220"/>
        <v>30</v>
      </c>
      <c r="AS355" s="70">
        <f t="shared" si="226"/>
        <v>352</v>
      </c>
      <c r="AT355" s="71">
        <f t="shared" si="230"/>
        <v>8.9869840820288802E-2</v>
      </c>
      <c r="AU355" s="72">
        <f t="shared" si="211"/>
        <v>6.8214933659622723E-3</v>
      </c>
      <c r="AV355" s="73">
        <f t="shared" si="221"/>
        <v>1.0068214933659623</v>
      </c>
      <c r="AW355" s="74">
        <f>PRODUCT(AV$4:AV355)</f>
        <v>10.946425359491778</v>
      </c>
    </row>
    <row r="356" spans="5:49">
      <c r="E356">
        <f t="shared" si="228"/>
        <v>353</v>
      </c>
      <c r="F356" s="64">
        <f t="shared" si="212"/>
        <v>83.16</v>
      </c>
      <c r="G356" s="55">
        <f t="shared" si="200"/>
        <v>0</v>
      </c>
      <c r="H356" s="78">
        <f t="shared" si="227"/>
        <v>1</v>
      </c>
      <c r="I356" s="79">
        <f t="shared" si="213"/>
        <v>346553.48728709843</v>
      </c>
      <c r="J356" s="79">
        <f t="shared" si="201"/>
        <v>2364.0123144800327</v>
      </c>
      <c r="K356" s="80">
        <f t="shared" si="202"/>
        <v>-15</v>
      </c>
      <c r="L356" s="80">
        <f t="shared" si="214"/>
        <v>-288.79457273924868</v>
      </c>
      <c r="M356" s="80">
        <f t="shared" si="229"/>
        <v>0</v>
      </c>
      <c r="N356" s="80">
        <f t="shared" si="215"/>
        <v>-329.22581292274356</v>
      </c>
      <c r="O356" s="81">
        <f t="shared" si="203"/>
        <v>-2500.6101455486769</v>
      </c>
      <c r="P356" s="79">
        <f t="shared" si="204"/>
        <v>345783.86907036783</v>
      </c>
      <c r="Q356" s="35"/>
      <c r="R356">
        <f t="shared" ca="1" si="216"/>
        <v>478</v>
      </c>
      <c r="S356" s="78">
        <f t="shared" ca="1" si="217"/>
        <v>93.16</v>
      </c>
      <c r="T356" s="55">
        <f t="shared" ca="1" si="205"/>
        <v>2.8214445801184374E-2</v>
      </c>
      <c r="U356" s="78">
        <f t="shared" ca="1" si="222"/>
        <v>2.5102152393048992E-2</v>
      </c>
      <c r="V356" s="79">
        <f t="shared" ca="1" si="218"/>
        <v>4561.008033858825</v>
      </c>
      <c r="W356" s="79">
        <f t="shared" ca="1" si="206"/>
        <v>31.112886045068603</v>
      </c>
      <c r="X356" s="80">
        <f t="shared" ca="1" si="223"/>
        <v>-0.3765322858957349</v>
      </c>
      <c r="Y356" s="80">
        <f t="shared" ca="1" si="224"/>
        <v>-3.8008400282156876</v>
      </c>
      <c r="Z356" s="80">
        <f t="shared" ca="1" si="219"/>
        <v>0</v>
      </c>
      <c r="AA356" s="80">
        <f t="shared" ca="1" si="225"/>
        <v>-4.3329576321658845</v>
      </c>
      <c r="AB356" s="81">
        <f t="shared" ca="1" si="207"/>
        <v>-62.770696949167309</v>
      </c>
      <c r="AC356" s="79">
        <f t="shared" ca="1" si="208"/>
        <v>4520.8398930084495</v>
      </c>
      <c r="AD356" s="35"/>
      <c r="AE356" s="62">
        <f t="shared" ca="1" si="209"/>
        <v>-2500.6101455486769</v>
      </c>
      <c r="AF356" s="62">
        <f t="shared" ca="1" si="210"/>
        <v>180097.69928176797</v>
      </c>
      <c r="AG356" s="35"/>
      <c r="AH356" s="35"/>
      <c r="AR356" s="69">
        <f t="shared" si="220"/>
        <v>30</v>
      </c>
      <c r="AS356" s="70">
        <f t="shared" si="226"/>
        <v>353</v>
      </c>
      <c r="AT356" s="71">
        <f t="shared" si="230"/>
        <v>8.9256794297333117E-2</v>
      </c>
      <c r="AU356" s="72">
        <f t="shared" si="211"/>
        <v>6.8214933659622723E-3</v>
      </c>
      <c r="AV356" s="73">
        <f t="shared" si="221"/>
        <v>1.0068214933659623</v>
      </c>
      <c r="AW356" s="74">
        <f>PRODUCT(AV$4:AV356)</f>
        <v>11.021096327462553</v>
      </c>
    </row>
    <row r="357" spans="5:49">
      <c r="E357">
        <f t="shared" si="228"/>
        <v>354</v>
      </c>
      <c r="F357" s="64">
        <f t="shared" si="212"/>
        <v>83.24</v>
      </c>
      <c r="G357" s="55">
        <f t="shared" si="200"/>
        <v>0</v>
      </c>
      <c r="H357" s="78">
        <f t="shared" si="227"/>
        <v>1</v>
      </c>
      <c r="I357" s="79">
        <f t="shared" si="213"/>
        <v>345783.86907036783</v>
      </c>
      <c r="J357" s="79">
        <f t="shared" si="201"/>
        <v>2358.762368920281</v>
      </c>
      <c r="K357" s="80">
        <f t="shared" si="202"/>
        <v>-15</v>
      </c>
      <c r="L357" s="80">
        <f t="shared" si="214"/>
        <v>-288.15322422530653</v>
      </c>
      <c r="M357" s="80">
        <f t="shared" si="229"/>
        <v>0</v>
      </c>
      <c r="N357" s="80">
        <f t="shared" si="215"/>
        <v>-328.49467561684952</v>
      </c>
      <c r="O357" s="81">
        <f t="shared" si="203"/>
        <v>-2500.6101455486769</v>
      </c>
      <c r="P357" s="79">
        <f t="shared" si="204"/>
        <v>345010.37339389726</v>
      </c>
      <c r="Q357" s="35"/>
      <c r="R357">
        <f t="shared" ca="1" si="216"/>
        <v>479</v>
      </c>
      <c r="S357" s="78">
        <f t="shared" ca="1" si="217"/>
        <v>93.24</v>
      </c>
      <c r="T357" s="55">
        <f t="shared" ca="1" si="205"/>
        <v>2.8214445801184374E-2</v>
      </c>
      <c r="U357" s="78">
        <f t="shared" ca="1" si="222"/>
        <v>2.439390907486224E-2</v>
      </c>
      <c r="V357" s="79">
        <f t="shared" ca="1" si="218"/>
        <v>4393.2869008713305</v>
      </c>
      <c r="W357" s="79">
        <f t="shared" ca="1" si="206"/>
        <v>29.968777449062731</v>
      </c>
      <c r="X357" s="80">
        <f t="shared" ca="1" si="223"/>
        <v>-0.36590863612293362</v>
      </c>
      <c r="Y357" s="80">
        <f t="shared" ca="1" si="224"/>
        <v>-3.6610724173927758</v>
      </c>
      <c r="Z357" s="80">
        <f t="shared" ca="1" si="219"/>
        <v>0</v>
      </c>
      <c r="AA357" s="80">
        <f t="shared" ca="1" si="225"/>
        <v>-4.1736225558277651</v>
      </c>
      <c r="AB357" s="81">
        <f t="shared" ca="1" si="207"/>
        <v>-60.999656522192453</v>
      </c>
      <c r="AC357" s="79">
        <f t="shared" ca="1" si="208"/>
        <v>4354.0554181888574</v>
      </c>
      <c r="AD357" s="35"/>
      <c r="AE357" s="62">
        <f t="shared" ca="1" si="209"/>
        <v>-2500.6101455486769</v>
      </c>
      <c r="AF357" s="62">
        <f t="shared" ca="1" si="210"/>
        <v>178489.45016670914</v>
      </c>
      <c r="AG357" s="35"/>
      <c r="AH357" s="35"/>
      <c r="AR357" s="69">
        <f t="shared" si="220"/>
        <v>30</v>
      </c>
      <c r="AS357" s="70">
        <f t="shared" si="226"/>
        <v>354</v>
      </c>
      <c r="AT357" s="71">
        <f t="shared" si="230"/>
        <v>8.8647929667166794E-2</v>
      </c>
      <c r="AU357" s="72">
        <f t="shared" si="211"/>
        <v>6.8214933659622723E-3</v>
      </c>
      <c r="AV357" s="73">
        <f t="shared" si="221"/>
        <v>1.0068214933659623</v>
      </c>
      <c r="AW357" s="74">
        <f>PRODUCT(AV$4:AV357)</f>
        <v>11.09627666294597</v>
      </c>
    </row>
    <row r="358" spans="5:49">
      <c r="E358">
        <f t="shared" si="228"/>
        <v>355</v>
      </c>
      <c r="F358" s="64">
        <f t="shared" si="212"/>
        <v>83.32</v>
      </c>
      <c r="G358" s="55">
        <f t="shared" si="200"/>
        <v>0</v>
      </c>
      <c r="H358" s="78">
        <f t="shared" si="227"/>
        <v>1</v>
      </c>
      <c r="I358" s="79">
        <f t="shared" si="213"/>
        <v>345010.37339389726</v>
      </c>
      <c r="J358" s="79">
        <f t="shared" si="201"/>
        <v>2353.4859732946366</v>
      </c>
      <c r="K358" s="80">
        <f t="shared" si="202"/>
        <v>-15</v>
      </c>
      <c r="L358" s="80">
        <f t="shared" si="214"/>
        <v>-287.50864449491439</v>
      </c>
      <c r="M358" s="80">
        <f t="shared" si="229"/>
        <v>0</v>
      </c>
      <c r="N358" s="80">
        <f t="shared" si="215"/>
        <v>-327.75985472420246</v>
      </c>
      <c r="O358" s="81">
        <f t="shared" si="203"/>
        <v>-2500.6101455486769</v>
      </c>
      <c r="P358" s="79">
        <f t="shared" si="204"/>
        <v>344232.98072242411</v>
      </c>
      <c r="Q358" s="35"/>
      <c r="R358">
        <f t="shared" ca="1" si="216"/>
        <v>480</v>
      </c>
      <c r="S358" s="78">
        <f t="shared" ca="1" si="217"/>
        <v>93.32</v>
      </c>
      <c r="T358" s="55">
        <f t="shared" ca="1" si="205"/>
        <v>2.8214445801184374E-2</v>
      </c>
      <c r="U358" s="78">
        <f t="shared" ca="1" si="222"/>
        <v>2.3705648449390521E-2</v>
      </c>
      <c r="V358" s="79">
        <f t="shared" ca="1" si="218"/>
        <v>4231.2081575770144</v>
      </c>
      <c r="W358" s="79">
        <f t="shared" ca="1" si="206"/>
        <v>28.863158376917053</v>
      </c>
      <c r="X358" s="80">
        <f t="shared" ca="1" si="223"/>
        <v>-0.35558472674085784</v>
      </c>
      <c r="Y358" s="80">
        <f t="shared" ca="1" si="224"/>
        <v>-3.5260067979808456</v>
      </c>
      <c r="Z358" s="80">
        <f t="shared" ca="1" si="219"/>
        <v>0</v>
      </c>
      <c r="AA358" s="80">
        <f t="shared" ca="1" si="225"/>
        <v>-4.0196477496981649</v>
      </c>
      <c r="AB358" s="81">
        <f t="shared" ca="1" si="207"/>
        <v>-59.2785850193562</v>
      </c>
      <c r="AC358" s="79">
        <f t="shared" ca="1" si="208"/>
        <v>4192.8914916601561</v>
      </c>
      <c r="AD358" s="35"/>
      <c r="AE358" s="62">
        <f t="shared" ca="1" si="209"/>
        <v>-2500.6101455486769</v>
      </c>
      <c r="AF358" s="62">
        <f t="shared" ca="1" si="210"/>
        <v>176873.09843523629</v>
      </c>
      <c r="AG358" s="35"/>
      <c r="AH358" s="35"/>
      <c r="AR358" s="69">
        <f t="shared" si="220"/>
        <v>30</v>
      </c>
      <c r="AS358" s="70">
        <f t="shared" si="226"/>
        <v>355</v>
      </c>
      <c r="AT358" s="71">
        <f t="shared" si="230"/>
        <v>8.804321840303593E-2</v>
      </c>
      <c r="AU358" s="72">
        <f t="shared" si="211"/>
        <v>6.8214933659622723E-3</v>
      </c>
      <c r="AV358" s="73">
        <f t="shared" si="221"/>
        <v>1.0068214933659623</v>
      </c>
      <c r="AW358" s="74">
        <f>PRODUCT(AV$4:AV358)</f>
        <v>11.171969840589137</v>
      </c>
    </row>
    <row r="359" spans="5:49">
      <c r="E359">
        <f t="shared" si="228"/>
        <v>356</v>
      </c>
      <c r="F359" s="64">
        <f t="shared" si="212"/>
        <v>83.4</v>
      </c>
      <c r="G359" s="55">
        <f t="shared" si="200"/>
        <v>0</v>
      </c>
      <c r="H359" s="78">
        <f t="shared" si="227"/>
        <v>1</v>
      </c>
      <c r="I359" s="79">
        <f t="shared" si="213"/>
        <v>344232.98072242411</v>
      </c>
      <c r="J359" s="79">
        <f t="shared" si="201"/>
        <v>2348.182994343435</v>
      </c>
      <c r="K359" s="80">
        <f t="shared" si="202"/>
        <v>-15</v>
      </c>
      <c r="L359" s="80">
        <f t="shared" si="214"/>
        <v>-286.86081726868679</v>
      </c>
      <c r="M359" s="80">
        <f t="shared" si="229"/>
        <v>0</v>
      </c>
      <c r="N359" s="80">
        <f t="shared" si="215"/>
        <v>-327.02133168630297</v>
      </c>
      <c r="O359" s="81">
        <f t="shared" si="203"/>
        <v>-2500.6101455486769</v>
      </c>
      <c r="P359" s="79">
        <f t="shared" si="204"/>
        <v>343451.67142226396</v>
      </c>
      <c r="Q359" s="35"/>
      <c r="R359">
        <f t="shared" ca="1" si="216"/>
        <v>481</v>
      </c>
      <c r="S359" s="78">
        <f t="shared" ca="1" si="217"/>
        <v>93.4</v>
      </c>
      <c r="T359" s="55">
        <f t="shared" ca="1" si="205"/>
        <v>2.8214445801184374E-2</v>
      </c>
      <c r="U359" s="78">
        <f t="shared" ca="1" si="222"/>
        <v>2.303680671603326E-2</v>
      </c>
      <c r="V359" s="79">
        <f t="shared" ca="1" si="218"/>
        <v>4074.5913819184634</v>
      </c>
      <c r="W359" s="79">
        <f t="shared" ca="1" si="206"/>
        <v>27.794798080763847</v>
      </c>
      <c r="X359" s="80">
        <f t="shared" ca="1" si="223"/>
        <v>-0.34555210074049891</v>
      </c>
      <c r="Y359" s="80">
        <f t="shared" ca="1" si="224"/>
        <v>-3.3954928182653865</v>
      </c>
      <c r="Z359" s="80">
        <f t="shared" ca="1" si="219"/>
        <v>-30.559435364388474</v>
      </c>
      <c r="AA359" s="80">
        <f t="shared" ca="1" si="225"/>
        <v>-3.8708618128225409</v>
      </c>
      <c r="AB359" s="81">
        <f t="shared" ca="1" si="207"/>
        <v>-57.606072595156668</v>
      </c>
      <c r="AC359" s="79">
        <f t="shared" ca="1" si="208"/>
        <v>4006.6087653078534</v>
      </c>
      <c r="AD359" s="35"/>
      <c r="AE359" s="62">
        <f t="shared" ca="1" si="209"/>
        <v>-2500.6101455486769</v>
      </c>
      <c r="AF359" s="62">
        <f t="shared" ca="1" si="210"/>
        <v>173922.05502680698</v>
      </c>
      <c r="AG359" s="35"/>
      <c r="AH359" s="35"/>
      <c r="AR359" s="69">
        <f t="shared" si="220"/>
        <v>30</v>
      </c>
      <c r="AS359" s="70">
        <f t="shared" si="226"/>
        <v>356</v>
      </c>
      <c r="AT359" s="71">
        <f t="shared" si="230"/>
        <v>8.7442632172781656E-2</v>
      </c>
      <c r="AU359" s="72">
        <f t="shared" si="211"/>
        <v>6.8214933659622723E-3</v>
      </c>
      <c r="AV359" s="73">
        <f t="shared" si="221"/>
        <v>1.0068214933659623</v>
      </c>
      <c r="AW359" s="74">
        <f>PRODUCT(AV$4:AV359)</f>
        <v>11.248179358741446</v>
      </c>
    </row>
    <row r="360" spans="5:49">
      <c r="E360">
        <f t="shared" si="228"/>
        <v>357</v>
      </c>
      <c r="F360" s="64">
        <f t="shared" si="212"/>
        <v>83.48</v>
      </c>
      <c r="G360" s="55">
        <f t="shared" si="200"/>
        <v>0</v>
      </c>
      <c r="H360" s="78">
        <f t="shared" si="227"/>
        <v>1</v>
      </c>
      <c r="I360" s="79">
        <f t="shared" si="213"/>
        <v>343451.67142226396</v>
      </c>
      <c r="J360" s="79">
        <f t="shared" si="201"/>
        <v>2342.8532981356279</v>
      </c>
      <c r="K360" s="80">
        <f t="shared" si="202"/>
        <v>-15</v>
      </c>
      <c r="L360" s="80">
        <f t="shared" si="214"/>
        <v>-286.20972618522001</v>
      </c>
      <c r="M360" s="80">
        <f t="shared" si="229"/>
        <v>0</v>
      </c>
      <c r="N360" s="80">
        <f t="shared" si="215"/>
        <v>-326.27908785115079</v>
      </c>
      <c r="O360" s="81">
        <f t="shared" si="203"/>
        <v>-2500.6101455486769</v>
      </c>
      <c r="P360" s="79">
        <f t="shared" si="204"/>
        <v>342666.42576081451</v>
      </c>
      <c r="Q360" s="35"/>
      <c r="R360">
        <f t="shared" ca="1" si="216"/>
        <v>482</v>
      </c>
      <c r="S360" s="78">
        <f t="shared" ca="1" si="217"/>
        <v>93.48</v>
      </c>
      <c r="T360" s="55">
        <f t="shared" ca="1" si="205"/>
        <v>2.8214445801184374E-2</v>
      </c>
      <c r="U360" s="78">
        <f t="shared" ca="1" si="222"/>
        <v>2.238683598151138E-2</v>
      </c>
      <c r="V360" s="79">
        <f t="shared" ca="1" si="218"/>
        <v>3893.5645194525246</v>
      </c>
      <c r="W360" s="79">
        <f t="shared" ca="1" si="206"/>
        <v>26.559924539391478</v>
      </c>
      <c r="X360" s="80">
        <f t="shared" ca="1" si="223"/>
        <v>-0.33580253972267071</v>
      </c>
      <c r="Y360" s="80">
        <f t="shared" ca="1" si="224"/>
        <v>-3.2446370995437706</v>
      </c>
      <c r="Z360" s="80">
        <f t="shared" ca="1" si="219"/>
        <v>0</v>
      </c>
      <c r="AA360" s="80">
        <f t="shared" ca="1" si="225"/>
        <v>-3.6988862934798994</v>
      </c>
      <c r="AB360" s="81">
        <f t="shared" ca="1" si="207"/>
        <v>-55.980749182101526</v>
      </c>
      <c r="AC360" s="79">
        <f t="shared" ca="1" si="208"/>
        <v>3856.8643688770676</v>
      </c>
      <c r="AD360" s="35"/>
      <c r="AE360" s="62">
        <f t="shared" ca="1" si="209"/>
        <v>-2500.6101455486769</v>
      </c>
      <c r="AF360" s="62">
        <f t="shared" ca="1" si="210"/>
        <v>172282.69202768704</v>
      </c>
      <c r="AG360" s="35"/>
      <c r="AH360" s="35"/>
      <c r="AR360" s="69">
        <f t="shared" si="220"/>
        <v>30</v>
      </c>
      <c r="AS360" s="70">
        <f t="shared" si="226"/>
        <v>357</v>
      </c>
      <c r="AT360" s="71">
        <f t="shared" si="230"/>
        <v>8.6846142837512741E-2</v>
      </c>
      <c r="AU360" s="72">
        <f t="shared" si="211"/>
        <v>6.8214933659622723E-3</v>
      </c>
      <c r="AV360" s="73">
        <f t="shared" si="221"/>
        <v>1.0068214933659623</v>
      </c>
      <c r="AW360" s="74">
        <f>PRODUCT(AV$4:AV360)</f>
        <v>11.324908739616255</v>
      </c>
    </row>
    <row r="361" spans="5:49">
      <c r="E361">
        <f t="shared" si="228"/>
        <v>358</v>
      </c>
      <c r="F361" s="64">
        <f t="shared" si="212"/>
        <v>83.56</v>
      </c>
      <c r="G361" s="55">
        <f t="shared" si="200"/>
        <v>0</v>
      </c>
      <c r="H361" s="78">
        <f t="shared" si="227"/>
        <v>1</v>
      </c>
      <c r="I361" s="79">
        <f t="shared" si="213"/>
        <v>342666.42576081451</v>
      </c>
      <c r="J361" s="79">
        <f t="shared" si="201"/>
        <v>2337.4967500653997</v>
      </c>
      <c r="K361" s="80">
        <f t="shared" si="202"/>
        <v>-15</v>
      </c>
      <c r="L361" s="80">
        <f t="shared" si="214"/>
        <v>-285.5553548006788</v>
      </c>
      <c r="M361" s="80">
        <f t="shared" si="229"/>
        <v>0</v>
      </c>
      <c r="N361" s="80">
        <f t="shared" si="215"/>
        <v>-325.53310447277386</v>
      </c>
      <c r="O361" s="81">
        <f t="shared" si="203"/>
        <v>-2500.6101455486769</v>
      </c>
      <c r="P361" s="79">
        <f t="shared" si="204"/>
        <v>341877.22390605783</v>
      </c>
      <c r="Q361" s="35"/>
      <c r="R361">
        <f t="shared" ca="1" si="216"/>
        <v>483</v>
      </c>
      <c r="S361" s="78">
        <f t="shared" ca="1" si="217"/>
        <v>93.56</v>
      </c>
      <c r="T361" s="55">
        <f t="shared" ca="1" si="205"/>
        <v>3.0908757876424664E-2</v>
      </c>
      <c r="U361" s="78">
        <f t="shared" ca="1" si="222"/>
        <v>2.1694886688539614E-2</v>
      </c>
      <c r="V361" s="79">
        <f t="shared" ca="1" si="218"/>
        <v>3737.6534819372368</v>
      </c>
      <c r="W361" s="79">
        <f t="shared" ca="1" si="206"/>
        <v>25.496378431300649</v>
      </c>
      <c r="X361" s="80">
        <f t="shared" ca="1" si="223"/>
        <v>-0.32542330032809419</v>
      </c>
      <c r="Y361" s="80">
        <f t="shared" ca="1" si="224"/>
        <v>-3.1147112349476975</v>
      </c>
      <c r="Z361" s="80">
        <f t="shared" ca="1" si="219"/>
        <v>0</v>
      </c>
      <c r="AA361" s="80">
        <f t="shared" ca="1" si="225"/>
        <v>-3.5507708078403759</v>
      </c>
      <c r="AB361" s="81">
        <f t="shared" ca="1" si="207"/>
        <v>-54.250453759891094</v>
      </c>
      <c r="AC361" s="79">
        <f t="shared" ca="1" si="208"/>
        <v>3701.9085012655305</v>
      </c>
      <c r="AD361" s="35"/>
      <c r="AE361" s="62">
        <f t="shared" ca="1" si="209"/>
        <v>-2500.6101455486769</v>
      </c>
      <c r="AF361" s="62">
        <f t="shared" ca="1" si="210"/>
        <v>170635.06965542596</v>
      </c>
      <c r="AG361" s="35"/>
      <c r="AH361" s="35"/>
      <c r="AR361" s="69">
        <f t="shared" si="220"/>
        <v>30</v>
      </c>
      <c r="AS361" s="70">
        <f t="shared" si="226"/>
        <v>358</v>
      </c>
      <c r="AT361" s="71">
        <f t="shared" si="230"/>
        <v>8.6253722450287229E-2</v>
      </c>
      <c r="AU361" s="72">
        <f t="shared" si="211"/>
        <v>6.8214933659622723E-3</v>
      </c>
      <c r="AV361" s="73">
        <f t="shared" si="221"/>
        <v>1.0068214933659623</v>
      </c>
      <c r="AW361" s="74">
        <f>PRODUCT(AV$4:AV361)</f>
        <v>11.402161529453675</v>
      </c>
    </row>
    <row r="362" spans="5:49">
      <c r="E362">
        <f t="shared" si="228"/>
        <v>359</v>
      </c>
      <c r="F362" s="64">
        <f t="shared" si="212"/>
        <v>83.64</v>
      </c>
      <c r="G362" s="55">
        <f t="shared" si="200"/>
        <v>0</v>
      </c>
      <c r="H362" s="78">
        <f t="shared" si="227"/>
        <v>1</v>
      </c>
      <c r="I362" s="79">
        <f t="shared" si="213"/>
        <v>341877.22390605783</v>
      </c>
      <c r="J362" s="79">
        <f t="shared" si="201"/>
        <v>2332.1132148487718</v>
      </c>
      <c r="K362" s="80">
        <f t="shared" si="202"/>
        <v>-15</v>
      </c>
      <c r="L362" s="80">
        <f t="shared" si="214"/>
        <v>-284.89768658838153</v>
      </c>
      <c r="M362" s="80">
        <f t="shared" si="229"/>
        <v>0</v>
      </c>
      <c r="N362" s="80">
        <f t="shared" si="215"/>
        <v>-324.783362710755</v>
      </c>
      <c r="O362" s="81">
        <f t="shared" si="203"/>
        <v>-2500.6101455486769</v>
      </c>
      <c r="P362" s="79">
        <f t="shared" si="204"/>
        <v>341084.04592605884</v>
      </c>
      <c r="Q362" s="35"/>
      <c r="R362">
        <f t="shared" ca="1" si="216"/>
        <v>484</v>
      </c>
      <c r="S362" s="78">
        <f t="shared" ca="1" si="217"/>
        <v>93.64</v>
      </c>
      <c r="T362" s="55">
        <f t="shared" ca="1" si="205"/>
        <v>3.0908757876424664E-2</v>
      </c>
      <c r="U362" s="78">
        <f t="shared" ca="1" si="222"/>
        <v>2.1024324688727076E-2</v>
      </c>
      <c r="V362" s="79">
        <f t="shared" ca="1" si="218"/>
        <v>3587.4871077192361</v>
      </c>
      <c r="W362" s="79">
        <f t="shared" ca="1" si="206"/>
        <v>24.472019505781947</v>
      </c>
      <c r="X362" s="80">
        <f t="shared" ca="1" si="223"/>
        <v>-0.31536487033090616</v>
      </c>
      <c r="Y362" s="80">
        <f t="shared" ca="1" si="224"/>
        <v>-2.9895725897660301</v>
      </c>
      <c r="Z362" s="80">
        <f t="shared" ca="1" si="219"/>
        <v>0</v>
      </c>
      <c r="AA362" s="80">
        <f t="shared" ca="1" si="225"/>
        <v>-3.4081127523332753</v>
      </c>
      <c r="AB362" s="81">
        <f t="shared" ca="1" si="207"/>
        <v>-52.573639619940451</v>
      </c>
      <c r="AC362" s="79">
        <f t="shared" ca="1" si="208"/>
        <v>3552.6724373926477</v>
      </c>
      <c r="AD362" s="35"/>
      <c r="AE362" s="62">
        <f t="shared" ca="1" si="209"/>
        <v>-2500.6101455486769</v>
      </c>
      <c r="AF362" s="62">
        <f t="shared" ca="1" si="210"/>
        <v>168979.1462979801</v>
      </c>
      <c r="AG362" s="35"/>
      <c r="AH362" s="35"/>
      <c r="AR362" s="69">
        <f t="shared" si="220"/>
        <v>30</v>
      </c>
      <c r="AS362" s="70">
        <f t="shared" si="226"/>
        <v>359</v>
      </c>
      <c r="AT362" s="71">
        <f t="shared" si="230"/>
        <v>8.5665343254803045E-2</v>
      </c>
      <c r="AU362" s="72">
        <f t="shared" si="211"/>
        <v>6.8214933659622723E-3</v>
      </c>
      <c r="AV362" s="73">
        <f t="shared" si="221"/>
        <v>1.0068214933659623</v>
      </c>
      <c r="AW362" s="74">
        <f>PRODUCT(AV$4:AV362)</f>
        <v>11.479941298684473</v>
      </c>
    </row>
    <row r="363" spans="5:49">
      <c r="E363">
        <f t="shared" si="228"/>
        <v>360</v>
      </c>
      <c r="F363" s="64">
        <f t="shared" si="212"/>
        <v>83.72</v>
      </c>
      <c r="G363" s="55">
        <f t="shared" si="200"/>
        <v>0</v>
      </c>
      <c r="H363" s="78">
        <f t="shared" si="227"/>
        <v>1</v>
      </c>
      <c r="I363" s="79">
        <f t="shared" si="213"/>
        <v>341084.04592605884</v>
      </c>
      <c r="J363" s="79">
        <f t="shared" si="201"/>
        <v>2326.7025565201816</v>
      </c>
      <c r="K363" s="80">
        <f t="shared" si="202"/>
        <v>-15</v>
      </c>
      <c r="L363" s="80">
        <f t="shared" si="214"/>
        <v>-284.23670493838239</v>
      </c>
      <c r="M363" s="80">
        <f t="shared" si="229"/>
        <v>0</v>
      </c>
      <c r="N363" s="80">
        <f t="shared" si="215"/>
        <v>-324.02984362975593</v>
      </c>
      <c r="O363" s="81">
        <f t="shared" si="203"/>
        <v>-2500.6101455486769</v>
      </c>
      <c r="P363" s="79">
        <f t="shared" si="204"/>
        <v>340286.87178846222</v>
      </c>
      <c r="Q363" s="35"/>
      <c r="R363">
        <f t="shared" ca="1" si="216"/>
        <v>485</v>
      </c>
      <c r="S363" s="78">
        <f t="shared" ca="1" si="217"/>
        <v>93.72</v>
      </c>
      <c r="T363" s="55">
        <f t="shared" ca="1" si="205"/>
        <v>3.0908757876424664E-2</v>
      </c>
      <c r="U363" s="78">
        <f t="shared" ca="1" si="222"/>
        <v>2.0374488927407872E-2</v>
      </c>
      <c r="V363" s="79">
        <f t="shared" ca="1" si="218"/>
        <v>3442.8637452110311</v>
      </c>
      <c r="W363" s="79">
        <f t="shared" ca="1" si="206"/>
        <v>23.485472197869072</v>
      </c>
      <c r="X363" s="80">
        <f t="shared" ca="1" si="223"/>
        <v>-0.30561733391111806</v>
      </c>
      <c r="Y363" s="80">
        <f t="shared" ca="1" si="224"/>
        <v>-2.869053121009193</v>
      </c>
      <c r="Z363" s="80">
        <f t="shared" ca="1" si="219"/>
        <v>0</v>
      </c>
      <c r="AA363" s="80">
        <f t="shared" ca="1" si="225"/>
        <v>-3.2707205579504799</v>
      </c>
      <c r="AB363" s="81">
        <f t="shared" ca="1" si="207"/>
        <v>-50.948653722245304</v>
      </c>
      <c r="AC363" s="79">
        <f t="shared" ca="1" si="208"/>
        <v>3408.9551726737845</v>
      </c>
      <c r="AD363" s="35"/>
      <c r="AE363" s="62">
        <f t="shared" ca="1" si="209"/>
        <v>-2500.6101455486769</v>
      </c>
      <c r="AF363" s="62">
        <f t="shared" ca="1" si="210"/>
        <v>167314.88013365772</v>
      </c>
      <c r="AG363" s="35"/>
      <c r="AH363" s="35"/>
      <c r="AR363" s="69">
        <f t="shared" si="220"/>
        <v>30</v>
      </c>
      <c r="AS363" s="70">
        <f t="shared" si="226"/>
        <v>360</v>
      </c>
      <c r="AT363" s="71">
        <f t="shared" si="230"/>
        <v>8.5080977684097531E-2</v>
      </c>
      <c r="AU363" s="72">
        <f t="shared" si="211"/>
        <v>6.8214933659622723E-3</v>
      </c>
      <c r="AV363" s="73">
        <f t="shared" si="221"/>
        <v>1.0068214933659623</v>
      </c>
      <c r="AW363" s="74">
        <f>PRODUCT(AV$4:AV363)</f>
        <v>11.558251642095085</v>
      </c>
    </row>
    <row r="364" spans="5:49">
      <c r="E364">
        <f t="shared" si="228"/>
        <v>361</v>
      </c>
      <c r="F364" s="64">
        <f t="shared" si="212"/>
        <v>83.8</v>
      </c>
      <c r="G364" s="55">
        <f t="shared" si="200"/>
        <v>0</v>
      </c>
      <c r="H364" s="78">
        <f t="shared" si="227"/>
        <v>1</v>
      </c>
      <c r="I364" s="79">
        <f t="shared" si="213"/>
        <v>340286.87178846222</v>
      </c>
      <c r="J364" s="79">
        <f t="shared" si="201"/>
        <v>2321.2646384290492</v>
      </c>
      <c r="K364" s="80">
        <f t="shared" si="202"/>
        <v>-15</v>
      </c>
      <c r="L364" s="80">
        <f t="shared" si="214"/>
        <v>-283.57239315705186</v>
      </c>
      <c r="M364" s="80">
        <f t="shared" si="229"/>
        <v>-2552.1515384134664</v>
      </c>
      <c r="N364" s="80">
        <f t="shared" si="215"/>
        <v>-323.27252819903919</v>
      </c>
      <c r="O364" s="81">
        <f t="shared" si="203"/>
        <v>-2500.6101455486769</v>
      </c>
      <c r="P364" s="79">
        <f t="shared" si="204"/>
        <v>336933.52982157306</v>
      </c>
      <c r="Q364" s="35"/>
      <c r="R364">
        <f t="shared" ca="1" si="216"/>
        <v>486</v>
      </c>
      <c r="S364" s="78">
        <f t="shared" ca="1" si="217"/>
        <v>93.8</v>
      </c>
      <c r="T364" s="55">
        <f t="shared" ca="1" si="205"/>
        <v>3.0908757876424664E-2</v>
      </c>
      <c r="U364" s="78">
        <f t="shared" ca="1" si="222"/>
        <v>1.9744738782294727E-2</v>
      </c>
      <c r="V364" s="79">
        <f t="shared" ca="1" si="218"/>
        <v>3303.588602630025</v>
      </c>
      <c r="W364" s="79">
        <f t="shared" ca="1" si="206"/>
        <v>22.535407736709288</v>
      </c>
      <c r="X364" s="80">
        <f t="shared" ca="1" si="223"/>
        <v>-0.29617108173442092</v>
      </c>
      <c r="Y364" s="80">
        <f t="shared" ca="1" si="224"/>
        <v>-2.7529905021916878</v>
      </c>
      <c r="Z364" s="80">
        <f t="shared" ca="1" si="219"/>
        <v>0</v>
      </c>
      <c r="AA364" s="80">
        <f t="shared" ca="1" si="225"/>
        <v>-3.1384091724985246</v>
      </c>
      <c r="AB364" s="81">
        <f t="shared" ca="1" si="207"/>
        <v>-49.373894120214622</v>
      </c>
      <c r="AC364" s="79">
        <f t="shared" ca="1" si="208"/>
        <v>3270.5625454900951</v>
      </c>
      <c r="AD364" s="35"/>
      <c r="AE364" s="62">
        <f t="shared" ca="1" si="209"/>
        <v>-2500.6101455486769</v>
      </c>
      <c r="AF364" s="62">
        <f t="shared" ca="1" si="210"/>
        <v>165642.22913006254</v>
      </c>
      <c r="AG364" s="35"/>
      <c r="AH364" s="35"/>
      <c r="AR364" s="69">
        <f t="shared" si="220"/>
        <v>31</v>
      </c>
      <c r="AS364" s="70">
        <f t="shared" si="226"/>
        <v>361</v>
      </c>
      <c r="AT364" s="71">
        <f t="shared" si="230"/>
        <v>8.4500598359255871E-2</v>
      </c>
      <c r="AU364" s="72">
        <f t="shared" si="211"/>
        <v>6.8214933659622723E-3</v>
      </c>
      <c r="AV364" s="73">
        <f t="shared" si="221"/>
        <v>1.0068214933659623</v>
      </c>
      <c r="AW364" s="74">
        <f>PRODUCT(AV$4:AV364)</f>
        <v>11.63709617899376</v>
      </c>
    </row>
    <row r="365" spans="5:49">
      <c r="E365">
        <f t="shared" si="228"/>
        <v>362</v>
      </c>
      <c r="F365" s="64">
        <f t="shared" si="212"/>
        <v>83.88</v>
      </c>
      <c r="G365" s="55">
        <f t="shared" si="200"/>
        <v>0</v>
      </c>
      <c r="H365" s="78">
        <f t="shared" si="227"/>
        <v>1</v>
      </c>
      <c r="I365" s="79">
        <f t="shared" si="213"/>
        <v>336933.52982157306</v>
      </c>
      <c r="J365" s="79">
        <f t="shared" si="201"/>
        <v>2298.3898384481122</v>
      </c>
      <c r="K365" s="80">
        <f t="shared" si="202"/>
        <v>-15</v>
      </c>
      <c r="L365" s="80">
        <f t="shared" si="214"/>
        <v>-280.77794151797758</v>
      </c>
      <c r="M365" s="80">
        <f t="shared" si="229"/>
        <v>0</v>
      </c>
      <c r="N365" s="80">
        <f t="shared" si="215"/>
        <v>-320.08685333049448</v>
      </c>
      <c r="O365" s="81">
        <f t="shared" si="203"/>
        <v>-2500.6101455486769</v>
      </c>
      <c r="P365" s="79">
        <f t="shared" si="204"/>
        <v>336115.44471962401</v>
      </c>
      <c r="Q365" s="35"/>
      <c r="R365">
        <f t="shared" ca="1" si="216"/>
        <v>487</v>
      </c>
      <c r="S365" s="78">
        <f t="shared" ca="1" si="217"/>
        <v>93.88</v>
      </c>
      <c r="T365" s="55">
        <f t="shared" ca="1" si="205"/>
        <v>3.0908757876424664E-2</v>
      </c>
      <c r="U365" s="78">
        <f t="shared" ca="1" si="222"/>
        <v>1.9134453431939528E-2</v>
      </c>
      <c r="V365" s="79">
        <f t="shared" ca="1" si="218"/>
        <v>3169.4735196518386</v>
      </c>
      <c r="W365" s="79">
        <f t="shared" ca="1" si="206"/>
        <v>21.620542587898111</v>
      </c>
      <c r="X365" s="80">
        <f t="shared" ca="1" si="223"/>
        <v>-0.28701680147909292</v>
      </c>
      <c r="Y365" s="80">
        <f t="shared" ca="1" si="224"/>
        <v>-2.6412279330431989</v>
      </c>
      <c r="Z365" s="80">
        <f t="shared" ca="1" si="219"/>
        <v>0</v>
      </c>
      <c r="AA365" s="80">
        <f t="shared" ca="1" si="225"/>
        <v>-3.0109998436692469</v>
      </c>
      <c r="AB365" s="81">
        <f t="shared" ca="1" si="207"/>
        <v>-47.847808381436685</v>
      </c>
      <c r="AC365" s="79">
        <f t="shared" ca="1" si="208"/>
        <v>3137.3070092801081</v>
      </c>
      <c r="AD365" s="35"/>
      <c r="AE365" s="62">
        <f t="shared" ca="1" si="209"/>
        <v>-2500.6101455486769</v>
      </c>
      <c r="AF365" s="62">
        <f t="shared" ca="1" si="210"/>
        <v>163961.15104303247</v>
      </c>
      <c r="AG365" s="35"/>
      <c r="AH365" s="35"/>
      <c r="AR365" s="69">
        <f t="shared" si="220"/>
        <v>31</v>
      </c>
      <c r="AS365" s="70">
        <f t="shared" si="226"/>
        <v>362</v>
      </c>
      <c r="AT365" s="71">
        <f t="shared" si="230"/>
        <v>8.3924178088128368E-2</v>
      </c>
      <c r="AU365" s="72">
        <f t="shared" si="211"/>
        <v>6.8214933659622723E-3</v>
      </c>
      <c r="AV365" s="73">
        <f t="shared" si="221"/>
        <v>1.0068214933659623</v>
      </c>
      <c r="AW365" s="74">
        <f>PRODUCT(AV$4:AV365)</f>
        <v>11.716478553377831</v>
      </c>
    </row>
    <row r="366" spans="5:49">
      <c r="E366">
        <f t="shared" si="228"/>
        <v>363</v>
      </c>
      <c r="F366" s="64">
        <f t="shared" si="212"/>
        <v>83.96</v>
      </c>
      <c r="G366" s="55">
        <f t="shared" si="200"/>
        <v>0</v>
      </c>
      <c r="H366" s="78">
        <f t="shared" si="227"/>
        <v>1</v>
      </c>
      <c r="I366" s="79">
        <f t="shared" si="213"/>
        <v>336115.44471962401</v>
      </c>
      <c r="J366" s="79">
        <f t="shared" si="201"/>
        <v>2292.8092763523741</v>
      </c>
      <c r="K366" s="80">
        <f t="shared" si="202"/>
        <v>-15</v>
      </c>
      <c r="L366" s="80">
        <f t="shared" si="214"/>
        <v>-280.09620393302004</v>
      </c>
      <c r="M366" s="80">
        <f t="shared" si="229"/>
        <v>0</v>
      </c>
      <c r="N366" s="80">
        <f t="shared" si="215"/>
        <v>-319.30967248364288</v>
      </c>
      <c r="O366" s="81">
        <f t="shared" si="203"/>
        <v>-2500.6101455486769</v>
      </c>
      <c r="P366" s="79">
        <f t="shared" si="204"/>
        <v>335293.23797401105</v>
      </c>
      <c r="Q366" s="35"/>
      <c r="R366">
        <f t="shared" ca="1" si="216"/>
        <v>488</v>
      </c>
      <c r="S366" s="78">
        <f t="shared" ca="1" si="217"/>
        <v>93.96</v>
      </c>
      <c r="T366" s="55">
        <f t="shared" ca="1" si="205"/>
        <v>3.0908757876424664E-2</v>
      </c>
      <c r="U366" s="78">
        <f t="shared" ca="1" si="222"/>
        <v>1.8543031243713988E-2</v>
      </c>
      <c r="V366" s="79">
        <f t="shared" ca="1" si="218"/>
        <v>3040.3367465462593</v>
      </c>
      <c r="W366" s="79">
        <f t="shared" ca="1" si="206"/>
        <v>20.739636946856628</v>
      </c>
      <c r="X366" s="80">
        <f t="shared" ca="1" si="223"/>
        <v>-0.27814546865570983</v>
      </c>
      <c r="Y366" s="80">
        <f t="shared" ca="1" si="224"/>
        <v>-2.5336139554552162</v>
      </c>
      <c r="Z366" s="80">
        <f t="shared" ca="1" si="219"/>
        <v>0</v>
      </c>
      <c r="AA366" s="80">
        <f t="shared" ca="1" si="225"/>
        <v>-2.8883199092189469</v>
      </c>
      <c r="AB366" s="81">
        <f t="shared" ca="1" si="207"/>
        <v>-46.368892057257305</v>
      </c>
      <c r="AC366" s="79">
        <f t="shared" ca="1" si="208"/>
        <v>3009.0074121025291</v>
      </c>
      <c r="AD366" s="35"/>
      <c r="AE366" s="62">
        <f t="shared" ca="1" si="209"/>
        <v>-2500.6101455486773</v>
      </c>
      <c r="AF366" s="62">
        <f t="shared" ca="1" si="210"/>
        <v>162271.60341557264</v>
      </c>
      <c r="AG366" s="35"/>
      <c r="AH366" s="35"/>
      <c r="AR366" s="69">
        <f t="shared" si="220"/>
        <v>31</v>
      </c>
      <c r="AS366" s="70">
        <f t="shared" si="226"/>
        <v>363</v>
      </c>
      <c r="AT366" s="71">
        <f t="shared" si="230"/>
        <v>8.3351689864056361E-2</v>
      </c>
      <c r="AU366" s="72">
        <f t="shared" si="211"/>
        <v>6.8214933659622723E-3</v>
      </c>
      <c r="AV366" s="73">
        <f t="shared" si="221"/>
        <v>1.0068214933659623</v>
      </c>
      <c r="AW366" s="74">
        <f>PRODUCT(AV$4:AV366)</f>
        <v>11.796402434102138</v>
      </c>
    </row>
    <row r="367" spans="5:49">
      <c r="E367">
        <f t="shared" si="228"/>
        <v>364</v>
      </c>
      <c r="F367" s="64">
        <f t="shared" si="212"/>
        <v>84.04</v>
      </c>
      <c r="G367" s="55">
        <f t="shared" si="200"/>
        <v>0</v>
      </c>
      <c r="H367" s="78">
        <f t="shared" si="227"/>
        <v>1</v>
      </c>
      <c r="I367" s="79">
        <f t="shared" si="213"/>
        <v>335293.23797401105</v>
      </c>
      <c r="J367" s="79">
        <f t="shared" si="201"/>
        <v>2287.2005984917259</v>
      </c>
      <c r="K367" s="80">
        <f t="shared" si="202"/>
        <v>-15</v>
      </c>
      <c r="L367" s="80">
        <f t="shared" si="214"/>
        <v>-279.41103164500925</v>
      </c>
      <c r="M367" s="80">
        <f t="shared" si="229"/>
        <v>0</v>
      </c>
      <c r="N367" s="80">
        <f t="shared" si="215"/>
        <v>-318.52857607531058</v>
      </c>
      <c r="O367" s="81">
        <f t="shared" si="203"/>
        <v>-2500.6101455486769</v>
      </c>
      <c r="P367" s="79">
        <f t="shared" si="204"/>
        <v>334466.88881923375</v>
      </c>
      <c r="Q367" s="35"/>
      <c r="R367">
        <f t="shared" ca="1" si="216"/>
        <v>489</v>
      </c>
      <c r="S367" s="78">
        <f t="shared" ca="1" si="217"/>
        <v>94.04</v>
      </c>
      <c r="T367" s="55">
        <f t="shared" ca="1" si="205"/>
        <v>3.0908757876424664E-2</v>
      </c>
      <c r="U367" s="78">
        <f t="shared" ca="1" si="222"/>
        <v>1.7969889180707056E-2</v>
      </c>
      <c r="V367" s="79">
        <f t="shared" ca="1" si="218"/>
        <v>2916.002730553485</v>
      </c>
      <c r="W367" s="79">
        <f t="shared" ca="1" si="206"/>
        <v>19.891493281598468</v>
      </c>
      <c r="X367" s="80">
        <f t="shared" ca="1" si="223"/>
        <v>-0.26954833771060582</v>
      </c>
      <c r="Y367" s="80">
        <f t="shared" ca="1" si="224"/>
        <v>-2.4300022754612378</v>
      </c>
      <c r="Z367" s="80">
        <f t="shared" ca="1" si="219"/>
        <v>0</v>
      </c>
      <c r="AA367" s="80">
        <f t="shared" ca="1" si="225"/>
        <v>-2.770202594025811</v>
      </c>
      <c r="AB367" s="81">
        <f t="shared" ca="1" si="207"/>
        <v>-44.935687199661466</v>
      </c>
      <c r="AC367" s="79">
        <f t="shared" ca="1" si="208"/>
        <v>2885.488783428224</v>
      </c>
      <c r="AD367" s="35"/>
      <c r="AE367" s="62">
        <f t="shared" ca="1" si="209"/>
        <v>-2500.6101455486769</v>
      </c>
      <c r="AF367" s="62">
        <f t="shared" ca="1" si="210"/>
        <v>160573.54357678289</v>
      </c>
      <c r="AG367" s="35"/>
      <c r="AH367" s="35"/>
      <c r="AR367" s="69">
        <f t="shared" si="220"/>
        <v>31</v>
      </c>
      <c r="AS367" s="70">
        <f t="shared" si="226"/>
        <v>364</v>
      </c>
      <c r="AT367" s="71">
        <f t="shared" si="230"/>
        <v>8.2783106864606951E-2</v>
      </c>
      <c r="AU367" s="72">
        <f t="shared" si="211"/>
        <v>6.8214933659622723E-3</v>
      </c>
      <c r="AV367" s="73">
        <f t="shared" si="221"/>
        <v>1.0068214933659623</v>
      </c>
      <c r="AW367" s="74">
        <f>PRODUCT(AV$4:AV367)</f>
        <v>11.876871515048586</v>
      </c>
    </row>
    <row r="368" spans="5:49">
      <c r="E368">
        <f t="shared" si="228"/>
        <v>365</v>
      </c>
      <c r="F368" s="64">
        <f t="shared" si="212"/>
        <v>84.12</v>
      </c>
      <c r="G368" s="55">
        <f t="shared" si="200"/>
        <v>0</v>
      </c>
      <c r="H368" s="78">
        <f t="shared" si="227"/>
        <v>1</v>
      </c>
      <c r="I368" s="79">
        <f t="shared" si="213"/>
        <v>334466.88881923375</v>
      </c>
      <c r="J368" s="79">
        <f t="shared" si="201"/>
        <v>2281.5636632144437</v>
      </c>
      <c r="K368" s="80">
        <f t="shared" si="202"/>
        <v>-15</v>
      </c>
      <c r="L368" s="80">
        <f t="shared" si="214"/>
        <v>-278.72240734936145</v>
      </c>
      <c r="M368" s="80">
        <f t="shared" si="229"/>
        <v>0</v>
      </c>
      <c r="N368" s="80">
        <f t="shared" si="215"/>
        <v>-317.74354437827213</v>
      </c>
      <c r="O368" s="81">
        <f t="shared" si="203"/>
        <v>-2500.6101455486769</v>
      </c>
      <c r="P368" s="79">
        <f t="shared" si="204"/>
        <v>333636.3763851719</v>
      </c>
      <c r="Q368" s="35"/>
      <c r="R368">
        <f t="shared" ca="1" si="216"/>
        <v>490</v>
      </c>
      <c r="S368" s="78">
        <f t="shared" ca="1" si="217"/>
        <v>94.12</v>
      </c>
      <c r="T368" s="55">
        <f t="shared" ca="1" si="205"/>
        <v>3.0908757876424664E-2</v>
      </c>
      <c r="U368" s="78">
        <f t="shared" ca="1" si="222"/>
        <v>1.7414462226954398E-2</v>
      </c>
      <c r="V368" s="79">
        <f t="shared" ca="1" si="218"/>
        <v>2796.301909266102</v>
      </c>
      <c r="W368" s="79">
        <f t="shared" ca="1" si="206"/>
        <v>19.074954923286352</v>
      </c>
      <c r="X368" s="80">
        <f t="shared" ca="1" si="223"/>
        <v>-0.26121693340431595</v>
      </c>
      <c r="Y368" s="80">
        <f t="shared" ca="1" si="224"/>
        <v>-2.3302515910550854</v>
      </c>
      <c r="Z368" s="80">
        <f t="shared" ca="1" si="219"/>
        <v>0</v>
      </c>
      <c r="AA368" s="80">
        <f t="shared" ca="1" si="225"/>
        <v>-2.6564868138027973</v>
      </c>
      <c r="AB368" s="81">
        <f t="shared" ca="1" si="207"/>
        <v>-43.546780923996373</v>
      </c>
      <c r="AC368" s="79">
        <f t="shared" ca="1" si="208"/>
        <v>2766.5821279271299</v>
      </c>
      <c r="AD368" s="35"/>
      <c r="AE368" s="62">
        <f t="shared" ca="1" si="209"/>
        <v>-2500.6101455486769</v>
      </c>
      <c r="AF368" s="62">
        <f t="shared" ca="1" si="210"/>
        <v>158866.92864078039</v>
      </c>
      <c r="AG368" s="35"/>
      <c r="AH368" s="35"/>
      <c r="AR368" s="69">
        <f t="shared" si="220"/>
        <v>31</v>
      </c>
      <c r="AS368" s="70">
        <f t="shared" si="226"/>
        <v>365</v>
      </c>
      <c r="AT368" s="71">
        <f t="shared" si="230"/>
        <v>8.2218402450316294E-2</v>
      </c>
      <c r="AU368" s="72">
        <f t="shared" si="211"/>
        <v>6.8214933659622723E-3</v>
      </c>
      <c r="AV368" s="73">
        <f t="shared" si="221"/>
        <v>1.0068214933659623</v>
      </c>
      <c r="AW368" s="74">
        <f>PRODUCT(AV$4:AV368)</f>
        <v>11.957889515296877</v>
      </c>
    </row>
    <row r="369" spans="5:49">
      <c r="E369">
        <f t="shared" si="228"/>
        <v>366</v>
      </c>
      <c r="F369" s="64">
        <f t="shared" si="212"/>
        <v>84.2</v>
      </c>
      <c r="G369" s="55">
        <f t="shared" si="200"/>
        <v>0</v>
      </c>
      <c r="H369" s="78">
        <f t="shared" si="227"/>
        <v>1</v>
      </c>
      <c r="I369" s="79">
        <f t="shared" si="213"/>
        <v>333636.3763851719</v>
      </c>
      <c r="J369" s="79">
        <f t="shared" si="201"/>
        <v>2275.8983281551418</v>
      </c>
      <c r="K369" s="80">
        <f t="shared" si="202"/>
        <v>-15</v>
      </c>
      <c r="L369" s="80">
        <f t="shared" si="214"/>
        <v>-278.03031365430991</v>
      </c>
      <c r="M369" s="80">
        <f t="shared" si="229"/>
        <v>0</v>
      </c>
      <c r="N369" s="80">
        <f t="shared" si="215"/>
        <v>-316.95455756591338</v>
      </c>
      <c r="O369" s="81">
        <f t="shared" si="203"/>
        <v>-2500.6101455486769</v>
      </c>
      <c r="P369" s="79">
        <f t="shared" si="204"/>
        <v>332801.67969655816</v>
      </c>
      <c r="Q369" s="35"/>
      <c r="R369">
        <f t="shared" ca="1" si="216"/>
        <v>491</v>
      </c>
      <c r="S369" s="78">
        <f t="shared" ca="1" si="217"/>
        <v>94.2</v>
      </c>
      <c r="T369" s="55">
        <f t="shared" ca="1" si="205"/>
        <v>3.0908757876424664E-2</v>
      </c>
      <c r="U369" s="78">
        <f t="shared" ca="1" si="222"/>
        <v>1.6876202830433323E-2</v>
      </c>
      <c r="V369" s="79">
        <f t="shared" ca="1" si="218"/>
        <v>2681.0705107897866</v>
      </c>
      <c r="W369" s="79">
        <f t="shared" ca="1" si="206"/>
        <v>18.288904703029608</v>
      </c>
      <c r="X369" s="80">
        <f t="shared" ca="1" si="223"/>
        <v>-0.25314304245649982</v>
      </c>
      <c r="Y369" s="80">
        <f t="shared" ca="1" si="224"/>
        <v>-2.2342254256581557</v>
      </c>
      <c r="Z369" s="80">
        <f t="shared" ca="1" si="219"/>
        <v>0</v>
      </c>
      <c r="AA369" s="80">
        <f t="shared" ca="1" si="225"/>
        <v>-2.547016985250298</v>
      </c>
      <c r="AB369" s="81">
        <f t="shared" ca="1" si="207"/>
        <v>-42.200804016118866</v>
      </c>
      <c r="AC369" s="79">
        <f t="shared" ca="1" si="208"/>
        <v>2652.1242260233321</v>
      </c>
      <c r="AD369" s="35"/>
      <c r="AE369" s="62">
        <f t="shared" ca="1" si="209"/>
        <v>-2500.6101455486769</v>
      </c>
      <c r="AF369" s="62">
        <f t="shared" ca="1" si="210"/>
        <v>157151.71550561619</v>
      </c>
      <c r="AG369" s="35"/>
      <c r="AH369" s="35"/>
      <c r="AR369" s="69">
        <f t="shared" si="220"/>
        <v>31</v>
      </c>
      <c r="AS369" s="70">
        <f t="shared" si="226"/>
        <v>366</v>
      </c>
      <c r="AT369" s="71">
        <f t="shared" si="230"/>
        <v>8.165755016344145E-2</v>
      </c>
      <c r="AU369" s="72">
        <f t="shared" si="211"/>
        <v>6.8214933659622723E-3</v>
      </c>
      <c r="AV369" s="73">
        <f t="shared" si="221"/>
        <v>1.0068214933659623</v>
      </c>
      <c r="AW369" s="74">
        <f>PRODUCT(AV$4:AV369)</f>
        <v>12.039460179296384</v>
      </c>
    </row>
    <row r="370" spans="5:49">
      <c r="E370">
        <f t="shared" si="228"/>
        <v>367</v>
      </c>
      <c r="F370" s="64">
        <f t="shared" si="212"/>
        <v>84.28</v>
      </c>
      <c r="G370" s="55">
        <f t="shared" si="200"/>
        <v>0</v>
      </c>
      <c r="H370" s="78">
        <f t="shared" si="227"/>
        <v>1</v>
      </c>
      <c r="I370" s="79">
        <f t="shared" si="213"/>
        <v>332801.67969655816</v>
      </c>
      <c r="J370" s="79">
        <f t="shared" si="201"/>
        <v>2270.2044502311724</v>
      </c>
      <c r="K370" s="80">
        <f t="shared" si="202"/>
        <v>-15</v>
      </c>
      <c r="L370" s="80">
        <f t="shared" si="214"/>
        <v>-277.33473308046513</v>
      </c>
      <c r="M370" s="80">
        <f t="shared" si="229"/>
        <v>0</v>
      </c>
      <c r="N370" s="80">
        <f t="shared" si="215"/>
        <v>-316.16159571173029</v>
      </c>
      <c r="O370" s="81">
        <f t="shared" si="203"/>
        <v>-2500.6101455486769</v>
      </c>
      <c r="P370" s="79">
        <f t="shared" si="204"/>
        <v>331962.77767244849</v>
      </c>
      <c r="Q370" s="35"/>
      <c r="R370">
        <f t="shared" ca="1" si="216"/>
        <v>492</v>
      </c>
      <c r="S370" s="78">
        <f t="shared" ca="1" si="217"/>
        <v>94.28</v>
      </c>
      <c r="T370" s="55">
        <f t="shared" ca="1" si="205"/>
        <v>3.0908757876424664E-2</v>
      </c>
      <c r="U370" s="78">
        <f t="shared" ca="1" si="222"/>
        <v>1.6354580363274026E-2</v>
      </c>
      <c r="V370" s="79">
        <f t="shared" ca="1" si="218"/>
        <v>2570.1503604629766</v>
      </c>
      <c r="W370" s="79">
        <f t="shared" ca="1" si="206"/>
        <v>17.532263633423739</v>
      </c>
      <c r="X370" s="80">
        <f t="shared" ca="1" si="223"/>
        <v>-0.24531870544911039</v>
      </c>
      <c r="Y370" s="80">
        <f t="shared" ca="1" si="224"/>
        <v>-2.1417919670524808</v>
      </c>
      <c r="Z370" s="80">
        <f t="shared" ca="1" si="219"/>
        <v>0</v>
      </c>
      <c r="AA370" s="80">
        <f t="shared" ca="1" si="225"/>
        <v>-2.4416428424398284</v>
      </c>
      <c r="AB370" s="81">
        <f t="shared" ca="1" si="207"/>
        <v>-40.896429582594195</v>
      </c>
      <c r="AC370" s="79">
        <f t="shared" ca="1" si="208"/>
        <v>2541.9574409988645</v>
      </c>
      <c r="AD370" s="35"/>
      <c r="AE370" s="62">
        <f t="shared" ca="1" si="209"/>
        <v>-2500.6101455486769</v>
      </c>
      <c r="AF370" s="62">
        <f t="shared" ca="1" si="210"/>
        <v>155427.86085218695</v>
      </c>
      <c r="AG370" s="35"/>
      <c r="AH370" s="35"/>
      <c r="AR370" s="69">
        <f t="shared" si="220"/>
        <v>31</v>
      </c>
      <c r="AS370" s="70">
        <f t="shared" si="226"/>
        <v>367</v>
      </c>
      <c r="AT370" s="71">
        <f t="shared" si="230"/>
        <v>8.1100523726720802E-2</v>
      </c>
      <c r="AU370" s="72">
        <f t="shared" si="211"/>
        <v>6.8214933659622723E-3</v>
      </c>
      <c r="AV370" s="73">
        <f t="shared" si="221"/>
        <v>1.0068214933659623</v>
      </c>
      <c r="AW370" s="74">
        <f>PRODUCT(AV$4:AV370)</f>
        <v>12.121587277039222</v>
      </c>
    </row>
    <row r="371" spans="5:49">
      <c r="E371">
        <f t="shared" si="228"/>
        <v>368</v>
      </c>
      <c r="F371" s="64">
        <f t="shared" si="212"/>
        <v>84.36</v>
      </c>
      <c r="G371" s="55">
        <f t="shared" si="200"/>
        <v>0</v>
      </c>
      <c r="H371" s="78">
        <f t="shared" si="227"/>
        <v>1</v>
      </c>
      <c r="I371" s="79">
        <f t="shared" si="213"/>
        <v>331962.77767244849</v>
      </c>
      <c r="J371" s="79">
        <f t="shared" si="201"/>
        <v>2264.4818856390161</v>
      </c>
      <c r="K371" s="80">
        <f t="shared" si="202"/>
        <v>-15</v>
      </c>
      <c r="L371" s="80">
        <f t="shared" si="214"/>
        <v>-276.63564806037374</v>
      </c>
      <c r="M371" s="80">
        <f t="shared" si="229"/>
        <v>0</v>
      </c>
      <c r="N371" s="80">
        <f t="shared" si="215"/>
        <v>-315.36463878882608</v>
      </c>
      <c r="O371" s="81">
        <f t="shared" si="203"/>
        <v>-2500.6101455486769</v>
      </c>
      <c r="P371" s="79">
        <f t="shared" si="204"/>
        <v>331119.6491256897</v>
      </c>
      <c r="Q371" s="35"/>
      <c r="R371">
        <f t="shared" ca="1" si="216"/>
        <v>493</v>
      </c>
      <c r="S371" s="78">
        <f t="shared" ca="1" si="217"/>
        <v>94.36</v>
      </c>
      <c r="T371" s="55">
        <f t="shared" ca="1" si="205"/>
        <v>3.0908757876424664E-2</v>
      </c>
      <c r="U371" s="78">
        <f t="shared" ca="1" si="222"/>
        <v>1.5849080598655061E-2</v>
      </c>
      <c r="V371" s="79">
        <f t="shared" ca="1" si="218"/>
        <v>2463.3886939228546</v>
      </c>
      <c r="W371" s="79">
        <f t="shared" ca="1" si="206"/>
        <v>16.803989633381221</v>
      </c>
      <c r="X371" s="80">
        <f t="shared" ca="1" si="223"/>
        <v>-0.23773620897982592</v>
      </c>
      <c r="Y371" s="80">
        <f t="shared" ca="1" si="224"/>
        <v>-2.052823911602379</v>
      </c>
      <c r="Z371" s="80">
        <f t="shared" ca="1" si="219"/>
        <v>-18.475415204421409</v>
      </c>
      <c r="AA371" s="80">
        <f t="shared" ca="1" si="225"/>
        <v>-2.3402192592267124</v>
      </c>
      <c r="AB371" s="81">
        <f t="shared" ca="1" si="207"/>
        <v>-39.63237174261554</v>
      </c>
      <c r="AC371" s="79">
        <f t="shared" ca="1" si="208"/>
        <v>2417.4541172293898</v>
      </c>
      <c r="AD371" s="35"/>
      <c r="AE371" s="62">
        <f t="shared" ca="1" si="209"/>
        <v>-2500.6101455486769</v>
      </c>
      <c r="AF371" s="62">
        <f t="shared" ca="1" si="210"/>
        <v>152529.61218674935</v>
      </c>
      <c r="AG371" s="35"/>
      <c r="AH371" s="35"/>
      <c r="AR371" s="69">
        <f t="shared" si="220"/>
        <v>31</v>
      </c>
      <c r="AS371" s="70">
        <f t="shared" si="226"/>
        <v>368</v>
      </c>
      <c r="AT371" s="71">
        <f t="shared" si="230"/>
        <v>8.0547297042142904E-2</v>
      </c>
      <c r="AU371" s="72">
        <f t="shared" si="211"/>
        <v>6.8214933659622723E-3</v>
      </c>
      <c r="AV371" s="73">
        <f t="shared" si="221"/>
        <v>1.0068214933659623</v>
      </c>
      <c r="AW371" s="74">
        <f>PRODUCT(AV$4:AV371)</f>
        <v>12.204274604234477</v>
      </c>
    </row>
    <row r="372" spans="5:49">
      <c r="E372">
        <f t="shared" si="228"/>
        <v>369</v>
      </c>
      <c r="F372" s="64">
        <f t="shared" si="212"/>
        <v>84.44</v>
      </c>
      <c r="G372" s="55">
        <f t="shared" si="200"/>
        <v>0</v>
      </c>
      <c r="H372" s="78">
        <f t="shared" si="227"/>
        <v>1</v>
      </c>
      <c r="I372" s="79">
        <f t="shared" si="213"/>
        <v>331119.6491256897</v>
      </c>
      <c r="J372" s="79">
        <f t="shared" si="201"/>
        <v>2258.7304898506477</v>
      </c>
      <c r="K372" s="80">
        <f t="shared" si="202"/>
        <v>-15</v>
      </c>
      <c r="L372" s="80">
        <f t="shared" si="214"/>
        <v>-275.93304093807478</v>
      </c>
      <c r="M372" s="80">
        <f t="shared" si="229"/>
        <v>0</v>
      </c>
      <c r="N372" s="80">
        <f t="shared" si="215"/>
        <v>-314.56366666940528</v>
      </c>
      <c r="O372" s="81">
        <f t="shared" si="203"/>
        <v>-2500.6101455486769</v>
      </c>
      <c r="P372" s="79">
        <f t="shared" si="204"/>
        <v>330272.27276238421</v>
      </c>
      <c r="Q372" s="35"/>
      <c r="R372">
        <f t="shared" ca="1" si="216"/>
        <v>494</v>
      </c>
      <c r="S372" s="78">
        <f t="shared" ca="1" si="217"/>
        <v>94.44</v>
      </c>
      <c r="T372" s="55">
        <f t="shared" ca="1" si="205"/>
        <v>3.0908757876424664E-2</v>
      </c>
      <c r="U372" s="78">
        <f t="shared" ca="1" si="222"/>
        <v>1.5359205203867292E-2</v>
      </c>
      <c r="V372" s="79">
        <f t="shared" ca="1" si="218"/>
        <v>2342.7336132425808</v>
      </c>
      <c r="W372" s="79">
        <f t="shared" ca="1" si="206"/>
        <v>15.980941800951088</v>
      </c>
      <c r="X372" s="80">
        <f t="shared" ca="1" si="223"/>
        <v>-0.23038807805800937</v>
      </c>
      <c r="Y372" s="80">
        <f t="shared" ca="1" si="224"/>
        <v>-1.952278011035484</v>
      </c>
      <c r="Z372" s="80">
        <f t="shared" ca="1" si="219"/>
        <v>0</v>
      </c>
      <c r="AA372" s="80">
        <f t="shared" ca="1" si="225"/>
        <v>-2.2255969325804519</v>
      </c>
      <c r="AB372" s="81">
        <f t="shared" ca="1" si="207"/>
        <v>-38.407384360354584</v>
      </c>
      <c r="AC372" s="79">
        <f t="shared" ca="1" si="208"/>
        <v>2315.8989076615035</v>
      </c>
      <c r="AD372" s="35"/>
      <c r="AE372" s="62">
        <f t="shared" ca="1" si="209"/>
        <v>-2500.6101455486769</v>
      </c>
      <c r="AF372" s="62">
        <f t="shared" ca="1" si="210"/>
        <v>150782.47063711236</v>
      </c>
      <c r="AG372" s="35"/>
      <c r="AH372" s="35"/>
      <c r="AR372" s="69">
        <f t="shared" si="220"/>
        <v>31</v>
      </c>
      <c r="AS372" s="70">
        <f t="shared" si="226"/>
        <v>369</v>
      </c>
      <c r="AT372" s="71">
        <f t="shared" si="230"/>
        <v>7.9997844189723735E-2</v>
      </c>
      <c r="AU372" s="72">
        <f t="shared" si="211"/>
        <v>6.8214933659622723E-3</v>
      </c>
      <c r="AV372" s="73">
        <f t="shared" si="221"/>
        <v>1.0068214933659623</v>
      </c>
      <c r="AW372" s="74">
        <f>PRODUCT(AV$4:AV372)</f>
        <v>12.287525982483645</v>
      </c>
    </row>
    <row r="373" spans="5:49">
      <c r="E373">
        <f t="shared" si="228"/>
        <v>370</v>
      </c>
      <c r="F373" s="64">
        <f t="shared" si="212"/>
        <v>84.52</v>
      </c>
      <c r="G373" s="55">
        <f t="shared" si="200"/>
        <v>0</v>
      </c>
      <c r="H373" s="78">
        <f t="shared" si="227"/>
        <v>1</v>
      </c>
      <c r="I373" s="79">
        <f t="shared" si="213"/>
        <v>330272.27276238421</v>
      </c>
      <c r="J373" s="79">
        <f t="shared" si="201"/>
        <v>2252.9501176098861</v>
      </c>
      <c r="K373" s="80">
        <f t="shared" si="202"/>
        <v>-15</v>
      </c>
      <c r="L373" s="80">
        <f t="shared" si="214"/>
        <v>-275.22689396865354</v>
      </c>
      <c r="M373" s="80">
        <f t="shared" si="229"/>
        <v>0</v>
      </c>
      <c r="N373" s="80">
        <f t="shared" si="215"/>
        <v>-313.75865912426508</v>
      </c>
      <c r="O373" s="81">
        <f t="shared" si="203"/>
        <v>-2500.6101455486769</v>
      </c>
      <c r="P373" s="79">
        <f t="shared" si="204"/>
        <v>329420.62718135252</v>
      </c>
      <c r="Q373" s="35"/>
      <c r="R373">
        <f t="shared" ca="1" si="216"/>
        <v>495</v>
      </c>
      <c r="S373" s="78">
        <f t="shared" ca="1" si="217"/>
        <v>94.52</v>
      </c>
      <c r="T373" s="55">
        <f t="shared" ca="1" si="205"/>
        <v>3.3865992701875847E-2</v>
      </c>
      <c r="U373" s="78">
        <f t="shared" ca="1" si="222"/>
        <v>1.4839050472526509E-2</v>
      </c>
      <c r="V373" s="79">
        <f t="shared" ca="1" si="218"/>
        <v>2237.4686921563566</v>
      </c>
      <c r="W373" s="79">
        <f t="shared" ca="1" si="206"/>
        <v>15.262877840092868</v>
      </c>
      <c r="X373" s="80">
        <f t="shared" ca="1" si="223"/>
        <v>-0.22258575708789763</v>
      </c>
      <c r="Y373" s="80">
        <f t="shared" ca="1" si="224"/>
        <v>-1.8645572434636306</v>
      </c>
      <c r="Z373" s="80">
        <f t="shared" ca="1" si="219"/>
        <v>0</v>
      </c>
      <c r="AA373" s="80">
        <f t="shared" ca="1" si="225"/>
        <v>-2.1255952575485391</v>
      </c>
      <c r="AB373" s="81">
        <f t="shared" ca="1" si="207"/>
        <v>-37.106680161908677</v>
      </c>
      <c r="AC373" s="79">
        <f t="shared" ca="1" si="208"/>
        <v>2211.4121515764409</v>
      </c>
      <c r="AD373" s="35"/>
      <c r="AE373" s="62">
        <f t="shared" ca="1" si="209"/>
        <v>-2500.6101455486769</v>
      </c>
      <c r="AF373" s="62">
        <f t="shared" ca="1" si="210"/>
        <v>149026.52670874866</v>
      </c>
      <c r="AG373" s="35"/>
      <c r="AH373" s="35"/>
      <c r="AR373" s="69">
        <f t="shared" si="220"/>
        <v>31</v>
      </c>
      <c r="AS373" s="70">
        <f t="shared" si="226"/>
        <v>370</v>
      </c>
      <c r="AT373" s="71">
        <f t="shared" si="230"/>
        <v>7.9452139426292256E-2</v>
      </c>
      <c r="AU373" s="72">
        <f t="shared" si="211"/>
        <v>6.8214933659622723E-3</v>
      </c>
      <c r="AV373" s="73">
        <f t="shared" si="221"/>
        <v>1.0068214933659623</v>
      </c>
      <c r="AW373" s="74">
        <f>PRODUCT(AV$4:AV373)</f>
        <v>12.371345259457247</v>
      </c>
    </row>
    <row r="374" spans="5:49">
      <c r="E374">
        <f t="shared" si="228"/>
        <v>371</v>
      </c>
      <c r="F374" s="64">
        <f t="shared" si="212"/>
        <v>84.6</v>
      </c>
      <c r="G374" s="55">
        <f t="shared" si="200"/>
        <v>0</v>
      </c>
      <c r="H374" s="78">
        <f t="shared" si="227"/>
        <v>1</v>
      </c>
      <c r="I374" s="79">
        <f t="shared" si="213"/>
        <v>329420.62718135252</v>
      </c>
      <c r="J374" s="79">
        <f t="shared" si="201"/>
        <v>2247.1406229287272</v>
      </c>
      <c r="K374" s="80">
        <f t="shared" si="202"/>
        <v>-15</v>
      </c>
      <c r="L374" s="80">
        <f t="shared" si="214"/>
        <v>-274.51718931779379</v>
      </c>
      <c r="M374" s="80">
        <f t="shared" si="229"/>
        <v>0</v>
      </c>
      <c r="N374" s="80">
        <f t="shared" si="215"/>
        <v>-312.94959582228495</v>
      </c>
      <c r="O374" s="81">
        <f t="shared" si="203"/>
        <v>-2500.6101455486769</v>
      </c>
      <c r="P374" s="79">
        <f t="shared" si="204"/>
        <v>328564.69087359251</v>
      </c>
      <c r="Q374" s="35"/>
      <c r="R374">
        <f t="shared" ca="1" si="216"/>
        <v>496</v>
      </c>
      <c r="S374" s="78">
        <f t="shared" ca="1" si="217"/>
        <v>94.6</v>
      </c>
      <c r="T374" s="55">
        <f t="shared" ca="1" si="205"/>
        <v>3.3865992701875847E-2</v>
      </c>
      <c r="U374" s="78">
        <f t="shared" ca="1" si="222"/>
        <v>1.4336511297521158E-2</v>
      </c>
      <c r="V374" s="79">
        <f t="shared" ca="1" si="218"/>
        <v>2136.5204837903134</v>
      </c>
      <c r="W374" s="79">
        <f t="shared" ca="1" si="206"/>
        <v>14.574260306418127</v>
      </c>
      <c r="X374" s="80">
        <f t="shared" ca="1" si="223"/>
        <v>-0.21504766946281736</v>
      </c>
      <c r="Y374" s="80">
        <f t="shared" ca="1" si="224"/>
        <v>-1.780433736491928</v>
      </c>
      <c r="Z374" s="80">
        <f t="shared" ca="1" si="219"/>
        <v>0</v>
      </c>
      <c r="AA374" s="80">
        <f t="shared" ca="1" si="225"/>
        <v>-2.029694459600798</v>
      </c>
      <c r="AB374" s="81">
        <f t="shared" ca="1" si="207"/>
        <v>-35.850025602354634</v>
      </c>
      <c r="AC374" s="79">
        <f t="shared" ca="1" si="208"/>
        <v>2111.2195426288217</v>
      </c>
      <c r="AD374" s="35"/>
      <c r="AE374" s="62">
        <f t="shared" ca="1" si="209"/>
        <v>-2500.6101455486769</v>
      </c>
      <c r="AF374" s="62">
        <f t="shared" ca="1" si="210"/>
        <v>147261.73605386552</v>
      </c>
      <c r="AG374" s="35"/>
      <c r="AH374" s="35"/>
      <c r="AR374" s="69">
        <f t="shared" si="220"/>
        <v>31</v>
      </c>
      <c r="AS374" s="70">
        <f t="shared" si="226"/>
        <v>371</v>
      </c>
      <c r="AT374" s="71">
        <f t="shared" si="230"/>
        <v>7.8910157184284291E-2</v>
      </c>
      <c r="AU374" s="72">
        <f t="shared" si="211"/>
        <v>6.8214933659622723E-3</v>
      </c>
      <c r="AV374" s="73">
        <f t="shared" si="221"/>
        <v>1.0068214933659623</v>
      </c>
      <c r="AW374" s="74">
        <f>PRODUCT(AV$4:AV374)</f>
        <v>12.455736309072662</v>
      </c>
    </row>
    <row r="375" spans="5:49">
      <c r="E375">
        <f t="shared" si="228"/>
        <v>372</v>
      </c>
      <c r="F375" s="64">
        <f t="shared" si="212"/>
        <v>84.68</v>
      </c>
      <c r="G375" s="55">
        <f t="shared" si="200"/>
        <v>0</v>
      </c>
      <c r="H375" s="78">
        <f t="shared" si="227"/>
        <v>1</v>
      </c>
      <c r="I375" s="79">
        <f t="shared" si="213"/>
        <v>328564.69087359251</v>
      </c>
      <c r="J375" s="79">
        <f t="shared" si="201"/>
        <v>2241.3018590836559</v>
      </c>
      <c r="K375" s="80">
        <f t="shared" si="202"/>
        <v>-15</v>
      </c>
      <c r="L375" s="80">
        <f t="shared" si="214"/>
        <v>-273.80390906132709</v>
      </c>
      <c r="M375" s="80">
        <f t="shared" si="229"/>
        <v>0</v>
      </c>
      <c r="N375" s="80">
        <f t="shared" si="215"/>
        <v>-312.13645632991296</v>
      </c>
      <c r="O375" s="81">
        <f t="shared" si="203"/>
        <v>-2500.6101455486769</v>
      </c>
      <c r="P375" s="79">
        <f t="shared" si="204"/>
        <v>327704.4422217363</v>
      </c>
      <c r="Q375" s="35"/>
      <c r="R375">
        <f t="shared" ca="1" si="216"/>
        <v>497</v>
      </c>
      <c r="S375" s="78">
        <f t="shared" ca="1" si="217"/>
        <v>94.68</v>
      </c>
      <c r="T375" s="55">
        <f t="shared" ca="1" si="205"/>
        <v>3.3865992701875847E-2</v>
      </c>
      <c r="U375" s="78">
        <f t="shared" ca="1" si="222"/>
        <v>1.3850991110548947E-2</v>
      </c>
      <c r="V375" s="79">
        <f t="shared" ca="1" si="218"/>
        <v>2039.7209970060965</v>
      </c>
      <c r="W375" s="79">
        <f t="shared" ca="1" si="206"/>
        <v>13.913943249491039</v>
      </c>
      <c r="X375" s="80">
        <f t="shared" ca="1" si="223"/>
        <v>-0.20776486665823421</v>
      </c>
      <c r="Y375" s="80">
        <f t="shared" ca="1" si="224"/>
        <v>-1.6997674975050805</v>
      </c>
      <c r="Z375" s="80">
        <f t="shared" ca="1" si="219"/>
        <v>0</v>
      </c>
      <c r="AA375" s="80">
        <f t="shared" ca="1" si="225"/>
        <v>-1.9377349471557919</v>
      </c>
      <c r="AB375" s="81">
        <f t="shared" ca="1" si="207"/>
        <v>-34.635928896943234</v>
      </c>
      <c r="AC375" s="79">
        <f t="shared" ca="1" si="208"/>
        <v>2015.1537440473255</v>
      </c>
      <c r="AD375" s="35"/>
      <c r="AE375" s="62">
        <f t="shared" ca="1" si="209"/>
        <v>-2500.6101455486769</v>
      </c>
      <c r="AF375" s="62">
        <f t="shared" ca="1" si="210"/>
        <v>145488.05410123899</v>
      </c>
      <c r="AG375" s="136">
        <f ca="1">(OFFSET($AC$4,MATCH(100,S4:S784,1),0)/OFFSET($U$4,MATCH(100,S4:S784,1),0))</f>
        <v>-7.0176075381356378E-9</v>
      </c>
      <c r="AH375" s="35"/>
      <c r="AR375" s="69">
        <f t="shared" si="220"/>
        <v>31</v>
      </c>
      <c r="AS375" s="70">
        <f t="shared" si="226"/>
        <v>372</v>
      </c>
      <c r="AT375" s="71">
        <f t="shared" si="230"/>
        <v>7.8371872070544649E-2</v>
      </c>
      <c r="AU375" s="72">
        <f t="shared" si="211"/>
        <v>6.8214933659622723E-3</v>
      </c>
      <c r="AV375" s="73">
        <f t="shared" si="221"/>
        <v>1.0068214933659623</v>
      </c>
      <c r="AW375" s="74">
        <f>PRODUCT(AV$4:AV375)</f>
        <v>12.540703031673177</v>
      </c>
    </row>
    <row r="376" spans="5:49">
      <c r="E376">
        <f t="shared" si="228"/>
        <v>373</v>
      </c>
      <c r="F376" s="64">
        <f t="shared" si="212"/>
        <v>84.76</v>
      </c>
      <c r="G376" s="55">
        <f t="shared" si="200"/>
        <v>0</v>
      </c>
      <c r="H376" s="78">
        <f t="shared" si="227"/>
        <v>1</v>
      </c>
      <c r="I376" s="79">
        <f t="shared" si="213"/>
        <v>327704.4422217363</v>
      </c>
      <c r="J376" s="79">
        <f t="shared" si="201"/>
        <v>2235.4336786119411</v>
      </c>
      <c r="K376" s="80">
        <f t="shared" si="202"/>
        <v>-15</v>
      </c>
      <c r="L376" s="80">
        <f t="shared" si="214"/>
        <v>-273.08703518478029</v>
      </c>
      <c r="M376" s="80">
        <f t="shared" si="229"/>
        <v>-2457.7833166630221</v>
      </c>
      <c r="N376" s="80">
        <f t="shared" si="215"/>
        <v>-311.31922011064955</v>
      </c>
      <c r="O376" s="81">
        <f t="shared" si="203"/>
        <v>-2500.6101455486769</v>
      </c>
      <c r="P376" s="79">
        <f t="shared" si="204"/>
        <v>324382.07618284115</v>
      </c>
      <c r="Q376" s="35"/>
      <c r="R376">
        <f t="shared" ca="1" si="216"/>
        <v>498</v>
      </c>
      <c r="S376" s="78">
        <f t="shared" ca="1" si="217"/>
        <v>94.76</v>
      </c>
      <c r="T376" s="55">
        <f t="shared" ca="1" si="205"/>
        <v>3.3865992701875847E-2</v>
      </c>
      <c r="U376" s="78">
        <f t="shared" ca="1" si="222"/>
        <v>1.3381913546685349E-2</v>
      </c>
      <c r="V376" s="79">
        <f t="shared" ca="1" si="218"/>
        <v>1946.9085620582609</v>
      </c>
      <c r="W376" s="79">
        <f t="shared" ca="1" si="206"/>
        <v>13.280823840215573</v>
      </c>
      <c r="X376" s="80">
        <f t="shared" ca="1" si="223"/>
        <v>-0.20072870320028022</v>
      </c>
      <c r="Y376" s="80">
        <f t="shared" ca="1" si="224"/>
        <v>-1.6224238017152175</v>
      </c>
      <c r="Z376" s="80">
        <f t="shared" ca="1" si="219"/>
        <v>0</v>
      </c>
      <c r="AA376" s="80">
        <f t="shared" ca="1" si="225"/>
        <v>-1.8495631339553482</v>
      </c>
      <c r="AB376" s="81">
        <f t="shared" ca="1" si="207"/>
        <v>-33.46294878169666</v>
      </c>
      <c r="AC376" s="79">
        <f t="shared" ca="1" si="208"/>
        <v>1923.053721477909</v>
      </c>
      <c r="AD376" s="35"/>
      <c r="AE376" s="62">
        <f t="shared" ca="1" si="209"/>
        <v>-2500.6101455486769</v>
      </c>
      <c r="AF376" s="62">
        <f t="shared" ca="1" si="210"/>
        <v>143705.43605508812</v>
      </c>
      <c r="AG376" s="62"/>
      <c r="AH376" s="35"/>
      <c r="AR376" s="69">
        <f t="shared" si="220"/>
        <v>32</v>
      </c>
      <c r="AS376" s="70">
        <f t="shared" si="226"/>
        <v>373</v>
      </c>
      <c r="AT376" s="71">
        <f t="shared" si="230"/>
        <v>7.7837258865137385E-2</v>
      </c>
      <c r="AU376" s="72">
        <f t="shared" si="211"/>
        <v>6.8214933659622723E-3</v>
      </c>
      <c r="AV376" s="73">
        <f t="shared" si="221"/>
        <v>1.0068214933659623</v>
      </c>
      <c r="AW376" s="74">
        <f>PRODUCT(AV$4:AV376)</f>
        <v>12.626249354208237</v>
      </c>
    </row>
    <row r="377" spans="5:49">
      <c r="E377">
        <f t="shared" si="228"/>
        <v>374</v>
      </c>
      <c r="F377" s="64">
        <f t="shared" si="212"/>
        <v>84.84</v>
      </c>
      <c r="G377" s="55">
        <f t="shared" si="200"/>
        <v>0</v>
      </c>
      <c r="H377" s="78">
        <f t="shared" si="227"/>
        <v>1</v>
      </c>
      <c r="I377" s="79">
        <f t="shared" si="213"/>
        <v>324382.07618284115</v>
      </c>
      <c r="J377" s="79">
        <f t="shared" si="201"/>
        <v>2212.7701807183194</v>
      </c>
      <c r="K377" s="80">
        <f t="shared" si="202"/>
        <v>-15</v>
      </c>
      <c r="L377" s="80">
        <f t="shared" si="214"/>
        <v>-270.31839681903432</v>
      </c>
      <c r="M377" s="80">
        <f t="shared" si="229"/>
        <v>0</v>
      </c>
      <c r="N377" s="80">
        <f t="shared" si="215"/>
        <v>-308.16297237369912</v>
      </c>
      <c r="O377" s="81">
        <f t="shared" si="203"/>
        <v>-2500.6101455486769</v>
      </c>
      <c r="P377" s="79">
        <f t="shared" si="204"/>
        <v>323500.75484881806</v>
      </c>
      <c r="Q377" s="35"/>
      <c r="R377">
        <f t="shared" ca="1" si="216"/>
        <v>499</v>
      </c>
      <c r="S377" s="78">
        <f t="shared" ca="1" si="217"/>
        <v>94.84</v>
      </c>
      <c r="T377" s="55">
        <f t="shared" ca="1" si="205"/>
        <v>3.3865992701875847E-2</v>
      </c>
      <c r="U377" s="78">
        <f t="shared" ca="1" si="222"/>
        <v>1.2928721760176169E-2</v>
      </c>
      <c r="V377" s="79">
        <f t="shared" ca="1" si="218"/>
        <v>1857.9275981810229</v>
      </c>
      <c r="W377" s="79">
        <f t="shared" ca="1" si="206"/>
        <v>12.673840785430066</v>
      </c>
      <c r="X377" s="80">
        <f t="shared" ca="1" si="223"/>
        <v>-0.19393082640264253</v>
      </c>
      <c r="Y377" s="80">
        <f t="shared" ca="1" si="224"/>
        <v>-1.5482729984841859</v>
      </c>
      <c r="Z377" s="80">
        <f t="shared" ca="1" si="219"/>
        <v>0</v>
      </c>
      <c r="AA377" s="80">
        <f t="shared" ca="1" si="225"/>
        <v>-1.7650312182719718</v>
      </c>
      <c r="AB377" s="81">
        <f t="shared" ca="1" si="207"/>
        <v>-32.329692802472472</v>
      </c>
      <c r="AC377" s="79">
        <f t="shared" ca="1" si="208"/>
        <v>1834.7645111208215</v>
      </c>
      <c r="AD377" s="35"/>
      <c r="AE377" s="62">
        <f t="shared" ca="1" si="209"/>
        <v>-2500.6101455486764</v>
      </c>
      <c r="AF377" s="62">
        <f t="shared" ca="1" si="210"/>
        <v>141913.83689394369</v>
      </c>
      <c r="AG377" s="62"/>
      <c r="AH377" s="35"/>
      <c r="AR377" s="69">
        <f t="shared" si="220"/>
        <v>32</v>
      </c>
      <c r="AS377" s="70">
        <f t="shared" si="226"/>
        <v>374</v>
      </c>
      <c r="AT377" s="71">
        <f t="shared" si="230"/>
        <v>7.730629252016416E-2</v>
      </c>
      <c r="AU377" s="72">
        <f t="shared" si="211"/>
        <v>6.8214933659622723E-3</v>
      </c>
      <c r="AV377" s="73">
        <f t="shared" si="221"/>
        <v>1.0068214933659623</v>
      </c>
      <c r="AW377" s="74">
        <f>PRODUCT(AV$4:AV377)</f>
        <v>12.712379230414955</v>
      </c>
    </row>
    <row r="378" spans="5:49">
      <c r="E378">
        <f t="shared" si="228"/>
        <v>375</v>
      </c>
      <c r="F378" s="64">
        <f t="shared" si="212"/>
        <v>84.92</v>
      </c>
      <c r="G378" s="55">
        <f t="shared" si="200"/>
        <v>0</v>
      </c>
      <c r="H378" s="78">
        <f t="shared" si="227"/>
        <v>1</v>
      </c>
      <c r="I378" s="79">
        <f t="shared" si="213"/>
        <v>323500.75484881806</v>
      </c>
      <c r="J378" s="79">
        <f t="shared" si="201"/>
        <v>2206.758253085</v>
      </c>
      <c r="K378" s="80">
        <f t="shared" si="202"/>
        <v>-15</v>
      </c>
      <c r="L378" s="80">
        <f t="shared" si="214"/>
        <v>-269.58396237401507</v>
      </c>
      <c r="M378" s="80">
        <f t="shared" si="229"/>
        <v>0</v>
      </c>
      <c r="N378" s="80">
        <f t="shared" si="215"/>
        <v>-307.32571710637723</v>
      </c>
      <c r="O378" s="81">
        <f t="shared" si="203"/>
        <v>-2500.6101455486769</v>
      </c>
      <c r="P378" s="79">
        <f t="shared" si="204"/>
        <v>322614.99327687401</v>
      </c>
      <c r="Q378" s="35"/>
      <c r="R378">
        <f t="shared" ca="1" si="216"/>
        <v>500</v>
      </c>
      <c r="S378" s="78">
        <f t="shared" ca="1" si="217"/>
        <v>94.92</v>
      </c>
      <c r="T378" s="55">
        <f t="shared" ca="1" si="205"/>
        <v>3.3865992701875847E-2</v>
      </c>
      <c r="U378" s="78">
        <f t="shared" ca="1" si="222"/>
        <v>1.2490877763401459E-2</v>
      </c>
      <c r="V378" s="79">
        <f t="shared" ca="1" si="218"/>
        <v>1772.628389577543</v>
      </c>
      <c r="W378" s="79">
        <f t="shared" ca="1" si="206"/>
        <v>12.091972799819596</v>
      </c>
      <c r="X378" s="80">
        <f t="shared" ca="1" si="223"/>
        <v>-0.18736316645102188</v>
      </c>
      <c r="Y378" s="80">
        <f t="shared" ca="1" si="224"/>
        <v>-1.4771903246479525</v>
      </c>
      <c r="Z378" s="80">
        <f t="shared" ca="1" si="219"/>
        <v>0</v>
      </c>
      <c r="AA378" s="80">
        <f t="shared" ca="1" si="225"/>
        <v>-1.6839969700986661</v>
      </c>
      <c r="AB378" s="81">
        <f t="shared" ca="1" si="207"/>
        <v>-31.234815661970057</v>
      </c>
      <c r="AC378" s="79">
        <f t="shared" ca="1" si="208"/>
        <v>1750.1369962541949</v>
      </c>
      <c r="AD378" s="35"/>
      <c r="AE378" s="62">
        <f t="shared" ca="1" si="209"/>
        <v>-2500.6101455486769</v>
      </c>
      <c r="AF378" s="62">
        <f t="shared" ca="1" si="210"/>
        <v>140113.21136951112</v>
      </c>
      <c r="AG378" s="62">
        <f ca="1">AF378*10000</f>
        <v>1401132113.6951113</v>
      </c>
      <c r="AH378" s="35"/>
      <c r="AR378" s="69">
        <f t="shared" si="220"/>
        <v>32</v>
      </c>
      <c r="AS378" s="70">
        <f t="shared" si="226"/>
        <v>375</v>
      </c>
      <c r="AT378" s="71">
        <f t="shared" si="230"/>
        <v>7.6778948158590724E-2</v>
      </c>
      <c r="AU378" s="72">
        <f t="shared" si="211"/>
        <v>6.8214933659622723E-3</v>
      </c>
      <c r="AV378" s="73">
        <f t="shared" si="221"/>
        <v>1.0068214933659623</v>
      </c>
      <c r="AW378" s="74">
        <f>PRODUCT(AV$4:AV378)</f>
        <v>12.799096641000828</v>
      </c>
    </row>
    <row r="379" spans="5:49">
      <c r="E379">
        <f t="shared" si="228"/>
        <v>376</v>
      </c>
      <c r="F379" s="64">
        <f t="shared" si="212"/>
        <v>85</v>
      </c>
      <c r="G379" s="55">
        <f t="shared" si="200"/>
        <v>0</v>
      </c>
      <c r="H379" s="78">
        <f t="shared" si="227"/>
        <v>1</v>
      </c>
      <c r="I379" s="79">
        <f t="shared" si="213"/>
        <v>322614.99327687401</v>
      </c>
      <c r="J379" s="79">
        <f t="shared" si="201"/>
        <v>2200.7160363981593</v>
      </c>
      <c r="K379" s="80">
        <f t="shared" si="202"/>
        <v>-15</v>
      </c>
      <c r="L379" s="80">
        <f t="shared" si="214"/>
        <v>-268.84582773072839</v>
      </c>
      <c r="M379" s="80">
        <f t="shared" si="229"/>
        <v>0</v>
      </c>
      <c r="N379" s="80">
        <f t="shared" si="215"/>
        <v>-306.4842436130304</v>
      </c>
      <c r="O379" s="81">
        <f t="shared" si="203"/>
        <v>-2500.6101455486769</v>
      </c>
      <c r="P379" s="79">
        <f t="shared" si="204"/>
        <v>321724.76909637975</v>
      </c>
      <c r="Q379" s="35"/>
      <c r="R379">
        <f t="shared" ca="1" si="216"/>
        <v>501</v>
      </c>
      <c r="S379" s="78">
        <f t="shared" ca="1" si="217"/>
        <v>95</v>
      </c>
      <c r="T379" s="55">
        <f t="shared" ca="1" si="205"/>
        <v>3.3865992701875847E-2</v>
      </c>
      <c r="U379" s="78">
        <f t="shared" ca="1" si="222"/>
        <v>1.2067861788226083E-2</v>
      </c>
      <c r="V379" s="79">
        <f t="shared" ca="1" si="218"/>
        <v>1690.8668695117674</v>
      </c>
      <c r="W379" s="79">
        <f t="shared" ca="1" si="206"/>
        <v>11.534237133099916</v>
      </c>
      <c r="X379" s="80">
        <f t="shared" ca="1" si="223"/>
        <v>-0.18101792682339124</v>
      </c>
      <c r="Y379" s="80">
        <f t="shared" ca="1" si="224"/>
        <v>-1.4090557245931397</v>
      </c>
      <c r="Z379" s="80">
        <f t="shared" ca="1" si="219"/>
        <v>0</v>
      </c>
      <c r="AA379" s="80">
        <f t="shared" ca="1" si="225"/>
        <v>-1.6063235260361794</v>
      </c>
      <c r="AB379" s="81">
        <f t="shared" ca="1" si="207"/>
        <v>-30.17701762271734</v>
      </c>
      <c r="AC379" s="79">
        <f t="shared" ca="1" si="208"/>
        <v>1669.0276918446971</v>
      </c>
      <c r="AE379" s="62">
        <f t="shared" ca="1" si="209"/>
        <v>-2500.6101455486769</v>
      </c>
      <c r="AF379" s="62">
        <f t="shared" ca="1" si="210"/>
        <v>138303.51400552757</v>
      </c>
      <c r="AG379" s="62">
        <f ca="1">AF379*10000</f>
        <v>1383035140.0552757</v>
      </c>
      <c r="AH379" s="35"/>
      <c r="AR379" s="69">
        <f t="shared" si="220"/>
        <v>32</v>
      </c>
      <c r="AS379" s="70">
        <f t="shared" si="226"/>
        <v>376</v>
      </c>
      <c r="AT379" s="71">
        <f t="shared" si="230"/>
        <v>7.6255201073081341E-2</v>
      </c>
      <c r="AU379" s="72">
        <f t="shared" si="211"/>
        <v>6.8214933659622723E-3</v>
      </c>
      <c r="AV379" s="73">
        <f t="shared" si="221"/>
        <v>1.0068214933659623</v>
      </c>
      <c r="AW379" s="74">
        <f>PRODUCT(AV$4:AV379)</f>
        <v>12.886405593827725</v>
      </c>
    </row>
    <row r="380" spans="5:49">
      <c r="E380">
        <f t="shared" si="228"/>
        <v>377</v>
      </c>
      <c r="F380" s="64">
        <f t="shared" si="212"/>
        <v>85.08</v>
      </c>
      <c r="G380" s="55">
        <f t="shared" si="200"/>
        <v>0</v>
      </c>
      <c r="H380" s="78">
        <f t="shared" si="227"/>
        <v>1</v>
      </c>
      <c r="I380" s="79">
        <f t="shared" si="213"/>
        <v>321724.76909637975</v>
      </c>
      <c r="J380" s="79">
        <f t="shared" si="201"/>
        <v>2194.6433780566986</v>
      </c>
      <c r="K380" s="80">
        <f t="shared" si="202"/>
        <v>-15</v>
      </c>
      <c r="L380" s="80">
        <f t="shared" si="214"/>
        <v>-268.10397424698317</v>
      </c>
      <c r="M380" s="80">
        <f t="shared" si="229"/>
        <v>0</v>
      </c>
      <c r="N380" s="80">
        <f t="shared" si="215"/>
        <v>-305.63853064156081</v>
      </c>
      <c r="O380" s="81">
        <f t="shared" si="203"/>
        <v>-2500.6101455486769</v>
      </c>
      <c r="P380" s="79">
        <f t="shared" si="204"/>
        <v>320830.05982399924</v>
      </c>
      <c r="Q380" s="35"/>
      <c r="R380">
        <f t="shared" ca="1" si="216"/>
        <v>502</v>
      </c>
      <c r="S380" s="78">
        <f t="shared" ca="1" si="217"/>
        <v>95.08</v>
      </c>
      <c r="T380" s="55">
        <f t="shared" ca="1" si="205"/>
        <v>3.3865992701875847E-2</v>
      </c>
      <c r="U380" s="78">
        <f t="shared" ca="1" si="222"/>
        <v>1.1659171668978771E-2</v>
      </c>
      <c r="V380" s="79">
        <f t="shared" ca="1" si="218"/>
        <v>1612.5044122134559</v>
      </c>
      <c r="W380" s="79">
        <f t="shared" ca="1" si="206"/>
        <v>10.999688150498983</v>
      </c>
      <c r="X380" s="80">
        <f t="shared" ca="1" si="223"/>
        <v>-0.17488757503468155</v>
      </c>
      <c r="Y380" s="80">
        <f t="shared" ca="1" si="224"/>
        <v>-1.3437536768445466</v>
      </c>
      <c r="Z380" s="80">
        <f t="shared" ca="1" si="219"/>
        <v>0</v>
      </c>
      <c r="AA380" s="80">
        <f t="shared" ca="1" si="225"/>
        <v>-1.5318791916027834</v>
      </c>
      <c r="AB380" s="81">
        <f t="shared" ca="1" si="207"/>
        <v>-29.155042964142016</v>
      </c>
      <c r="AC380" s="79">
        <f t="shared" ca="1" si="208"/>
        <v>1591.298536956331</v>
      </c>
      <c r="AD380" s="35"/>
      <c r="AE380" s="62">
        <f t="shared" ca="1" si="209"/>
        <v>-2500.6101455486769</v>
      </c>
      <c r="AF380" s="62">
        <f t="shared" ca="1" si="210"/>
        <v>136484.69909661371</v>
      </c>
      <c r="AG380" s="62">
        <f ca="1">AF380*10000</f>
        <v>1364846990.9661372</v>
      </c>
      <c r="AH380" s="35"/>
      <c r="AR380" s="69">
        <f t="shared" si="220"/>
        <v>32</v>
      </c>
      <c r="AS380" s="70">
        <f t="shared" si="226"/>
        <v>377</v>
      </c>
      <c r="AT380" s="71">
        <f t="shared" si="230"/>
        <v>7.5735026724841198E-2</v>
      </c>
      <c r="AU380" s="72">
        <f t="shared" si="211"/>
        <v>6.8214933659622723E-3</v>
      </c>
      <c r="AV380" s="73">
        <f t="shared" si="221"/>
        <v>1.0068214933659623</v>
      </c>
      <c r="AW380" s="74">
        <f>PRODUCT(AV$4:AV380)</f>
        <v>12.974310124097119</v>
      </c>
    </row>
    <row r="381" spans="5:49">
      <c r="E381">
        <f t="shared" si="228"/>
        <v>378</v>
      </c>
      <c r="F381" s="64">
        <f t="shared" si="212"/>
        <v>85.16</v>
      </c>
      <c r="G381" s="55">
        <f t="shared" si="200"/>
        <v>0</v>
      </c>
      <c r="H381" s="78">
        <f t="shared" si="227"/>
        <v>1</v>
      </c>
      <c r="I381" s="79">
        <f t="shared" si="213"/>
        <v>320830.05982399924</v>
      </c>
      <c r="J381" s="79">
        <f t="shared" si="201"/>
        <v>2188.5401246906899</v>
      </c>
      <c r="K381" s="80">
        <f t="shared" si="202"/>
        <v>-15</v>
      </c>
      <c r="L381" s="80">
        <f t="shared" si="214"/>
        <v>-267.35838318666606</v>
      </c>
      <c r="M381" s="80">
        <f t="shared" si="229"/>
        <v>0</v>
      </c>
      <c r="N381" s="80">
        <f t="shared" si="215"/>
        <v>-304.78855683279932</v>
      </c>
      <c r="O381" s="81">
        <f t="shared" si="203"/>
        <v>-2500.6101455486769</v>
      </c>
      <c r="P381" s="79">
        <f t="shared" si="204"/>
        <v>319930.84286312177</v>
      </c>
      <c r="Q381" s="35"/>
      <c r="R381">
        <f t="shared" ca="1" si="216"/>
        <v>503</v>
      </c>
      <c r="S381" s="78">
        <f t="shared" ca="1" si="217"/>
        <v>95.16</v>
      </c>
      <c r="T381" s="55">
        <f t="shared" ca="1" si="205"/>
        <v>3.3865992701875847E-2</v>
      </c>
      <c r="U381" s="78">
        <f t="shared" ca="1" si="222"/>
        <v>1.1264322246327219E-2</v>
      </c>
      <c r="V381" s="79">
        <f t="shared" ca="1" si="218"/>
        <v>1537.4076323172621</v>
      </c>
      <c r="W381" s="79">
        <f t="shared" ca="1" si="206"/>
        <v>10.487415964631968</v>
      </c>
      <c r="X381" s="80">
        <f t="shared" ca="1" si="223"/>
        <v>-0.16896483369490828</v>
      </c>
      <c r="Y381" s="80">
        <f t="shared" ca="1" si="224"/>
        <v>-1.281173026931052</v>
      </c>
      <c r="Z381" s="80">
        <f t="shared" ca="1" si="219"/>
        <v>0</v>
      </c>
      <c r="AA381" s="80">
        <f t="shared" ca="1" si="225"/>
        <v>-1.4605372507013994</v>
      </c>
      <c r="AB381" s="81">
        <f t="shared" ca="1" si="207"/>
        <v>-28.167678491895504</v>
      </c>
      <c r="AC381" s="79">
        <f t="shared" ca="1" si="208"/>
        <v>1516.8166946786712</v>
      </c>
      <c r="AD381" s="35"/>
      <c r="AE381" s="62">
        <f t="shared" ca="1" si="209"/>
        <v>-2500.6101455486769</v>
      </c>
      <c r="AF381" s="62">
        <f t="shared" ca="1" si="210"/>
        <v>134656.72070711895</v>
      </c>
      <c r="AG381" s="62">
        <f ca="1">AF381*10000</f>
        <v>1346567207.0711894</v>
      </c>
      <c r="AH381" s="35"/>
      <c r="AR381" s="69">
        <f t="shared" si="220"/>
        <v>32</v>
      </c>
      <c r="AS381" s="70">
        <f t="shared" si="226"/>
        <v>378</v>
      </c>
      <c r="AT381" s="71">
        <f t="shared" si="230"/>
        <v>7.5218400742466718E-2</v>
      </c>
      <c r="AU381" s="72">
        <f t="shared" si="211"/>
        <v>6.8214933659622723E-3</v>
      </c>
      <c r="AV381" s="73">
        <f t="shared" si="221"/>
        <v>1.0068214933659623</v>
      </c>
      <c r="AW381" s="74">
        <f>PRODUCT(AV$4:AV381)</f>
        <v>13.062814294536585</v>
      </c>
    </row>
    <row r="382" spans="5:49">
      <c r="E382">
        <f t="shared" si="228"/>
        <v>379</v>
      </c>
      <c r="F382" s="64">
        <f t="shared" si="212"/>
        <v>85.24</v>
      </c>
      <c r="G382" s="55">
        <f t="shared" si="200"/>
        <v>0</v>
      </c>
      <c r="H382" s="78">
        <f t="shared" si="227"/>
        <v>1</v>
      </c>
      <c r="I382" s="79">
        <f t="shared" si="213"/>
        <v>319930.84286312177</v>
      </c>
      <c r="J382" s="79">
        <f t="shared" si="201"/>
        <v>2182.4061221575034</v>
      </c>
      <c r="K382" s="80">
        <f t="shared" si="202"/>
        <v>-15</v>
      </c>
      <c r="L382" s="80">
        <f t="shared" si="214"/>
        <v>-266.60903571926815</v>
      </c>
      <c r="M382" s="80">
        <f t="shared" si="229"/>
        <v>0</v>
      </c>
      <c r="N382" s="80">
        <f t="shared" si="215"/>
        <v>-303.93430071996573</v>
      </c>
      <c r="O382" s="81">
        <f t="shared" si="203"/>
        <v>-2500.6101455486769</v>
      </c>
      <c r="P382" s="79">
        <f t="shared" si="204"/>
        <v>319027.09550329141</v>
      </c>
      <c r="Q382" s="35"/>
      <c r="R382">
        <f t="shared" ca="1" si="216"/>
        <v>504</v>
      </c>
      <c r="S382" s="78">
        <f t="shared" ca="1" si="217"/>
        <v>95.24</v>
      </c>
      <c r="T382" s="55">
        <f t="shared" ca="1" si="205"/>
        <v>3.3865992701875847E-2</v>
      </c>
      <c r="U382" s="78">
        <f t="shared" ca="1" si="222"/>
        <v>1.0882844791341524E-2</v>
      </c>
      <c r="V382" s="79">
        <f t="shared" ca="1" si="218"/>
        <v>1465.4481915665999</v>
      </c>
      <c r="W382" s="79">
        <f t="shared" ca="1" si="206"/>
        <v>9.9965451169329711</v>
      </c>
      <c r="X382" s="80">
        <f t="shared" ca="1" si="223"/>
        <v>-0.16324267187012287</v>
      </c>
      <c r="Y382" s="80">
        <f t="shared" ca="1" si="224"/>
        <v>-1.2212068263055</v>
      </c>
      <c r="Z382" s="80">
        <f t="shared" ca="1" si="219"/>
        <v>0</v>
      </c>
      <c r="AA382" s="80">
        <f t="shared" ca="1" si="225"/>
        <v>-1.3921757819882703</v>
      </c>
      <c r="AB382" s="81">
        <f t="shared" ca="1" si="207"/>
        <v>-27.213752097660191</v>
      </c>
      <c r="AC382" s="79">
        <f t="shared" ca="1" si="208"/>
        <v>1445.4543593057087</v>
      </c>
      <c r="AD382" s="35"/>
      <c r="AE382" s="62">
        <f t="shared" ca="1" si="209"/>
        <v>-2500.6101455486769</v>
      </c>
      <c r="AF382" s="62">
        <f t="shared" ca="1" si="210"/>
        <v>132819.53266996174</v>
      </c>
      <c r="AG382" s="35"/>
      <c r="AH382" s="35"/>
      <c r="AR382" s="69">
        <f t="shared" si="220"/>
        <v>32</v>
      </c>
      <c r="AS382" s="70">
        <f t="shared" si="226"/>
        <v>379</v>
      </c>
      <c r="AT382" s="71">
        <f t="shared" si="230"/>
        <v>7.4705298920803687E-2</v>
      </c>
      <c r="AU382" s="72">
        <f t="shared" si="211"/>
        <v>6.8214933659622723E-3</v>
      </c>
      <c r="AV382" s="73">
        <f t="shared" si="221"/>
        <v>1.0068214933659623</v>
      </c>
      <c r="AW382" s="74">
        <f>PRODUCT(AV$4:AV382)</f>
        <v>13.151922195587563</v>
      </c>
    </row>
    <row r="383" spans="5:49">
      <c r="E383">
        <f t="shared" si="228"/>
        <v>380</v>
      </c>
      <c r="F383" s="64">
        <f t="shared" si="212"/>
        <v>85.32</v>
      </c>
      <c r="G383" s="55">
        <f t="shared" si="200"/>
        <v>0</v>
      </c>
      <c r="H383" s="78">
        <f t="shared" si="227"/>
        <v>1</v>
      </c>
      <c r="I383" s="79">
        <f t="shared" si="213"/>
        <v>319027.09550329141</v>
      </c>
      <c r="J383" s="79">
        <f t="shared" si="201"/>
        <v>2176.2412155379147</v>
      </c>
      <c r="K383" s="80">
        <f t="shared" si="202"/>
        <v>-15</v>
      </c>
      <c r="L383" s="80">
        <f t="shared" si="214"/>
        <v>-265.85591291940955</v>
      </c>
      <c r="M383" s="80">
        <f t="shared" si="229"/>
        <v>0</v>
      </c>
      <c r="N383" s="80">
        <f t="shared" si="215"/>
        <v>-303.0757407281269</v>
      </c>
      <c r="O383" s="81">
        <f t="shared" si="203"/>
        <v>-2500.6101455486769</v>
      </c>
      <c r="P383" s="79">
        <f t="shared" si="204"/>
        <v>318118.79491963319</v>
      </c>
      <c r="Q383" s="35"/>
      <c r="R383">
        <f t="shared" ca="1" si="216"/>
        <v>505</v>
      </c>
      <c r="S383" s="78">
        <f t="shared" ca="1" si="217"/>
        <v>95.32</v>
      </c>
      <c r="T383" s="55">
        <f t="shared" ca="1" si="205"/>
        <v>3.3865992701875847E-2</v>
      </c>
      <c r="U383" s="78">
        <f t="shared" ca="1" si="222"/>
        <v>1.0514286449062304E-2</v>
      </c>
      <c r="V383" s="79">
        <f t="shared" ca="1" si="218"/>
        <v>1396.502612522567</v>
      </c>
      <c r="W383" s="79">
        <f t="shared" ca="1" si="206"/>
        <v>9.5262333068716725</v>
      </c>
      <c r="X383" s="80">
        <f t="shared" ca="1" si="223"/>
        <v>-0.15771429673593457</v>
      </c>
      <c r="Y383" s="80">
        <f t="shared" ca="1" si="224"/>
        <v>-1.1637521771021393</v>
      </c>
      <c r="Z383" s="80">
        <f t="shared" ca="1" si="219"/>
        <v>-10.473769593919252</v>
      </c>
      <c r="AA383" s="80">
        <f t="shared" ca="1" si="225"/>
        <v>-1.3266774818964389</v>
      </c>
      <c r="AB383" s="81">
        <f t="shared" ca="1" si="207"/>
        <v>-26.292131367730168</v>
      </c>
      <c r="AC383" s="79">
        <f t="shared" ca="1" si="208"/>
        <v>1366.6148009120545</v>
      </c>
      <c r="AD383" s="35"/>
      <c r="AE383" s="62">
        <f t="shared" ca="1" si="209"/>
        <v>-2500.6101455486769</v>
      </c>
      <c r="AF383" s="62">
        <f t="shared" ca="1" si="210"/>
        <v>129976.94209043861</v>
      </c>
      <c r="AG383" s="35"/>
      <c r="AH383" s="35"/>
      <c r="AR383" s="69">
        <f t="shared" si="220"/>
        <v>32</v>
      </c>
      <c r="AS383" s="70">
        <f t="shared" si="226"/>
        <v>380</v>
      </c>
      <c r="AT383" s="71">
        <f t="shared" si="230"/>
        <v>7.41956972198132E-2</v>
      </c>
      <c r="AU383" s="72">
        <f t="shared" si="211"/>
        <v>6.8214933659622723E-3</v>
      </c>
      <c r="AV383" s="73">
        <f t="shared" si="221"/>
        <v>1.0068214933659623</v>
      </c>
      <c r="AW383" s="74">
        <f>PRODUCT(AV$4:AV383)</f>
        <v>13.241637945594416</v>
      </c>
    </row>
    <row r="384" spans="5:49">
      <c r="E384">
        <f t="shared" si="228"/>
        <v>381</v>
      </c>
      <c r="F384" s="64">
        <f t="shared" si="212"/>
        <v>85.4</v>
      </c>
      <c r="G384" s="55">
        <f t="shared" si="200"/>
        <v>0</v>
      </c>
      <c r="H384" s="78">
        <f t="shared" si="227"/>
        <v>1</v>
      </c>
      <c r="I384" s="79">
        <f t="shared" si="213"/>
        <v>318118.79491963319</v>
      </c>
      <c r="J384" s="79">
        <f t="shared" si="201"/>
        <v>2170.0452491321903</v>
      </c>
      <c r="K384" s="80">
        <f t="shared" si="202"/>
        <v>-15</v>
      </c>
      <c r="L384" s="80">
        <f t="shared" si="214"/>
        <v>-265.09899576636099</v>
      </c>
      <c r="M384" s="80">
        <f t="shared" si="229"/>
        <v>0</v>
      </c>
      <c r="N384" s="80">
        <f t="shared" si="215"/>
        <v>-302.21285517365158</v>
      </c>
      <c r="O384" s="81">
        <f t="shared" si="203"/>
        <v>-2500.6101455486769</v>
      </c>
      <c r="P384" s="79">
        <f t="shared" si="204"/>
        <v>317205.91817227675</v>
      </c>
      <c r="Q384" s="35"/>
      <c r="R384">
        <f t="shared" ca="1" si="216"/>
        <v>506</v>
      </c>
      <c r="S384" s="78">
        <f t="shared" ca="1" si="217"/>
        <v>95.4</v>
      </c>
      <c r="T384" s="55">
        <f t="shared" ca="1" si="205"/>
        <v>3.3865992701875847E-2</v>
      </c>
      <c r="U384" s="78">
        <f t="shared" ca="1" si="222"/>
        <v>1.0158209700912928E-2</v>
      </c>
      <c r="V384" s="79">
        <f t="shared" ca="1" si="218"/>
        <v>1320.3330340380915</v>
      </c>
      <c r="W384" s="79">
        <f t="shared" ca="1" si="206"/>
        <v>9.0066430325516791</v>
      </c>
      <c r="X384" s="80">
        <f t="shared" ca="1" si="223"/>
        <v>-0.15237314551369391</v>
      </c>
      <c r="Y384" s="80">
        <f t="shared" ca="1" si="224"/>
        <v>-1.1002775283650763</v>
      </c>
      <c r="Z384" s="80">
        <f t="shared" ca="1" si="219"/>
        <v>0</v>
      </c>
      <c r="AA384" s="80">
        <f t="shared" ca="1" si="225"/>
        <v>-1.2543163823361871</v>
      </c>
      <c r="AB384" s="81">
        <f t="shared" ca="1" si="207"/>
        <v>-25.401722238713859</v>
      </c>
      <c r="AC384" s="79">
        <f t="shared" ca="1" si="208"/>
        <v>1301.4309877757146</v>
      </c>
      <c r="AD384" s="35"/>
      <c r="AE384" s="62">
        <f t="shared" ca="1" si="209"/>
        <v>-2500.6101455486769</v>
      </c>
      <c r="AF384" s="62">
        <f t="shared" ca="1" si="210"/>
        <v>128116.17657969335</v>
      </c>
      <c r="AG384" s="35"/>
      <c r="AH384" s="35"/>
      <c r="AR384" s="69">
        <f t="shared" si="220"/>
        <v>32</v>
      </c>
      <c r="AS384" s="70">
        <f t="shared" si="226"/>
        <v>381</v>
      </c>
      <c r="AT384" s="71">
        <f t="shared" si="230"/>
        <v>7.3689571763445302E-2</v>
      </c>
      <c r="AU384" s="72">
        <f t="shared" si="211"/>
        <v>6.8214933659622723E-3</v>
      </c>
      <c r="AV384" s="73">
        <f t="shared" si="221"/>
        <v>1.0068214933659623</v>
      </c>
      <c r="AW384" s="74">
        <f>PRODUCT(AV$4:AV384)</f>
        <v>13.331965690994762</v>
      </c>
    </row>
    <row r="385" spans="5:49">
      <c r="E385">
        <f t="shared" si="228"/>
        <v>382</v>
      </c>
      <c r="F385" s="64">
        <f t="shared" si="212"/>
        <v>85.48</v>
      </c>
      <c r="G385" s="55">
        <f t="shared" si="200"/>
        <v>0</v>
      </c>
      <c r="H385" s="78">
        <f t="shared" si="227"/>
        <v>1</v>
      </c>
      <c r="I385" s="79">
        <f t="shared" si="213"/>
        <v>317205.91817227675</v>
      </c>
      <c r="J385" s="79">
        <f t="shared" si="201"/>
        <v>2163.8180664561573</v>
      </c>
      <c r="K385" s="80">
        <f t="shared" si="202"/>
        <v>-15</v>
      </c>
      <c r="L385" s="80">
        <f t="shared" si="214"/>
        <v>-264.338265143564</v>
      </c>
      <c r="M385" s="80">
        <f t="shared" si="229"/>
        <v>0</v>
      </c>
      <c r="N385" s="80">
        <f t="shared" si="215"/>
        <v>-301.34562226366296</v>
      </c>
      <c r="O385" s="81">
        <f t="shared" si="203"/>
        <v>-2500.6101455486769</v>
      </c>
      <c r="P385" s="79">
        <f t="shared" si="204"/>
        <v>316288.44220577704</v>
      </c>
      <c r="Q385" s="35"/>
      <c r="R385">
        <f t="shared" ca="1" si="216"/>
        <v>507</v>
      </c>
      <c r="S385" s="78">
        <f t="shared" ca="1" si="217"/>
        <v>95.48</v>
      </c>
      <c r="T385" s="55">
        <f t="shared" ca="1" si="205"/>
        <v>3.3865992701875847E-2</v>
      </c>
      <c r="U385" s="78">
        <f t="shared" ca="1" si="222"/>
        <v>9.8141918453176855E-3</v>
      </c>
      <c r="V385" s="79">
        <f t="shared" ca="1" si="218"/>
        <v>1257.3567354417071</v>
      </c>
      <c r="W385" s="79">
        <f t="shared" ca="1" si="206"/>
        <v>8.5770506294635851</v>
      </c>
      <c r="X385" s="80">
        <f t="shared" ca="1" si="223"/>
        <v>-0.14721287767976529</v>
      </c>
      <c r="Y385" s="80">
        <f t="shared" ca="1" si="224"/>
        <v>-1.0477972795347559</v>
      </c>
      <c r="Z385" s="80">
        <f t="shared" ca="1" si="219"/>
        <v>0</v>
      </c>
      <c r="AA385" s="80">
        <f t="shared" ca="1" si="225"/>
        <v>-1.1944888986696218</v>
      </c>
      <c r="AB385" s="81">
        <f t="shared" ca="1" si="207"/>
        <v>-24.541467698762492</v>
      </c>
      <c r="AC385" s="79">
        <f t="shared" ca="1" si="208"/>
        <v>1239.0028193165242</v>
      </c>
      <c r="AD385" s="35"/>
      <c r="AE385" s="62">
        <f t="shared" ca="1" si="209"/>
        <v>-2500.6101455486764</v>
      </c>
      <c r="AF385" s="62">
        <f t="shared" ca="1" si="210"/>
        <v>126246.03623452173</v>
      </c>
      <c r="AG385" s="35"/>
      <c r="AH385" s="35"/>
      <c r="AR385" s="69">
        <f t="shared" si="220"/>
        <v>32</v>
      </c>
      <c r="AS385" s="70">
        <f t="shared" si="226"/>
        <v>382</v>
      </c>
      <c r="AT385" s="71">
        <f t="shared" si="230"/>
        <v>7.3186898838520364E-2</v>
      </c>
      <c r="AU385" s="72">
        <f t="shared" si="211"/>
        <v>6.8214933659622723E-3</v>
      </c>
      <c r="AV385" s="73">
        <f t="shared" si="221"/>
        <v>1.0068214933659623</v>
      </c>
      <c r="AW385" s="74">
        <f>PRODUCT(AV$4:AV385)</f>
        <v>13.422909606511119</v>
      </c>
    </row>
    <row r="386" spans="5:49">
      <c r="E386">
        <f t="shared" si="228"/>
        <v>383</v>
      </c>
      <c r="F386" s="64">
        <f t="shared" si="212"/>
        <v>85.56</v>
      </c>
      <c r="G386" s="55">
        <f t="shared" si="200"/>
        <v>0</v>
      </c>
      <c r="H386" s="78">
        <f t="shared" si="227"/>
        <v>1</v>
      </c>
      <c r="I386" s="79">
        <f t="shared" si="213"/>
        <v>316288.44220577704</v>
      </c>
      <c r="J386" s="79">
        <f t="shared" si="201"/>
        <v>2157.5595102372495</v>
      </c>
      <c r="K386" s="80">
        <f t="shared" si="202"/>
        <v>-15</v>
      </c>
      <c r="L386" s="80">
        <f t="shared" si="214"/>
        <v>-263.57370183814754</v>
      </c>
      <c r="M386" s="80">
        <f t="shared" si="229"/>
        <v>0</v>
      </c>
      <c r="N386" s="80">
        <f t="shared" si="215"/>
        <v>-300.47402009548824</v>
      </c>
      <c r="O386" s="81">
        <f t="shared" si="203"/>
        <v>-2500.6101455486769</v>
      </c>
      <c r="P386" s="79">
        <f t="shared" si="204"/>
        <v>315366.34384853201</v>
      </c>
      <c r="Q386" s="35"/>
      <c r="R386">
        <f t="shared" ca="1" si="216"/>
        <v>508</v>
      </c>
      <c r="S386" s="78">
        <f t="shared" ca="1" si="217"/>
        <v>95.56</v>
      </c>
      <c r="T386" s="55">
        <f t="shared" ca="1" si="205"/>
        <v>3.710811547546744E-2</v>
      </c>
      <c r="U386" s="78">
        <f t="shared" ca="1" si="222"/>
        <v>9.4500056810232456E-3</v>
      </c>
      <c r="V386" s="79">
        <f t="shared" ca="1" si="218"/>
        <v>1193.0257596228969</v>
      </c>
      <c r="W386" s="79">
        <f t="shared" ca="1" si="206"/>
        <v>8.1382173046896913</v>
      </c>
      <c r="X386" s="80">
        <f t="shared" ca="1" si="223"/>
        <v>-0.14175008521534868</v>
      </c>
      <c r="Y386" s="80">
        <f t="shared" ca="1" si="224"/>
        <v>-0.99418813301908082</v>
      </c>
      <c r="Z386" s="80">
        <f t="shared" ca="1" si="219"/>
        <v>0</v>
      </c>
      <c r="AA386" s="80">
        <f t="shared" ca="1" si="225"/>
        <v>-1.1333744716417522</v>
      </c>
      <c r="AB386" s="81">
        <f t="shared" ca="1" si="207"/>
        <v>-23.630780081459363</v>
      </c>
      <c r="AC386" s="79">
        <f t="shared" ca="1" si="208"/>
        <v>1175.2638841562512</v>
      </c>
      <c r="AD386" s="35"/>
      <c r="AE386" s="62">
        <f t="shared" ca="1" si="209"/>
        <v>-2500.6101455486769</v>
      </c>
      <c r="AF386" s="62">
        <f t="shared" ca="1" si="210"/>
        <v>124366.47382300766</v>
      </c>
      <c r="AG386" s="35"/>
      <c r="AH386" s="35"/>
      <c r="AR386" s="69">
        <f t="shared" si="220"/>
        <v>32</v>
      </c>
      <c r="AS386" s="70">
        <f t="shared" si="226"/>
        <v>383</v>
      </c>
      <c r="AT386" s="71">
        <f t="shared" si="230"/>
        <v>7.2687654893618045E-2</v>
      </c>
      <c r="AU386" s="72">
        <f t="shared" si="211"/>
        <v>6.8214933659622723E-3</v>
      </c>
      <c r="AV386" s="73">
        <f t="shared" si="221"/>
        <v>1.0068214933659623</v>
      </c>
      <c r="AW386" s="74">
        <f>PRODUCT(AV$4:AV386)</f>
        <v>13.514473895343846</v>
      </c>
    </row>
    <row r="387" spans="5:49">
      <c r="E387">
        <f t="shared" si="228"/>
        <v>384</v>
      </c>
      <c r="F387" s="64">
        <f t="shared" si="212"/>
        <v>85.64</v>
      </c>
      <c r="G387" s="55">
        <f t="shared" si="200"/>
        <v>0</v>
      </c>
      <c r="H387" s="78">
        <f t="shared" si="227"/>
        <v>1</v>
      </c>
      <c r="I387" s="79">
        <f t="shared" si="213"/>
        <v>315366.34384853201</v>
      </c>
      <c r="J387" s="79">
        <f t="shared" si="201"/>
        <v>2151.269422410538</v>
      </c>
      <c r="K387" s="80">
        <f t="shared" si="202"/>
        <v>-15</v>
      </c>
      <c r="L387" s="80">
        <f t="shared" si="214"/>
        <v>-262.80528654044338</v>
      </c>
      <c r="M387" s="80">
        <f t="shared" si="229"/>
        <v>0</v>
      </c>
      <c r="N387" s="80">
        <f t="shared" si="215"/>
        <v>-299.59802665610545</v>
      </c>
      <c r="O387" s="81">
        <f t="shared" si="203"/>
        <v>-2500.6101455486769</v>
      </c>
      <c r="P387" s="79">
        <f t="shared" si="204"/>
        <v>314439.59981219738</v>
      </c>
      <c r="Q387" s="35"/>
      <c r="R387">
        <f t="shared" ca="1" si="216"/>
        <v>509</v>
      </c>
      <c r="S387" s="78">
        <f t="shared" ca="1" si="217"/>
        <v>95.64</v>
      </c>
      <c r="T387" s="55">
        <f t="shared" ca="1" si="205"/>
        <v>3.710811547546744E-2</v>
      </c>
      <c r="U387" s="78">
        <f t="shared" ca="1" si="222"/>
        <v>9.099333778968011E-3</v>
      </c>
      <c r="V387" s="79">
        <f t="shared" ca="1" si="218"/>
        <v>1131.6520562288347</v>
      </c>
      <c r="W387" s="79">
        <f t="shared" ca="1" si="206"/>
        <v>7.7195569941425601</v>
      </c>
      <c r="X387" s="80">
        <f t="shared" ca="1" si="223"/>
        <v>-0.13649000668452016</v>
      </c>
      <c r="Y387" s="80">
        <f t="shared" ca="1" si="224"/>
        <v>-0.94304338019069567</v>
      </c>
      <c r="Z387" s="80">
        <f t="shared" ca="1" si="219"/>
        <v>0</v>
      </c>
      <c r="AA387" s="80">
        <f t="shared" ca="1" si="225"/>
        <v>-1.0750694534173932</v>
      </c>
      <c r="AB387" s="81">
        <f t="shared" ca="1" si="207"/>
        <v>-22.753886365421192</v>
      </c>
      <c r="AC387" s="79">
        <f t="shared" ca="1" si="208"/>
        <v>1114.4631240172635</v>
      </c>
      <c r="AD387" s="35"/>
      <c r="AE387" s="62">
        <f t="shared" ca="1" si="209"/>
        <v>-2500.6101455486769</v>
      </c>
      <c r="AF387" s="62">
        <f t="shared" ca="1" si="210"/>
        <v>122477.44187527307</v>
      </c>
      <c r="AG387" s="35"/>
      <c r="AH387" s="35"/>
      <c r="AR387" s="69">
        <f t="shared" si="220"/>
        <v>32</v>
      </c>
      <c r="AS387" s="70">
        <f t="shared" si="226"/>
        <v>384</v>
      </c>
      <c r="AT387" s="71">
        <f t="shared" si="230"/>
        <v>7.219181653797388E-2</v>
      </c>
      <c r="AU387" s="72">
        <f t="shared" si="211"/>
        <v>6.8214933659622723E-3</v>
      </c>
      <c r="AV387" s="73">
        <f t="shared" si="221"/>
        <v>1.0068214933659623</v>
      </c>
      <c r="AW387" s="74">
        <f>PRODUCT(AV$4:AV387)</f>
        <v>13.606662789365405</v>
      </c>
    </row>
    <row r="388" spans="5:49">
      <c r="E388">
        <f t="shared" si="228"/>
        <v>385</v>
      </c>
      <c r="F388" s="64">
        <f t="shared" si="212"/>
        <v>85.72</v>
      </c>
      <c r="G388" s="55">
        <f t="shared" ref="G388:G451" si="231">(1-(1-IF(F388&gt;$AJ$90,0,VLOOKUP(ROUND(F388,0),$AJ$4:$AK$90,2,FALSE)))^(1/12))*0</f>
        <v>0</v>
      </c>
      <c r="H388" s="78">
        <f t="shared" si="227"/>
        <v>1</v>
      </c>
      <c r="I388" s="79">
        <f t="shared" si="213"/>
        <v>314439.59981219738</v>
      </c>
      <c r="J388" s="79">
        <f t="shared" ref="J388:J451" si="232">(I388)*$AU388</f>
        <v>2144.9476441147362</v>
      </c>
      <c r="K388" s="80">
        <f t="shared" ref="K388:K451" si="233">IF(I388=0,0,-$C$19)*H388</f>
        <v>-15</v>
      </c>
      <c r="L388" s="80">
        <f t="shared" si="214"/>
        <v>-262.03299984349786</v>
      </c>
      <c r="M388" s="80">
        <f t="shared" si="229"/>
        <v>-2358.2969985914801</v>
      </c>
      <c r="N388" s="80">
        <f t="shared" si="215"/>
        <v>-298.71761982158756</v>
      </c>
      <c r="O388" s="81">
        <f t="shared" ref="O388:O451" si="234">-MIN(
IF(MOD(E388-1,IF($C$7="Annual",12,1))=0,1,0)
*IF(F388&lt;=$C$6,H388*$C$5*$C$4/IF($C$7="Monthly",12,1),$C$12),I388)</f>
        <v>-2500.6101455486769</v>
      </c>
      <c r="P388" s="79">
        <f t="shared" ref="P388:P451" si="235">SUM(I388:O388)</f>
        <v>311149.88969250693</v>
      </c>
      <c r="Q388" s="35"/>
      <c r="R388">
        <f t="shared" ca="1" si="216"/>
        <v>510</v>
      </c>
      <c r="S388" s="78">
        <f t="shared" ca="1" si="217"/>
        <v>95.72</v>
      </c>
      <c r="T388" s="55">
        <f t="shared" ref="T388:T451" ca="1" si="236">(1-(1-IF(S388&gt;$AJ$90,0,VLOOKUP(ROUND(S388,0),$AJ$4:$AK$90,2,FALSE)))^(1/12))</f>
        <v>3.710811547546744E-2</v>
      </c>
      <c r="U388" s="78">
        <f t="shared" ca="1" si="222"/>
        <v>8.7616746503482446E-3</v>
      </c>
      <c r="V388" s="79">
        <f t="shared" ca="1" si="218"/>
        <v>1073.1074977180806</v>
      </c>
      <c r="W388" s="79">
        <f t="shared" ref="W388:W451" ca="1" si="237">(V388)*$AU388</f>
        <v>7.320195676648261</v>
      </c>
      <c r="X388" s="80">
        <f t="shared" ca="1" si="223"/>
        <v>-0.13142511975522367</v>
      </c>
      <c r="Y388" s="80">
        <f t="shared" ca="1" si="224"/>
        <v>-0.89425624809840054</v>
      </c>
      <c r="Z388" s="80">
        <f t="shared" ca="1" si="219"/>
        <v>0</v>
      </c>
      <c r="AA388" s="80">
        <f t="shared" ca="1" si="225"/>
        <v>-1.0194521228321769</v>
      </c>
      <c r="AB388" s="81">
        <f t="shared" ref="AB388:AB451" ca="1" si="238">-MIN(IF(MOD(R388,IF($C$7="Annual",12,1))=0,1,0)*$C$39*U388/IF($C$7="Monthly",12,1),V388)</f>
        <v>-21.909532522657475</v>
      </c>
      <c r="AC388" s="79">
        <f t="shared" ref="AC388:AC451" ca="1" si="239">SUM(V388:AB388)</f>
        <v>1056.4730273813855</v>
      </c>
      <c r="AD388" s="35"/>
      <c r="AE388" s="62">
        <f t="shared" ref="AE388:AE451" ca="1" si="240">AB388/U388</f>
        <v>-2500.6101455486769</v>
      </c>
      <c r="AF388" s="62">
        <f t="shared" ref="AF388:AF451" ca="1" si="241">AC388/U388</f>
        <v>120578.89268227901</v>
      </c>
      <c r="AG388" s="35"/>
      <c r="AH388" s="35"/>
      <c r="AR388" s="69">
        <f t="shared" si="220"/>
        <v>33</v>
      </c>
      <c r="AS388" s="70">
        <f t="shared" si="226"/>
        <v>385</v>
      </c>
      <c r="AT388" s="71">
        <f t="shared" si="230"/>
        <v>7.1699360540383325E-2</v>
      </c>
      <c r="AU388" s="72">
        <f t="shared" ref="AU388:AU451" si="242">((1+$AH$21)^(1/12))-1</f>
        <v>6.8214933659622723E-3</v>
      </c>
      <c r="AV388" s="73">
        <f t="shared" si="221"/>
        <v>1.0068214933659623</v>
      </c>
      <c r="AW388" s="74">
        <f>PRODUCT(AV$4:AV388)</f>
        <v>13.699480549315947</v>
      </c>
    </row>
    <row r="389" spans="5:49">
      <c r="E389">
        <f t="shared" si="228"/>
        <v>386</v>
      </c>
      <c r="F389" s="64">
        <f t="shared" ref="F389:F452" si="243">ROUND((E389-E388)/12+F388,2)</f>
        <v>85.8</v>
      </c>
      <c r="G389" s="55">
        <f t="shared" si="231"/>
        <v>0</v>
      </c>
      <c r="H389" s="78">
        <f t="shared" si="227"/>
        <v>1</v>
      </c>
      <c r="I389" s="79">
        <f t="shared" ref="I389:I452" si="244">MAX(P388,0)*(1-G389)</f>
        <v>311149.88969250693</v>
      </c>
      <c r="J389" s="79">
        <f t="shared" si="232"/>
        <v>2122.5069083573289</v>
      </c>
      <c r="K389" s="80">
        <f t="shared" si="233"/>
        <v>-15</v>
      </c>
      <c r="L389" s="80">
        <f t="shared" ref="L389:L452" si="245">IF(OR(I388+O388=0,K388=0),0,-I389*($C$16/12))</f>
        <v>-259.2915747437558</v>
      </c>
      <c r="M389" s="80">
        <f t="shared" si="229"/>
        <v>0</v>
      </c>
      <c r="N389" s="80">
        <f t="shared" ref="N389:N452" si="246">IF(OR(I388+O388=0,K388=0),0,-I389*($C$18*(1+$C$20))/12)</f>
        <v>-295.59239520788162</v>
      </c>
      <c r="O389" s="81">
        <f t="shared" si="234"/>
        <v>-2500.6101455486769</v>
      </c>
      <c r="P389" s="79">
        <f t="shared" si="235"/>
        <v>310201.90248536394</v>
      </c>
      <c r="Q389" s="35"/>
      <c r="R389">
        <f t="shared" ref="R389:R452" ca="1" si="247">R388+1</f>
        <v>511</v>
      </c>
      <c r="S389" s="78">
        <f t="shared" ref="S389:S452" ca="1" si="248">ROUND((R389-R388)/12+S388,2)</f>
        <v>95.8</v>
      </c>
      <c r="T389" s="55">
        <f t="shared" ca="1" si="236"/>
        <v>3.710811547546744E-2</v>
      </c>
      <c r="U389" s="78">
        <f t="shared" ca="1" si="222"/>
        <v>8.4365454156646452E-3</v>
      </c>
      <c r="V389" s="79">
        <f t="shared" ref="V389:V452" ca="1" si="249">MAX(AC388,0)*(1-T389)</f>
        <v>1017.2693042846004</v>
      </c>
      <c r="W389" s="79">
        <f t="shared" ca="1" si="237"/>
        <v>6.9392958105744578</v>
      </c>
      <c r="X389" s="80">
        <f t="shared" ca="1" si="223"/>
        <v>-0.12654818123496969</v>
      </c>
      <c r="Y389" s="80">
        <f t="shared" ca="1" si="224"/>
        <v>-0.84772442023716699</v>
      </c>
      <c r="Z389" s="80">
        <f t="shared" ref="Z389:Z452" ca="1" si="250">-IF(MOD(R389-1,12)=0,1,0)*V389*($C$17)</f>
        <v>0</v>
      </c>
      <c r="AA389" s="80">
        <f t="shared" ca="1" si="225"/>
        <v>-0.96640583907037048</v>
      </c>
      <c r="AB389" s="81">
        <f t="shared" ca="1" si="238"/>
        <v>-21.09651105979319</v>
      </c>
      <c r="AC389" s="79">
        <f t="shared" ca="1" si="239"/>
        <v>1001.1714105948392</v>
      </c>
      <c r="AD389" s="35"/>
      <c r="AE389" s="62">
        <f t="shared" ca="1" si="240"/>
        <v>-2500.6101455486769</v>
      </c>
      <c r="AF389" s="62">
        <f t="shared" ca="1" si="241"/>
        <v>118670.77829462088</v>
      </c>
      <c r="AG389" s="35"/>
      <c r="AH389" s="35"/>
      <c r="AR389" s="69">
        <f t="shared" ref="AR389:AR452" si="251">ROUNDDOWN((AS389-1)/12,0)+1</f>
        <v>33</v>
      </c>
      <c r="AS389" s="70">
        <f t="shared" si="226"/>
        <v>386</v>
      </c>
      <c r="AT389" s="71">
        <f t="shared" si="230"/>
        <v>7.1210263828113365E-2</v>
      </c>
      <c r="AU389" s="72">
        <f t="shared" si="242"/>
        <v>6.8214933659622723E-3</v>
      </c>
      <c r="AV389" s="73">
        <f t="shared" ref="AV389:AV452" si="252">(1+AU389)</f>
        <v>1.0068214933659623</v>
      </c>
      <c r="AW389" s="74">
        <f>PRODUCT(AV$4:AV389)</f>
        <v>13.792931465000235</v>
      </c>
    </row>
    <row r="390" spans="5:49">
      <c r="E390">
        <f t="shared" si="228"/>
        <v>387</v>
      </c>
      <c r="F390" s="64">
        <f t="shared" si="243"/>
        <v>85.88</v>
      </c>
      <c r="G390" s="55">
        <f t="shared" si="231"/>
        <v>0</v>
      </c>
      <c r="H390" s="78">
        <f t="shared" si="227"/>
        <v>1</v>
      </c>
      <c r="I390" s="79">
        <f t="shared" si="244"/>
        <v>310201.90248536394</v>
      </c>
      <c r="J390" s="79">
        <f t="shared" si="232"/>
        <v>2116.0402199127857</v>
      </c>
      <c r="K390" s="80">
        <f t="shared" si="233"/>
        <v>-15</v>
      </c>
      <c r="L390" s="80">
        <f t="shared" si="245"/>
        <v>-258.50158540446995</v>
      </c>
      <c r="M390" s="80">
        <f t="shared" si="229"/>
        <v>0</v>
      </c>
      <c r="N390" s="80">
        <f t="shared" si="246"/>
        <v>-294.69180736109581</v>
      </c>
      <c r="O390" s="81">
        <f t="shared" si="234"/>
        <v>-2500.6101455486769</v>
      </c>
      <c r="P390" s="79">
        <f t="shared" si="235"/>
        <v>309249.13916696253</v>
      </c>
      <c r="Q390" s="35"/>
      <c r="R390">
        <f t="shared" ca="1" si="247"/>
        <v>512</v>
      </c>
      <c r="S390" s="78">
        <f t="shared" ca="1" si="248"/>
        <v>95.88</v>
      </c>
      <c r="T390" s="55">
        <f t="shared" ca="1" si="236"/>
        <v>3.710811547546744E-2</v>
      </c>
      <c r="U390" s="78">
        <f t="shared" ref="U390:U453" ca="1" si="253">U389*(1-T390)</f>
        <v>8.1234811141661367E-3</v>
      </c>
      <c r="V390" s="79">
        <f t="shared" ca="1" si="249"/>
        <v>964.01982627974928</v>
      </c>
      <c r="W390" s="79">
        <f t="shared" ca="1" si="237"/>
        <v>6.5760548496234117</v>
      </c>
      <c r="X390" s="80">
        <f t="shared" ref="X390:X453" ca="1" si="254">IF(V390=0,0,-$C$19)*U390</f>
        <v>-0.12185221671249205</v>
      </c>
      <c r="Y390" s="80">
        <f t="shared" ref="Y390:Y453" ca="1" si="255">IF(OR(V389+AB389=0,X389=0),0,-V390*($C$16/12))</f>
        <v>-0.80334985523312441</v>
      </c>
      <c r="Z390" s="80">
        <f t="shared" ca="1" si="250"/>
        <v>0</v>
      </c>
      <c r="AA390" s="80">
        <f t="shared" ref="AA390:AA453" ca="1" si="256">IF(OR(V389+AB389=0,X389=0),0,-V390*($C$18*(1+$C$20))/12)</f>
        <v>-0.915818834965762</v>
      </c>
      <c r="AB390" s="81">
        <f t="shared" ca="1" si="238"/>
        <v>-20.313659291256911</v>
      </c>
      <c r="AC390" s="79">
        <f t="shared" ca="1" si="239"/>
        <v>948.44120093120443</v>
      </c>
      <c r="AD390" s="35"/>
      <c r="AE390" s="62">
        <f t="shared" ca="1" si="240"/>
        <v>-2500.6101455486769</v>
      </c>
      <c r="AF390" s="62">
        <f t="shared" ca="1" si="241"/>
        <v>116753.05052131711</v>
      </c>
      <c r="AG390" s="35"/>
      <c r="AH390" s="35"/>
      <c r="AR390" s="69">
        <f t="shared" si="251"/>
        <v>33</v>
      </c>
      <c r="AS390" s="70">
        <f t="shared" ref="AS390:AS453" si="257">AS389+1</f>
        <v>387</v>
      </c>
      <c r="AT390" s="71">
        <f t="shared" si="230"/>
        <v>7.0724503485821461E-2</v>
      </c>
      <c r="AU390" s="72">
        <f t="shared" si="242"/>
        <v>6.8214933659622723E-3</v>
      </c>
      <c r="AV390" s="73">
        <f t="shared" si="252"/>
        <v>1.0068214933659623</v>
      </c>
      <c r="AW390" s="74">
        <f>PRODUCT(AV$4:AV390)</f>
        <v>13.887019855485907</v>
      </c>
    </row>
    <row r="391" spans="5:49">
      <c r="E391">
        <f t="shared" si="228"/>
        <v>388</v>
      </c>
      <c r="F391" s="64">
        <f t="shared" si="243"/>
        <v>85.96</v>
      </c>
      <c r="G391" s="55">
        <f t="shared" si="231"/>
        <v>0</v>
      </c>
      <c r="H391" s="78">
        <f t="shared" ref="H391:H454" si="258">H390*(1-G391)</f>
        <v>1</v>
      </c>
      <c r="I391" s="79">
        <f t="shared" si="244"/>
        <v>309249.13916696253</v>
      </c>
      <c r="J391" s="79">
        <f t="shared" si="232"/>
        <v>2109.5409512569786</v>
      </c>
      <c r="K391" s="80">
        <f t="shared" si="233"/>
        <v>-15</v>
      </c>
      <c r="L391" s="80">
        <f t="shared" si="245"/>
        <v>-257.70761597246877</v>
      </c>
      <c r="M391" s="80">
        <f t="shared" si="229"/>
        <v>0</v>
      </c>
      <c r="N391" s="80">
        <f t="shared" si="246"/>
        <v>-293.78668220861442</v>
      </c>
      <c r="O391" s="81">
        <f t="shared" si="234"/>
        <v>-2500.6101455486769</v>
      </c>
      <c r="P391" s="79">
        <f t="shared" si="235"/>
        <v>308291.57567448978</v>
      </c>
      <c r="Q391" s="35"/>
      <c r="R391">
        <f t="shared" ca="1" si="247"/>
        <v>513</v>
      </c>
      <c r="S391" s="78">
        <f t="shared" ca="1" si="248"/>
        <v>95.96</v>
      </c>
      <c r="T391" s="55">
        <f t="shared" ca="1" si="236"/>
        <v>3.710811547546744E-2</v>
      </c>
      <c r="U391" s="78">
        <f t="shared" ca="1" si="253"/>
        <v>7.8220340389188805E-3</v>
      </c>
      <c r="V391" s="79">
        <f t="shared" ca="1" si="249"/>
        <v>913.24633532535825</v>
      </c>
      <c r="W391" s="79">
        <f t="shared" ca="1" si="237"/>
        <v>6.2297038179112878</v>
      </c>
      <c r="X391" s="80">
        <f t="shared" ca="1" si="254"/>
        <v>-0.11733051058378322</v>
      </c>
      <c r="Y391" s="80">
        <f t="shared" ca="1" si="255"/>
        <v>-0.76103861277113194</v>
      </c>
      <c r="Z391" s="80">
        <f t="shared" ca="1" si="250"/>
        <v>0</v>
      </c>
      <c r="AA391" s="80">
        <f t="shared" ca="1" si="256"/>
        <v>-0.86758401855909051</v>
      </c>
      <c r="AB391" s="81">
        <f t="shared" ca="1" si="238"/>
        <v>-19.559857676547647</v>
      </c>
      <c r="AC391" s="79">
        <f t="shared" ca="1" si="239"/>
        <v>898.17022832480791</v>
      </c>
      <c r="AD391" s="35"/>
      <c r="AE391" s="62">
        <f t="shared" ca="1" si="240"/>
        <v>-2500.6101455486769</v>
      </c>
      <c r="AF391" s="62">
        <f t="shared" ca="1" si="241"/>
        <v>114825.66092859245</v>
      </c>
      <c r="AG391" s="35"/>
      <c r="AH391" s="35"/>
      <c r="AR391" s="69">
        <f t="shared" si="251"/>
        <v>33</v>
      </c>
      <c r="AS391" s="70">
        <f t="shared" si="257"/>
        <v>388</v>
      </c>
      <c r="AT391" s="71">
        <f t="shared" si="230"/>
        <v>7.024205675448196E-2</v>
      </c>
      <c r="AU391" s="72">
        <f t="shared" si="242"/>
        <v>6.8214933659622723E-3</v>
      </c>
      <c r="AV391" s="73">
        <f t="shared" si="252"/>
        <v>1.0068214933659623</v>
      </c>
      <c r="AW391" s="74">
        <f>PRODUCT(AV$4:AV391)</f>
        <v>13.981750069303089</v>
      </c>
    </row>
    <row r="392" spans="5:49">
      <c r="E392">
        <f t="shared" si="228"/>
        <v>389</v>
      </c>
      <c r="F392" s="64">
        <f t="shared" si="243"/>
        <v>86.04</v>
      </c>
      <c r="G392" s="55">
        <f t="shared" si="231"/>
        <v>0</v>
      </c>
      <c r="H392" s="78">
        <f t="shared" si="258"/>
        <v>1</v>
      </c>
      <c r="I392" s="79">
        <f t="shared" si="244"/>
        <v>308291.57567448978</v>
      </c>
      <c r="J392" s="79">
        <f t="shared" si="232"/>
        <v>2103.0089382455881</v>
      </c>
      <c r="K392" s="80">
        <f t="shared" si="233"/>
        <v>-15</v>
      </c>
      <c r="L392" s="80">
        <f t="shared" si="245"/>
        <v>-256.90964639540817</v>
      </c>
      <c r="M392" s="80">
        <f t="shared" si="229"/>
        <v>0</v>
      </c>
      <c r="N392" s="80">
        <f t="shared" si="246"/>
        <v>-292.87699689076538</v>
      </c>
      <c r="O392" s="81">
        <f t="shared" si="234"/>
        <v>-2500.6101455486769</v>
      </c>
      <c r="P392" s="79">
        <f t="shared" si="235"/>
        <v>307329.18782390055</v>
      </c>
      <c r="Q392" s="35"/>
      <c r="R392">
        <f t="shared" ca="1" si="247"/>
        <v>514</v>
      </c>
      <c r="S392" s="78">
        <f t="shared" ca="1" si="248"/>
        <v>96.04</v>
      </c>
      <c r="T392" s="55">
        <f t="shared" ca="1" si="236"/>
        <v>3.710811547546744E-2</v>
      </c>
      <c r="U392" s="78">
        <f t="shared" ca="1" si="253"/>
        <v>7.5317730965496418E-3</v>
      </c>
      <c r="V392" s="79">
        <f t="shared" ca="1" si="249"/>
        <v>864.84082377550396</v>
      </c>
      <c r="W392" s="79">
        <f t="shared" ca="1" si="237"/>
        <v>5.8995059419979468</v>
      </c>
      <c r="X392" s="80">
        <f t="shared" ca="1" si="254"/>
        <v>-0.11297659644824462</v>
      </c>
      <c r="Y392" s="80">
        <f t="shared" ca="1" si="255"/>
        <v>-0.72070068647958663</v>
      </c>
      <c r="Z392" s="80">
        <f t="shared" ca="1" si="250"/>
        <v>0</v>
      </c>
      <c r="AA392" s="80">
        <f t="shared" ca="1" si="256"/>
        <v>-0.82159878258672892</v>
      </c>
      <c r="AB392" s="81">
        <f t="shared" ca="1" si="238"/>
        <v>-18.834028219202608</v>
      </c>
      <c r="AC392" s="79">
        <f t="shared" ca="1" si="239"/>
        <v>850.25102543278467</v>
      </c>
      <c r="AD392" s="35"/>
      <c r="AE392" s="62">
        <f t="shared" ca="1" si="240"/>
        <v>-2500.6101455486769</v>
      </c>
      <c r="AF392" s="62">
        <f t="shared" ca="1" si="241"/>
        <v>112888.5608386544</v>
      </c>
      <c r="AG392" s="35"/>
      <c r="AH392" s="35"/>
      <c r="AR392" s="69">
        <f t="shared" si="251"/>
        <v>33</v>
      </c>
      <c r="AS392" s="70">
        <f t="shared" si="257"/>
        <v>389</v>
      </c>
      <c r="AT392" s="71">
        <f t="shared" si="230"/>
        <v>6.9762901030319721E-2</v>
      </c>
      <c r="AU392" s="72">
        <f t="shared" si="242"/>
        <v>6.8214933659622723E-3</v>
      </c>
      <c r="AV392" s="73">
        <f t="shared" si="252"/>
        <v>1.0068214933659623</v>
      </c>
      <c r="AW392" s="74">
        <f>PRODUCT(AV$4:AV392)</f>
        <v>14.077126484645383</v>
      </c>
    </row>
    <row r="393" spans="5:49">
      <c r="E393">
        <f t="shared" si="228"/>
        <v>390</v>
      </c>
      <c r="F393" s="64">
        <f t="shared" si="243"/>
        <v>86.12</v>
      </c>
      <c r="G393" s="55">
        <f t="shared" si="231"/>
        <v>0</v>
      </c>
      <c r="H393" s="78">
        <f t="shared" si="258"/>
        <v>1</v>
      </c>
      <c r="I393" s="79">
        <f t="shared" si="244"/>
        <v>307329.18782390055</v>
      </c>
      <c r="J393" s="79">
        <f t="shared" si="232"/>
        <v>2096.4440159073106</v>
      </c>
      <c r="K393" s="80">
        <f t="shared" si="233"/>
        <v>-15</v>
      </c>
      <c r="L393" s="80">
        <f t="shared" si="245"/>
        <v>-256.10765651991716</v>
      </c>
      <c r="M393" s="80">
        <f t="shared" si="229"/>
        <v>0</v>
      </c>
      <c r="N393" s="80">
        <f t="shared" si="246"/>
        <v>-291.96272843270555</v>
      </c>
      <c r="O393" s="81">
        <f t="shared" si="234"/>
        <v>-2500.6101455486769</v>
      </c>
      <c r="P393" s="79">
        <f t="shared" si="235"/>
        <v>306361.95130930655</v>
      </c>
      <c r="Q393" s="35"/>
      <c r="R393">
        <f t="shared" ca="1" si="247"/>
        <v>515</v>
      </c>
      <c r="S393" s="78">
        <f t="shared" ca="1" si="248"/>
        <v>96.12</v>
      </c>
      <c r="T393" s="55">
        <f t="shared" ca="1" si="236"/>
        <v>3.710811547546744E-2</v>
      </c>
      <c r="U393" s="78">
        <f t="shared" ca="1" si="253"/>
        <v>7.2522831907478585E-3</v>
      </c>
      <c r="V393" s="79">
        <f t="shared" ca="1" si="249"/>
        <v>818.69981219789031</v>
      </c>
      <c r="W393" s="79">
        <f t="shared" ca="1" si="237"/>
        <v>5.5847553376224672</v>
      </c>
      <c r="X393" s="80">
        <f t="shared" ca="1" si="254"/>
        <v>-0.10878424786121788</v>
      </c>
      <c r="Y393" s="80">
        <f t="shared" ca="1" si="255"/>
        <v>-0.68224984349824191</v>
      </c>
      <c r="Z393" s="80">
        <f t="shared" ca="1" si="250"/>
        <v>0</v>
      </c>
      <c r="AA393" s="80">
        <f t="shared" ca="1" si="256"/>
        <v>-0.77776482158799587</v>
      </c>
      <c r="AB393" s="81">
        <f t="shared" ca="1" si="238"/>
        <v>-18.135132925176226</v>
      </c>
      <c r="AC393" s="79">
        <f t="shared" ca="1" si="239"/>
        <v>804.5806356973892</v>
      </c>
      <c r="AD393" s="35"/>
      <c r="AE393" s="62">
        <f t="shared" ca="1" si="240"/>
        <v>-2500.6101455486769</v>
      </c>
      <c r="AF393" s="62">
        <f t="shared" ca="1" si="241"/>
        <v>110941.70132846406</v>
      </c>
      <c r="AG393" s="35"/>
      <c r="AH393" s="35"/>
      <c r="AR393" s="69">
        <f t="shared" si="251"/>
        <v>33</v>
      </c>
      <c r="AS393" s="70">
        <f t="shared" si="257"/>
        <v>390</v>
      </c>
      <c r="AT393" s="71">
        <f t="shared" si="230"/>
        <v>6.9287013863751107E-2</v>
      </c>
      <c r="AU393" s="72">
        <f t="shared" si="242"/>
        <v>6.8214933659622723E-3</v>
      </c>
      <c r="AV393" s="73">
        <f t="shared" si="252"/>
        <v>1.0068214933659623</v>
      </c>
      <c r="AW393" s="74">
        <f>PRODUCT(AV$4:AV393)</f>
        <v>14.173153509572204</v>
      </c>
    </row>
    <row r="394" spans="5:49">
      <c r="E394">
        <f t="shared" si="228"/>
        <v>391</v>
      </c>
      <c r="F394" s="64">
        <f t="shared" si="243"/>
        <v>86.2</v>
      </c>
      <c r="G394" s="55">
        <f t="shared" si="231"/>
        <v>0</v>
      </c>
      <c r="H394" s="78">
        <f t="shared" si="258"/>
        <v>1</v>
      </c>
      <c r="I394" s="79">
        <f t="shared" si="244"/>
        <v>306361.95130930655</v>
      </c>
      <c r="J394" s="79">
        <f t="shared" si="232"/>
        <v>2089.8460184396913</v>
      </c>
      <c r="K394" s="80">
        <f t="shared" si="233"/>
        <v>-15</v>
      </c>
      <c r="L394" s="80">
        <f t="shared" si="245"/>
        <v>-255.30162609108879</v>
      </c>
      <c r="M394" s="80">
        <f t="shared" si="229"/>
        <v>0</v>
      </c>
      <c r="N394" s="80">
        <f t="shared" si="246"/>
        <v>-291.04385374384128</v>
      </c>
      <c r="O394" s="81">
        <f t="shared" si="234"/>
        <v>-2500.6101455486769</v>
      </c>
      <c r="P394" s="79">
        <f t="shared" si="235"/>
        <v>305389.8417023627</v>
      </c>
      <c r="Q394" s="35"/>
      <c r="R394">
        <f t="shared" ca="1" si="247"/>
        <v>516</v>
      </c>
      <c r="S394" s="78">
        <f t="shared" ca="1" si="248"/>
        <v>96.2</v>
      </c>
      <c r="T394" s="55">
        <f t="shared" ca="1" si="236"/>
        <v>3.710811547546744E-2</v>
      </c>
      <c r="U394" s="78">
        <f t="shared" ca="1" si="253"/>
        <v>6.9831646286447951E-3</v>
      </c>
      <c r="V394" s="79">
        <f t="shared" ca="1" si="249"/>
        <v>774.72416455860548</v>
      </c>
      <c r="W394" s="79">
        <f t="shared" ca="1" si="237"/>
        <v>5.2847757489871912</v>
      </c>
      <c r="X394" s="80">
        <f t="shared" ca="1" si="254"/>
        <v>-0.10474746942967193</v>
      </c>
      <c r="Y394" s="80">
        <f t="shared" ca="1" si="255"/>
        <v>-0.64560347046550459</v>
      </c>
      <c r="Z394" s="80">
        <f t="shared" ca="1" si="250"/>
        <v>0</v>
      </c>
      <c r="AA394" s="80">
        <f t="shared" ca="1" si="256"/>
        <v>-0.73598795633067537</v>
      </c>
      <c r="AB394" s="81">
        <f t="shared" ca="1" si="238"/>
        <v>-17.462172318425832</v>
      </c>
      <c r="AC394" s="79">
        <f t="shared" ca="1" si="239"/>
        <v>761.06042909294104</v>
      </c>
      <c r="AD394" s="35"/>
      <c r="AE394" s="62">
        <f t="shared" ca="1" si="240"/>
        <v>-2500.6101455486769</v>
      </c>
      <c r="AF394" s="62">
        <f t="shared" ca="1" si="241"/>
        <v>108985.03322850031</v>
      </c>
      <c r="AG394" s="35"/>
      <c r="AH394" s="35"/>
      <c r="AR394" s="69">
        <f t="shared" si="251"/>
        <v>33</v>
      </c>
      <c r="AS394" s="70">
        <f t="shared" si="257"/>
        <v>391</v>
      </c>
      <c r="AT394" s="71">
        <f t="shared" si="230"/>
        <v>6.881437295833219E-2</v>
      </c>
      <c r="AU394" s="72">
        <f t="shared" si="242"/>
        <v>6.8214933659622723E-3</v>
      </c>
      <c r="AV394" s="73">
        <f t="shared" si="252"/>
        <v>1.0068214933659623</v>
      </c>
      <c r="AW394" s="74">
        <f>PRODUCT(AV$4:AV394)</f>
        <v>14.269835582212515</v>
      </c>
    </row>
    <row r="395" spans="5:49">
      <c r="E395">
        <f t="shared" si="228"/>
        <v>392</v>
      </c>
      <c r="F395" s="64">
        <f t="shared" si="243"/>
        <v>86.28</v>
      </c>
      <c r="G395" s="55">
        <f t="shared" si="231"/>
        <v>0</v>
      </c>
      <c r="H395" s="78">
        <f t="shared" si="258"/>
        <v>1</v>
      </c>
      <c r="I395" s="79">
        <f t="shared" si="244"/>
        <v>305389.8417023627</v>
      </c>
      <c r="J395" s="79">
        <f t="shared" si="232"/>
        <v>2083.2147792049354</v>
      </c>
      <c r="K395" s="80">
        <f t="shared" si="233"/>
        <v>-15</v>
      </c>
      <c r="L395" s="80">
        <f t="shared" si="245"/>
        <v>-254.49153475196894</v>
      </c>
      <c r="M395" s="80">
        <f t="shared" si="229"/>
        <v>0</v>
      </c>
      <c r="N395" s="80">
        <f t="shared" si="246"/>
        <v>-290.12034961724459</v>
      </c>
      <c r="O395" s="81">
        <f t="shared" si="234"/>
        <v>-2500.6101455486769</v>
      </c>
      <c r="P395" s="79">
        <f t="shared" si="235"/>
        <v>304412.83445164975</v>
      </c>
      <c r="Q395" s="35"/>
      <c r="R395">
        <f t="shared" ca="1" si="247"/>
        <v>517</v>
      </c>
      <c r="S395" s="78">
        <f t="shared" ca="1" si="248"/>
        <v>96.28</v>
      </c>
      <c r="T395" s="55">
        <f t="shared" ca="1" si="236"/>
        <v>3.710811547546744E-2</v>
      </c>
      <c r="U395" s="78">
        <f t="shared" ca="1" si="253"/>
        <v>6.7240325492208446E-3</v>
      </c>
      <c r="V395" s="79">
        <f t="shared" ca="1" si="249"/>
        <v>732.81891080635137</v>
      </c>
      <c r="W395" s="79">
        <f t="shared" ca="1" si="237"/>
        <v>4.9989193385172239</v>
      </c>
      <c r="X395" s="80">
        <f t="shared" ca="1" si="254"/>
        <v>-0.10086048823831267</v>
      </c>
      <c r="Y395" s="80">
        <f t="shared" ca="1" si="255"/>
        <v>-0.61068242567195952</v>
      </c>
      <c r="Z395" s="80">
        <f t="shared" ca="1" si="250"/>
        <v>-5.4961418310476349</v>
      </c>
      <c r="AA395" s="80">
        <f t="shared" ca="1" si="256"/>
        <v>-0.69617796526603393</v>
      </c>
      <c r="AB395" s="81">
        <f t="shared" ca="1" si="238"/>
        <v>-16.814184011581176</v>
      </c>
      <c r="AC395" s="79">
        <f t="shared" ca="1" si="239"/>
        <v>714.0997834230634</v>
      </c>
      <c r="AD395" s="35"/>
      <c r="AE395" s="62">
        <f t="shared" ca="1" si="240"/>
        <v>-2500.6101455486769</v>
      </c>
      <c r="AF395" s="62">
        <f t="shared" ca="1" si="241"/>
        <v>106201.11937230443</v>
      </c>
      <c r="AG395" s="35"/>
      <c r="AH395" s="35"/>
      <c r="AR395" s="69">
        <f t="shared" si="251"/>
        <v>33</v>
      </c>
      <c r="AS395" s="70">
        <f t="shared" si="257"/>
        <v>392</v>
      </c>
      <c r="AT395" s="71">
        <f t="shared" si="230"/>
        <v>6.8344956169714075E-2</v>
      </c>
      <c r="AU395" s="72">
        <f t="shared" si="242"/>
        <v>6.8214933659622723E-3</v>
      </c>
      <c r="AV395" s="73">
        <f t="shared" si="252"/>
        <v>1.0068214933659623</v>
      </c>
      <c r="AW395" s="74">
        <f>PRODUCT(AV$4:AV395)</f>
        <v>14.367177170969951</v>
      </c>
    </row>
    <row r="396" spans="5:49">
      <c r="E396">
        <f t="shared" si="228"/>
        <v>393</v>
      </c>
      <c r="F396" s="64">
        <f t="shared" si="243"/>
        <v>86.36</v>
      </c>
      <c r="G396" s="55">
        <f t="shared" si="231"/>
        <v>0</v>
      </c>
      <c r="H396" s="78">
        <f t="shared" si="258"/>
        <v>1</v>
      </c>
      <c r="I396" s="79">
        <f t="shared" si="244"/>
        <v>304412.83445164975</v>
      </c>
      <c r="J396" s="79">
        <f t="shared" si="232"/>
        <v>2076.5501307257</v>
      </c>
      <c r="K396" s="80">
        <f t="shared" si="233"/>
        <v>-15</v>
      </c>
      <c r="L396" s="80">
        <f t="shared" si="245"/>
        <v>-253.67736204304148</v>
      </c>
      <c r="M396" s="80">
        <f t="shared" si="229"/>
        <v>0</v>
      </c>
      <c r="N396" s="80">
        <f t="shared" si="246"/>
        <v>-289.1921927290673</v>
      </c>
      <c r="O396" s="81">
        <f t="shared" si="234"/>
        <v>-2500.6101455486769</v>
      </c>
      <c r="P396" s="79">
        <f t="shared" si="235"/>
        <v>303430.90488205472</v>
      </c>
      <c r="Q396" s="35"/>
      <c r="R396">
        <f t="shared" ca="1" si="247"/>
        <v>518</v>
      </c>
      <c r="S396" s="78">
        <f t="shared" ca="1" si="248"/>
        <v>96.36</v>
      </c>
      <c r="T396" s="55">
        <f t="shared" ca="1" si="236"/>
        <v>3.710811547546744E-2</v>
      </c>
      <c r="U396" s="78">
        <f t="shared" ca="1" si="253"/>
        <v>6.4745163729235562E-3</v>
      </c>
      <c r="V396" s="79">
        <f t="shared" ca="1" si="249"/>
        <v>687.60088619879411</v>
      </c>
      <c r="W396" s="79">
        <f t="shared" ca="1" si="237"/>
        <v>4.6904648836348537</v>
      </c>
      <c r="X396" s="80">
        <f t="shared" ca="1" si="254"/>
        <v>-9.7117745593853347E-2</v>
      </c>
      <c r="Y396" s="80">
        <f t="shared" ca="1" si="255"/>
        <v>-0.57300073849899513</v>
      </c>
      <c r="Z396" s="80">
        <f t="shared" ca="1" si="250"/>
        <v>0</v>
      </c>
      <c r="AA396" s="80">
        <f t="shared" ca="1" si="256"/>
        <v>-0.65322084188885454</v>
      </c>
      <c r="AB396" s="81">
        <f t="shared" ca="1" si="238"/>
        <v>-16.190241329653666</v>
      </c>
      <c r="AC396" s="79">
        <f t="shared" ca="1" si="239"/>
        <v>674.77777042679361</v>
      </c>
      <c r="AD396" s="35"/>
      <c r="AE396" s="62">
        <f t="shared" ca="1" si="240"/>
        <v>-2500.6101455486769</v>
      </c>
      <c r="AF396" s="62">
        <f t="shared" ca="1" si="241"/>
        <v>104220.56746179775</v>
      </c>
      <c r="AG396" s="35"/>
      <c r="AH396" s="35"/>
      <c r="AR396" s="69">
        <f t="shared" si="251"/>
        <v>33</v>
      </c>
      <c r="AS396" s="70">
        <f t="shared" si="257"/>
        <v>393</v>
      </c>
      <c r="AT396" s="71">
        <f t="shared" si="230"/>
        <v>6.7878741504605392E-2</v>
      </c>
      <c r="AU396" s="72">
        <f t="shared" si="242"/>
        <v>6.8214933659622723E-3</v>
      </c>
      <c r="AV396" s="73">
        <f t="shared" si="252"/>
        <v>1.0068214933659623</v>
      </c>
      <c r="AW396" s="74">
        <f>PRODUCT(AV$4:AV396)</f>
        <v>14.465182774729326</v>
      </c>
    </row>
    <row r="397" spans="5:49">
      <c r="E397">
        <f t="shared" si="228"/>
        <v>394</v>
      </c>
      <c r="F397" s="64">
        <f t="shared" si="243"/>
        <v>86.44</v>
      </c>
      <c r="G397" s="55">
        <f t="shared" si="231"/>
        <v>0</v>
      </c>
      <c r="H397" s="78">
        <f t="shared" si="258"/>
        <v>1</v>
      </c>
      <c r="I397" s="79">
        <f t="shared" si="244"/>
        <v>303430.90488205472</v>
      </c>
      <c r="J397" s="79">
        <f t="shared" si="232"/>
        <v>2069.8519046808656</v>
      </c>
      <c r="K397" s="80">
        <f t="shared" si="233"/>
        <v>-15</v>
      </c>
      <c r="L397" s="80">
        <f t="shared" si="245"/>
        <v>-252.85908740171229</v>
      </c>
      <c r="M397" s="80">
        <f t="shared" si="229"/>
        <v>0</v>
      </c>
      <c r="N397" s="80">
        <f t="shared" si="246"/>
        <v>-288.25935963795206</v>
      </c>
      <c r="O397" s="81">
        <f t="shared" si="234"/>
        <v>-2500.6101455486769</v>
      </c>
      <c r="P397" s="79">
        <f t="shared" si="235"/>
        <v>302444.02819414728</v>
      </c>
      <c r="Q397" s="35"/>
      <c r="R397">
        <f t="shared" ca="1" si="247"/>
        <v>519</v>
      </c>
      <c r="S397" s="78">
        <f t="shared" ca="1" si="248"/>
        <v>96.44</v>
      </c>
      <c r="T397" s="55">
        <f t="shared" ca="1" si="236"/>
        <v>3.710811547546744E-2</v>
      </c>
      <c r="U397" s="78">
        <f t="shared" ca="1" si="253"/>
        <v>6.2342592717093042E-3</v>
      </c>
      <c r="V397" s="79">
        <f t="shared" ca="1" si="249"/>
        <v>649.73803900151768</v>
      </c>
      <c r="W397" s="79">
        <f t="shared" ca="1" si="237"/>
        <v>4.432183722662189</v>
      </c>
      <c r="X397" s="80">
        <f t="shared" ca="1" si="254"/>
        <v>-9.3513889075639567E-2</v>
      </c>
      <c r="Y397" s="80">
        <f t="shared" ca="1" si="255"/>
        <v>-0.5414483658345981</v>
      </c>
      <c r="Z397" s="80">
        <f t="shared" ca="1" si="250"/>
        <v>0</v>
      </c>
      <c r="AA397" s="80">
        <f t="shared" ca="1" si="256"/>
        <v>-0.61725113705144186</v>
      </c>
      <c r="AB397" s="81">
        <f t="shared" ca="1" si="238"/>
        <v>-15.58945198481719</v>
      </c>
      <c r="AC397" s="79">
        <f t="shared" ca="1" si="239"/>
        <v>637.32855734740099</v>
      </c>
      <c r="AD397" s="35"/>
      <c r="AE397" s="62">
        <f t="shared" ca="1" si="240"/>
        <v>-2500.6101455486764</v>
      </c>
      <c r="AF397" s="62">
        <f t="shared" ca="1" si="241"/>
        <v>102230.03721381302</v>
      </c>
      <c r="AG397" s="35"/>
      <c r="AH397" s="35"/>
      <c r="AR397" s="69">
        <f t="shared" si="251"/>
        <v>33</v>
      </c>
      <c r="AS397" s="70">
        <f t="shared" si="257"/>
        <v>394</v>
      </c>
      <c r="AT397" s="71">
        <f t="shared" si="230"/>
        <v>6.7415707119741861E-2</v>
      </c>
      <c r="AU397" s="72">
        <f t="shared" si="242"/>
        <v>6.8214933659622723E-3</v>
      </c>
      <c r="AV397" s="73">
        <f t="shared" si="252"/>
        <v>1.0068214933659623</v>
      </c>
      <c r="AW397" s="74">
        <f>PRODUCT(AV$4:AV397)</f>
        <v>14.563856923064574</v>
      </c>
    </row>
    <row r="398" spans="5:49">
      <c r="E398">
        <f t="shared" si="228"/>
        <v>395</v>
      </c>
      <c r="F398" s="64">
        <f t="shared" si="243"/>
        <v>86.52</v>
      </c>
      <c r="G398" s="55">
        <f t="shared" si="231"/>
        <v>0</v>
      </c>
      <c r="H398" s="78">
        <f t="shared" si="258"/>
        <v>1</v>
      </c>
      <c r="I398" s="79">
        <f t="shared" si="244"/>
        <v>302444.02819414728</v>
      </c>
      <c r="J398" s="79">
        <f t="shared" si="232"/>
        <v>2063.1199319012821</v>
      </c>
      <c r="K398" s="80">
        <f t="shared" si="233"/>
        <v>-15</v>
      </c>
      <c r="L398" s="80">
        <f t="shared" si="245"/>
        <v>-252.03669016178941</v>
      </c>
      <c r="M398" s="80">
        <f t="shared" si="229"/>
        <v>0</v>
      </c>
      <c r="N398" s="80">
        <f t="shared" si="246"/>
        <v>-287.32182678443996</v>
      </c>
      <c r="O398" s="81">
        <f t="shared" si="234"/>
        <v>-2500.6101455486769</v>
      </c>
      <c r="P398" s="79">
        <f t="shared" si="235"/>
        <v>301452.17946355365</v>
      </c>
      <c r="Q398" s="35"/>
      <c r="R398">
        <f t="shared" ca="1" si="247"/>
        <v>520</v>
      </c>
      <c r="S398" s="78">
        <f t="shared" ca="1" si="248"/>
        <v>96.52</v>
      </c>
      <c r="T398" s="55">
        <f t="shared" ca="1" si="236"/>
        <v>4.0667232332721959E-2</v>
      </c>
      <c r="U398" s="78">
        <f t="shared" ca="1" si="253"/>
        <v>5.980729201484276E-3</v>
      </c>
      <c r="V398" s="79">
        <f t="shared" ca="1" si="249"/>
        <v>611.41016883347572</v>
      </c>
      <c r="W398" s="79">
        <f t="shared" ca="1" si="237"/>
        <v>4.1707304105794272</v>
      </c>
      <c r="X398" s="80">
        <f t="shared" ca="1" si="254"/>
        <v>-8.9710938022264139E-2</v>
      </c>
      <c r="Y398" s="80">
        <f t="shared" ca="1" si="255"/>
        <v>-0.50950847402789645</v>
      </c>
      <c r="Z398" s="80">
        <f t="shared" ca="1" si="250"/>
        <v>0</v>
      </c>
      <c r="AA398" s="80">
        <f t="shared" ca="1" si="256"/>
        <v>-0.58083966039180202</v>
      </c>
      <c r="AB398" s="81">
        <f t="shared" ca="1" si="238"/>
        <v>-14.955472119010819</v>
      </c>
      <c r="AC398" s="79">
        <f t="shared" ca="1" si="239"/>
        <v>599.44536805260236</v>
      </c>
      <c r="AD398" s="35"/>
      <c r="AE398" s="62">
        <f t="shared" ca="1" si="240"/>
        <v>-2500.6101455486773</v>
      </c>
      <c r="AF398" s="62">
        <f t="shared" ca="1" si="241"/>
        <v>100229.47835588914</v>
      </c>
      <c r="AG398" s="35"/>
      <c r="AH398" s="35"/>
      <c r="AR398" s="69">
        <f t="shared" si="251"/>
        <v>33</v>
      </c>
      <c r="AS398" s="70">
        <f t="shared" si="257"/>
        <v>395</v>
      </c>
      <c r="AT398" s="71">
        <f t="shared" si="230"/>
        <v>6.6955831320862885E-2</v>
      </c>
      <c r="AU398" s="72">
        <f t="shared" si="242"/>
        <v>6.8214933659622723E-3</v>
      </c>
      <c r="AV398" s="73">
        <f t="shared" si="252"/>
        <v>1.0068214933659623</v>
      </c>
      <c r="AW398" s="74">
        <f>PRODUCT(AV$4:AV398)</f>
        <v>14.663204176448083</v>
      </c>
    </row>
    <row r="399" spans="5:49">
      <c r="E399">
        <f t="shared" si="228"/>
        <v>396</v>
      </c>
      <c r="F399" s="64">
        <f t="shared" si="243"/>
        <v>86.6</v>
      </c>
      <c r="G399" s="55">
        <f t="shared" si="231"/>
        <v>0</v>
      </c>
      <c r="H399" s="78">
        <f t="shared" si="258"/>
        <v>1</v>
      </c>
      <c r="I399" s="79">
        <f t="shared" si="244"/>
        <v>301452.17946355365</v>
      </c>
      <c r="J399" s="79">
        <f t="shared" si="232"/>
        <v>2056.3540423654995</v>
      </c>
      <c r="K399" s="80">
        <f t="shared" si="233"/>
        <v>-15</v>
      </c>
      <c r="L399" s="80">
        <f t="shared" si="245"/>
        <v>-251.21014955296138</v>
      </c>
      <c r="M399" s="80">
        <f t="shared" si="229"/>
        <v>0</v>
      </c>
      <c r="N399" s="80">
        <f t="shared" si="246"/>
        <v>-286.37957049037601</v>
      </c>
      <c r="O399" s="81">
        <f t="shared" si="234"/>
        <v>-2500.6101455486769</v>
      </c>
      <c r="P399" s="79">
        <f t="shared" si="235"/>
        <v>300455.33364032715</v>
      </c>
      <c r="Q399" s="35"/>
      <c r="R399">
        <f t="shared" ca="1" si="247"/>
        <v>521</v>
      </c>
      <c r="S399" s="78">
        <f t="shared" ca="1" si="248"/>
        <v>96.6</v>
      </c>
      <c r="T399" s="55">
        <f t="shared" ca="1" si="236"/>
        <v>4.0667232332721959E-2</v>
      </c>
      <c r="U399" s="78">
        <f t="shared" ca="1" si="253"/>
        <v>5.7375094975284204E-3</v>
      </c>
      <c r="V399" s="79">
        <f t="shared" ca="1" si="249"/>
        <v>575.06758399923319</v>
      </c>
      <c r="W399" s="79">
        <f t="shared" ca="1" si="237"/>
        <v>3.9228197092307209</v>
      </c>
      <c r="X399" s="80">
        <f t="shared" ca="1" si="254"/>
        <v>-8.6062642462926303E-2</v>
      </c>
      <c r="Y399" s="80">
        <f t="shared" ca="1" si="255"/>
        <v>-0.47922298666602769</v>
      </c>
      <c r="Z399" s="80">
        <f t="shared" ca="1" si="250"/>
        <v>0</v>
      </c>
      <c r="AA399" s="80">
        <f t="shared" ca="1" si="256"/>
        <v>-0.54631420479927162</v>
      </c>
      <c r="AB399" s="81">
        <f t="shared" ca="1" si="238"/>
        <v>-14.34727445970146</v>
      </c>
      <c r="AC399" s="79">
        <f t="shared" ca="1" si="239"/>
        <v>563.53152941483415</v>
      </c>
      <c r="AD399" s="35"/>
      <c r="AE399" s="62">
        <f t="shared" ca="1" si="240"/>
        <v>-2500.6101455486769</v>
      </c>
      <c r="AF399" s="62">
        <f t="shared" ca="1" si="241"/>
        <v>98218.840362284333</v>
      </c>
      <c r="AG399" s="35"/>
      <c r="AH399" s="35"/>
      <c r="AR399" s="69">
        <f t="shared" si="251"/>
        <v>33</v>
      </c>
      <c r="AS399" s="70">
        <f t="shared" si="257"/>
        <v>396</v>
      </c>
      <c r="AT399" s="71">
        <f t="shared" si="230"/>
        <v>6.6499092561695131E-2</v>
      </c>
      <c r="AU399" s="72">
        <f t="shared" si="242"/>
        <v>6.8214933659622723E-3</v>
      </c>
      <c r="AV399" s="73">
        <f t="shared" si="252"/>
        <v>1.0068214933659623</v>
      </c>
      <c r="AW399" s="74">
        <f>PRODUCT(AV$4:AV399)</f>
        <v>14.763229126461473</v>
      </c>
    </row>
    <row r="400" spans="5:49">
      <c r="E400">
        <f t="shared" ref="E400:E463" si="259">E399+1</f>
        <v>397</v>
      </c>
      <c r="F400" s="64">
        <f t="shared" si="243"/>
        <v>86.68</v>
      </c>
      <c r="G400" s="55">
        <f t="shared" si="231"/>
        <v>0</v>
      </c>
      <c r="H400" s="78">
        <f t="shared" si="258"/>
        <v>1</v>
      </c>
      <c r="I400" s="79">
        <f t="shared" si="244"/>
        <v>300455.33364032715</v>
      </c>
      <c r="J400" s="79">
        <f t="shared" si="232"/>
        <v>2049.554065195473</v>
      </c>
      <c r="K400" s="80">
        <f t="shared" si="233"/>
        <v>-15</v>
      </c>
      <c r="L400" s="80">
        <f t="shared" si="245"/>
        <v>-250.37944470027264</v>
      </c>
      <c r="M400" s="80">
        <f t="shared" ref="M400:M463" si="260">IF(OR(I399+O399=0,K399=0),0,-IF(MOD(E400-1,12)=0,1,0)*I400*($C$17))</f>
        <v>-2253.4150023024536</v>
      </c>
      <c r="N400" s="80">
        <f t="shared" si="246"/>
        <v>-285.43256695831082</v>
      </c>
      <c r="O400" s="81">
        <f t="shared" si="234"/>
        <v>-2500.6101455486769</v>
      </c>
      <c r="P400" s="79">
        <f t="shared" si="235"/>
        <v>297200.05054601299</v>
      </c>
      <c r="Q400" s="35"/>
      <c r="R400">
        <f t="shared" ca="1" si="247"/>
        <v>522</v>
      </c>
      <c r="S400" s="78">
        <f t="shared" ca="1" si="248"/>
        <v>96.68</v>
      </c>
      <c r="T400" s="55">
        <f t="shared" ca="1" si="236"/>
        <v>4.0667232332721959E-2</v>
      </c>
      <c r="U400" s="78">
        <f t="shared" ca="1" si="253"/>
        <v>5.5041808657812332E-3</v>
      </c>
      <c r="V400" s="79">
        <f t="shared" ca="1" si="249"/>
        <v>540.61426178130694</v>
      </c>
      <c r="W400" s="79">
        <f t="shared" ca="1" si="237"/>
        <v>3.6877966002857763</v>
      </c>
      <c r="X400" s="80">
        <f t="shared" ca="1" si="254"/>
        <v>-8.2562712986718495E-2</v>
      </c>
      <c r="Y400" s="80">
        <f t="shared" ca="1" si="255"/>
        <v>-0.45051188481775584</v>
      </c>
      <c r="Z400" s="80">
        <f t="shared" ca="1" si="250"/>
        <v>0</v>
      </c>
      <c r="AA400" s="80">
        <f t="shared" ca="1" si="256"/>
        <v>-0.51358354869224165</v>
      </c>
      <c r="AB400" s="81">
        <f t="shared" ca="1" si="238"/>
        <v>-13.763810515907451</v>
      </c>
      <c r="AC400" s="79">
        <f t="shared" ca="1" si="239"/>
        <v>529.49158971918848</v>
      </c>
      <c r="AD400" s="35"/>
      <c r="AE400" s="62">
        <f t="shared" ca="1" si="240"/>
        <v>-2500.6101455486769</v>
      </c>
      <c r="AF400" s="62">
        <f t="shared" ca="1" si="241"/>
        <v>96198.072452700071</v>
      </c>
      <c r="AG400" s="35"/>
      <c r="AH400" s="35"/>
      <c r="AR400" s="69">
        <f t="shared" si="251"/>
        <v>34</v>
      </c>
      <c r="AS400" s="70">
        <f t="shared" si="257"/>
        <v>397</v>
      </c>
      <c r="AT400" s="71">
        <f t="shared" si="230"/>
        <v>6.6045469442943011E-2</v>
      </c>
      <c r="AU400" s="72">
        <f t="shared" si="242"/>
        <v>6.8214933659622723E-3</v>
      </c>
      <c r="AV400" s="73">
        <f t="shared" si="252"/>
        <v>1.0068214933659623</v>
      </c>
      <c r="AW400" s="74">
        <f>PRODUCT(AV$4:AV400)</f>
        <v>14.86393639600781</v>
      </c>
    </row>
    <row r="401" spans="5:49">
      <c r="E401">
        <f t="shared" si="259"/>
        <v>398</v>
      </c>
      <c r="F401" s="64">
        <f t="shared" si="243"/>
        <v>86.76</v>
      </c>
      <c r="G401" s="55">
        <f t="shared" si="231"/>
        <v>0</v>
      </c>
      <c r="H401" s="78">
        <f t="shared" si="258"/>
        <v>1</v>
      </c>
      <c r="I401" s="79">
        <f t="shared" si="244"/>
        <v>297200.05054601299</v>
      </c>
      <c r="J401" s="79">
        <f t="shared" si="232"/>
        <v>2027.3481731632796</v>
      </c>
      <c r="K401" s="80">
        <f t="shared" si="233"/>
        <v>-15</v>
      </c>
      <c r="L401" s="80">
        <f t="shared" si="245"/>
        <v>-247.66670878834418</v>
      </c>
      <c r="M401" s="80">
        <f t="shared" si="260"/>
        <v>0</v>
      </c>
      <c r="N401" s="80">
        <f t="shared" si="246"/>
        <v>-282.34004801871237</v>
      </c>
      <c r="O401" s="81">
        <f t="shared" si="234"/>
        <v>-2500.6101455486769</v>
      </c>
      <c r="P401" s="79">
        <f t="shared" si="235"/>
        <v>296181.78181682056</v>
      </c>
      <c r="Q401" s="35"/>
      <c r="R401">
        <f t="shared" ca="1" si="247"/>
        <v>523</v>
      </c>
      <c r="S401" s="78">
        <f t="shared" ca="1" si="248"/>
        <v>96.76</v>
      </c>
      <c r="T401" s="55">
        <f t="shared" ca="1" si="236"/>
        <v>4.0667232332721959E-2</v>
      </c>
      <c r="U401" s="78">
        <f t="shared" ca="1" si="253"/>
        <v>5.2803410637111848E-3</v>
      </c>
      <c r="V401" s="79">
        <f t="shared" ca="1" si="249"/>
        <v>507.95863222185596</v>
      </c>
      <c r="W401" s="79">
        <f t="shared" ca="1" si="237"/>
        <v>3.4650364398846603</v>
      </c>
      <c r="X401" s="80">
        <f t="shared" ca="1" si="254"/>
        <v>-7.9205115955667774E-2</v>
      </c>
      <c r="Y401" s="80">
        <f t="shared" ca="1" si="255"/>
        <v>-0.42329886018488</v>
      </c>
      <c r="Z401" s="80">
        <f t="shared" ca="1" si="250"/>
        <v>0</v>
      </c>
      <c r="AA401" s="80">
        <f t="shared" ca="1" si="256"/>
        <v>-0.48256070061076328</v>
      </c>
      <c r="AB401" s="81">
        <f t="shared" ca="1" si="238"/>
        <v>-13.204074435873482</v>
      </c>
      <c r="AC401" s="79">
        <f t="shared" ca="1" si="239"/>
        <v>497.23452954911579</v>
      </c>
      <c r="AD401" s="35"/>
      <c r="AE401" s="62">
        <f t="shared" ca="1" si="240"/>
        <v>-2500.6101455486769</v>
      </c>
      <c r="AF401" s="62">
        <f t="shared" ca="1" si="241"/>
        <v>94167.123590998526</v>
      </c>
      <c r="AG401" s="35"/>
      <c r="AH401" s="35"/>
      <c r="AR401" s="69">
        <f t="shared" si="251"/>
        <v>34</v>
      </c>
      <c r="AS401" s="70">
        <f t="shared" si="257"/>
        <v>398</v>
      </c>
      <c r="AT401" s="71">
        <f t="shared" si="230"/>
        <v>6.5594940711286118E-2</v>
      </c>
      <c r="AU401" s="72">
        <f t="shared" si="242"/>
        <v>6.8214933659622723E-3</v>
      </c>
      <c r="AV401" s="73">
        <f t="shared" si="252"/>
        <v>1.0068214933659623</v>
      </c>
      <c r="AW401" s="74">
        <f>PRODUCT(AV$4:AV401)</f>
        <v>14.965330639525263</v>
      </c>
    </row>
    <row r="402" spans="5:49">
      <c r="E402">
        <f t="shared" si="259"/>
        <v>399</v>
      </c>
      <c r="F402" s="64">
        <f t="shared" si="243"/>
        <v>86.84</v>
      </c>
      <c r="G402" s="55">
        <f t="shared" si="231"/>
        <v>0</v>
      </c>
      <c r="H402" s="78">
        <f t="shared" si="258"/>
        <v>1</v>
      </c>
      <c r="I402" s="79">
        <f t="shared" si="244"/>
        <v>296181.78181682056</v>
      </c>
      <c r="J402" s="79">
        <f t="shared" si="232"/>
        <v>2020.4020597823267</v>
      </c>
      <c r="K402" s="80">
        <f t="shared" si="233"/>
        <v>-15</v>
      </c>
      <c r="L402" s="80">
        <f t="shared" si="245"/>
        <v>-246.81815151401716</v>
      </c>
      <c r="M402" s="80">
        <f t="shared" si="260"/>
        <v>0</v>
      </c>
      <c r="N402" s="80">
        <f t="shared" si="246"/>
        <v>-281.37269272597956</v>
      </c>
      <c r="O402" s="81">
        <f t="shared" si="234"/>
        <v>-2500.6101455486769</v>
      </c>
      <c r="P402" s="79">
        <f t="shared" si="235"/>
        <v>295158.38288681424</v>
      </c>
      <c r="Q402" s="35"/>
      <c r="R402">
        <f t="shared" ca="1" si="247"/>
        <v>524</v>
      </c>
      <c r="S402" s="78">
        <f t="shared" ca="1" si="248"/>
        <v>96.84</v>
      </c>
      <c r="T402" s="55">
        <f t="shared" ca="1" si="236"/>
        <v>4.0667232332721959E-2</v>
      </c>
      <c r="U402" s="78">
        <f t="shared" ca="1" si="253"/>
        <v>5.0656042068772302E-3</v>
      </c>
      <c r="V402" s="79">
        <f t="shared" ca="1" si="249"/>
        <v>477.01337741209022</v>
      </c>
      <c r="W402" s="79">
        <f t="shared" ca="1" si="237"/>
        <v>3.2539435894918309</v>
      </c>
      <c r="X402" s="80">
        <f t="shared" ca="1" si="254"/>
        <v>-7.5984063103158458E-2</v>
      </c>
      <c r="Y402" s="80">
        <f t="shared" ca="1" si="255"/>
        <v>-0.39751114784340852</v>
      </c>
      <c r="Z402" s="80">
        <f t="shared" ca="1" si="250"/>
        <v>0</v>
      </c>
      <c r="AA402" s="80">
        <f t="shared" ca="1" si="256"/>
        <v>-0.45316270854148577</v>
      </c>
      <c r="AB402" s="81">
        <f t="shared" ca="1" si="238"/>
        <v>-12.66710127305126</v>
      </c>
      <c r="AC402" s="79">
        <f t="shared" ca="1" si="239"/>
        <v>466.67356180904272</v>
      </c>
      <c r="AD402" s="35"/>
      <c r="AE402" s="62">
        <f t="shared" ca="1" si="240"/>
        <v>-2500.6101455486769</v>
      </c>
      <c r="AF402" s="62">
        <f t="shared" ca="1" si="241"/>
        <v>92125.942483913648</v>
      </c>
      <c r="AG402" s="35"/>
      <c r="AH402" s="35"/>
      <c r="AR402" s="69">
        <f t="shared" si="251"/>
        <v>34</v>
      </c>
      <c r="AS402" s="70">
        <f t="shared" si="257"/>
        <v>399</v>
      </c>
      <c r="AT402" s="71">
        <f t="shared" si="230"/>
        <v>6.5147485258383389E-2</v>
      </c>
      <c r="AU402" s="72">
        <f t="shared" si="242"/>
        <v>6.8214933659622723E-3</v>
      </c>
      <c r="AV402" s="73">
        <f t="shared" si="252"/>
        <v>1.0068214933659623</v>
      </c>
      <c r="AW402" s="74">
        <f>PRODUCT(AV$4:AV402)</f>
        <v>15.067416543202217</v>
      </c>
    </row>
    <row r="403" spans="5:49">
      <c r="E403">
        <f t="shared" si="259"/>
        <v>400</v>
      </c>
      <c r="F403" s="64">
        <f t="shared" si="243"/>
        <v>86.92</v>
      </c>
      <c r="G403" s="55">
        <f t="shared" si="231"/>
        <v>0</v>
      </c>
      <c r="H403" s="78">
        <f t="shared" si="258"/>
        <v>1</v>
      </c>
      <c r="I403" s="79">
        <f t="shared" si="244"/>
        <v>295158.38288681424</v>
      </c>
      <c r="J403" s="79">
        <f t="shared" si="232"/>
        <v>2013.4209507705557</v>
      </c>
      <c r="K403" s="80">
        <f t="shared" si="233"/>
        <v>-15</v>
      </c>
      <c r="L403" s="80">
        <f t="shared" si="245"/>
        <v>-245.96531907234521</v>
      </c>
      <c r="M403" s="80">
        <f t="shared" si="260"/>
        <v>0</v>
      </c>
      <c r="N403" s="80">
        <f t="shared" si="246"/>
        <v>-280.40046374247362</v>
      </c>
      <c r="O403" s="81">
        <f t="shared" si="234"/>
        <v>-2500.6101455486769</v>
      </c>
      <c r="P403" s="79">
        <f t="shared" si="235"/>
        <v>294129.82790922129</v>
      </c>
      <c r="Q403" s="35"/>
      <c r="R403">
        <f t="shared" ca="1" si="247"/>
        <v>525</v>
      </c>
      <c r="S403" s="78">
        <f t="shared" ca="1" si="248"/>
        <v>96.92</v>
      </c>
      <c r="T403" s="55">
        <f t="shared" ca="1" si="236"/>
        <v>4.0667232332721959E-2</v>
      </c>
      <c r="U403" s="78">
        <f t="shared" ca="1" si="253"/>
        <v>4.85960010369054E-3</v>
      </c>
      <c r="V403" s="79">
        <f t="shared" ca="1" si="249"/>
        <v>447.69523964741552</v>
      </c>
      <c r="W403" s="79">
        <f t="shared" ca="1" si="237"/>
        <v>3.0539501072277346</v>
      </c>
      <c r="X403" s="80">
        <f t="shared" ca="1" si="254"/>
        <v>-7.2894001555358107E-2</v>
      </c>
      <c r="Y403" s="80">
        <f t="shared" ca="1" si="255"/>
        <v>-0.37307936637284628</v>
      </c>
      <c r="Z403" s="80">
        <f t="shared" ca="1" si="250"/>
        <v>0</v>
      </c>
      <c r="AA403" s="80">
        <f t="shared" ca="1" si="256"/>
        <v>-0.42531047766504487</v>
      </c>
      <c r="AB403" s="81">
        <f t="shared" ca="1" si="238"/>
        <v>-12.151965322597967</v>
      </c>
      <c r="AC403" s="79">
        <f t="shared" ca="1" si="239"/>
        <v>437.725940586452</v>
      </c>
      <c r="AD403" s="35"/>
      <c r="AE403" s="62">
        <f t="shared" ca="1" si="240"/>
        <v>-2500.6101455486769</v>
      </c>
      <c r="AF403" s="62">
        <f t="shared" ca="1" si="241"/>
        <v>90074.477579755694</v>
      </c>
      <c r="AG403" s="35"/>
      <c r="AH403" s="35"/>
      <c r="AR403" s="69">
        <f t="shared" si="251"/>
        <v>34</v>
      </c>
      <c r="AS403" s="70">
        <f t="shared" si="257"/>
        <v>400</v>
      </c>
      <c r="AT403" s="71">
        <f t="shared" si="230"/>
        <v>6.4703082119884209E-2</v>
      </c>
      <c r="AU403" s="72">
        <f t="shared" si="242"/>
        <v>6.8214933659622723E-3</v>
      </c>
      <c r="AV403" s="73">
        <f t="shared" si="252"/>
        <v>1.0068214933659623</v>
      </c>
      <c r="AW403" s="74">
        <f>PRODUCT(AV$4:AV403)</f>
        <v>15.170198825193861</v>
      </c>
    </row>
    <row r="404" spans="5:49">
      <c r="E404">
        <f t="shared" si="259"/>
        <v>401</v>
      </c>
      <c r="F404" s="64">
        <f t="shared" si="243"/>
        <v>87</v>
      </c>
      <c r="G404" s="55">
        <f t="shared" si="231"/>
        <v>0</v>
      </c>
      <c r="H404" s="78">
        <f t="shared" si="258"/>
        <v>1</v>
      </c>
      <c r="I404" s="79">
        <f t="shared" si="244"/>
        <v>294129.82790922129</v>
      </c>
      <c r="J404" s="79">
        <f t="shared" si="232"/>
        <v>2006.4046698143779</v>
      </c>
      <c r="K404" s="80">
        <f t="shared" si="233"/>
        <v>-15</v>
      </c>
      <c r="L404" s="80">
        <f t="shared" si="245"/>
        <v>-245.10818992435108</v>
      </c>
      <c r="M404" s="80">
        <f t="shared" si="260"/>
        <v>0</v>
      </c>
      <c r="N404" s="80">
        <f t="shared" si="246"/>
        <v>-279.42333651376026</v>
      </c>
      <c r="O404" s="81">
        <f t="shared" si="234"/>
        <v>-2500.6101455486769</v>
      </c>
      <c r="P404" s="79">
        <f t="shared" si="235"/>
        <v>293096.09090704896</v>
      </c>
      <c r="Q404" s="35"/>
      <c r="R404">
        <f t="shared" ca="1" si="247"/>
        <v>526</v>
      </c>
      <c r="S404" s="78">
        <f t="shared" ca="1" si="248"/>
        <v>97</v>
      </c>
      <c r="T404" s="55">
        <f t="shared" ca="1" si="236"/>
        <v>4.0667232332721959E-2</v>
      </c>
      <c r="U404" s="78">
        <f t="shared" ca="1" si="253"/>
        <v>4.661973617229637E-3</v>
      </c>
      <c r="V404" s="79">
        <f t="shared" ca="1" si="249"/>
        <v>419.92483806256348</v>
      </c>
      <c r="W404" s="79">
        <f t="shared" ca="1" si="237"/>
        <v>2.8645144970465584</v>
      </c>
      <c r="X404" s="80">
        <f t="shared" ca="1" si="254"/>
        <v>-6.992960425844455E-2</v>
      </c>
      <c r="Y404" s="80">
        <f t="shared" ca="1" si="255"/>
        <v>-0.34993736505213624</v>
      </c>
      <c r="Z404" s="80">
        <f t="shared" ca="1" si="250"/>
        <v>0</v>
      </c>
      <c r="AA404" s="80">
        <f t="shared" ca="1" si="256"/>
        <v>-0.39892859615943538</v>
      </c>
      <c r="AB404" s="81">
        <f t="shared" ca="1" si="238"/>
        <v>-11.657778525524693</v>
      </c>
      <c r="AC404" s="79">
        <f t="shared" ca="1" si="239"/>
        <v>410.31277846861536</v>
      </c>
      <c r="AD404" s="35"/>
      <c r="AE404" s="62">
        <f t="shared" ca="1" si="240"/>
        <v>-2500.6101455486764</v>
      </c>
      <c r="AF404" s="62">
        <f t="shared" ca="1" si="241"/>
        <v>88012.677067109282</v>
      </c>
      <c r="AG404" s="35"/>
      <c r="AH404" s="35"/>
      <c r="AR404" s="69">
        <f t="shared" si="251"/>
        <v>34</v>
      </c>
      <c r="AS404" s="70">
        <f t="shared" si="257"/>
        <v>401</v>
      </c>
      <c r="AT404" s="71">
        <f t="shared" si="230"/>
        <v>6.4261710474446107E-2</v>
      </c>
      <c r="AU404" s="72">
        <f t="shared" si="242"/>
        <v>6.8214933659622723E-3</v>
      </c>
      <c r="AV404" s="73">
        <f t="shared" si="252"/>
        <v>1.0068214933659623</v>
      </c>
      <c r="AW404" s="74">
        <f>PRODUCT(AV$4:AV404)</f>
        <v>15.27368223584025</v>
      </c>
    </row>
    <row r="405" spans="5:49">
      <c r="E405">
        <f t="shared" si="259"/>
        <v>402</v>
      </c>
      <c r="F405" s="64">
        <f t="shared" si="243"/>
        <v>87.08</v>
      </c>
      <c r="G405" s="55">
        <f t="shared" si="231"/>
        <v>0</v>
      </c>
      <c r="H405" s="78">
        <f t="shared" si="258"/>
        <v>1</v>
      </c>
      <c r="I405" s="79">
        <f t="shared" si="244"/>
        <v>293096.09090704896</v>
      </c>
      <c r="J405" s="79">
        <f t="shared" si="232"/>
        <v>1999.3530397119096</v>
      </c>
      <c r="K405" s="80">
        <f t="shared" si="233"/>
        <v>-15</v>
      </c>
      <c r="L405" s="80">
        <f t="shared" si="245"/>
        <v>-244.24674242254082</v>
      </c>
      <c r="M405" s="80">
        <f t="shared" si="260"/>
        <v>0</v>
      </c>
      <c r="N405" s="80">
        <f t="shared" si="246"/>
        <v>-278.44128636169654</v>
      </c>
      <c r="O405" s="81">
        <f t="shared" si="234"/>
        <v>-2500.6101455486769</v>
      </c>
      <c r="P405" s="79">
        <f t="shared" si="235"/>
        <v>292057.14577242796</v>
      </c>
      <c r="Q405" s="35"/>
      <c r="R405">
        <f t="shared" ca="1" si="247"/>
        <v>527</v>
      </c>
      <c r="S405" s="78">
        <f t="shared" ca="1" si="248"/>
        <v>97.08</v>
      </c>
      <c r="T405" s="55">
        <f t="shared" ca="1" si="236"/>
        <v>4.0667232332721959E-2</v>
      </c>
      <c r="U405" s="78">
        <f t="shared" ca="1" si="253"/>
        <v>4.4723840530087391E-3</v>
      </c>
      <c r="V405" s="79">
        <f t="shared" ca="1" si="249"/>
        <v>393.62649337754749</v>
      </c>
      <c r="W405" s="79">
        <f t="shared" ca="1" si="237"/>
        <v>2.6851205132419325</v>
      </c>
      <c r="X405" s="80">
        <f t="shared" ca="1" si="254"/>
        <v>-6.7085760795131094E-2</v>
      </c>
      <c r="Y405" s="80">
        <f t="shared" ca="1" si="255"/>
        <v>-0.32802207781462295</v>
      </c>
      <c r="Z405" s="80">
        <f t="shared" ca="1" si="250"/>
        <v>0</v>
      </c>
      <c r="AA405" s="80">
        <f t="shared" ca="1" si="256"/>
        <v>-0.37394516870867017</v>
      </c>
      <c r="AB405" s="81">
        <f t="shared" ca="1" si="238"/>
        <v>-11.183688937743765</v>
      </c>
      <c r="AC405" s="79">
        <f t="shared" ca="1" si="239"/>
        <v>384.35887194572729</v>
      </c>
      <c r="AD405" s="35"/>
      <c r="AE405" s="62">
        <f t="shared" ca="1" si="240"/>
        <v>-2500.6101455486769</v>
      </c>
      <c r="AF405" s="62">
        <f t="shared" ca="1" si="241"/>
        <v>85940.488873524795</v>
      </c>
      <c r="AG405" s="35"/>
      <c r="AH405" s="35"/>
      <c r="AR405" s="69">
        <f t="shared" si="251"/>
        <v>34</v>
      </c>
      <c r="AS405" s="70">
        <f t="shared" si="257"/>
        <v>402</v>
      </c>
      <c r="AT405" s="71">
        <f t="shared" si="230"/>
        <v>6.3823349642759278E-2</v>
      </c>
      <c r="AU405" s="72">
        <f t="shared" si="242"/>
        <v>6.8214933659622723E-3</v>
      </c>
      <c r="AV405" s="73">
        <f t="shared" si="252"/>
        <v>1.0068214933659623</v>
      </c>
      <c r="AW405" s="74">
        <f>PRODUCT(AV$4:AV405)</f>
        <v>15.37787155788585</v>
      </c>
    </row>
    <row r="406" spans="5:49">
      <c r="E406">
        <f t="shared" si="259"/>
        <v>403</v>
      </c>
      <c r="F406" s="64">
        <f t="shared" si="243"/>
        <v>87.16</v>
      </c>
      <c r="G406" s="55">
        <f t="shared" si="231"/>
        <v>0</v>
      </c>
      <c r="H406" s="78">
        <f t="shared" si="258"/>
        <v>1</v>
      </c>
      <c r="I406" s="79">
        <f t="shared" si="244"/>
        <v>292057.14577242796</v>
      </c>
      <c r="J406" s="79">
        <f t="shared" si="232"/>
        <v>1992.2658823684935</v>
      </c>
      <c r="K406" s="80">
        <f t="shared" si="233"/>
        <v>-15</v>
      </c>
      <c r="L406" s="80">
        <f t="shared" si="245"/>
        <v>-243.38095481035666</v>
      </c>
      <c r="M406" s="80">
        <f t="shared" si="260"/>
        <v>0</v>
      </c>
      <c r="N406" s="80">
        <f t="shared" si="246"/>
        <v>-277.45428848380658</v>
      </c>
      <c r="O406" s="81">
        <f t="shared" si="234"/>
        <v>-2500.6101455486769</v>
      </c>
      <c r="P406" s="79">
        <f t="shared" si="235"/>
        <v>291012.96626595361</v>
      </c>
      <c r="Q406" s="35"/>
      <c r="R406">
        <f t="shared" ca="1" si="247"/>
        <v>528</v>
      </c>
      <c r="S406" s="78">
        <f t="shared" ca="1" si="248"/>
        <v>97.16</v>
      </c>
      <c r="T406" s="55">
        <f t="shared" ca="1" si="236"/>
        <v>4.0667232332721959E-2</v>
      </c>
      <c r="U406" s="78">
        <f t="shared" ca="1" si="253"/>
        <v>4.2905045716438717E-3</v>
      </c>
      <c r="V406" s="79">
        <f t="shared" ca="1" si="249"/>
        <v>368.72806040116745</v>
      </c>
      <c r="W406" s="79">
        <f t="shared" ca="1" si="237"/>
        <v>2.5152760178706997</v>
      </c>
      <c r="X406" s="80">
        <f t="shared" ca="1" si="254"/>
        <v>-6.4357568574658075E-2</v>
      </c>
      <c r="Y406" s="80">
        <f t="shared" ca="1" si="255"/>
        <v>-0.30727338366763957</v>
      </c>
      <c r="Z406" s="80">
        <f t="shared" ca="1" si="250"/>
        <v>0</v>
      </c>
      <c r="AA406" s="80">
        <f t="shared" ca="1" si="256"/>
        <v>-0.35029165738110918</v>
      </c>
      <c r="AB406" s="81">
        <f t="shared" ca="1" si="238"/>
        <v>-10.728879261375646</v>
      </c>
      <c r="AC406" s="79">
        <f t="shared" ca="1" si="239"/>
        <v>359.7925345480391</v>
      </c>
      <c r="AD406" s="35"/>
      <c r="AE406" s="62">
        <f t="shared" ca="1" si="240"/>
        <v>-2500.6101455486769</v>
      </c>
      <c r="AF406" s="62">
        <f t="shared" ca="1" si="241"/>
        <v>83857.860664203312</v>
      </c>
      <c r="AG406" s="35"/>
      <c r="AH406" s="35"/>
      <c r="AR406" s="69">
        <f t="shared" si="251"/>
        <v>34</v>
      </c>
      <c r="AS406" s="70">
        <f t="shared" si="257"/>
        <v>403</v>
      </c>
      <c r="AT406" s="71">
        <f t="shared" si="230"/>
        <v>6.33879790865777E-2</v>
      </c>
      <c r="AU406" s="72">
        <f t="shared" si="242"/>
        <v>6.8214933659622723E-3</v>
      </c>
      <c r="AV406" s="73">
        <f t="shared" si="252"/>
        <v>1.0068214933659623</v>
      </c>
      <c r="AW406" s="74">
        <f>PRODUCT(AV$4:AV406)</f>
        <v>15.482771606700588</v>
      </c>
    </row>
    <row r="407" spans="5:49">
      <c r="E407">
        <f t="shared" si="259"/>
        <v>404</v>
      </c>
      <c r="F407" s="64">
        <f t="shared" si="243"/>
        <v>87.24</v>
      </c>
      <c r="G407" s="55">
        <f t="shared" si="231"/>
        <v>0</v>
      </c>
      <c r="H407" s="78">
        <f t="shared" si="258"/>
        <v>1</v>
      </c>
      <c r="I407" s="79">
        <f t="shared" si="244"/>
        <v>291012.96626595361</v>
      </c>
      <c r="J407" s="79">
        <f t="shared" si="232"/>
        <v>1985.1430187922051</v>
      </c>
      <c r="K407" s="80">
        <f t="shared" si="233"/>
        <v>-15</v>
      </c>
      <c r="L407" s="80">
        <f t="shared" si="245"/>
        <v>-242.51080522162803</v>
      </c>
      <c r="M407" s="80">
        <f t="shared" si="260"/>
        <v>0</v>
      </c>
      <c r="N407" s="80">
        <f t="shared" si="246"/>
        <v>-276.46231795265595</v>
      </c>
      <c r="O407" s="81">
        <f t="shared" si="234"/>
        <v>-2500.6101455486769</v>
      </c>
      <c r="P407" s="79">
        <f t="shared" si="235"/>
        <v>289963.52601602289</v>
      </c>
      <c r="Q407" s="35"/>
      <c r="R407">
        <f t="shared" ca="1" si="247"/>
        <v>529</v>
      </c>
      <c r="S407" s="78">
        <f t="shared" ca="1" si="248"/>
        <v>97.24</v>
      </c>
      <c r="T407" s="55">
        <f t="shared" ca="1" si="236"/>
        <v>4.0667232332721959E-2</v>
      </c>
      <c r="U407" s="78">
        <f t="shared" ca="1" si="253"/>
        <v>4.116021625404225E-3</v>
      </c>
      <c r="V407" s="79">
        <f t="shared" ca="1" si="249"/>
        <v>345.16076795399511</v>
      </c>
      <c r="W407" s="79">
        <f t="shared" ca="1" si="237"/>
        <v>2.3545118887886209</v>
      </c>
      <c r="X407" s="80">
        <f t="shared" ca="1" si="254"/>
        <v>-6.1740324381063375E-2</v>
      </c>
      <c r="Y407" s="80">
        <f t="shared" ca="1" si="255"/>
        <v>-0.28763397329499596</v>
      </c>
      <c r="Z407" s="80">
        <f t="shared" ca="1" si="250"/>
        <v>-2.5887057596549634</v>
      </c>
      <c r="AA407" s="80">
        <f t="shared" ca="1" si="256"/>
        <v>-0.3279027295562954</v>
      </c>
      <c r="AB407" s="81">
        <f t="shared" ca="1" si="238"/>
        <v>-10.29256543578356</v>
      </c>
      <c r="AC407" s="79">
        <f t="shared" ca="1" si="239"/>
        <v>333.95673162011292</v>
      </c>
      <c r="AD407" s="35"/>
      <c r="AE407" s="62">
        <f t="shared" ca="1" si="240"/>
        <v>-2500.6101455486769</v>
      </c>
      <c r="AF407" s="62">
        <f t="shared" ca="1" si="241"/>
        <v>81135.805885693277</v>
      </c>
      <c r="AG407" s="35"/>
      <c r="AH407" s="35"/>
      <c r="AR407" s="69">
        <f t="shared" si="251"/>
        <v>34</v>
      </c>
      <c r="AS407" s="70">
        <f t="shared" si="257"/>
        <v>404</v>
      </c>
      <c r="AT407" s="71">
        <f t="shared" si="230"/>
        <v>6.2955578407756854E-2</v>
      </c>
      <c r="AU407" s="72">
        <f t="shared" si="242"/>
        <v>6.8214933659622723E-3</v>
      </c>
      <c r="AV407" s="73">
        <f t="shared" si="252"/>
        <v>1.0068214933659623</v>
      </c>
      <c r="AW407" s="74">
        <f>PRODUCT(AV$4:AV407)</f>
        <v>15.588387230502406</v>
      </c>
    </row>
    <row r="408" spans="5:49">
      <c r="E408">
        <f t="shared" si="259"/>
        <v>405</v>
      </c>
      <c r="F408" s="64">
        <f t="shared" si="243"/>
        <v>87.32</v>
      </c>
      <c r="G408" s="55">
        <f t="shared" si="231"/>
        <v>0</v>
      </c>
      <c r="H408" s="78">
        <f t="shared" si="258"/>
        <v>1</v>
      </c>
      <c r="I408" s="79">
        <f t="shared" si="244"/>
        <v>289963.52601602289</v>
      </c>
      <c r="J408" s="79">
        <f t="shared" si="232"/>
        <v>1977.984269089329</v>
      </c>
      <c r="K408" s="80">
        <f t="shared" si="233"/>
        <v>-15</v>
      </c>
      <c r="L408" s="80">
        <f t="shared" si="245"/>
        <v>-241.63627168001909</v>
      </c>
      <c r="M408" s="80">
        <f t="shared" si="260"/>
        <v>0</v>
      </c>
      <c r="N408" s="80">
        <f t="shared" si="246"/>
        <v>-275.46534971522181</v>
      </c>
      <c r="O408" s="81">
        <f t="shared" si="234"/>
        <v>-2500.6101455486769</v>
      </c>
      <c r="P408" s="79">
        <f t="shared" si="235"/>
        <v>288908.79851816839</v>
      </c>
      <c r="Q408" s="35"/>
      <c r="R408">
        <f t="shared" ca="1" si="247"/>
        <v>530</v>
      </c>
      <c r="S408" s="78">
        <f t="shared" ca="1" si="248"/>
        <v>97.32</v>
      </c>
      <c r="T408" s="55">
        <f t="shared" ca="1" si="236"/>
        <v>4.0667232332721959E-2</v>
      </c>
      <c r="U408" s="78">
        <f t="shared" ca="1" si="253"/>
        <v>3.9486344176774034E-3</v>
      </c>
      <c r="V408" s="79">
        <f t="shared" ca="1" si="249"/>
        <v>320.37563562624132</v>
      </c>
      <c r="W408" s="79">
        <f t="shared" ca="1" si="237"/>
        <v>2.1854402730403515</v>
      </c>
      <c r="X408" s="80">
        <f t="shared" ca="1" si="254"/>
        <v>-5.9229516265161049E-2</v>
      </c>
      <c r="Y408" s="80">
        <f t="shared" ca="1" si="255"/>
        <v>-0.26697969635520113</v>
      </c>
      <c r="Z408" s="80">
        <f t="shared" ca="1" si="250"/>
        <v>0</v>
      </c>
      <c r="AA408" s="80">
        <f t="shared" ca="1" si="256"/>
        <v>-0.30435685384492933</v>
      </c>
      <c r="AB408" s="81">
        <f t="shared" ca="1" si="238"/>
        <v>-9.8739952859068065</v>
      </c>
      <c r="AC408" s="79">
        <f t="shared" ca="1" si="239"/>
        <v>312.05651454690963</v>
      </c>
      <c r="AD408" s="35"/>
      <c r="AE408" s="62">
        <f t="shared" ca="1" si="240"/>
        <v>-2500.6101455486769</v>
      </c>
      <c r="AF408" s="62">
        <f t="shared" ca="1" si="241"/>
        <v>79028.970914573059</v>
      </c>
      <c r="AG408" s="35"/>
      <c r="AH408" s="35"/>
      <c r="AR408" s="69">
        <f t="shared" si="251"/>
        <v>34</v>
      </c>
      <c r="AS408" s="70">
        <f t="shared" si="257"/>
        <v>405</v>
      </c>
      <c r="AT408" s="71">
        <f t="shared" si="230"/>
        <v>6.2526127347298024E-2</v>
      </c>
      <c r="AU408" s="72">
        <f t="shared" si="242"/>
        <v>6.8214933659622723E-3</v>
      </c>
      <c r="AV408" s="73">
        <f t="shared" si="252"/>
        <v>1.0068214933659623</v>
      </c>
      <c r="AW408" s="74">
        <f>PRODUCT(AV$4:AV408)</f>
        <v>15.694723310581329</v>
      </c>
    </row>
    <row r="409" spans="5:49">
      <c r="E409">
        <f t="shared" si="259"/>
        <v>406</v>
      </c>
      <c r="F409" s="64">
        <f t="shared" si="243"/>
        <v>87.4</v>
      </c>
      <c r="G409" s="55">
        <f t="shared" si="231"/>
        <v>0</v>
      </c>
      <c r="H409" s="78">
        <f t="shared" si="258"/>
        <v>1</v>
      </c>
      <c r="I409" s="79">
        <f t="shared" si="244"/>
        <v>288908.79851816839</v>
      </c>
      <c r="J409" s="79">
        <f t="shared" si="232"/>
        <v>1970.7894524598164</v>
      </c>
      <c r="K409" s="80">
        <f t="shared" si="233"/>
        <v>-15</v>
      </c>
      <c r="L409" s="80">
        <f t="shared" si="245"/>
        <v>-240.75733209847368</v>
      </c>
      <c r="M409" s="80">
        <f t="shared" si="260"/>
        <v>0</v>
      </c>
      <c r="N409" s="80">
        <f t="shared" si="246"/>
        <v>-274.46335859226002</v>
      </c>
      <c r="O409" s="81">
        <f t="shared" si="234"/>
        <v>-2500.6101455486769</v>
      </c>
      <c r="P409" s="79">
        <f t="shared" si="235"/>
        <v>287848.75713438884</v>
      </c>
      <c r="Q409" s="35"/>
      <c r="R409">
        <f t="shared" ca="1" si="247"/>
        <v>531</v>
      </c>
      <c r="S409" s="78">
        <f t="shared" ca="1" si="248"/>
        <v>97.4</v>
      </c>
      <c r="T409" s="55">
        <f t="shared" ca="1" si="236"/>
        <v>4.0667232332721959E-2</v>
      </c>
      <c r="U409" s="78">
        <f t="shared" ca="1" si="253"/>
        <v>3.788054384416734E-3</v>
      </c>
      <c r="V409" s="79">
        <f t="shared" ca="1" si="249"/>
        <v>299.36603976889103</v>
      </c>
      <c r="W409" s="79">
        <f t="shared" ca="1" si="237"/>
        <v>2.0421234542778879</v>
      </c>
      <c r="X409" s="80">
        <f t="shared" ca="1" si="254"/>
        <v>-5.6820815766251011E-2</v>
      </c>
      <c r="Y409" s="80">
        <f t="shared" ca="1" si="255"/>
        <v>-0.24947169980740921</v>
      </c>
      <c r="Z409" s="80">
        <f t="shared" ca="1" si="250"/>
        <v>0</v>
      </c>
      <c r="AA409" s="80">
        <f t="shared" ca="1" si="256"/>
        <v>-0.28439773778044652</v>
      </c>
      <c r="AB409" s="81">
        <f t="shared" ca="1" si="238"/>
        <v>-9.4724472255626324</v>
      </c>
      <c r="AC409" s="79">
        <f t="shared" ca="1" si="239"/>
        <v>291.34502574425215</v>
      </c>
      <c r="AD409" s="35"/>
      <c r="AE409" s="62">
        <f t="shared" ca="1" si="240"/>
        <v>-2500.6101455486769</v>
      </c>
      <c r="AF409" s="62">
        <f t="shared" ca="1" si="241"/>
        <v>76911.521371705967</v>
      </c>
      <c r="AG409" s="35"/>
      <c r="AH409" s="35"/>
      <c r="AR409" s="69">
        <f t="shared" si="251"/>
        <v>34</v>
      </c>
      <c r="AS409" s="70">
        <f t="shared" si="257"/>
        <v>406</v>
      </c>
      <c r="AT409" s="71">
        <f t="shared" si="230"/>
        <v>6.2099605784399117E-2</v>
      </c>
      <c r="AU409" s="72">
        <f t="shared" si="242"/>
        <v>6.8214933659622723E-3</v>
      </c>
      <c r="AV409" s="73">
        <f t="shared" si="252"/>
        <v>1.0068214933659623</v>
      </c>
      <c r="AW409" s="74">
        <f>PRODUCT(AV$4:AV409)</f>
        <v>15.801784761525074</v>
      </c>
    </row>
    <row r="410" spans="5:49">
      <c r="E410">
        <f t="shared" si="259"/>
        <v>407</v>
      </c>
      <c r="F410" s="64">
        <f t="shared" si="243"/>
        <v>87.48</v>
      </c>
      <c r="G410" s="55">
        <f t="shared" si="231"/>
        <v>0</v>
      </c>
      <c r="H410" s="78">
        <f t="shared" si="258"/>
        <v>1</v>
      </c>
      <c r="I410" s="79">
        <f t="shared" si="244"/>
        <v>287848.75713438884</v>
      </c>
      <c r="J410" s="79">
        <f t="shared" si="232"/>
        <v>1963.5583871927188</v>
      </c>
      <c r="K410" s="80">
        <f t="shared" si="233"/>
        <v>-15</v>
      </c>
      <c r="L410" s="80">
        <f t="shared" si="245"/>
        <v>-239.87396427865738</v>
      </c>
      <c r="M410" s="80">
        <f t="shared" si="260"/>
        <v>0</v>
      </c>
      <c r="N410" s="80">
        <f t="shared" si="246"/>
        <v>-273.45631927766948</v>
      </c>
      <c r="O410" s="81">
        <f t="shared" si="234"/>
        <v>-2500.6101455486769</v>
      </c>
      <c r="P410" s="79">
        <f t="shared" si="235"/>
        <v>286783.37509247661</v>
      </c>
      <c r="Q410" s="35"/>
      <c r="R410">
        <f t="shared" ca="1" si="247"/>
        <v>532</v>
      </c>
      <c r="S410" s="78">
        <f t="shared" ca="1" si="248"/>
        <v>97.48</v>
      </c>
      <c r="T410" s="55">
        <f t="shared" ca="1" si="236"/>
        <v>4.0667232332721959E-2</v>
      </c>
      <c r="U410" s="78">
        <f t="shared" ca="1" si="253"/>
        <v>3.6340046966766727E-3</v>
      </c>
      <c r="V410" s="79">
        <f t="shared" ca="1" si="249"/>
        <v>279.4968298933278</v>
      </c>
      <c r="W410" s="79">
        <f t="shared" ca="1" si="237"/>
        <v>1.9065857709248213</v>
      </c>
      <c r="X410" s="80">
        <f t="shared" ca="1" si="254"/>
        <v>-5.4510070450150092E-2</v>
      </c>
      <c r="Y410" s="80">
        <f t="shared" ca="1" si="255"/>
        <v>-0.23291402491110652</v>
      </c>
      <c r="Z410" s="80">
        <f t="shared" ca="1" si="250"/>
        <v>0</v>
      </c>
      <c r="AA410" s="80">
        <f t="shared" ca="1" si="256"/>
        <v>-0.26552198839866142</v>
      </c>
      <c r="AB410" s="81">
        <f t="shared" ca="1" si="238"/>
        <v>-9.0872290134812292</v>
      </c>
      <c r="AC410" s="79">
        <f t="shared" ca="1" si="239"/>
        <v>271.76324056701145</v>
      </c>
      <c r="AD410" s="35"/>
      <c r="AE410" s="62">
        <f t="shared" ca="1" si="240"/>
        <v>-2500.6101455486769</v>
      </c>
      <c r="AF410" s="62">
        <f t="shared" ca="1" si="241"/>
        <v>74783.40377918091</v>
      </c>
      <c r="AG410" s="35"/>
      <c r="AH410" s="35"/>
      <c r="AR410" s="69">
        <f t="shared" si="251"/>
        <v>34</v>
      </c>
      <c r="AS410" s="70">
        <f t="shared" si="257"/>
        <v>407</v>
      </c>
      <c r="AT410" s="71">
        <f t="shared" si="230"/>
        <v>6.1675993735511969E-2</v>
      </c>
      <c r="AU410" s="72">
        <f t="shared" si="242"/>
        <v>6.8214933659622723E-3</v>
      </c>
      <c r="AV410" s="73">
        <f t="shared" si="252"/>
        <v>1.0068214933659623</v>
      </c>
      <c r="AW410" s="74">
        <f>PRODUCT(AV$4:AV410)</f>
        <v>15.909576531446181</v>
      </c>
    </row>
    <row r="411" spans="5:49">
      <c r="E411">
        <f t="shared" si="259"/>
        <v>408</v>
      </c>
      <c r="F411" s="64">
        <f t="shared" si="243"/>
        <v>87.56</v>
      </c>
      <c r="G411" s="55">
        <f t="shared" si="231"/>
        <v>0</v>
      </c>
      <c r="H411" s="78">
        <f t="shared" si="258"/>
        <v>1</v>
      </c>
      <c r="I411" s="79">
        <f t="shared" si="244"/>
        <v>286783.37509247661</v>
      </c>
      <c r="J411" s="79">
        <f t="shared" si="232"/>
        <v>1956.2908906615992</v>
      </c>
      <c r="K411" s="80">
        <f t="shared" si="233"/>
        <v>-15</v>
      </c>
      <c r="L411" s="80">
        <f t="shared" si="245"/>
        <v>-238.9861459103972</v>
      </c>
      <c r="M411" s="80">
        <f t="shared" si="260"/>
        <v>0</v>
      </c>
      <c r="N411" s="80">
        <f t="shared" si="246"/>
        <v>-272.44420633785279</v>
      </c>
      <c r="O411" s="81">
        <f t="shared" si="234"/>
        <v>-2500.6101455486769</v>
      </c>
      <c r="P411" s="79">
        <f t="shared" si="235"/>
        <v>285712.6254853413</v>
      </c>
      <c r="Q411" s="35"/>
      <c r="R411">
        <f t="shared" ca="1" si="247"/>
        <v>533</v>
      </c>
      <c r="S411" s="78">
        <f t="shared" ca="1" si="248"/>
        <v>97.56</v>
      </c>
      <c r="T411" s="55">
        <f t="shared" ca="1" si="236"/>
        <v>4.4574366695104062E-2</v>
      </c>
      <c r="U411" s="78">
        <f t="shared" ca="1" si="253"/>
        <v>3.4720212387552764E-3</v>
      </c>
      <c r="V411" s="79">
        <f t="shared" ca="1" si="249"/>
        <v>259.64956622772769</v>
      </c>
      <c r="W411" s="79">
        <f t="shared" ca="1" si="237"/>
        <v>1.7711977934974261</v>
      </c>
      <c r="X411" s="80">
        <f t="shared" ca="1" si="254"/>
        <v>-5.2080318581329145E-2</v>
      </c>
      <c r="Y411" s="80">
        <f t="shared" ca="1" si="255"/>
        <v>-0.21637463852310643</v>
      </c>
      <c r="Z411" s="80">
        <f t="shared" ca="1" si="250"/>
        <v>0</v>
      </c>
      <c r="AA411" s="80">
        <f t="shared" ca="1" si="256"/>
        <v>-0.24666708791634137</v>
      </c>
      <c r="AB411" s="81">
        <f t="shared" ca="1" si="238"/>
        <v>-8.6821715351919284</v>
      </c>
      <c r="AC411" s="79">
        <f t="shared" ca="1" si="239"/>
        <v>252.22347044101238</v>
      </c>
      <c r="AD411" s="35"/>
      <c r="AE411" s="62">
        <f t="shared" ca="1" si="240"/>
        <v>-2500.6101455486764</v>
      </c>
      <c r="AF411" s="62">
        <f t="shared" ca="1" si="241"/>
        <v>72644.564389656429</v>
      </c>
      <c r="AG411" s="35"/>
      <c r="AH411" s="35"/>
      <c r="AR411" s="69">
        <f t="shared" si="251"/>
        <v>34</v>
      </c>
      <c r="AS411" s="70">
        <f t="shared" si="257"/>
        <v>408</v>
      </c>
      <c r="AT411" s="71">
        <f t="shared" si="230"/>
        <v>6.1255271353406041E-2</v>
      </c>
      <c r="AU411" s="72">
        <f t="shared" si="242"/>
        <v>6.8214933659622723E-3</v>
      </c>
      <c r="AV411" s="73">
        <f t="shared" si="252"/>
        <v>1.0068214933659623</v>
      </c>
      <c r="AW411" s="74">
        <f>PRODUCT(AV$4:AV411)</f>
        <v>16.018103602210712</v>
      </c>
    </row>
    <row r="412" spans="5:49">
      <c r="E412">
        <f t="shared" si="259"/>
        <v>409</v>
      </c>
      <c r="F412" s="64">
        <f t="shared" si="243"/>
        <v>87.64</v>
      </c>
      <c r="G412" s="55">
        <f t="shared" si="231"/>
        <v>0</v>
      </c>
      <c r="H412" s="78">
        <f t="shared" si="258"/>
        <v>1</v>
      </c>
      <c r="I412" s="79">
        <f t="shared" si="244"/>
        <v>285712.6254853413</v>
      </c>
      <c r="J412" s="79">
        <f t="shared" si="232"/>
        <v>1948.9867793199189</v>
      </c>
      <c r="K412" s="80">
        <f t="shared" si="233"/>
        <v>-15</v>
      </c>
      <c r="L412" s="80">
        <f t="shared" si="245"/>
        <v>-238.09385457111776</v>
      </c>
      <c r="M412" s="80">
        <f t="shared" si="260"/>
        <v>-2142.8446911400597</v>
      </c>
      <c r="N412" s="80">
        <f t="shared" si="246"/>
        <v>-271.42699421107426</v>
      </c>
      <c r="O412" s="81">
        <f t="shared" si="234"/>
        <v>-2500.6101455486769</v>
      </c>
      <c r="P412" s="79">
        <f t="shared" si="235"/>
        <v>282493.63657919032</v>
      </c>
      <c r="Q412" s="35"/>
      <c r="R412">
        <f t="shared" ca="1" si="247"/>
        <v>534</v>
      </c>
      <c r="S412" s="78">
        <f t="shared" ca="1" si="248"/>
        <v>97.64</v>
      </c>
      <c r="T412" s="55">
        <f t="shared" ca="1" si="236"/>
        <v>4.4574366695104062E-2</v>
      </c>
      <c r="U412" s="78">
        <f t="shared" ca="1" si="253"/>
        <v>3.3172580908858093E-3</v>
      </c>
      <c r="V412" s="79">
        <f t="shared" ca="1" si="249"/>
        <v>240.98076898046295</v>
      </c>
      <c r="W412" s="79">
        <f t="shared" ca="1" si="237"/>
        <v>1.6438487169247149</v>
      </c>
      <c r="X412" s="80">
        <f t="shared" ca="1" si="254"/>
        <v>-4.975887136328714E-2</v>
      </c>
      <c r="Y412" s="80">
        <f t="shared" ca="1" si="255"/>
        <v>-0.20081730748371915</v>
      </c>
      <c r="Z412" s="80">
        <f t="shared" ca="1" si="250"/>
        <v>0</v>
      </c>
      <c r="AA412" s="80">
        <f t="shared" ca="1" si="256"/>
        <v>-0.22893173053143986</v>
      </c>
      <c r="AB412" s="81">
        <f t="shared" ca="1" si="238"/>
        <v>-8.2951692374724892</v>
      </c>
      <c r="AC412" s="79">
        <f t="shared" ca="1" si="239"/>
        <v>233.84994055053673</v>
      </c>
      <c r="AD412" s="35"/>
      <c r="AE412" s="62">
        <f t="shared" ca="1" si="240"/>
        <v>-2500.6101455486769</v>
      </c>
      <c r="AF412" s="62">
        <f t="shared" ca="1" si="241"/>
        <v>70494.949185003468</v>
      </c>
      <c r="AG412" s="35"/>
      <c r="AH412" s="35"/>
      <c r="AR412" s="69">
        <f t="shared" si="251"/>
        <v>35</v>
      </c>
      <c r="AS412" s="70">
        <f t="shared" si="257"/>
        <v>409</v>
      </c>
      <c r="AT412" s="71">
        <f t="shared" ref="AT412:AT475" si="261">(1-AU412)*AT411</f>
        <v>6.0837418926238562E-2</v>
      </c>
      <c r="AU412" s="72">
        <f t="shared" si="242"/>
        <v>6.8214933659622723E-3</v>
      </c>
      <c r="AV412" s="73">
        <f t="shared" si="252"/>
        <v>1.0068214933659623</v>
      </c>
      <c r="AW412" s="74">
        <f>PRODUCT(AV$4:AV412)</f>
        <v>16.127370989668488</v>
      </c>
    </row>
    <row r="413" spans="5:49">
      <c r="E413">
        <f t="shared" si="259"/>
        <v>410</v>
      </c>
      <c r="F413" s="64">
        <f t="shared" si="243"/>
        <v>87.72</v>
      </c>
      <c r="G413" s="55">
        <f t="shared" si="231"/>
        <v>0</v>
      </c>
      <c r="H413" s="78">
        <f t="shared" si="258"/>
        <v>1</v>
      </c>
      <c r="I413" s="79">
        <f t="shared" si="244"/>
        <v>282493.63657919032</v>
      </c>
      <c r="J413" s="79">
        <f t="shared" si="232"/>
        <v>1927.0284678515038</v>
      </c>
      <c r="K413" s="80">
        <f t="shared" si="233"/>
        <v>-15</v>
      </c>
      <c r="L413" s="80">
        <f t="shared" si="245"/>
        <v>-235.41136381599196</v>
      </c>
      <c r="M413" s="80">
        <f t="shared" si="260"/>
        <v>0</v>
      </c>
      <c r="N413" s="80">
        <f t="shared" si="246"/>
        <v>-268.36895475023084</v>
      </c>
      <c r="O413" s="81">
        <f t="shared" si="234"/>
        <v>-2500.6101455486769</v>
      </c>
      <c r="P413" s="79">
        <f t="shared" si="235"/>
        <v>281401.27458292694</v>
      </c>
      <c r="Q413" s="35"/>
      <c r="R413">
        <f t="shared" ca="1" si="247"/>
        <v>535</v>
      </c>
      <c r="S413" s="78">
        <f t="shared" ca="1" si="248"/>
        <v>97.72</v>
      </c>
      <c r="T413" s="55">
        <f t="shared" ca="1" si="236"/>
        <v>4.4574366695104062E-2</v>
      </c>
      <c r="U413" s="78">
        <f t="shared" ca="1" si="253"/>
        <v>3.1693934123203644E-3</v>
      </c>
      <c r="V413" s="79">
        <f t="shared" ca="1" si="249"/>
        <v>223.42622754880881</v>
      </c>
      <c r="W413" s="79">
        <f t="shared" ca="1" si="237"/>
        <v>1.5241005290061764</v>
      </c>
      <c r="X413" s="80">
        <f t="shared" ca="1" si="254"/>
        <v>-4.7540901184805466E-2</v>
      </c>
      <c r="Y413" s="80">
        <f t="shared" ca="1" si="255"/>
        <v>-0.18618852295734067</v>
      </c>
      <c r="Z413" s="80">
        <f t="shared" ca="1" si="250"/>
        <v>0</v>
      </c>
      <c r="AA413" s="80">
        <f t="shared" ca="1" si="256"/>
        <v>-0.21225491617136841</v>
      </c>
      <c r="AB413" s="81">
        <f t="shared" ca="1" si="238"/>
        <v>-7.9254173220834438</v>
      </c>
      <c r="AC413" s="79">
        <f t="shared" ca="1" si="239"/>
        <v>216.57892641541804</v>
      </c>
      <c r="AD413" s="35"/>
      <c r="AE413" s="62">
        <f t="shared" ca="1" si="240"/>
        <v>-2500.6101455486769</v>
      </c>
      <c r="AF413" s="62">
        <f t="shared" ca="1" si="241"/>
        <v>68334.503874940885</v>
      </c>
      <c r="AG413" s="35"/>
      <c r="AH413" s="35"/>
      <c r="AR413" s="69">
        <f t="shared" si="251"/>
        <v>35</v>
      </c>
      <c r="AS413" s="70">
        <f t="shared" si="257"/>
        <v>410</v>
      </c>
      <c r="AT413" s="71">
        <f t="shared" si="261"/>
        <v>6.0422416876630955E-2</v>
      </c>
      <c r="AU413" s="72">
        <f t="shared" si="242"/>
        <v>6.8214933659622723E-3</v>
      </c>
      <c r="AV413" s="73">
        <f t="shared" si="252"/>
        <v>1.0068214933659623</v>
      </c>
      <c r="AW413" s="74">
        <f>PRODUCT(AV$4:AV413)</f>
        <v>16.237383743884923</v>
      </c>
    </row>
    <row r="414" spans="5:49">
      <c r="E414">
        <f t="shared" si="259"/>
        <v>411</v>
      </c>
      <c r="F414" s="64">
        <f t="shared" si="243"/>
        <v>87.8</v>
      </c>
      <c r="G414" s="55">
        <f t="shared" si="231"/>
        <v>0</v>
      </c>
      <c r="H414" s="78">
        <f t="shared" si="258"/>
        <v>1</v>
      </c>
      <c r="I414" s="79">
        <f t="shared" si="244"/>
        <v>281401.27458292694</v>
      </c>
      <c r="J414" s="79">
        <f t="shared" si="232"/>
        <v>1919.5769277407639</v>
      </c>
      <c r="K414" s="80">
        <f t="shared" si="233"/>
        <v>-15</v>
      </c>
      <c r="L414" s="80">
        <f t="shared" si="245"/>
        <v>-234.50106215243912</v>
      </c>
      <c r="M414" s="80">
        <f t="shared" si="260"/>
        <v>0</v>
      </c>
      <c r="N414" s="80">
        <f t="shared" si="246"/>
        <v>-267.33121085378065</v>
      </c>
      <c r="O414" s="81">
        <f t="shared" si="234"/>
        <v>-2500.6101455486769</v>
      </c>
      <c r="P414" s="79">
        <f t="shared" si="235"/>
        <v>280303.40909211285</v>
      </c>
      <c r="Q414" s="35"/>
      <c r="R414">
        <f t="shared" ca="1" si="247"/>
        <v>536</v>
      </c>
      <c r="S414" s="78">
        <f t="shared" ca="1" si="248"/>
        <v>97.8</v>
      </c>
      <c r="T414" s="55">
        <f t="shared" ca="1" si="236"/>
        <v>4.4574366695104062E-2</v>
      </c>
      <c r="U414" s="78">
        <f t="shared" ca="1" si="253"/>
        <v>3.0281197081585493E-3</v>
      </c>
      <c r="V414" s="79">
        <f t="shared" ca="1" si="249"/>
        <v>206.92505793094523</v>
      </c>
      <c r="W414" s="79">
        <f t="shared" ca="1" si="237"/>
        <v>1.4115379099273018</v>
      </c>
      <c r="X414" s="80">
        <f t="shared" ca="1" si="254"/>
        <v>-4.542179562237824E-2</v>
      </c>
      <c r="Y414" s="80">
        <f t="shared" ca="1" si="255"/>
        <v>-0.17243754827578769</v>
      </c>
      <c r="Z414" s="80">
        <f t="shared" ca="1" si="250"/>
        <v>0</v>
      </c>
      <c r="AA414" s="80">
        <f t="shared" ca="1" si="256"/>
        <v>-0.19657880503439798</v>
      </c>
      <c r="AB414" s="81">
        <f t="shared" ca="1" si="238"/>
        <v>-7.5721468641571663</v>
      </c>
      <c r="AC414" s="79">
        <f t="shared" ca="1" si="239"/>
        <v>200.3500108277828</v>
      </c>
      <c r="AD414" s="35"/>
      <c r="AE414" s="62">
        <f t="shared" ca="1" si="240"/>
        <v>-2500.6101455486769</v>
      </c>
      <c r="AF414" s="62">
        <f t="shared" ca="1" si="241"/>
        <v>66163.173895664455</v>
      </c>
      <c r="AG414" s="35"/>
      <c r="AH414" s="35"/>
      <c r="AR414" s="69">
        <f t="shared" si="251"/>
        <v>35</v>
      </c>
      <c r="AS414" s="70">
        <f t="shared" si="257"/>
        <v>411</v>
      </c>
      <c r="AT414" s="71">
        <f t="shared" si="261"/>
        <v>6.0010245760751611E-2</v>
      </c>
      <c r="AU414" s="72">
        <f t="shared" si="242"/>
        <v>6.8214933659622723E-3</v>
      </c>
      <c r="AV414" s="73">
        <f t="shared" si="252"/>
        <v>1.0068214933659623</v>
      </c>
      <c r="AW414" s="74">
        <f>PRODUCT(AV$4:AV414)</f>
        <v>16.348146949374417</v>
      </c>
    </row>
    <row r="415" spans="5:49">
      <c r="E415">
        <f t="shared" si="259"/>
        <v>412</v>
      </c>
      <c r="F415" s="64">
        <f t="shared" si="243"/>
        <v>87.88</v>
      </c>
      <c r="G415" s="55">
        <f t="shared" si="231"/>
        <v>0</v>
      </c>
      <c r="H415" s="78">
        <f t="shared" si="258"/>
        <v>1</v>
      </c>
      <c r="I415" s="79">
        <f t="shared" si="244"/>
        <v>280303.40909211285</v>
      </c>
      <c r="J415" s="79">
        <f t="shared" si="232"/>
        <v>1912.0878455784566</v>
      </c>
      <c r="K415" s="80">
        <f t="shared" si="233"/>
        <v>-15</v>
      </c>
      <c r="L415" s="80">
        <f t="shared" si="245"/>
        <v>-233.58617424342739</v>
      </c>
      <c r="M415" s="80">
        <f t="shared" si="260"/>
        <v>0</v>
      </c>
      <c r="N415" s="80">
        <f t="shared" si="246"/>
        <v>-266.28823863750728</v>
      </c>
      <c r="O415" s="81">
        <f t="shared" si="234"/>
        <v>-2500.6101455486769</v>
      </c>
      <c r="P415" s="79">
        <f t="shared" si="235"/>
        <v>279200.01237926172</v>
      </c>
      <c r="Q415" s="35"/>
      <c r="R415">
        <f t="shared" ca="1" si="247"/>
        <v>537</v>
      </c>
      <c r="S415" s="78">
        <f t="shared" ca="1" si="248"/>
        <v>97.88</v>
      </c>
      <c r="T415" s="55">
        <f t="shared" ca="1" si="236"/>
        <v>4.4574366695104062E-2</v>
      </c>
      <c r="U415" s="78">
        <f t="shared" ca="1" si="253"/>
        <v>2.8931431898904184E-3</v>
      </c>
      <c r="V415" s="79">
        <f t="shared" ca="1" si="249"/>
        <v>191.41953597777714</v>
      </c>
      <c r="W415" s="79">
        <f t="shared" ca="1" si="237"/>
        <v>1.3057670947879834</v>
      </c>
      <c r="X415" s="80">
        <f t="shared" ca="1" si="254"/>
        <v>-4.3397147848356278E-2</v>
      </c>
      <c r="Y415" s="80">
        <f t="shared" ca="1" si="255"/>
        <v>-0.15951627998148096</v>
      </c>
      <c r="Z415" s="80">
        <f t="shared" ca="1" si="250"/>
        <v>0</v>
      </c>
      <c r="AA415" s="80">
        <f t="shared" ca="1" si="256"/>
        <v>-0.18184855917888831</v>
      </c>
      <c r="AB415" s="81">
        <f t="shared" ca="1" si="238"/>
        <v>-7.234623213165043</v>
      </c>
      <c r="AC415" s="79">
        <f t="shared" ca="1" si="239"/>
        <v>185.10591787239136</v>
      </c>
      <c r="AD415" s="35"/>
      <c r="AE415" s="62">
        <f t="shared" ca="1" si="240"/>
        <v>-2500.6101455486769</v>
      </c>
      <c r="AF415" s="62">
        <f t="shared" ca="1" si="241"/>
        <v>63980.904408468799</v>
      </c>
      <c r="AG415" s="35"/>
      <c r="AH415" s="35"/>
      <c r="AR415" s="69">
        <f t="shared" si="251"/>
        <v>35</v>
      </c>
      <c r="AS415" s="70">
        <f t="shared" si="257"/>
        <v>412</v>
      </c>
      <c r="AT415" s="71">
        <f t="shared" si="261"/>
        <v>5.9600886267404882E-2</v>
      </c>
      <c r="AU415" s="72">
        <f t="shared" si="242"/>
        <v>6.8214933659622723E-3</v>
      </c>
      <c r="AV415" s="73">
        <f t="shared" si="252"/>
        <v>1.0068214933659623</v>
      </c>
      <c r="AW415" s="74">
        <f>PRODUCT(AV$4:AV415)</f>
        <v>16.459665725335352</v>
      </c>
    </row>
    <row r="416" spans="5:49">
      <c r="E416">
        <f t="shared" si="259"/>
        <v>413</v>
      </c>
      <c r="F416" s="64">
        <f t="shared" si="243"/>
        <v>87.96</v>
      </c>
      <c r="G416" s="55">
        <f t="shared" si="231"/>
        <v>0</v>
      </c>
      <c r="H416" s="78">
        <f t="shared" si="258"/>
        <v>1</v>
      </c>
      <c r="I416" s="79">
        <f t="shared" si="244"/>
        <v>279200.01237926172</v>
      </c>
      <c r="J416" s="79">
        <f t="shared" si="232"/>
        <v>1904.5610322217181</v>
      </c>
      <c r="K416" s="80">
        <f t="shared" si="233"/>
        <v>-15</v>
      </c>
      <c r="L416" s="80">
        <f t="shared" si="245"/>
        <v>-232.66667698271812</v>
      </c>
      <c r="M416" s="80">
        <f t="shared" si="260"/>
        <v>0</v>
      </c>
      <c r="N416" s="80">
        <f t="shared" si="246"/>
        <v>-265.24001176029867</v>
      </c>
      <c r="O416" s="81">
        <f t="shared" si="234"/>
        <v>-2500.6101455486769</v>
      </c>
      <c r="P416" s="79">
        <f t="shared" si="235"/>
        <v>278091.05657719175</v>
      </c>
      <c r="Q416" s="35"/>
      <c r="R416">
        <f t="shared" ca="1" si="247"/>
        <v>538</v>
      </c>
      <c r="S416" s="78">
        <f t="shared" ca="1" si="248"/>
        <v>97.96</v>
      </c>
      <c r="T416" s="55">
        <f t="shared" ca="1" si="236"/>
        <v>4.4574366695104062E-2</v>
      </c>
      <c r="U416" s="78">
        <f t="shared" ca="1" si="253"/>
        <v>2.7641831644428E-3</v>
      </c>
      <c r="V416" s="79">
        <f t="shared" ca="1" si="249"/>
        <v>176.85493881171357</v>
      </c>
      <c r="W416" s="79">
        <f t="shared" ca="1" si="237"/>
        <v>1.2064147918417676</v>
      </c>
      <c r="X416" s="80">
        <f t="shared" ca="1" si="254"/>
        <v>-4.1462747466641997E-2</v>
      </c>
      <c r="Y416" s="80">
        <f t="shared" ca="1" si="255"/>
        <v>-0.14737911567642797</v>
      </c>
      <c r="Z416" s="80">
        <f t="shared" ca="1" si="250"/>
        <v>0</v>
      </c>
      <c r="AA416" s="80">
        <f t="shared" ca="1" si="256"/>
        <v>-0.16801219187112792</v>
      </c>
      <c r="AB416" s="81">
        <f t="shared" ca="1" si="238"/>
        <v>-6.9121444651605124</v>
      </c>
      <c r="AC416" s="79">
        <f t="shared" ca="1" si="239"/>
        <v>170.79235508338064</v>
      </c>
      <c r="AD416" s="35"/>
      <c r="AE416" s="62">
        <f t="shared" ca="1" si="240"/>
        <v>-2500.6101455486769</v>
      </c>
      <c r="AF416" s="62">
        <f t="shared" ca="1" si="241"/>
        <v>61787.640298362327</v>
      </c>
      <c r="AG416" s="35"/>
      <c r="AH416" s="35"/>
      <c r="AR416" s="69">
        <f t="shared" si="251"/>
        <v>35</v>
      </c>
      <c r="AS416" s="70">
        <f t="shared" si="257"/>
        <v>413</v>
      </c>
      <c r="AT416" s="71">
        <f t="shared" si="261"/>
        <v>5.9194319217126305E-2</v>
      </c>
      <c r="AU416" s="72">
        <f t="shared" si="242"/>
        <v>6.8214933659622723E-3</v>
      </c>
      <c r="AV416" s="73">
        <f t="shared" si="252"/>
        <v>1.0068214933659623</v>
      </c>
      <c r="AW416" s="74">
        <f>PRODUCT(AV$4:AV416)</f>
        <v>16.571945225886683</v>
      </c>
    </row>
    <row r="417" spans="5:49">
      <c r="E417">
        <f t="shared" si="259"/>
        <v>414</v>
      </c>
      <c r="F417" s="64">
        <f t="shared" si="243"/>
        <v>88.04</v>
      </c>
      <c r="G417" s="55">
        <f t="shared" si="231"/>
        <v>0</v>
      </c>
      <c r="H417" s="78">
        <f t="shared" si="258"/>
        <v>1</v>
      </c>
      <c r="I417" s="79">
        <f t="shared" si="244"/>
        <v>278091.05657719175</v>
      </c>
      <c r="J417" s="79">
        <f t="shared" si="232"/>
        <v>1896.9962975747524</v>
      </c>
      <c r="K417" s="80">
        <f t="shared" si="233"/>
        <v>-15</v>
      </c>
      <c r="L417" s="80">
        <f t="shared" si="245"/>
        <v>-231.74254714765979</v>
      </c>
      <c r="M417" s="80">
        <f t="shared" si="260"/>
        <v>0</v>
      </c>
      <c r="N417" s="80">
        <f t="shared" si="246"/>
        <v>-264.1865037483322</v>
      </c>
      <c r="O417" s="81">
        <f t="shared" si="234"/>
        <v>-2500.6101455486769</v>
      </c>
      <c r="P417" s="79">
        <f t="shared" si="235"/>
        <v>276976.51367832185</v>
      </c>
      <c r="Q417" s="35"/>
      <c r="R417">
        <f t="shared" ca="1" si="247"/>
        <v>539</v>
      </c>
      <c r="S417" s="78">
        <f t="shared" ca="1" si="248"/>
        <v>98.04</v>
      </c>
      <c r="T417" s="55">
        <f t="shared" ca="1" si="236"/>
        <v>4.4574366695104062E-2</v>
      </c>
      <c r="U417" s="78">
        <f t="shared" ca="1" si="253"/>
        <v>2.6409714504584936E-3</v>
      </c>
      <c r="V417" s="79">
        <f t="shared" ca="1" si="249"/>
        <v>163.1793940191736</v>
      </c>
      <c r="W417" s="79">
        <f t="shared" ca="1" si="237"/>
        <v>1.1131271537635363</v>
      </c>
      <c r="X417" s="80">
        <f t="shared" ca="1" si="254"/>
        <v>-3.9614571756877402E-2</v>
      </c>
      <c r="Y417" s="80">
        <f t="shared" ca="1" si="255"/>
        <v>-0.13598282834931133</v>
      </c>
      <c r="Z417" s="80">
        <f t="shared" ca="1" si="250"/>
        <v>0</v>
      </c>
      <c r="AA417" s="80">
        <f t="shared" ca="1" si="256"/>
        <v>-0.15502042431821494</v>
      </c>
      <c r="AB417" s="81">
        <f t="shared" ca="1" si="238"/>
        <v>-6.6040400031209145</v>
      </c>
      <c r="AC417" s="79">
        <f t="shared" ca="1" si="239"/>
        <v>157.35786334539182</v>
      </c>
      <c r="AD417" s="35"/>
      <c r="AE417" s="62">
        <f t="shared" ca="1" si="240"/>
        <v>-2500.6101455486769</v>
      </c>
      <c r="AF417" s="62">
        <f t="shared" ca="1" si="241"/>
        <v>59583.326172675304</v>
      </c>
      <c r="AG417" s="35"/>
      <c r="AH417" s="35"/>
      <c r="AR417" s="69">
        <f t="shared" si="251"/>
        <v>35</v>
      </c>
      <c r="AS417" s="70">
        <f t="shared" si="257"/>
        <v>414</v>
      </c>
      <c r="AT417" s="71">
        <f t="shared" si="261"/>
        <v>5.8790525561284022E-2</v>
      </c>
      <c r="AU417" s="72">
        <f t="shared" si="242"/>
        <v>6.8214933659622723E-3</v>
      </c>
      <c r="AV417" s="73">
        <f t="shared" si="252"/>
        <v>1.0068214933659623</v>
      </c>
      <c r="AW417" s="74">
        <f>PRODUCT(AV$4:AV417)</f>
        <v>16.684990640306161</v>
      </c>
    </row>
    <row r="418" spans="5:49">
      <c r="E418">
        <f t="shared" si="259"/>
        <v>415</v>
      </c>
      <c r="F418" s="64">
        <f t="shared" si="243"/>
        <v>88.12</v>
      </c>
      <c r="G418" s="55">
        <f t="shared" si="231"/>
        <v>0</v>
      </c>
      <c r="H418" s="78">
        <f t="shared" si="258"/>
        <v>1</v>
      </c>
      <c r="I418" s="79">
        <f t="shared" si="244"/>
        <v>276976.51367832185</v>
      </c>
      <c r="J418" s="79">
        <f t="shared" si="232"/>
        <v>1889.3934505840311</v>
      </c>
      <c r="K418" s="80">
        <f t="shared" si="233"/>
        <v>-15</v>
      </c>
      <c r="L418" s="80">
        <f t="shared" si="245"/>
        <v>-230.81376139860154</v>
      </c>
      <c r="M418" s="80">
        <f t="shared" si="260"/>
        <v>0</v>
      </c>
      <c r="N418" s="80">
        <f t="shared" si="246"/>
        <v>-263.12768799440579</v>
      </c>
      <c r="O418" s="81">
        <f t="shared" si="234"/>
        <v>-2500.6101455486769</v>
      </c>
      <c r="P418" s="79">
        <f t="shared" si="235"/>
        <v>275856.35553396423</v>
      </c>
      <c r="Q418" s="35"/>
      <c r="R418">
        <f t="shared" ca="1" si="247"/>
        <v>540</v>
      </c>
      <c r="S418" s="78">
        <f t="shared" ca="1" si="248"/>
        <v>98.12</v>
      </c>
      <c r="T418" s="55">
        <f t="shared" ca="1" si="236"/>
        <v>4.4574366695104062E-2</v>
      </c>
      <c r="U418" s="78">
        <f t="shared" ca="1" si="253"/>
        <v>2.5232518205944559E-3</v>
      </c>
      <c r="V418" s="79">
        <f t="shared" ca="1" si="249"/>
        <v>150.34373624227626</v>
      </c>
      <c r="W418" s="79">
        <f t="shared" ca="1" si="237"/>
        <v>1.0255687993906693</v>
      </c>
      <c r="X418" s="80">
        <f t="shared" ca="1" si="254"/>
        <v>-3.7848777308916837E-2</v>
      </c>
      <c r="Y418" s="80">
        <f t="shared" ca="1" si="255"/>
        <v>-0.12528644686856355</v>
      </c>
      <c r="Z418" s="80">
        <f t="shared" ca="1" si="250"/>
        <v>0</v>
      </c>
      <c r="AA418" s="80">
        <f t="shared" ca="1" si="256"/>
        <v>-0.14282654943016249</v>
      </c>
      <c r="AB418" s="81">
        <f t="shared" ca="1" si="238"/>
        <v>-6.3096691023526654</v>
      </c>
      <c r="AC418" s="79">
        <f t="shared" ca="1" si="239"/>
        <v>144.75367416570663</v>
      </c>
      <c r="AD418" s="35"/>
      <c r="AE418" s="62">
        <f t="shared" ca="1" si="240"/>
        <v>-2500.6101455486764</v>
      </c>
      <c r="AF418" s="62">
        <f t="shared" ca="1" si="241"/>
        <v>57367.906359660898</v>
      </c>
      <c r="AG418" s="35"/>
      <c r="AH418" s="35"/>
      <c r="AR418" s="69">
        <f t="shared" si="251"/>
        <v>35</v>
      </c>
      <c r="AS418" s="70">
        <f t="shared" si="257"/>
        <v>415</v>
      </c>
      <c r="AT418" s="71">
        <f t="shared" si="261"/>
        <v>5.8389486381186288E-2</v>
      </c>
      <c r="AU418" s="72">
        <f t="shared" si="242"/>
        <v>6.8214933659622723E-3</v>
      </c>
      <c r="AV418" s="73">
        <f t="shared" si="252"/>
        <v>1.0068214933659623</v>
      </c>
      <c r="AW418" s="74">
        <f>PRODUCT(AV$4:AV418)</f>
        <v>16.798807193270154</v>
      </c>
    </row>
    <row r="419" spans="5:49">
      <c r="E419">
        <f t="shared" si="259"/>
        <v>416</v>
      </c>
      <c r="F419" s="64">
        <f t="shared" si="243"/>
        <v>88.2</v>
      </c>
      <c r="G419" s="55">
        <f t="shared" si="231"/>
        <v>0</v>
      </c>
      <c r="H419" s="78">
        <f t="shared" si="258"/>
        <v>1</v>
      </c>
      <c r="I419" s="79">
        <f t="shared" si="244"/>
        <v>275856.35553396423</v>
      </c>
      <c r="J419" s="79">
        <f t="shared" si="232"/>
        <v>1881.7522992334671</v>
      </c>
      <c r="K419" s="80">
        <f t="shared" si="233"/>
        <v>-15</v>
      </c>
      <c r="L419" s="80">
        <f t="shared" si="245"/>
        <v>-229.88029627830355</v>
      </c>
      <c r="M419" s="80">
        <f t="shared" si="260"/>
        <v>0</v>
      </c>
      <c r="N419" s="80">
        <f t="shared" si="246"/>
        <v>-262.06353775726609</v>
      </c>
      <c r="O419" s="81">
        <f t="shared" si="234"/>
        <v>-2500.6101455486769</v>
      </c>
      <c r="P419" s="79">
        <f t="shared" si="235"/>
        <v>274730.5538536135</v>
      </c>
      <c r="Q419" s="35"/>
      <c r="R419">
        <f t="shared" ca="1" si="247"/>
        <v>541</v>
      </c>
      <c r="S419" s="78">
        <f t="shared" ca="1" si="248"/>
        <v>98.2</v>
      </c>
      <c r="T419" s="55">
        <f t="shared" ca="1" si="236"/>
        <v>4.4574366695104062E-2</v>
      </c>
      <c r="U419" s="78">
        <f t="shared" ca="1" si="253"/>
        <v>2.4107794686791897E-3</v>
      </c>
      <c r="V419" s="79">
        <f t="shared" ca="1" si="249"/>
        <v>138.30137081298082</v>
      </c>
      <c r="W419" s="79">
        <f t="shared" ca="1" si="237"/>
        <v>0.94342188350423695</v>
      </c>
      <c r="X419" s="80">
        <f t="shared" ca="1" si="254"/>
        <v>-3.6161692030187848E-2</v>
      </c>
      <c r="Y419" s="80">
        <f t="shared" ca="1" si="255"/>
        <v>-0.11525114234415069</v>
      </c>
      <c r="Z419" s="80">
        <f t="shared" ca="1" si="250"/>
        <v>-1.0372602810973561</v>
      </c>
      <c r="AA419" s="80">
        <f t="shared" ca="1" si="256"/>
        <v>-0.13138630227233181</v>
      </c>
      <c r="AB419" s="81">
        <f t="shared" ca="1" si="238"/>
        <v>-6.0284195980596307</v>
      </c>
      <c r="AC419" s="79">
        <f t="shared" ca="1" si="239"/>
        <v>131.8963136806814</v>
      </c>
      <c r="AD419" s="35"/>
      <c r="AE419" s="62">
        <f t="shared" ca="1" si="240"/>
        <v>-2500.6101455486769</v>
      </c>
      <c r="AF419" s="62">
        <f t="shared" ca="1" si="241"/>
        <v>54711.065609391611</v>
      </c>
      <c r="AG419" s="35"/>
      <c r="AH419" s="35"/>
      <c r="AR419" s="69">
        <f t="shared" si="251"/>
        <v>35</v>
      </c>
      <c r="AS419" s="70">
        <f t="shared" si="257"/>
        <v>416</v>
      </c>
      <c r="AT419" s="71">
        <f t="shared" si="261"/>
        <v>5.7991182887195084E-2</v>
      </c>
      <c r="AU419" s="72">
        <f t="shared" si="242"/>
        <v>6.8214933659622723E-3</v>
      </c>
      <c r="AV419" s="73">
        <f t="shared" si="252"/>
        <v>1.0068214933659623</v>
      </c>
      <c r="AW419" s="74">
        <f>PRODUCT(AV$4:AV419)</f>
        <v>16.913400145095125</v>
      </c>
    </row>
    <row r="420" spans="5:49">
      <c r="E420">
        <f t="shared" si="259"/>
        <v>417</v>
      </c>
      <c r="F420" s="64">
        <f t="shared" si="243"/>
        <v>88.28</v>
      </c>
      <c r="G420" s="55">
        <f t="shared" si="231"/>
        <v>0</v>
      </c>
      <c r="H420" s="78">
        <f t="shared" si="258"/>
        <v>1</v>
      </c>
      <c r="I420" s="79">
        <f t="shared" si="244"/>
        <v>274730.5538536135</v>
      </c>
      <c r="J420" s="79">
        <f t="shared" si="232"/>
        <v>1874.0726505395653</v>
      </c>
      <c r="K420" s="80">
        <f t="shared" si="233"/>
        <v>-15</v>
      </c>
      <c r="L420" s="80">
        <f t="shared" si="245"/>
        <v>-228.9421282113446</v>
      </c>
      <c r="M420" s="80">
        <f t="shared" si="260"/>
        <v>0</v>
      </c>
      <c r="N420" s="80">
        <f t="shared" si="246"/>
        <v>-260.99402616093289</v>
      </c>
      <c r="O420" s="81">
        <f t="shared" si="234"/>
        <v>-2500.6101455486769</v>
      </c>
      <c r="P420" s="79">
        <f t="shared" si="235"/>
        <v>273599.08020423219</v>
      </c>
      <c r="Q420" s="35"/>
      <c r="R420">
        <f t="shared" ca="1" si="247"/>
        <v>542</v>
      </c>
      <c r="S420" s="78">
        <f t="shared" ca="1" si="248"/>
        <v>98.28</v>
      </c>
      <c r="T420" s="55">
        <f t="shared" ca="1" si="236"/>
        <v>4.4574366695104062E-2</v>
      </c>
      <c r="U420" s="78">
        <f t="shared" ca="1" si="253"/>
        <v>2.3033205006212551E-3</v>
      </c>
      <c r="V420" s="79">
        <f t="shared" ca="1" si="249"/>
        <v>126.01711902894624</v>
      </c>
      <c r="W420" s="79">
        <f t="shared" ca="1" si="237"/>
        <v>0.85962494145363477</v>
      </c>
      <c r="X420" s="80">
        <f t="shared" ca="1" si="254"/>
        <v>-3.4549807509318825E-2</v>
      </c>
      <c r="Y420" s="80">
        <f t="shared" ca="1" si="255"/>
        <v>-0.10501426585745521</v>
      </c>
      <c r="Z420" s="80">
        <f t="shared" ca="1" si="250"/>
        <v>0</v>
      </c>
      <c r="AA420" s="80">
        <f t="shared" ca="1" si="256"/>
        <v>-0.11971626307749896</v>
      </c>
      <c r="AB420" s="81">
        <f t="shared" ca="1" si="238"/>
        <v>-5.759706612303769</v>
      </c>
      <c r="AC420" s="79">
        <f t="shared" ca="1" si="239"/>
        <v>120.85775702165184</v>
      </c>
      <c r="AD420" s="35"/>
      <c r="AE420" s="62">
        <f t="shared" ca="1" si="240"/>
        <v>-2500.6101455486773</v>
      </c>
      <c r="AF420" s="62">
        <f t="shared" ca="1" si="241"/>
        <v>52471.098567938716</v>
      </c>
      <c r="AG420" s="35"/>
      <c r="AH420" s="35"/>
      <c r="AR420" s="69">
        <f t="shared" si="251"/>
        <v>35</v>
      </c>
      <c r="AS420" s="70">
        <f t="shared" si="257"/>
        <v>417</v>
      </c>
      <c r="AT420" s="71">
        <f t="shared" si="261"/>
        <v>5.7595596417845778E-2</v>
      </c>
      <c r="AU420" s="72">
        <f t="shared" si="242"/>
        <v>6.8214933659622723E-3</v>
      </c>
      <c r="AV420" s="73">
        <f t="shared" si="252"/>
        <v>1.0068214933659623</v>
      </c>
      <c r="AW420" s="74">
        <f>PRODUCT(AV$4:AV420)</f>
        <v>17.028774791980755</v>
      </c>
    </row>
    <row r="421" spans="5:49">
      <c r="E421">
        <f t="shared" si="259"/>
        <v>418</v>
      </c>
      <c r="F421" s="64">
        <f t="shared" si="243"/>
        <v>88.36</v>
      </c>
      <c r="G421" s="55">
        <f t="shared" si="231"/>
        <v>0</v>
      </c>
      <c r="H421" s="78">
        <f t="shared" si="258"/>
        <v>1</v>
      </c>
      <c r="I421" s="79">
        <f t="shared" si="244"/>
        <v>273599.08020423219</v>
      </c>
      <c r="J421" s="79">
        <f t="shared" si="232"/>
        <v>1866.3543105465496</v>
      </c>
      <c r="K421" s="80">
        <f t="shared" si="233"/>
        <v>-15</v>
      </c>
      <c r="L421" s="80">
        <f t="shared" si="245"/>
        <v>-227.99923350352685</v>
      </c>
      <c r="M421" s="80">
        <f t="shared" si="260"/>
        <v>0</v>
      </c>
      <c r="N421" s="80">
        <f t="shared" si="246"/>
        <v>-259.91912619402063</v>
      </c>
      <c r="O421" s="81">
        <f t="shared" si="234"/>
        <v>-2500.6101455486769</v>
      </c>
      <c r="P421" s="79">
        <f t="shared" si="235"/>
        <v>272461.90600953251</v>
      </c>
      <c r="Q421" s="35"/>
      <c r="R421">
        <f t="shared" ca="1" si="247"/>
        <v>543</v>
      </c>
      <c r="S421" s="78">
        <f t="shared" ca="1" si="248"/>
        <v>98.36</v>
      </c>
      <c r="T421" s="55">
        <f t="shared" ca="1" si="236"/>
        <v>4.4574366695104062E-2</v>
      </c>
      <c r="U421" s="78">
        <f t="shared" ca="1" si="253"/>
        <v>2.2006514480102128E-3</v>
      </c>
      <c r="V421" s="79">
        <f t="shared" ca="1" si="249"/>
        <v>115.47059904222094</v>
      </c>
      <c r="W421" s="79">
        <f t="shared" ca="1" si="237"/>
        <v>0.78768192533019965</v>
      </c>
      <c r="X421" s="80">
        <f t="shared" ca="1" si="254"/>
        <v>-3.3009771720153194E-2</v>
      </c>
      <c r="Y421" s="80">
        <f t="shared" ca="1" si="255"/>
        <v>-9.6225499201850792E-2</v>
      </c>
      <c r="Z421" s="80">
        <f t="shared" ca="1" si="250"/>
        <v>0</v>
      </c>
      <c r="AA421" s="80">
        <f t="shared" ca="1" si="256"/>
        <v>-0.10969706909010991</v>
      </c>
      <c r="AB421" s="81">
        <f t="shared" ca="1" si="238"/>
        <v>-5.5029713377107248</v>
      </c>
      <c r="AC421" s="79">
        <f t="shared" ca="1" si="239"/>
        <v>110.51637728982831</v>
      </c>
      <c r="AD421" s="35"/>
      <c r="AE421" s="62">
        <f t="shared" ca="1" si="240"/>
        <v>-2500.6101455486769</v>
      </c>
      <c r="AF421" s="62">
        <f t="shared" ca="1" si="241"/>
        <v>50219.846214063167</v>
      </c>
      <c r="AG421" s="35"/>
      <c r="AH421" s="35"/>
      <c r="AR421" s="69">
        <f t="shared" si="251"/>
        <v>35</v>
      </c>
      <c r="AS421" s="70">
        <f t="shared" si="257"/>
        <v>418</v>
      </c>
      <c r="AT421" s="71">
        <f t="shared" si="261"/>
        <v>5.72027084389728E-2</v>
      </c>
      <c r="AU421" s="72">
        <f t="shared" si="242"/>
        <v>6.8214933659622723E-3</v>
      </c>
      <c r="AV421" s="73">
        <f t="shared" si="252"/>
        <v>1.0068214933659623</v>
      </c>
      <c r="AW421" s="74">
        <f>PRODUCT(AV$4:AV421)</f>
        <v>17.144936466254716</v>
      </c>
    </row>
    <row r="422" spans="5:49">
      <c r="E422">
        <f t="shared" si="259"/>
        <v>419</v>
      </c>
      <c r="F422" s="64">
        <f t="shared" si="243"/>
        <v>88.44</v>
      </c>
      <c r="G422" s="55">
        <f t="shared" si="231"/>
        <v>0</v>
      </c>
      <c r="H422" s="78">
        <f t="shared" si="258"/>
        <v>1</v>
      </c>
      <c r="I422" s="79">
        <f t="shared" si="244"/>
        <v>272461.90600953251</v>
      </c>
      <c r="J422" s="79">
        <f t="shared" si="232"/>
        <v>1858.5970843214623</v>
      </c>
      <c r="K422" s="80">
        <f t="shared" si="233"/>
        <v>-15</v>
      </c>
      <c r="L422" s="80">
        <f t="shared" si="245"/>
        <v>-227.0515883412771</v>
      </c>
      <c r="M422" s="80">
        <f t="shared" si="260"/>
        <v>0</v>
      </c>
      <c r="N422" s="80">
        <f t="shared" si="246"/>
        <v>-258.83881070905596</v>
      </c>
      <c r="O422" s="81">
        <f t="shared" si="234"/>
        <v>-2500.6101455486769</v>
      </c>
      <c r="P422" s="79">
        <f t="shared" si="235"/>
        <v>271319.00254925498</v>
      </c>
      <c r="Q422" s="35"/>
      <c r="R422">
        <f t="shared" ca="1" si="247"/>
        <v>544</v>
      </c>
      <c r="S422" s="78">
        <f t="shared" ca="1" si="248"/>
        <v>98.44</v>
      </c>
      <c r="T422" s="55">
        <f t="shared" ca="1" si="236"/>
        <v>4.4574366695104062E-2</v>
      </c>
      <c r="U422" s="78">
        <f t="shared" ca="1" si="253"/>
        <v>2.102558803398494E-3</v>
      </c>
      <c r="V422" s="79">
        <f t="shared" ca="1" si="249"/>
        <v>105.59017976269703</v>
      </c>
      <c r="W422" s="79">
        <f t="shared" ca="1" si="237"/>
        <v>0.72028271076200157</v>
      </c>
      <c r="X422" s="80">
        <f t="shared" ca="1" si="254"/>
        <v>-3.1538382050977413E-2</v>
      </c>
      <c r="Y422" s="80">
        <f t="shared" ca="1" si="255"/>
        <v>-8.79918164689142E-2</v>
      </c>
      <c r="Z422" s="80">
        <f t="shared" ca="1" si="250"/>
        <v>0</v>
      </c>
      <c r="AA422" s="80">
        <f t="shared" ca="1" si="256"/>
        <v>-0.1003106707745622</v>
      </c>
      <c r="AB422" s="81">
        <f t="shared" ca="1" si="238"/>
        <v>-5.2576798753909602</v>
      </c>
      <c r="AC422" s="79">
        <f t="shared" ca="1" si="239"/>
        <v>100.83294172877362</v>
      </c>
      <c r="AD422" s="35"/>
      <c r="AE422" s="62">
        <f t="shared" ca="1" si="240"/>
        <v>-2500.6101455486769</v>
      </c>
      <c r="AF422" s="62">
        <f t="shared" ca="1" si="241"/>
        <v>47957.251690554949</v>
      </c>
      <c r="AG422" s="35"/>
      <c r="AH422" s="35"/>
      <c r="AR422" s="69">
        <f t="shared" si="251"/>
        <v>35</v>
      </c>
      <c r="AS422" s="70">
        <f t="shared" si="257"/>
        <v>419</v>
      </c>
      <c r="AT422" s="71">
        <f t="shared" si="261"/>
        <v>5.6812500542841274E-2</v>
      </c>
      <c r="AU422" s="72">
        <f t="shared" si="242"/>
        <v>6.8214933659622723E-3</v>
      </c>
      <c r="AV422" s="73">
        <f t="shared" si="252"/>
        <v>1.0068214933659623</v>
      </c>
      <c r="AW422" s="74">
        <f>PRODUCT(AV$4:AV422)</f>
        <v>17.261890536619116</v>
      </c>
    </row>
    <row r="423" spans="5:49">
      <c r="E423">
        <f t="shared" si="259"/>
        <v>420</v>
      </c>
      <c r="F423" s="64">
        <f t="shared" si="243"/>
        <v>88.52</v>
      </c>
      <c r="G423" s="55">
        <f t="shared" si="231"/>
        <v>0</v>
      </c>
      <c r="H423" s="78">
        <f t="shared" si="258"/>
        <v>1</v>
      </c>
      <c r="I423" s="79">
        <f t="shared" si="244"/>
        <v>271319.00254925498</v>
      </c>
      <c r="J423" s="79">
        <f t="shared" si="232"/>
        <v>1850.8007759492436</v>
      </c>
      <c r="K423" s="80">
        <f t="shared" si="233"/>
        <v>-15</v>
      </c>
      <c r="L423" s="80">
        <f t="shared" si="245"/>
        <v>-226.09916879104583</v>
      </c>
      <c r="M423" s="80">
        <f t="shared" si="260"/>
        <v>0</v>
      </c>
      <c r="N423" s="80">
        <f t="shared" si="246"/>
        <v>-257.75305242179229</v>
      </c>
      <c r="O423" s="81">
        <f t="shared" si="234"/>
        <v>-2500.6101455486769</v>
      </c>
      <c r="P423" s="79">
        <f t="shared" si="235"/>
        <v>270170.34095844277</v>
      </c>
      <c r="Q423" s="35"/>
      <c r="R423">
        <f t="shared" ca="1" si="247"/>
        <v>545</v>
      </c>
      <c r="S423" s="78">
        <f t="shared" ca="1" si="248"/>
        <v>98.52</v>
      </c>
      <c r="T423" s="55">
        <f t="shared" ca="1" si="236"/>
        <v>4.8867350363173689E-2</v>
      </c>
      <c r="U423" s="78">
        <f t="shared" ca="1" si="253"/>
        <v>1.9998123256936445E-3</v>
      </c>
      <c r="V423" s="79">
        <f t="shared" ca="1" si="249"/>
        <v>95.905503037164166</v>
      </c>
      <c r="W423" s="79">
        <f t="shared" ca="1" si="237"/>
        <v>0.65421875272728991</v>
      </c>
      <c r="X423" s="80">
        <f t="shared" ca="1" si="254"/>
        <v>-2.9997184885404666E-2</v>
      </c>
      <c r="Y423" s="80">
        <f t="shared" ca="1" si="255"/>
        <v>-7.9921252530970141E-2</v>
      </c>
      <c r="Z423" s="80">
        <f t="shared" ca="1" si="250"/>
        <v>0</v>
      </c>
      <c r="AA423" s="80">
        <f t="shared" ca="1" si="256"/>
        <v>-9.1110227885305983E-2</v>
      </c>
      <c r="AB423" s="81">
        <f t="shared" ca="1" si="238"/>
        <v>-5.000750990822822</v>
      </c>
      <c r="AC423" s="79">
        <f t="shared" ca="1" si="239"/>
        <v>91.357942133766954</v>
      </c>
      <c r="AD423" s="35"/>
      <c r="AE423" s="62">
        <f t="shared" ca="1" si="240"/>
        <v>-2500.6101455486769</v>
      </c>
      <c r="AF423" s="62">
        <f t="shared" ca="1" si="241"/>
        <v>45683.257853748357</v>
      </c>
      <c r="AG423" s="35"/>
      <c r="AH423" s="35"/>
      <c r="AR423" s="69">
        <f t="shared" si="251"/>
        <v>35</v>
      </c>
      <c r="AS423" s="70">
        <f t="shared" si="257"/>
        <v>420</v>
      </c>
      <c r="AT423" s="71">
        <f t="shared" si="261"/>
        <v>5.6424954447284556E-2</v>
      </c>
      <c r="AU423" s="72">
        <f t="shared" si="242"/>
        <v>6.8214933659622723E-3</v>
      </c>
      <c r="AV423" s="73">
        <f t="shared" si="252"/>
        <v>1.0068214933659623</v>
      </c>
      <c r="AW423" s="74">
        <f>PRODUCT(AV$4:AV423)</f>
        <v>17.379642408398631</v>
      </c>
    </row>
    <row r="424" spans="5:49">
      <c r="E424">
        <f t="shared" si="259"/>
        <v>421</v>
      </c>
      <c r="F424" s="64">
        <f t="shared" si="243"/>
        <v>88.6</v>
      </c>
      <c r="G424" s="55">
        <f t="shared" si="231"/>
        <v>0</v>
      </c>
      <c r="H424" s="78">
        <f t="shared" si="258"/>
        <v>1</v>
      </c>
      <c r="I424" s="79">
        <f t="shared" si="244"/>
        <v>270170.34095844277</v>
      </c>
      <c r="J424" s="79">
        <f t="shared" si="232"/>
        <v>1842.9651885277826</v>
      </c>
      <c r="K424" s="80">
        <f t="shared" si="233"/>
        <v>-15</v>
      </c>
      <c r="L424" s="80">
        <f t="shared" si="245"/>
        <v>-225.14195079870231</v>
      </c>
      <c r="M424" s="80">
        <f t="shared" si="260"/>
        <v>-2026.2775571883208</v>
      </c>
      <c r="N424" s="80">
        <f t="shared" si="246"/>
        <v>-256.6618239105207</v>
      </c>
      <c r="O424" s="81">
        <f t="shared" si="234"/>
        <v>-2500.6101455486769</v>
      </c>
      <c r="P424" s="79">
        <f t="shared" si="235"/>
        <v>266989.61466952437</v>
      </c>
      <c r="Q424" s="35"/>
      <c r="R424">
        <f t="shared" ca="1" si="247"/>
        <v>546</v>
      </c>
      <c r="S424" s="78">
        <f t="shared" ca="1" si="248"/>
        <v>98.6</v>
      </c>
      <c r="T424" s="55">
        <f t="shared" ca="1" si="236"/>
        <v>4.8867350363173689E-2</v>
      </c>
      <c r="U424" s="78">
        <f t="shared" ca="1" si="253"/>
        <v>1.90208679611338E-3</v>
      </c>
      <c r="V424" s="79">
        <f t="shared" ca="1" si="249"/>
        <v>86.893521567057618</v>
      </c>
      <c r="W424" s="79">
        <f t="shared" ca="1" si="237"/>
        <v>0.59274358091478319</v>
      </c>
      <c r="X424" s="80">
        <f t="shared" ca="1" si="254"/>
        <v>-2.8531301941700699E-2</v>
      </c>
      <c r="Y424" s="80">
        <f t="shared" ca="1" si="255"/>
        <v>-7.2411267972548016E-2</v>
      </c>
      <c r="Z424" s="80">
        <f t="shared" ca="1" si="250"/>
        <v>0</v>
      </c>
      <c r="AA424" s="80">
        <f t="shared" ca="1" si="256"/>
        <v>-8.2548845488704753E-2</v>
      </c>
      <c r="AB424" s="81">
        <f t="shared" ca="1" si="238"/>
        <v>-4.7563775400752961</v>
      </c>
      <c r="AC424" s="79">
        <f t="shared" ca="1" si="239"/>
        <v>82.546396192494157</v>
      </c>
      <c r="AD424" s="35"/>
      <c r="AE424" s="62">
        <f t="shared" ca="1" si="240"/>
        <v>-2500.6101455486773</v>
      </c>
      <c r="AF424" s="62">
        <f t="shared" ca="1" si="241"/>
        <v>43397.807272078724</v>
      </c>
      <c r="AG424" s="35"/>
      <c r="AH424" s="35"/>
      <c r="AR424" s="69">
        <f t="shared" si="251"/>
        <v>36</v>
      </c>
      <c r="AS424" s="70">
        <f t="shared" si="257"/>
        <v>421</v>
      </c>
      <c r="AT424" s="71">
        <f t="shared" si="261"/>
        <v>5.6040051994847684E-2</v>
      </c>
      <c r="AU424" s="72">
        <f t="shared" si="242"/>
        <v>6.8214933659622723E-3</v>
      </c>
      <c r="AV424" s="73">
        <f t="shared" si="252"/>
        <v>1.0068214933659623</v>
      </c>
      <c r="AW424" s="74">
        <f>PRODUCT(AV$4:AV424)</f>
        <v>17.498197523790317</v>
      </c>
    </row>
    <row r="425" spans="5:49">
      <c r="E425">
        <f t="shared" si="259"/>
        <v>422</v>
      </c>
      <c r="F425" s="64">
        <f t="shared" si="243"/>
        <v>88.68</v>
      </c>
      <c r="G425" s="55">
        <f t="shared" si="231"/>
        <v>0</v>
      </c>
      <c r="H425" s="78">
        <f t="shared" si="258"/>
        <v>1</v>
      </c>
      <c r="I425" s="79">
        <f t="shared" si="244"/>
        <v>266989.61466952437</v>
      </c>
      <c r="J425" s="79">
        <f t="shared" si="232"/>
        <v>1821.2678852489839</v>
      </c>
      <c r="K425" s="80">
        <f t="shared" si="233"/>
        <v>-15</v>
      </c>
      <c r="L425" s="80">
        <f t="shared" si="245"/>
        <v>-222.491345557937</v>
      </c>
      <c r="M425" s="80">
        <f t="shared" si="260"/>
        <v>0</v>
      </c>
      <c r="N425" s="80">
        <f t="shared" si="246"/>
        <v>-253.64013393604819</v>
      </c>
      <c r="O425" s="81">
        <f t="shared" si="234"/>
        <v>-2500.6101455486769</v>
      </c>
      <c r="P425" s="79">
        <f t="shared" si="235"/>
        <v>265819.14092973073</v>
      </c>
      <c r="Q425" s="35"/>
      <c r="R425">
        <f t="shared" ca="1" si="247"/>
        <v>547</v>
      </c>
      <c r="S425" s="78">
        <f t="shared" ca="1" si="248"/>
        <v>98.68</v>
      </c>
      <c r="T425" s="55">
        <f t="shared" ca="1" si="236"/>
        <v>4.8867350363173689E-2</v>
      </c>
      <c r="U425" s="78">
        <f t="shared" ca="1" si="253"/>
        <v>1.8091368542265409E-3</v>
      </c>
      <c r="V425" s="79">
        <f t="shared" ca="1" si="249"/>
        <v>78.5125725285382</v>
      </c>
      <c r="W425" s="79">
        <f t="shared" ca="1" si="237"/>
        <v>0.53557299264805514</v>
      </c>
      <c r="X425" s="80">
        <f t="shared" ca="1" si="254"/>
        <v>-2.7137052813398115E-2</v>
      </c>
      <c r="Y425" s="80">
        <f t="shared" ca="1" si="255"/>
        <v>-6.5427143773781837E-2</v>
      </c>
      <c r="Z425" s="80">
        <f t="shared" ca="1" si="250"/>
        <v>0</v>
      </c>
      <c r="AA425" s="80">
        <f t="shared" ca="1" si="256"/>
        <v>-7.4586943902111305E-2</v>
      </c>
      <c r="AB425" s="81">
        <f t="shared" ca="1" si="238"/>
        <v>-4.5239459723649054</v>
      </c>
      <c r="AC425" s="79">
        <f t="shared" ca="1" si="239"/>
        <v>74.357048408332076</v>
      </c>
      <c r="AD425" s="35"/>
      <c r="AE425" s="62">
        <f t="shared" ca="1" si="240"/>
        <v>-2500.6101455486764</v>
      </c>
      <c r="AF425" s="62">
        <f t="shared" ca="1" si="241"/>
        <v>41100.842224631975</v>
      </c>
      <c r="AG425" s="35"/>
      <c r="AH425" s="35"/>
      <c r="AR425" s="69">
        <f t="shared" si="251"/>
        <v>36</v>
      </c>
      <c r="AS425" s="70">
        <f t="shared" si="257"/>
        <v>422</v>
      </c>
      <c r="AT425" s="71">
        <f t="shared" si="261"/>
        <v>5.565777515193665E-2</v>
      </c>
      <c r="AU425" s="72">
        <f t="shared" si="242"/>
        <v>6.8214933659622723E-3</v>
      </c>
      <c r="AV425" s="73">
        <f t="shared" si="252"/>
        <v>1.0068214933659623</v>
      </c>
      <c r="AW425" s="74">
        <f>PRODUCT(AV$4:AV425)</f>
        <v>17.617561362115151</v>
      </c>
    </row>
    <row r="426" spans="5:49">
      <c r="E426">
        <f t="shared" si="259"/>
        <v>423</v>
      </c>
      <c r="F426" s="64">
        <f t="shared" si="243"/>
        <v>88.76</v>
      </c>
      <c r="G426" s="55">
        <f t="shared" si="231"/>
        <v>0</v>
      </c>
      <c r="H426" s="78">
        <f t="shared" si="258"/>
        <v>1</v>
      </c>
      <c r="I426" s="79">
        <f t="shared" si="244"/>
        <v>265819.14092973073</v>
      </c>
      <c r="J426" s="79">
        <f t="shared" si="232"/>
        <v>1813.2835063979485</v>
      </c>
      <c r="K426" s="80">
        <f t="shared" si="233"/>
        <v>-15</v>
      </c>
      <c r="L426" s="80">
        <f t="shared" si="245"/>
        <v>-221.51595077477563</v>
      </c>
      <c r="M426" s="80">
        <f t="shared" si="260"/>
        <v>0</v>
      </c>
      <c r="N426" s="80">
        <f t="shared" si="246"/>
        <v>-252.52818388324422</v>
      </c>
      <c r="O426" s="81">
        <f t="shared" si="234"/>
        <v>-2500.6101455486769</v>
      </c>
      <c r="P426" s="79">
        <f t="shared" si="235"/>
        <v>264642.77015592204</v>
      </c>
      <c r="Q426" s="35"/>
      <c r="R426">
        <f t="shared" ca="1" si="247"/>
        <v>548</v>
      </c>
      <c r="S426" s="78">
        <f t="shared" ca="1" si="248"/>
        <v>98.76</v>
      </c>
      <c r="T426" s="55">
        <f t="shared" ca="1" si="236"/>
        <v>4.8867350363173689E-2</v>
      </c>
      <c r="U426" s="78">
        <f t="shared" ca="1" si="253"/>
        <v>1.7207291297161227E-3</v>
      </c>
      <c r="V426" s="79">
        <f t="shared" ca="1" si="249"/>
        <v>70.723416471790642</v>
      </c>
      <c r="W426" s="79">
        <f t="shared" ca="1" si="237"/>
        <v>0.48243931628050674</v>
      </c>
      <c r="X426" s="80">
        <f t="shared" ca="1" si="254"/>
        <v>-2.5810936945741839E-2</v>
      </c>
      <c r="Y426" s="80">
        <f t="shared" ca="1" si="255"/>
        <v>-5.8936180393158871E-2</v>
      </c>
      <c r="Z426" s="80">
        <f t="shared" ca="1" si="250"/>
        <v>0</v>
      </c>
      <c r="AA426" s="80">
        <f t="shared" ca="1" si="256"/>
        <v>-6.7187245648201124E-2</v>
      </c>
      <c r="AB426" s="81">
        <f t="shared" ca="1" si="238"/>
        <v>-4.3028727195092813</v>
      </c>
      <c r="AC426" s="79">
        <f t="shared" ca="1" si="239"/>
        <v>66.75104870557476</v>
      </c>
      <c r="AD426" s="35"/>
      <c r="AE426" s="62">
        <f t="shared" ca="1" si="240"/>
        <v>-2500.6101455486769</v>
      </c>
      <c r="AF426" s="62">
        <f t="shared" ca="1" si="241"/>
        <v>38792.304699686822</v>
      </c>
      <c r="AG426" s="35"/>
      <c r="AH426" s="35"/>
      <c r="AR426" s="69">
        <f t="shared" si="251"/>
        <v>36</v>
      </c>
      <c r="AS426" s="70">
        <f t="shared" si="257"/>
        <v>423</v>
      </c>
      <c r="AT426" s="71">
        <f t="shared" si="261"/>
        <v>5.5278106007973497E-2</v>
      </c>
      <c r="AU426" s="72">
        <f t="shared" si="242"/>
        <v>6.8214933659622723E-3</v>
      </c>
      <c r="AV426" s="73">
        <f t="shared" si="252"/>
        <v>1.0068214933659623</v>
      </c>
      <c r="AW426" s="74">
        <f>PRODUCT(AV$4:AV426)</f>
        <v>17.737739440071252</v>
      </c>
    </row>
    <row r="427" spans="5:49">
      <c r="E427">
        <f t="shared" si="259"/>
        <v>424</v>
      </c>
      <c r="F427" s="64">
        <f t="shared" si="243"/>
        <v>88.84</v>
      </c>
      <c r="G427" s="55">
        <f t="shared" si="231"/>
        <v>0</v>
      </c>
      <c r="H427" s="78">
        <f t="shared" si="258"/>
        <v>1</v>
      </c>
      <c r="I427" s="79">
        <f t="shared" si="244"/>
        <v>264642.77015592204</v>
      </c>
      <c r="J427" s="79">
        <f t="shared" si="232"/>
        <v>1805.2589009685007</v>
      </c>
      <c r="K427" s="80">
        <f t="shared" si="233"/>
        <v>-15</v>
      </c>
      <c r="L427" s="80">
        <f t="shared" si="245"/>
        <v>-220.53564179660171</v>
      </c>
      <c r="M427" s="80">
        <f t="shared" si="260"/>
        <v>0</v>
      </c>
      <c r="N427" s="80">
        <f t="shared" si="246"/>
        <v>-251.41063164812599</v>
      </c>
      <c r="O427" s="81">
        <f t="shared" si="234"/>
        <v>-2500.6101455486769</v>
      </c>
      <c r="P427" s="79">
        <f t="shared" si="235"/>
        <v>263460.47263789712</v>
      </c>
      <c r="Q427" s="35"/>
      <c r="R427">
        <f t="shared" ca="1" si="247"/>
        <v>549</v>
      </c>
      <c r="S427" s="78">
        <f t="shared" ca="1" si="248"/>
        <v>98.84</v>
      </c>
      <c r="T427" s="55">
        <f t="shared" ca="1" si="236"/>
        <v>4.8867350363173689E-2</v>
      </c>
      <c r="U427" s="78">
        <f t="shared" ca="1" si="253"/>
        <v>1.6366416564541659E-3</v>
      </c>
      <c r="V427" s="79">
        <f t="shared" ca="1" si="249"/>
        <v>63.48910182137017</v>
      </c>
      <c r="W427" s="79">
        <f t="shared" ca="1" si="237"/>
        <v>0.43309048688537982</v>
      </c>
      <c r="X427" s="80">
        <f t="shared" ca="1" si="254"/>
        <v>-2.4549624846812487E-2</v>
      </c>
      <c r="Y427" s="80">
        <f t="shared" ca="1" si="255"/>
        <v>-5.290758485114181E-2</v>
      </c>
      <c r="Z427" s="80">
        <f t="shared" ca="1" si="250"/>
        <v>0</v>
      </c>
      <c r="AA427" s="80">
        <f t="shared" ca="1" si="256"/>
        <v>-6.0314646730301673E-2</v>
      </c>
      <c r="AB427" s="81">
        <f t="shared" ca="1" si="238"/>
        <v>-4.0926027307568793</v>
      </c>
      <c r="AC427" s="79">
        <f t="shared" ca="1" si="239"/>
        <v>59.691817721070407</v>
      </c>
      <c r="AD427" s="35"/>
      <c r="AE427" s="62">
        <f t="shared" ca="1" si="240"/>
        <v>-2500.6101455486769</v>
      </c>
      <c r="AF427" s="62">
        <f t="shared" ca="1" si="241"/>
        <v>36472.136393249668</v>
      </c>
      <c r="AG427" s="35"/>
      <c r="AH427" s="35"/>
      <c r="AR427" s="69">
        <f t="shared" si="251"/>
        <v>36</v>
      </c>
      <c r="AS427" s="70">
        <f t="shared" si="257"/>
        <v>424</v>
      </c>
      <c r="AT427" s="71">
        <f t="shared" si="261"/>
        <v>5.4901026774557146E-2</v>
      </c>
      <c r="AU427" s="72">
        <f t="shared" si="242"/>
        <v>6.8214933659622723E-3</v>
      </c>
      <c r="AV427" s="73">
        <f t="shared" si="252"/>
        <v>1.0068214933659623</v>
      </c>
      <c r="AW427" s="74">
        <f>PRODUCT(AV$4:AV427)</f>
        <v>17.858737311988865</v>
      </c>
    </row>
    <row r="428" spans="5:49">
      <c r="E428">
        <f t="shared" si="259"/>
        <v>425</v>
      </c>
      <c r="F428" s="64">
        <f t="shared" si="243"/>
        <v>88.92</v>
      </c>
      <c r="G428" s="55">
        <f t="shared" si="231"/>
        <v>0</v>
      </c>
      <c r="H428" s="78">
        <f t="shared" si="258"/>
        <v>1</v>
      </c>
      <c r="I428" s="79">
        <f t="shared" si="244"/>
        <v>263460.47263789712</v>
      </c>
      <c r="J428" s="79">
        <f t="shared" si="232"/>
        <v>1797.1938662927</v>
      </c>
      <c r="K428" s="80">
        <f t="shared" si="233"/>
        <v>-15</v>
      </c>
      <c r="L428" s="80">
        <f t="shared" si="245"/>
        <v>-219.5503938649143</v>
      </c>
      <c r="M428" s="80">
        <f t="shared" si="260"/>
        <v>0</v>
      </c>
      <c r="N428" s="80">
        <f t="shared" si="246"/>
        <v>-250.28744900600233</v>
      </c>
      <c r="O428" s="81">
        <f t="shared" si="234"/>
        <v>-2500.6101455486769</v>
      </c>
      <c r="P428" s="79">
        <f t="shared" si="235"/>
        <v>262272.21851577028</v>
      </c>
      <c r="Q428" s="35"/>
      <c r="R428">
        <f t="shared" ca="1" si="247"/>
        <v>550</v>
      </c>
      <c r="S428" s="78">
        <f t="shared" ca="1" si="248"/>
        <v>98.92</v>
      </c>
      <c r="T428" s="55">
        <f t="shared" ca="1" si="236"/>
        <v>4.8867350363173689E-2</v>
      </c>
      <c r="U428" s="78">
        <f t="shared" ca="1" si="253"/>
        <v>1.5566633152092552E-3</v>
      </c>
      <c r="V428" s="79">
        <f t="shared" ca="1" si="249"/>
        <v>56.774836750680159</v>
      </c>
      <c r="W428" s="79">
        <f t="shared" ca="1" si="237"/>
        <v>0.38728917224835574</v>
      </c>
      <c r="X428" s="80">
        <f t="shared" ca="1" si="254"/>
        <v>-2.3349949728138829E-2</v>
      </c>
      <c r="Y428" s="80">
        <f t="shared" ca="1" si="255"/>
        <v>-4.7312363958900136E-2</v>
      </c>
      <c r="Z428" s="80">
        <f t="shared" ca="1" si="250"/>
        <v>0</v>
      </c>
      <c r="AA428" s="80">
        <f t="shared" ca="1" si="256"/>
        <v>-5.393609491314616E-2</v>
      </c>
      <c r="AB428" s="81">
        <f t="shared" ca="1" si="238"/>
        <v>-3.8926080792157016</v>
      </c>
      <c r="AC428" s="79">
        <f t="shared" ca="1" si="239"/>
        <v>53.144919435112627</v>
      </c>
      <c r="AD428" s="35"/>
      <c r="AE428" s="62">
        <f t="shared" ca="1" si="240"/>
        <v>-2500.6101455486769</v>
      </c>
      <c r="AF428" s="62">
        <f t="shared" ca="1" si="241"/>
        <v>34140.278707582052</v>
      </c>
      <c r="AG428" s="35"/>
      <c r="AH428" s="35"/>
      <c r="AR428" s="69">
        <f t="shared" si="251"/>
        <v>36</v>
      </c>
      <c r="AS428" s="70">
        <f t="shared" si="257"/>
        <v>425</v>
      </c>
      <c r="AT428" s="71">
        <f t="shared" si="261"/>
        <v>5.4526519784629988E-2</v>
      </c>
      <c r="AU428" s="72">
        <f t="shared" si="242"/>
        <v>6.8214933659622723E-3</v>
      </c>
      <c r="AV428" s="73">
        <f t="shared" si="252"/>
        <v>1.0068214933659623</v>
      </c>
      <c r="AW428" s="74">
        <f>PRODUCT(AV$4:AV428)</f>
        <v>17.980560570087061</v>
      </c>
    </row>
    <row r="429" spans="5:49">
      <c r="E429">
        <f t="shared" si="259"/>
        <v>426</v>
      </c>
      <c r="F429" s="64">
        <f t="shared" si="243"/>
        <v>89</v>
      </c>
      <c r="G429" s="55">
        <f t="shared" si="231"/>
        <v>0</v>
      </c>
      <c r="H429" s="78">
        <f t="shared" si="258"/>
        <v>1</v>
      </c>
      <c r="I429" s="79">
        <f t="shared" si="244"/>
        <v>262272.21851577028</v>
      </c>
      <c r="J429" s="79">
        <f t="shared" si="232"/>
        <v>1789.0881986815343</v>
      </c>
      <c r="K429" s="80">
        <f t="shared" si="233"/>
        <v>-15</v>
      </c>
      <c r="L429" s="80">
        <f t="shared" si="245"/>
        <v>-218.56018209647524</v>
      </c>
      <c r="M429" s="80">
        <f t="shared" si="260"/>
        <v>0</v>
      </c>
      <c r="N429" s="80">
        <f t="shared" si="246"/>
        <v>-249.15860758998181</v>
      </c>
      <c r="O429" s="81">
        <f t="shared" si="234"/>
        <v>-2500.6101455486769</v>
      </c>
      <c r="P429" s="79">
        <f t="shared" si="235"/>
        <v>261077.97777921669</v>
      </c>
      <c r="Q429" s="35"/>
      <c r="R429">
        <f t="shared" ca="1" si="247"/>
        <v>551</v>
      </c>
      <c r="S429" s="78">
        <f t="shared" ca="1" si="248"/>
        <v>99</v>
      </c>
      <c r="T429" s="55">
        <f t="shared" ca="1" si="236"/>
        <v>4.8867350363173689E-2</v>
      </c>
      <c r="U429" s="78">
        <f t="shared" ca="1" si="253"/>
        <v>1.480593303587425E-3</v>
      </c>
      <c r="V429" s="79">
        <f t="shared" ca="1" si="249"/>
        <v>50.547868037054336</v>
      </c>
      <c r="W429" s="79">
        <f t="shared" ca="1" si="237"/>
        <v>0.34481194647830254</v>
      </c>
      <c r="X429" s="80">
        <f t="shared" ca="1" si="254"/>
        <v>-2.2208899553811376E-2</v>
      </c>
      <c r="Y429" s="80">
        <f t="shared" ca="1" si="255"/>
        <v>-4.2123223364211947E-2</v>
      </c>
      <c r="Z429" s="80">
        <f t="shared" ca="1" si="250"/>
        <v>0</v>
      </c>
      <c r="AA429" s="80">
        <f t="shared" ca="1" si="256"/>
        <v>-4.8020474635201628E-2</v>
      </c>
      <c r="AB429" s="81">
        <f t="shared" ca="1" si="238"/>
        <v>-3.7023866363821472</v>
      </c>
      <c r="AC429" s="79">
        <f t="shared" ca="1" si="239"/>
        <v>47.077940749597268</v>
      </c>
      <c r="AD429" s="35"/>
      <c r="AE429" s="62">
        <f t="shared" ca="1" si="240"/>
        <v>-2500.6101455486769</v>
      </c>
      <c r="AF429" s="62">
        <f t="shared" ca="1" si="241"/>
        <v>31796.672749720728</v>
      </c>
      <c r="AG429" s="35"/>
      <c r="AH429" s="35"/>
      <c r="AR429" s="69">
        <f t="shared" si="251"/>
        <v>36</v>
      </c>
      <c r="AS429" s="70">
        <f t="shared" si="257"/>
        <v>426</v>
      </c>
      <c r="AT429" s="71">
        <f t="shared" si="261"/>
        <v>5.4154567491650124E-2</v>
      </c>
      <c r="AU429" s="72">
        <f t="shared" si="242"/>
        <v>6.8214933659622723E-3</v>
      </c>
      <c r="AV429" s="73">
        <f t="shared" si="252"/>
        <v>1.0068214933659623</v>
      </c>
      <c r="AW429" s="74">
        <f>PRODUCT(AV$4:AV429)</f>
        <v>18.103214844732193</v>
      </c>
    </row>
    <row r="430" spans="5:49">
      <c r="E430">
        <f t="shared" si="259"/>
        <v>427</v>
      </c>
      <c r="F430" s="64">
        <f t="shared" si="243"/>
        <v>89.08</v>
      </c>
      <c r="G430" s="55">
        <f t="shared" si="231"/>
        <v>0</v>
      </c>
      <c r="H430" s="78">
        <f t="shared" si="258"/>
        <v>1</v>
      </c>
      <c r="I430" s="79">
        <f t="shared" si="244"/>
        <v>261077.97777921669</v>
      </c>
      <c r="J430" s="79">
        <f t="shared" si="232"/>
        <v>1780.9416934197723</v>
      </c>
      <c r="K430" s="80">
        <f t="shared" si="233"/>
        <v>-15</v>
      </c>
      <c r="L430" s="80">
        <f t="shared" si="245"/>
        <v>-217.56498148268059</v>
      </c>
      <c r="M430" s="80">
        <f t="shared" si="260"/>
        <v>0</v>
      </c>
      <c r="N430" s="80">
        <f t="shared" si="246"/>
        <v>-248.02407889025588</v>
      </c>
      <c r="O430" s="81">
        <f t="shared" si="234"/>
        <v>-2500.6101455486769</v>
      </c>
      <c r="P430" s="79">
        <f t="shared" si="235"/>
        <v>259877.72026671484</v>
      </c>
      <c r="Q430" s="35"/>
      <c r="R430">
        <f t="shared" ca="1" si="247"/>
        <v>552</v>
      </c>
      <c r="S430" s="78">
        <f t="shared" ca="1" si="248"/>
        <v>99.08</v>
      </c>
      <c r="T430" s="55">
        <f t="shared" ca="1" si="236"/>
        <v>4.8867350363173689E-2</v>
      </c>
      <c r="U430" s="78">
        <f t="shared" ca="1" si="253"/>
        <v>1.4082406318756495E-3</v>
      </c>
      <c r="V430" s="79">
        <f t="shared" ca="1" si="249"/>
        <v>44.777366524609967</v>
      </c>
      <c r="W430" s="79">
        <f t="shared" ca="1" si="237"/>
        <v>0.30544850869288803</v>
      </c>
      <c r="X430" s="80">
        <f t="shared" ca="1" si="254"/>
        <v>-2.1123609478134742E-2</v>
      </c>
      <c r="Y430" s="80">
        <f t="shared" ca="1" si="255"/>
        <v>-3.7314472103841638E-2</v>
      </c>
      <c r="Z430" s="80">
        <f t="shared" ca="1" si="250"/>
        <v>0</v>
      </c>
      <c r="AA430" s="80">
        <f t="shared" ca="1" si="256"/>
        <v>-4.253849819837948E-2</v>
      </c>
      <c r="AB430" s="81">
        <f t="shared" ca="1" si="238"/>
        <v>-3.5214608114421289</v>
      </c>
      <c r="AC430" s="79">
        <f t="shared" ca="1" si="239"/>
        <v>41.460377642080374</v>
      </c>
      <c r="AD430" s="35"/>
      <c r="AE430" s="62">
        <f t="shared" ca="1" si="240"/>
        <v>-2500.6101455486769</v>
      </c>
      <c r="AF430" s="62">
        <f t="shared" ca="1" si="241"/>
        <v>29441.25932999028</v>
      </c>
      <c r="AG430" s="35"/>
      <c r="AH430" s="35"/>
      <c r="AR430" s="69">
        <f t="shared" si="251"/>
        <v>36</v>
      </c>
      <c r="AS430" s="70">
        <f t="shared" si="257"/>
        <v>427</v>
      </c>
      <c r="AT430" s="71">
        <f t="shared" si="261"/>
        <v>5.3785152468769276E-2</v>
      </c>
      <c r="AU430" s="72">
        <f t="shared" si="242"/>
        <v>6.8214933659622723E-3</v>
      </c>
      <c r="AV430" s="73">
        <f t="shared" si="252"/>
        <v>1.0068214933659623</v>
      </c>
      <c r="AW430" s="74">
        <f>PRODUCT(AV$4:AV430)</f>
        <v>18.226705804698124</v>
      </c>
    </row>
    <row r="431" spans="5:49">
      <c r="E431">
        <f t="shared" si="259"/>
        <v>428</v>
      </c>
      <c r="F431" s="64">
        <f t="shared" si="243"/>
        <v>89.16</v>
      </c>
      <c r="G431" s="55">
        <f t="shared" si="231"/>
        <v>0</v>
      </c>
      <c r="H431" s="78">
        <f t="shared" si="258"/>
        <v>1</v>
      </c>
      <c r="I431" s="79">
        <f t="shared" si="244"/>
        <v>259877.72026671484</v>
      </c>
      <c r="J431" s="79">
        <f t="shared" si="232"/>
        <v>1772.7541447607944</v>
      </c>
      <c r="K431" s="80">
        <f t="shared" si="233"/>
        <v>-15</v>
      </c>
      <c r="L431" s="80">
        <f t="shared" si="245"/>
        <v>-216.56476688892906</v>
      </c>
      <c r="M431" s="80">
        <f t="shared" si="260"/>
        <v>0</v>
      </c>
      <c r="N431" s="80">
        <f t="shared" si="246"/>
        <v>-246.88383425337915</v>
      </c>
      <c r="O431" s="81">
        <f t="shared" si="234"/>
        <v>-2500.6101455486769</v>
      </c>
      <c r="P431" s="79">
        <f t="shared" si="235"/>
        <v>258671.41566478461</v>
      </c>
      <c r="Q431" s="35"/>
      <c r="R431">
        <f t="shared" ca="1" si="247"/>
        <v>553</v>
      </c>
      <c r="S431" s="78">
        <f t="shared" ca="1" si="248"/>
        <v>99.16</v>
      </c>
      <c r="T431" s="55">
        <f t="shared" ca="1" si="236"/>
        <v>4.8867350363173689E-2</v>
      </c>
      <c r="U431" s="78">
        <f t="shared" ca="1" si="253"/>
        <v>1.3394236435221251E-3</v>
      </c>
      <c r="V431" s="79">
        <f t="shared" ca="1" si="249"/>
        <v>39.43431884165534</v>
      </c>
      <c r="W431" s="79">
        <f t="shared" ca="1" si="237"/>
        <v>0.26900094436959293</v>
      </c>
      <c r="X431" s="80">
        <f t="shared" ca="1" si="254"/>
        <v>-2.0091354652831878E-2</v>
      </c>
      <c r="Y431" s="80">
        <f t="shared" ca="1" si="255"/>
        <v>-3.2861932368046118E-2</v>
      </c>
      <c r="Z431" s="80">
        <f t="shared" ca="1" si="250"/>
        <v>-0.29575739131241502</v>
      </c>
      <c r="AA431" s="80">
        <f t="shared" ca="1" si="256"/>
        <v>-3.7462602899572581E-2</v>
      </c>
      <c r="AB431" s="81">
        <f t="shared" ca="1" si="238"/>
        <v>-3.3493763521792004</v>
      </c>
      <c r="AC431" s="79">
        <f t="shared" ca="1" si="239"/>
        <v>35.967770152612871</v>
      </c>
      <c r="AD431" s="35"/>
      <c r="AE431" s="62">
        <f t="shared" ca="1" si="240"/>
        <v>-2500.6101455486769</v>
      </c>
      <c r="AF431" s="62">
        <f t="shared" ca="1" si="241"/>
        <v>26853.1695155333</v>
      </c>
      <c r="AG431" s="35"/>
      <c r="AH431" s="35"/>
      <c r="AR431" s="69">
        <f t="shared" si="251"/>
        <v>36</v>
      </c>
      <c r="AS431" s="70">
        <f t="shared" si="257"/>
        <v>428</v>
      </c>
      <c r="AT431" s="71">
        <f t="shared" si="261"/>
        <v>5.3418257408016298E-2</v>
      </c>
      <c r="AU431" s="72">
        <f t="shared" si="242"/>
        <v>6.8214933659622723E-3</v>
      </c>
      <c r="AV431" s="73">
        <f t="shared" si="252"/>
        <v>1.0068214933659623</v>
      </c>
      <c r="AW431" s="74">
        <f>PRODUCT(AV$4:AV431)</f>
        <v>18.351039157428218</v>
      </c>
    </row>
    <row r="432" spans="5:49">
      <c r="E432">
        <f t="shared" si="259"/>
        <v>429</v>
      </c>
      <c r="F432" s="64">
        <f t="shared" si="243"/>
        <v>89.24</v>
      </c>
      <c r="G432" s="55">
        <f t="shared" si="231"/>
        <v>0</v>
      </c>
      <c r="H432" s="78">
        <f t="shared" si="258"/>
        <v>1</v>
      </c>
      <c r="I432" s="79">
        <f t="shared" si="244"/>
        <v>258671.41566478461</v>
      </c>
      <c r="J432" s="79">
        <f t="shared" si="232"/>
        <v>1764.5253459213977</v>
      </c>
      <c r="K432" s="80">
        <f t="shared" si="233"/>
        <v>-15</v>
      </c>
      <c r="L432" s="80">
        <f t="shared" si="245"/>
        <v>-215.55951305398719</v>
      </c>
      <c r="M432" s="80">
        <f t="shared" si="260"/>
        <v>0</v>
      </c>
      <c r="N432" s="80">
        <f t="shared" si="246"/>
        <v>-245.73784488154544</v>
      </c>
      <c r="O432" s="81">
        <f t="shared" si="234"/>
        <v>-2500.6101455486769</v>
      </c>
      <c r="P432" s="79">
        <f t="shared" si="235"/>
        <v>257459.03350722181</v>
      </c>
      <c r="Q432" s="35"/>
      <c r="R432">
        <f t="shared" ca="1" si="247"/>
        <v>554</v>
      </c>
      <c r="S432" s="78">
        <f t="shared" ca="1" si="248"/>
        <v>99.24</v>
      </c>
      <c r="T432" s="55">
        <f t="shared" ca="1" si="236"/>
        <v>4.8867350363173689E-2</v>
      </c>
      <c r="U432" s="78">
        <f t="shared" ca="1" si="253"/>
        <v>1.2739695590494107E-3</v>
      </c>
      <c r="V432" s="79">
        <f t="shared" ca="1" si="249"/>
        <v>34.210120526783037</v>
      </c>
      <c r="W432" s="79">
        <f t="shared" ca="1" si="237"/>
        <v>0.23336411022222023</v>
      </c>
      <c r="X432" s="80">
        <f t="shared" ca="1" si="254"/>
        <v>-1.9109543385741161E-2</v>
      </c>
      <c r="Y432" s="80">
        <f t="shared" ca="1" si="255"/>
        <v>-2.8508433772319198E-2</v>
      </c>
      <c r="Z432" s="80">
        <f t="shared" ca="1" si="250"/>
        <v>0</v>
      </c>
      <c r="AA432" s="80">
        <f t="shared" ca="1" si="256"/>
        <v>-3.2499614500443891E-2</v>
      </c>
      <c r="AB432" s="81">
        <f t="shared" ca="1" si="238"/>
        <v>-3.1857012044791304</v>
      </c>
      <c r="AC432" s="79">
        <f t="shared" ca="1" si="239"/>
        <v>31.177665840867625</v>
      </c>
      <c r="AD432" s="35"/>
      <c r="AE432" s="62">
        <f t="shared" ca="1" si="240"/>
        <v>-2500.6101455486769</v>
      </c>
      <c r="AF432" s="62">
        <f t="shared" ca="1" si="241"/>
        <v>24472.849935387196</v>
      </c>
      <c r="AG432" s="35"/>
      <c r="AH432" s="35"/>
      <c r="AR432" s="69">
        <f t="shared" si="251"/>
        <v>36</v>
      </c>
      <c r="AS432" s="70">
        <f t="shared" si="257"/>
        <v>429</v>
      </c>
      <c r="AT432" s="71">
        <f t="shared" si="261"/>
        <v>5.3053865119486253E-2</v>
      </c>
      <c r="AU432" s="72">
        <f t="shared" si="242"/>
        <v>6.8214933659622723E-3</v>
      </c>
      <c r="AV432" s="73">
        <f t="shared" si="252"/>
        <v>1.0068214933659623</v>
      </c>
      <c r="AW432" s="74">
        <f>PRODUCT(AV$4:AV432)</f>
        <v>18.47622064929913</v>
      </c>
    </row>
    <row r="433" spans="5:49">
      <c r="E433">
        <f t="shared" si="259"/>
        <v>430</v>
      </c>
      <c r="F433" s="64">
        <f t="shared" si="243"/>
        <v>89.32</v>
      </c>
      <c r="G433" s="55">
        <f t="shared" si="231"/>
        <v>0</v>
      </c>
      <c r="H433" s="78">
        <f t="shared" si="258"/>
        <v>1</v>
      </c>
      <c r="I433" s="79">
        <f t="shared" si="244"/>
        <v>257459.03350722181</v>
      </c>
      <c r="J433" s="79">
        <f t="shared" si="232"/>
        <v>1756.2550890765719</v>
      </c>
      <c r="K433" s="80">
        <f t="shared" si="233"/>
        <v>-15</v>
      </c>
      <c r="L433" s="80">
        <f t="shared" si="245"/>
        <v>-214.54919458935152</v>
      </c>
      <c r="M433" s="80">
        <f t="shared" si="260"/>
        <v>0</v>
      </c>
      <c r="N433" s="80">
        <f t="shared" si="246"/>
        <v>-244.58608183186075</v>
      </c>
      <c r="O433" s="81">
        <f t="shared" si="234"/>
        <v>-2500.6101455486769</v>
      </c>
      <c r="P433" s="79">
        <f t="shared" si="235"/>
        <v>256240.54317432852</v>
      </c>
      <c r="Q433" s="35"/>
      <c r="R433">
        <f t="shared" ca="1" si="247"/>
        <v>555</v>
      </c>
      <c r="S433" s="78">
        <f t="shared" ca="1" si="248"/>
        <v>99.32</v>
      </c>
      <c r="T433" s="55">
        <f t="shared" ca="1" si="236"/>
        <v>4.8867350363173689E-2</v>
      </c>
      <c r="U433" s="78">
        <f t="shared" ca="1" si="253"/>
        <v>1.2117140422553253E-3</v>
      </c>
      <c r="V433" s="79">
        <f t="shared" ca="1" si="249"/>
        <v>29.654095920715996</v>
      </c>
      <c r="W433" s="79">
        <f t="shared" ca="1" si="237"/>
        <v>0.20228521859677304</v>
      </c>
      <c r="X433" s="80">
        <f t="shared" ca="1" si="254"/>
        <v>-1.8175710633829879E-2</v>
      </c>
      <c r="Y433" s="80">
        <f t="shared" ca="1" si="255"/>
        <v>-2.4711746600596666E-2</v>
      </c>
      <c r="Z433" s="80">
        <f t="shared" ca="1" si="250"/>
        <v>0</v>
      </c>
      <c r="AA433" s="80">
        <f t="shared" ca="1" si="256"/>
        <v>-2.8171391124680201E-2</v>
      </c>
      <c r="AB433" s="81">
        <f t="shared" ca="1" si="238"/>
        <v>-3.0300244275674646</v>
      </c>
      <c r="AC433" s="79">
        <f t="shared" ca="1" si="239"/>
        <v>26.755297863386197</v>
      </c>
      <c r="AD433" s="35"/>
      <c r="AE433" s="62">
        <f t="shared" ca="1" si="240"/>
        <v>-2500.6101455486769</v>
      </c>
      <c r="AF433" s="62">
        <f t="shared" ca="1" si="241"/>
        <v>22080.537924267512</v>
      </c>
      <c r="AG433" s="35"/>
      <c r="AH433" s="35"/>
      <c r="AR433" s="69">
        <f t="shared" si="251"/>
        <v>36</v>
      </c>
      <c r="AS433" s="70">
        <f t="shared" si="257"/>
        <v>430</v>
      </c>
      <c r="AT433" s="71">
        <f t="shared" si="261"/>
        <v>5.2691958530535023E-2</v>
      </c>
      <c r="AU433" s="72">
        <f t="shared" si="242"/>
        <v>6.8214933659622723E-3</v>
      </c>
      <c r="AV433" s="73">
        <f t="shared" si="252"/>
        <v>1.0068214933659623</v>
      </c>
      <c r="AW433" s="74">
        <f>PRODUCT(AV$4:AV433)</f>
        <v>18.60225606588638</v>
      </c>
    </row>
    <row r="434" spans="5:49">
      <c r="E434">
        <f t="shared" si="259"/>
        <v>431</v>
      </c>
      <c r="F434" s="64">
        <f t="shared" si="243"/>
        <v>89.4</v>
      </c>
      <c r="G434" s="55">
        <f t="shared" si="231"/>
        <v>0</v>
      </c>
      <c r="H434" s="78">
        <f t="shared" si="258"/>
        <v>1</v>
      </c>
      <c r="I434" s="79">
        <f t="shared" si="244"/>
        <v>256240.54317432852</v>
      </c>
      <c r="J434" s="79">
        <f t="shared" si="232"/>
        <v>1747.9431653542513</v>
      </c>
      <c r="K434" s="80">
        <f t="shared" si="233"/>
        <v>-15</v>
      </c>
      <c r="L434" s="80">
        <f t="shared" si="245"/>
        <v>-213.53378597860711</v>
      </c>
      <c r="M434" s="80">
        <f t="shared" si="260"/>
        <v>0</v>
      </c>
      <c r="N434" s="80">
        <f t="shared" si="246"/>
        <v>-243.42851601561213</v>
      </c>
      <c r="O434" s="81">
        <f t="shared" si="234"/>
        <v>-2500.6101455486769</v>
      </c>
      <c r="P434" s="79">
        <f t="shared" si="235"/>
        <v>255015.91389213988</v>
      </c>
      <c r="Q434" s="35"/>
      <c r="R434">
        <f t="shared" ca="1" si="247"/>
        <v>556</v>
      </c>
      <c r="S434" s="78">
        <f t="shared" ca="1" si="248"/>
        <v>99.4</v>
      </c>
      <c r="T434" s="55">
        <f t="shared" ca="1" si="236"/>
        <v>4.8867350363173689E-2</v>
      </c>
      <c r="U434" s="78">
        <f t="shared" ca="1" si="253"/>
        <v>1.1525007876124569E-3</v>
      </c>
      <c r="V434" s="79">
        <f t="shared" ca="1" si="249"/>
        <v>25.447837348625033</v>
      </c>
      <c r="W434" s="79">
        <f t="shared" ca="1" si="237"/>
        <v>0.17359225365173261</v>
      </c>
      <c r="X434" s="80">
        <f t="shared" ca="1" si="254"/>
        <v>-1.7287511814186855E-2</v>
      </c>
      <c r="Y434" s="80">
        <f t="shared" ca="1" si="255"/>
        <v>-2.1206531123854195E-2</v>
      </c>
      <c r="Z434" s="80">
        <f t="shared" ca="1" si="250"/>
        <v>0</v>
      </c>
      <c r="AA434" s="80">
        <f t="shared" ca="1" si="256"/>
        <v>-2.4175445481193786E-2</v>
      </c>
      <c r="AB434" s="81">
        <f t="shared" ca="1" si="238"/>
        <v>-2.8819551622565505</v>
      </c>
      <c r="AC434" s="79">
        <f t="shared" ca="1" si="239"/>
        <v>22.676804951600982</v>
      </c>
      <c r="AD434" s="35"/>
      <c r="AE434" s="62">
        <f t="shared" ca="1" si="240"/>
        <v>-2500.6101455486769</v>
      </c>
      <c r="AF434" s="62">
        <f t="shared" ca="1" si="241"/>
        <v>19676.173062387828</v>
      </c>
      <c r="AG434" s="35"/>
      <c r="AH434" s="35"/>
      <c r="AR434" s="69">
        <f t="shared" si="251"/>
        <v>36</v>
      </c>
      <c r="AS434" s="70">
        <f t="shared" si="257"/>
        <v>431</v>
      </c>
      <c r="AT434" s="71">
        <f t="shared" si="261"/>
        <v>5.2332520684979421E-2</v>
      </c>
      <c r="AU434" s="72">
        <f t="shared" si="242"/>
        <v>6.8214933659622723E-3</v>
      </c>
      <c r="AV434" s="73">
        <f t="shared" si="252"/>
        <v>1.0068214933659623</v>
      </c>
      <c r="AW434" s="74">
        <f>PRODUCT(AV$4:AV434)</f>
        <v>18.729151232231754</v>
      </c>
    </row>
    <row r="435" spans="5:49">
      <c r="E435">
        <f t="shared" si="259"/>
        <v>432</v>
      </c>
      <c r="F435" s="64">
        <f t="shared" si="243"/>
        <v>89.48</v>
      </c>
      <c r="G435" s="55">
        <f t="shared" si="231"/>
        <v>0</v>
      </c>
      <c r="H435" s="78">
        <f t="shared" si="258"/>
        <v>1</v>
      </c>
      <c r="I435" s="79">
        <f t="shared" si="244"/>
        <v>255015.91389213988</v>
      </c>
      <c r="J435" s="79">
        <f t="shared" si="232"/>
        <v>1739.5893648300382</v>
      </c>
      <c r="K435" s="80">
        <f t="shared" si="233"/>
        <v>-15</v>
      </c>
      <c r="L435" s="80">
        <f t="shared" si="245"/>
        <v>-212.51326157678326</v>
      </c>
      <c r="M435" s="80">
        <f t="shared" si="260"/>
        <v>0</v>
      </c>
      <c r="N435" s="80">
        <f t="shared" si="246"/>
        <v>-242.26511819753293</v>
      </c>
      <c r="O435" s="81">
        <f t="shared" si="234"/>
        <v>-2500.6101455486769</v>
      </c>
      <c r="P435" s="79">
        <f t="shared" si="235"/>
        <v>253785.1147316469</v>
      </c>
      <c r="Q435" s="35"/>
      <c r="R435">
        <f t="shared" ca="1" si="247"/>
        <v>557</v>
      </c>
      <c r="S435" s="78">
        <f t="shared" ca="1" si="248"/>
        <v>99.48</v>
      </c>
      <c r="T435" s="55">
        <f t="shared" ca="1" si="236"/>
        <v>4.8867350363173689E-2</v>
      </c>
      <c r="U435" s="78">
        <f t="shared" ca="1" si="253"/>
        <v>1.0961811278303653E-3</v>
      </c>
      <c r="V435" s="79">
        <f t="shared" ca="1" si="249"/>
        <v>21.568649578913746</v>
      </c>
      <c r="W435" s="79">
        <f t="shared" ca="1" si="237"/>
        <v>0.14713040001532507</v>
      </c>
      <c r="X435" s="80">
        <f t="shared" ca="1" si="254"/>
        <v>-1.6442716917455479E-2</v>
      </c>
      <c r="Y435" s="80">
        <f t="shared" ca="1" si="255"/>
        <v>-1.7973874649094789E-2</v>
      </c>
      <c r="Z435" s="80">
        <f t="shared" ca="1" si="250"/>
        <v>0</v>
      </c>
      <c r="AA435" s="80">
        <f t="shared" ca="1" si="256"/>
        <v>-2.0490217099968063E-2</v>
      </c>
      <c r="AB435" s="81">
        <f t="shared" ca="1" si="238"/>
        <v>-2.7411216496116029</v>
      </c>
      <c r="AC435" s="79">
        <f t="shared" ca="1" si="239"/>
        <v>18.919751520650948</v>
      </c>
      <c r="AD435" s="35"/>
      <c r="AE435" s="62">
        <f t="shared" ca="1" si="240"/>
        <v>-2500.6101455486773</v>
      </c>
      <c r="AF435" s="62">
        <f t="shared" ca="1" si="241"/>
        <v>17259.694625557164</v>
      </c>
      <c r="AG435" s="35"/>
      <c r="AH435" s="35"/>
      <c r="AR435" s="69">
        <f t="shared" si="251"/>
        <v>36</v>
      </c>
      <c r="AS435" s="70">
        <f t="shared" si="257"/>
        <v>432</v>
      </c>
      <c r="AT435" s="71">
        <f t="shared" si="261"/>
        <v>5.1975534742302751E-2</v>
      </c>
      <c r="AU435" s="72">
        <f t="shared" si="242"/>
        <v>6.8214933659622723E-3</v>
      </c>
      <c r="AV435" s="73">
        <f t="shared" si="252"/>
        <v>1.0068214933659623</v>
      </c>
      <c r="AW435" s="74">
        <f>PRODUCT(AV$4:AV435)</f>
        <v>18.856912013112527</v>
      </c>
    </row>
    <row r="436" spans="5:49">
      <c r="E436">
        <f t="shared" si="259"/>
        <v>433</v>
      </c>
      <c r="F436" s="64">
        <f t="shared" si="243"/>
        <v>89.56</v>
      </c>
      <c r="G436" s="55">
        <f t="shared" si="231"/>
        <v>0</v>
      </c>
      <c r="H436" s="78">
        <f t="shared" si="258"/>
        <v>1</v>
      </c>
      <c r="I436" s="79">
        <f t="shared" si="244"/>
        <v>253785.1147316469</v>
      </c>
      <c r="J436" s="79">
        <f t="shared" si="232"/>
        <v>1731.1934765219034</v>
      </c>
      <c r="K436" s="80">
        <f t="shared" si="233"/>
        <v>-15</v>
      </c>
      <c r="L436" s="80">
        <f t="shared" si="245"/>
        <v>-211.48759560970575</v>
      </c>
      <c r="M436" s="80">
        <f t="shared" si="260"/>
        <v>-1903.3883604873517</v>
      </c>
      <c r="N436" s="80">
        <f t="shared" si="246"/>
        <v>-241.09585899506462</v>
      </c>
      <c r="O436" s="81">
        <f t="shared" si="234"/>
        <v>-2500.6101455486769</v>
      </c>
      <c r="P436" s="79">
        <f t="shared" si="235"/>
        <v>250644.72624752799</v>
      </c>
      <c r="Q436" s="35"/>
      <c r="R436">
        <f t="shared" ca="1" si="247"/>
        <v>558</v>
      </c>
      <c r="S436" s="78">
        <f t="shared" ca="1" si="248"/>
        <v>99.56</v>
      </c>
      <c r="T436" s="55">
        <f t="shared" ca="1" si="236"/>
        <v>5.3587726218805809E-2</v>
      </c>
      <c r="U436" s="78">
        <f t="shared" ca="1" si="253"/>
        <v>1.0374392736659699E-3</v>
      </c>
      <c r="V436" s="79">
        <f t="shared" ca="1" si="249"/>
        <v>17.905885056034471</v>
      </c>
      <c r="W436" s="79">
        <f t="shared" ca="1" si="237"/>
        <v>0.12214487612142214</v>
      </c>
      <c r="X436" s="80">
        <f t="shared" ca="1" si="254"/>
        <v>-1.5561589104989549E-2</v>
      </c>
      <c r="Y436" s="80">
        <f t="shared" ca="1" si="255"/>
        <v>-1.4921570880028727E-2</v>
      </c>
      <c r="Z436" s="80">
        <f t="shared" ca="1" si="250"/>
        <v>0</v>
      </c>
      <c r="AA436" s="80">
        <f t="shared" ca="1" si="256"/>
        <v>-1.701059080323275E-2</v>
      </c>
      <c r="AB436" s="81">
        <f t="shared" ca="1" si="238"/>
        <v>-2.5942311731197747</v>
      </c>
      <c r="AC436" s="79">
        <f t="shared" ca="1" si="239"/>
        <v>15.386305008247868</v>
      </c>
      <c r="AD436" s="35"/>
      <c r="AE436" s="62">
        <f t="shared" ca="1" si="240"/>
        <v>-2500.6101455486769</v>
      </c>
      <c r="AF436" s="62">
        <f t="shared" ca="1" si="241"/>
        <v>14831.041583646353</v>
      </c>
      <c r="AG436" s="35"/>
      <c r="AH436" s="35"/>
      <c r="AR436" s="69">
        <f t="shared" si="251"/>
        <v>37</v>
      </c>
      <c r="AS436" s="70">
        <f t="shared" si="257"/>
        <v>433</v>
      </c>
      <c r="AT436" s="71">
        <f t="shared" si="261"/>
        <v>5.1620983976865792E-2</v>
      </c>
      <c r="AU436" s="72">
        <f t="shared" si="242"/>
        <v>6.8214933659622723E-3</v>
      </c>
      <c r="AV436" s="73">
        <f t="shared" si="252"/>
        <v>1.0068214933659623</v>
      </c>
      <c r="AW436" s="74">
        <f>PRODUCT(AV$4:AV436)</f>
        <v>18.985544313312509</v>
      </c>
    </row>
    <row r="437" spans="5:49">
      <c r="E437">
        <f t="shared" si="259"/>
        <v>434</v>
      </c>
      <c r="F437" s="64">
        <f t="shared" si="243"/>
        <v>89.64</v>
      </c>
      <c r="G437" s="55">
        <f t="shared" si="231"/>
        <v>0</v>
      </c>
      <c r="H437" s="78">
        <f t="shared" si="258"/>
        <v>1</v>
      </c>
      <c r="I437" s="79">
        <f t="shared" si="244"/>
        <v>250644.72624752799</v>
      </c>
      <c r="J437" s="79">
        <f t="shared" si="232"/>
        <v>1709.771337310942</v>
      </c>
      <c r="K437" s="80">
        <f t="shared" si="233"/>
        <v>-15</v>
      </c>
      <c r="L437" s="80">
        <f t="shared" si="245"/>
        <v>-208.87060520627332</v>
      </c>
      <c r="M437" s="80">
        <f t="shared" si="260"/>
        <v>0</v>
      </c>
      <c r="N437" s="80">
        <f t="shared" si="246"/>
        <v>-238.11248993515164</v>
      </c>
      <c r="O437" s="81">
        <f t="shared" si="234"/>
        <v>-2500.6101455486769</v>
      </c>
      <c r="P437" s="79">
        <f t="shared" si="235"/>
        <v>249391.90434414882</v>
      </c>
      <c r="Q437" s="35"/>
      <c r="R437">
        <f t="shared" ca="1" si="247"/>
        <v>559</v>
      </c>
      <c r="S437" s="78">
        <f t="shared" ca="1" si="248"/>
        <v>99.64</v>
      </c>
      <c r="T437" s="55">
        <f t="shared" ca="1" si="236"/>
        <v>5.3587726218805809E-2</v>
      </c>
      <c r="U437" s="78">
        <f t="shared" ca="1" si="253"/>
        <v>9.8184526190012123E-4</v>
      </c>
      <c r="V437" s="79">
        <f t="shared" ca="1" si="249"/>
        <v>14.56178790794684</v>
      </c>
      <c r="W437" s="79">
        <f t="shared" ca="1" si="237"/>
        <v>9.9333139610609009E-2</v>
      </c>
      <c r="X437" s="80">
        <f t="shared" ca="1" si="254"/>
        <v>-1.4727678928501818E-2</v>
      </c>
      <c r="Y437" s="80">
        <f t="shared" ca="1" si="255"/>
        <v>-1.2134823256622367E-2</v>
      </c>
      <c r="Z437" s="80">
        <f t="shared" ca="1" si="250"/>
        <v>0</v>
      </c>
      <c r="AA437" s="80">
        <f t="shared" ca="1" si="256"/>
        <v>-1.3833698512549501E-2</v>
      </c>
      <c r="AB437" s="81">
        <f t="shared" ca="1" si="238"/>
        <v>-2.4552122232663409</v>
      </c>
      <c r="AC437" s="79">
        <f t="shared" ca="1" si="239"/>
        <v>12.165212623593437</v>
      </c>
      <c r="AD437" s="35"/>
      <c r="AE437" s="62">
        <f t="shared" ca="1" si="240"/>
        <v>-2500.6101455486769</v>
      </c>
      <c r="AF437" s="62">
        <f t="shared" ca="1" si="241"/>
        <v>12390.152599046662</v>
      </c>
      <c r="AG437" s="35"/>
      <c r="AH437" s="35"/>
      <c r="AR437" s="69">
        <f t="shared" si="251"/>
        <v>37</v>
      </c>
      <c r="AS437" s="70">
        <f t="shared" si="257"/>
        <v>434</v>
      </c>
      <c r="AT437" s="71">
        <f t="shared" si="261"/>
        <v>5.1268851777123155E-2</v>
      </c>
      <c r="AU437" s="72">
        <f t="shared" si="242"/>
        <v>6.8214933659622723E-3</v>
      </c>
      <c r="AV437" s="73">
        <f t="shared" si="252"/>
        <v>1.0068214933659623</v>
      </c>
      <c r="AW437" s="74">
        <f>PRODUCT(AV$4:AV437)</f>
        <v>19.115054077894953</v>
      </c>
    </row>
    <row r="438" spans="5:49">
      <c r="E438">
        <f t="shared" si="259"/>
        <v>435</v>
      </c>
      <c r="F438" s="64">
        <f t="shared" si="243"/>
        <v>89.72</v>
      </c>
      <c r="G438" s="55">
        <f t="shared" si="231"/>
        <v>0</v>
      </c>
      <c r="H438" s="78">
        <f t="shared" si="258"/>
        <v>1</v>
      </c>
      <c r="I438" s="79">
        <f t="shared" si="244"/>
        <v>249391.90434414882</v>
      </c>
      <c r="J438" s="79">
        <f t="shared" si="232"/>
        <v>1701.2252210083088</v>
      </c>
      <c r="K438" s="80">
        <f t="shared" si="233"/>
        <v>-15</v>
      </c>
      <c r="L438" s="80">
        <f t="shared" si="245"/>
        <v>-207.82658695345737</v>
      </c>
      <c r="M438" s="80">
        <f t="shared" si="260"/>
        <v>0</v>
      </c>
      <c r="N438" s="80">
        <f t="shared" si="246"/>
        <v>-236.92230912694143</v>
      </c>
      <c r="O438" s="81">
        <f t="shared" si="234"/>
        <v>-2500.6101455486769</v>
      </c>
      <c r="P438" s="79">
        <f t="shared" si="235"/>
        <v>248132.77052352804</v>
      </c>
      <c r="Q438" s="35"/>
      <c r="R438">
        <f t="shared" ca="1" si="247"/>
        <v>560</v>
      </c>
      <c r="S438" s="78">
        <f t="shared" ca="1" si="248"/>
        <v>99.72</v>
      </c>
      <c r="T438" s="55">
        <f t="shared" ca="1" si="236"/>
        <v>5.3587726218805809E-2</v>
      </c>
      <c r="U438" s="78">
        <f t="shared" ca="1" si="253"/>
        <v>9.2923040681618585E-4</v>
      </c>
      <c r="V438" s="79">
        <f t="shared" ca="1" si="249"/>
        <v>11.513306540126752</v>
      </c>
      <c r="W438" s="79">
        <f t="shared" ca="1" si="237"/>
        <v>7.8537944183764682E-2</v>
      </c>
      <c r="X438" s="80">
        <f t="shared" ca="1" si="254"/>
        <v>-1.3938456102242787E-2</v>
      </c>
      <c r="Y438" s="80">
        <f t="shared" ca="1" si="255"/>
        <v>-9.594422116772295E-3</v>
      </c>
      <c r="Z438" s="80">
        <f t="shared" ca="1" si="250"/>
        <v>0</v>
      </c>
      <c r="AA438" s="80">
        <f t="shared" ca="1" si="256"/>
        <v>-1.0937641213120417E-2</v>
      </c>
      <c r="AB438" s="81">
        <f t="shared" ca="1" si="238"/>
        <v>-2.3236429828368785</v>
      </c>
      <c r="AC438" s="79">
        <f t="shared" ca="1" si="239"/>
        <v>9.2337309820415037</v>
      </c>
      <c r="AD438" s="35"/>
      <c r="AE438" s="62">
        <f t="shared" ca="1" si="240"/>
        <v>-2500.6101455486769</v>
      </c>
      <c r="AF438" s="62">
        <f t="shared" ca="1" si="241"/>
        <v>9936.9660251206769</v>
      </c>
      <c r="AG438" s="35"/>
      <c r="AH438" s="35"/>
      <c r="AR438" s="69">
        <f t="shared" si="251"/>
        <v>37</v>
      </c>
      <c r="AS438" s="70">
        <f t="shared" si="257"/>
        <v>435</v>
      </c>
      <c r="AT438" s="71">
        <f t="shared" si="261"/>
        <v>5.0919121644845008E-2</v>
      </c>
      <c r="AU438" s="72">
        <f t="shared" si="242"/>
        <v>6.8214933659622723E-3</v>
      </c>
      <c r="AV438" s="73">
        <f t="shared" si="252"/>
        <v>1.0068214933659623</v>
      </c>
      <c r="AW438" s="74">
        <f>PRODUCT(AV$4:AV438)</f>
        <v>19.245447292477323</v>
      </c>
    </row>
    <row r="439" spans="5:49">
      <c r="E439">
        <f t="shared" si="259"/>
        <v>436</v>
      </c>
      <c r="F439" s="64">
        <f t="shared" si="243"/>
        <v>89.8</v>
      </c>
      <c r="G439" s="55">
        <f t="shared" si="231"/>
        <v>0</v>
      </c>
      <c r="H439" s="78">
        <f t="shared" si="258"/>
        <v>1</v>
      </c>
      <c r="I439" s="79">
        <f t="shared" si="244"/>
        <v>248132.77052352804</v>
      </c>
      <c r="J439" s="79">
        <f t="shared" si="232"/>
        <v>1692.6360480040855</v>
      </c>
      <c r="K439" s="80">
        <f t="shared" si="233"/>
        <v>-15</v>
      </c>
      <c r="L439" s="80">
        <f t="shared" si="245"/>
        <v>-206.77730876960672</v>
      </c>
      <c r="M439" s="80">
        <f t="shared" si="260"/>
        <v>0</v>
      </c>
      <c r="N439" s="80">
        <f t="shared" si="246"/>
        <v>-235.72613199735167</v>
      </c>
      <c r="O439" s="81">
        <f t="shared" si="234"/>
        <v>-2500.6101455486769</v>
      </c>
      <c r="P439" s="79">
        <f t="shared" si="235"/>
        <v>246867.29298521648</v>
      </c>
      <c r="Q439" s="35"/>
      <c r="R439">
        <f t="shared" ca="1" si="247"/>
        <v>561</v>
      </c>
      <c r="S439" s="78">
        <f t="shared" ca="1" si="248"/>
        <v>99.8</v>
      </c>
      <c r="T439" s="55">
        <f t="shared" ca="1" si="236"/>
        <v>5.3587726218805809E-2</v>
      </c>
      <c r="U439" s="78">
        <f t="shared" ca="1" si="253"/>
        <v>8.7943506218153057E-4</v>
      </c>
      <c r="V439" s="79">
        <f t="shared" ca="1" si="249"/>
        <v>8.7389163341977589</v>
      </c>
      <c r="W439" s="79">
        <f t="shared" ca="1" si="237"/>
        <v>5.9612459799429356E-2</v>
      </c>
      <c r="X439" s="80">
        <f t="shared" ca="1" si="254"/>
        <v>-1.3191525932722959E-2</v>
      </c>
      <c r="Y439" s="80">
        <f t="shared" ca="1" si="255"/>
        <v>-7.2824302784981329E-3</v>
      </c>
      <c r="Z439" s="80">
        <f t="shared" ca="1" si="250"/>
        <v>0</v>
      </c>
      <c r="AA439" s="80">
        <f t="shared" ca="1" si="256"/>
        <v>-8.3019705174878725E-3</v>
      </c>
      <c r="AB439" s="81">
        <f t="shared" ca="1" si="238"/>
        <v>-2.1991242388423671</v>
      </c>
      <c r="AC439" s="79">
        <f t="shared" ca="1" si="239"/>
        <v>6.5706286284261139</v>
      </c>
      <c r="AD439" s="35"/>
      <c r="AE439" s="62">
        <f t="shared" ca="1" si="240"/>
        <v>-2500.6101455486773</v>
      </c>
      <c r="AF439" s="62">
        <f t="shared" ca="1" si="241"/>
        <v>7471.4199046453559</v>
      </c>
      <c r="AG439" s="35"/>
      <c r="AH439" s="35"/>
      <c r="AR439" s="69">
        <f t="shared" si="251"/>
        <v>37</v>
      </c>
      <c r="AS439" s="70">
        <f t="shared" si="257"/>
        <v>436</v>
      </c>
      <c r="AT439" s="71">
        <f t="shared" si="261"/>
        <v>5.0571777194344074E-2</v>
      </c>
      <c r="AU439" s="72">
        <f t="shared" si="242"/>
        <v>6.8214933659622723E-3</v>
      </c>
      <c r="AV439" s="73">
        <f t="shared" si="252"/>
        <v>1.0068214933659623</v>
      </c>
      <c r="AW439" s="74">
        <f>PRODUCT(AV$4:AV439)</f>
        <v>19.376729983507932</v>
      </c>
    </row>
    <row r="440" spans="5:49">
      <c r="E440">
        <f t="shared" si="259"/>
        <v>437</v>
      </c>
      <c r="F440" s="64">
        <f t="shared" si="243"/>
        <v>89.88</v>
      </c>
      <c r="G440" s="55">
        <f t="shared" si="231"/>
        <v>0</v>
      </c>
      <c r="H440" s="78">
        <f t="shared" si="258"/>
        <v>1</v>
      </c>
      <c r="I440" s="79">
        <f t="shared" si="244"/>
        <v>246867.29298521648</v>
      </c>
      <c r="J440" s="79">
        <f t="shared" si="232"/>
        <v>1684.0036013717188</v>
      </c>
      <c r="K440" s="80">
        <f t="shared" si="233"/>
        <v>-15</v>
      </c>
      <c r="L440" s="80">
        <f t="shared" si="245"/>
        <v>-205.72274415434708</v>
      </c>
      <c r="M440" s="80">
        <f t="shared" si="260"/>
        <v>0</v>
      </c>
      <c r="N440" s="80">
        <f t="shared" si="246"/>
        <v>-234.5239283359557</v>
      </c>
      <c r="O440" s="81">
        <f t="shared" si="234"/>
        <v>-2500.6101455486769</v>
      </c>
      <c r="P440" s="79">
        <f t="shared" si="235"/>
        <v>245595.43976854923</v>
      </c>
      <c r="Q440" s="35"/>
      <c r="R440">
        <f t="shared" ca="1" si="247"/>
        <v>562</v>
      </c>
      <c r="S440" s="78">
        <f t="shared" ca="1" si="248"/>
        <v>99.88</v>
      </c>
      <c r="T440" s="55">
        <f t="shared" ca="1" si="236"/>
        <v>5.3587726218805809E-2</v>
      </c>
      <c r="U440" s="78">
        <f t="shared" ca="1" si="253"/>
        <v>8.3230813684212826E-4</v>
      </c>
      <c r="V440" s="79">
        <f t="shared" ca="1" si="249"/>
        <v>6.2185235804005679</v>
      </c>
      <c r="W440" s="79">
        <f t="shared" ca="1" si="237"/>
        <v>4.2419617349782432E-2</v>
      </c>
      <c r="X440" s="80">
        <f t="shared" ca="1" si="254"/>
        <v>-1.2484622052631924E-2</v>
      </c>
      <c r="Y440" s="80">
        <f t="shared" ca="1" si="255"/>
        <v>-5.18210298366714E-3</v>
      </c>
      <c r="Z440" s="80">
        <f t="shared" ca="1" si="250"/>
        <v>0</v>
      </c>
      <c r="AA440" s="80">
        <f t="shared" ca="1" si="256"/>
        <v>-5.9075974013805405E-3</v>
      </c>
      <c r="AB440" s="81">
        <f t="shared" ca="1" si="238"/>
        <v>-2.0812781712101427</v>
      </c>
      <c r="AC440" s="79">
        <f t="shared" ca="1" si="239"/>
        <v>4.1560907041025281</v>
      </c>
      <c r="AD440" s="35"/>
      <c r="AE440" s="62">
        <f t="shared" ca="1" si="240"/>
        <v>-2500.6101455486773</v>
      </c>
      <c r="AF440" s="62">
        <f t="shared" ca="1" si="241"/>
        <v>4993.4519682472519</v>
      </c>
      <c r="AG440" s="35"/>
      <c r="AH440" s="35"/>
      <c r="AR440" s="69">
        <f t="shared" si="251"/>
        <v>37</v>
      </c>
      <c r="AS440" s="70">
        <f t="shared" si="257"/>
        <v>437</v>
      </c>
      <c r="AT440" s="71">
        <f t="shared" si="261"/>
        <v>5.0226802151707932E-2</v>
      </c>
      <c r="AU440" s="72">
        <f t="shared" si="242"/>
        <v>6.8214933659622723E-3</v>
      </c>
      <c r="AV440" s="73">
        <f t="shared" si="252"/>
        <v>1.0068214933659623</v>
      </c>
      <c r="AW440" s="74">
        <f>PRODUCT(AV$4:AV440)</f>
        <v>19.508908218544473</v>
      </c>
    </row>
    <row r="441" spans="5:49">
      <c r="E441">
        <f t="shared" si="259"/>
        <v>438</v>
      </c>
      <c r="F441" s="64">
        <f t="shared" si="243"/>
        <v>89.96</v>
      </c>
      <c r="G441" s="55">
        <f t="shared" si="231"/>
        <v>0</v>
      </c>
      <c r="H441" s="78">
        <f t="shared" si="258"/>
        <v>1</v>
      </c>
      <c r="I441" s="79">
        <f t="shared" si="244"/>
        <v>245595.43976854923</v>
      </c>
      <c r="J441" s="79">
        <f t="shared" si="232"/>
        <v>1675.3276630917453</v>
      </c>
      <c r="K441" s="80">
        <f t="shared" si="233"/>
        <v>-15</v>
      </c>
      <c r="L441" s="80">
        <f t="shared" si="245"/>
        <v>-204.66286647379104</v>
      </c>
      <c r="M441" s="80">
        <f t="shared" si="260"/>
        <v>0</v>
      </c>
      <c r="N441" s="80">
        <f t="shared" si="246"/>
        <v>-233.3156677801218</v>
      </c>
      <c r="O441" s="81">
        <f t="shared" si="234"/>
        <v>-2500.6101455486769</v>
      </c>
      <c r="P441" s="79">
        <f t="shared" si="235"/>
        <v>244317.17875183839</v>
      </c>
      <c r="Q441" s="35"/>
      <c r="R441">
        <f t="shared" ca="1" si="247"/>
        <v>563</v>
      </c>
      <c r="S441" s="78">
        <f t="shared" ca="1" si="248"/>
        <v>99.96</v>
      </c>
      <c r="T441" s="55">
        <f t="shared" ca="1" si="236"/>
        <v>5.3587726218805809E-2</v>
      </c>
      <c r="U441" s="78">
        <f t="shared" ca="1" si="253"/>
        <v>7.8770663627534794E-4</v>
      </c>
      <c r="V441" s="79">
        <f t="shared" ca="1" si="249"/>
        <v>3.9333752533105582</v>
      </c>
      <c r="W441" s="79">
        <f t="shared" ca="1" si="237"/>
        <v>2.6831493196298146E-2</v>
      </c>
      <c r="X441" s="80">
        <f t="shared" ca="1" si="254"/>
        <v>-1.181559954413022E-2</v>
      </c>
      <c r="Y441" s="80">
        <f t="shared" ca="1" si="255"/>
        <v>-3.277812711092132E-3</v>
      </c>
      <c r="Z441" s="80">
        <f t="shared" ca="1" si="250"/>
        <v>0</v>
      </c>
      <c r="AA441" s="80">
        <f t="shared" ca="1" si="256"/>
        <v>-3.7367064906450309E-3</v>
      </c>
      <c r="AB441" s="81">
        <f t="shared" ca="1" si="238"/>
        <v>-1.9697472063861563</v>
      </c>
      <c r="AC441" s="79">
        <f t="shared" ca="1" si="239"/>
        <v>1.9716294213748327</v>
      </c>
      <c r="AD441" s="35"/>
      <c r="AE441" s="62">
        <f t="shared" ca="1" si="240"/>
        <v>-2500.6101455486764</v>
      </c>
      <c r="AF441" s="62">
        <f t="shared" ca="1" si="241"/>
        <v>2502.9996328298507</v>
      </c>
      <c r="AG441" s="35"/>
      <c r="AH441" s="35"/>
      <c r="AR441" s="69">
        <f t="shared" si="251"/>
        <v>37</v>
      </c>
      <c r="AS441" s="70">
        <f t="shared" si="257"/>
        <v>438</v>
      </c>
      <c r="AT441" s="71">
        <f t="shared" si="261"/>
        <v>4.9884180354036557E-2</v>
      </c>
      <c r="AU441" s="72">
        <f t="shared" si="242"/>
        <v>6.8214933659622723E-3</v>
      </c>
      <c r="AV441" s="73">
        <f t="shared" si="252"/>
        <v>1.0068214933659623</v>
      </c>
      <c r="AW441" s="74">
        <f>PRODUCT(AV$4:AV441)</f>
        <v>19.641988106534441</v>
      </c>
    </row>
    <row r="442" spans="5:49">
      <c r="E442">
        <f t="shared" si="259"/>
        <v>439</v>
      </c>
      <c r="F442" s="64">
        <f t="shared" si="243"/>
        <v>90.04</v>
      </c>
      <c r="G442" s="55">
        <f t="shared" si="231"/>
        <v>0</v>
      </c>
      <c r="H442" s="78">
        <f t="shared" si="258"/>
        <v>1</v>
      </c>
      <c r="I442" s="79">
        <f t="shared" si="244"/>
        <v>244317.17875183839</v>
      </c>
      <c r="J442" s="79">
        <f t="shared" si="232"/>
        <v>1666.6080140462843</v>
      </c>
      <c r="K442" s="80">
        <f t="shared" si="233"/>
        <v>-15</v>
      </c>
      <c r="L442" s="80">
        <f t="shared" si="245"/>
        <v>-203.59764895986535</v>
      </c>
      <c r="M442" s="80">
        <f t="shared" si="260"/>
        <v>0</v>
      </c>
      <c r="N442" s="80">
        <f t="shared" si="246"/>
        <v>-232.10131981424652</v>
      </c>
      <c r="O442" s="81">
        <f t="shared" si="234"/>
        <v>-2500.6101455486769</v>
      </c>
      <c r="P442" s="79">
        <f t="shared" si="235"/>
        <v>243032.47765156187</v>
      </c>
      <c r="Q442" s="35"/>
      <c r="R442">
        <f t="shared" ca="1" si="247"/>
        <v>564</v>
      </c>
      <c r="S442" s="78">
        <f t="shared" ca="1" si="248"/>
        <v>100.04</v>
      </c>
      <c r="T442" s="55">
        <f t="shared" ca="1" si="236"/>
        <v>5.3587726218805809E-2</v>
      </c>
      <c r="U442" s="78">
        <f t="shared" ca="1" si="253"/>
        <v>7.4549522870988815E-4</v>
      </c>
      <c r="V442" s="79">
        <f t="shared" ca="1" si="249"/>
        <v>1.8659742837372557</v>
      </c>
      <c r="W442" s="79">
        <f t="shared" ca="1" si="237"/>
        <v>1.2728731197569893E-2</v>
      </c>
      <c r="X442" s="80">
        <f t="shared" ca="1" si="254"/>
        <v>-1.1182428430648322E-2</v>
      </c>
      <c r="Y442" s="80">
        <f t="shared" ca="1" si="255"/>
        <v>-1.5549785697810466E-3</v>
      </c>
      <c r="Z442" s="80">
        <f t="shared" ca="1" si="250"/>
        <v>0</v>
      </c>
      <c r="AA442" s="80">
        <f t="shared" ca="1" si="256"/>
        <v>-1.7726755695503932E-3</v>
      </c>
      <c r="AB442" s="81">
        <f t="shared" ca="1" si="238"/>
        <v>-1.8641929323700774</v>
      </c>
      <c r="AC442" s="79">
        <f t="shared" ca="1" si="239"/>
        <v>-5.2315929366386626E-12</v>
      </c>
      <c r="AD442" s="35"/>
      <c r="AE442" s="62">
        <f t="shared" ca="1" si="240"/>
        <v>-2500.6101455486769</v>
      </c>
      <c r="AF442" s="62">
        <f t="shared" ca="1" si="241"/>
        <v>-7.0176075381356378E-9</v>
      </c>
      <c r="AG442" s="35"/>
      <c r="AH442" s="35"/>
      <c r="AR442" s="69">
        <f t="shared" si="251"/>
        <v>37</v>
      </c>
      <c r="AS442" s="70">
        <f t="shared" si="257"/>
        <v>439</v>
      </c>
      <c r="AT442" s="71">
        <f t="shared" si="261"/>
        <v>4.9543895748685028E-2</v>
      </c>
      <c r="AU442" s="72">
        <f t="shared" si="242"/>
        <v>6.8214933659622723E-3</v>
      </c>
      <c r="AV442" s="73">
        <f t="shared" si="252"/>
        <v>1.0068214933659623</v>
      </c>
      <c r="AW442" s="74">
        <f>PRODUCT(AV$4:AV442)</f>
        <v>19.775975798097477</v>
      </c>
    </row>
    <row r="443" spans="5:49">
      <c r="E443">
        <f t="shared" si="259"/>
        <v>440</v>
      </c>
      <c r="F443" s="64">
        <f t="shared" si="243"/>
        <v>90.12</v>
      </c>
      <c r="G443" s="55">
        <f t="shared" si="231"/>
        <v>0</v>
      </c>
      <c r="H443" s="78">
        <f t="shared" si="258"/>
        <v>1</v>
      </c>
      <c r="I443" s="79">
        <f t="shared" si="244"/>
        <v>243032.47765156187</v>
      </c>
      <c r="J443" s="79">
        <f t="shared" si="232"/>
        <v>1657.8444340135036</v>
      </c>
      <c r="K443" s="80">
        <f t="shared" si="233"/>
        <v>-15</v>
      </c>
      <c r="L443" s="80">
        <f t="shared" si="245"/>
        <v>-202.52706470963491</v>
      </c>
      <c r="M443" s="80">
        <f t="shared" si="260"/>
        <v>0</v>
      </c>
      <c r="N443" s="80">
        <f t="shared" si="246"/>
        <v>-230.88085376898383</v>
      </c>
      <c r="O443" s="81">
        <f t="shared" si="234"/>
        <v>-2500.6101455486769</v>
      </c>
      <c r="P443" s="79">
        <f t="shared" si="235"/>
        <v>241741.30402154807</v>
      </c>
      <c r="Q443" s="35"/>
      <c r="R443">
        <f t="shared" ca="1" si="247"/>
        <v>565</v>
      </c>
      <c r="S443" s="78">
        <f t="shared" ca="1" si="248"/>
        <v>100.12</v>
      </c>
      <c r="T443" s="55">
        <f t="shared" ca="1" si="236"/>
        <v>5.3587726218805809E-2</v>
      </c>
      <c r="U443" s="78">
        <f t="shared" ca="1" si="253"/>
        <v>7.055458344963567E-4</v>
      </c>
      <c r="V443" s="79">
        <f t="shared" ca="1" si="249"/>
        <v>0</v>
      </c>
      <c r="W443" s="79">
        <f t="shared" ca="1" si="237"/>
        <v>0</v>
      </c>
      <c r="X443" s="80">
        <f t="shared" ca="1" si="254"/>
        <v>0</v>
      </c>
      <c r="Y443" s="80">
        <f t="shared" ca="1" si="255"/>
        <v>0</v>
      </c>
      <c r="Z443" s="80">
        <f t="shared" ca="1" si="250"/>
        <v>0</v>
      </c>
      <c r="AA443" s="80">
        <f t="shared" ca="1" si="256"/>
        <v>0</v>
      </c>
      <c r="AB443" s="81">
        <f t="shared" ca="1" si="238"/>
        <v>0</v>
      </c>
      <c r="AC443" s="79">
        <f t="shared" ca="1" si="239"/>
        <v>0</v>
      </c>
      <c r="AD443" s="35"/>
      <c r="AE443" s="62">
        <f t="shared" ca="1" si="240"/>
        <v>0</v>
      </c>
      <c r="AF443" s="62">
        <f t="shared" ca="1" si="241"/>
        <v>0</v>
      </c>
      <c r="AG443" s="35"/>
      <c r="AH443" s="35"/>
      <c r="AR443" s="69">
        <f t="shared" si="251"/>
        <v>37</v>
      </c>
      <c r="AS443" s="70">
        <f t="shared" si="257"/>
        <v>440</v>
      </c>
      <c r="AT443" s="71">
        <f t="shared" si="261"/>
        <v>4.9205932392511448E-2</v>
      </c>
      <c r="AU443" s="72">
        <f t="shared" si="242"/>
        <v>6.8214933659622723E-3</v>
      </c>
      <c r="AV443" s="73">
        <f t="shared" si="252"/>
        <v>1.0068214933659623</v>
      </c>
      <c r="AW443" s="74">
        <f>PRODUCT(AV$4:AV443)</f>
        <v>19.910877485809628</v>
      </c>
    </row>
    <row r="444" spans="5:49">
      <c r="E444">
        <f t="shared" si="259"/>
        <v>441</v>
      </c>
      <c r="F444" s="64">
        <f t="shared" si="243"/>
        <v>90.2</v>
      </c>
      <c r="G444" s="55">
        <f t="shared" si="231"/>
        <v>0</v>
      </c>
      <c r="H444" s="78">
        <f t="shared" si="258"/>
        <v>1</v>
      </c>
      <c r="I444" s="79">
        <f t="shared" si="244"/>
        <v>241741.30402154807</v>
      </c>
      <c r="J444" s="79">
        <f t="shared" si="232"/>
        <v>1649.0367016620589</v>
      </c>
      <c r="K444" s="80">
        <f t="shared" si="233"/>
        <v>-15</v>
      </c>
      <c r="L444" s="80">
        <f t="shared" si="245"/>
        <v>-201.45108668462342</v>
      </c>
      <c r="M444" s="80">
        <f t="shared" si="260"/>
        <v>0</v>
      </c>
      <c r="N444" s="80">
        <f t="shared" si="246"/>
        <v>-229.65423882047071</v>
      </c>
      <c r="O444" s="81">
        <f t="shared" si="234"/>
        <v>-2500.6101455486769</v>
      </c>
      <c r="P444" s="79">
        <f t="shared" si="235"/>
        <v>240443.62525215634</v>
      </c>
      <c r="Q444" s="35"/>
      <c r="R444">
        <f t="shared" ca="1" si="247"/>
        <v>566</v>
      </c>
      <c r="S444" s="78">
        <f t="shared" ca="1" si="248"/>
        <v>100.2</v>
      </c>
      <c r="T444" s="55">
        <f t="shared" ca="1" si="236"/>
        <v>5.3587726218805809E-2</v>
      </c>
      <c r="U444" s="78">
        <f t="shared" ca="1" si="253"/>
        <v>6.6773723748254704E-4</v>
      </c>
      <c r="V444" s="79">
        <f t="shared" ca="1" si="249"/>
        <v>0</v>
      </c>
      <c r="W444" s="79">
        <f t="shared" ca="1" si="237"/>
        <v>0</v>
      </c>
      <c r="X444" s="80">
        <f t="shared" ca="1" si="254"/>
        <v>0</v>
      </c>
      <c r="Y444" s="80">
        <f t="shared" ca="1" si="255"/>
        <v>0</v>
      </c>
      <c r="Z444" s="80">
        <f t="shared" ca="1" si="250"/>
        <v>0</v>
      </c>
      <c r="AA444" s="80">
        <f t="shared" ca="1" si="256"/>
        <v>0</v>
      </c>
      <c r="AB444" s="81">
        <f t="shared" ca="1" si="238"/>
        <v>0</v>
      </c>
      <c r="AC444" s="79">
        <f t="shared" ca="1" si="239"/>
        <v>0</v>
      </c>
      <c r="AD444" s="35"/>
      <c r="AE444" s="62">
        <f t="shared" ca="1" si="240"/>
        <v>0</v>
      </c>
      <c r="AF444" s="62">
        <f t="shared" ca="1" si="241"/>
        <v>0</v>
      </c>
      <c r="AG444" s="35"/>
      <c r="AH444" s="35"/>
      <c r="AR444" s="69">
        <f t="shared" si="251"/>
        <v>37</v>
      </c>
      <c r="AS444" s="70">
        <f t="shared" si="257"/>
        <v>441</v>
      </c>
      <c r="AT444" s="71">
        <f t="shared" si="261"/>
        <v>4.8870274451129944E-2</v>
      </c>
      <c r="AU444" s="72">
        <f t="shared" si="242"/>
        <v>6.8214933659622723E-3</v>
      </c>
      <c r="AV444" s="73">
        <f t="shared" si="252"/>
        <v>1.0068214933659623</v>
      </c>
      <c r="AW444" s="74">
        <f>PRODUCT(AV$4:AV444)</f>
        <v>20.046699404489566</v>
      </c>
    </row>
    <row r="445" spans="5:49">
      <c r="E445">
        <f t="shared" si="259"/>
        <v>442</v>
      </c>
      <c r="F445" s="64">
        <f t="shared" si="243"/>
        <v>90.28</v>
      </c>
      <c r="G445" s="55">
        <f t="shared" si="231"/>
        <v>0</v>
      </c>
      <c r="H445" s="78">
        <f t="shared" si="258"/>
        <v>1</v>
      </c>
      <c r="I445" s="79">
        <f t="shared" si="244"/>
        <v>240443.62525215634</v>
      </c>
      <c r="J445" s="79">
        <f t="shared" si="232"/>
        <v>1640.1845945455032</v>
      </c>
      <c r="K445" s="80">
        <f t="shared" si="233"/>
        <v>-15</v>
      </c>
      <c r="L445" s="80">
        <f t="shared" si="245"/>
        <v>-200.36968771013031</v>
      </c>
      <c r="M445" s="80">
        <f t="shared" si="260"/>
        <v>0</v>
      </c>
      <c r="N445" s="80">
        <f t="shared" si="246"/>
        <v>-228.42144398954858</v>
      </c>
      <c r="O445" s="81">
        <f t="shared" si="234"/>
        <v>-2500.6101455486769</v>
      </c>
      <c r="P445" s="79">
        <f t="shared" si="235"/>
        <v>239139.40856945349</v>
      </c>
      <c r="Q445" s="35"/>
      <c r="R445">
        <f t="shared" ca="1" si="247"/>
        <v>567</v>
      </c>
      <c r="S445" s="78">
        <f t="shared" ca="1" si="248"/>
        <v>100.28</v>
      </c>
      <c r="T445" s="55">
        <f t="shared" ca="1" si="236"/>
        <v>5.3587726218805809E-2</v>
      </c>
      <c r="U445" s="78">
        <f t="shared" ca="1" si="253"/>
        <v>6.3195471721423061E-4</v>
      </c>
      <c r="V445" s="79">
        <f t="shared" ca="1" si="249"/>
        <v>0</v>
      </c>
      <c r="W445" s="79">
        <f t="shared" ca="1" si="237"/>
        <v>0</v>
      </c>
      <c r="X445" s="80">
        <f t="shared" ca="1" si="254"/>
        <v>0</v>
      </c>
      <c r="Y445" s="80">
        <f t="shared" ca="1" si="255"/>
        <v>0</v>
      </c>
      <c r="Z445" s="80">
        <f t="shared" ca="1" si="250"/>
        <v>0</v>
      </c>
      <c r="AA445" s="80">
        <f t="shared" ca="1" si="256"/>
        <v>0</v>
      </c>
      <c r="AB445" s="81">
        <f t="shared" ca="1" si="238"/>
        <v>0</v>
      </c>
      <c r="AC445" s="79">
        <f t="shared" ca="1" si="239"/>
        <v>0</v>
      </c>
      <c r="AD445" s="35"/>
      <c r="AE445" s="62">
        <f t="shared" ca="1" si="240"/>
        <v>0</v>
      </c>
      <c r="AF445" s="62">
        <f t="shared" ca="1" si="241"/>
        <v>0</v>
      </c>
      <c r="AG445" s="35"/>
      <c r="AH445" s="35"/>
      <c r="AR445" s="69">
        <f t="shared" si="251"/>
        <v>37</v>
      </c>
      <c r="AS445" s="70">
        <f t="shared" si="257"/>
        <v>442</v>
      </c>
      <c r="AT445" s="71">
        <f t="shared" si="261"/>
        <v>4.8536906198168805E-2</v>
      </c>
      <c r="AU445" s="72">
        <f t="shared" si="242"/>
        <v>6.8214933659622723E-3</v>
      </c>
      <c r="AV445" s="73">
        <f t="shared" si="252"/>
        <v>1.0068214933659623</v>
      </c>
      <c r="AW445" s="74">
        <f>PRODUCT(AV$4:AV445)</f>
        <v>20.183447831486731</v>
      </c>
    </row>
    <row r="446" spans="5:49">
      <c r="E446">
        <f t="shared" si="259"/>
        <v>443</v>
      </c>
      <c r="F446" s="64">
        <f t="shared" si="243"/>
        <v>90.36</v>
      </c>
      <c r="G446" s="55">
        <f t="shared" si="231"/>
        <v>0</v>
      </c>
      <c r="H446" s="78">
        <f t="shared" si="258"/>
        <v>1</v>
      </c>
      <c r="I446" s="79">
        <f t="shared" si="244"/>
        <v>239139.40856945349</v>
      </c>
      <c r="J446" s="79">
        <f t="shared" si="232"/>
        <v>1631.2878890966683</v>
      </c>
      <c r="K446" s="80">
        <f t="shared" si="233"/>
        <v>-15</v>
      </c>
      <c r="L446" s="80">
        <f t="shared" si="245"/>
        <v>-199.2828404745446</v>
      </c>
      <c r="M446" s="80">
        <f t="shared" si="260"/>
        <v>0</v>
      </c>
      <c r="N446" s="80">
        <f t="shared" si="246"/>
        <v>-227.18243814098085</v>
      </c>
      <c r="O446" s="81">
        <f t="shared" si="234"/>
        <v>-2500.6101455486769</v>
      </c>
      <c r="P446" s="79">
        <f t="shared" si="235"/>
        <v>237828.62103438599</v>
      </c>
      <c r="Q446" s="35"/>
      <c r="R446">
        <f t="shared" ca="1" si="247"/>
        <v>568</v>
      </c>
      <c r="S446" s="78">
        <f t="shared" ca="1" si="248"/>
        <v>100.36</v>
      </c>
      <c r="T446" s="55">
        <f t="shared" ca="1" si="236"/>
        <v>5.3587726218805809E-2</v>
      </c>
      <c r="U446" s="78">
        <f t="shared" ca="1" si="253"/>
        <v>5.9808970084547161E-4</v>
      </c>
      <c r="V446" s="79">
        <f t="shared" ca="1" si="249"/>
        <v>0</v>
      </c>
      <c r="W446" s="79">
        <f t="shared" ca="1" si="237"/>
        <v>0</v>
      </c>
      <c r="X446" s="80">
        <f t="shared" ca="1" si="254"/>
        <v>0</v>
      </c>
      <c r="Y446" s="80">
        <f t="shared" ca="1" si="255"/>
        <v>0</v>
      </c>
      <c r="Z446" s="80">
        <f t="shared" ca="1" si="250"/>
        <v>0</v>
      </c>
      <c r="AA446" s="80">
        <f t="shared" ca="1" si="256"/>
        <v>0</v>
      </c>
      <c r="AB446" s="81">
        <f t="shared" ca="1" si="238"/>
        <v>0</v>
      </c>
      <c r="AC446" s="79">
        <f t="shared" ca="1" si="239"/>
        <v>0</v>
      </c>
      <c r="AD446" s="35"/>
      <c r="AE446" s="62">
        <f t="shared" ca="1" si="240"/>
        <v>0</v>
      </c>
      <c r="AF446" s="62">
        <f t="shared" ca="1" si="241"/>
        <v>0</v>
      </c>
      <c r="AG446" s="35"/>
      <c r="AH446" s="35"/>
      <c r="AR446" s="69">
        <f t="shared" si="251"/>
        <v>37</v>
      </c>
      <c r="AS446" s="70">
        <f t="shared" si="257"/>
        <v>443</v>
      </c>
      <c r="AT446" s="71">
        <f t="shared" si="261"/>
        <v>4.8205812014533667E-2</v>
      </c>
      <c r="AU446" s="72">
        <f t="shared" si="242"/>
        <v>6.8214933659622723E-3</v>
      </c>
      <c r="AV446" s="73">
        <f t="shared" si="252"/>
        <v>1.0068214933659623</v>
      </c>
      <c r="AW446" s="74">
        <f>PRODUCT(AV$4:AV446)</f>
        <v>20.321129086971464</v>
      </c>
    </row>
    <row r="447" spans="5:49">
      <c r="E447">
        <f t="shared" si="259"/>
        <v>444</v>
      </c>
      <c r="F447" s="64">
        <f t="shared" si="243"/>
        <v>90.44</v>
      </c>
      <c r="G447" s="55">
        <f t="shared" si="231"/>
        <v>0</v>
      </c>
      <c r="H447" s="78">
        <f t="shared" si="258"/>
        <v>1</v>
      </c>
      <c r="I447" s="79">
        <f t="shared" si="244"/>
        <v>237828.62103438599</v>
      </c>
      <c r="J447" s="79">
        <f t="shared" si="232"/>
        <v>1622.3463606220193</v>
      </c>
      <c r="K447" s="80">
        <f t="shared" si="233"/>
        <v>-15</v>
      </c>
      <c r="L447" s="80">
        <f t="shared" si="245"/>
        <v>-198.19051752865499</v>
      </c>
      <c r="M447" s="80">
        <f t="shared" si="260"/>
        <v>0</v>
      </c>
      <c r="N447" s="80">
        <f t="shared" si="246"/>
        <v>-225.93718998266672</v>
      </c>
      <c r="O447" s="81">
        <f t="shared" si="234"/>
        <v>-2500.6101455486769</v>
      </c>
      <c r="P447" s="79">
        <f t="shared" si="235"/>
        <v>236511.22954194801</v>
      </c>
      <c r="Q447" s="35"/>
      <c r="R447">
        <f t="shared" ca="1" si="247"/>
        <v>569</v>
      </c>
      <c r="S447" s="78">
        <f t="shared" ca="1" si="248"/>
        <v>100.44</v>
      </c>
      <c r="T447" s="55">
        <f t="shared" ca="1" si="236"/>
        <v>5.3587726218805809E-2</v>
      </c>
      <c r="U447" s="78">
        <f t="shared" ca="1" si="253"/>
        <v>5.6603943370227706E-4</v>
      </c>
      <c r="V447" s="79">
        <f t="shared" ca="1" si="249"/>
        <v>0</v>
      </c>
      <c r="W447" s="79">
        <f t="shared" ca="1" si="237"/>
        <v>0</v>
      </c>
      <c r="X447" s="80">
        <f t="shared" ca="1" si="254"/>
        <v>0</v>
      </c>
      <c r="Y447" s="80">
        <f t="shared" ca="1" si="255"/>
        <v>0</v>
      </c>
      <c r="Z447" s="80">
        <f t="shared" ca="1" si="250"/>
        <v>0</v>
      </c>
      <c r="AA447" s="80">
        <f t="shared" ca="1" si="256"/>
        <v>0</v>
      </c>
      <c r="AB447" s="81">
        <f t="shared" ca="1" si="238"/>
        <v>0</v>
      </c>
      <c r="AC447" s="79">
        <f t="shared" ca="1" si="239"/>
        <v>0</v>
      </c>
      <c r="AD447" s="35"/>
      <c r="AE447" s="62">
        <f t="shared" ca="1" si="240"/>
        <v>0</v>
      </c>
      <c r="AF447" s="62">
        <f t="shared" ca="1" si="241"/>
        <v>0</v>
      </c>
      <c r="AG447" s="35"/>
      <c r="AH447" s="35"/>
      <c r="AR447" s="69">
        <f t="shared" si="251"/>
        <v>37</v>
      </c>
      <c r="AS447" s="70">
        <f t="shared" si="257"/>
        <v>444</v>
      </c>
      <c r="AT447" s="71">
        <f t="shared" si="261"/>
        <v>4.7876976387675699E-2</v>
      </c>
      <c r="AU447" s="72">
        <f t="shared" si="242"/>
        <v>6.8214933659622723E-3</v>
      </c>
      <c r="AV447" s="73">
        <f t="shared" si="252"/>
        <v>1.0068214933659623</v>
      </c>
      <c r="AW447" s="74">
        <f>PRODUCT(AV$4:AV447)</f>
        <v>20.459749534227104</v>
      </c>
    </row>
    <row r="448" spans="5:49">
      <c r="E448">
        <f t="shared" si="259"/>
        <v>445</v>
      </c>
      <c r="F448" s="64">
        <f t="shared" si="243"/>
        <v>90.52</v>
      </c>
      <c r="G448" s="55">
        <f t="shared" si="231"/>
        <v>0</v>
      </c>
      <c r="H448" s="78">
        <f t="shared" si="258"/>
        <v>1</v>
      </c>
      <c r="I448" s="79">
        <f t="shared" si="244"/>
        <v>236511.22954194801</v>
      </c>
      <c r="J448" s="79">
        <f t="shared" si="232"/>
        <v>1613.3597832959786</v>
      </c>
      <c r="K448" s="80">
        <f t="shared" si="233"/>
        <v>-15</v>
      </c>
      <c r="L448" s="80">
        <f t="shared" si="245"/>
        <v>-197.09269128495669</v>
      </c>
      <c r="M448" s="80">
        <f t="shared" si="260"/>
        <v>-1773.8342215646101</v>
      </c>
      <c r="N448" s="80">
        <f t="shared" si="246"/>
        <v>-224.68566806485066</v>
      </c>
      <c r="O448" s="81">
        <f t="shared" si="234"/>
        <v>-2500.6101455486769</v>
      </c>
      <c r="P448" s="79">
        <f t="shared" si="235"/>
        <v>233413.36659878088</v>
      </c>
      <c r="Q448" s="35"/>
      <c r="R448">
        <f t="shared" ca="1" si="247"/>
        <v>570</v>
      </c>
      <c r="S448" s="78">
        <f t="shared" ca="1" si="248"/>
        <v>100.52</v>
      </c>
      <c r="T448" s="55">
        <f t="shared" ca="1" si="236"/>
        <v>5.8781892102293565E-2</v>
      </c>
      <c r="U448" s="78">
        <f t="shared" ca="1" si="253"/>
        <v>5.3276656478474648E-4</v>
      </c>
      <c r="V448" s="79">
        <f t="shared" ca="1" si="249"/>
        <v>0</v>
      </c>
      <c r="W448" s="79">
        <f t="shared" ca="1" si="237"/>
        <v>0</v>
      </c>
      <c r="X448" s="80">
        <f t="shared" ca="1" si="254"/>
        <v>0</v>
      </c>
      <c r="Y448" s="80">
        <f t="shared" ca="1" si="255"/>
        <v>0</v>
      </c>
      <c r="Z448" s="80">
        <f t="shared" ca="1" si="250"/>
        <v>0</v>
      </c>
      <c r="AA448" s="80">
        <f t="shared" ca="1" si="256"/>
        <v>0</v>
      </c>
      <c r="AB448" s="81">
        <f t="shared" ca="1" si="238"/>
        <v>0</v>
      </c>
      <c r="AC448" s="79">
        <f t="shared" ca="1" si="239"/>
        <v>0</v>
      </c>
      <c r="AD448" s="35"/>
      <c r="AE448" s="62">
        <f t="shared" ca="1" si="240"/>
        <v>0</v>
      </c>
      <c r="AF448" s="62">
        <f t="shared" ca="1" si="241"/>
        <v>0</v>
      </c>
      <c r="AG448" s="35"/>
      <c r="AH448" s="35"/>
      <c r="AR448" s="69">
        <f t="shared" si="251"/>
        <v>38</v>
      </c>
      <c r="AS448" s="70">
        <f t="shared" si="257"/>
        <v>445</v>
      </c>
      <c r="AT448" s="71">
        <f t="shared" si="261"/>
        <v>4.7550383910864837E-2</v>
      </c>
      <c r="AU448" s="72">
        <f t="shared" si="242"/>
        <v>6.8214933659622723E-3</v>
      </c>
      <c r="AV448" s="73">
        <f t="shared" si="252"/>
        <v>1.0068214933659623</v>
      </c>
      <c r="AW448" s="74">
        <f>PRODUCT(AV$4:AV448)</f>
        <v>20.599315579944083</v>
      </c>
    </row>
    <row r="449" spans="5:49">
      <c r="E449">
        <f t="shared" si="259"/>
        <v>446</v>
      </c>
      <c r="F449" s="64">
        <f t="shared" si="243"/>
        <v>90.6</v>
      </c>
      <c r="G449" s="55">
        <f t="shared" si="231"/>
        <v>0</v>
      </c>
      <c r="H449" s="78">
        <f t="shared" si="258"/>
        <v>1</v>
      </c>
      <c r="I449" s="79">
        <f t="shared" si="244"/>
        <v>233413.36659878088</v>
      </c>
      <c r="J449" s="79">
        <f t="shared" si="232"/>
        <v>1592.2277317805035</v>
      </c>
      <c r="K449" s="80">
        <f t="shared" si="233"/>
        <v>-15</v>
      </c>
      <c r="L449" s="80">
        <f t="shared" si="245"/>
        <v>-194.51113883231741</v>
      </c>
      <c r="M449" s="80">
        <f t="shared" si="260"/>
        <v>0</v>
      </c>
      <c r="N449" s="80">
        <f t="shared" si="246"/>
        <v>-221.74269826884188</v>
      </c>
      <c r="O449" s="81">
        <f t="shared" si="234"/>
        <v>-2500.6101455486769</v>
      </c>
      <c r="P449" s="79">
        <f t="shared" si="235"/>
        <v>232073.73034791154</v>
      </c>
      <c r="Q449" s="35"/>
      <c r="R449">
        <f t="shared" ca="1" si="247"/>
        <v>571</v>
      </c>
      <c r="S449" s="78">
        <f t="shared" ca="1" si="248"/>
        <v>100.6</v>
      </c>
      <c r="T449" s="55">
        <f t="shared" ca="1" si="236"/>
        <v>5.8781892102293565E-2</v>
      </c>
      <c r="U449" s="78">
        <f t="shared" ca="1" si="253"/>
        <v>5.0144953805785993E-4</v>
      </c>
      <c r="V449" s="79">
        <f t="shared" ca="1" si="249"/>
        <v>0</v>
      </c>
      <c r="W449" s="79">
        <f t="shared" ca="1" si="237"/>
        <v>0</v>
      </c>
      <c r="X449" s="80">
        <f t="shared" ca="1" si="254"/>
        <v>0</v>
      </c>
      <c r="Y449" s="80">
        <f t="shared" ca="1" si="255"/>
        <v>0</v>
      </c>
      <c r="Z449" s="80">
        <f t="shared" ca="1" si="250"/>
        <v>0</v>
      </c>
      <c r="AA449" s="80">
        <f t="shared" ca="1" si="256"/>
        <v>0</v>
      </c>
      <c r="AB449" s="81">
        <f t="shared" ca="1" si="238"/>
        <v>0</v>
      </c>
      <c r="AC449" s="79">
        <f t="shared" ca="1" si="239"/>
        <v>0</v>
      </c>
      <c r="AD449" s="35"/>
      <c r="AE449" s="62">
        <f t="shared" ca="1" si="240"/>
        <v>0</v>
      </c>
      <c r="AF449" s="62">
        <f t="shared" ca="1" si="241"/>
        <v>0</v>
      </c>
      <c r="AG449" s="35"/>
      <c r="AH449" s="35"/>
      <c r="AR449" s="69">
        <f t="shared" si="251"/>
        <v>38</v>
      </c>
      <c r="AS449" s="70">
        <f t="shared" si="257"/>
        <v>446</v>
      </c>
      <c r="AT449" s="71">
        <f t="shared" si="261"/>
        <v>4.7226019282467911E-2</v>
      </c>
      <c r="AU449" s="72">
        <f t="shared" si="242"/>
        <v>6.8214933659622723E-3</v>
      </c>
      <c r="AV449" s="73">
        <f t="shared" si="252"/>
        <v>1.0068214933659623</v>
      </c>
      <c r="AW449" s="74">
        <f>PRODUCT(AV$4:AV449)</f>
        <v>20.739833674516035</v>
      </c>
    </row>
    <row r="450" spans="5:49">
      <c r="E450">
        <f t="shared" si="259"/>
        <v>447</v>
      </c>
      <c r="F450" s="64">
        <f t="shared" si="243"/>
        <v>90.68</v>
      </c>
      <c r="G450" s="55">
        <f t="shared" si="231"/>
        <v>0</v>
      </c>
      <c r="H450" s="78">
        <f t="shared" si="258"/>
        <v>1</v>
      </c>
      <c r="I450" s="79">
        <f t="shared" si="244"/>
        <v>232073.73034791154</v>
      </c>
      <c r="J450" s="79">
        <f t="shared" si="232"/>
        <v>1583.0894119823959</v>
      </c>
      <c r="K450" s="80">
        <f t="shared" si="233"/>
        <v>-15</v>
      </c>
      <c r="L450" s="80">
        <f t="shared" si="245"/>
        <v>-193.39477528992629</v>
      </c>
      <c r="M450" s="80">
        <f t="shared" si="260"/>
        <v>0</v>
      </c>
      <c r="N450" s="80">
        <f t="shared" si="246"/>
        <v>-220.470043830516</v>
      </c>
      <c r="O450" s="81">
        <f t="shared" si="234"/>
        <v>-2500.6101455486769</v>
      </c>
      <c r="P450" s="79">
        <f t="shared" si="235"/>
        <v>230727.34479522481</v>
      </c>
      <c r="Q450" s="35"/>
      <c r="R450">
        <f t="shared" ca="1" si="247"/>
        <v>572</v>
      </c>
      <c r="S450" s="78">
        <f t="shared" ca="1" si="248"/>
        <v>100.68</v>
      </c>
      <c r="T450" s="55">
        <f t="shared" ca="1" si="236"/>
        <v>5.8781892102293565E-2</v>
      </c>
      <c r="U450" s="78">
        <f t="shared" ca="1" si="253"/>
        <v>4.7197338541699784E-4</v>
      </c>
      <c r="V450" s="79">
        <f t="shared" ca="1" si="249"/>
        <v>0</v>
      </c>
      <c r="W450" s="79">
        <f t="shared" ca="1" si="237"/>
        <v>0</v>
      </c>
      <c r="X450" s="80">
        <f t="shared" ca="1" si="254"/>
        <v>0</v>
      </c>
      <c r="Y450" s="80">
        <f t="shared" ca="1" si="255"/>
        <v>0</v>
      </c>
      <c r="Z450" s="80">
        <f t="shared" ca="1" si="250"/>
        <v>0</v>
      </c>
      <c r="AA450" s="80">
        <f t="shared" ca="1" si="256"/>
        <v>0</v>
      </c>
      <c r="AB450" s="81">
        <f t="shared" ca="1" si="238"/>
        <v>0</v>
      </c>
      <c r="AC450" s="79">
        <f t="shared" ca="1" si="239"/>
        <v>0</v>
      </c>
      <c r="AD450" s="35"/>
      <c r="AE450" s="62">
        <f t="shared" ca="1" si="240"/>
        <v>0</v>
      </c>
      <c r="AF450" s="62">
        <f t="shared" ca="1" si="241"/>
        <v>0</v>
      </c>
      <c r="AG450" s="35"/>
      <c r="AH450" s="35"/>
      <c r="AR450" s="69">
        <f t="shared" si="251"/>
        <v>38</v>
      </c>
      <c r="AS450" s="70">
        <f t="shared" si="257"/>
        <v>447</v>
      </c>
      <c r="AT450" s="71">
        <f t="shared" si="261"/>
        <v>4.6903867305231751E-2</v>
      </c>
      <c r="AU450" s="72">
        <f t="shared" si="242"/>
        <v>6.8214933659622723E-3</v>
      </c>
      <c r="AV450" s="73">
        <f t="shared" si="252"/>
        <v>1.0068214933659623</v>
      </c>
      <c r="AW450" s="74">
        <f>PRODUCT(AV$4:AV450)</f>
        <v>20.881310312337906</v>
      </c>
    </row>
    <row r="451" spans="5:49">
      <c r="E451">
        <f t="shared" si="259"/>
        <v>448</v>
      </c>
      <c r="F451" s="64">
        <f t="shared" si="243"/>
        <v>90.76</v>
      </c>
      <c r="G451" s="55">
        <f t="shared" si="231"/>
        <v>0</v>
      </c>
      <c r="H451" s="78">
        <f t="shared" si="258"/>
        <v>1</v>
      </c>
      <c r="I451" s="79">
        <f t="shared" si="244"/>
        <v>230727.34479522481</v>
      </c>
      <c r="J451" s="79">
        <f t="shared" si="232"/>
        <v>1573.9050518667159</v>
      </c>
      <c r="K451" s="80">
        <f t="shared" si="233"/>
        <v>-15</v>
      </c>
      <c r="L451" s="80">
        <f t="shared" si="245"/>
        <v>-192.27278732935403</v>
      </c>
      <c r="M451" s="80">
        <f t="shared" si="260"/>
        <v>0</v>
      </c>
      <c r="N451" s="80">
        <f t="shared" si="246"/>
        <v>-219.1909775554636</v>
      </c>
      <c r="O451" s="81">
        <f t="shared" si="234"/>
        <v>-2500.6101455486769</v>
      </c>
      <c r="P451" s="79">
        <f t="shared" si="235"/>
        <v>229374.17593665802</v>
      </c>
      <c r="Q451" s="35"/>
      <c r="R451">
        <f t="shared" ca="1" si="247"/>
        <v>573</v>
      </c>
      <c r="S451" s="78">
        <f t="shared" ca="1" si="248"/>
        <v>100.76</v>
      </c>
      <c r="T451" s="55">
        <f t="shared" ca="1" si="236"/>
        <v>5.8781892102293565E-2</v>
      </c>
      <c r="U451" s="78">
        <f t="shared" ca="1" si="253"/>
        <v>4.4422989680026163E-4</v>
      </c>
      <c r="V451" s="79">
        <f t="shared" ca="1" si="249"/>
        <v>0</v>
      </c>
      <c r="W451" s="79">
        <f t="shared" ca="1" si="237"/>
        <v>0</v>
      </c>
      <c r="X451" s="80">
        <f t="shared" ca="1" si="254"/>
        <v>0</v>
      </c>
      <c r="Y451" s="80">
        <f t="shared" ca="1" si="255"/>
        <v>0</v>
      </c>
      <c r="Z451" s="80">
        <f t="shared" ca="1" si="250"/>
        <v>0</v>
      </c>
      <c r="AA451" s="80">
        <f t="shared" ca="1" si="256"/>
        <v>0</v>
      </c>
      <c r="AB451" s="81">
        <f t="shared" ca="1" si="238"/>
        <v>0</v>
      </c>
      <c r="AC451" s="79">
        <f t="shared" ca="1" si="239"/>
        <v>0</v>
      </c>
      <c r="AD451" s="35"/>
      <c r="AE451" s="62">
        <f t="shared" ca="1" si="240"/>
        <v>0</v>
      </c>
      <c r="AF451" s="62">
        <f t="shared" ca="1" si="241"/>
        <v>0</v>
      </c>
      <c r="AG451" s="35"/>
      <c r="AH451" s="35"/>
      <c r="AR451" s="69">
        <f t="shared" si="251"/>
        <v>38</v>
      </c>
      <c r="AS451" s="70">
        <f t="shared" si="257"/>
        <v>448</v>
      </c>
      <c r="AT451" s="71">
        <f t="shared" si="261"/>
        <v>4.6583912885571135E-2</v>
      </c>
      <c r="AU451" s="72">
        <f t="shared" si="242"/>
        <v>6.8214933659622723E-3</v>
      </c>
      <c r="AV451" s="73">
        <f t="shared" si="252"/>
        <v>1.0068214933659623</v>
      </c>
      <c r="AW451" s="74">
        <f>PRODUCT(AV$4:AV451)</f>
        <v>21.023752032106117</v>
      </c>
    </row>
    <row r="452" spans="5:49">
      <c r="E452">
        <f t="shared" si="259"/>
        <v>449</v>
      </c>
      <c r="F452" s="64">
        <f t="shared" si="243"/>
        <v>90.84</v>
      </c>
      <c r="G452" s="55">
        <f t="shared" ref="G452:G515" si="262">(1-(1-IF(F452&gt;$AJ$90,0,VLOOKUP(ROUND(F452,0),$AJ$4:$AK$90,2,FALSE)))^(1/12))*0</f>
        <v>0</v>
      </c>
      <c r="H452" s="78">
        <f t="shared" si="258"/>
        <v>1</v>
      </c>
      <c r="I452" s="79">
        <f t="shared" si="244"/>
        <v>229374.17593665802</v>
      </c>
      <c r="J452" s="79">
        <f t="shared" ref="J452:J515" si="263">(I452)*$AU452</f>
        <v>1564.6744194749758</v>
      </c>
      <c r="K452" s="80">
        <f t="shared" ref="K452:K515" si="264">IF(I452=0,0,-$C$19)*H452</f>
        <v>-15</v>
      </c>
      <c r="L452" s="80">
        <f t="shared" si="245"/>
        <v>-191.14514661388171</v>
      </c>
      <c r="M452" s="80">
        <f t="shared" si="260"/>
        <v>0</v>
      </c>
      <c r="N452" s="80">
        <f t="shared" si="246"/>
        <v>-217.90546713982516</v>
      </c>
      <c r="O452" s="81">
        <f t="shared" ref="O452:O515" si="265">-MIN(
IF(MOD(E452-1,IF($C$7="Annual",12,1))=0,1,0)
*IF(F452&lt;=$C$6,H452*$C$5*$C$4/IF($C$7="Monthly",12,1),$C$12),I452)</f>
        <v>-2500.6101455486769</v>
      </c>
      <c r="P452" s="79">
        <f t="shared" ref="P452:P515" si="266">SUM(I452:O452)</f>
        <v>228014.18959683061</v>
      </c>
      <c r="Q452" s="35"/>
      <c r="R452">
        <f t="shared" ca="1" si="247"/>
        <v>574</v>
      </c>
      <c r="S452" s="78">
        <f t="shared" ca="1" si="248"/>
        <v>100.84</v>
      </c>
      <c r="T452" s="55">
        <f t="shared" ref="T452:T515" ca="1" si="267">(1-(1-IF(S452&gt;$AJ$90,0,VLOOKUP(ROUND(S452,0),$AJ$4:$AK$90,2,FALSE)))^(1/12))</f>
        <v>5.8781892102293565E-2</v>
      </c>
      <c r="U452" s="78">
        <f t="shared" ca="1" si="253"/>
        <v>4.1811722293793566E-4</v>
      </c>
      <c r="V452" s="79">
        <f t="shared" ca="1" si="249"/>
        <v>0</v>
      </c>
      <c r="W452" s="79">
        <f t="shared" ref="W452:W515" ca="1" si="268">(V452)*$AU452</f>
        <v>0</v>
      </c>
      <c r="X452" s="80">
        <f t="shared" ca="1" si="254"/>
        <v>0</v>
      </c>
      <c r="Y452" s="80">
        <f t="shared" ca="1" si="255"/>
        <v>0</v>
      </c>
      <c r="Z452" s="80">
        <f t="shared" ca="1" si="250"/>
        <v>0</v>
      </c>
      <c r="AA452" s="80">
        <f t="shared" ca="1" si="256"/>
        <v>0</v>
      </c>
      <c r="AB452" s="81">
        <f t="shared" ref="AB452:AB515" ca="1" si="269">-MIN(IF(MOD(R452,IF($C$7="Annual",12,1))=0,1,0)*$C$39*U452/IF($C$7="Monthly",12,1),V452)</f>
        <v>0</v>
      </c>
      <c r="AC452" s="79">
        <f t="shared" ref="AC452:AC515" ca="1" si="270">SUM(V452:AB452)</f>
        <v>0</v>
      </c>
      <c r="AD452" s="35"/>
      <c r="AE452" s="62">
        <f t="shared" ref="AE452:AE503" ca="1" si="271">AB452/U452</f>
        <v>0</v>
      </c>
      <c r="AF452" s="62">
        <f t="shared" ref="AF452:AF506" ca="1" si="272">AC452/U452</f>
        <v>0</v>
      </c>
      <c r="AG452" s="35"/>
      <c r="AH452" s="35"/>
      <c r="AR452" s="69">
        <f t="shared" si="251"/>
        <v>38</v>
      </c>
      <c r="AS452" s="70">
        <f t="shared" si="257"/>
        <v>449</v>
      </c>
      <c r="AT452" s="71">
        <f t="shared" si="261"/>
        <v>4.6266141032861648E-2</v>
      </c>
      <c r="AU452" s="72">
        <f t="shared" ref="AU452:AU515" si="273">((1+$AH$21)^(1/12))-1</f>
        <v>6.8214933659622723E-3</v>
      </c>
      <c r="AV452" s="73">
        <f t="shared" si="252"/>
        <v>1.0068214933659623</v>
      </c>
      <c r="AW452" s="74">
        <f>PRODUCT(AV$4:AV452)</f>
        <v>21.167165417120763</v>
      </c>
    </row>
    <row r="453" spans="5:49">
      <c r="E453">
        <f t="shared" si="259"/>
        <v>450</v>
      </c>
      <c r="F453" s="64">
        <f t="shared" ref="F453:F516" si="274">ROUND((E453-E452)/12+F452,2)</f>
        <v>90.92</v>
      </c>
      <c r="G453" s="55">
        <f t="shared" si="262"/>
        <v>0</v>
      </c>
      <c r="H453" s="78">
        <f t="shared" si="258"/>
        <v>1</v>
      </c>
      <c r="I453" s="79">
        <f t="shared" ref="I453:I516" si="275">MAX(P452,0)*(1-G453)</f>
        <v>228014.18959683061</v>
      </c>
      <c r="J453" s="79">
        <f t="shared" si="263"/>
        <v>1555.3972816800438</v>
      </c>
      <c r="K453" s="80">
        <f t="shared" si="264"/>
        <v>-15</v>
      </c>
      <c r="L453" s="80">
        <f t="shared" ref="L453:L516" si="276">IF(OR(I452+O452=0,K452=0),0,-I453*($C$16/12))</f>
        <v>-190.01182466402551</v>
      </c>
      <c r="M453" s="80">
        <f t="shared" si="260"/>
        <v>0</v>
      </c>
      <c r="N453" s="80">
        <f t="shared" ref="N453:N516" si="277">IF(OR(I452+O452=0,K452=0),0,-I453*($C$18*(1+$C$20))/12)</f>
        <v>-216.61348011698911</v>
      </c>
      <c r="O453" s="81">
        <f t="shared" si="265"/>
        <v>-2500.6101455486769</v>
      </c>
      <c r="P453" s="79">
        <f t="shared" si="266"/>
        <v>226647.35142818096</v>
      </c>
      <c r="Q453" s="35"/>
      <c r="R453">
        <f t="shared" ref="R453:R516" ca="1" si="278">R452+1</f>
        <v>575</v>
      </c>
      <c r="S453" s="78">
        <f t="shared" ref="S453:S516" ca="1" si="279">ROUND((R453-R452)/12+S452,2)</f>
        <v>100.92</v>
      </c>
      <c r="T453" s="55">
        <f t="shared" ca="1" si="267"/>
        <v>5.8781892102293565E-2</v>
      </c>
      <c r="U453" s="78">
        <f t="shared" ca="1" si="253"/>
        <v>3.9353950145308732E-4</v>
      </c>
      <c r="V453" s="79">
        <f t="shared" ref="V453:V516" ca="1" si="280">MAX(AC452,0)*(1-T453)</f>
        <v>0</v>
      </c>
      <c r="W453" s="79">
        <f t="shared" ca="1" si="268"/>
        <v>0</v>
      </c>
      <c r="X453" s="80">
        <f t="shared" ca="1" si="254"/>
        <v>0</v>
      </c>
      <c r="Y453" s="80">
        <f t="shared" ca="1" si="255"/>
        <v>0</v>
      </c>
      <c r="Z453" s="80">
        <f t="shared" ref="Z453:Z516" ca="1" si="281">-IF(MOD(R453-1,12)=0,1,0)*V453*($C$17)</f>
        <v>0</v>
      </c>
      <c r="AA453" s="80">
        <f t="shared" ca="1" si="256"/>
        <v>0</v>
      </c>
      <c r="AB453" s="81">
        <f t="shared" ca="1" si="269"/>
        <v>0</v>
      </c>
      <c r="AC453" s="79">
        <f t="shared" ca="1" si="270"/>
        <v>0</v>
      </c>
      <c r="AD453" s="35"/>
      <c r="AE453" s="62">
        <f t="shared" ca="1" si="271"/>
        <v>0</v>
      </c>
      <c r="AF453" s="62">
        <f t="shared" ca="1" si="272"/>
        <v>0</v>
      </c>
      <c r="AG453" s="35"/>
      <c r="AH453" s="35"/>
      <c r="AR453" s="69">
        <f t="shared" ref="AR453:AR516" si="282">ROUNDDOWN((AS453-1)/12,0)+1</f>
        <v>38</v>
      </c>
      <c r="AS453" s="70">
        <f t="shared" si="257"/>
        <v>450</v>
      </c>
      <c r="AT453" s="71">
        <f t="shared" si="261"/>
        <v>4.5950536858737304E-2</v>
      </c>
      <c r="AU453" s="72">
        <f t="shared" si="273"/>
        <v>6.8214933659622723E-3</v>
      </c>
      <c r="AV453" s="73">
        <f t="shared" ref="AV453:AV516" si="283">(1+AU453)</f>
        <v>1.0068214933659623</v>
      </c>
      <c r="AW453" s="74">
        <f>PRODUCT(AV$4:AV453)</f>
        <v>21.31155709558988</v>
      </c>
    </row>
    <row r="454" spans="5:49">
      <c r="E454">
        <f t="shared" si="259"/>
        <v>451</v>
      </c>
      <c r="F454" s="64">
        <f t="shared" si="274"/>
        <v>91</v>
      </c>
      <c r="G454" s="55">
        <f t="shared" si="262"/>
        <v>0</v>
      </c>
      <c r="H454" s="78">
        <f t="shared" si="258"/>
        <v>1</v>
      </c>
      <c r="I454" s="79">
        <f t="shared" si="275"/>
        <v>226647.35142818096</v>
      </c>
      <c r="J454" s="79">
        <f t="shared" si="263"/>
        <v>1546.0734041802561</v>
      </c>
      <c r="K454" s="80">
        <f t="shared" si="264"/>
        <v>-15</v>
      </c>
      <c r="L454" s="80">
        <f t="shared" si="276"/>
        <v>-188.87279285681748</v>
      </c>
      <c r="M454" s="80">
        <f t="shared" si="260"/>
        <v>0</v>
      </c>
      <c r="N454" s="80">
        <f t="shared" si="277"/>
        <v>-215.31498385677196</v>
      </c>
      <c r="O454" s="81">
        <f t="shared" si="265"/>
        <v>-2500.6101455486769</v>
      </c>
      <c r="P454" s="79">
        <f t="shared" si="266"/>
        <v>225273.62691009894</v>
      </c>
      <c r="Q454" s="35"/>
      <c r="R454">
        <f t="shared" ca="1" si="278"/>
        <v>576</v>
      </c>
      <c r="S454" s="78">
        <f t="shared" ca="1" si="279"/>
        <v>101</v>
      </c>
      <c r="T454" s="55">
        <f t="shared" ca="1" si="267"/>
        <v>5.8781892102293565E-2</v>
      </c>
      <c r="U454" s="78">
        <f t="shared" ref="U454:U517" ca="1" si="284">U453*(1-T454)</f>
        <v>3.7040650494068154E-4</v>
      </c>
      <c r="V454" s="79">
        <f t="shared" ca="1" si="280"/>
        <v>0</v>
      </c>
      <c r="W454" s="79">
        <f t="shared" ca="1" si="268"/>
        <v>0</v>
      </c>
      <c r="X454" s="80">
        <f t="shared" ref="X454:X517" ca="1" si="285">IF(V454=0,0,-$C$19)*U454</f>
        <v>0</v>
      </c>
      <c r="Y454" s="80">
        <f t="shared" ref="Y454:Y517" ca="1" si="286">IF(OR(V453+AB453=0,X453=0),0,-V454*($C$16/12))</f>
        <v>0</v>
      </c>
      <c r="Z454" s="80">
        <f t="shared" ca="1" si="281"/>
        <v>0</v>
      </c>
      <c r="AA454" s="80">
        <f t="shared" ref="AA454:AA517" ca="1" si="287">IF(OR(V453+AB453=0,X453=0),0,-V454*($C$18*(1+$C$20))/12)</f>
        <v>0</v>
      </c>
      <c r="AB454" s="81">
        <f t="shared" ca="1" si="269"/>
        <v>0</v>
      </c>
      <c r="AC454" s="79">
        <f t="shared" ca="1" si="270"/>
        <v>0</v>
      </c>
      <c r="AD454" s="35"/>
      <c r="AE454" s="62">
        <f t="shared" ca="1" si="271"/>
        <v>0</v>
      </c>
      <c r="AF454" s="62">
        <f t="shared" ca="1" si="272"/>
        <v>0</v>
      </c>
      <c r="AG454" s="35"/>
      <c r="AH454" s="35"/>
      <c r="AR454" s="69">
        <f t="shared" si="282"/>
        <v>38</v>
      </c>
      <c r="AS454" s="70">
        <f t="shared" ref="AS454:AS517" si="288">AS453+1</f>
        <v>451</v>
      </c>
      <c r="AT454" s="71">
        <f t="shared" si="261"/>
        <v>4.5637085576393024E-2</v>
      </c>
      <c r="AU454" s="72">
        <f t="shared" si="273"/>
        <v>6.8214933659622723E-3</v>
      </c>
      <c r="AV454" s="73">
        <f t="shared" si="283"/>
        <v>1.0068214933659623</v>
      </c>
      <c r="AW454" s="74">
        <f>PRODUCT(AV$4:AV454)</f>
        <v>21.456933740935771</v>
      </c>
    </row>
    <row r="455" spans="5:49">
      <c r="E455">
        <f t="shared" si="259"/>
        <v>452</v>
      </c>
      <c r="F455" s="64">
        <f t="shared" si="274"/>
        <v>91.08</v>
      </c>
      <c r="G455" s="55">
        <f t="shared" si="262"/>
        <v>0</v>
      </c>
      <c r="H455" s="78">
        <f t="shared" ref="H455:H518" si="289">H454*(1-G455)</f>
        <v>1</v>
      </c>
      <c r="I455" s="79">
        <f t="shared" si="275"/>
        <v>225273.62691009894</v>
      </c>
      <c r="J455" s="79">
        <f t="shared" si="263"/>
        <v>1536.7025514934999</v>
      </c>
      <c r="K455" s="80">
        <f t="shared" si="264"/>
        <v>-15</v>
      </c>
      <c r="L455" s="80">
        <f t="shared" si="276"/>
        <v>-187.72802242508246</v>
      </c>
      <c r="M455" s="80">
        <f t="shared" si="260"/>
        <v>0</v>
      </c>
      <c r="N455" s="80">
        <f t="shared" si="277"/>
        <v>-214.00994556459406</v>
      </c>
      <c r="O455" s="81">
        <f t="shared" si="265"/>
        <v>-2500.6101455486769</v>
      </c>
      <c r="P455" s="79">
        <f t="shared" si="266"/>
        <v>223892.98134805411</v>
      </c>
      <c r="Q455" s="35"/>
      <c r="R455">
        <f t="shared" ca="1" si="278"/>
        <v>577</v>
      </c>
      <c r="S455" s="78">
        <f t="shared" ca="1" si="279"/>
        <v>101.08</v>
      </c>
      <c r="T455" s="55">
        <f t="shared" ca="1" si="267"/>
        <v>5.8781892102293565E-2</v>
      </c>
      <c r="U455" s="78">
        <f t="shared" ca="1" si="284"/>
        <v>3.4863330973327071E-4</v>
      </c>
      <c r="V455" s="79">
        <f t="shared" ca="1" si="280"/>
        <v>0</v>
      </c>
      <c r="W455" s="79">
        <f t="shared" ca="1" si="268"/>
        <v>0</v>
      </c>
      <c r="X455" s="80">
        <f t="shared" ca="1" si="285"/>
        <v>0</v>
      </c>
      <c r="Y455" s="80">
        <f t="shared" ca="1" si="286"/>
        <v>0</v>
      </c>
      <c r="Z455" s="80">
        <f t="shared" ca="1" si="281"/>
        <v>0</v>
      </c>
      <c r="AA455" s="80">
        <f t="shared" ca="1" si="287"/>
        <v>0</v>
      </c>
      <c r="AB455" s="81">
        <f t="shared" ca="1" si="269"/>
        <v>0</v>
      </c>
      <c r="AC455" s="79">
        <f t="shared" ca="1" si="270"/>
        <v>0</v>
      </c>
      <c r="AD455" s="35"/>
      <c r="AE455" s="62">
        <f t="shared" ca="1" si="271"/>
        <v>0</v>
      </c>
      <c r="AF455" s="62">
        <f t="shared" ca="1" si="272"/>
        <v>0</v>
      </c>
      <c r="AG455" s="35"/>
      <c r="AH455" s="35"/>
      <c r="AR455" s="69">
        <f t="shared" si="282"/>
        <v>38</v>
      </c>
      <c r="AS455" s="70">
        <f t="shared" si="288"/>
        <v>452</v>
      </c>
      <c r="AT455" s="71">
        <f t="shared" si="261"/>
        <v>4.5325772499891809E-2</v>
      </c>
      <c r="AU455" s="72">
        <f t="shared" si="273"/>
        <v>6.8214933659622723E-3</v>
      </c>
      <c r="AV455" s="73">
        <f t="shared" si="283"/>
        <v>1.0068214933659623</v>
      </c>
      <c r="AW455" s="74">
        <f>PRODUCT(AV$4:AV455)</f>
        <v>21.603302072103457</v>
      </c>
    </row>
    <row r="456" spans="5:49">
      <c r="E456">
        <f t="shared" si="259"/>
        <v>453</v>
      </c>
      <c r="F456" s="64">
        <f t="shared" si="274"/>
        <v>91.16</v>
      </c>
      <c r="G456" s="55">
        <f t="shared" si="262"/>
        <v>0</v>
      </c>
      <c r="H456" s="78">
        <f t="shared" si="289"/>
        <v>1</v>
      </c>
      <c r="I456" s="79">
        <f t="shared" si="275"/>
        <v>223892.98134805411</v>
      </c>
      <c r="J456" s="79">
        <f t="shared" si="263"/>
        <v>1527.2844869512658</v>
      </c>
      <c r="K456" s="80">
        <f t="shared" si="264"/>
        <v>-15</v>
      </c>
      <c r="L456" s="80">
        <f t="shared" si="276"/>
        <v>-186.57748445671177</v>
      </c>
      <c r="M456" s="80">
        <f t="shared" si="260"/>
        <v>0</v>
      </c>
      <c r="N456" s="80">
        <f t="shared" si="277"/>
        <v>-212.69833228065144</v>
      </c>
      <c r="O456" s="81">
        <f t="shared" si="265"/>
        <v>-2500.6101455486769</v>
      </c>
      <c r="P456" s="79">
        <f t="shared" si="266"/>
        <v>222505.37987271935</v>
      </c>
      <c r="Q456" s="35"/>
      <c r="R456">
        <f t="shared" ca="1" si="278"/>
        <v>578</v>
      </c>
      <c r="S456" s="78">
        <f t="shared" ca="1" si="279"/>
        <v>101.16</v>
      </c>
      <c r="T456" s="55">
        <f t="shared" ca="1" si="267"/>
        <v>5.8781892102293565E-2</v>
      </c>
      <c r="U456" s="78">
        <f t="shared" ca="1" si="284"/>
        <v>3.2813998413726411E-4</v>
      </c>
      <c r="V456" s="79">
        <f t="shared" ca="1" si="280"/>
        <v>0</v>
      </c>
      <c r="W456" s="79">
        <f t="shared" ca="1" si="268"/>
        <v>0</v>
      </c>
      <c r="X456" s="80">
        <f t="shared" ca="1" si="285"/>
        <v>0</v>
      </c>
      <c r="Y456" s="80">
        <f t="shared" ca="1" si="286"/>
        <v>0</v>
      </c>
      <c r="Z456" s="80">
        <f t="shared" ca="1" si="281"/>
        <v>0</v>
      </c>
      <c r="AA456" s="80">
        <f t="shared" ca="1" si="287"/>
        <v>0</v>
      </c>
      <c r="AB456" s="81">
        <f t="shared" ca="1" si="269"/>
        <v>0</v>
      </c>
      <c r="AC456" s="79">
        <f t="shared" ca="1" si="270"/>
        <v>0</v>
      </c>
      <c r="AD456" s="35"/>
      <c r="AE456" s="62">
        <f t="shared" ca="1" si="271"/>
        <v>0</v>
      </c>
      <c r="AF456" s="62">
        <f t="shared" ca="1" si="272"/>
        <v>0</v>
      </c>
      <c r="AG456" s="35"/>
      <c r="AH456" s="35"/>
      <c r="AR456" s="69">
        <f t="shared" si="282"/>
        <v>38</v>
      </c>
      <c r="AS456" s="70">
        <f t="shared" si="288"/>
        <v>453</v>
      </c>
      <c r="AT456" s="71">
        <f t="shared" si="261"/>
        <v>4.5016583043476679E-2</v>
      </c>
      <c r="AU456" s="72">
        <f t="shared" si="273"/>
        <v>6.8214933659622723E-3</v>
      </c>
      <c r="AV456" s="73">
        <f t="shared" si="283"/>
        <v>1.0068214933659623</v>
      </c>
      <c r="AW456" s="74">
        <f>PRODUCT(AV$4:AV456)</f>
        <v>21.75066885387119</v>
      </c>
    </row>
    <row r="457" spans="5:49">
      <c r="E457">
        <f t="shared" si="259"/>
        <v>454</v>
      </c>
      <c r="F457" s="64">
        <f t="shared" si="274"/>
        <v>91.24</v>
      </c>
      <c r="G457" s="55">
        <f t="shared" si="262"/>
        <v>0</v>
      </c>
      <c r="H457" s="78">
        <f t="shared" si="289"/>
        <v>1</v>
      </c>
      <c r="I457" s="79">
        <f t="shared" si="275"/>
        <v>222505.37987271935</v>
      </c>
      <c r="J457" s="79">
        <f t="shared" si="263"/>
        <v>1517.8189726926703</v>
      </c>
      <c r="K457" s="80">
        <f t="shared" si="264"/>
        <v>-15</v>
      </c>
      <c r="L457" s="80">
        <f t="shared" si="276"/>
        <v>-185.42114989393281</v>
      </c>
      <c r="M457" s="80">
        <f t="shared" si="260"/>
        <v>0</v>
      </c>
      <c r="N457" s="80">
        <f t="shared" si="277"/>
        <v>-211.38011087908342</v>
      </c>
      <c r="O457" s="81">
        <f t="shared" si="265"/>
        <v>-2500.6101455486769</v>
      </c>
      <c r="P457" s="79">
        <f t="shared" si="266"/>
        <v>221110.78743909035</v>
      </c>
      <c r="Q457" s="35"/>
      <c r="R457">
        <f t="shared" ca="1" si="278"/>
        <v>579</v>
      </c>
      <c r="S457" s="78">
        <f t="shared" ca="1" si="279"/>
        <v>101.24</v>
      </c>
      <c r="T457" s="55">
        <f t="shared" ca="1" si="267"/>
        <v>5.8781892102293565E-2</v>
      </c>
      <c r="U457" s="78">
        <f t="shared" ca="1" si="284"/>
        <v>3.0885129499525914E-4</v>
      </c>
      <c r="V457" s="79">
        <f t="shared" ca="1" si="280"/>
        <v>0</v>
      </c>
      <c r="W457" s="79">
        <f t="shared" ca="1" si="268"/>
        <v>0</v>
      </c>
      <c r="X457" s="80">
        <f t="shared" ca="1" si="285"/>
        <v>0</v>
      </c>
      <c r="Y457" s="80">
        <f t="shared" ca="1" si="286"/>
        <v>0</v>
      </c>
      <c r="Z457" s="80">
        <f t="shared" ca="1" si="281"/>
        <v>0</v>
      </c>
      <c r="AA457" s="80">
        <f t="shared" ca="1" si="287"/>
        <v>0</v>
      </c>
      <c r="AB457" s="81">
        <f t="shared" ca="1" si="269"/>
        <v>0</v>
      </c>
      <c r="AC457" s="79">
        <f t="shared" ca="1" si="270"/>
        <v>0</v>
      </c>
      <c r="AD457" s="35"/>
      <c r="AE457" s="62">
        <f t="shared" ca="1" si="271"/>
        <v>0</v>
      </c>
      <c r="AF457" s="62">
        <f t="shared" ca="1" si="272"/>
        <v>0</v>
      </c>
      <c r="AG457" s="35"/>
      <c r="AH457" s="35"/>
      <c r="AR457" s="69">
        <f t="shared" si="282"/>
        <v>38</v>
      </c>
      <c r="AS457" s="70">
        <f t="shared" si="288"/>
        <v>454</v>
      </c>
      <c r="AT457" s="71">
        <f t="shared" si="261"/>
        <v>4.4709502720887313E-2</v>
      </c>
      <c r="AU457" s="72">
        <f t="shared" si="273"/>
        <v>6.8214933659622723E-3</v>
      </c>
      <c r="AV457" s="73">
        <f t="shared" si="283"/>
        <v>1.0068214933659623</v>
      </c>
      <c r="AW457" s="74">
        <f>PRODUCT(AV$4:AV457)</f>
        <v>21.899040897163115</v>
      </c>
    </row>
    <row r="458" spans="5:49">
      <c r="E458">
        <f t="shared" si="259"/>
        <v>455</v>
      </c>
      <c r="F458" s="64">
        <f t="shared" si="274"/>
        <v>91.32</v>
      </c>
      <c r="G458" s="55">
        <f t="shared" si="262"/>
        <v>0</v>
      </c>
      <c r="H458" s="78">
        <f t="shared" si="289"/>
        <v>1</v>
      </c>
      <c r="I458" s="79">
        <f t="shared" si="275"/>
        <v>221110.78743909035</v>
      </c>
      <c r="J458" s="79">
        <f t="shared" si="263"/>
        <v>1508.305769658449</v>
      </c>
      <c r="K458" s="80">
        <f t="shared" si="264"/>
        <v>-15</v>
      </c>
      <c r="L458" s="80">
        <f t="shared" si="276"/>
        <v>-184.2589895325753</v>
      </c>
      <c r="M458" s="80">
        <f t="shared" si="260"/>
        <v>0</v>
      </c>
      <c r="N458" s="80">
        <f t="shared" si="277"/>
        <v>-210.05524806713586</v>
      </c>
      <c r="O458" s="81">
        <f t="shared" si="265"/>
        <v>-2500.6101455486769</v>
      </c>
      <c r="P458" s="79">
        <f t="shared" si="266"/>
        <v>219709.16882560041</v>
      </c>
      <c r="Q458" s="35"/>
      <c r="R458">
        <f t="shared" ca="1" si="278"/>
        <v>580</v>
      </c>
      <c r="S458" s="78">
        <f t="shared" ca="1" si="279"/>
        <v>101.32</v>
      </c>
      <c r="T458" s="55">
        <f t="shared" ca="1" si="267"/>
        <v>5.8781892102293565E-2</v>
      </c>
      <c r="U458" s="78">
        <f t="shared" ca="1" si="284"/>
        <v>2.9069643149719416E-4</v>
      </c>
      <c r="V458" s="79">
        <f t="shared" ca="1" si="280"/>
        <v>0</v>
      </c>
      <c r="W458" s="79">
        <f t="shared" ca="1" si="268"/>
        <v>0</v>
      </c>
      <c r="X458" s="80">
        <f t="shared" ca="1" si="285"/>
        <v>0</v>
      </c>
      <c r="Y458" s="80">
        <f t="shared" ca="1" si="286"/>
        <v>0</v>
      </c>
      <c r="Z458" s="80">
        <f t="shared" ca="1" si="281"/>
        <v>0</v>
      </c>
      <c r="AA458" s="80">
        <f t="shared" ca="1" si="287"/>
        <v>0</v>
      </c>
      <c r="AB458" s="81">
        <f t="shared" ca="1" si="269"/>
        <v>0</v>
      </c>
      <c r="AC458" s="79">
        <f t="shared" ca="1" si="270"/>
        <v>0</v>
      </c>
      <c r="AD458" s="35"/>
      <c r="AE458" s="62">
        <f t="shared" ca="1" si="271"/>
        <v>0</v>
      </c>
      <c r="AF458" s="62">
        <f t="shared" ca="1" si="272"/>
        <v>0</v>
      </c>
      <c r="AG458" s="35"/>
      <c r="AH458" s="35"/>
      <c r="AR458" s="69">
        <f t="shared" si="282"/>
        <v>38</v>
      </c>
      <c r="AS458" s="70">
        <f t="shared" si="288"/>
        <v>455</v>
      </c>
      <c r="AT458" s="71">
        <f t="shared" si="261"/>
        <v>4.4404517144681306E-2</v>
      </c>
      <c r="AU458" s="72">
        <f t="shared" si="273"/>
        <v>6.8214933659622723E-3</v>
      </c>
      <c r="AV458" s="73">
        <f t="shared" si="283"/>
        <v>1.0068214933659623</v>
      </c>
      <c r="AW458" s="74">
        <f>PRODUCT(AV$4:AV458)</f>
        <v>22.04842505936405</v>
      </c>
    </row>
    <row r="459" spans="5:49">
      <c r="E459">
        <f t="shared" si="259"/>
        <v>456</v>
      </c>
      <c r="F459" s="64">
        <f t="shared" si="274"/>
        <v>91.4</v>
      </c>
      <c r="G459" s="55">
        <f t="shared" si="262"/>
        <v>0</v>
      </c>
      <c r="H459" s="78">
        <f t="shared" si="289"/>
        <v>1</v>
      </c>
      <c r="I459" s="79">
        <f t="shared" si="275"/>
        <v>219709.16882560041</v>
      </c>
      <c r="J459" s="79">
        <f t="shared" si="263"/>
        <v>1498.7446375849181</v>
      </c>
      <c r="K459" s="80">
        <f t="shared" si="264"/>
        <v>-15</v>
      </c>
      <c r="L459" s="80">
        <f t="shared" si="276"/>
        <v>-183.09097402133369</v>
      </c>
      <c r="M459" s="80">
        <f t="shared" si="260"/>
        <v>0</v>
      </c>
      <c r="N459" s="80">
        <f t="shared" si="277"/>
        <v>-208.72371038432041</v>
      </c>
      <c r="O459" s="81">
        <f t="shared" si="265"/>
        <v>-2500.6101455486769</v>
      </c>
      <c r="P459" s="79">
        <f t="shared" si="266"/>
        <v>218300.48863323103</v>
      </c>
      <c r="Q459" s="35"/>
      <c r="R459">
        <f t="shared" ca="1" si="278"/>
        <v>581</v>
      </c>
      <c r="S459" s="78">
        <f t="shared" ca="1" si="279"/>
        <v>101.4</v>
      </c>
      <c r="T459" s="55">
        <f t="shared" ca="1" si="267"/>
        <v>5.8781892102293565E-2</v>
      </c>
      <c r="U459" s="78">
        <f t="shared" ca="1" si="284"/>
        <v>2.736087452264043E-4</v>
      </c>
      <c r="V459" s="79">
        <f t="shared" ca="1" si="280"/>
        <v>0</v>
      </c>
      <c r="W459" s="79">
        <f t="shared" ca="1" si="268"/>
        <v>0</v>
      </c>
      <c r="X459" s="80">
        <f t="shared" ca="1" si="285"/>
        <v>0</v>
      </c>
      <c r="Y459" s="80">
        <f t="shared" ca="1" si="286"/>
        <v>0</v>
      </c>
      <c r="Z459" s="80">
        <f t="shared" ca="1" si="281"/>
        <v>0</v>
      </c>
      <c r="AA459" s="80">
        <f t="shared" ca="1" si="287"/>
        <v>0</v>
      </c>
      <c r="AB459" s="81">
        <f t="shared" ca="1" si="269"/>
        <v>0</v>
      </c>
      <c r="AC459" s="79">
        <f t="shared" ca="1" si="270"/>
        <v>0</v>
      </c>
      <c r="AD459" s="35"/>
      <c r="AE459" s="62">
        <f t="shared" ca="1" si="271"/>
        <v>0</v>
      </c>
      <c r="AF459" s="62">
        <f t="shared" ca="1" si="272"/>
        <v>0</v>
      </c>
      <c r="AG459" s="35"/>
      <c r="AH459" s="35"/>
      <c r="AR459" s="69">
        <f t="shared" si="282"/>
        <v>38</v>
      </c>
      <c r="AS459" s="70">
        <f t="shared" si="288"/>
        <v>456</v>
      </c>
      <c r="AT459" s="71">
        <f t="shared" si="261"/>
        <v>4.4101612025560108E-2</v>
      </c>
      <c r="AU459" s="72">
        <f t="shared" si="273"/>
        <v>6.8214933659622723E-3</v>
      </c>
      <c r="AV459" s="73">
        <f t="shared" si="283"/>
        <v>1.0068214933659623</v>
      </c>
      <c r="AW459" s="74">
        <f>PRODUCT(AV$4:AV459)</f>
        <v>22.198828244636417</v>
      </c>
    </row>
    <row r="460" spans="5:49">
      <c r="E460">
        <f t="shared" si="259"/>
        <v>457</v>
      </c>
      <c r="F460" s="64">
        <f t="shared" si="274"/>
        <v>91.48</v>
      </c>
      <c r="G460" s="55">
        <f t="shared" si="262"/>
        <v>0</v>
      </c>
      <c r="H460" s="78">
        <f t="shared" si="289"/>
        <v>1</v>
      </c>
      <c r="I460" s="79">
        <f t="shared" si="275"/>
        <v>218300.48863323103</v>
      </c>
      <c r="J460" s="79">
        <f t="shared" si="263"/>
        <v>1489.1353349979079</v>
      </c>
      <c r="K460" s="80">
        <f t="shared" si="264"/>
        <v>-15</v>
      </c>
      <c r="L460" s="80">
        <f t="shared" si="276"/>
        <v>-181.91707386102587</v>
      </c>
      <c r="M460" s="80">
        <f t="shared" si="260"/>
        <v>-1637.2536647492327</v>
      </c>
      <c r="N460" s="80">
        <f t="shared" si="277"/>
        <v>-207.38546420156953</v>
      </c>
      <c r="O460" s="81">
        <f t="shared" si="265"/>
        <v>-2500.6101455486769</v>
      </c>
      <c r="P460" s="79">
        <f t="shared" si="266"/>
        <v>215247.45761986842</v>
      </c>
      <c r="Q460" s="35"/>
      <c r="R460">
        <f t="shared" ca="1" si="278"/>
        <v>582</v>
      </c>
      <c r="S460" s="78">
        <f t="shared" ca="1" si="279"/>
        <v>101.48</v>
      </c>
      <c r="T460" s="55">
        <f t="shared" ca="1" si="267"/>
        <v>5.8781892102293565E-2</v>
      </c>
      <c r="U460" s="78">
        <f t="shared" ca="1" si="284"/>
        <v>2.5752550548626188E-4</v>
      </c>
      <c r="V460" s="79">
        <f t="shared" ca="1" si="280"/>
        <v>0</v>
      </c>
      <c r="W460" s="79">
        <f t="shared" ca="1" si="268"/>
        <v>0</v>
      </c>
      <c r="X460" s="80">
        <f t="shared" ca="1" si="285"/>
        <v>0</v>
      </c>
      <c r="Y460" s="80">
        <f t="shared" ca="1" si="286"/>
        <v>0</v>
      </c>
      <c r="Z460" s="80">
        <f t="shared" ca="1" si="281"/>
        <v>0</v>
      </c>
      <c r="AA460" s="80">
        <f t="shared" ca="1" si="287"/>
        <v>0</v>
      </c>
      <c r="AB460" s="81">
        <f t="shared" ca="1" si="269"/>
        <v>0</v>
      </c>
      <c r="AC460" s="79">
        <f t="shared" ca="1" si="270"/>
        <v>0</v>
      </c>
      <c r="AD460" s="35"/>
      <c r="AE460" s="62">
        <f t="shared" ca="1" si="271"/>
        <v>0</v>
      </c>
      <c r="AF460" s="62">
        <f t="shared" ca="1" si="272"/>
        <v>0</v>
      </c>
      <c r="AG460" s="35"/>
      <c r="AH460" s="35"/>
      <c r="AR460" s="69">
        <f t="shared" si="282"/>
        <v>39</v>
      </c>
      <c r="AS460" s="70">
        <f t="shared" si="288"/>
        <v>457</v>
      </c>
      <c r="AT460" s="71">
        <f t="shared" si="261"/>
        <v>4.380077317169951E-2</v>
      </c>
      <c r="AU460" s="72">
        <f t="shared" si="273"/>
        <v>6.8214933659622723E-3</v>
      </c>
      <c r="AV460" s="73">
        <f t="shared" si="283"/>
        <v>1.0068214933659623</v>
      </c>
      <c r="AW460" s="74">
        <f>PRODUCT(AV$4:AV460)</f>
        <v>22.35025740423934</v>
      </c>
    </row>
    <row r="461" spans="5:49">
      <c r="E461">
        <f t="shared" si="259"/>
        <v>458</v>
      </c>
      <c r="F461" s="64">
        <f t="shared" si="274"/>
        <v>91.56</v>
      </c>
      <c r="G461" s="55">
        <f t="shared" si="262"/>
        <v>0</v>
      </c>
      <c r="H461" s="78">
        <f t="shared" si="289"/>
        <v>1</v>
      </c>
      <c r="I461" s="79">
        <f t="shared" si="275"/>
        <v>215247.45761986842</v>
      </c>
      <c r="J461" s="79">
        <f t="shared" si="263"/>
        <v>1468.3091041941777</v>
      </c>
      <c r="K461" s="80">
        <f t="shared" si="264"/>
        <v>-15</v>
      </c>
      <c r="L461" s="80">
        <f t="shared" si="276"/>
        <v>-179.37288134989038</v>
      </c>
      <c r="M461" s="80">
        <f t="shared" si="260"/>
        <v>0</v>
      </c>
      <c r="N461" s="80">
        <f t="shared" si="277"/>
        <v>-204.48508473887503</v>
      </c>
      <c r="O461" s="81">
        <f t="shared" si="265"/>
        <v>-2500.6101455486769</v>
      </c>
      <c r="P461" s="79">
        <f t="shared" si="266"/>
        <v>213816.29861242513</v>
      </c>
      <c r="Q461" s="35"/>
      <c r="R461">
        <f t="shared" ca="1" si="278"/>
        <v>583</v>
      </c>
      <c r="S461" s="78">
        <f t="shared" ca="1" si="279"/>
        <v>101.56</v>
      </c>
      <c r="T461" s="55">
        <f t="shared" ca="1" si="267"/>
        <v>6.4504460562804344E-2</v>
      </c>
      <c r="U461" s="78">
        <f t="shared" ca="1" si="284"/>
        <v>2.4091396167370705E-4</v>
      </c>
      <c r="V461" s="79">
        <f t="shared" ca="1" si="280"/>
        <v>0</v>
      </c>
      <c r="W461" s="79">
        <f t="shared" ca="1" si="268"/>
        <v>0</v>
      </c>
      <c r="X461" s="80">
        <f t="shared" ca="1" si="285"/>
        <v>0</v>
      </c>
      <c r="Y461" s="80">
        <f t="shared" ca="1" si="286"/>
        <v>0</v>
      </c>
      <c r="Z461" s="80">
        <f t="shared" ca="1" si="281"/>
        <v>0</v>
      </c>
      <c r="AA461" s="80">
        <f t="shared" ca="1" si="287"/>
        <v>0</v>
      </c>
      <c r="AB461" s="81">
        <f t="shared" ca="1" si="269"/>
        <v>0</v>
      </c>
      <c r="AC461" s="79">
        <f t="shared" ca="1" si="270"/>
        <v>0</v>
      </c>
      <c r="AD461" s="35"/>
      <c r="AE461" s="62">
        <f t="shared" ca="1" si="271"/>
        <v>0</v>
      </c>
      <c r="AF461" s="62">
        <f t="shared" ca="1" si="272"/>
        <v>0</v>
      </c>
      <c r="AG461" s="35"/>
      <c r="AH461" s="35"/>
      <c r="AR461" s="69">
        <f t="shared" si="282"/>
        <v>39</v>
      </c>
      <c r="AS461" s="70">
        <f t="shared" si="288"/>
        <v>458</v>
      </c>
      <c r="AT461" s="71">
        <f t="shared" si="261"/>
        <v>4.3501986488084746E-2</v>
      </c>
      <c r="AU461" s="72">
        <f t="shared" si="273"/>
        <v>6.8214933659622723E-3</v>
      </c>
      <c r="AV461" s="73">
        <f t="shared" si="283"/>
        <v>1.0068214933659623</v>
      </c>
      <c r="AW461" s="74">
        <f>PRODUCT(AV$4:AV461)</f>
        <v>22.502719536849909</v>
      </c>
    </row>
    <row r="462" spans="5:49">
      <c r="E462">
        <f t="shared" si="259"/>
        <v>459</v>
      </c>
      <c r="F462" s="64">
        <f t="shared" si="274"/>
        <v>91.64</v>
      </c>
      <c r="G462" s="55">
        <f t="shared" si="262"/>
        <v>0</v>
      </c>
      <c r="H462" s="78">
        <f t="shared" si="289"/>
        <v>1</v>
      </c>
      <c r="I462" s="79">
        <f t="shared" si="275"/>
        <v>213816.29861242513</v>
      </c>
      <c r="J462" s="79">
        <f t="shared" si="263"/>
        <v>1458.5464625192662</v>
      </c>
      <c r="K462" s="80">
        <f t="shared" si="264"/>
        <v>-15</v>
      </c>
      <c r="L462" s="80">
        <f t="shared" si="276"/>
        <v>-178.18024884368762</v>
      </c>
      <c r="M462" s="80">
        <f t="shared" si="260"/>
        <v>0</v>
      </c>
      <c r="N462" s="80">
        <f t="shared" si="277"/>
        <v>-203.1254836818039</v>
      </c>
      <c r="O462" s="81">
        <f t="shared" si="265"/>
        <v>-2500.6101455486769</v>
      </c>
      <c r="P462" s="79">
        <f t="shared" si="266"/>
        <v>212377.92919687025</v>
      </c>
      <c r="Q462" s="35"/>
      <c r="R462">
        <f t="shared" ca="1" si="278"/>
        <v>584</v>
      </c>
      <c r="S462" s="78">
        <f t="shared" ca="1" si="279"/>
        <v>101.64</v>
      </c>
      <c r="T462" s="55">
        <f t="shared" ca="1" si="267"/>
        <v>6.4504460562804344E-2</v>
      </c>
      <c r="U462" s="78">
        <f t="shared" ca="1" si="284"/>
        <v>2.2537393653389645E-4</v>
      </c>
      <c r="V462" s="79">
        <f t="shared" ca="1" si="280"/>
        <v>0</v>
      </c>
      <c r="W462" s="79">
        <f t="shared" ca="1" si="268"/>
        <v>0</v>
      </c>
      <c r="X462" s="80">
        <f t="shared" ca="1" si="285"/>
        <v>0</v>
      </c>
      <c r="Y462" s="80">
        <f t="shared" ca="1" si="286"/>
        <v>0</v>
      </c>
      <c r="Z462" s="80">
        <f t="shared" ca="1" si="281"/>
        <v>0</v>
      </c>
      <c r="AA462" s="80">
        <f t="shared" ca="1" si="287"/>
        <v>0</v>
      </c>
      <c r="AB462" s="81">
        <f t="shared" ca="1" si="269"/>
        <v>0</v>
      </c>
      <c r="AC462" s="79">
        <f t="shared" ca="1" si="270"/>
        <v>0</v>
      </c>
      <c r="AD462" s="35"/>
      <c r="AE462" s="62">
        <f t="shared" ca="1" si="271"/>
        <v>0</v>
      </c>
      <c r="AF462" s="62">
        <f t="shared" ca="1" si="272"/>
        <v>0</v>
      </c>
      <c r="AG462" s="35"/>
      <c r="AH462" s="35"/>
      <c r="AR462" s="69">
        <f t="shared" si="282"/>
        <v>39</v>
      </c>
      <c r="AS462" s="70">
        <f t="shared" si="288"/>
        <v>459</v>
      </c>
      <c r="AT462" s="71">
        <f t="shared" si="261"/>
        <v>4.3205237975850096E-2</v>
      </c>
      <c r="AU462" s="72">
        <f t="shared" si="273"/>
        <v>6.8214933659622723E-3</v>
      </c>
      <c r="AV462" s="73">
        <f t="shared" si="283"/>
        <v>1.0068214933659623</v>
      </c>
      <c r="AW462" s="74">
        <f>PRODUCT(AV$4:AV462)</f>
        <v>22.656221688886642</v>
      </c>
    </row>
    <row r="463" spans="5:49">
      <c r="E463">
        <f t="shared" si="259"/>
        <v>460</v>
      </c>
      <c r="F463" s="64">
        <f t="shared" si="274"/>
        <v>91.72</v>
      </c>
      <c r="G463" s="55">
        <f t="shared" si="262"/>
        <v>0</v>
      </c>
      <c r="H463" s="78">
        <f t="shared" si="289"/>
        <v>1</v>
      </c>
      <c r="I463" s="79">
        <f t="shared" si="275"/>
        <v>212377.92919687025</v>
      </c>
      <c r="J463" s="79">
        <f t="shared" si="263"/>
        <v>1448.7346350932555</v>
      </c>
      <c r="K463" s="80">
        <f t="shared" si="264"/>
        <v>-15</v>
      </c>
      <c r="L463" s="80">
        <f t="shared" si="276"/>
        <v>-176.98160766405854</v>
      </c>
      <c r="M463" s="80">
        <f t="shared" si="260"/>
        <v>0</v>
      </c>
      <c r="N463" s="80">
        <f t="shared" si="277"/>
        <v>-201.75903273702679</v>
      </c>
      <c r="O463" s="81">
        <f t="shared" si="265"/>
        <v>-2500.6101455486769</v>
      </c>
      <c r="P463" s="79">
        <f t="shared" si="266"/>
        <v>210932.31304601373</v>
      </c>
      <c r="Q463" s="35"/>
      <c r="R463">
        <f t="shared" ca="1" si="278"/>
        <v>585</v>
      </c>
      <c r="S463" s="78">
        <f t="shared" ca="1" si="279"/>
        <v>101.72</v>
      </c>
      <c r="T463" s="55">
        <f t="shared" ca="1" si="267"/>
        <v>6.4504460562804344E-2</v>
      </c>
      <c r="U463" s="78">
        <f t="shared" ca="1" si="284"/>
        <v>2.1083631233286175E-4</v>
      </c>
      <c r="V463" s="79">
        <f t="shared" ca="1" si="280"/>
        <v>0</v>
      </c>
      <c r="W463" s="79">
        <f t="shared" ca="1" si="268"/>
        <v>0</v>
      </c>
      <c r="X463" s="80">
        <f t="shared" ca="1" si="285"/>
        <v>0</v>
      </c>
      <c r="Y463" s="80">
        <f t="shared" ca="1" si="286"/>
        <v>0</v>
      </c>
      <c r="Z463" s="80">
        <f t="shared" ca="1" si="281"/>
        <v>0</v>
      </c>
      <c r="AA463" s="80">
        <f t="shared" ca="1" si="287"/>
        <v>0</v>
      </c>
      <c r="AB463" s="81">
        <f t="shared" ca="1" si="269"/>
        <v>0</v>
      </c>
      <c r="AC463" s="79">
        <f t="shared" ca="1" si="270"/>
        <v>0</v>
      </c>
      <c r="AD463" s="35"/>
      <c r="AE463" s="62">
        <f t="shared" ca="1" si="271"/>
        <v>0</v>
      </c>
      <c r="AF463" s="62">
        <f t="shared" ca="1" si="272"/>
        <v>0</v>
      </c>
      <c r="AG463" s="35"/>
      <c r="AH463" s="35"/>
      <c r="AR463" s="69">
        <f t="shared" si="282"/>
        <v>39</v>
      </c>
      <c r="AS463" s="70">
        <f t="shared" si="288"/>
        <v>460</v>
      </c>
      <c r="AT463" s="71">
        <f t="shared" si="261"/>
        <v>4.2910513731623016E-2</v>
      </c>
      <c r="AU463" s="72">
        <f t="shared" si="273"/>
        <v>6.8214933659622723E-3</v>
      </c>
      <c r="AV463" s="73">
        <f t="shared" si="283"/>
        <v>1.0068214933659623</v>
      </c>
      <c r="AW463" s="74">
        <f>PRODUCT(AV$4:AV463)</f>
        <v>22.810770954835153</v>
      </c>
    </row>
    <row r="464" spans="5:49">
      <c r="E464">
        <f t="shared" ref="E464:E527" si="290">E463+1</f>
        <v>461</v>
      </c>
      <c r="F464" s="64">
        <f t="shared" si="274"/>
        <v>91.8</v>
      </c>
      <c r="G464" s="55">
        <f t="shared" si="262"/>
        <v>0</v>
      </c>
      <c r="H464" s="78">
        <f t="shared" si="289"/>
        <v>1</v>
      </c>
      <c r="I464" s="79">
        <f t="shared" si="275"/>
        <v>210932.31304601373</v>
      </c>
      <c r="J464" s="79">
        <f t="shared" si="263"/>
        <v>1438.87337411046</v>
      </c>
      <c r="K464" s="80">
        <f t="shared" si="264"/>
        <v>-15</v>
      </c>
      <c r="L464" s="80">
        <f t="shared" si="276"/>
        <v>-175.77692753834478</v>
      </c>
      <c r="M464" s="80">
        <f t="shared" ref="M464:M527" si="291">IF(OR(I463+O463=0,K463=0),0,-IF(MOD(E464-1,12)=0,1,0)*I464*($C$17))</f>
        <v>0</v>
      </c>
      <c r="N464" s="80">
        <f t="shared" si="277"/>
        <v>-200.38569739371306</v>
      </c>
      <c r="O464" s="81">
        <f t="shared" si="265"/>
        <v>-2500.6101455486769</v>
      </c>
      <c r="P464" s="79">
        <f t="shared" si="266"/>
        <v>209479.41364964348</v>
      </c>
      <c r="Q464" s="35"/>
      <c r="R464">
        <f t="shared" ca="1" si="278"/>
        <v>586</v>
      </c>
      <c r="S464" s="78">
        <f t="shared" ca="1" si="279"/>
        <v>101.8</v>
      </c>
      <c r="T464" s="55">
        <f t="shared" ca="1" si="267"/>
        <v>6.4504460562804344E-2</v>
      </c>
      <c r="U464" s="78">
        <f t="shared" ca="1" si="284"/>
        <v>1.9723642973877958E-4</v>
      </c>
      <c r="V464" s="79">
        <f t="shared" ca="1" si="280"/>
        <v>0</v>
      </c>
      <c r="W464" s="79">
        <f t="shared" ca="1" si="268"/>
        <v>0</v>
      </c>
      <c r="X464" s="80">
        <f t="shared" ca="1" si="285"/>
        <v>0</v>
      </c>
      <c r="Y464" s="80">
        <f t="shared" ca="1" si="286"/>
        <v>0</v>
      </c>
      <c r="Z464" s="80">
        <f t="shared" ca="1" si="281"/>
        <v>0</v>
      </c>
      <c r="AA464" s="80">
        <f t="shared" ca="1" si="287"/>
        <v>0</v>
      </c>
      <c r="AB464" s="81">
        <f t="shared" ca="1" si="269"/>
        <v>0</v>
      </c>
      <c r="AC464" s="79">
        <f t="shared" ca="1" si="270"/>
        <v>0</v>
      </c>
      <c r="AD464" s="35"/>
      <c r="AE464" s="62">
        <f t="shared" ca="1" si="271"/>
        <v>0</v>
      </c>
      <c r="AF464" s="62">
        <f t="shared" ca="1" si="272"/>
        <v>0</v>
      </c>
      <c r="AG464" s="35"/>
      <c r="AH464" s="35"/>
      <c r="AR464" s="69">
        <f t="shared" si="282"/>
        <v>39</v>
      </c>
      <c r="AS464" s="70">
        <f t="shared" si="288"/>
        <v>461</v>
      </c>
      <c r="AT464" s="71">
        <f t="shared" si="261"/>
        <v>4.2617799946872717E-2</v>
      </c>
      <c r="AU464" s="72">
        <f t="shared" si="273"/>
        <v>6.8214933659622723E-3</v>
      </c>
      <c r="AV464" s="73">
        <f t="shared" si="283"/>
        <v>1.0068214933659623</v>
      </c>
      <c r="AW464" s="74">
        <f>PRODUCT(AV$4:AV464)</f>
        <v>22.966374477576046</v>
      </c>
    </row>
    <row r="465" spans="5:49">
      <c r="E465">
        <f t="shared" si="290"/>
        <v>462</v>
      </c>
      <c r="F465" s="64">
        <f t="shared" si="274"/>
        <v>91.88</v>
      </c>
      <c r="G465" s="55">
        <f t="shared" si="262"/>
        <v>0</v>
      </c>
      <c r="H465" s="78">
        <f t="shared" si="289"/>
        <v>1</v>
      </c>
      <c r="I465" s="79">
        <f t="shared" si="275"/>
        <v>209479.41364964348</v>
      </c>
      <c r="J465" s="79">
        <f t="shared" si="263"/>
        <v>1428.9624305167097</v>
      </c>
      <c r="K465" s="80">
        <f t="shared" si="264"/>
        <v>-15</v>
      </c>
      <c r="L465" s="80">
        <f t="shared" si="276"/>
        <v>-174.56617804136957</v>
      </c>
      <c r="M465" s="80">
        <f t="shared" si="291"/>
        <v>0</v>
      </c>
      <c r="N465" s="80">
        <f t="shared" si="277"/>
        <v>-199.00544296716134</v>
      </c>
      <c r="O465" s="81">
        <f t="shared" si="265"/>
        <v>-2500.6101455486769</v>
      </c>
      <c r="P465" s="79">
        <f t="shared" si="266"/>
        <v>208019.19431360299</v>
      </c>
      <c r="Q465" s="35"/>
      <c r="R465">
        <f t="shared" ca="1" si="278"/>
        <v>587</v>
      </c>
      <c r="S465" s="78">
        <f t="shared" ca="1" si="279"/>
        <v>101.88</v>
      </c>
      <c r="T465" s="55">
        <f t="shared" ca="1" si="267"/>
        <v>6.4504460562804344E-2</v>
      </c>
      <c r="U465" s="78">
        <f t="shared" ca="1" si="284"/>
        <v>1.8451380023514613E-4</v>
      </c>
      <c r="V465" s="79">
        <f t="shared" ca="1" si="280"/>
        <v>0</v>
      </c>
      <c r="W465" s="79">
        <f t="shared" ca="1" si="268"/>
        <v>0</v>
      </c>
      <c r="X465" s="80">
        <f t="shared" ca="1" si="285"/>
        <v>0</v>
      </c>
      <c r="Y465" s="80">
        <f t="shared" ca="1" si="286"/>
        <v>0</v>
      </c>
      <c r="Z465" s="80">
        <f t="shared" ca="1" si="281"/>
        <v>0</v>
      </c>
      <c r="AA465" s="80">
        <f t="shared" ca="1" si="287"/>
        <v>0</v>
      </c>
      <c r="AB465" s="81">
        <f t="shared" ca="1" si="269"/>
        <v>0</v>
      </c>
      <c r="AC465" s="79">
        <f t="shared" ca="1" si="270"/>
        <v>0</v>
      </c>
      <c r="AD465" s="35"/>
      <c r="AE465" s="62">
        <f t="shared" ca="1" si="271"/>
        <v>0</v>
      </c>
      <c r="AF465" s="62">
        <f t="shared" ca="1" si="272"/>
        <v>0</v>
      </c>
      <c r="AG465" s="35"/>
      <c r="AH465" s="35"/>
      <c r="AR465" s="69">
        <f t="shared" si="282"/>
        <v>39</v>
      </c>
      <c r="AS465" s="70">
        <f t="shared" si="288"/>
        <v>462</v>
      </c>
      <c r="AT465" s="71">
        <f t="shared" si="261"/>
        <v>4.2327082907263218E-2</v>
      </c>
      <c r="AU465" s="72">
        <f t="shared" si="273"/>
        <v>6.8214933659622723E-3</v>
      </c>
      <c r="AV465" s="73">
        <f t="shared" si="283"/>
        <v>1.0068214933659623</v>
      </c>
      <c r="AW465" s="74">
        <f>PRODUCT(AV$4:AV465)</f>
        <v>23.123039448715037</v>
      </c>
    </row>
    <row r="466" spans="5:49">
      <c r="E466">
        <f t="shared" si="290"/>
        <v>463</v>
      </c>
      <c r="F466" s="64">
        <f t="shared" si="274"/>
        <v>91.96</v>
      </c>
      <c r="G466" s="55">
        <f t="shared" si="262"/>
        <v>0</v>
      </c>
      <c r="H466" s="78">
        <f t="shared" si="289"/>
        <v>1</v>
      </c>
      <c r="I466" s="79">
        <f t="shared" si="275"/>
        <v>208019.19431360299</v>
      </c>
      <c r="J466" s="79">
        <f t="shared" si="263"/>
        <v>1419.0015540030597</v>
      </c>
      <c r="K466" s="80">
        <f t="shared" si="264"/>
        <v>-15</v>
      </c>
      <c r="L466" s="80">
        <f t="shared" si="276"/>
        <v>-173.34932859466917</v>
      </c>
      <c r="M466" s="80">
        <f t="shared" si="291"/>
        <v>0</v>
      </c>
      <c r="N466" s="80">
        <f t="shared" si="277"/>
        <v>-197.61823459792288</v>
      </c>
      <c r="O466" s="81">
        <f t="shared" si="265"/>
        <v>-2500.6101455486769</v>
      </c>
      <c r="P466" s="79">
        <f t="shared" si="266"/>
        <v>206551.61815886479</v>
      </c>
      <c r="Q466" s="35"/>
      <c r="R466">
        <f t="shared" ca="1" si="278"/>
        <v>588</v>
      </c>
      <c r="S466" s="78">
        <f t="shared" ca="1" si="279"/>
        <v>101.96</v>
      </c>
      <c r="T466" s="55">
        <f t="shared" ca="1" si="267"/>
        <v>6.4504460562804344E-2</v>
      </c>
      <c r="U466" s="78">
        <f t="shared" ca="1" si="284"/>
        <v>1.72611837084585E-4</v>
      </c>
      <c r="V466" s="79">
        <f t="shared" ca="1" si="280"/>
        <v>0</v>
      </c>
      <c r="W466" s="79">
        <f t="shared" ca="1" si="268"/>
        <v>0</v>
      </c>
      <c r="X466" s="80">
        <f t="shared" ca="1" si="285"/>
        <v>0</v>
      </c>
      <c r="Y466" s="80">
        <f t="shared" ca="1" si="286"/>
        <v>0</v>
      </c>
      <c r="Z466" s="80">
        <f t="shared" ca="1" si="281"/>
        <v>0</v>
      </c>
      <c r="AA466" s="80">
        <f t="shared" ca="1" si="287"/>
        <v>0</v>
      </c>
      <c r="AB466" s="81">
        <f t="shared" ca="1" si="269"/>
        <v>0</v>
      </c>
      <c r="AC466" s="79">
        <f t="shared" ca="1" si="270"/>
        <v>0</v>
      </c>
      <c r="AD466" s="35"/>
      <c r="AE466" s="62">
        <f t="shared" ca="1" si="271"/>
        <v>0</v>
      </c>
      <c r="AF466" s="62">
        <f t="shared" ca="1" si="272"/>
        <v>0</v>
      </c>
      <c r="AG466" s="35"/>
      <c r="AH466" s="35"/>
      <c r="AR466" s="69">
        <f t="shared" si="282"/>
        <v>39</v>
      </c>
      <c r="AS466" s="70">
        <f t="shared" si="288"/>
        <v>463</v>
      </c>
      <c r="AT466" s="71">
        <f t="shared" si="261"/>
        <v>4.2038348992010789E-2</v>
      </c>
      <c r="AU466" s="72">
        <f t="shared" si="273"/>
        <v>6.8214933659622723E-3</v>
      </c>
      <c r="AV466" s="73">
        <f t="shared" si="283"/>
        <v>1.0068214933659623</v>
      </c>
      <c r="AW466" s="74">
        <f>PRODUCT(AV$4:AV466)</f>
        <v>23.28077310891533</v>
      </c>
    </row>
    <row r="467" spans="5:49">
      <c r="E467">
        <f t="shared" si="290"/>
        <v>464</v>
      </c>
      <c r="F467" s="64">
        <f t="shared" si="274"/>
        <v>92.04</v>
      </c>
      <c r="G467" s="55">
        <f t="shared" si="262"/>
        <v>0</v>
      </c>
      <c r="H467" s="78">
        <f t="shared" si="289"/>
        <v>1</v>
      </c>
      <c r="I467" s="79">
        <f t="shared" si="275"/>
        <v>206551.61815886479</v>
      </c>
      <c r="J467" s="79">
        <f t="shared" si="263"/>
        <v>1408.9904929994686</v>
      </c>
      <c r="K467" s="80">
        <f t="shared" si="264"/>
        <v>-15</v>
      </c>
      <c r="L467" s="80">
        <f t="shared" si="276"/>
        <v>-172.12634846572067</v>
      </c>
      <c r="M467" s="80">
        <f t="shared" si="291"/>
        <v>0</v>
      </c>
      <c r="N467" s="80">
        <f t="shared" si="277"/>
        <v>-196.22403725092158</v>
      </c>
      <c r="O467" s="81">
        <f t="shared" si="265"/>
        <v>-2500.6101455486769</v>
      </c>
      <c r="P467" s="79">
        <f t="shared" si="266"/>
        <v>205076.64812059895</v>
      </c>
      <c r="Q467" s="35"/>
      <c r="R467">
        <f t="shared" ca="1" si="278"/>
        <v>589</v>
      </c>
      <c r="S467" s="78">
        <f t="shared" ca="1" si="279"/>
        <v>102.04</v>
      </c>
      <c r="T467" s="55">
        <f t="shared" ca="1" si="267"/>
        <v>6.4504460562804344E-2</v>
      </c>
      <c r="U467" s="78">
        <f t="shared" ca="1" si="284"/>
        <v>1.6147760364668918E-4</v>
      </c>
      <c r="V467" s="79">
        <f t="shared" ca="1" si="280"/>
        <v>0</v>
      </c>
      <c r="W467" s="79">
        <f t="shared" ca="1" si="268"/>
        <v>0</v>
      </c>
      <c r="X467" s="80">
        <f t="shared" ca="1" si="285"/>
        <v>0</v>
      </c>
      <c r="Y467" s="80">
        <f t="shared" ca="1" si="286"/>
        <v>0</v>
      </c>
      <c r="Z467" s="80">
        <f t="shared" ca="1" si="281"/>
        <v>0</v>
      </c>
      <c r="AA467" s="80">
        <f t="shared" ca="1" si="287"/>
        <v>0</v>
      </c>
      <c r="AB467" s="81">
        <f t="shared" ca="1" si="269"/>
        <v>0</v>
      </c>
      <c r="AC467" s="79">
        <f t="shared" ca="1" si="270"/>
        <v>0</v>
      </c>
      <c r="AD467" s="35"/>
      <c r="AE467" s="62">
        <f t="shared" ca="1" si="271"/>
        <v>0</v>
      </c>
      <c r="AF467" s="62">
        <f t="shared" ca="1" si="272"/>
        <v>0</v>
      </c>
      <c r="AG467" s="35"/>
      <c r="AH467" s="35"/>
      <c r="AR467" s="69">
        <f t="shared" si="282"/>
        <v>39</v>
      </c>
      <c r="AS467" s="70">
        <f t="shared" si="288"/>
        <v>464</v>
      </c>
      <c r="AT467" s="71">
        <f t="shared" si="261"/>
        <v>4.175158467324578E-2</v>
      </c>
      <c r="AU467" s="72">
        <f t="shared" si="273"/>
        <v>6.8214933659622723E-3</v>
      </c>
      <c r="AV467" s="73">
        <f t="shared" si="283"/>
        <v>1.0068214933659623</v>
      </c>
      <c r="AW467" s="74">
        <f>PRODUCT(AV$4:AV467)</f>
        <v>23.439582748232269</v>
      </c>
    </row>
    <row r="468" spans="5:49">
      <c r="E468">
        <f t="shared" si="290"/>
        <v>465</v>
      </c>
      <c r="F468" s="64">
        <f t="shared" si="274"/>
        <v>92.12</v>
      </c>
      <c r="G468" s="55">
        <f t="shared" si="262"/>
        <v>0</v>
      </c>
      <c r="H468" s="78">
        <f t="shared" si="289"/>
        <v>1</v>
      </c>
      <c r="I468" s="79">
        <f t="shared" si="275"/>
        <v>205076.64812059895</v>
      </c>
      <c r="J468" s="79">
        <f t="shared" si="263"/>
        <v>1398.9289946684451</v>
      </c>
      <c r="K468" s="80">
        <f t="shared" si="264"/>
        <v>-15</v>
      </c>
      <c r="L468" s="80">
        <f t="shared" si="276"/>
        <v>-170.89720676716581</v>
      </c>
      <c r="M468" s="80">
        <f t="shared" si="291"/>
        <v>0</v>
      </c>
      <c r="N468" s="80">
        <f t="shared" si="277"/>
        <v>-194.82281571456906</v>
      </c>
      <c r="O468" s="81">
        <f t="shared" si="265"/>
        <v>-2500.6101455486769</v>
      </c>
      <c r="P468" s="79">
        <f t="shared" si="266"/>
        <v>203594.24694723697</v>
      </c>
      <c r="Q468" s="35"/>
      <c r="R468">
        <f t="shared" ca="1" si="278"/>
        <v>590</v>
      </c>
      <c r="S468" s="78">
        <f t="shared" ca="1" si="279"/>
        <v>102.12</v>
      </c>
      <c r="T468" s="55">
        <f t="shared" ca="1" si="267"/>
        <v>6.4504460562804344E-2</v>
      </c>
      <c r="U468" s="78">
        <f t="shared" ca="1" si="284"/>
        <v>1.5106157793048518E-4</v>
      </c>
      <c r="V468" s="79">
        <f t="shared" ca="1" si="280"/>
        <v>0</v>
      </c>
      <c r="W468" s="79">
        <f t="shared" ca="1" si="268"/>
        <v>0</v>
      </c>
      <c r="X468" s="80">
        <f t="shared" ca="1" si="285"/>
        <v>0</v>
      </c>
      <c r="Y468" s="80">
        <f t="shared" ca="1" si="286"/>
        <v>0</v>
      </c>
      <c r="Z468" s="80">
        <f t="shared" ca="1" si="281"/>
        <v>0</v>
      </c>
      <c r="AA468" s="80">
        <f t="shared" ca="1" si="287"/>
        <v>0</v>
      </c>
      <c r="AB468" s="81">
        <f t="shared" ca="1" si="269"/>
        <v>0</v>
      </c>
      <c r="AC468" s="79">
        <f t="shared" ca="1" si="270"/>
        <v>0</v>
      </c>
      <c r="AD468" s="35"/>
      <c r="AE468" s="62">
        <f t="shared" ca="1" si="271"/>
        <v>0</v>
      </c>
      <c r="AF468" s="62">
        <f t="shared" ca="1" si="272"/>
        <v>0</v>
      </c>
      <c r="AG468" s="35"/>
      <c r="AH468" s="35"/>
      <c r="AR468" s="69">
        <f t="shared" si="282"/>
        <v>39</v>
      </c>
      <c r="AS468" s="70">
        <f t="shared" si="288"/>
        <v>465</v>
      </c>
      <c r="AT468" s="71">
        <f t="shared" si="261"/>
        <v>4.146677651537882E-2</v>
      </c>
      <c r="AU468" s="72">
        <f t="shared" si="273"/>
        <v>6.8214933659622723E-3</v>
      </c>
      <c r="AV468" s="73">
        <f t="shared" si="283"/>
        <v>1.0068214933659623</v>
      </c>
      <c r="AW468" s="74">
        <f>PRODUCT(AV$4:AV468)</f>
        <v>23.59947570645026</v>
      </c>
    </row>
    <row r="469" spans="5:49">
      <c r="E469">
        <f t="shared" si="290"/>
        <v>466</v>
      </c>
      <c r="F469" s="64">
        <f t="shared" si="274"/>
        <v>92.2</v>
      </c>
      <c r="G469" s="55">
        <f t="shared" si="262"/>
        <v>0</v>
      </c>
      <c r="H469" s="78">
        <f t="shared" si="289"/>
        <v>1</v>
      </c>
      <c r="I469" s="79">
        <f t="shared" si="275"/>
        <v>203594.24694723697</v>
      </c>
      <c r="J469" s="79">
        <f t="shared" si="263"/>
        <v>1388.8168048986615</v>
      </c>
      <c r="K469" s="80">
        <f t="shared" si="264"/>
        <v>-15</v>
      </c>
      <c r="L469" s="80">
        <f t="shared" si="276"/>
        <v>-169.66187245603081</v>
      </c>
      <c r="M469" s="80">
        <f t="shared" si="291"/>
        <v>0</v>
      </c>
      <c r="N469" s="80">
        <f t="shared" si="277"/>
        <v>-193.41453459987517</v>
      </c>
      <c r="O469" s="81">
        <f t="shared" si="265"/>
        <v>-2500.6101455486769</v>
      </c>
      <c r="P469" s="79">
        <f t="shared" si="266"/>
        <v>202104.37719953107</v>
      </c>
      <c r="Q469" s="35"/>
      <c r="R469">
        <f t="shared" ca="1" si="278"/>
        <v>591</v>
      </c>
      <c r="S469" s="78">
        <f t="shared" ca="1" si="279"/>
        <v>102.2</v>
      </c>
      <c r="T469" s="55">
        <f t="shared" ca="1" si="267"/>
        <v>6.4504460562804344E-2</v>
      </c>
      <c r="U469" s="78">
        <f t="shared" ca="1" si="284"/>
        <v>1.413174323343132E-4</v>
      </c>
      <c r="V469" s="79">
        <f t="shared" ca="1" si="280"/>
        <v>0</v>
      </c>
      <c r="W469" s="79">
        <f t="shared" ca="1" si="268"/>
        <v>0</v>
      </c>
      <c r="X469" s="80">
        <f t="shared" ca="1" si="285"/>
        <v>0</v>
      </c>
      <c r="Y469" s="80">
        <f t="shared" ca="1" si="286"/>
        <v>0</v>
      </c>
      <c r="Z469" s="80">
        <f t="shared" ca="1" si="281"/>
        <v>0</v>
      </c>
      <c r="AA469" s="80">
        <f t="shared" ca="1" si="287"/>
        <v>0</v>
      </c>
      <c r="AB469" s="81">
        <f t="shared" ca="1" si="269"/>
        <v>0</v>
      </c>
      <c r="AC469" s="79">
        <f t="shared" ca="1" si="270"/>
        <v>0</v>
      </c>
      <c r="AD469" s="35"/>
      <c r="AE469" s="62">
        <f t="shared" ca="1" si="271"/>
        <v>0</v>
      </c>
      <c r="AF469" s="62">
        <f t="shared" ca="1" si="272"/>
        <v>0</v>
      </c>
      <c r="AG469" s="35"/>
      <c r="AH469" s="35"/>
      <c r="AR469" s="69">
        <f t="shared" si="282"/>
        <v>39</v>
      </c>
      <c r="AS469" s="70">
        <f t="shared" si="288"/>
        <v>466</v>
      </c>
      <c r="AT469" s="71">
        <f t="shared" si="261"/>
        <v>4.1183911174471323E-2</v>
      </c>
      <c r="AU469" s="72">
        <f t="shared" si="273"/>
        <v>6.8214933659622723E-3</v>
      </c>
      <c r="AV469" s="73">
        <f t="shared" si="283"/>
        <v>1.0068214933659623</v>
      </c>
      <c r="AW469" s="74">
        <f>PRODUCT(AV$4:AV469)</f>
        <v>23.760459373421998</v>
      </c>
    </row>
    <row r="470" spans="5:49">
      <c r="E470">
        <f t="shared" si="290"/>
        <v>467</v>
      </c>
      <c r="F470" s="64">
        <f t="shared" si="274"/>
        <v>92.28</v>
      </c>
      <c r="G470" s="55">
        <f t="shared" si="262"/>
        <v>0</v>
      </c>
      <c r="H470" s="78">
        <f t="shared" si="289"/>
        <v>1</v>
      </c>
      <c r="I470" s="79">
        <f t="shared" si="275"/>
        <v>202104.37719953107</v>
      </c>
      <c r="J470" s="79">
        <f t="shared" si="263"/>
        <v>1378.6536682985379</v>
      </c>
      <c r="K470" s="80">
        <f t="shared" si="264"/>
        <v>-15</v>
      </c>
      <c r="L470" s="80">
        <f t="shared" si="276"/>
        <v>-168.42031433294255</v>
      </c>
      <c r="M470" s="80">
        <f t="shared" si="291"/>
        <v>0</v>
      </c>
      <c r="N470" s="80">
        <f t="shared" si="277"/>
        <v>-191.99915833955455</v>
      </c>
      <c r="O470" s="81">
        <f t="shared" si="265"/>
        <v>-2500.6101455486769</v>
      </c>
      <c r="P470" s="79">
        <f t="shared" si="266"/>
        <v>200607.00124960844</v>
      </c>
      <c r="Q470" s="35"/>
      <c r="R470">
        <f t="shared" ca="1" si="278"/>
        <v>592</v>
      </c>
      <c r="S470" s="78">
        <f t="shared" ca="1" si="279"/>
        <v>102.28</v>
      </c>
      <c r="T470" s="55">
        <f t="shared" ca="1" si="267"/>
        <v>6.4504460562804344E-2</v>
      </c>
      <c r="U470" s="78">
        <f t="shared" ca="1" si="284"/>
        <v>1.3220182759346772E-4</v>
      </c>
      <c r="V470" s="79">
        <f t="shared" ca="1" si="280"/>
        <v>0</v>
      </c>
      <c r="W470" s="79">
        <f t="shared" ca="1" si="268"/>
        <v>0</v>
      </c>
      <c r="X470" s="80">
        <f t="shared" ca="1" si="285"/>
        <v>0</v>
      </c>
      <c r="Y470" s="80">
        <f t="shared" ca="1" si="286"/>
        <v>0</v>
      </c>
      <c r="Z470" s="80">
        <f t="shared" ca="1" si="281"/>
        <v>0</v>
      </c>
      <c r="AA470" s="80">
        <f t="shared" ca="1" si="287"/>
        <v>0</v>
      </c>
      <c r="AB470" s="81">
        <f t="shared" ca="1" si="269"/>
        <v>0</v>
      </c>
      <c r="AC470" s="79">
        <f t="shared" ca="1" si="270"/>
        <v>0</v>
      </c>
      <c r="AD470" s="35"/>
      <c r="AE470" s="62">
        <f t="shared" ca="1" si="271"/>
        <v>0</v>
      </c>
      <c r="AF470" s="62">
        <f t="shared" ca="1" si="272"/>
        <v>0</v>
      </c>
      <c r="AG470" s="35"/>
      <c r="AH470" s="35"/>
      <c r="AR470" s="69">
        <f t="shared" si="282"/>
        <v>39</v>
      </c>
      <c r="AS470" s="70">
        <f t="shared" si="288"/>
        <v>467</v>
      </c>
      <c r="AT470" s="71">
        <f t="shared" si="261"/>
        <v>4.0902975397610286E-2</v>
      </c>
      <c r="AU470" s="72">
        <f t="shared" si="273"/>
        <v>6.8214933659622723E-3</v>
      </c>
      <c r="AV470" s="73">
        <f t="shared" si="283"/>
        <v>1.0068214933659623</v>
      </c>
      <c r="AW470" s="74">
        <f>PRODUCT(AV$4:AV470)</f>
        <v>23.922541189410012</v>
      </c>
    </row>
    <row r="471" spans="5:49">
      <c r="E471">
        <f t="shared" si="290"/>
        <v>468</v>
      </c>
      <c r="F471" s="64">
        <f t="shared" si="274"/>
        <v>92.36</v>
      </c>
      <c r="G471" s="55">
        <f t="shared" si="262"/>
        <v>0</v>
      </c>
      <c r="H471" s="78">
        <f t="shared" si="289"/>
        <v>1</v>
      </c>
      <c r="I471" s="79">
        <f t="shared" si="275"/>
        <v>200607.00124960844</v>
      </c>
      <c r="J471" s="79">
        <f t="shared" si="263"/>
        <v>1368.4393281897892</v>
      </c>
      <c r="K471" s="80">
        <f t="shared" si="264"/>
        <v>-15</v>
      </c>
      <c r="L471" s="80">
        <f t="shared" si="276"/>
        <v>-167.17250104134038</v>
      </c>
      <c r="M471" s="80">
        <f t="shared" si="291"/>
        <v>0</v>
      </c>
      <c r="N471" s="80">
        <f t="shared" si="277"/>
        <v>-190.57665118712805</v>
      </c>
      <c r="O471" s="81">
        <f t="shared" si="265"/>
        <v>-2500.6101455486769</v>
      </c>
      <c r="P471" s="79">
        <f t="shared" si="266"/>
        <v>199102.08128002108</v>
      </c>
      <c r="Q471" s="35"/>
      <c r="R471">
        <f t="shared" ca="1" si="278"/>
        <v>593</v>
      </c>
      <c r="S471" s="78">
        <f t="shared" ca="1" si="279"/>
        <v>102.36</v>
      </c>
      <c r="T471" s="55">
        <f t="shared" ca="1" si="267"/>
        <v>6.4504460562804344E-2</v>
      </c>
      <c r="U471" s="78">
        <f t="shared" ca="1" si="284"/>
        <v>1.2367422001913423E-4</v>
      </c>
      <c r="V471" s="79">
        <f t="shared" ca="1" si="280"/>
        <v>0</v>
      </c>
      <c r="W471" s="79">
        <f t="shared" ca="1" si="268"/>
        <v>0</v>
      </c>
      <c r="X471" s="80">
        <f t="shared" ca="1" si="285"/>
        <v>0</v>
      </c>
      <c r="Y471" s="80">
        <f t="shared" ca="1" si="286"/>
        <v>0</v>
      </c>
      <c r="Z471" s="80">
        <f t="shared" ca="1" si="281"/>
        <v>0</v>
      </c>
      <c r="AA471" s="80">
        <f t="shared" ca="1" si="287"/>
        <v>0</v>
      </c>
      <c r="AB471" s="81">
        <f t="shared" ca="1" si="269"/>
        <v>0</v>
      </c>
      <c r="AC471" s="79">
        <f t="shared" ca="1" si="270"/>
        <v>0</v>
      </c>
      <c r="AD471" s="35"/>
      <c r="AE471" s="62">
        <f t="shared" ca="1" si="271"/>
        <v>0</v>
      </c>
      <c r="AF471" s="62">
        <f t="shared" ca="1" si="272"/>
        <v>0</v>
      </c>
      <c r="AG471" s="35"/>
      <c r="AH471" s="35"/>
      <c r="AR471" s="69">
        <f t="shared" si="282"/>
        <v>39</v>
      </c>
      <c r="AS471" s="70">
        <f t="shared" si="288"/>
        <v>468</v>
      </c>
      <c r="AT471" s="71">
        <f t="shared" si="261"/>
        <v>4.0623956022287369E-2</v>
      </c>
      <c r="AU471" s="72">
        <f t="shared" si="273"/>
        <v>6.8214933659622723E-3</v>
      </c>
      <c r="AV471" s="73">
        <f t="shared" si="283"/>
        <v>1.0068214933659623</v>
      </c>
      <c r="AW471" s="74">
        <f>PRODUCT(AV$4:AV471)</f>
        <v>24.085728645430532</v>
      </c>
    </row>
    <row r="472" spans="5:49">
      <c r="E472">
        <f t="shared" si="290"/>
        <v>469</v>
      </c>
      <c r="F472" s="64">
        <f t="shared" si="274"/>
        <v>92.44</v>
      </c>
      <c r="G472" s="55">
        <f t="shared" si="262"/>
        <v>0</v>
      </c>
      <c r="H472" s="78">
        <f t="shared" si="289"/>
        <v>1</v>
      </c>
      <c r="I472" s="79">
        <f t="shared" si="275"/>
        <v>199102.08128002108</v>
      </c>
      <c r="J472" s="79">
        <f t="shared" si="263"/>
        <v>1358.173526600945</v>
      </c>
      <c r="K472" s="80">
        <f t="shared" si="264"/>
        <v>-15</v>
      </c>
      <c r="L472" s="80">
        <f t="shared" si="276"/>
        <v>-165.91840106668425</v>
      </c>
      <c r="M472" s="80">
        <f t="shared" si="291"/>
        <v>-1493.2656096001581</v>
      </c>
      <c r="N472" s="80">
        <f t="shared" si="277"/>
        <v>-189.14697721602008</v>
      </c>
      <c r="O472" s="81">
        <f t="shared" si="265"/>
        <v>-2500.6101455486769</v>
      </c>
      <c r="P472" s="79">
        <f t="shared" si="266"/>
        <v>196096.31367319048</v>
      </c>
      <c r="Q472" s="35"/>
      <c r="R472">
        <f t="shared" ca="1" si="278"/>
        <v>594</v>
      </c>
      <c r="S472" s="78">
        <f t="shared" ca="1" si="279"/>
        <v>102.44</v>
      </c>
      <c r="T472" s="55">
        <f t="shared" ca="1" si="267"/>
        <v>6.4504460562804344E-2</v>
      </c>
      <c r="U472" s="78">
        <f t="shared" ca="1" si="284"/>
        <v>1.156966811712744E-4</v>
      </c>
      <c r="V472" s="79">
        <f t="shared" ca="1" si="280"/>
        <v>0</v>
      </c>
      <c r="W472" s="79">
        <f t="shared" ca="1" si="268"/>
        <v>0</v>
      </c>
      <c r="X472" s="80">
        <f t="shared" ca="1" si="285"/>
        <v>0</v>
      </c>
      <c r="Y472" s="80">
        <f t="shared" ca="1" si="286"/>
        <v>0</v>
      </c>
      <c r="Z472" s="80">
        <f t="shared" ca="1" si="281"/>
        <v>0</v>
      </c>
      <c r="AA472" s="80">
        <f t="shared" ca="1" si="287"/>
        <v>0</v>
      </c>
      <c r="AB472" s="81">
        <f t="shared" ca="1" si="269"/>
        <v>0</v>
      </c>
      <c r="AC472" s="79">
        <f t="shared" ca="1" si="270"/>
        <v>0</v>
      </c>
      <c r="AD472" s="35"/>
      <c r="AE472" s="62">
        <f t="shared" ca="1" si="271"/>
        <v>0</v>
      </c>
      <c r="AF472" s="62">
        <f t="shared" ca="1" si="272"/>
        <v>0</v>
      </c>
      <c r="AG472" s="35"/>
      <c r="AH472" s="35"/>
      <c r="AR472" s="69">
        <f t="shared" si="282"/>
        <v>40</v>
      </c>
      <c r="AS472" s="70">
        <f t="shared" si="288"/>
        <v>469</v>
      </c>
      <c r="AT472" s="71">
        <f t="shared" si="261"/>
        <v>4.0346839975782194E-2</v>
      </c>
      <c r="AU472" s="72">
        <f t="shared" si="273"/>
        <v>6.8214933659622723E-3</v>
      </c>
      <c r="AV472" s="73">
        <f t="shared" si="283"/>
        <v>1.0068214933659623</v>
      </c>
      <c r="AW472" s="74">
        <f>PRODUCT(AV$4:AV472)</f>
        <v>24.250029283599705</v>
      </c>
    </row>
    <row r="473" spans="5:49">
      <c r="E473">
        <f t="shared" si="290"/>
        <v>470</v>
      </c>
      <c r="F473" s="64">
        <f t="shared" si="274"/>
        <v>92.52</v>
      </c>
      <c r="G473" s="55">
        <f t="shared" si="262"/>
        <v>0</v>
      </c>
      <c r="H473" s="78">
        <f t="shared" si="289"/>
        <v>1</v>
      </c>
      <c r="I473" s="79">
        <f t="shared" si="275"/>
        <v>196096.31367319048</v>
      </c>
      <c r="J473" s="79">
        <f t="shared" si="263"/>
        <v>1337.6697028113258</v>
      </c>
      <c r="K473" s="80">
        <f t="shared" si="264"/>
        <v>-15</v>
      </c>
      <c r="L473" s="80">
        <f t="shared" si="276"/>
        <v>-163.41359472765873</v>
      </c>
      <c r="M473" s="80">
        <f t="shared" si="291"/>
        <v>0</v>
      </c>
      <c r="N473" s="80">
        <f t="shared" si="277"/>
        <v>-186.291497989531</v>
      </c>
      <c r="O473" s="81">
        <f t="shared" si="265"/>
        <v>-2500.6101455486769</v>
      </c>
      <c r="P473" s="79">
        <f t="shared" si="266"/>
        <v>194568.66813773592</v>
      </c>
      <c r="Q473" s="35"/>
      <c r="R473">
        <f t="shared" ca="1" si="278"/>
        <v>595</v>
      </c>
      <c r="S473" s="78">
        <f t="shared" ca="1" si="279"/>
        <v>102.52</v>
      </c>
      <c r="T473" s="55">
        <f t="shared" ca="1" si="267"/>
        <v>7.0818821105846697E-2</v>
      </c>
      <c r="U473" s="78">
        <f t="shared" ca="1" si="284"/>
        <v>1.0750317860486574E-4</v>
      </c>
      <c r="V473" s="79">
        <f t="shared" ca="1" si="280"/>
        <v>0</v>
      </c>
      <c r="W473" s="79">
        <f t="shared" ca="1" si="268"/>
        <v>0</v>
      </c>
      <c r="X473" s="80">
        <f t="shared" ca="1" si="285"/>
        <v>0</v>
      </c>
      <c r="Y473" s="80">
        <f t="shared" ca="1" si="286"/>
        <v>0</v>
      </c>
      <c r="Z473" s="80">
        <f t="shared" ca="1" si="281"/>
        <v>0</v>
      </c>
      <c r="AA473" s="80">
        <f t="shared" ca="1" si="287"/>
        <v>0</v>
      </c>
      <c r="AB473" s="81">
        <f t="shared" ca="1" si="269"/>
        <v>0</v>
      </c>
      <c r="AC473" s="79">
        <f t="shared" ca="1" si="270"/>
        <v>0</v>
      </c>
      <c r="AD473" s="35"/>
      <c r="AE473" s="62">
        <f t="shared" ca="1" si="271"/>
        <v>0</v>
      </c>
      <c r="AF473" s="62">
        <f t="shared" ca="1" si="272"/>
        <v>0</v>
      </c>
      <c r="AG473" s="35"/>
      <c r="AH473" s="35"/>
      <c r="AR473" s="69">
        <f t="shared" si="282"/>
        <v>40</v>
      </c>
      <c r="AS473" s="70">
        <f t="shared" si="288"/>
        <v>470</v>
      </c>
      <c r="AT473" s="71">
        <f t="shared" si="261"/>
        <v>4.0071614274549854E-2</v>
      </c>
      <c r="AU473" s="72">
        <f t="shared" si="273"/>
        <v>6.8214933659622723E-3</v>
      </c>
      <c r="AV473" s="73">
        <f t="shared" si="283"/>
        <v>1.0068214933659623</v>
      </c>
      <c r="AW473" s="74">
        <f>PRODUCT(AV$4:AV473)</f>
        <v>24.415450697482171</v>
      </c>
    </row>
    <row r="474" spans="5:49">
      <c r="E474">
        <f t="shared" si="290"/>
        <v>471</v>
      </c>
      <c r="F474" s="64">
        <f t="shared" si="274"/>
        <v>92.6</v>
      </c>
      <c r="G474" s="55">
        <f t="shared" si="262"/>
        <v>0</v>
      </c>
      <c r="H474" s="78">
        <f t="shared" si="289"/>
        <v>1</v>
      </c>
      <c r="I474" s="79">
        <f t="shared" si="275"/>
        <v>194568.66813773592</v>
      </c>
      <c r="J474" s="79">
        <f t="shared" si="263"/>
        <v>1327.2488789256806</v>
      </c>
      <c r="K474" s="80">
        <f t="shared" si="264"/>
        <v>-15</v>
      </c>
      <c r="L474" s="80">
        <f t="shared" si="276"/>
        <v>-162.14055678144661</v>
      </c>
      <c r="M474" s="80">
        <f t="shared" si="291"/>
        <v>0</v>
      </c>
      <c r="N474" s="80">
        <f t="shared" si="277"/>
        <v>-184.84023473084915</v>
      </c>
      <c r="O474" s="81">
        <f t="shared" si="265"/>
        <v>-2500.6101455486769</v>
      </c>
      <c r="P474" s="79">
        <f t="shared" si="266"/>
        <v>193033.32607960064</v>
      </c>
      <c r="Q474" s="35"/>
      <c r="R474">
        <f t="shared" ca="1" si="278"/>
        <v>596</v>
      </c>
      <c r="S474" s="78">
        <f t="shared" ca="1" si="279"/>
        <v>102.6</v>
      </c>
      <c r="T474" s="55">
        <f t="shared" ca="1" si="267"/>
        <v>7.0818821105846697E-2</v>
      </c>
      <c r="U474" s="78">
        <f t="shared" ca="1" si="284"/>
        <v>9.9889930230937871E-5</v>
      </c>
      <c r="V474" s="79">
        <f t="shared" ca="1" si="280"/>
        <v>0</v>
      </c>
      <c r="W474" s="79">
        <f t="shared" ca="1" si="268"/>
        <v>0</v>
      </c>
      <c r="X474" s="80">
        <f t="shared" ca="1" si="285"/>
        <v>0</v>
      </c>
      <c r="Y474" s="80">
        <f t="shared" ca="1" si="286"/>
        <v>0</v>
      </c>
      <c r="Z474" s="80">
        <f t="shared" ca="1" si="281"/>
        <v>0</v>
      </c>
      <c r="AA474" s="80">
        <f t="shared" ca="1" si="287"/>
        <v>0</v>
      </c>
      <c r="AB474" s="81">
        <f t="shared" ca="1" si="269"/>
        <v>0</v>
      </c>
      <c r="AC474" s="79">
        <f t="shared" ca="1" si="270"/>
        <v>0</v>
      </c>
      <c r="AD474" s="35"/>
      <c r="AE474" s="62">
        <f t="shared" ca="1" si="271"/>
        <v>0</v>
      </c>
      <c r="AF474" s="62">
        <f t="shared" ca="1" si="272"/>
        <v>0</v>
      </c>
      <c r="AG474" s="35"/>
      <c r="AH474" s="35"/>
      <c r="AR474" s="69">
        <f t="shared" si="282"/>
        <v>40</v>
      </c>
      <c r="AS474" s="70">
        <f t="shared" si="288"/>
        <v>471</v>
      </c>
      <c r="AT474" s="71">
        <f t="shared" si="261"/>
        <v>3.9798266023612611E-2</v>
      </c>
      <c r="AU474" s="72">
        <f t="shared" si="273"/>
        <v>6.8214933659622723E-3</v>
      </c>
      <c r="AV474" s="73">
        <f t="shared" si="283"/>
        <v>1.0068214933659623</v>
      </c>
      <c r="AW474" s="74">
        <f>PRODUCT(AV$4:AV474)</f>
        <v>24.582000532442024</v>
      </c>
    </row>
    <row r="475" spans="5:49">
      <c r="E475">
        <f t="shared" si="290"/>
        <v>472</v>
      </c>
      <c r="F475" s="64">
        <f t="shared" si="274"/>
        <v>92.68</v>
      </c>
      <c r="G475" s="55">
        <f t="shared" si="262"/>
        <v>0</v>
      </c>
      <c r="H475" s="78">
        <f t="shared" si="289"/>
        <v>1</v>
      </c>
      <c r="I475" s="79">
        <f t="shared" si="275"/>
        <v>193033.32607960064</v>
      </c>
      <c r="J475" s="79">
        <f t="shared" si="263"/>
        <v>1316.7755532616279</v>
      </c>
      <c r="K475" s="80">
        <f t="shared" si="264"/>
        <v>-15</v>
      </c>
      <c r="L475" s="80">
        <f t="shared" si="276"/>
        <v>-160.86110506633386</v>
      </c>
      <c r="M475" s="80">
        <f t="shared" si="291"/>
        <v>0</v>
      </c>
      <c r="N475" s="80">
        <f t="shared" si="277"/>
        <v>-183.38165977562065</v>
      </c>
      <c r="O475" s="81">
        <f t="shared" si="265"/>
        <v>-2500.6101455486769</v>
      </c>
      <c r="P475" s="79">
        <f t="shared" si="266"/>
        <v>191490.24872247162</v>
      </c>
      <c r="Q475" s="35"/>
      <c r="R475">
        <f t="shared" ca="1" si="278"/>
        <v>597</v>
      </c>
      <c r="S475" s="78">
        <f t="shared" ca="1" si="279"/>
        <v>102.68</v>
      </c>
      <c r="T475" s="55">
        <f t="shared" ca="1" si="267"/>
        <v>7.0818821105846697E-2</v>
      </c>
      <c r="U475" s="78">
        <f t="shared" ca="1" si="284"/>
        <v>9.2815843131637571E-5</v>
      </c>
      <c r="V475" s="79">
        <f t="shared" ca="1" si="280"/>
        <v>0</v>
      </c>
      <c r="W475" s="79">
        <f t="shared" ca="1" si="268"/>
        <v>0</v>
      </c>
      <c r="X475" s="80">
        <f t="shared" ca="1" si="285"/>
        <v>0</v>
      </c>
      <c r="Y475" s="80">
        <f t="shared" ca="1" si="286"/>
        <v>0</v>
      </c>
      <c r="Z475" s="80">
        <f t="shared" ca="1" si="281"/>
        <v>0</v>
      </c>
      <c r="AA475" s="80">
        <f t="shared" ca="1" si="287"/>
        <v>0</v>
      </c>
      <c r="AB475" s="81">
        <f t="shared" ca="1" si="269"/>
        <v>0</v>
      </c>
      <c r="AC475" s="79">
        <f t="shared" ca="1" si="270"/>
        <v>0</v>
      </c>
      <c r="AD475" s="35"/>
      <c r="AE475" s="62">
        <f t="shared" ca="1" si="271"/>
        <v>0</v>
      </c>
      <c r="AF475" s="62">
        <f t="shared" ca="1" si="272"/>
        <v>0</v>
      </c>
      <c r="AG475" s="35"/>
      <c r="AH475" s="35"/>
      <c r="AR475" s="69">
        <f t="shared" si="282"/>
        <v>40</v>
      </c>
      <c r="AS475" s="70">
        <f t="shared" si="288"/>
        <v>472</v>
      </c>
      <c r="AT475" s="71">
        <f t="shared" si="261"/>
        <v>3.9526782415955738E-2</v>
      </c>
      <c r="AU475" s="72">
        <f t="shared" si="273"/>
        <v>6.8214933659622723E-3</v>
      </c>
      <c r="AV475" s="73">
        <f t="shared" si="283"/>
        <v>1.0068214933659623</v>
      </c>
      <c r="AW475" s="74">
        <f>PRODUCT(AV$4:AV475)</f>
        <v>24.749686485996158</v>
      </c>
    </row>
    <row r="476" spans="5:49">
      <c r="E476">
        <f t="shared" si="290"/>
        <v>473</v>
      </c>
      <c r="F476" s="64">
        <f t="shared" si="274"/>
        <v>92.76</v>
      </c>
      <c r="G476" s="55">
        <f t="shared" si="262"/>
        <v>0</v>
      </c>
      <c r="H476" s="78">
        <f t="shared" si="289"/>
        <v>1</v>
      </c>
      <c r="I476" s="79">
        <f t="shared" si="275"/>
        <v>191490.24872247162</v>
      </c>
      <c r="J476" s="79">
        <f t="shared" si="263"/>
        <v>1306.2494613068056</v>
      </c>
      <c r="K476" s="80">
        <f t="shared" si="264"/>
        <v>-15</v>
      </c>
      <c r="L476" s="80">
        <f t="shared" si="276"/>
        <v>-159.57520726872636</v>
      </c>
      <c r="M476" s="80">
        <f t="shared" si="291"/>
        <v>0</v>
      </c>
      <c r="N476" s="80">
        <f t="shared" si="277"/>
        <v>-181.91573628634808</v>
      </c>
      <c r="O476" s="81">
        <f t="shared" si="265"/>
        <v>-2500.6101455486769</v>
      </c>
      <c r="P476" s="79">
        <f t="shared" si="266"/>
        <v>189939.39709467467</v>
      </c>
      <c r="Q476" s="35"/>
      <c r="R476">
        <f t="shared" ca="1" si="278"/>
        <v>598</v>
      </c>
      <c r="S476" s="78">
        <f t="shared" ca="1" si="279"/>
        <v>102.76</v>
      </c>
      <c r="T476" s="55">
        <f t="shared" ca="1" si="267"/>
        <v>7.0818821105846697E-2</v>
      </c>
      <c r="U476" s="78">
        <f t="shared" ca="1" si="284"/>
        <v>8.62427345411098E-5</v>
      </c>
      <c r="V476" s="79">
        <f t="shared" ca="1" si="280"/>
        <v>0</v>
      </c>
      <c r="W476" s="79">
        <f t="shared" ca="1" si="268"/>
        <v>0</v>
      </c>
      <c r="X476" s="80">
        <f t="shared" ca="1" si="285"/>
        <v>0</v>
      </c>
      <c r="Y476" s="80">
        <f t="shared" ca="1" si="286"/>
        <v>0</v>
      </c>
      <c r="Z476" s="80">
        <f t="shared" ca="1" si="281"/>
        <v>0</v>
      </c>
      <c r="AA476" s="80">
        <f t="shared" ca="1" si="287"/>
        <v>0</v>
      </c>
      <c r="AB476" s="81">
        <f t="shared" ca="1" si="269"/>
        <v>0</v>
      </c>
      <c r="AC476" s="79">
        <f t="shared" ca="1" si="270"/>
        <v>0</v>
      </c>
      <c r="AD476" s="35"/>
      <c r="AE476" s="62">
        <f t="shared" ca="1" si="271"/>
        <v>0</v>
      </c>
      <c r="AF476" s="62">
        <f t="shared" ca="1" si="272"/>
        <v>0</v>
      </c>
      <c r="AG476" s="35"/>
      <c r="AH476" s="35"/>
      <c r="AR476" s="69">
        <f t="shared" si="282"/>
        <v>40</v>
      </c>
      <c r="AS476" s="70">
        <f t="shared" si="288"/>
        <v>473</v>
      </c>
      <c r="AT476" s="71">
        <f t="shared" ref="AT476:AT539" si="292">(1-AU476)*AT475</f>
        <v>3.9257150731927461E-2</v>
      </c>
      <c r="AU476" s="72">
        <f t="shared" si="273"/>
        <v>6.8214933659622723E-3</v>
      </c>
      <c r="AV476" s="73">
        <f t="shared" si="283"/>
        <v>1.0068214933659623</v>
      </c>
      <c r="AW476" s="74">
        <f>PRODUCT(AV$4:AV476)</f>
        <v>24.918516308170027</v>
      </c>
    </row>
    <row r="477" spans="5:49">
      <c r="E477">
        <f t="shared" si="290"/>
        <v>474</v>
      </c>
      <c r="F477" s="64">
        <f t="shared" si="274"/>
        <v>92.84</v>
      </c>
      <c r="G477" s="55">
        <f t="shared" si="262"/>
        <v>0</v>
      </c>
      <c r="H477" s="78">
        <f t="shared" si="289"/>
        <v>1</v>
      </c>
      <c r="I477" s="79">
        <f t="shared" si="275"/>
        <v>189939.39709467467</v>
      </c>
      <c r="J477" s="79">
        <f t="shared" si="263"/>
        <v>1295.6703372161969</v>
      </c>
      <c r="K477" s="80">
        <f t="shared" si="264"/>
        <v>-15</v>
      </c>
      <c r="L477" s="80">
        <f t="shared" si="276"/>
        <v>-158.28283091222889</v>
      </c>
      <c r="M477" s="80">
        <f t="shared" si="291"/>
        <v>0</v>
      </c>
      <c r="N477" s="80">
        <f t="shared" si="277"/>
        <v>-180.442427239941</v>
      </c>
      <c r="O477" s="81">
        <f t="shared" si="265"/>
        <v>-2500.6101455486769</v>
      </c>
      <c r="P477" s="79">
        <f t="shared" si="266"/>
        <v>188380.73202819002</v>
      </c>
      <c r="Q477" s="35"/>
      <c r="R477">
        <f t="shared" ca="1" si="278"/>
        <v>599</v>
      </c>
      <c r="S477" s="78">
        <f t="shared" ca="1" si="279"/>
        <v>102.84</v>
      </c>
      <c r="T477" s="55">
        <f t="shared" ca="1" si="267"/>
        <v>7.0818821105846697E-2</v>
      </c>
      <c r="U477" s="78">
        <f t="shared" ca="1" si="284"/>
        <v>8.0135125751963914E-5</v>
      </c>
      <c r="V477" s="79">
        <f t="shared" ca="1" si="280"/>
        <v>0</v>
      </c>
      <c r="W477" s="79">
        <f t="shared" ca="1" si="268"/>
        <v>0</v>
      </c>
      <c r="X477" s="80">
        <f t="shared" ca="1" si="285"/>
        <v>0</v>
      </c>
      <c r="Y477" s="80">
        <f t="shared" ca="1" si="286"/>
        <v>0</v>
      </c>
      <c r="Z477" s="80">
        <f t="shared" ca="1" si="281"/>
        <v>0</v>
      </c>
      <c r="AA477" s="80">
        <f t="shared" ca="1" si="287"/>
        <v>0</v>
      </c>
      <c r="AB477" s="81">
        <f t="shared" ca="1" si="269"/>
        <v>0</v>
      </c>
      <c r="AC477" s="79">
        <f t="shared" ca="1" si="270"/>
        <v>0</v>
      </c>
      <c r="AD477" s="35"/>
      <c r="AE477" s="62">
        <f t="shared" ca="1" si="271"/>
        <v>0</v>
      </c>
      <c r="AF477" s="62">
        <f t="shared" ca="1" si="272"/>
        <v>0</v>
      </c>
      <c r="AG477" s="35"/>
      <c r="AH477" s="35"/>
      <c r="AR477" s="69">
        <f t="shared" si="282"/>
        <v>40</v>
      </c>
      <c r="AS477" s="70">
        <f t="shared" si="288"/>
        <v>474</v>
      </c>
      <c r="AT477" s="71">
        <f t="shared" si="292"/>
        <v>3.8989358338643039E-2</v>
      </c>
      <c r="AU477" s="72">
        <f t="shared" si="273"/>
        <v>6.8214933659622723E-3</v>
      </c>
      <c r="AV477" s="73">
        <f t="shared" si="283"/>
        <v>1.0068214933659623</v>
      </c>
      <c r="AW477" s="74">
        <f>PRODUCT(AV$4:AV477)</f>
        <v>25.08849780185583</v>
      </c>
    </row>
    <row r="478" spans="5:49">
      <c r="E478">
        <f t="shared" si="290"/>
        <v>475</v>
      </c>
      <c r="F478" s="64">
        <f t="shared" si="274"/>
        <v>92.92</v>
      </c>
      <c r="G478" s="55">
        <f t="shared" si="262"/>
        <v>0</v>
      </c>
      <c r="H478" s="78">
        <f t="shared" si="289"/>
        <v>1</v>
      </c>
      <c r="I478" s="79">
        <f t="shared" si="275"/>
        <v>188380.73202819002</v>
      </c>
      <c r="J478" s="79">
        <f t="shared" si="263"/>
        <v>1285.0379138054147</v>
      </c>
      <c r="K478" s="80">
        <f t="shared" si="264"/>
        <v>-15</v>
      </c>
      <c r="L478" s="80">
        <f t="shared" si="276"/>
        <v>-156.98394335682502</v>
      </c>
      <c r="M478" s="80">
        <f t="shared" si="291"/>
        <v>0</v>
      </c>
      <c r="N478" s="80">
        <f t="shared" si="277"/>
        <v>-178.96169542678055</v>
      </c>
      <c r="O478" s="81">
        <f t="shared" si="265"/>
        <v>-2500.6101455486769</v>
      </c>
      <c r="P478" s="79">
        <f t="shared" si="266"/>
        <v>186814.21415766317</v>
      </c>
      <c r="Q478" s="35"/>
      <c r="R478">
        <f t="shared" ca="1" si="278"/>
        <v>600</v>
      </c>
      <c r="S478" s="78">
        <f t="shared" ca="1" si="279"/>
        <v>102.92</v>
      </c>
      <c r="T478" s="55">
        <f t="shared" ca="1" si="267"/>
        <v>7.0818821105846697E-2</v>
      </c>
      <c r="U478" s="78">
        <f t="shared" ca="1" si="284"/>
        <v>7.4460050617041051E-5</v>
      </c>
      <c r="V478" s="79">
        <f t="shared" ca="1" si="280"/>
        <v>0</v>
      </c>
      <c r="W478" s="79">
        <f t="shared" ca="1" si="268"/>
        <v>0</v>
      </c>
      <c r="X478" s="80">
        <f t="shared" ca="1" si="285"/>
        <v>0</v>
      </c>
      <c r="Y478" s="80">
        <f t="shared" ca="1" si="286"/>
        <v>0</v>
      </c>
      <c r="Z478" s="80">
        <f t="shared" ca="1" si="281"/>
        <v>0</v>
      </c>
      <c r="AA478" s="80">
        <f t="shared" ca="1" si="287"/>
        <v>0</v>
      </c>
      <c r="AB478" s="81">
        <f t="shared" ca="1" si="269"/>
        <v>0</v>
      </c>
      <c r="AC478" s="79">
        <f t="shared" ca="1" si="270"/>
        <v>0</v>
      </c>
      <c r="AD478" s="35"/>
      <c r="AE478" s="62">
        <f t="shared" ca="1" si="271"/>
        <v>0</v>
      </c>
      <c r="AF478" s="62">
        <f t="shared" ca="1" si="272"/>
        <v>0</v>
      </c>
      <c r="AG478" s="35"/>
      <c r="AH478" s="35"/>
      <c r="AR478" s="69">
        <f t="shared" si="282"/>
        <v>40</v>
      </c>
      <c r="AS478" s="70">
        <f t="shared" si="288"/>
        <v>475</v>
      </c>
      <c r="AT478" s="71">
        <f t="shared" si="292"/>
        <v>3.8723392689392858E-2</v>
      </c>
      <c r="AU478" s="72">
        <f t="shared" si="273"/>
        <v>6.8214933659622723E-3</v>
      </c>
      <c r="AV478" s="73">
        <f t="shared" si="283"/>
        <v>1.0068214933659623</v>
      </c>
      <c r="AW478" s="74">
        <f>PRODUCT(AV$4:AV478)</f>
        <v>25.259638823173148</v>
      </c>
    </row>
    <row r="479" spans="5:49">
      <c r="E479">
        <f t="shared" si="290"/>
        <v>476</v>
      </c>
      <c r="F479" s="64">
        <f t="shared" si="274"/>
        <v>93</v>
      </c>
      <c r="G479" s="55">
        <f t="shared" si="262"/>
        <v>0</v>
      </c>
      <c r="H479" s="78">
        <f t="shared" si="289"/>
        <v>1</v>
      </c>
      <c r="I479" s="79">
        <f t="shared" si="275"/>
        <v>186814.21415766317</v>
      </c>
      <c r="J479" s="79">
        <f t="shared" si="263"/>
        <v>1274.3519225439545</v>
      </c>
      <c r="K479" s="80">
        <f t="shared" si="264"/>
        <v>-15</v>
      </c>
      <c r="L479" s="80">
        <f t="shared" si="276"/>
        <v>-155.67851179805265</v>
      </c>
      <c r="M479" s="80">
        <f t="shared" si="291"/>
        <v>0</v>
      </c>
      <c r="N479" s="80">
        <f t="shared" si="277"/>
        <v>-177.47350344978005</v>
      </c>
      <c r="O479" s="81">
        <f t="shared" si="265"/>
        <v>-2500.6101455486769</v>
      </c>
      <c r="P479" s="79">
        <f t="shared" si="266"/>
        <v>185239.80391941059</v>
      </c>
      <c r="Q479" s="35"/>
      <c r="R479">
        <f t="shared" ca="1" si="278"/>
        <v>601</v>
      </c>
      <c r="S479" s="78">
        <f t="shared" ca="1" si="279"/>
        <v>103</v>
      </c>
      <c r="T479" s="55">
        <f t="shared" ca="1" si="267"/>
        <v>7.0818821105846697E-2</v>
      </c>
      <c r="U479" s="78">
        <f t="shared" ca="1" si="284"/>
        <v>6.9186877612860528E-5</v>
      </c>
      <c r="V479" s="79">
        <f t="shared" ca="1" si="280"/>
        <v>0</v>
      </c>
      <c r="W479" s="79">
        <f t="shared" ca="1" si="268"/>
        <v>0</v>
      </c>
      <c r="X479" s="80">
        <f t="shared" ca="1" si="285"/>
        <v>0</v>
      </c>
      <c r="Y479" s="80">
        <f t="shared" ca="1" si="286"/>
        <v>0</v>
      </c>
      <c r="Z479" s="80">
        <f t="shared" ca="1" si="281"/>
        <v>0</v>
      </c>
      <c r="AA479" s="80">
        <f t="shared" ca="1" si="287"/>
        <v>0</v>
      </c>
      <c r="AB479" s="81">
        <f t="shared" ca="1" si="269"/>
        <v>0</v>
      </c>
      <c r="AC479" s="79">
        <f t="shared" ca="1" si="270"/>
        <v>0</v>
      </c>
      <c r="AD479" s="35"/>
      <c r="AE479" s="62">
        <f t="shared" ca="1" si="271"/>
        <v>0</v>
      </c>
      <c r="AF479" s="62">
        <f t="shared" ca="1" si="272"/>
        <v>0</v>
      </c>
      <c r="AG479" s="35"/>
      <c r="AH479" s="35"/>
      <c r="AR479" s="69">
        <f t="shared" si="282"/>
        <v>40</v>
      </c>
      <c r="AS479" s="70">
        <f t="shared" si="288"/>
        <v>476</v>
      </c>
      <c r="AT479" s="71">
        <f t="shared" si="292"/>
        <v>3.8459241323054609E-2</v>
      </c>
      <c r="AU479" s="72">
        <f t="shared" si="273"/>
        <v>6.8214933659622723E-3</v>
      </c>
      <c r="AV479" s="73">
        <f t="shared" si="283"/>
        <v>1.0068214933659623</v>
      </c>
      <c r="AW479" s="74">
        <f>PRODUCT(AV$4:AV479)</f>
        <v>25.431947281832027</v>
      </c>
    </row>
    <row r="480" spans="5:49">
      <c r="E480">
        <f t="shared" si="290"/>
        <v>477</v>
      </c>
      <c r="F480" s="64">
        <f t="shared" si="274"/>
        <v>93.08</v>
      </c>
      <c r="G480" s="55">
        <f t="shared" si="262"/>
        <v>0</v>
      </c>
      <c r="H480" s="78">
        <f t="shared" si="289"/>
        <v>1</v>
      </c>
      <c r="I480" s="79">
        <f t="shared" si="275"/>
        <v>185239.80391941059</v>
      </c>
      <c r="J480" s="79">
        <f t="shared" si="263"/>
        <v>1263.6120935484114</v>
      </c>
      <c r="K480" s="80">
        <f t="shared" si="264"/>
        <v>-15</v>
      </c>
      <c r="L480" s="80">
        <f t="shared" si="276"/>
        <v>-154.3665032661755</v>
      </c>
      <c r="M480" s="80">
        <f t="shared" si="291"/>
        <v>0</v>
      </c>
      <c r="N480" s="80">
        <f t="shared" si="277"/>
        <v>-175.97781372344011</v>
      </c>
      <c r="O480" s="81">
        <f t="shared" si="265"/>
        <v>-2500.6101455486769</v>
      </c>
      <c r="P480" s="79">
        <f t="shared" si="266"/>
        <v>183657.4615504207</v>
      </c>
      <c r="Q480" s="35"/>
      <c r="R480">
        <f t="shared" ca="1" si="278"/>
        <v>602</v>
      </c>
      <c r="S480" s="78">
        <f t="shared" ca="1" si="279"/>
        <v>103.08</v>
      </c>
      <c r="T480" s="55">
        <f t="shared" ca="1" si="267"/>
        <v>7.0818821105846697E-2</v>
      </c>
      <c r="U480" s="78">
        <f t="shared" ca="1" si="284"/>
        <v>6.4287144504323251E-5</v>
      </c>
      <c r="V480" s="79">
        <f t="shared" ca="1" si="280"/>
        <v>0</v>
      </c>
      <c r="W480" s="79">
        <f t="shared" ca="1" si="268"/>
        <v>0</v>
      </c>
      <c r="X480" s="80">
        <f t="shared" ca="1" si="285"/>
        <v>0</v>
      </c>
      <c r="Y480" s="80">
        <f t="shared" ca="1" si="286"/>
        <v>0</v>
      </c>
      <c r="Z480" s="80">
        <f t="shared" ca="1" si="281"/>
        <v>0</v>
      </c>
      <c r="AA480" s="80">
        <f t="shared" ca="1" si="287"/>
        <v>0</v>
      </c>
      <c r="AB480" s="81">
        <f t="shared" ca="1" si="269"/>
        <v>0</v>
      </c>
      <c r="AC480" s="79">
        <f t="shared" ca="1" si="270"/>
        <v>0</v>
      </c>
      <c r="AD480" s="35"/>
      <c r="AE480" s="62">
        <f t="shared" ca="1" si="271"/>
        <v>0</v>
      </c>
      <c r="AF480" s="62">
        <f t="shared" ca="1" si="272"/>
        <v>0</v>
      </c>
      <c r="AG480" s="35"/>
      <c r="AH480" s="35"/>
      <c r="AR480" s="69">
        <f t="shared" si="282"/>
        <v>40</v>
      </c>
      <c r="AS480" s="70">
        <f t="shared" si="288"/>
        <v>477</v>
      </c>
      <c r="AT480" s="71">
        <f t="shared" si="292"/>
        <v>3.8196891863509448E-2</v>
      </c>
      <c r="AU480" s="72">
        <f t="shared" si="273"/>
        <v>6.8214933659622723E-3</v>
      </c>
      <c r="AV480" s="73">
        <f t="shared" si="283"/>
        <v>1.0068214933659623</v>
      </c>
      <c r="AW480" s="74">
        <f>PRODUCT(AV$4:AV480)</f>
        <v>25.605431141498546</v>
      </c>
    </row>
    <row r="481" spans="5:49">
      <c r="E481">
        <f t="shared" si="290"/>
        <v>478</v>
      </c>
      <c r="F481" s="64">
        <f t="shared" si="274"/>
        <v>93.16</v>
      </c>
      <c r="G481" s="55">
        <f t="shared" si="262"/>
        <v>0</v>
      </c>
      <c r="H481" s="78">
        <f t="shared" si="289"/>
        <v>1</v>
      </c>
      <c r="I481" s="79">
        <f t="shared" si="275"/>
        <v>183657.4615504207</v>
      </c>
      <c r="J481" s="79">
        <f t="shared" si="263"/>
        <v>1252.818155575666</v>
      </c>
      <c r="K481" s="80">
        <f t="shared" si="264"/>
        <v>-15</v>
      </c>
      <c r="L481" s="80">
        <f t="shared" si="276"/>
        <v>-153.0478846253506</v>
      </c>
      <c r="M481" s="80">
        <f t="shared" si="291"/>
        <v>0</v>
      </c>
      <c r="N481" s="80">
        <f t="shared" si="277"/>
        <v>-174.47458847289968</v>
      </c>
      <c r="O481" s="81">
        <f t="shared" si="265"/>
        <v>-2500.6101455486769</v>
      </c>
      <c r="P481" s="79">
        <f t="shared" si="266"/>
        <v>182067.14708734944</v>
      </c>
      <c r="Q481" s="35"/>
      <c r="R481">
        <f t="shared" ca="1" si="278"/>
        <v>603</v>
      </c>
      <c r="S481" s="78">
        <f t="shared" ca="1" si="279"/>
        <v>103.16</v>
      </c>
      <c r="T481" s="55">
        <f t="shared" ca="1" si="267"/>
        <v>7.0818821105846697E-2</v>
      </c>
      <c r="U481" s="78">
        <f t="shared" ca="1" si="284"/>
        <v>5.9734404718265866E-5</v>
      </c>
      <c r="V481" s="79">
        <f t="shared" ca="1" si="280"/>
        <v>0</v>
      </c>
      <c r="W481" s="79">
        <f t="shared" ca="1" si="268"/>
        <v>0</v>
      </c>
      <c r="X481" s="80">
        <f t="shared" ca="1" si="285"/>
        <v>0</v>
      </c>
      <c r="Y481" s="80">
        <f t="shared" ca="1" si="286"/>
        <v>0</v>
      </c>
      <c r="Z481" s="80">
        <f t="shared" ca="1" si="281"/>
        <v>0</v>
      </c>
      <c r="AA481" s="80">
        <f t="shared" ca="1" si="287"/>
        <v>0</v>
      </c>
      <c r="AB481" s="81">
        <f t="shared" ca="1" si="269"/>
        <v>0</v>
      </c>
      <c r="AC481" s="79">
        <f t="shared" ca="1" si="270"/>
        <v>0</v>
      </c>
      <c r="AD481" s="35"/>
      <c r="AE481" s="62">
        <f t="shared" ca="1" si="271"/>
        <v>0</v>
      </c>
      <c r="AF481" s="62">
        <f t="shared" ca="1" si="272"/>
        <v>0</v>
      </c>
      <c r="AG481" s="35"/>
      <c r="AH481" s="35"/>
      <c r="AR481" s="69">
        <f t="shared" si="282"/>
        <v>40</v>
      </c>
      <c r="AS481" s="70">
        <f t="shared" si="288"/>
        <v>478</v>
      </c>
      <c r="AT481" s="71">
        <f t="shared" si="292"/>
        <v>3.7936332019062137E-2</v>
      </c>
      <c r="AU481" s="72">
        <f t="shared" si="273"/>
        <v>6.8214933659622723E-3</v>
      </c>
      <c r="AV481" s="73">
        <f t="shared" si="283"/>
        <v>1.0068214933659623</v>
      </c>
      <c r="AW481" s="74">
        <f>PRODUCT(AV$4:AV481)</f>
        <v>25.780098420162883</v>
      </c>
    </row>
    <row r="482" spans="5:49">
      <c r="E482">
        <f t="shared" si="290"/>
        <v>479</v>
      </c>
      <c r="F482" s="64">
        <f t="shared" si="274"/>
        <v>93.24</v>
      </c>
      <c r="G482" s="55">
        <f t="shared" si="262"/>
        <v>0</v>
      </c>
      <c r="H482" s="78">
        <f t="shared" si="289"/>
        <v>1</v>
      </c>
      <c r="I482" s="79">
        <f t="shared" si="275"/>
        <v>182067.14708734944</v>
      </c>
      <c r="J482" s="79">
        <f t="shared" si="263"/>
        <v>1241.9698360160314</v>
      </c>
      <c r="K482" s="80">
        <f t="shared" si="264"/>
        <v>-15</v>
      </c>
      <c r="L482" s="80">
        <f t="shared" si="276"/>
        <v>-151.72262257279121</v>
      </c>
      <c r="M482" s="80">
        <f t="shared" si="291"/>
        <v>0</v>
      </c>
      <c r="N482" s="80">
        <f t="shared" si="277"/>
        <v>-172.96378973298201</v>
      </c>
      <c r="O482" s="81">
        <f t="shared" si="265"/>
        <v>-2500.6101455486769</v>
      </c>
      <c r="P482" s="79">
        <f t="shared" si="266"/>
        <v>180468.82036551103</v>
      </c>
      <c r="Q482" s="35"/>
      <c r="R482">
        <f t="shared" ca="1" si="278"/>
        <v>604</v>
      </c>
      <c r="S482" s="78">
        <f t="shared" ca="1" si="279"/>
        <v>103.24</v>
      </c>
      <c r="T482" s="55">
        <f t="shared" ca="1" si="267"/>
        <v>7.0818821105846697E-2</v>
      </c>
      <c r="U482" s="78">
        <f t="shared" ca="1" si="284"/>
        <v>5.5504084596658748E-5</v>
      </c>
      <c r="V482" s="79">
        <f t="shared" ca="1" si="280"/>
        <v>0</v>
      </c>
      <c r="W482" s="79">
        <f t="shared" ca="1" si="268"/>
        <v>0</v>
      </c>
      <c r="X482" s="80">
        <f t="shared" ca="1" si="285"/>
        <v>0</v>
      </c>
      <c r="Y482" s="80">
        <f t="shared" ca="1" si="286"/>
        <v>0</v>
      </c>
      <c r="Z482" s="80">
        <f t="shared" ca="1" si="281"/>
        <v>0</v>
      </c>
      <c r="AA482" s="80">
        <f t="shared" ca="1" si="287"/>
        <v>0</v>
      </c>
      <c r="AB482" s="81">
        <f t="shared" ca="1" si="269"/>
        <v>0</v>
      </c>
      <c r="AC482" s="79">
        <f t="shared" ca="1" si="270"/>
        <v>0</v>
      </c>
      <c r="AD482" s="35"/>
      <c r="AE482" s="62">
        <f t="shared" ca="1" si="271"/>
        <v>0</v>
      </c>
      <c r="AF482" s="62">
        <f t="shared" ca="1" si="272"/>
        <v>0</v>
      </c>
      <c r="AG482" s="35"/>
      <c r="AH482" s="35"/>
      <c r="AR482" s="69">
        <f t="shared" si="282"/>
        <v>40</v>
      </c>
      <c r="AS482" s="70">
        <f t="shared" si="288"/>
        <v>479</v>
      </c>
      <c r="AT482" s="71">
        <f t="shared" si="292"/>
        <v>3.7677549581865165E-2</v>
      </c>
      <c r="AU482" s="72">
        <f t="shared" si="273"/>
        <v>6.8214933659622723E-3</v>
      </c>
      <c r="AV482" s="73">
        <f t="shared" si="283"/>
        <v>1.0068214933659623</v>
      </c>
      <c r="AW482" s="74">
        <f>PRODUCT(AV$4:AV482)</f>
        <v>25.955957190509878</v>
      </c>
    </row>
    <row r="483" spans="5:49">
      <c r="E483">
        <f t="shared" si="290"/>
        <v>480</v>
      </c>
      <c r="F483" s="64">
        <f t="shared" si="274"/>
        <v>93.32</v>
      </c>
      <c r="G483" s="55">
        <f t="shared" si="262"/>
        <v>0</v>
      </c>
      <c r="H483" s="78">
        <f t="shared" si="289"/>
        <v>1</v>
      </c>
      <c r="I483" s="79">
        <f t="shared" si="275"/>
        <v>180468.82036551103</v>
      </c>
      <c r="J483" s="79">
        <f t="shared" si="263"/>
        <v>1231.0668608863705</v>
      </c>
      <c r="K483" s="80">
        <f t="shared" si="264"/>
        <v>-15</v>
      </c>
      <c r="L483" s="80">
        <f t="shared" si="276"/>
        <v>-150.39068363792586</v>
      </c>
      <c r="M483" s="80">
        <f t="shared" si="291"/>
        <v>0</v>
      </c>
      <c r="N483" s="80">
        <f t="shared" si="277"/>
        <v>-171.4453793472355</v>
      </c>
      <c r="O483" s="81">
        <f t="shared" si="265"/>
        <v>-2500.6101455486769</v>
      </c>
      <c r="P483" s="79">
        <f t="shared" si="266"/>
        <v>178862.44101786354</v>
      </c>
      <c r="Q483" s="35"/>
      <c r="R483">
        <f t="shared" ca="1" si="278"/>
        <v>605</v>
      </c>
      <c r="S483" s="78">
        <f t="shared" ca="1" si="279"/>
        <v>103.32</v>
      </c>
      <c r="T483" s="55">
        <f t="shared" ca="1" si="267"/>
        <v>7.0818821105846697E-2</v>
      </c>
      <c r="U483" s="78">
        <f t="shared" ca="1" si="284"/>
        <v>5.1573350758964194E-5</v>
      </c>
      <c r="V483" s="79">
        <f t="shared" ca="1" si="280"/>
        <v>0</v>
      </c>
      <c r="W483" s="79">
        <f t="shared" ca="1" si="268"/>
        <v>0</v>
      </c>
      <c r="X483" s="80">
        <f t="shared" ca="1" si="285"/>
        <v>0</v>
      </c>
      <c r="Y483" s="80">
        <f t="shared" ca="1" si="286"/>
        <v>0</v>
      </c>
      <c r="Z483" s="80">
        <f t="shared" ca="1" si="281"/>
        <v>0</v>
      </c>
      <c r="AA483" s="80">
        <f t="shared" ca="1" si="287"/>
        <v>0</v>
      </c>
      <c r="AB483" s="81">
        <f t="shared" ca="1" si="269"/>
        <v>0</v>
      </c>
      <c r="AC483" s="79">
        <f t="shared" ca="1" si="270"/>
        <v>0</v>
      </c>
      <c r="AD483" s="35"/>
      <c r="AE483" s="62">
        <f t="shared" ca="1" si="271"/>
        <v>0</v>
      </c>
      <c r="AF483" s="62">
        <f t="shared" ca="1" si="272"/>
        <v>0</v>
      </c>
      <c r="AG483" s="35"/>
      <c r="AH483" s="35"/>
      <c r="AR483" s="69">
        <f t="shared" si="282"/>
        <v>40</v>
      </c>
      <c r="AS483" s="70">
        <f t="shared" si="288"/>
        <v>480</v>
      </c>
      <c r="AT483" s="71">
        <f t="shared" si="292"/>
        <v>3.7420532427346755E-2</v>
      </c>
      <c r="AU483" s="72">
        <f t="shared" si="273"/>
        <v>6.8214933659622723E-3</v>
      </c>
      <c r="AV483" s="73">
        <f t="shared" si="283"/>
        <v>1.0068214933659623</v>
      </c>
      <c r="AW483" s="74">
        <f>PRODUCT(AV$4:AV483)</f>
        <v>26.133015580292142</v>
      </c>
    </row>
    <row r="484" spans="5:49">
      <c r="E484">
        <f t="shared" si="290"/>
        <v>481</v>
      </c>
      <c r="F484" s="64">
        <f t="shared" si="274"/>
        <v>93.4</v>
      </c>
      <c r="G484" s="55">
        <f t="shared" si="262"/>
        <v>0</v>
      </c>
      <c r="H484" s="78">
        <f t="shared" si="289"/>
        <v>1</v>
      </c>
      <c r="I484" s="79">
        <f t="shared" si="275"/>
        <v>178862.44101786354</v>
      </c>
      <c r="J484" s="79">
        <f t="shared" si="263"/>
        <v>1220.1089548231744</v>
      </c>
      <c r="K484" s="80">
        <f t="shared" si="264"/>
        <v>-15</v>
      </c>
      <c r="L484" s="80">
        <f t="shared" si="276"/>
        <v>-149.05203418155295</v>
      </c>
      <c r="M484" s="80">
        <f t="shared" si="291"/>
        <v>-1341.4683076339766</v>
      </c>
      <c r="N484" s="80">
        <f t="shared" si="277"/>
        <v>-169.91931896697039</v>
      </c>
      <c r="O484" s="81">
        <f t="shared" si="265"/>
        <v>-2500.6101455486769</v>
      </c>
      <c r="P484" s="79">
        <f t="shared" si="266"/>
        <v>175906.50016635554</v>
      </c>
      <c r="Q484" s="35"/>
      <c r="R484">
        <f t="shared" ca="1" si="278"/>
        <v>606</v>
      </c>
      <c r="S484" s="78">
        <f t="shared" ca="1" si="279"/>
        <v>103.4</v>
      </c>
      <c r="T484" s="55">
        <f t="shared" ca="1" si="267"/>
        <v>7.0818821105846697E-2</v>
      </c>
      <c r="U484" s="78">
        <f t="shared" ca="1" si="284"/>
        <v>4.7920986857736028E-5</v>
      </c>
      <c r="V484" s="79">
        <f t="shared" ca="1" si="280"/>
        <v>0</v>
      </c>
      <c r="W484" s="79">
        <f t="shared" ca="1" si="268"/>
        <v>0</v>
      </c>
      <c r="X484" s="80">
        <f t="shared" ca="1" si="285"/>
        <v>0</v>
      </c>
      <c r="Y484" s="80">
        <f t="shared" ca="1" si="286"/>
        <v>0</v>
      </c>
      <c r="Z484" s="80">
        <f t="shared" ca="1" si="281"/>
        <v>0</v>
      </c>
      <c r="AA484" s="80">
        <f t="shared" ca="1" si="287"/>
        <v>0</v>
      </c>
      <c r="AB484" s="81">
        <f t="shared" ca="1" si="269"/>
        <v>0</v>
      </c>
      <c r="AC484" s="79">
        <f t="shared" ca="1" si="270"/>
        <v>0</v>
      </c>
      <c r="AD484" s="35"/>
      <c r="AE484" s="62">
        <f t="shared" ca="1" si="271"/>
        <v>0</v>
      </c>
      <c r="AF484" s="62">
        <f t="shared" ca="1" si="272"/>
        <v>0</v>
      </c>
      <c r="AG484" s="35"/>
      <c r="AH484" s="35"/>
      <c r="AR484" s="69">
        <f t="shared" si="282"/>
        <v>41</v>
      </c>
      <c r="AS484" s="70">
        <f t="shared" si="288"/>
        <v>481</v>
      </c>
      <c r="AT484" s="71">
        <f t="shared" si="292"/>
        <v>3.7165268513642831E-2</v>
      </c>
      <c r="AU484" s="72">
        <f t="shared" si="273"/>
        <v>6.8214933659622723E-3</v>
      </c>
      <c r="AV484" s="73">
        <f t="shared" si="283"/>
        <v>1.0068214933659623</v>
      </c>
      <c r="AW484" s="74">
        <f>PRODUCT(AV$4:AV484)</f>
        <v>26.311281772705694</v>
      </c>
    </row>
    <row r="485" spans="5:49">
      <c r="E485">
        <f t="shared" si="290"/>
        <v>482</v>
      </c>
      <c r="F485" s="64">
        <f t="shared" si="274"/>
        <v>93.48</v>
      </c>
      <c r="G485" s="55">
        <f t="shared" si="262"/>
        <v>0</v>
      </c>
      <c r="H485" s="78">
        <f t="shared" si="289"/>
        <v>1</v>
      </c>
      <c r="I485" s="79">
        <f t="shared" si="275"/>
        <v>175906.50016635554</v>
      </c>
      <c r="J485" s="79">
        <f t="shared" si="263"/>
        <v>1199.9450239144358</v>
      </c>
      <c r="K485" s="80">
        <f t="shared" si="264"/>
        <v>-15</v>
      </c>
      <c r="L485" s="80">
        <f t="shared" si="276"/>
        <v>-146.58875013862962</v>
      </c>
      <c r="M485" s="80">
        <f t="shared" si="291"/>
        <v>0</v>
      </c>
      <c r="N485" s="80">
        <f t="shared" si="277"/>
        <v>-167.11117515803781</v>
      </c>
      <c r="O485" s="81">
        <f t="shared" si="265"/>
        <v>-2500.6101455486769</v>
      </c>
      <c r="P485" s="79">
        <f t="shared" si="266"/>
        <v>174277.13511942467</v>
      </c>
      <c r="Q485" s="35"/>
      <c r="R485">
        <f t="shared" ca="1" si="278"/>
        <v>607</v>
      </c>
      <c r="S485" s="78">
        <f t="shared" ca="1" si="279"/>
        <v>103.48</v>
      </c>
      <c r="T485" s="55">
        <f t="shared" ca="1" si="267"/>
        <v>7.0818821105846697E-2</v>
      </c>
      <c r="U485" s="78">
        <f t="shared" ca="1" si="284"/>
        <v>4.4527279062242392E-5</v>
      </c>
      <c r="V485" s="79">
        <f t="shared" ca="1" si="280"/>
        <v>0</v>
      </c>
      <c r="W485" s="79">
        <f t="shared" ca="1" si="268"/>
        <v>0</v>
      </c>
      <c r="X485" s="80">
        <f t="shared" ca="1" si="285"/>
        <v>0</v>
      </c>
      <c r="Y485" s="80">
        <f t="shared" ca="1" si="286"/>
        <v>0</v>
      </c>
      <c r="Z485" s="80">
        <f t="shared" ca="1" si="281"/>
        <v>0</v>
      </c>
      <c r="AA485" s="80">
        <f t="shared" ca="1" si="287"/>
        <v>0</v>
      </c>
      <c r="AB485" s="81">
        <f t="shared" ca="1" si="269"/>
        <v>0</v>
      </c>
      <c r="AC485" s="79">
        <f t="shared" ca="1" si="270"/>
        <v>0</v>
      </c>
      <c r="AD485" s="35"/>
      <c r="AE485" s="62">
        <f t="shared" ca="1" si="271"/>
        <v>0</v>
      </c>
      <c r="AF485" s="62">
        <f t="shared" ca="1" si="272"/>
        <v>0</v>
      </c>
      <c r="AG485" s="35"/>
      <c r="AH485" s="35"/>
      <c r="AR485" s="69">
        <f t="shared" si="282"/>
        <v>41</v>
      </c>
      <c r="AS485" s="70">
        <f t="shared" si="288"/>
        <v>482</v>
      </c>
      <c r="AT485" s="71">
        <f t="shared" si="292"/>
        <v>3.6911745881032812E-2</v>
      </c>
      <c r="AU485" s="72">
        <f t="shared" si="273"/>
        <v>6.8214933659622723E-3</v>
      </c>
      <c r="AV485" s="73">
        <f t="shared" si="283"/>
        <v>1.0068214933659623</v>
      </c>
      <c r="AW485" s="74">
        <f>PRODUCT(AV$4:AV485)</f>
        <v>26.49076400676817</v>
      </c>
    </row>
    <row r="486" spans="5:49">
      <c r="E486">
        <f t="shared" si="290"/>
        <v>483</v>
      </c>
      <c r="F486" s="64">
        <f t="shared" si="274"/>
        <v>93.56</v>
      </c>
      <c r="G486" s="55">
        <f t="shared" si="262"/>
        <v>0</v>
      </c>
      <c r="H486" s="78">
        <f t="shared" si="289"/>
        <v>1</v>
      </c>
      <c r="I486" s="79">
        <f t="shared" si="275"/>
        <v>174277.13511942467</v>
      </c>
      <c r="J486" s="79">
        <f t="shared" si="263"/>
        <v>1188.8303210560659</v>
      </c>
      <c r="K486" s="80">
        <f t="shared" si="264"/>
        <v>-15</v>
      </c>
      <c r="L486" s="80">
        <f t="shared" si="276"/>
        <v>-145.2309459328539</v>
      </c>
      <c r="M486" s="80">
        <f t="shared" si="291"/>
        <v>0</v>
      </c>
      <c r="N486" s="80">
        <f t="shared" si="277"/>
        <v>-165.56327836345346</v>
      </c>
      <c r="O486" s="81">
        <f t="shared" si="265"/>
        <v>-2500.6101455486769</v>
      </c>
      <c r="P486" s="79">
        <f t="shared" si="266"/>
        <v>172639.56107063574</v>
      </c>
      <c r="Q486" s="35"/>
      <c r="R486">
        <f t="shared" ca="1" si="278"/>
        <v>608</v>
      </c>
      <c r="S486" s="78">
        <f t="shared" ca="1" si="279"/>
        <v>103.56</v>
      </c>
      <c r="T486" s="55">
        <f t="shared" ca="1" si="267"/>
        <v>7.7799936530410396E-2</v>
      </c>
      <c r="U486" s="78">
        <f t="shared" ca="1" si="284"/>
        <v>4.1063059577328059E-5</v>
      </c>
      <c r="V486" s="79">
        <f t="shared" ca="1" si="280"/>
        <v>0</v>
      </c>
      <c r="W486" s="79">
        <f t="shared" ca="1" si="268"/>
        <v>0</v>
      </c>
      <c r="X486" s="80">
        <f t="shared" ca="1" si="285"/>
        <v>0</v>
      </c>
      <c r="Y486" s="80">
        <f t="shared" ca="1" si="286"/>
        <v>0</v>
      </c>
      <c r="Z486" s="80">
        <f t="shared" ca="1" si="281"/>
        <v>0</v>
      </c>
      <c r="AA486" s="80">
        <f t="shared" ca="1" si="287"/>
        <v>0</v>
      </c>
      <c r="AB486" s="81">
        <f t="shared" ca="1" si="269"/>
        <v>0</v>
      </c>
      <c r="AC486" s="79">
        <f t="shared" ca="1" si="270"/>
        <v>0</v>
      </c>
      <c r="AD486" s="35"/>
      <c r="AE486" s="62">
        <f t="shared" ca="1" si="271"/>
        <v>0</v>
      </c>
      <c r="AF486" s="62">
        <f t="shared" ca="1" si="272"/>
        <v>0</v>
      </c>
      <c r="AG486" s="35"/>
      <c r="AH486" s="35"/>
      <c r="AR486" s="69">
        <f t="shared" si="282"/>
        <v>41</v>
      </c>
      <c r="AS486" s="70">
        <f t="shared" si="288"/>
        <v>483</v>
      </c>
      <c r="AT486" s="71">
        <f t="shared" si="292"/>
        <v>3.6659952651379259E-2</v>
      </c>
      <c r="AU486" s="72">
        <f t="shared" si="273"/>
        <v>6.8214933659622723E-3</v>
      </c>
      <c r="AV486" s="73">
        <f t="shared" si="283"/>
        <v>1.0068214933659623</v>
      </c>
      <c r="AW486" s="74">
        <f>PRODUCT(AV$4:AV486)</f>
        <v>26.671470577699612</v>
      </c>
    </row>
    <row r="487" spans="5:49">
      <c r="E487">
        <f t="shared" si="290"/>
        <v>484</v>
      </c>
      <c r="F487" s="64">
        <f t="shared" si="274"/>
        <v>93.64</v>
      </c>
      <c r="G487" s="55">
        <f t="shared" si="262"/>
        <v>0</v>
      </c>
      <c r="H487" s="78">
        <f t="shared" si="289"/>
        <v>1</v>
      </c>
      <c r="I487" s="79">
        <f t="shared" si="275"/>
        <v>172639.56107063574</v>
      </c>
      <c r="J487" s="79">
        <f t="shared" si="263"/>
        <v>1177.6596205459803</v>
      </c>
      <c r="K487" s="80">
        <f t="shared" si="264"/>
        <v>-15</v>
      </c>
      <c r="L487" s="80">
        <f t="shared" si="276"/>
        <v>-143.86630089219645</v>
      </c>
      <c r="M487" s="80">
        <f t="shared" si="291"/>
        <v>0</v>
      </c>
      <c r="N487" s="80">
        <f t="shared" si="277"/>
        <v>-164.007583017104</v>
      </c>
      <c r="O487" s="81">
        <f t="shared" si="265"/>
        <v>-2500.6101455486769</v>
      </c>
      <c r="P487" s="79">
        <f t="shared" si="266"/>
        <v>170993.73666172373</v>
      </c>
      <c r="Q487" s="35"/>
      <c r="R487">
        <f t="shared" ca="1" si="278"/>
        <v>609</v>
      </c>
      <c r="S487" s="78">
        <f t="shared" ca="1" si="279"/>
        <v>103.64</v>
      </c>
      <c r="T487" s="55">
        <f t="shared" ca="1" si="267"/>
        <v>7.7799936530410396E-2</v>
      </c>
      <c r="U487" s="78">
        <f t="shared" ca="1" si="284"/>
        <v>3.7868356148467479E-5</v>
      </c>
      <c r="V487" s="79">
        <f t="shared" ca="1" si="280"/>
        <v>0</v>
      </c>
      <c r="W487" s="79">
        <f t="shared" ca="1" si="268"/>
        <v>0</v>
      </c>
      <c r="X487" s="80">
        <f t="shared" ca="1" si="285"/>
        <v>0</v>
      </c>
      <c r="Y487" s="80">
        <f t="shared" ca="1" si="286"/>
        <v>0</v>
      </c>
      <c r="Z487" s="80">
        <f t="shared" ca="1" si="281"/>
        <v>0</v>
      </c>
      <c r="AA487" s="80">
        <f t="shared" ca="1" si="287"/>
        <v>0</v>
      </c>
      <c r="AB487" s="81">
        <f t="shared" ca="1" si="269"/>
        <v>0</v>
      </c>
      <c r="AC487" s="79">
        <f t="shared" ca="1" si="270"/>
        <v>0</v>
      </c>
      <c r="AD487" s="35"/>
      <c r="AE487" s="62">
        <f t="shared" ca="1" si="271"/>
        <v>0</v>
      </c>
      <c r="AF487" s="62">
        <f t="shared" ca="1" si="272"/>
        <v>0</v>
      </c>
      <c r="AG487" s="35"/>
      <c r="AH487" s="35"/>
      <c r="AR487" s="69">
        <f t="shared" si="282"/>
        <v>41</v>
      </c>
      <c r="AS487" s="70">
        <f t="shared" si="288"/>
        <v>484</v>
      </c>
      <c r="AT487" s="71">
        <f t="shared" si="292"/>
        <v>3.6409877027571383E-2</v>
      </c>
      <c r="AU487" s="72">
        <f t="shared" si="273"/>
        <v>6.8214933659622723E-3</v>
      </c>
      <c r="AV487" s="73">
        <f t="shared" si="283"/>
        <v>1.0068214933659623</v>
      </c>
      <c r="AW487" s="74">
        <f>PRODUCT(AV$4:AV487)</f>
        <v>26.853409837305847</v>
      </c>
    </row>
    <row r="488" spans="5:49">
      <c r="E488">
        <f t="shared" si="290"/>
        <v>485</v>
      </c>
      <c r="F488" s="64">
        <f t="shared" si="274"/>
        <v>93.72</v>
      </c>
      <c r="G488" s="55">
        <f t="shared" si="262"/>
        <v>0</v>
      </c>
      <c r="H488" s="78">
        <f t="shared" si="289"/>
        <v>1</v>
      </c>
      <c r="I488" s="79">
        <f t="shared" si="275"/>
        <v>170993.73666172373</v>
      </c>
      <c r="J488" s="79">
        <f t="shared" si="263"/>
        <v>1166.4326402590482</v>
      </c>
      <c r="K488" s="80">
        <f t="shared" si="264"/>
        <v>-15</v>
      </c>
      <c r="L488" s="80">
        <f t="shared" si="276"/>
        <v>-142.49478055143643</v>
      </c>
      <c r="M488" s="80">
        <f t="shared" si="291"/>
        <v>0</v>
      </c>
      <c r="N488" s="80">
        <f t="shared" si="277"/>
        <v>-162.44404982863759</v>
      </c>
      <c r="O488" s="81">
        <f t="shared" si="265"/>
        <v>-2500.6101455486769</v>
      </c>
      <c r="P488" s="79">
        <f t="shared" si="266"/>
        <v>169339.62032605402</v>
      </c>
      <c r="Q488" s="35"/>
      <c r="R488">
        <f t="shared" ca="1" si="278"/>
        <v>610</v>
      </c>
      <c r="S488" s="78">
        <f t="shared" ca="1" si="279"/>
        <v>103.72</v>
      </c>
      <c r="T488" s="55">
        <f t="shared" ca="1" si="267"/>
        <v>7.7799936530410396E-2</v>
      </c>
      <c r="U488" s="78">
        <f t="shared" ca="1" si="284"/>
        <v>3.4922200443605733E-5</v>
      </c>
      <c r="V488" s="79">
        <f t="shared" ca="1" si="280"/>
        <v>0</v>
      </c>
      <c r="W488" s="79">
        <f t="shared" ca="1" si="268"/>
        <v>0</v>
      </c>
      <c r="X488" s="80">
        <f t="shared" ca="1" si="285"/>
        <v>0</v>
      </c>
      <c r="Y488" s="80">
        <f t="shared" ca="1" si="286"/>
        <v>0</v>
      </c>
      <c r="Z488" s="80">
        <f t="shared" ca="1" si="281"/>
        <v>0</v>
      </c>
      <c r="AA488" s="80">
        <f t="shared" ca="1" si="287"/>
        <v>0</v>
      </c>
      <c r="AB488" s="81">
        <f t="shared" ca="1" si="269"/>
        <v>0</v>
      </c>
      <c r="AC488" s="79">
        <f t="shared" ca="1" si="270"/>
        <v>0</v>
      </c>
      <c r="AD488" s="35"/>
      <c r="AE488" s="62">
        <f t="shared" ca="1" si="271"/>
        <v>0</v>
      </c>
      <c r="AF488" s="62">
        <f t="shared" ca="1" si="272"/>
        <v>0</v>
      </c>
      <c r="AG488" s="35"/>
      <c r="AH488" s="35"/>
      <c r="AR488" s="69">
        <f t="shared" si="282"/>
        <v>41</v>
      </c>
      <c r="AS488" s="70">
        <f t="shared" si="288"/>
        <v>485</v>
      </c>
      <c r="AT488" s="71">
        <f t="shared" si="292"/>
        <v>3.6161507292972302E-2</v>
      </c>
      <c r="AU488" s="72">
        <f t="shared" si="273"/>
        <v>6.8214933659622723E-3</v>
      </c>
      <c r="AV488" s="73">
        <f t="shared" si="283"/>
        <v>1.0068214933659623</v>
      </c>
      <c r="AW488" s="74">
        <f>PRODUCT(AV$4:AV488)</f>
        <v>27.036590194364496</v>
      </c>
    </row>
    <row r="489" spans="5:49">
      <c r="E489">
        <f t="shared" si="290"/>
        <v>486</v>
      </c>
      <c r="F489" s="64">
        <f t="shared" si="274"/>
        <v>93.8</v>
      </c>
      <c r="G489" s="55">
        <f t="shared" si="262"/>
        <v>0</v>
      </c>
      <c r="H489" s="78">
        <f t="shared" si="289"/>
        <v>1</v>
      </c>
      <c r="I489" s="79">
        <f t="shared" si="275"/>
        <v>169339.62032605402</v>
      </c>
      <c r="J489" s="79">
        <f t="shared" si="263"/>
        <v>1155.1490966487474</v>
      </c>
      <c r="K489" s="80">
        <f t="shared" si="264"/>
        <v>-15</v>
      </c>
      <c r="L489" s="80">
        <f t="shared" si="276"/>
        <v>-141.1163502717117</v>
      </c>
      <c r="M489" s="80">
        <f t="shared" si="291"/>
        <v>0</v>
      </c>
      <c r="N489" s="80">
        <f t="shared" si="277"/>
        <v>-160.87263930975135</v>
      </c>
      <c r="O489" s="81">
        <f t="shared" si="265"/>
        <v>-2500.6101455486769</v>
      </c>
      <c r="P489" s="79">
        <f t="shared" si="266"/>
        <v>167677.17028757263</v>
      </c>
      <c r="Q489" s="35"/>
      <c r="R489">
        <f t="shared" ca="1" si="278"/>
        <v>611</v>
      </c>
      <c r="S489" s="78">
        <f t="shared" ca="1" si="279"/>
        <v>103.8</v>
      </c>
      <c r="T489" s="55">
        <f t="shared" ca="1" si="267"/>
        <v>7.7799936530410396E-2</v>
      </c>
      <c r="U489" s="78">
        <f t="shared" ca="1" si="284"/>
        <v>3.2205255465590936E-5</v>
      </c>
      <c r="V489" s="79">
        <f t="shared" ca="1" si="280"/>
        <v>0</v>
      </c>
      <c r="W489" s="79">
        <f t="shared" ca="1" si="268"/>
        <v>0</v>
      </c>
      <c r="X489" s="80">
        <f t="shared" ca="1" si="285"/>
        <v>0</v>
      </c>
      <c r="Y489" s="80">
        <f t="shared" ca="1" si="286"/>
        <v>0</v>
      </c>
      <c r="Z489" s="80">
        <f t="shared" ca="1" si="281"/>
        <v>0</v>
      </c>
      <c r="AA489" s="80">
        <f t="shared" ca="1" si="287"/>
        <v>0</v>
      </c>
      <c r="AB489" s="81">
        <f t="shared" ca="1" si="269"/>
        <v>0</v>
      </c>
      <c r="AC489" s="79">
        <f t="shared" ca="1" si="270"/>
        <v>0</v>
      </c>
      <c r="AD489" s="35"/>
      <c r="AE489" s="62">
        <f t="shared" ca="1" si="271"/>
        <v>0</v>
      </c>
      <c r="AF489" s="62">
        <f t="shared" ca="1" si="272"/>
        <v>0</v>
      </c>
      <c r="AG489" s="35"/>
      <c r="AH489" s="35"/>
      <c r="AR489" s="69">
        <f t="shared" si="282"/>
        <v>41</v>
      </c>
      <c r="AS489" s="70">
        <f t="shared" si="288"/>
        <v>486</v>
      </c>
      <c r="AT489" s="71">
        <f t="shared" si="292"/>
        <v>3.5914831810870095E-2</v>
      </c>
      <c r="AU489" s="72">
        <f t="shared" si="273"/>
        <v>6.8214933659622723E-3</v>
      </c>
      <c r="AV489" s="73">
        <f t="shared" si="283"/>
        <v>1.0068214933659623</v>
      </c>
      <c r="AW489" s="74">
        <f>PRODUCT(AV$4:AV489)</f>
        <v>27.221020115013594</v>
      </c>
    </row>
    <row r="490" spans="5:49">
      <c r="E490">
        <f t="shared" si="290"/>
        <v>487</v>
      </c>
      <c r="F490" s="64">
        <f t="shared" si="274"/>
        <v>93.88</v>
      </c>
      <c r="G490" s="55">
        <f t="shared" si="262"/>
        <v>0</v>
      </c>
      <c r="H490" s="78">
        <f t="shared" si="289"/>
        <v>1</v>
      </c>
      <c r="I490" s="79">
        <f t="shared" si="275"/>
        <v>167677.17028757263</v>
      </c>
      <c r="J490" s="79">
        <f t="shared" si="263"/>
        <v>1143.8087047400029</v>
      </c>
      <c r="K490" s="80">
        <f t="shared" si="264"/>
        <v>-15</v>
      </c>
      <c r="L490" s="80">
        <f t="shared" si="276"/>
        <v>-139.73097523964387</v>
      </c>
      <c r="M490" s="80">
        <f t="shared" si="291"/>
        <v>0</v>
      </c>
      <c r="N490" s="80">
        <f t="shared" si="277"/>
        <v>-159.29331177319403</v>
      </c>
      <c r="O490" s="81">
        <f t="shared" si="265"/>
        <v>-2500.6101455486769</v>
      </c>
      <c r="P490" s="79">
        <f t="shared" si="266"/>
        <v>166006.3445597511</v>
      </c>
      <c r="Q490" s="35"/>
      <c r="R490">
        <f t="shared" ca="1" si="278"/>
        <v>612</v>
      </c>
      <c r="S490" s="78">
        <f t="shared" ca="1" si="279"/>
        <v>103.88</v>
      </c>
      <c r="T490" s="55">
        <f t="shared" ca="1" si="267"/>
        <v>7.7799936530410396E-2</v>
      </c>
      <c r="U490" s="78">
        <f t="shared" ca="1" si="284"/>
        <v>2.9699688634422307E-5</v>
      </c>
      <c r="V490" s="79">
        <f t="shared" ca="1" si="280"/>
        <v>0</v>
      </c>
      <c r="W490" s="79">
        <f t="shared" ca="1" si="268"/>
        <v>0</v>
      </c>
      <c r="X490" s="80">
        <f t="shared" ca="1" si="285"/>
        <v>0</v>
      </c>
      <c r="Y490" s="80">
        <f t="shared" ca="1" si="286"/>
        <v>0</v>
      </c>
      <c r="Z490" s="80">
        <f t="shared" ca="1" si="281"/>
        <v>0</v>
      </c>
      <c r="AA490" s="80">
        <f t="shared" ca="1" si="287"/>
        <v>0</v>
      </c>
      <c r="AB490" s="81">
        <f t="shared" ca="1" si="269"/>
        <v>0</v>
      </c>
      <c r="AC490" s="79">
        <f t="shared" ca="1" si="270"/>
        <v>0</v>
      </c>
      <c r="AD490" s="35"/>
      <c r="AE490" s="62">
        <f t="shared" ca="1" si="271"/>
        <v>0</v>
      </c>
      <c r="AF490" s="62">
        <f t="shared" ca="1" si="272"/>
        <v>0</v>
      </c>
      <c r="AG490" s="35"/>
      <c r="AH490" s="35"/>
      <c r="AR490" s="69">
        <f t="shared" si="282"/>
        <v>41</v>
      </c>
      <c r="AS490" s="70">
        <f t="shared" si="288"/>
        <v>487</v>
      </c>
      <c r="AT490" s="71">
        <f t="shared" si="292"/>
        <v>3.5669839023932594E-2</v>
      </c>
      <c r="AU490" s="72">
        <f t="shared" si="273"/>
        <v>6.8214933659622723E-3</v>
      </c>
      <c r="AV490" s="73">
        <f t="shared" si="283"/>
        <v>1.0068214933659623</v>
      </c>
      <c r="AW490" s="74">
        <f>PRODUCT(AV$4:AV490)</f>
        <v>27.406708123142884</v>
      </c>
    </row>
    <row r="491" spans="5:49">
      <c r="E491">
        <f t="shared" si="290"/>
        <v>488</v>
      </c>
      <c r="F491" s="64">
        <f t="shared" si="274"/>
        <v>93.96</v>
      </c>
      <c r="G491" s="55">
        <f t="shared" si="262"/>
        <v>0</v>
      </c>
      <c r="H491" s="78">
        <f t="shared" si="289"/>
        <v>1</v>
      </c>
      <c r="I491" s="79">
        <f t="shared" si="275"/>
        <v>166006.3445597511</v>
      </c>
      <c r="J491" s="79">
        <f t="shared" si="263"/>
        <v>1132.4111781219892</v>
      </c>
      <c r="K491" s="80">
        <f t="shared" si="264"/>
        <v>-15</v>
      </c>
      <c r="L491" s="80">
        <f t="shared" si="276"/>
        <v>-138.33862046645925</v>
      </c>
      <c r="M491" s="80">
        <f t="shared" si="291"/>
        <v>0</v>
      </c>
      <c r="N491" s="80">
        <f t="shared" si="277"/>
        <v>-157.70602733176358</v>
      </c>
      <c r="O491" s="81">
        <f t="shared" si="265"/>
        <v>-2500.6101455486769</v>
      </c>
      <c r="P491" s="79">
        <f t="shared" si="266"/>
        <v>164327.10094452617</v>
      </c>
      <c r="Q491" s="35"/>
      <c r="R491">
        <f t="shared" ca="1" si="278"/>
        <v>613</v>
      </c>
      <c r="S491" s="78">
        <f t="shared" ca="1" si="279"/>
        <v>103.96</v>
      </c>
      <c r="T491" s="55">
        <f t="shared" ca="1" si="267"/>
        <v>7.7799936530410396E-2</v>
      </c>
      <c r="U491" s="78">
        <f t="shared" ca="1" si="284"/>
        <v>2.7389054743691302E-5</v>
      </c>
      <c r="V491" s="79">
        <f t="shared" ca="1" si="280"/>
        <v>0</v>
      </c>
      <c r="W491" s="79">
        <f t="shared" ca="1" si="268"/>
        <v>0</v>
      </c>
      <c r="X491" s="80">
        <f t="shared" ca="1" si="285"/>
        <v>0</v>
      </c>
      <c r="Y491" s="80">
        <f t="shared" ca="1" si="286"/>
        <v>0</v>
      </c>
      <c r="Z491" s="80">
        <f t="shared" ca="1" si="281"/>
        <v>0</v>
      </c>
      <c r="AA491" s="80">
        <f t="shared" ca="1" si="287"/>
        <v>0</v>
      </c>
      <c r="AB491" s="81">
        <f t="shared" ca="1" si="269"/>
        <v>0</v>
      </c>
      <c r="AC491" s="79">
        <f t="shared" ca="1" si="270"/>
        <v>0</v>
      </c>
      <c r="AD491" s="35"/>
      <c r="AE491" s="62">
        <f t="shared" ca="1" si="271"/>
        <v>0</v>
      </c>
      <c r="AF491" s="62">
        <f t="shared" ca="1" si="272"/>
        <v>0</v>
      </c>
      <c r="AG491" s="35"/>
      <c r="AH491" s="35"/>
      <c r="AR491" s="69">
        <f t="shared" si="282"/>
        <v>41</v>
      </c>
      <c r="AS491" s="70">
        <f t="shared" si="288"/>
        <v>488</v>
      </c>
      <c r="AT491" s="71">
        <f t="shared" si="292"/>
        <v>3.5426517453665894E-2</v>
      </c>
      <c r="AU491" s="72">
        <f t="shared" si="273"/>
        <v>6.8214933659622723E-3</v>
      </c>
      <c r="AV491" s="73">
        <f t="shared" si="283"/>
        <v>1.0068214933659623</v>
      </c>
      <c r="AW491" s="74">
        <f>PRODUCT(AV$4:AV491)</f>
        <v>27.593662800787769</v>
      </c>
    </row>
    <row r="492" spans="5:49">
      <c r="E492">
        <f t="shared" si="290"/>
        <v>489</v>
      </c>
      <c r="F492" s="64">
        <f t="shared" si="274"/>
        <v>94.04</v>
      </c>
      <c r="G492" s="55">
        <f t="shared" si="262"/>
        <v>0</v>
      </c>
      <c r="H492" s="78">
        <f t="shared" si="289"/>
        <v>1</v>
      </c>
      <c r="I492" s="79">
        <f t="shared" si="275"/>
        <v>164327.10094452617</v>
      </c>
      <c r="J492" s="79">
        <f t="shared" si="263"/>
        <v>1120.956228940898</v>
      </c>
      <c r="K492" s="80">
        <f t="shared" si="264"/>
        <v>-15</v>
      </c>
      <c r="L492" s="80">
        <f t="shared" si="276"/>
        <v>-136.93925078710515</v>
      </c>
      <c r="M492" s="80">
        <f t="shared" si="291"/>
        <v>0</v>
      </c>
      <c r="N492" s="80">
        <f t="shared" si="277"/>
        <v>-156.11074589729989</v>
      </c>
      <c r="O492" s="81">
        <f t="shared" si="265"/>
        <v>-2500.6101455486769</v>
      </c>
      <c r="P492" s="79">
        <f t="shared" si="266"/>
        <v>162639.39703123397</v>
      </c>
      <c r="Q492" s="35"/>
      <c r="R492">
        <f t="shared" ca="1" si="278"/>
        <v>614</v>
      </c>
      <c r="S492" s="78">
        <f t="shared" ca="1" si="279"/>
        <v>104.04</v>
      </c>
      <c r="T492" s="55">
        <f t="shared" ca="1" si="267"/>
        <v>0</v>
      </c>
      <c r="U492" s="78">
        <f t="shared" ca="1" si="284"/>
        <v>2.7389054743691302E-5</v>
      </c>
      <c r="V492" s="79">
        <f t="shared" ca="1" si="280"/>
        <v>0</v>
      </c>
      <c r="W492" s="79">
        <f t="shared" ca="1" si="268"/>
        <v>0</v>
      </c>
      <c r="X492" s="80">
        <f t="shared" ca="1" si="285"/>
        <v>0</v>
      </c>
      <c r="Y492" s="80">
        <f t="shared" ca="1" si="286"/>
        <v>0</v>
      </c>
      <c r="Z492" s="80">
        <f t="shared" ca="1" si="281"/>
        <v>0</v>
      </c>
      <c r="AA492" s="80">
        <f t="shared" ca="1" si="287"/>
        <v>0</v>
      </c>
      <c r="AB492" s="81">
        <f t="shared" ca="1" si="269"/>
        <v>0</v>
      </c>
      <c r="AC492" s="79">
        <f t="shared" ca="1" si="270"/>
        <v>0</v>
      </c>
      <c r="AD492" s="35"/>
      <c r="AE492" s="62">
        <f t="shared" ca="1" si="271"/>
        <v>0</v>
      </c>
      <c r="AF492" s="62">
        <f t="shared" ca="1" si="272"/>
        <v>0</v>
      </c>
      <c r="AG492" s="35"/>
      <c r="AH492" s="35"/>
      <c r="AR492" s="69">
        <f t="shared" si="282"/>
        <v>41</v>
      </c>
      <c r="AS492" s="70">
        <f t="shared" si="288"/>
        <v>489</v>
      </c>
      <c r="AT492" s="71">
        <f t="shared" si="292"/>
        <v>3.5184855699876567E-2</v>
      </c>
      <c r="AU492" s="72">
        <f t="shared" si="273"/>
        <v>6.8214933659622723E-3</v>
      </c>
      <c r="AV492" s="73">
        <f t="shared" si="283"/>
        <v>1.0068214933659623</v>
      </c>
      <c r="AW492" s="74">
        <f>PRODUCT(AV$4:AV492)</f>
        <v>27.781892788525944</v>
      </c>
    </row>
    <row r="493" spans="5:49">
      <c r="E493">
        <f t="shared" si="290"/>
        <v>490</v>
      </c>
      <c r="F493" s="64">
        <f t="shared" si="274"/>
        <v>94.12</v>
      </c>
      <c r="G493" s="55">
        <f t="shared" si="262"/>
        <v>0</v>
      </c>
      <c r="H493" s="78">
        <f t="shared" si="289"/>
        <v>1</v>
      </c>
      <c r="I493" s="79">
        <f t="shared" si="275"/>
        <v>162639.39703123397</v>
      </c>
      <c r="J493" s="79">
        <f t="shared" si="263"/>
        <v>1109.4435678926666</v>
      </c>
      <c r="K493" s="80">
        <f t="shared" si="264"/>
        <v>-15</v>
      </c>
      <c r="L493" s="80">
        <f t="shared" si="276"/>
        <v>-135.53283085936164</v>
      </c>
      <c r="M493" s="80">
        <f t="shared" si="291"/>
        <v>0</v>
      </c>
      <c r="N493" s="80">
        <f t="shared" si="277"/>
        <v>-154.50742717967231</v>
      </c>
      <c r="O493" s="81">
        <f t="shared" si="265"/>
        <v>-2500.6101455486769</v>
      </c>
      <c r="P493" s="79">
        <f t="shared" si="266"/>
        <v>160943.19019553892</v>
      </c>
      <c r="Q493" s="35"/>
      <c r="R493">
        <f t="shared" ca="1" si="278"/>
        <v>615</v>
      </c>
      <c r="S493" s="78">
        <f t="shared" ca="1" si="279"/>
        <v>104.12</v>
      </c>
      <c r="T493" s="55">
        <f t="shared" ca="1" si="267"/>
        <v>0</v>
      </c>
      <c r="U493" s="78">
        <f t="shared" ca="1" si="284"/>
        <v>2.7389054743691302E-5</v>
      </c>
      <c r="V493" s="79">
        <f t="shared" ca="1" si="280"/>
        <v>0</v>
      </c>
      <c r="W493" s="79">
        <f t="shared" ca="1" si="268"/>
        <v>0</v>
      </c>
      <c r="X493" s="80">
        <f t="shared" ca="1" si="285"/>
        <v>0</v>
      </c>
      <c r="Y493" s="80">
        <f t="shared" ca="1" si="286"/>
        <v>0</v>
      </c>
      <c r="Z493" s="80">
        <f t="shared" ca="1" si="281"/>
        <v>0</v>
      </c>
      <c r="AA493" s="80">
        <f t="shared" ca="1" si="287"/>
        <v>0</v>
      </c>
      <c r="AB493" s="81">
        <f t="shared" ca="1" si="269"/>
        <v>0</v>
      </c>
      <c r="AC493" s="79">
        <f t="shared" ca="1" si="270"/>
        <v>0</v>
      </c>
      <c r="AD493" s="35"/>
      <c r="AE493" s="62">
        <f t="shared" ca="1" si="271"/>
        <v>0</v>
      </c>
      <c r="AF493" s="62">
        <f t="shared" ca="1" si="272"/>
        <v>0</v>
      </c>
      <c r="AG493" s="35"/>
      <c r="AH493" s="35"/>
      <c r="AR493" s="69">
        <f t="shared" si="282"/>
        <v>41</v>
      </c>
      <c r="AS493" s="70">
        <f t="shared" si="288"/>
        <v>490</v>
      </c>
      <c r="AT493" s="71">
        <f t="shared" si="292"/>
        <v>3.494484244013752E-2</v>
      </c>
      <c r="AU493" s="72">
        <f t="shared" si="273"/>
        <v>6.8214933659622723E-3</v>
      </c>
      <c r="AV493" s="73">
        <f t="shared" si="283"/>
        <v>1.0068214933659623</v>
      </c>
      <c r="AW493" s="74">
        <f>PRODUCT(AV$4:AV493)</f>
        <v>27.971406785876749</v>
      </c>
    </row>
    <row r="494" spans="5:49">
      <c r="E494">
        <f t="shared" si="290"/>
        <v>491</v>
      </c>
      <c r="F494" s="64">
        <f t="shared" si="274"/>
        <v>94.2</v>
      </c>
      <c r="G494" s="55">
        <f t="shared" si="262"/>
        <v>0</v>
      </c>
      <c r="H494" s="78">
        <f t="shared" si="289"/>
        <v>1</v>
      </c>
      <c r="I494" s="79">
        <f t="shared" si="275"/>
        <v>160943.19019553892</v>
      </c>
      <c r="J494" s="79">
        <f t="shared" si="263"/>
        <v>1097.8729042156729</v>
      </c>
      <c r="K494" s="80">
        <f t="shared" si="264"/>
        <v>-15</v>
      </c>
      <c r="L494" s="80">
        <f t="shared" si="276"/>
        <v>-134.11932516294911</v>
      </c>
      <c r="M494" s="80">
        <f t="shared" si="291"/>
        <v>0</v>
      </c>
      <c r="N494" s="80">
        <f t="shared" si="277"/>
        <v>-152.89603068576199</v>
      </c>
      <c r="O494" s="81">
        <f t="shared" si="265"/>
        <v>-2500.6101455486769</v>
      </c>
      <c r="P494" s="79">
        <f t="shared" si="266"/>
        <v>159238.43759835721</v>
      </c>
      <c r="Q494" s="35"/>
      <c r="R494">
        <f t="shared" ca="1" si="278"/>
        <v>616</v>
      </c>
      <c r="S494" s="78">
        <f t="shared" ca="1" si="279"/>
        <v>104.2</v>
      </c>
      <c r="T494" s="55">
        <f t="shared" ca="1" si="267"/>
        <v>0</v>
      </c>
      <c r="U494" s="78">
        <f t="shared" ca="1" si="284"/>
        <v>2.7389054743691302E-5</v>
      </c>
      <c r="V494" s="79">
        <f t="shared" ca="1" si="280"/>
        <v>0</v>
      </c>
      <c r="W494" s="79">
        <f t="shared" ca="1" si="268"/>
        <v>0</v>
      </c>
      <c r="X494" s="80">
        <f t="shared" ca="1" si="285"/>
        <v>0</v>
      </c>
      <c r="Y494" s="80">
        <f t="shared" ca="1" si="286"/>
        <v>0</v>
      </c>
      <c r="Z494" s="80">
        <f t="shared" ca="1" si="281"/>
        <v>0</v>
      </c>
      <c r="AA494" s="80">
        <f t="shared" ca="1" si="287"/>
        <v>0</v>
      </c>
      <c r="AB494" s="81">
        <f t="shared" ca="1" si="269"/>
        <v>0</v>
      </c>
      <c r="AC494" s="79">
        <f t="shared" ca="1" si="270"/>
        <v>0</v>
      </c>
      <c r="AD494" s="35"/>
      <c r="AE494" s="62">
        <f t="shared" ca="1" si="271"/>
        <v>0</v>
      </c>
      <c r="AF494" s="62">
        <f t="shared" ca="1" si="272"/>
        <v>0</v>
      </c>
      <c r="AG494" s="35"/>
      <c r="AH494" s="35"/>
      <c r="AR494" s="69">
        <f t="shared" si="282"/>
        <v>41</v>
      </c>
      <c r="AS494" s="70">
        <f t="shared" si="288"/>
        <v>491</v>
      </c>
      <c r="AT494" s="71">
        <f t="shared" si="292"/>
        <v>3.4706466429257524E-2</v>
      </c>
      <c r="AU494" s="72">
        <f t="shared" si="273"/>
        <v>6.8214933659622723E-3</v>
      </c>
      <c r="AV494" s="73">
        <f t="shared" si="283"/>
        <v>1.0068214933659623</v>
      </c>
      <c r="AW494" s="74">
        <f>PRODUCT(AV$4:AV494)</f>
        <v>28.162213551703239</v>
      </c>
    </row>
    <row r="495" spans="5:49">
      <c r="E495">
        <f t="shared" si="290"/>
        <v>492</v>
      </c>
      <c r="F495" s="64">
        <f t="shared" si="274"/>
        <v>94.28</v>
      </c>
      <c r="G495" s="55">
        <f t="shared" si="262"/>
        <v>0</v>
      </c>
      <c r="H495" s="78">
        <f t="shared" si="289"/>
        <v>1</v>
      </c>
      <c r="I495" s="79">
        <f t="shared" si="275"/>
        <v>159238.43759835721</v>
      </c>
      <c r="J495" s="79">
        <f t="shared" si="263"/>
        <v>1086.2439456833911</v>
      </c>
      <c r="K495" s="80">
        <f t="shared" si="264"/>
        <v>-15</v>
      </c>
      <c r="L495" s="80">
        <f t="shared" si="276"/>
        <v>-132.69869799863102</v>
      </c>
      <c r="M495" s="80">
        <f t="shared" si="291"/>
        <v>0</v>
      </c>
      <c r="N495" s="80">
        <f t="shared" si="277"/>
        <v>-151.27651571843938</v>
      </c>
      <c r="O495" s="81">
        <f t="shared" si="265"/>
        <v>-2500.6101455486769</v>
      </c>
      <c r="P495" s="79">
        <f t="shared" si="266"/>
        <v>157525.09618477485</v>
      </c>
      <c r="Q495" s="35"/>
      <c r="R495">
        <f t="shared" ca="1" si="278"/>
        <v>617</v>
      </c>
      <c r="S495" s="78">
        <f t="shared" ca="1" si="279"/>
        <v>104.28</v>
      </c>
      <c r="T495" s="55">
        <f t="shared" ca="1" si="267"/>
        <v>0</v>
      </c>
      <c r="U495" s="78">
        <f t="shared" ca="1" si="284"/>
        <v>2.7389054743691302E-5</v>
      </c>
      <c r="V495" s="79">
        <f t="shared" ca="1" si="280"/>
        <v>0</v>
      </c>
      <c r="W495" s="79">
        <f t="shared" ca="1" si="268"/>
        <v>0</v>
      </c>
      <c r="X495" s="80">
        <f t="shared" ca="1" si="285"/>
        <v>0</v>
      </c>
      <c r="Y495" s="80">
        <f t="shared" ca="1" si="286"/>
        <v>0</v>
      </c>
      <c r="Z495" s="80">
        <f t="shared" ca="1" si="281"/>
        <v>0</v>
      </c>
      <c r="AA495" s="80">
        <f t="shared" ca="1" si="287"/>
        <v>0</v>
      </c>
      <c r="AB495" s="81">
        <f t="shared" ca="1" si="269"/>
        <v>0</v>
      </c>
      <c r="AC495" s="79">
        <f t="shared" ca="1" si="270"/>
        <v>0</v>
      </c>
      <c r="AD495" s="35"/>
      <c r="AE495" s="62">
        <f t="shared" ca="1" si="271"/>
        <v>0</v>
      </c>
      <c r="AF495" s="62">
        <f t="shared" ca="1" si="272"/>
        <v>0</v>
      </c>
      <c r="AG495" s="35"/>
      <c r="AH495" s="35"/>
      <c r="AR495" s="69">
        <f t="shared" si="282"/>
        <v>41</v>
      </c>
      <c r="AS495" s="70">
        <f t="shared" si="288"/>
        <v>492</v>
      </c>
      <c r="AT495" s="71">
        <f t="shared" si="292"/>
        <v>3.4469716498754348E-2</v>
      </c>
      <c r="AU495" s="72">
        <f t="shared" si="273"/>
        <v>6.8214933659622723E-3</v>
      </c>
      <c r="AV495" s="73">
        <f t="shared" si="283"/>
        <v>1.0068214933659623</v>
      </c>
      <c r="AW495" s="74">
        <f>PRODUCT(AV$4:AV495)</f>
        <v>28.354321904616995</v>
      </c>
    </row>
    <row r="496" spans="5:49">
      <c r="E496">
        <f t="shared" si="290"/>
        <v>493</v>
      </c>
      <c r="F496" s="64">
        <f t="shared" si="274"/>
        <v>94.36</v>
      </c>
      <c r="G496" s="55">
        <f t="shared" si="262"/>
        <v>0</v>
      </c>
      <c r="H496" s="78">
        <f t="shared" si="289"/>
        <v>1</v>
      </c>
      <c r="I496" s="79">
        <f t="shared" si="275"/>
        <v>157525.09618477485</v>
      </c>
      <c r="J496" s="79">
        <f t="shared" si="263"/>
        <v>1074.5563985970105</v>
      </c>
      <c r="K496" s="80">
        <f t="shared" si="264"/>
        <v>-15</v>
      </c>
      <c r="L496" s="80">
        <f t="shared" si="276"/>
        <v>-131.27091348731238</v>
      </c>
      <c r="M496" s="80">
        <f t="shared" si="291"/>
        <v>-1181.4382213858114</v>
      </c>
      <c r="N496" s="80">
        <f t="shared" si="277"/>
        <v>-149.64884137553614</v>
      </c>
      <c r="O496" s="81">
        <f t="shared" si="265"/>
        <v>-2500.6101455486769</v>
      </c>
      <c r="P496" s="79">
        <f t="shared" si="266"/>
        <v>154621.68446157454</v>
      </c>
      <c r="Q496" s="35"/>
      <c r="R496">
        <f t="shared" ca="1" si="278"/>
        <v>618</v>
      </c>
      <c r="S496" s="78">
        <f t="shared" ca="1" si="279"/>
        <v>104.36</v>
      </c>
      <c r="T496" s="55">
        <f t="shared" ca="1" si="267"/>
        <v>0</v>
      </c>
      <c r="U496" s="78">
        <f t="shared" ca="1" si="284"/>
        <v>2.7389054743691302E-5</v>
      </c>
      <c r="V496" s="79">
        <f t="shared" ca="1" si="280"/>
        <v>0</v>
      </c>
      <c r="W496" s="79">
        <f t="shared" ca="1" si="268"/>
        <v>0</v>
      </c>
      <c r="X496" s="80">
        <f t="shared" ca="1" si="285"/>
        <v>0</v>
      </c>
      <c r="Y496" s="80">
        <f t="shared" ca="1" si="286"/>
        <v>0</v>
      </c>
      <c r="Z496" s="80">
        <f t="shared" ca="1" si="281"/>
        <v>0</v>
      </c>
      <c r="AA496" s="80">
        <f t="shared" ca="1" si="287"/>
        <v>0</v>
      </c>
      <c r="AB496" s="81">
        <f t="shared" ca="1" si="269"/>
        <v>0</v>
      </c>
      <c r="AC496" s="79">
        <f t="shared" ca="1" si="270"/>
        <v>0</v>
      </c>
      <c r="AD496" s="35"/>
      <c r="AE496" s="62">
        <f t="shared" ca="1" si="271"/>
        <v>0</v>
      </c>
      <c r="AF496" s="62">
        <f t="shared" ca="1" si="272"/>
        <v>0</v>
      </c>
      <c r="AG496" s="35"/>
      <c r="AH496" s="35"/>
      <c r="AR496" s="69">
        <f t="shared" si="282"/>
        <v>42</v>
      </c>
      <c r="AS496" s="70">
        <f t="shared" si="288"/>
        <v>493</v>
      </c>
      <c r="AT496" s="71">
        <f t="shared" si="292"/>
        <v>3.4234581556331495E-2</v>
      </c>
      <c r="AU496" s="72">
        <f t="shared" si="273"/>
        <v>6.8214933659622723E-3</v>
      </c>
      <c r="AV496" s="73">
        <f t="shared" si="283"/>
        <v>1.0068214933659623</v>
      </c>
      <c r="AW496" s="74">
        <f>PRODUCT(AV$4:AV496)</f>
        <v>28.547740723385697</v>
      </c>
    </row>
    <row r="497" spans="5:49">
      <c r="E497">
        <f t="shared" si="290"/>
        <v>494</v>
      </c>
      <c r="F497" s="64">
        <f t="shared" si="274"/>
        <v>94.44</v>
      </c>
      <c r="G497" s="55">
        <f t="shared" si="262"/>
        <v>0</v>
      </c>
      <c r="H497" s="78">
        <f t="shared" si="289"/>
        <v>1</v>
      </c>
      <c r="I497" s="79">
        <f t="shared" si="275"/>
        <v>154621.68446157454</v>
      </c>
      <c r="J497" s="79">
        <f t="shared" si="263"/>
        <v>1054.7507947885424</v>
      </c>
      <c r="K497" s="80">
        <f t="shared" si="264"/>
        <v>-15</v>
      </c>
      <c r="L497" s="80">
        <f t="shared" si="276"/>
        <v>-128.8514037179788</v>
      </c>
      <c r="M497" s="80">
        <f t="shared" si="291"/>
        <v>0</v>
      </c>
      <c r="N497" s="80">
        <f t="shared" si="277"/>
        <v>-146.89060023849584</v>
      </c>
      <c r="O497" s="81">
        <f t="shared" si="265"/>
        <v>-2500.6101455486769</v>
      </c>
      <c r="P497" s="79">
        <f t="shared" si="266"/>
        <v>152885.08310685793</v>
      </c>
      <c r="Q497" s="35"/>
      <c r="R497">
        <f t="shared" ca="1" si="278"/>
        <v>619</v>
      </c>
      <c r="S497" s="78">
        <f t="shared" ca="1" si="279"/>
        <v>104.44</v>
      </c>
      <c r="T497" s="55">
        <f t="shared" ca="1" si="267"/>
        <v>0</v>
      </c>
      <c r="U497" s="78">
        <f t="shared" ca="1" si="284"/>
        <v>2.7389054743691302E-5</v>
      </c>
      <c r="V497" s="79">
        <f t="shared" ca="1" si="280"/>
        <v>0</v>
      </c>
      <c r="W497" s="79">
        <f t="shared" ca="1" si="268"/>
        <v>0</v>
      </c>
      <c r="X497" s="80">
        <f t="shared" ca="1" si="285"/>
        <v>0</v>
      </c>
      <c r="Y497" s="80">
        <f t="shared" ca="1" si="286"/>
        <v>0</v>
      </c>
      <c r="Z497" s="80">
        <f t="shared" ca="1" si="281"/>
        <v>0</v>
      </c>
      <c r="AA497" s="80">
        <f t="shared" ca="1" si="287"/>
        <v>0</v>
      </c>
      <c r="AB497" s="81">
        <f t="shared" ca="1" si="269"/>
        <v>0</v>
      </c>
      <c r="AC497" s="79">
        <f t="shared" ca="1" si="270"/>
        <v>0</v>
      </c>
      <c r="AD497" s="35"/>
      <c r="AE497" s="62">
        <f t="shared" ca="1" si="271"/>
        <v>0</v>
      </c>
      <c r="AF497" s="62">
        <f t="shared" ca="1" si="272"/>
        <v>0</v>
      </c>
      <c r="AG497" s="35"/>
      <c r="AH497" s="35"/>
      <c r="AR497" s="69">
        <f t="shared" si="282"/>
        <v>42</v>
      </c>
      <c r="AS497" s="70">
        <f t="shared" si="288"/>
        <v>494</v>
      </c>
      <c r="AT497" s="71">
        <f t="shared" si="292"/>
        <v>3.4001050585358482E-2</v>
      </c>
      <c r="AU497" s="72">
        <f t="shared" si="273"/>
        <v>6.8214933659622723E-3</v>
      </c>
      <c r="AV497" s="73">
        <f t="shared" si="283"/>
        <v>1.0068214933659623</v>
      </c>
      <c r="AW497" s="74">
        <f>PRODUCT(AV$4:AV497)</f>
        <v>28.742478947343482</v>
      </c>
    </row>
    <row r="498" spans="5:49">
      <c r="E498">
        <f t="shared" si="290"/>
        <v>495</v>
      </c>
      <c r="F498" s="64">
        <f t="shared" si="274"/>
        <v>94.52</v>
      </c>
      <c r="G498" s="55">
        <f t="shared" si="262"/>
        <v>0</v>
      </c>
      <c r="H498" s="78">
        <f t="shared" si="289"/>
        <v>1</v>
      </c>
      <c r="I498" s="79">
        <f t="shared" si="275"/>
        <v>152885.08310685793</v>
      </c>
      <c r="J498" s="79">
        <f t="shared" si="263"/>
        <v>1042.904580168022</v>
      </c>
      <c r="K498" s="80">
        <f t="shared" si="264"/>
        <v>-15</v>
      </c>
      <c r="L498" s="80">
        <f t="shared" si="276"/>
        <v>-127.40423592238162</v>
      </c>
      <c r="M498" s="80">
        <f t="shared" si="291"/>
        <v>0</v>
      </c>
      <c r="N498" s="80">
        <f t="shared" si="277"/>
        <v>-145.24082895151506</v>
      </c>
      <c r="O498" s="81">
        <f t="shared" si="265"/>
        <v>-2500.6101455486769</v>
      </c>
      <c r="P498" s="79">
        <f t="shared" si="266"/>
        <v>151139.73247660339</v>
      </c>
      <c r="Q498" s="35"/>
      <c r="R498">
        <f t="shared" ca="1" si="278"/>
        <v>620</v>
      </c>
      <c r="S498" s="78">
        <f t="shared" ca="1" si="279"/>
        <v>104.52</v>
      </c>
      <c r="T498" s="55">
        <f t="shared" ca="1" si="267"/>
        <v>0</v>
      </c>
      <c r="U498" s="78">
        <f t="shared" ca="1" si="284"/>
        <v>2.7389054743691302E-5</v>
      </c>
      <c r="V498" s="79">
        <f t="shared" ca="1" si="280"/>
        <v>0</v>
      </c>
      <c r="W498" s="79">
        <f t="shared" ca="1" si="268"/>
        <v>0</v>
      </c>
      <c r="X498" s="80">
        <f t="shared" ca="1" si="285"/>
        <v>0</v>
      </c>
      <c r="Y498" s="80">
        <f t="shared" ca="1" si="286"/>
        <v>0</v>
      </c>
      <c r="Z498" s="80">
        <f t="shared" ca="1" si="281"/>
        <v>0</v>
      </c>
      <c r="AA498" s="80">
        <f t="shared" ca="1" si="287"/>
        <v>0</v>
      </c>
      <c r="AB498" s="81">
        <f t="shared" ca="1" si="269"/>
        <v>0</v>
      </c>
      <c r="AC498" s="79">
        <f t="shared" ca="1" si="270"/>
        <v>0</v>
      </c>
      <c r="AD498" s="35"/>
      <c r="AE498" s="62">
        <f t="shared" ca="1" si="271"/>
        <v>0</v>
      </c>
      <c r="AF498" s="62">
        <f t="shared" ca="1" si="272"/>
        <v>0</v>
      </c>
      <c r="AG498" s="35"/>
      <c r="AH498" s="35"/>
      <c r="AR498" s="69">
        <f t="shared" si="282"/>
        <v>42</v>
      </c>
      <c r="AS498" s="70">
        <f t="shared" si="288"/>
        <v>495</v>
      </c>
      <c r="AT498" s="71">
        <f t="shared" si="292"/>
        <v>3.3769112644354712E-2</v>
      </c>
      <c r="AU498" s="72">
        <f t="shared" si="273"/>
        <v>6.8214933659622723E-3</v>
      </c>
      <c r="AV498" s="73">
        <f t="shared" si="283"/>
        <v>1.0068214933659623</v>
      </c>
      <c r="AW498" s="74">
        <f>PRODUCT(AV$4:AV498)</f>
        <v>28.938545576804096</v>
      </c>
    </row>
    <row r="499" spans="5:49">
      <c r="E499">
        <f t="shared" si="290"/>
        <v>496</v>
      </c>
      <c r="F499" s="64">
        <f t="shared" si="274"/>
        <v>94.6</v>
      </c>
      <c r="G499" s="55">
        <f t="shared" si="262"/>
        <v>0</v>
      </c>
      <c r="H499" s="78">
        <f t="shared" si="289"/>
        <v>1</v>
      </c>
      <c r="I499" s="79">
        <f t="shared" si="275"/>
        <v>151139.73247660339</v>
      </c>
      <c r="J499" s="79">
        <f t="shared" si="263"/>
        <v>1030.9986824224625</v>
      </c>
      <c r="K499" s="80">
        <f t="shared" si="264"/>
        <v>-15</v>
      </c>
      <c r="L499" s="80">
        <f t="shared" si="276"/>
        <v>-125.94977706383617</v>
      </c>
      <c r="M499" s="80">
        <f t="shared" si="291"/>
        <v>0</v>
      </c>
      <c r="N499" s="80">
        <f t="shared" si="277"/>
        <v>-143.58274585277323</v>
      </c>
      <c r="O499" s="81">
        <f t="shared" si="265"/>
        <v>-2500.6101455486769</v>
      </c>
      <c r="P499" s="79">
        <f t="shared" si="266"/>
        <v>149385.58849056059</v>
      </c>
      <c r="Q499" s="35"/>
      <c r="R499">
        <f t="shared" ca="1" si="278"/>
        <v>621</v>
      </c>
      <c r="S499" s="78">
        <f t="shared" ca="1" si="279"/>
        <v>104.6</v>
      </c>
      <c r="T499" s="55">
        <f t="shared" ca="1" si="267"/>
        <v>0</v>
      </c>
      <c r="U499" s="78">
        <f t="shared" ca="1" si="284"/>
        <v>2.7389054743691302E-5</v>
      </c>
      <c r="V499" s="79">
        <f t="shared" ca="1" si="280"/>
        <v>0</v>
      </c>
      <c r="W499" s="79">
        <f t="shared" ca="1" si="268"/>
        <v>0</v>
      </c>
      <c r="X499" s="80">
        <f t="shared" ca="1" si="285"/>
        <v>0</v>
      </c>
      <c r="Y499" s="80">
        <f t="shared" ca="1" si="286"/>
        <v>0</v>
      </c>
      <c r="Z499" s="80">
        <f t="shared" ca="1" si="281"/>
        <v>0</v>
      </c>
      <c r="AA499" s="80">
        <f t="shared" ca="1" si="287"/>
        <v>0</v>
      </c>
      <c r="AB499" s="81">
        <f t="shared" ca="1" si="269"/>
        <v>0</v>
      </c>
      <c r="AC499" s="79">
        <f t="shared" ca="1" si="270"/>
        <v>0</v>
      </c>
      <c r="AD499" s="35"/>
      <c r="AE499" s="62">
        <f t="shared" ca="1" si="271"/>
        <v>0</v>
      </c>
      <c r="AF499" s="62">
        <f t="shared" ca="1" si="272"/>
        <v>0</v>
      </c>
      <c r="AG499" s="35"/>
      <c r="AH499" s="35"/>
      <c r="AR499" s="69">
        <f t="shared" si="282"/>
        <v>42</v>
      </c>
      <c r="AS499" s="70">
        <f t="shared" si="288"/>
        <v>496</v>
      </c>
      <c r="AT499" s="71">
        <f t="shared" si="292"/>
        <v>3.3538756866476817E-2</v>
      </c>
      <c r="AU499" s="72">
        <f t="shared" si="273"/>
        <v>6.8214933659622723E-3</v>
      </c>
      <c r="AV499" s="73">
        <f t="shared" si="283"/>
        <v>1.0068214933659623</v>
      </c>
      <c r="AW499" s="74">
        <f>PRODUCT(AV$4:AV499)</f>
        <v>29.135949673476862</v>
      </c>
    </row>
    <row r="500" spans="5:49">
      <c r="E500">
        <f t="shared" si="290"/>
        <v>497</v>
      </c>
      <c r="F500" s="64">
        <f t="shared" si="274"/>
        <v>94.68</v>
      </c>
      <c r="G500" s="55">
        <f t="shared" si="262"/>
        <v>0</v>
      </c>
      <c r="H500" s="78">
        <f t="shared" si="289"/>
        <v>1</v>
      </c>
      <c r="I500" s="79">
        <f t="shared" si="275"/>
        <v>149385.58849056059</v>
      </c>
      <c r="J500" s="79">
        <f t="shared" si="263"/>
        <v>1019.032800858729</v>
      </c>
      <c r="K500" s="80">
        <f t="shared" si="264"/>
        <v>-15</v>
      </c>
      <c r="L500" s="80">
        <f t="shared" si="276"/>
        <v>-124.4879904088005</v>
      </c>
      <c r="M500" s="80">
        <f t="shared" si="291"/>
        <v>0</v>
      </c>
      <c r="N500" s="80">
        <f t="shared" si="277"/>
        <v>-141.9163090660326</v>
      </c>
      <c r="O500" s="81">
        <f t="shared" si="265"/>
        <v>-2500.6101455486769</v>
      </c>
      <c r="P500" s="79">
        <f t="shared" si="266"/>
        <v>147622.60684639582</v>
      </c>
      <c r="Q500" s="35"/>
      <c r="R500">
        <f t="shared" ca="1" si="278"/>
        <v>622</v>
      </c>
      <c r="S500" s="78">
        <f t="shared" ca="1" si="279"/>
        <v>104.68</v>
      </c>
      <c r="T500" s="55">
        <f t="shared" ca="1" si="267"/>
        <v>0</v>
      </c>
      <c r="U500" s="78">
        <f t="shared" ca="1" si="284"/>
        <v>2.7389054743691302E-5</v>
      </c>
      <c r="V500" s="79">
        <f t="shared" ca="1" si="280"/>
        <v>0</v>
      </c>
      <c r="W500" s="79">
        <f t="shared" ca="1" si="268"/>
        <v>0</v>
      </c>
      <c r="X500" s="80">
        <f t="shared" ca="1" si="285"/>
        <v>0</v>
      </c>
      <c r="Y500" s="80">
        <f t="shared" ca="1" si="286"/>
        <v>0</v>
      </c>
      <c r="Z500" s="80">
        <f t="shared" ca="1" si="281"/>
        <v>0</v>
      </c>
      <c r="AA500" s="80">
        <f t="shared" ca="1" si="287"/>
        <v>0</v>
      </c>
      <c r="AB500" s="81">
        <f t="shared" ca="1" si="269"/>
        <v>0</v>
      </c>
      <c r="AC500" s="79">
        <f t="shared" ca="1" si="270"/>
        <v>0</v>
      </c>
      <c r="AD500" s="35"/>
      <c r="AE500" s="62">
        <f t="shared" ca="1" si="271"/>
        <v>0</v>
      </c>
      <c r="AF500" s="62">
        <f t="shared" ca="1" si="272"/>
        <v>0</v>
      </c>
      <c r="AG500" s="35"/>
      <c r="AH500" s="35"/>
      <c r="AR500" s="69">
        <f t="shared" si="282"/>
        <v>42</v>
      </c>
      <c r="AS500" s="70">
        <f t="shared" si="288"/>
        <v>497</v>
      </c>
      <c r="AT500" s="71">
        <f t="shared" si="292"/>
        <v>3.3309972459009525E-2</v>
      </c>
      <c r="AU500" s="72">
        <f t="shared" si="273"/>
        <v>6.8214933659622723E-3</v>
      </c>
      <c r="AV500" s="73">
        <f t="shared" si="283"/>
        <v>1.0068214933659623</v>
      </c>
      <c r="AW500" s="74">
        <f>PRODUCT(AV$4:AV500)</f>
        <v>29.334700360885495</v>
      </c>
    </row>
    <row r="501" spans="5:49">
      <c r="E501">
        <f t="shared" si="290"/>
        <v>498</v>
      </c>
      <c r="F501" s="64">
        <f t="shared" si="274"/>
        <v>94.76</v>
      </c>
      <c r="G501" s="55">
        <f t="shared" si="262"/>
        <v>0</v>
      </c>
      <c r="H501" s="78">
        <f t="shared" si="289"/>
        <v>1</v>
      </c>
      <c r="I501" s="79">
        <f t="shared" si="275"/>
        <v>147622.60684639582</v>
      </c>
      <c r="J501" s="79">
        <f t="shared" si="263"/>
        <v>1007.0066332687459</v>
      </c>
      <c r="K501" s="80">
        <f t="shared" si="264"/>
        <v>-15</v>
      </c>
      <c r="L501" s="80">
        <f t="shared" si="276"/>
        <v>-123.01883903866319</v>
      </c>
      <c r="M501" s="80">
        <f t="shared" si="291"/>
        <v>0</v>
      </c>
      <c r="N501" s="80">
        <f t="shared" si="277"/>
        <v>-140.24147650407608</v>
      </c>
      <c r="O501" s="81">
        <f t="shared" si="265"/>
        <v>-2500.6101455486769</v>
      </c>
      <c r="P501" s="79">
        <f t="shared" si="266"/>
        <v>145850.74301857315</v>
      </c>
      <c r="Q501" s="35"/>
      <c r="R501">
        <f t="shared" ca="1" si="278"/>
        <v>623</v>
      </c>
      <c r="S501" s="78">
        <f t="shared" ca="1" si="279"/>
        <v>104.76</v>
      </c>
      <c r="T501" s="55">
        <f t="shared" ca="1" si="267"/>
        <v>0</v>
      </c>
      <c r="U501" s="78">
        <f t="shared" ca="1" si="284"/>
        <v>2.7389054743691302E-5</v>
      </c>
      <c r="V501" s="79">
        <f t="shared" ca="1" si="280"/>
        <v>0</v>
      </c>
      <c r="W501" s="79">
        <f t="shared" ca="1" si="268"/>
        <v>0</v>
      </c>
      <c r="X501" s="80">
        <f t="shared" ca="1" si="285"/>
        <v>0</v>
      </c>
      <c r="Y501" s="80">
        <f t="shared" ca="1" si="286"/>
        <v>0</v>
      </c>
      <c r="Z501" s="80">
        <f t="shared" ca="1" si="281"/>
        <v>0</v>
      </c>
      <c r="AA501" s="80">
        <f t="shared" ca="1" si="287"/>
        <v>0</v>
      </c>
      <c r="AB501" s="81">
        <f t="shared" ca="1" si="269"/>
        <v>0</v>
      </c>
      <c r="AC501" s="79">
        <f t="shared" ca="1" si="270"/>
        <v>0</v>
      </c>
      <c r="AD501" s="35"/>
      <c r="AE501" s="62">
        <f t="shared" ca="1" si="271"/>
        <v>0</v>
      </c>
      <c r="AF501" s="62">
        <f t="shared" ca="1" si="272"/>
        <v>0</v>
      </c>
      <c r="AG501" s="35"/>
      <c r="AH501" s="35"/>
      <c r="AR501" s="69">
        <f t="shared" si="282"/>
        <v>42</v>
      </c>
      <c r="AS501" s="70">
        <f t="shared" si="288"/>
        <v>498</v>
      </c>
      <c r="AT501" s="71">
        <f t="shared" si="292"/>
        <v>3.3082748702860008E-2</v>
      </c>
      <c r="AU501" s="72">
        <f t="shared" si="273"/>
        <v>6.8214933659622723E-3</v>
      </c>
      <c r="AV501" s="73">
        <f t="shared" si="283"/>
        <v>1.0068214933659623</v>
      </c>
      <c r="AW501" s="74">
        <f>PRODUCT(AV$4:AV501)</f>
        <v>29.534806824789769</v>
      </c>
    </row>
    <row r="502" spans="5:49">
      <c r="E502">
        <f t="shared" si="290"/>
        <v>499</v>
      </c>
      <c r="F502" s="64">
        <f t="shared" si="274"/>
        <v>94.84</v>
      </c>
      <c r="G502" s="55">
        <f t="shared" si="262"/>
        <v>0</v>
      </c>
      <c r="H502" s="78">
        <f t="shared" si="289"/>
        <v>1</v>
      </c>
      <c r="I502" s="79">
        <f t="shared" si="275"/>
        <v>145850.74301857315</v>
      </c>
      <c r="J502" s="79">
        <f t="shared" si="263"/>
        <v>994.9198759218649</v>
      </c>
      <c r="K502" s="80">
        <f t="shared" si="264"/>
        <v>-15</v>
      </c>
      <c r="L502" s="80">
        <f t="shared" si="276"/>
        <v>-121.54228584881096</v>
      </c>
      <c r="M502" s="80">
        <f t="shared" si="291"/>
        <v>0</v>
      </c>
      <c r="N502" s="80">
        <f t="shared" si="277"/>
        <v>-138.55820586764452</v>
      </c>
      <c r="O502" s="81">
        <f t="shared" si="265"/>
        <v>-2500.6101455486769</v>
      </c>
      <c r="P502" s="79">
        <f t="shared" si="266"/>
        <v>144069.95225722986</v>
      </c>
      <c r="Q502" s="35"/>
      <c r="R502">
        <f t="shared" ca="1" si="278"/>
        <v>624</v>
      </c>
      <c r="S502" s="78">
        <f t="shared" ca="1" si="279"/>
        <v>104.84</v>
      </c>
      <c r="T502" s="55">
        <f t="shared" ca="1" si="267"/>
        <v>0</v>
      </c>
      <c r="U502" s="78">
        <f t="shared" ca="1" si="284"/>
        <v>2.7389054743691302E-5</v>
      </c>
      <c r="V502" s="79">
        <f t="shared" ca="1" si="280"/>
        <v>0</v>
      </c>
      <c r="W502" s="79">
        <f t="shared" ca="1" si="268"/>
        <v>0</v>
      </c>
      <c r="X502" s="80">
        <f t="shared" ca="1" si="285"/>
        <v>0</v>
      </c>
      <c r="Y502" s="80">
        <f t="shared" ca="1" si="286"/>
        <v>0</v>
      </c>
      <c r="Z502" s="80">
        <f t="shared" ca="1" si="281"/>
        <v>0</v>
      </c>
      <c r="AA502" s="80">
        <f t="shared" ca="1" si="287"/>
        <v>0</v>
      </c>
      <c r="AB502" s="81">
        <f t="shared" ca="1" si="269"/>
        <v>0</v>
      </c>
      <c r="AC502" s="79">
        <f t="shared" ca="1" si="270"/>
        <v>0</v>
      </c>
      <c r="AD502" s="35"/>
      <c r="AE502" s="62">
        <f t="shared" ca="1" si="271"/>
        <v>0</v>
      </c>
      <c r="AF502" s="62">
        <f t="shared" ca="1" si="272"/>
        <v>0</v>
      </c>
      <c r="AG502" s="35"/>
      <c r="AH502" s="35"/>
      <c r="AR502" s="69">
        <f t="shared" si="282"/>
        <v>42</v>
      </c>
      <c r="AS502" s="70">
        <f t="shared" si="288"/>
        <v>499</v>
      </c>
      <c r="AT502" s="71">
        <f t="shared" si="292"/>
        <v>3.285707495205565E-2</v>
      </c>
      <c r="AU502" s="72">
        <f t="shared" si="273"/>
        <v>6.8214933659622723E-3</v>
      </c>
      <c r="AV502" s="73">
        <f t="shared" si="283"/>
        <v>1.0068214933659623</v>
      </c>
      <c r="AW502" s="74">
        <f>PRODUCT(AV$4:AV502)</f>
        <v>29.73627831361005</v>
      </c>
    </row>
    <row r="503" spans="5:49">
      <c r="E503">
        <f t="shared" si="290"/>
        <v>500</v>
      </c>
      <c r="F503" s="64">
        <f t="shared" si="274"/>
        <v>94.92</v>
      </c>
      <c r="G503" s="55">
        <f t="shared" si="262"/>
        <v>0</v>
      </c>
      <c r="H503" s="78">
        <f t="shared" si="289"/>
        <v>1</v>
      </c>
      <c r="I503" s="79">
        <f t="shared" si="275"/>
        <v>144069.95225722986</v>
      </c>
      <c r="J503" s="79">
        <f t="shared" si="263"/>
        <v>982.77222355719482</v>
      </c>
      <c r="K503" s="80">
        <f t="shared" si="264"/>
        <v>-15</v>
      </c>
      <c r="L503" s="80">
        <f t="shared" si="276"/>
        <v>-120.05829354769156</v>
      </c>
      <c r="M503" s="80">
        <f t="shared" si="291"/>
        <v>0</v>
      </c>
      <c r="N503" s="80">
        <f t="shared" si="277"/>
        <v>-136.86645464436839</v>
      </c>
      <c r="O503" s="81">
        <f t="shared" si="265"/>
        <v>-2500.6101455486769</v>
      </c>
      <c r="P503" s="79">
        <f t="shared" si="266"/>
        <v>142280.18958704633</v>
      </c>
      <c r="Q503" s="35"/>
      <c r="R503">
        <f t="shared" ca="1" si="278"/>
        <v>625</v>
      </c>
      <c r="S503" s="78">
        <f t="shared" ca="1" si="279"/>
        <v>104.92</v>
      </c>
      <c r="T503" s="55">
        <f t="shared" ca="1" si="267"/>
        <v>0</v>
      </c>
      <c r="U503" s="78">
        <f t="shared" ca="1" si="284"/>
        <v>2.7389054743691302E-5</v>
      </c>
      <c r="V503" s="79">
        <f t="shared" ca="1" si="280"/>
        <v>0</v>
      </c>
      <c r="W503" s="79">
        <f t="shared" ca="1" si="268"/>
        <v>0</v>
      </c>
      <c r="X503" s="80">
        <f t="shared" ca="1" si="285"/>
        <v>0</v>
      </c>
      <c r="Y503" s="80">
        <f t="shared" ca="1" si="286"/>
        <v>0</v>
      </c>
      <c r="Z503" s="80">
        <f t="shared" ca="1" si="281"/>
        <v>0</v>
      </c>
      <c r="AA503" s="80">
        <f t="shared" ca="1" si="287"/>
        <v>0</v>
      </c>
      <c r="AB503" s="81">
        <f t="shared" ca="1" si="269"/>
        <v>0</v>
      </c>
      <c r="AC503" s="79">
        <f t="shared" ca="1" si="270"/>
        <v>0</v>
      </c>
      <c r="AD503" s="35"/>
      <c r="AE503" s="62">
        <f t="shared" ca="1" si="271"/>
        <v>0</v>
      </c>
      <c r="AF503" s="62">
        <f t="shared" ca="1" si="272"/>
        <v>0</v>
      </c>
      <c r="AG503" s="35"/>
      <c r="AH503" s="35"/>
      <c r="AR503" s="69">
        <f t="shared" si="282"/>
        <v>42</v>
      </c>
      <c r="AS503" s="70">
        <f t="shared" si="288"/>
        <v>500</v>
      </c>
      <c r="AT503" s="71">
        <f t="shared" si="292"/>
        <v>3.2632940633245275E-2</v>
      </c>
      <c r="AU503" s="72">
        <f t="shared" si="273"/>
        <v>6.8214933659622723E-3</v>
      </c>
      <c r="AV503" s="73">
        <f t="shared" si="283"/>
        <v>1.0068214933659623</v>
      </c>
      <c r="AW503" s="74">
        <f>PRODUCT(AV$4:AV503)</f>
        <v>29.939124138854748</v>
      </c>
    </row>
    <row r="504" spans="5:49">
      <c r="E504">
        <f t="shared" si="290"/>
        <v>501</v>
      </c>
      <c r="F504" s="64">
        <f t="shared" si="274"/>
        <v>95</v>
      </c>
      <c r="G504" s="55">
        <f t="shared" si="262"/>
        <v>0</v>
      </c>
      <c r="H504" s="78">
        <f t="shared" si="289"/>
        <v>1</v>
      </c>
      <c r="I504" s="79">
        <f t="shared" si="275"/>
        <v>142280.18958704633</v>
      </c>
      <c r="J504" s="79">
        <f t="shared" si="263"/>
        <v>970.56336937589094</v>
      </c>
      <c r="K504" s="80">
        <f t="shared" si="264"/>
        <v>-15</v>
      </c>
      <c r="L504" s="80">
        <f t="shared" si="276"/>
        <v>-118.56682465587195</v>
      </c>
      <c r="M504" s="80">
        <f t="shared" si="291"/>
        <v>0</v>
      </c>
      <c r="N504" s="80">
        <f t="shared" si="277"/>
        <v>-135.16618010769403</v>
      </c>
      <c r="O504" s="81">
        <f t="shared" si="265"/>
        <v>-2500.6101455486769</v>
      </c>
      <c r="P504" s="79">
        <f t="shared" si="266"/>
        <v>140481.40980610999</v>
      </c>
      <c r="Q504" s="35"/>
      <c r="R504">
        <f t="shared" ca="1" si="278"/>
        <v>626</v>
      </c>
      <c r="S504" s="78">
        <f t="shared" ca="1" si="279"/>
        <v>105</v>
      </c>
      <c r="T504" s="55">
        <f t="shared" ca="1" si="267"/>
        <v>0</v>
      </c>
      <c r="U504" s="78">
        <f t="shared" ca="1" si="284"/>
        <v>2.7389054743691302E-5</v>
      </c>
      <c r="V504" s="79">
        <f t="shared" ca="1" si="280"/>
        <v>0</v>
      </c>
      <c r="W504" s="79">
        <f t="shared" ca="1" si="268"/>
        <v>0</v>
      </c>
      <c r="X504" s="80">
        <f t="shared" ca="1" si="285"/>
        <v>0</v>
      </c>
      <c r="Y504" s="80">
        <f t="shared" ca="1" si="286"/>
        <v>0</v>
      </c>
      <c r="Z504" s="80">
        <f t="shared" ca="1" si="281"/>
        <v>0</v>
      </c>
      <c r="AA504" s="80">
        <f t="shared" ca="1" si="287"/>
        <v>0</v>
      </c>
      <c r="AB504" s="81">
        <f t="shared" ca="1" si="269"/>
        <v>0</v>
      </c>
      <c r="AC504" s="79">
        <f t="shared" ca="1" si="270"/>
        <v>0</v>
      </c>
      <c r="AD504" s="35"/>
      <c r="AE504" s="137">
        <v>1</v>
      </c>
      <c r="AF504" s="62">
        <f t="shared" ca="1" si="272"/>
        <v>0</v>
      </c>
      <c r="AG504" s="35"/>
      <c r="AH504" s="35"/>
      <c r="AR504" s="69">
        <f t="shared" si="282"/>
        <v>42</v>
      </c>
      <c r="AS504" s="70">
        <f t="shared" si="288"/>
        <v>501</v>
      </c>
      <c r="AT504" s="71">
        <f t="shared" si="292"/>
        <v>3.2410335245203752E-2</v>
      </c>
      <c r="AU504" s="72">
        <f t="shared" si="273"/>
        <v>6.8214933659622723E-3</v>
      </c>
      <c r="AV504" s="73">
        <f t="shared" si="283"/>
        <v>1.0068214933659623</v>
      </c>
      <c r="AW504" s="74">
        <f>PRODUCT(AV$4:AV504)</f>
        <v>30.143353675550667</v>
      </c>
    </row>
    <row r="505" spans="5:49">
      <c r="E505">
        <f t="shared" si="290"/>
        <v>502</v>
      </c>
      <c r="F505" s="64">
        <f t="shared" si="274"/>
        <v>95.08</v>
      </c>
      <c r="G505" s="55">
        <f t="shared" si="262"/>
        <v>0</v>
      </c>
      <c r="H505" s="78">
        <f t="shared" si="289"/>
        <v>1</v>
      </c>
      <c r="I505" s="79">
        <f t="shared" si="275"/>
        <v>140481.40980610999</v>
      </c>
      <c r="J505" s="79">
        <f t="shared" si="263"/>
        <v>958.29300503340664</v>
      </c>
      <c r="K505" s="80">
        <f t="shared" si="264"/>
        <v>-15</v>
      </c>
      <c r="L505" s="80">
        <f t="shared" si="276"/>
        <v>-117.06784150509166</v>
      </c>
      <c r="M505" s="80">
        <f t="shared" si="291"/>
        <v>0</v>
      </c>
      <c r="N505" s="80">
        <f t="shared" si="277"/>
        <v>-133.45733931580452</v>
      </c>
      <c r="O505" s="81">
        <f t="shared" si="265"/>
        <v>-2500.6101455486769</v>
      </c>
      <c r="P505" s="79">
        <f t="shared" si="266"/>
        <v>138673.56748477384</v>
      </c>
      <c r="Q505" s="35"/>
      <c r="R505">
        <f t="shared" ca="1" si="278"/>
        <v>627</v>
      </c>
      <c r="S505" s="78">
        <f t="shared" ca="1" si="279"/>
        <v>105.08</v>
      </c>
      <c r="T505" s="55">
        <f t="shared" ca="1" si="267"/>
        <v>0</v>
      </c>
      <c r="U505" s="78">
        <f t="shared" ca="1" si="284"/>
        <v>2.7389054743691302E-5</v>
      </c>
      <c r="V505" s="79">
        <f t="shared" ca="1" si="280"/>
        <v>0</v>
      </c>
      <c r="W505" s="79">
        <f t="shared" ca="1" si="268"/>
        <v>0</v>
      </c>
      <c r="X505" s="80">
        <f t="shared" ca="1" si="285"/>
        <v>0</v>
      </c>
      <c r="Y505" s="80">
        <f t="shared" ca="1" si="286"/>
        <v>0</v>
      </c>
      <c r="Z505" s="80">
        <f t="shared" ca="1" si="281"/>
        <v>0</v>
      </c>
      <c r="AA505" s="80">
        <f t="shared" ca="1" si="287"/>
        <v>0</v>
      </c>
      <c r="AB505" s="81">
        <f t="shared" ca="1" si="269"/>
        <v>0</v>
      </c>
      <c r="AC505" s="79">
        <f t="shared" ca="1" si="270"/>
        <v>0</v>
      </c>
      <c r="AD505" s="35"/>
      <c r="AE505" s="62">
        <f ca="1">AB505/U505</f>
        <v>0</v>
      </c>
      <c r="AF505" s="62">
        <f t="shared" ca="1" si="272"/>
        <v>0</v>
      </c>
      <c r="AG505" s="35"/>
      <c r="AH505" s="35"/>
      <c r="AR505" s="69">
        <f t="shared" si="282"/>
        <v>42</v>
      </c>
      <c r="AS505" s="70">
        <f t="shared" si="288"/>
        <v>502</v>
      </c>
      <c r="AT505" s="71">
        <f t="shared" si="292"/>
        <v>3.2189248358339979E-2</v>
      </c>
      <c r="AU505" s="72">
        <f t="shared" si="273"/>
        <v>6.8214933659622723E-3</v>
      </c>
      <c r="AV505" s="73">
        <f t="shared" si="283"/>
        <v>1.0068214933659623</v>
      </c>
      <c r="AW505" s="74">
        <f>PRODUCT(AV$4:AV505)</f>
        <v>30.348976362676289</v>
      </c>
    </row>
    <row r="506" spans="5:49">
      <c r="E506">
        <f t="shared" si="290"/>
        <v>503</v>
      </c>
      <c r="F506" s="64">
        <f t="shared" si="274"/>
        <v>95.16</v>
      </c>
      <c r="G506" s="55">
        <f t="shared" si="262"/>
        <v>0</v>
      </c>
      <c r="H506" s="78">
        <f t="shared" si="289"/>
        <v>1</v>
      </c>
      <c r="I506" s="79">
        <f t="shared" si="275"/>
        <v>138673.56748477384</v>
      </c>
      <c r="J506" s="79">
        <f t="shared" si="263"/>
        <v>945.96082063170627</v>
      </c>
      <c r="K506" s="80">
        <f t="shared" si="264"/>
        <v>-15</v>
      </c>
      <c r="L506" s="80">
        <f t="shared" si="276"/>
        <v>-115.56130623731154</v>
      </c>
      <c r="M506" s="80">
        <f t="shared" si="291"/>
        <v>0</v>
      </c>
      <c r="N506" s="80">
        <f t="shared" si="277"/>
        <v>-131.73988911053519</v>
      </c>
      <c r="O506" s="81">
        <f t="shared" si="265"/>
        <v>-2500.6101455486769</v>
      </c>
      <c r="P506" s="79">
        <f t="shared" si="266"/>
        <v>136856.61696450904</v>
      </c>
      <c r="Q506" s="35"/>
      <c r="R506">
        <f t="shared" ca="1" si="278"/>
        <v>628</v>
      </c>
      <c r="S506" s="78">
        <f t="shared" ca="1" si="279"/>
        <v>105.16</v>
      </c>
      <c r="T506" s="55">
        <f t="shared" ca="1" si="267"/>
        <v>0</v>
      </c>
      <c r="U506" s="78">
        <f t="shared" ca="1" si="284"/>
        <v>2.7389054743691302E-5</v>
      </c>
      <c r="V506" s="79">
        <f t="shared" ca="1" si="280"/>
        <v>0</v>
      </c>
      <c r="W506" s="79">
        <f t="shared" ca="1" si="268"/>
        <v>0</v>
      </c>
      <c r="X506" s="80">
        <f t="shared" ca="1" si="285"/>
        <v>0</v>
      </c>
      <c r="Y506" s="80">
        <f t="shared" ca="1" si="286"/>
        <v>0</v>
      </c>
      <c r="Z506" s="80">
        <f t="shared" ca="1" si="281"/>
        <v>0</v>
      </c>
      <c r="AA506" s="80">
        <f t="shared" ca="1" si="287"/>
        <v>0</v>
      </c>
      <c r="AB506" s="81">
        <f t="shared" ca="1" si="269"/>
        <v>0</v>
      </c>
      <c r="AC506" s="79">
        <f t="shared" ca="1" si="270"/>
        <v>0</v>
      </c>
      <c r="AD506" s="35"/>
      <c r="AE506" s="62">
        <f ca="1">AB506/U506</f>
        <v>0</v>
      </c>
      <c r="AF506" s="62">
        <f t="shared" ca="1" si="272"/>
        <v>0</v>
      </c>
      <c r="AG506" s="35"/>
      <c r="AH506" s="35"/>
      <c r="AR506" s="69">
        <f t="shared" si="282"/>
        <v>42</v>
      </c>
      <c r="AS506" s="70">
        <f t="shared" si="288"/>
        <v>503</v>
      </c>
      <c r="AT506" s="71">
        <f t="shared" si="292"/>
        <v>3.1969669614208253E-2</v>
      </c>
      <c r="AU506" s="72">
        <f t="shared" si="273"/>
        <v>6.8214933659622723E-3</v>
      </c>
      <c r="AV506" s="73">
        <f t="shared" si="283"/>
        <v>1.0068214933659623</v>
      </c>
      <c r="AW506" s="74">
        <f>PRODUCT(AV$4:AV506)</f>
        <v>30.556001703598032</v>
      </c>
    </row>
    <row r="507" spans="5:49">
      <c r="E507">
        <f t="shared" si="290"/>
        <v>504</v>
      </c>
      <c r="F507" s="64">
        <f t="shared" si="274"/>
        <v>95.24</v>
      </c>
      <c r="G507" s="55">
        <f t="shared" si="262"/>
        <v>0</v>
      </c>
      <c r="H507" s="78">
        <f t="shared" si="289"/>
        <v>1</v>
      </c>
      <c r="I507" s="79">
        <f t="shared" si="275"/>
        <v>136856.61696450904</v>
      </c>
      <c r="J507" s="79">
        <f t="shared" si="263"/>
        <v>933.56650471143814</v>
      </c>
      <c r="K507" s="80">
        <f t="shared" si="264"/>
        <v>-15</v>
      </c>
      <c r="L507" s="80">
        <f t="shared" si="276"/>
        <v>-114.04718080375754</v>
      </c>
      <c r="M507" s="80">
        <f t="shared" si="291"/>
        <v>0</v>
      </c>
      <c r="N507" s="80">
        <f t="shared" si="277"/>
        <v>-130.01378611628363</v>
      </c>
      <c r="O507" s="81">
        <f t="shared" si="265"/>
        <v>-2500.6101455486769</v>
      </c>
      <c r="P507" s="79">
        <f t="shared" si="266"/>
        <v>135030.51235675174</v>
      </c>
      <c r="Q507" s="35"/>
      <c r="R507">
        <f t="shared" ca="1" si="278"/>
        <v>629</v>
      </c>
      <c r="S507" s="78">
        <f t="shared" ca="1" si="279"/>
        <v>105.24</v>
      </c>
      <c r="T507" s="55">
        <f t="shared" ca="1" si="267"/>
        <v>0</v>
      </c>
      <c r="U507" s="78">
        <f t="shared" ca="1" si="284"/>
        <v>2.7389054743691302E-5</v>
      </c>
      <c r="V507" s="79">
        <f t="shared" ca="1" si="280"/>
        <v>0</v>
      </c>
      <c r="W507" s="79">
        <f t="shared" ca="1" si="268"/>
        <v>0</v>
      </c>
      <c r="X507" s="80">
        <f t="shared" ca="1" si="285"/>
        <v>0</v>
      </c>
      <c r="Y507" s="80">
        <f t="shared" ca="1" si="286"/>
        <v>0</v>
      </c>
      <c r="Z507" s="80">
        <f t="shared" ca="1" si="281"/>
        <v>0</v>
      </c>
      <c r="AA507" s="80">
        <f t="shared" ca="1" si="287"/>
        <v>0</v>
      </c>
      <c r="AB507" s="81">
        <f t="shared" ca="1" si="269"/>
        <v>0</v>
      </c>
      <c r="AC507" s="79">
        <f t="shared" ca="1" si="270"/>
        <v>0</v>
      </c>
      <c r="AD507" s="35"/>
      <c r="AE507" s="35"/>
      <c r="AF507" s="35"/>
      <c r="AG507" s="35"/>
      <c r="AH507" s="35"/>
      <c r="AR507" s="69">
        <f t="shared" si="282"/>
        <v>42</v>
      </c>
      <c r="AS507" s="70">
        <f t="shared" si="288"/>
        <v>504</v>
      </c>
      <c r="AT507" s="71">
        <f t="shared" si="292"/>
        <v>3.1751588725022928E-2</v>
      </c>
      <c r="AU507" s="72">
        <f t="shared" si="273"/>
        <v>6.8214933659622723E-3</v>
      </c>
      <c r="AV507" s="73">
        <f t="shared" si="283"/>
        <v>1.0068214933659623</v>
      </c>
      <c r="AW507" s="74">
        <f>PRODUCT(AV$4:AV507)</f>
        <v>30.764439266509456</v>
      </c>
    </row>
    <row r="508" spans="5:49">
      <c r="E508">
        <f t="shared" si="290"/>
        <v>505</v>
      </c>
      <c r="F508" s="64">
        <f t="shared" si="274"/>
        <v>95.32</v>
      </c>
      <c r="G508" s="55">
        <f t="shared" si="262"/>
        <v>0</v>
      </c>
      <c r="H508" s="78">
        <f t="shared" si="289"/>
        <v>1</v>
      </c>
      <c r="I508" s="79">
        <f t="shared" si="275"/>
        <v>135030.51235675174</v>
      </c>
      <c r="J508" s="79">
        <f t="shared" si="263"/>
        <v>921.10974424406868</v>
      </c>
      <c r="K508" s="80">
        <f t="shared" si="264"/>
        <v>-15</v>
      </c>
      <c r="L508" s="80">
        <f t="shared" si="276"/>
        <v>-112.52542696395979</v>
      </c>
      <c r="M508" s="80">
        <f t="shared" si="291"/>
        <v>-1012.728842675638</v>
      </c>
      <c r="N508" s="80">
        <f t="shared" si="277"/>
        <v>-128.2789867389142</v>
      </c>
      <c r="O508" s="81">
        <f t="shared" si="265"/>
        <v>-2500.6101455486769</v>
      </c>
      <c r="P508" s="79">
        <f t="shared" si="266"/>
        <v>132182.47869906866</v>
      </c>
      <c r="Q508" s="35"/>
      <c r="R508">
        <f t="shared" ca="1" si="278"/>
        <v>630</v>
      </c>
      <c r="S508" s="78">
        <f t="shared" ca="1" si="279"/>
        <v>105.32</v>
      </c>
      <c r="T508" s="55">
        <f t="shared" ca="1" si="267"/>
        <v>0</v>
      </c>
      <c r="U508" s="78">
        <f t="shared" ca="1" si="284"/>
        <v>2.7389054743691302E-5</v>
      </c>
      <c r="V508" s="79">
        <f t="shared" ca="1" si="280"/>
        <v>0</v>
      </c>
      <c r="W508" s="79">
        <f t="shared" ca="1" si="268"/>
        <v>0</v>
      </c>
      <c r="X508" s="80">
        <f t="shared" ca="1" si="285"/>
        <v>0</v>
      </c>
      <c r="Y508" s="80">
        <f t="shared" ca="1" si="286"/>
        <v>0</v>
      </c>
      <c r="Z508" s="80">
        <f t="shared" ca="1" si="281"/>
        <v>0</v>
      </c>
      <c r="AA508" s="80">
        <f t="shared" ca="1" si="287"/>
        <v>0</v>
      </c>
      <c r="AB508" s="81">
        <f t="shared" ca="1" si="269"/>
        <v>0</v>
      </c>
      <c r="AC508" s="79">
        <f t="shared" ca="1" si="270"/>
        <v>0</v>
      </c>
      <c r="AD508" s="35"/>
      <c r="AE508" s="35"/>
      <c r="AF508" s="35"/>
      <c r="AG508" s="35"/>
      <c r="AH508" s="35"/>
      <c r="AR508" s="69">
        <f t="shared" si="282"/>
        <v>43</v>
      </c>
      <c r="AS508" s="70">
        <f t="shared" si="288"/>
        <v>505</v>
      </c>
      <c r="AT508" s="71">
        <f t="shared" si="292"/>
        <v>3.1534995473176425E-2</v>
      </c>
      <c r="AU508" s="72">
        <f t="shared" si="273"/>
        <v>6.8214933659622723E-3</v>
      </c>
      <c r="AV508" s="73">
        <f t="shared" si="283"/>
        <v>1.0068214933659623</v>
      </c>
      <c r="AW508" s="74">
        <f>PRODUCT(AV$4:AV508)</f>
        <v>30.974298684873499</v>
      </c>
    </row>
    <row r="509" spans="5:49">
      <c r="E509">
        <f t="shared" si="290"/>
        <v>506</v>
      </c>
      <c r="F509" s="64">
        <f t="shared" si="274"/>
        <v>95.4</v>
      </c>
      <c r="G509" s="55">
        <f t="shared" si="262"/>
        <v>0</v>
      </c>
      <c r="H509" s="78">
        <f t="shared" si="289"/>
        <v>1</v>
      </c>
      <c r="I509" s="79">
        <f t="shared" si="275"/>
        <v>132182.47869906866</v>
      </c>
      <c r="J509" s="79">
        <f t="shared" si="263"/>
        <v>901.68190154214619</v>
      </c>
      <c r="K509" s="80">
        <f t="shared" si="264"/>
        <v>-15</v>
      </c>
      <c r="L509" s="80">
        <f t="shared" si="276"/>
        <v>-110.15206558255721</v>
      </c>
      <c r="M509" s="80">
        <f t="shared" si="291"/>
        <v>0</v>
      </c>
      <c r="N509" s="80">
        <f t="shared" si="277"/>
        <v>-125.57335476411525</v>
      </c>
      <c r="O509" s="81">
        <f t="shared" si="265"/>
        <v>-2500.6101455486769</v>
      </c>
      <c r="P509" s="79">
        <f t="shared" si="266"/>
        <v>130332.82503471547</v>
      </c>
      <c r="Q509" s="35"/>
      <c r="R509">
        <f t="shared" ca="1" si="278"/>
        <v>631</v>
      </c>
      <c r="S509" s="78">
        <f t="shared" ca="1" si="279"/>
        <v>105.4</v>
      </c>
      <c r="T509" s="55">
        <f t="shared" ca="1" si="267"/>
        <v>0</v>
      </c>
      <c r="U509" s="78">
        <f t="shared" ca="1" si="284"/>
        <v>2.7389054743691302E-5</v>
      </c>
      <c r="V509" s="79">
        <f t="shared" ca="1" si="280"/>
        <v>0</v>
      </c>
      <c r="W509" s="79">
        <f t="shared" ca="1" si="268"/>
        <v>0</v>
      </c>
      <c r="X509" s="80">
        <f t="shared" ca="1" si="285"/>
        <v>0</v>
      </c>
      <c r="Y509" s="80">
        <f t="shared" ca="1" si="286"/>
        <v>0</v>
      </c>
      <c r="Z509" s="80">
        <f t="shared" ca="1" si="281"/>
        <v>0</v>
      </c>
      <c r="AA509" s="80">
        <f t="shared" ca="1" si="287"/>
        <v>0</v>
      </c>
      <c r="AB509" s="81">
        <f t="shared" ca="1" si="269"/>
        <v>0</v>
      </c>
      <c r="AC509" s="79">
        <f t="shared" ca="1" si="270"/>
        <v>0</v>
      </c>
      <c r="AD509" s="35"/>
      <c r="AE509" s="35"/>
      <c r="AF509" s="35"/>
      <c r="AG509" s="35"/>
      <c r="AH509" s="35"/>
      <c r="AR509" s="69">
        <f t="shared" si="282"/>
        <v>43</v>
      </c>
      <c r="AS509" s="70">
        <f t="shared" si="288"/>
        <v>506</v>
      </c>
      <c r="AT509" s="71">
        <f t="shared" si="292"/>
        <v>3.1319879710760501E-2</v>
      </c>
      <c r="AU509" s="72">
        <f t="shared" si="273"/>
        <v>6.8214933659622723E-3</v>
      </c>
      <c r="AV509" s="73">
        <f t="shared" si="283"/>
        <v>1.0068214933659623</v>
      </c>
      <c r="AW509" s="74">
        <f>PRODUCT(AV$4:AV509)</f>
        <v>31.185589657867698</v>
      </c>
    </row>
    <row r="510" spans="5:49">
      <c r="E510">
        <f t="shared" si="290"/>
        <v>507</v>
      </c>
      <c r="F510" s="64">
        <f t="shared" si="274"/>
        <v>95.48</v>
      </c>
      <c r="G510" s="55">
        <f t="shared" si="262"/>
        <v>0</v>
      </c>
      <c r="H510" s="78">
        <f t="shared" si="289"/>
        <v>1</v>
      </c>
      <c r="I510" s="79">
        <f t="shared" si="275"/>
        <v>130332.82503471547</v>
      </c>
      <c r="J510" s="79">
        <f t="shared" si="263"/>
        <v>889.06450134143313</v>
      </c>
      <c r="K510" s="80">
        <f t="shared" si="264"/>
        <v>-15</v>
      </c>
      <c r="L510" s="80">
        <f t="shared" si="276"/>
        <v>-108.61068752892956</v>
      </c>
      <c r="M510" s="80">
        <f t="shared" si="291"/>
        <v>0</v>
      </c>
      <c r="N510" s="80">
        <f t="shared" si="277"/>
        <v>-123.81618378297971</v>
      </c>
      <c r="O510" s="81">
        <f t="shared" si="265"/>
        <v>-2500.6101455486769</v>
      </c>
      <c r="P510" s="79">
        <f t="shared" si="266"/>
        <v>128473.8525191963</v>
      </c>
      <c r="Q510" s="35"/>
      <c r="R510">
        <f t="shared" ca="1" si="278"/>
        <v>632</v>
      </c>
      <c r="S510" s="78">
        <f t="shared" ca="1" si="279"/>
        <v>105.48</v>
      </c>
      <c r="T510" s="55">
        <f t="shared" ca="1" si="267"/>
        <v>0</v>
      </c>
      <c r="U510" s="78">
        <f t="shared" ca="1" si="284"/>
        <v>2.7389054743691302E-5</v>
      </c>
      <c r="V510" s="79">
        <f t="shared" ca="1" si="280"/>
        <v>0</v>
      </c>
      <c r="W510" s="79">
        <f t="shared" ca="1" si="268"/>
        <v>0</v>
      </c>
      <c r="X510" s="80">
        <f t="shared" ca="1" si="285"/>
        <v>0</v>
      </c>
      <c r="Y510" s="80">
        <f t="shared" ca="1" si="286"/>
        <v>0</v>
      </c>
      <c r="Z510" s="80">
        <f t="shared" ca="1" si="281"/>
        <v>0</v>
      </c>
      <c r="AA510" s="80">
        <f t="shared" ca="1" si="287"/>
        <v>0</v>
      </c>
      <c r="AB510" s="81">
        <f t="shared" ca="1" si="269"/>
        <v>0</v>
      </c>
      <c r="AC510" s="79">
        <f t="shared" ca="1" si="270"/>
        <v>0</v>
      </c>
      <c r="AD510" s="35"/>
      <c r="AE510" s="35"/>
      <c r="AF510" s="35"/>
      <c r="AG510" s="35"/>
      <c r="AH510" s="35"/>
      <c r="AR510" s="69">
        <f t="shared" si="282"/>
        <v>43</v>
      </c>
      <c r="AS510" s="70">
        <f t="shared" si="288"/>
        <v>507</v>
      </c>
      <c r="AT510" s="71">
        <f t="shared" si="292"/>
        <v>3.1106231359090811E-2</v>
      </c>
      <c r="AU510" s="72">
        <f t="shared" si="273"/>
        <v>6.8214933659622723E-3</v>
      </c>
      <c r="AV510" s="73">
        <f t="shared" si="283"/>
        <v>1.0068214933659623</v>
      </c>
      <c r="AW510" s="74">
        <f>PRODUCT(AV$4:AV510)</f>
        <v>31.398321950832464</v>
      </c>
    </row>
    <row r="511" spans="5:49">
      <c r="E511">
        <f t="shared" si="290"/>
        <v>508</v>
      </c>
      <c r="F511" s="64">
        <f t="shared" si="274"/>
        <v>95.56</v>
      </c>
      <c r="G511" s="55">
        <f t="shared" si="262"/>
        <v>0</v>
      </c>
      <c r="H511" s="78">
        <f t="shared" si="289"/>
        <v>1</v>
      </c>
      <c r="I511" s="79">
        <f t="shared" si="275"/>
        <v>128473.8525191963</v>
      </c>
      <c r="J511" s="79">
        <f t="shared" si="263"/>
        <v>876.38353265931289</v>
      </c>
      <c r="K511" s="80">
        <f t="shared" si="264"/>
        <v>-15</v>
      </c>
      <c r="L511" s="80">
        <f t="shared" si="276"/>
        <v>-107.06154376599692</v>
      </c>
      <c r="M511" s="80">
        <f t="shared" si="291"/>
        <v>0</v>
      </c>
      <c r="N511" s="80">
        <f t="shared" si="277"/>
        <v>-122.05015989323651</v>
      </c>
      <c r="O511" s="81">
        <f t="shared" si="265"/>
        <v>-2500.6101455486769</v>
      </c>
      <c r="P511" s="79">
        <f t="shared" si="266"/>
        <v>126605.5142026477</v>
      </c>
      <c r="Q511" s="35"/>
      <c r="R511">
        <f t="shared" ca="1" si="278"/>
        <v>633</v>
      </c>
      <c r="S511" s="78">
        <f t="shared" ca="1" si="279"/>
        <v>105.56</v>
      </c>
      <c r="T511" s="55">
        <f t="shared" ca="1" si="267"/>
        <v>0</v>
      </c>
      <c r="U511" s="78">
        <f t="shared" ca="1" si="284"/>
        <v>2.7389054743691302E-5</v>
      </c>
      <c r="V511" s="79">
        <f t="shared" ca="1" si="280"/>
        <v>0</v>
      </c>
      <c r="W511" s="79">
        <f t="shared" ca="1" si="268"/>
        <v>0</v>
      </c>
      <c r="X511" s="80">
        <f t="shared" ca="1" si="285"/>
        <v>0</v>
      </c>
      <c r="Y511" s="80">
        <f t="shared" ca="1" si="286"/>
        <v>0</v>
      </c>
      <c r="Z511" s="80">
        <f t="shared" ca="1" si="281"/>
        <v>0</v>
      </c>
      <c r="AA511" s="80">
        <f t="shared" ca="1" si="287"/>
        <v>0</v>
      </c>
      <c r="AB511" s="81">
        <f t="shared" ca="1" si="269"/>
        <v>0</v>
      </c>
      <c r="AC511" s="79">
        <f t="shared" ca="1" si="270"/>
        <v>0</v>
      </c>
      <c r="AD511" s="35"/>
      <c r="AE511" s="35"/>
      <c r="AF511" s="35"/>
      <c r="AG511" s="35"/>
      <c r="AH511" s="35"/>
      <c r="AR511" s="69">
        <f t="shared" si="282"/>
        <v>43</v>
      </c>
      <c r="AS511" s="70">
        <f t="shared" si="288"/>
        <v>508</v>
      </c>
      <c r="AT511" s="71">
        <f t="shared" si="292"/>
        <v>3.0894040408234687E-2</v>
      </c>
      <c r="AU511" s="72">
        <f t="shared" si="273"/>
        <v>6.8214933659622723E-3</v>
      </c>
      <c r="AV511" s="73">
        <f t="shared" si="283"/>
        <v>1.0068214933659623</v>
      </c>
      <c r="AW511" s="74">
        <f>PRODUCT(AV$4:AV511)</f>
        <v>31.612505395722415</v>
      </c>
    </row>
    <row r="512" spans="5:49">
      <c r="E512">
        <f t="shared" si="290"/>
        <v>509</v>
      </c>
      <c r="F512" s="64">
        <f t="shared" si="274"/>
        <v>95.64</v>
      </c>
      <c r="G512" s="55">
        <f t="shared" si="262"/>
        <v>0</v>
      </c>
      <c r="H512" s="78">
        <f t="shared" si="289"/>
        <v>1</v>
      </c>
      <c r="I512" s="79">
        <f t="shared" si="275"/>
        <v>126605.5142026477</v>
      </c>
      <c r="J512" s="79">
        <f t="shared" si="263"/>
        <v>863.63867522760347</v>
      </c>
      <c r="K512" s="80">
        <f t="shared" si="264"/>
        <v>-15</v>
      </c>
      <c r="L512" s="80">
        <f t="shared" si="276"/>
        <v>-105.50459516887308</v>
      </c>
      <c r="M512" s="80">
        <f t="shared" si="291"/>
        <v>0</v>
      </c>
      <c r="N512" s="80">
        <f t="shared" si="277"/>
        <v>-120.27523849251533</v>
      </c>
      <c r="O512" s="81">
        <f t="shared" si="265"/>
        <v>-2500.6101455486769</v>
      </c>
      <c r="P512" s="79">
        <f t="shared" si="266"/>
        <v>124727.76289866524</v>
      </c>
      <c r="Q512" s="35"/>
      <c r="R512">
        <f t="shared" ca="1" si="278"/>
        <v>634</v>
      </c>
      <c r="S512" s="78">
        <f t="shared" ca="1" si="279"/>
        <v>105.64</v>
      </c>
      <c r="T512" s="55">
        <f t="shared" ca="1" si="267"/>
        <v>0</v>
      </c>
      <c r="U512" s="78">
        <f t="shared" ca="1" si="284"/>
        <v>2.7389054743691302E-5</v>
      </c>
      <c r="V512" s="79">
        <f t="shared" ca="1" si="280"/>
        <v>0</v>
      </c>
      <c r="W512" s="79">
        <f t="shared" ca="1" si="268"/>
        <v>0</v>
      </c>
      <c r="X512" s="80">
        <f t="shared" ca="1" si="285"/>
        <v>0</v>
      </c>
      <c r="Y512" s="80">
        <f t="shared" ca="1" si="286"/>
        <v>0</v>
      </c>
      <c r="Z512" s="80">
        <f t="shared" ca="1" si="281"/>
        <v>0</v>
      </c>
      <c r="AA512" s="80">
        <f t="shared" ca="1" si="287"/>
        <v>0</v>
      </c>
      <c r="AB512" s="81">
        <f t="shared" ca="1" si="269"/>
        <v>0</v>
      </c>
      <c r="AC512" s="79">
        <f t="shared" ca="1" si="270"/>
        <v>0</v>
      </c>
      <c r="AD512" s="35"/>
      <c r="AE512" s="35"/>
      <c r="AF512" s="35"/>
      <c r="AG512" s="35"/>
      <c r="AH512" s="35"/>
      <c r="AR512" s="69">
        <f t="shared" si="282"/>
        <v>43</v>
      </c>
      <c r="AS512" s="70">
        <f t="shared" si="288"/>
        <v>509</v>
      </c>
      <c r="AT512" s="71">
        <f t="shared" si="292"/>
        <v>3.0683296916542143E-2</v>
      </c>
      <c r="AU512" s="72">
        <f t="shared" si="273"/>
        <v>6.8214933659622723E-3</v>
      </c>
      <c r="AV512" s="73">
        <f t="shared" si="283"/>
        <v>1.0068214933659623</v>
      </c>
      <c r="AW512" s="74">
        <f>PRODUCT(AV$4:AV512)</f>
        <v>31.828149891560784</v>
      </c>
    </row>
    <row r="513" spans="5:49">
      <c r="E513">
        <f t="shared" si="290"/>
        <v>510</v>
      </c>
      <c r="F513" s="64">
        <f t="shared" si="274"/>
        <v>95.72</v>
      </c>
      <c r="G513" s="55">
        <f t="shared" si="262"/>
        <v>0</v>
      </c>
      <c r="H513" s="78">
        <f t="shared" si="289"/>
        <v>1</v>
      </c>
      <c r="I513" s="79">
        <f t="shared" si="275"/>
        <v>124727.76289866524</v>
      </c>
      <c r="J513" s="79">
        <f t="shared" si="263"/>
        <v>850.82960716456023</v>
      </c>
      <c r="K513" s="80">
        <f t="shared" si="264"/>
        <v>-15</v>
      </c>
      <c r="L513" s="80">
        <f t="shared" si="276"/>
        <v>-103.93980241555437</v>
      </c>
      <c r="M513" s="80">
        <f t="shared" si="291"/>
        <v>0</v>
      </c>
      <c r="N513" s="80">
        <f t="shared" si="277"/>
        <v>-118.49137475373199</v>
      </c>
      <c r="O513" s="81">
        <f t="shared" si="265"/>
        <v>-2500.6101455486769</v>
      </c>
      <c r="P513" s="79">
        <f t="shared" si="266"/>
        <v>122840.55118311183</v>
      </c>
      <c r="Q513" s="35"/>
      <c r="R513">
        <f t="shared" ca="1" si="278"/>
        <v>635</v>
      </c>
      <c r="S513" s="78">
        <f t="shared" ca="1" si="279"/>
        <v>105.72</v>
      </c>
      <c r="T513" s="55">
        <f t="shared" ca="1" si="267"/>
        <v>0</v>
      </c>
      <c r="U513" s="78">
        <f t="shared" ca="1" si="284"/>
        <v>2.7389054743691302E-5</v>
      </c>
      <c r="V513" s="79">
        <f t="shared" ca="1" si="280"/>
        <v>0</v>
      </c>
      <c r="W513" s="79">
        <f t="shared" ca="1" si="268"/>
        <v>0</v>
      </c>
      <c r="X513" s="80">
        <f t="shared" ca="1" si="285"/>
        <v>0</v>
      </c>
      <c r="Y513" s="80">
        <f t="shared" ca="1" si="286"/>
        <v>0</v>
      </c>
      <c r="Z513" s="80">
        <f t="shared" ca="1" si="281"/>
        <v>0</v>
      </c>
      <c r="AA513" s="80">
        <f t="shared" ca="1" si="287"/>
        <v>0</v>
      </c>
      <c r="AB513" s="81">
        <f t="shared" ca="1" si="269"/>
        <v>0</v>
      </c>
      <c r="AC513" s="79">
        <f t="shared" ca="1" si="270"/>
        <v>0</v>
      </c>
      <c r="AD513" s="35"/>
      <c r="AE513" s="35"/>
      <c r="AF513" s="35"/>
      <c r="AG513" s="35"/>
      <c r="AH513" s="35"/>
      <c r="AR513" s="69">
        <f t="shared" si="282"/>
        <v>43</v>
      </c>
      <c r="AS513" s="70">
        <f t="shared" si="288"/>
        <v>510</v>
      </c>
      <c r="AT513" s="71">
        <f t="shared" si="292"/>
        <v>3.0473991010180099E-2</v>
      </c>
      <c r="AU513" s="72">
        <f t="shared" si="273"/>
        <v>6.8214933659622723E-3</v>
      </c>
      <c r="AV513" s="73">
        <f t="shared" si="283"/>
        <v>1.0068214933659623</v>
      </c>
      <c r="AW513" s="74">
        <f>PRODUCT(AV$4:AV513)</f>
        <v>32.045265404896917</v>
      </c>
    </row>
    <row r="514" spans="5:49">
      <c r="E514">
        <f t="shared" si="290"/>
        <v>511</v>
      </c>
      <c r="F514" s="64">
        <f t="shared" si="274"/>
        <v>95.8</v>
      </c>
      <c r="G514" s="55">
        <f t="shared" si="262"/>
        <v>0</v>
      </c>
      <c r="H514" s="78">
        <f t="shared" si="289"/>
        <v>1</v>
      </c>
      <c r="I514" s="79">
        <f t="shared" si="275"/>
        <v>122840.55118311183</v>
      </c>
      <c r="J514" s="79">
        <f t="shared" si="263"/>
        <v>837.95600496674638</v>
      </c>
      <c r="K514" s="80">
        <f t="shared" si="264"/>
        <v>-15</v>
      </c>
      <c r="L514" s="80">
        <f t="shared" si="276"/>
        <v>-102.36712598592653</v>
      </c>
      <c r="M514" s="80">
        <f t="shared" si="291"/>
        <v>0</v>
      </c>
      <c r="N514" s="80">
        <f t="shared" si="277"/>
        <v>-116.69852362395626</v>
      </c>
      <c r="O514" s="81">
        <f t="shared" si="265"/>
        <v>-2500.6101455486769</v>
      </c>
      <c r="P514" s="79">
        <f t="shared" si="266"/>
        <v>120943.83139292002</v>
      </c>
      <c r="Q514" s="35"/>
      <c r="R514">
        <f t="shared" ca="1" si="278"/>
        <v>636</v>
      </c>
      <c r="S514" s="78">
        <f t="shared" ca="1" si="279"/>
        <v>105.8</v>
      </c>
      <c r="T514" s="55">
        <f t="shared" ca="1" si="267"/>
        <v>0</v>
      </c>
      <c r="U514" s="78">
        <f t="shared" ca="1" si="284"/>
        <v>2.7389054743691302E-5</v>
      </c>
      <c r="V514" s="79">
        <f t="shared" ca="1" si="280"/>
        <v>0</v>
      </c>
      <c r="W514" s="79">
        <f t="shared" ca="1" si="268"/>
        <v>0</v>
      </c>
      <c r="X514" s="80">
        <f t="shared" ca="1" si="285"/>
        <v>0</v>
      </c>
      <c r="Y514" s="80">
        <f t="shared" ca="1" si="286"/>
        <v>0</v>
      </c>
      <c r="Z514" s="80">
        <f t="shared" ca="1" si="281"/>
        <v>0</v>
      </c>
      <c r="AA514" s="80">
        <f t="shared" ca="1" si="287"/>
        <v>0</v>
      </c>
      <c r="AB514" s="81">
        <f t="shared" ca="1" si="269"/>
        <v>0</v>
      </c>
      <c r="AC514" s="79">
        <f t="shared" ca="1" si="270"/>
        <v>0</v>
      </c>
      <c r="AD514" s="35"/>
      <c r="AE514" s="35"/>
      <c r="AF514" s="35"/>
      <c r="AG514" s="35"/>
      <c r="AH514" s="35"/>
      <c r="AR514" s="69">
        <f t="shared" si="282"/>
        <v>43</v>
      </c>
      <c r="AS514" s="70">
        <f t="shared" si="288"/>
        <v>511</v>
      </c>
      <c r="AT514" s="71">
        <f t="shared" si="292"/>
        <v>3.0266112882669761E-2</v>
      </c>
      <c r="AU514" s="72">
        <f t="shared" si="273"/>
        <v>6.8214933659622723E-3</v>
      </c>
      <c r="AV514" s="73">
        <f t="shared" si="283"/>
        <v>1.0068214933659623</v>
      </c>
      <c r="AW514" s="74">
        <f>PRODUCT(AV$4:AV514)</f>
        <v>32.263861970266923</v>
      </c>
    </row>
    <row r="515" spans="5:49">
      <c r="E515">
        <f t="shared" si="290"/>
        <v>512</v>
      </c>
      <c r="F515" s="64">
        <f t="shared" si="274"/>
        <v>95.88</v>
      </c>
      <c r="G515" s="55">
        <f t="shared" si="262"/>
        <v>0</v>
      </c>
      <c r="H515" s="78">
        <f t="shared" si="289"/>
        <v>1</v>
      </c>
      <c r="I515" s="79">
        <f t="shared" si="275"/>
        <v>120943.83139292002</v>
      </c>
      <c r="J515" s="79">
        <f t="shared" si="263"/>
        <v>825.01754350086355</v>
      </c>
      <c r="K515" s="80">
        <f t="shared" si="264"/>
        <v>-15</v>
      </c>
      <c r="L515" s="80">
        <f t="shared" si="276"/>
        <v>-100.7865261607667</v>
      </c>
      <c r="M515" s="80">
        <f t="shared" si="291"/>
        <v>0</v>
      </c>
      <c r="N515" s="80">
        <f t="shared" si="277"/>
        <v>-114.89663982327404</v>
      </c>
      <c r="O515" s="81">
        <f t="shared" si="265"/>
        <v>-2500.6101455486769</v>
      </c>
      <c r="P515" s="79">
        <f t="shared" si="266"/>
        <v>119037.55562488816</v>
      </c>
      <c r="Q515" s="35"/>
      <c r="R515">
        <f t="shared" ca="1" si="278"/>
        <v>637</v>
      </c>
      <c r="S515" s="78">
        <f t="shared" ca="1" si="279"/>
        <v>105.88</v>
      </c>
      <c r="T515" s="55">
        <f t="shared" ca="1" si="267"/>
        <v>0</v>
      </c>
      <c r="U515" s="78">
        <f t="shared" ca="1" si="284"/>
        <v>2.7389054743691302E-5</v>
      </c>
      <c r="V515" s="79">
        <f t="shared" ca="1" si="280"/>
        <v>0</v>
      </c>
      <c r="W515" s="79">
        <f t="shared" ca="1" si="268"/>
        <v>0</v>
      </c>
      <c r="X515" s="80">
        <f t="shared" ca="1" si="285"/>
        <v>0</v>
      </c>
      <c r="Y515" s="80">
        <f t="shared" ca="1" si="286"/>
        <v>0</v>
      </c>
      <c r="Z515" s="80">
        <f t="shared" ca="1" si="281"/>
        <v>0</v>
      </c>
      <c r="AA515" s="80">
        <f t="shared" ca="1" si="287"/>
        <v>0</v>
      </c>
      <c r="AB515" s="81">
        <f t="shared" ca="1" si="269"/>
        <v>0</v>
      </c>
      <c r="AC515" s="79">
        <f t="shared" ca="1" si="270"/>
        <v>0</v>
      </c>
      <c r="AD515" s="35"/>
      <c r="AE515" s="35"/>
      <c r="AF515" s="35"/>
      <c r="AG515" s="35"/>
      <c r="AH515" s="35"/>
      <c r="AR515" s="69">
        <f t="shared" si="282"/>
        <v>43</v>
      </c>
      <c r="AS515" s="70">
        <f t="shared" si="288"/>
        <v>512</v>
      </c>
      <c r="AT515" s="71">
        <f t="shared" si="292"/>
        <v>3.0059652794427166E-2</v>
      </c>
      <c r="AU515" s="72">
        <f t="shared" si="273"/>
        <v>6.8214933659622723E-3</v>
      </c>
      <c r="AV515" s="73">
        <f t="shared" si="283"/>
        <v>1.0068214933659623</v>
      </c>
      <c r="AW515" s="74">
        <f>PRODUCT(AV$4:AV515)</f>
        <v>32.483949690657418</v>
      </c>
    </row>
    <row r="516" spans="5:49">
      <c r="E516">
        <f t="shared" si="290"/>
        <v>513</v>
      </c>
      <c r="F516" s="64">
        <f t="shared" si="274"/>
        <v>95.96</v>
      </c>
      <c r="G516" s="55">
        <f t="shared" ref="G516:G579" si="293">(1-(1-IF(F516&gt;$AJ$90,0,VLOOKUP(ROUND(F516,0),$AJ$4:$AK$90,2,FALSE)))^(1/12))*0</f>
        <v>0</v>
      </c>
      <c r="H516" s="78">
        <f t="shared" si="289"/>
        <v>1</v>
      </c>
      <c r="I516" s="79">
        <f t="shared" si="275"/>
        <v>119037.55562488816</v>
      </c>
      <c r="J516" s="79">
        <f t="shared" ref="J516:J579" si="294">(I516)*$AU516</f>
        <v>812.01389599553954</v>
      </c>
      <c r="K516" s="80">
        <f t="shared" ref="K516:K579" si="295">IF(I516=0,0,-$C$19)*H516</f>
        <v>-15</v>
      </c>
      <c r="L516" s="80">
        <f t="shared" si="276"/>
        <v>-99.197963020740147</v>
      </c>
      <c r="M516" s="80">
        <f t="shared" si="291"/>
        <v>0</v>
      </c>
      <c r="N516" s="80">
        <f t="shared" si="277"/>
        <v>-113.08567784364378</v>
      </c>
      <c r="O516" s="81">
        <f t="shared" ref="O516:O579" si="296">-MIN(
IF(MOD(E516-1,IF($C$7="Annual",12,1))=0,1,0)
*IF(F516&lt;=$C$6,H516*$C$5*$C$4/IF($C$7="Monthly",12,1),$C$12),I516)</f>
        <v>-2500.6101455486769</v>
      </c>
      <c r="P516" s="79">
        <f t="shared" ref="P516:P579" si="297">SUM(I516:O516)</f>
        <v>117121.67573447064</v>
      </c>
      <c r="Q516" s="35"/>
      <c r="R516">
        <f t="shared" ca="1" si="278"/>
        <v>638</v>
      </c>
      <c r="S516" s="78">
        <f t="shared" ca="1" si="279"/>
        <v>105.96</v>
      </c>
      <c r="T516" s="55">
        <f t="shared" ref="T516:T579" ca="1" si="298">(1-(1-IF(S516&gt;$AJ$90,0,VLOOKUP(ROUND(S516,0),$AJ$4:$AK$90,2,FALSE)))^(1/12))</f>
        <v>0</v>
      </c>
      <c r="U516" s="78">
        <f t="shared" ca="1" si="284"/>
        <v>2.7389054743691302E-5</v>
      </c>
      <c r="V516" s="79">
        <f t="shared" ca="1" si="280"/>
        <v>0</v>
      </c>
      <c r="W516" s="79">
        <f t="shared" ref="W516:W579" ca="1" si="299">(V516)*$AU516</f>
        <v>0</v>
      </c>
      <c r="X516" s="80">
        <f t="shared" ca="1" si="285"/>
        <v>0</v>
      </c>
      <c r="Y516" s="80">
        <f t="shared" ca="1" si="286"/>
        <v>0</v>
      </c>
      <c r="Z516" s="80">
        <f t="shared" ca="1" si="281"/>
        <v>0</v>
      </c>
      <c r="AA516" s="80">
        <f t="shared" ca="1" si="287"/>
        <v>0</v>
      </c>
      <c r="AB516" s="81">
        <f t="shared" ref="AB516:AB579" ca="1" si="300">-MIN(IF(MOD(R516,IF($C$7="Annual",12,1))=0,1,0)*$C$39*U516/IF($C$7="Monthly",12,1),V516)</f>
        <v>0</v>
      </c>
      <c r="AC516" s="79">
        <f t="shared" ref="AC516:AC579" ca="1" si="301">SUM(V516:AB516)</f>
        <v>0</v>
      </c>
      <c r="AD516" s="35"/>
      <c r="AE516" s="35"/>
      <c r="AF516" s="35"/>
      <c r="AG516" s="35"/>
      <c r="AH516" s="35"/>
      <c r="AR516" s="69">
        <f t="shared" si="282"/>
        <v>43</v>
      </c>
      <c r="AS516" s="70">
        <f t="shared" si="288"/>
        <v>513</v>
      </c>
      <c r="AT516" s="71">
        <f t="shared" si="292"/>
        <v>2.9854601072306853E-2</v>
      </c>
      <c r="AU516" s="72">
        <f t="shared" ref="AU516:AU579" si="302">((1+$AH$21)^(1/12))-1</f>
        <v>6.8214933659622723E-3</v>
      </c>
      <c r="AV516" s="73">
        <f t="shared" si="283"/>
        <v>1.0068214933659623</v>
      </c>
      <c r="AW516" s="74">
        <f>PRODUCT(AV$4:AV516)</f>
        <v>32.705538737972489</v>
      </c>
    </row>
    <row r="517" spans="5:49">
      <c r="E517">
        <f t="shared" si="290"/>
        <v>514</v>
      </c>
      <c r="F517" s="64">
        <f t="shared" ref="F517:F580" si="303">ROUND((E517-E516)/12+F516,2)</f>
        <v>96.04</v>
      </c>
      <c r="G517" s="55">
        <f t="shared" si="293"/>
        <v>0</v>
      </c>
      <c r="H517" s="78">
        <f t="shared" si="289"/>
        <v>1</v>
      </c>
      <c r="I517" s="79">
        <f t="shared" ref="I517:I580" si="304">MAX(P516,0)*(1-G517)</f>
        <v>117121.67573447064</v>
      </c>
      <c r="J517" s="79">
        <f t="shared" si="294"/>
        <v>798.94473403307597</v>
      </c>
      <c r="K517" s="80">
        <f t="shared" si="295"/>
        <v>-15</v>
      </c>
      <c r="L517" s="80">
        <f t="shared" ref="L517:L580" si="305">IF(OR(I516+O516=0,K516=0),0,-I517*($C$16/12))</f>
        <v>-97.601396445392211</v>
      </c>
      <c r="M517" s="80">
        <f t="shared" si="291"/>
        <v>0</v>
      </c>
      <c r="N517" s="80">
        <f t="shared" ref="N517:N580" si="306">IF(OR(I516+O516=0,K516=0),0,-I517*($C$18*(1+$C$20))/12)</f>
        <v>-111.26559194774713</v>
      </c>
      <c r="O517" s="81">
        <f t="shared" si="296"/>
        <v>-2500.6101455486769</v>
      </c>
      <c r="P517" s="79">
        <f t="shared" si="297"/>
        <v>115196.14333456192</v>
      </c>
      <c r="Q517" s="35"/>
      <c r="R517">
        <f t="shared" ref="R517:R580" ca="1" si="307">R516+1</f>
        <v>639</v>
      </c>
      <c r="S517" s="78">
        <f t="shared" ref="S517:S580" ca="1" si="308">ROUND((R517-R516)/12+S516,2)</f>
        <v>106.04</v>
      </c>
      <c r="T517" s="55">
        <f t="shared" ca="1" si="298"/>
        <v>0</v>
      </c>
      <c r="U517" s="78">
        <f t="shared" ca="1" si="284"/>
        <v>2.7389054743691302E-5</v>
      </c>
      <c r="V517" s="79">
        <f t="shared" ref="V517:V580" ca="1" si="309">MAX(AC516,0)*(1-T517)</f>
        <v>0</v>
      </c>
      <c r="W517" s="79">
        <f t="shared" ca="1" si="299"/>
        <v>0</v>
      </c>
      <c r="X517" s="80">
        <f t="shared" ca="1" si="285"/>
        <v>0</v>
      </c>
      <c r="Y517" s="80">
        <f t="shared" ca="1" si="286"/>
        <v>0</v>
      </c>
      <c r="Z517" s="80">
        <f t="shared" ref="Z517:Z580" ca="1" si="310">-IF(MOD(R517-1,12)=0,1,0)*V517*($C$17)</f>
        <v>0</v>
      </c>
      <c r="AA517" s="80">
        <f t="shared" ca="1" si="287"/>
        <v>0</v>
      </c>
      <c r="AB517" s="81">
        <f t="shared" ca="1" si="300"/>
        <v>0</v>
      </c>
      <c r="AC517" s="79">
        <f t="shared" ca="1" si="301"/>
        <v>0</v>
      </c>
      <c r="AD517" s="35"/>
      <c r="AE517" s="35"/>
      <c r="AF517" s="35"/>
      <c r="AG517" s="35"/>
      <c r="AH517" s="35"/>
      <c r="AR517" s="69">
        <f t="shared" ref="AR517:AR580" si="311">ROUNDDOWN((AS517-1)/12,0)+1</f>
        <v>43</v>
      </c>
      <c r="AS517" s="70">
        <f t="shared" si="288"/>
        <v>514</v>
      </c>
      <c r="AT517" s="71">
        <f t="shared" si="292"/>
        <v>2.9650948109148662E-2</v>
      </c>
      <c r="AU517" s="72">
        <f t="shared" si="302"/>
        <v>6.8214933659622723E-3</v>
      </c>
      <c r="AV517" s="73">
        <f t="shared" ref="AV517:AV580" si="312">(1+AU517)</f>
        <v>1.0068214933659623</v>
      </c>
      <c r="AW517" s="74">
        <f>PRODUCT(AV$4:AV517)</f>
        <v>32.92863935350379</v>
      </c>
    </row>
    <row r="518" spans="5:49">
      <c r="E518">
        <f t="shared" si="290"/>
        <v>515</v>
      </c>
      <c r="F518" s="64">
        <f t="shared" si="303"/>
        <v>96.12</v>
      </c>
      <c r="G518" s="55">
        <f t="shared" si="293"/>
        <v>0</v>
      </c>
      <c r="H518" s="78">
        <f t="shared" si="289"/>
        <v>1</v>
      </c>
      <c r="I518" s="79">
        <f t="shared" si="304"/>
        <v>115196.14333456192</v>
      </c>
      <c r="J518" s="79">
        <f t="shared" si="294"/>
        <v>785.80972754115317</v>
      </c>
      <c r="K518" s="80">
        <f t="shared" si="295"/>
        <v>-15</v>
      </c>
      <c r="L518" s="80">
        <f t="shared" si="305"/>
        <v>-95.996786112134942</v>
      </c>
      <c r="M518" s="80">
        <f t="shared" si="291"/>
        <v>0</v>
      </c>
      <c r="N518" s="80">
        <f t="shared" si="306"/>
        <v>-109.43633616783383</v>
      </c>
      <c r="O518" s="81">
        <f t="shared" si="296"/>
        <v>-2500.6101455486769</v>
      </c>
      <c r="P518" s="79">
        <f t="shared" si="297"/>
        <v>113260.90979427441</v>
      </c>
      <c r="Q518" s="35"/>
      <c r="R518">
        <f t="shared" ca="1" si="307"/>
        <v>640</v>
      </c>
      <c r="S518" s="78">
        <f t="shared" ca="1" si="308"/>
        <v>106.12</v>
      </c>
      <c r="T518" s="55">
        <f t="shared" ca="1" si="298"/>
        <v>0</v>
      </c>
      <c r="U518" s="78">
        <f t="shared" ref="U518:U581" ca="1" si="313">U517*(1-T518)</f>
        <v>2.7389054743691302E-5</v>
      </c>
      <c r="V518" s="79">
        <f t="shared" ca="1" si="309"/>
        <v>0</v>
      </c>
      <c r="W518" s="79">
        <f t="shared" ca="1" si="299"/>
        <v>0</v>
      </c>
      <c r="X518" s="80">
        <f t="shared" ref="X518:X581" ca="1" si="314">IF(V518=0,0,-$C$19)*U518</f>
        <v>0</v>
      </c>
      <c r="Y518" s="80">
        <f t="shared" ref="Y518:Y581" ca="1" si="315">IF(OR(V517+AB517=0,X517=0),0,-V518*($C$16/12))</f>
        <v>0</v>
      </c>
      <c r="Z518" s="80">
        <f t="shared" ca="1" si="310"/>
        <v>0</v>
      </c>
      <c r="AA518" s="80">
        <f t="shared" ref="AA518:AA581" ca="1" si="316">IF(OR(V517+AB517=0,X517=0),0,-V518*($C$18*(1+$C$20))/12)</f>
        <v>0</v>
      </c>
      <c r="AB518" s="81">
        <f t="shared" ca="1" si="300"/>
        <v>0</v>
      </c>
      <c r="AC518" s="79">
        <f t="shared" ca="1" si="301"/>
        <v>0</v>
      </c>
      <c r="AD518" s="35"/>
      <c r="AE518" s="35"/>
      <c r="AF518" s="35"/>
      <c r="AG518" s="35"/>
      <c r="AH518" s="35"/>
      <c r="AR518" s="69">
        <f t="shared" si="311"/>
        <v>43</v>
      </c>
      <c r="AS518" s="70">
        <f t="shared" ref="AS518:AS581" si="317">AS517+1</f>
        <v>515</v>
      </c>
      <c r="AT518" s="71">
        <f t="shared" si="292"/>
        <v>2.9448684363327614E-2</v>
      </c>
      <c r="AU518" s="72">
        <f t="shared" si="302"/>
        <v>6.8214933659622723E-3</v>
      </c>
      <c r="AV518" s="73">
        <f t="shared" si="312"/>
        <v>1.0068214933659623</v>
      </c>
      <c r="AW518" s="74">
        <f>PRODUCT(AV$4:AV518)</f>
        <v>33.153261848403879</v>
      </c>
    </row>
    <row r="519" spans="5:49">
      <c r="E519">
        <f t="shared" si="290"/>
        <v>516</v>
      </c>
      <c r="F519" s="64">
        <f t="shared" si="303"/>
        <v>96.2</v>
      </c>
      <c r="G519" s="55">
        <f t="shared" si="293"/>
        <v>0</v>
      </c>
      <c r="H519" s="78">
        <f t="shared" ref="H519:H582" si="318">H518*(1-G519)</f>
        <v>1</v>
      </c>
      <c r="I519" s="79">
        <f t="shared" si="304"/>
        <v>113260.90979427441</v>
      </c>
      <c r="J519" s="79">
        <f t="shared" si="294"/>
        <v>772.60854478449426</v>
      </c>
      <c r="K519" s="80">
        <f t="shared" si="295"/>
        <v>-15</v>
      </c>
      <c r="L519" s="80">
        <f t="shared" si="305"/>
        <v>-94.384091495228688</v>
      </c>
      <c r="M519" s="80">
        <f t="shared" si="291"/>
        <v>0</v>
      </c>
      <c r="N519" s="80">
        <f t="shared" si="306"/>
        <v>-107.5978643045607</v>
      </c>
      <c r="O519" s="81">
        <f t="shared" si="296"/>
        <v>-2500.6101455486769</v>
      </c>
      <c r="P519" s="79">
        <f t="shared" si="297"/>
        <v>111315.92623771043</v>
      </c>
      <c r="Q519" s="35"/>
      <c r="R519">
        <f t="shared" ca="1" si="307"/>
        <v>641</v>
      </c>
      <c r="S519" s="78">
        <f t="shared" ca="1" si="308"/>
        <v>106.2</v>
      </c>
      <c r="T519" s="55">
        <f t="shared" ca="1" si="298"/>
        <v>0</v>
      </c>
      <c r="U519" s="78">
        <f t="shared" ca="1" si="313"/>
        <v>2.7389054743691302E-5</v>
      </c>
      <c r="V519" s="79">
        <f t="shared" ca="1" si="309"/>
        <v>0</v>
      </c>
      <c r="W519" s="79">
        <f t="shared" ca="1" si="299"/>
        <v>0</v>
      </c>
      <c r="X519" s="80">
        <f t="shared" ca="1" si="314"/>
        <v>0</v>
      </c>
      <c r="Y519" s="80">
        <f t="shared" ca="1" si="315"/>
        <v>0</v>
      </c>
      <c r="Z519" s="80">
        <f t="shared" ca="1" si="310"/>
        <v>0</v>
      </c>
      <c r="AA519" s="80">
        <f t="shared" ca="1" si="316"/>
        <v>0</v>
      </c>
      <c r="AB519" s="81">
        <f t="shared" ca="1" si="300"/>
        <v>0</v>
      </c>
      <c r="AC519" s="79">
        <f t="shared" ca="1" si="301"/>
        <v>0</v>
      </c>
      <c r="AD519" s="35"/>
      <c r="AE519" s="35"/>
      <c r="AF519" s="35"/>
      <c r="AG519" s="35"/>
      <c r="AH519" s="35"/>
      <c r="AR519" s="69">
        <f t="shared" si="311"/>
        <v>43</v>
      </c>
      <c r="AS519" s="70">
        <f t="shared" si="317"/>
        <v>516</v>
      </c>
      <c r="AT519" s="71">
        <f t="shared" si="292"/>
        <v>2.9247800358306857E-2</v>
      </c>
      <c r="AU519" s="72">
        <f t="shared" si="302"/>
        <v>6.8214933659622723E-3</v>
      </c>
      <c r="AV519" s="73">
        <f t="shared" si="312"/>
        <v>1.0068214933659623</v>
      </c>
      <c r="AW519" s="74">
        <f>PRODUCT(AV$4:AV519)</f>
        <v>33.379416604162778</v>
      </c>
    </row>
    <row r="520" spans="5:49">
      <c r="E520">
        <f t="shared" si="290"/>
        <v>517</v>
      </c>
      <c r="F520" s="64">
        <f t="shared" si="303"/>
        <v>96.28</v>
      </c>
      <c r="G520" s="55">
        <f t="shared" si="293"/>
        <v>0</v>
      </c>
      <c r="H520" s="78">
        <f t="shared" si="318"/>
        <v>1</v>
      </c>
      <c r="I520" s="79">
        <f t="shared" si="304"/>
        <v>111315.92623771043</v>
      </c>
      <c r="J520" s="79">
        <f t="shared" si="294"/>
        <v>759.3408523564874</v>
      </c>
      <c r="K520" s="80">
        <f t="shared" si="295"/>
        <v>-15</v>
      </c>
      <c r="L520" s="80">
        <f t="shared" si="305"/>
        <v>-92.763271864758693</v>
      </c>
      <c r="M520" s="80">
        <f t="shared" si="291"/>
        <v>-834.86944678282816</v>
      </c>
      <c r="N520" s="80">
        <f t="shared" si="306"/>
        <v>-105.75012992582492</v>
      </c>
      <c r="O520" s="81">
        <f t="shared" si="296"/>
        <v>-2500.6101455486769</v>
      </c>
      <c r="P520" s="79">
        <f t="shared" si="297"/>
        <v>108526.27409594481</v>
      </c>
      <c r="Q520" s="35"/>
      <c r="R520">
        <f t="shared" ca="1" si="307"/>
        <v>642</v>
      </c>
      <c r="S520" s="78">
        <f t="shared" ca="1" si="308"/>
        <v>106.28</v>
      </c>
      <c r="T520" s="55">
        <f t="shared" ca="1" si="298"/>
        <v>0</v>
      </c>
      <c r="U520" s="78">
        <f t="shared" ca="1" si="313"/>
        <v>2.7389054743691302E-5</v>
      </c>
      <c r="V520" s="79">
        <f t="shared" ca="1" si="309"/>
        <v>0</v>
      </c>
      <c r="W520" s="79">
        <f t="shared" ca="1" si="299"/>
        <v>0</v>
      </c>
      <c r="X520" s="80">
        <f t="shared" ca="1" si="314"/>
        <v>0</v>
      </c>
      <c r="Y520" s="80">
        <f t="shared" ca="1" si="315"/>
        <v>0</v>
      </c>
      <c r="Z520" s="80">
        <f t="shared" ca="1" si="310"/>
        <v>0</v>
      </c>
      <c r="AA520" s="80">
        <f t="shared" ca="1" si="316"/>
        <v>0</v>
      </c>
      <c r="AB520" s="81">
        <f t="shared" ca="1" si="300"/>
        <v>0</v>
      </c>
      <c r="AC520" s="79">
        <f t="shared" ca="1" si="301"/>
        <v>0</v>
      </c>
      <c r="AD520" s="35"/>
      <c r="AE520" s="35"/>
      <c r="AF520" s="35"/>
      <c r="AG520" s="35"/>
      <c r="AH520" s="35"/>
      <c r="AR520" s="69">
        <f t="shared" si="311"/>
        <v>44</v>
      </c>
      <c r="AS520" s="70">
        <f t="shared" si="317"/>
        <v>517</v>
      </c>
      <c r="AT520" s="71">
        <f t="shared" si="292"/>
        <v>2.904828668219368E-2</v>
      </c>
      <c r="AU520" s="72">
        <f t="shared" si="302"/>
        <v>6.8214933659622723E-3</v>
      </c>
      <c r="AV520" s="73">
        <f t="shared" si="312"/>
        <v>1.0068214933659623</v>
      </c>
      <c r="AW520" s="74">
        <f>PRODUCT(AV$4:AV520)</f>
        <v>33.607114073087764</v>
      </c>
    </row>
    <row r="521" spans="5:49">
      <c r="E521">
        <f t="shared" si="290"/>
        <v>518</v>
      </c>
      <c r="F521" s="64">
        <f t="shared" si="303"/>
        <v>96.36</v>
      </c>
      <c r="G521" s="55">
        <f t="shared" si="293"/>
        <v>0</v>
      </c>
      <c r="H521" s="78">
        <f t="shared" si="318"/>
        <v>1</v>
      </c>
      <c r="I521" s="79">
        <f t="shared" si="304"/>
        <v>108526.27409594481</v>
      </c>
      <c r="J521" s="79">
        <f t="shared" si="294"/>
        <v>740.31125877809075</v>
      </c>
      <c r="K521" s="80">
        <f t="shared" si="295"/>
        <v>-15</v>
      </c>
      <c r="L521" s="80">
        <f t="shared" si="305"/>
        <v>-90.438561746620678</v>
      </c>
      <c r="M521" s="80">
        <f t="shared" si="291"/>
        <v>0</v>
      </c>
      <c r="N521" s="80">
        <f t="shared" si="306"/>
        <v>-103.09996039114759</v>
      </c>
      <c r="O521" s="81">
        <f t="shared" si="296"/>
        <v>-2500.6101455486769</v>
      </c>
      <c r="P521" s="79">
        <f t="shared" si="297"/>
        <v>106557.43668703646</v>
      </c>
      <c r="Q521" s="35"/>
      <c r="R521">
        <f t="shared" ca="1" si="307"/>
        <v>643</v>
      </c>
      <c r="S521" s="78">
        <f t="shared" ca="1" si="308"/>
        <v>106.36</v>
      </c>
      <c r="T521" s="55">
        <f t="shared" ca="1" si="298"/>
        <v>0</v>
      </c>
      <c r="U521" s="78">
        <f t="shared" ca="1" si="313"/>
        <v>2.7389054743691302E-5</v>
      </c>
      <c r="V521" s="79">
        <f t="shared" ca="1" si="309"/>
        <v>0</v>
      </c>
      <c r="W521" s="79">
        <f t="shared" ca="1" si="299"/>
        <v>0</v>
      </c>
      <c r="X521" s="80">
        <f t="shared" ca="1" si="314"/>
        <v>0</v>
      </c>
      <c r="Y521" s="80">
        <f t="shared" ca="1" si="315"/>
        <v>0</v>
      </c>
      <c r="Z521" s="80">
        <f t="shared" ca="1" si="310"/>
        <v>0</v>
      </c>
      <c r="AA521" s="80">
        <f t="shared" ca="1" si="316"/>
        <v>0</v>
      </c>
      <c r="AB521" s="81">
        <f t="shared" ca="1" si="300"/>
        <v>0</v>
      </c>
      <c r="AC521" s="79">
        <f t="shared" ca="1" si="301"/>
        <v>0</v>
      </c>
      <c r="AD521" s="35"/>
      <c r="AE521" s="35"/>
      <c r="AF521" s="35"/>
      <c r="AG521" s="35"/>
      <c r="AH521" s="35"/>
      <c r="AR521" s="69">
        <f t="shared" si="311"/>
        <v>44</v>
      </c>
      <c r="AS521" s="70">
        <f t="shared" si="317"/>
        <v>518</v>
      </c>
      <c r="AT521" s="71">
        <f t="shared" si="292"/>
        <v>2.8850133987298524E-2</v>
      </c>
      <c r="AU521" s="72">
        <f t="shared" si="302"/>
        <v>6.8214933659622723E-3</v>
      </c>
      <c r="AV521" s="73">
        <f t="shared" si="312"/>
        <v>1.0068214933659623</v>
      </c>
      <c r="AW521" s="74">
        <f>PRODUCT(AV$4:AV521)</f>
        <v>33.836364778786468</v>
      </c>
    </row>
    <row r="522" spans="5:49">
      <c r="E522">
        <f t="shared" si="290"/>
        <v>519</v>
      </c>
      <c r="F522" s="64">
        <f t="shared" si="303"/>
        <v>96.44</v>
      </c>
      <c r="G522" s="55">
        <f t="shared" si="293"/>
        <v>0</v>
      </c>
      <c r="H522" s="78">
        <f t="shared" si="318"/>
        <v>1</v>
      </c>
      <c r="I522" s="79">
        <f t="shared" si="304"/>
        <v>106557.43668703646</v>
      </c>
      <c r="J522" s="79">
        <f t="shared" si="294"/>
        <v>726.8808474545641</v>
      </c>
      <c r="K522" s="80">
        <f t="shared" si="295"/>
        <v>-15</v>
      </c>
      <c r="L522" s="80">
        <f t="shared" si="305"/>
        <v>-88.797863905863721</v>
      </c>
      <c r="M522" s="80">
        <f t="shared" si="291"/>
        <v>0</v>
      </c>
      <c r="N522" s="80">
        <f t="shared" si="306"/>
        <v>-101.22956485268465</v>
      </c>
      <c r="O522" s="81">
        <f t="shared" si="296"/>
        <v>-2500.6101455486769</v>
      </c>
      <c r="P522" s="79">
        <f t="shared" si="297"/>
        <v>104578.67996018381</v>
      </c>
      <c r="Q522" s="35"/>
      <c r="R522">
        <f t="shared" ca="1" si="307"/>
        <v>644</v>
      </c>
      <c r="S522" s="78">
        <f t="shared" ca="1" si="308"/>
        <v>106.44</v>
      </c>
      <c r="T522" s="55">
        <f t="shared" ca="1" si="298"/>
        <v>0</v>
      </c>
      <c r="U522" s="78">
        <f t="shared" ca="1" si="313"/>
        <v>2.7389054743691302E-5</v>
      </c>
      <c r="V522" s="79">
        <f t="shared" ca="1" si="309"/>
        <v>0</v>
      </c>
      <c r="W522" s="79">
        <f t="shared" ca="1" si="299"/>
        <v>0</v>
      </c>
      <c r="X522" s="80">
        <f t="shared" ca="1" si="314"/>
        <v>0</v>
      </c>
      <c r="Y522" s="80">
        <f t="shared" ca="1" si="315"/>
        <v>0</v>
      </c>
      <c r="Z522" s="80">
        <f t="shared" ca="1" si="310"/>
        <v>0</v>
      </c>
      <c r="AA522" s="80">
        <f t="shared" ca="1" si="316"/>
        <v>0</v>
      </c>
      <c r="AB522" s="81">
        <f t="shared" ca="1" si="300"/>
        <v>0</v>
      </c>
      <c r="AC522" s="79">
        <f t="shared" ca="1" si="301"/>
        <v>0</v>
      </c>
      <c r="AD522" s="35"/>
      <c r="AE522" s="35"/>
      <c r="AF522" s="35"/>
      <c r="AG522" s="35"/>
      <c r="AH522" s="35"/>
      <c r="AR522" s="69">
        <f t="shared" si="311"/>
        <v>44</v>
      </c>
      <c r="AS522" s="70">
        <f t="shared" si="317"/>
        <v>519</v>
      </c>
      <c r="AT522" s="71">
        <f t="shared" si="292"/>
        <v>2.8653332989697043E-2</v>
      </c>
      <c r="AU522" s="72">
        <f t="shared" si="302"/>
        <v>6.8214933659622723E-3</v>
      </c>
      <c r="AV522" s="73">
        <f t="shared" si="312"/>
        <v>1.0068214933659623</v>
      </c>
      <c r="AW522" s="74">
        <f>PRODUCT(AV$4:AV522)</f>
        <v>34.067179316653238</v>
      </c>
    </row>
    <row r="523" spans="5:49">
      <c r="E523">
        <f t="shared" si="290"/>
        <v>520</v>
      </c>
      <c r="F523" s="64">
        <f t="shared" si="303"/>
        <v>96.52</v>
      </c>
      <c r="G523" s="55">
        <f t="shared" si="293"/>
        <v>0</v>
      </c>
      <c r="H523" s="78">
        <f t="shared" si="318"/>
        <v>1</v>
      </c>
      <c r="I523" s="79">
        <f t="shared" si="304"/>
        <v>104578.67996018381</v>
      </c>
      <c r="J523" s="79">
        <f t="shared" si="294"/>
        <v>713.3827715694855</v>
      </c>
      <c r="K523" s="80">
        <f t="shared" si="295"/>
        <v>-15</v>
      </c>
      <c r="L523" s="80">
        <f t="shared" si="305"/>
        <v>-87.148899966819855</v>
      </c>
      <c r="M523" s="80">
        <f t="shared" si="291"/>
        <v>0</v>
      </c>
      <c r="N523" s="80">
        <f t="shared" si="306"/>
        <v>-99.349745962174651</v>
      </c>
      <c r="O523" s="81">
        <f t="shared" si="296"/>
        <v>-2500.6101455486769</v>
      </c>
      <c r="P523" s="79">
        <f t="shared" si="297"/>
        <v>102589.95394027562</v>
      </c>
      <c r="Q523" s="35"/>
      <c r="R523">
        <f t="shared" ca="1" si="307"/>
        <v>645</v>
      </c>
      <c r="S523" s="78">
        <f t="shared" ca="1" si="308"/>
        <v>106.52</v>
      </c>
      <c r="T523" s="55">
        <f t="shared" ca="1" si="298"/>
        <v>0</v>
      </c>
      <c r="U523" s="78">
        <f t="shared" ca="1" si="313"/>
        <v>2.7389054743691302E-5</v>
      </c>
      <c r="V523" s="79">
        <f t="shared" ca="1" si="309"/>
        <v>0</v>
      </c>
      <c r="W523" s="79">
        <f t="shared" ca="1" si="299"/>
        <v>0</v>
      </c>
      <c r="X523" s="80">
        <f t="shared" ca="1" si="314"/>
        <v>0</v>
      </c>
      <c r="Y523" s="80">
        <f t="shared" ca="1" si="315"/>
        <v>0</v>
      </c>
      <c r="Z523" s="80">
        <f t="shared" ca="1" si="310"/>
        <v>0</v>
      </c>
      <c r="AA523" s="80">
        <f t="shared" ca="1" si="316"/>
        <v>0</v>
      </c>
      <c r="AB523" s="81">
        <f t="shared" ca="1" si="300"/>
        <v>0</v>
      </c>
      <c r="AC523" s="79">
        <f t="shared" ca="1" si="301"/>
        <v>0</v>
      </c>
      <c r="AD523" s="35"/>
      <c r="AE523" s="35"/>
      <c r="AF523" s="35"/>
      <c r="AG523" s="35"/>
      <c r="AH523" s="35"/>
      <c r="AR523" s="69">
        <f t="shared" si="311"/>
        <v>44</v>
      </c>
      <c r="AS523" s="70">
        <f t="shared" si="317"/>
        <v>520</v>
      </c>
      <c r="AT523" s="71">
        <f t="shared" si="292"/>
        <v>2.8457874468795118E-2</v>
      </c>
      <c r="AU523" s="72">
        <f t="shared" si="302"/>
        <v>6.8214933659622723E-3</v>
      </c>
      <c r="AV523" s="73">
        <f t="shared" si="312"/>
        <v>1.0068214933659623</v>
      </c>
      <c r="AW523" s="74">
        <f>PRODUCT(AV$4:AV523)</f>
        <v>34.299568354358833</v>
      </c>
    </row>
    <row r="524" spans="5:49">
      <c r="E524">
        <f t="shared" si="290"/>
        <v>521</v>
      </c>
      <c r="F524" s="64">
        <f t="shared" si="303"/>
        <v>96.6</v>
      </c>
      <c r="G524" s="55">
        <f t="shared" si="293"/>
        <v>0</v>
      </c>
      <c r="H524" s="78">
        <f t="shared" si="318"/>
        <v>1</v>
      </c>
      <c r="I524" s="79">
        <f t="shared" si="304"/>
        <v>102589.95394027562</v>
      </c>
      <c r="J524" s="79">
        <f t="shared" si="294"/>
        <v>699.81669021796517</v>
      </c>
      <c r="K524" s="80">
        <f t="shared" si="295"/>
        <v>-15</v>
      </c>
      <c r="L524" s="80">
        <f t="shared" si="305"/>
        <v>-85.491628283563017</v>
      </c>
      <c r="M524" s="80">
        <f t="shared" si="291"/>
        <v>0</v>
      </c>
      <c r="N524" s="80">
        <f t="shared" si="306"/>
        <v>-97.460456243261845</v>
      </c>
      <c r="O524" s="81">
        <f t="shared" si="296"/>
        <v>-2500.6101455486769</v>
      </c>
      <c r="P524" s="79">
        <f t="shared" si="297"/>
        <v>100591.20840041808</v>
      </c>
      <c r="Q524" s="35"/>
      <c r="R524">
        <f t="shared" ca="1" si="307"/>
        <v>646</v>
      </c>
      <c r="S524" s="78">
        <f t="shared" ca="1" si="308"/>
        <v>106.6</v>
      </c>
      <c r="T524" s="55">
        <f t="shared" ca="1" si="298"/>
        <v>0</v>
      </c>
      <c r="U524" s="78">
        <f t="shared" ca="1" si="313"/>
        <v>2.7389054743691302E-5</v>
      </c>
      <c r="V524" s="79">
        <f t="shared" ca="1" si="309"/>
        <v>0</v>
      </c>
      <c r="W524" s="79">
        <f t="shared" ca="1" si="299"/>
        <v>0</v>
      </c>
      <c r="X524" s="80">
        <f t="shared" ca="1" si="314"/>
        <v>0</v>
      </c>
      <c r="Y524" s="80">
        <f t="shared" ca="1" si="315"/>
        <v>0</v>
      </c>
      <c r="Z524" s="80">
        <f t="shared" ca="1" si="310"/>
        <v>0</v>
      </c>
      <c r="AA524" s="80">
        <f t="shared" ca="1" si="316"/>
        <v>0</v>
      </c>
      <c r="AB524" s="81">
        <f t="shared" ca="1" si="300"/>
        <v>0</v>
      </c>
      <c r="AC524" s="79">
        <f t="shared" ca="1" si="301"/>
        <v>0</v>
      </c>
      <c r="AD524" s="35"/>
      <c r="AE524" s="35"/>
      <c r="AF524" s="35"/>
      <c r="AG524" s="35"/>
      <c r="AH524" s="35"/>
      <c r="AR524" s="69">
        <f t="shared" si="311"/>
        <v>44</v>
      </c>
      <c r="AS524" s="70">
        <f t="shared" si="317"/>
        <v>521</v>
      </c>
      <c r="AT524" s="71">
        <f t="shared" si="292"/>
        <v>2.8263749266896846E-2</v>
      </c>
      <c r="AU524" s="72">
        <f t="shared" si="302"/>
        <v>6.8214933659622723E-3</v>
      </c>
      <c r="AV524" s="73">
        <f t="shared" si="312"/>
        <v>1.0068214933659623</v>
      </c>
      <c r="AW524" s="74">
        <f>PRODUCT(AV$4:AV524)</f>
        <v>34.533542632343462</v>
      </c>
    </row>
    <row r="525" spans="5:49">
      <c r="E525">
        <f t="shared" si="290"/>
        <v>522</v>
      </c>
      <c r="F525" s="64">
        <f t="shared" si="303"/>
        <v>96.68</v>
      </c>
      <c r="G525" s="55">
        <f t="shared" si="293"/>
        <v>0</v>
      </c>
      <c r="H525" s="78">
        <f t="shared" si="318"/>
        <v>1</v>
      </c>
      <c r="I525" s="79">
        <f t="shared" si="304"/>
        <v>100591.20840041808</v>
      </c>
      <c r="J525" s="79">
        <f t="shared" si="294"/>
        <v>686.18226077758038</v>
      </c>
      <c r="K525" s="80">
        <f t="shared" si="295"/>
        <v>-15</v>
      </c>
      <c r="L525" s="80">
        <f t="shared" si="305"/>
        <v>-83.826007000348412</v>
      </c>
      <c r="M525" s="80">
        <f t="shared" si="291"/>
        <v>0</v>
      </c>
      <c r="N525" s="80">
        <f t="shared" si="306"/>
        <v>-95.561647980397197</v>
      </c>
      <c r="O525" s="81">
        <f t="shared" si="296"/>
        <v>-2500.6101455486769</v>
      </c>
      <c r="P525" s="79">
        <f t="shared" si="297"/>
        <v>98582.392860666238</v>
      </c>
      <c r="Q525" s="35"/>
      <c r="R525">
        <f t="shared" ca="1" si="307"/>
        <v>647</v>
      </c>
      <c r="S525" s="78">
        <f t="shared" ca="1" si="308"/>
        <v>106.68</v>
      </c>
      <c r="T525" s="55">
        <f t="shared" ca="1" si="298"/>
        <v>0</v>
      </c>
      <c r="U525" s="78">
        <f t="shared" ca="1" si="313"/>
        <v>2.7389054743691302E-5</v>
      </c>
      <c r="V525" s="79">
        <f t="shared" ca="1" si="309"/>
        <v>0</v>
      </c>
      <c r="W525" s="79">
        <f t="shared" ca="1" si="299"/>
        <v>0</v>
      </c>
      <c r="X525" s="80">
        <f t="shared" ca="1" si="314"/>
        <v>0</v>
      </c>
      <c r="Y525" s="80">
        <f t="shared" ca="1" si="315"/>
        <v>0</v>
      </c>
      <c r="Z525" s="80">
        <f t="shared" ca="1" si="310"/>
        <v>0</v>
      </c>
      <c r="AA525" s="80">
        <f t="shared" ca="1" si="316"/>
        <v>0</v>
      </c>
      <c r="AB525" s="81">
        <f t="shared" ca="1" si="300"/>
        <v>0</v>
      </c>
      <c r="AC525" s="79">
        <f t="shared" ca="1" si="301"/>
        <v>0</v>
      </c>
      <c r="AD525" s="35"/>
      <c r="AE525" s="35"/>
      <c r="AF525" s="35"/>
      <c r="AG525" s="35"/>
      <c r="AH525" s="35"/>
      <c r="AR525" s="69">
        <f t="shared" si="311"/>
        <v>44</v>
      </c>
      <c r="AS525" s="70">
        <f t="shared" si="317"/>
        <v>522</v>
      </c>
      <c r="AT525" s="71">
        <f t="shared" si="292"/>
        <v>2.8070948288775488E-2</v>
      </c>
      <c r="AU525" s="72">
        <f t="shared" si="302"/>
        <v>6.8214933659622723E-3</v>
      </c>
      <c r="AV525" s="73">
        <f t="shared" si="312"/>
        <v>1.0068214933659623</v>
      </c>
      <c r="AW525" s="74">
        <f>PRODUCT(AV$4:AV525)</f>
        <v>34.769112964313166</v>
      </c>
    </row>
    <row r="526" spans="5:49">
      <c r="E526">
        <f t="shared" si="290"/>
        <v>523</v>
      </c>
      <c r="F526" s="64">
        <f t="shared" si="303"/>
        <v>96.76</v>
      </c>
      <c r="G526" s="55">
        <f t="shared" si="293"/>
        <v>0</v>
      </c>
      <c r="H526" s="78">
        <f t="shared" si="318"/>
        <v>1</v>
      </c>
      <c r="I526" s="79">
        <f t="shared" si="304"/>
        <v>98582.392860666238</v>
      </c>
      <c r="J526" s="79">
        <f t="shared" si="294"/>
        <v>672.47913889972119</v>
      </c>
      <c r="K526" s="80">
        <f t="shared" si="295"/>
        <v>-15</v>
      </c>
      <c r="L526" s="80">
        <f t="shared" si="305"/>
        <v>-82.151994050555203</v>
      </c>
      <c r="M526" s="80">
        <f t="shared" si="291"/>
        <v>0</v>
      </c>
      <c r="N526" s="80">
        <f t="shared" si="306"/>
        <v>-93.653273217632943</v>
      </c>
      <c r="O526" s="81">
        <f t="shared" si="296"/>
        <v>-2500.6101455486769</v>
      </c>
      <c r="P526" s="79">
        <f t="shared" si="297"/>
        <v>96563.456586749104</v>
      </c>
      <c r="Q526" s="35"/>
      <c r="R526">
        <f t="shared" ca="1" si="307"/>
        <v>648</v>
      </c>
      <c r="S526" s="78">
        <f t="shared" ca="1" si="308"/>
        <v>106.76</v>
      </c>
      <c r="T526" s="55">
        <f t="shared" ca="1" si="298"/>
        <v>0</v>
      </c>
      <c r="U526" s="78">
        <f t="shared" ca="1" si="313"/>
        <v>2.7389054743691302E-5</v>
      </c>
      <c r="V526" s="79">
        <f t="shared" ca="1" si="309"/>
        <v>0</v>
      </c>
      <c r="W526" s="79">
        <f t="shared" ca="1" si="299"/>
        <v>0</v>
      </c>
      <c r="X526" s="80">
        <f t="shared" ca="1" si="314"/>
        <v>0</v>
      </c>
      <c r="Y526" s="80">
        <f t="shared" ca="1" si="315"/>
        <v>0</v>
      </c>
      <c r="Z526" s="80">
        <f t="shared" ca="1" si="310"/>
        <v>0</v>
      </c>
      <c r="AA526" s="80">
        <f t="shared" ca="1" si="316"/>
        <v>0</v>
      </c>
      <c r="AB526" s="81">
        <f t="shared" ca="1" si="300"/>
        <v>0</v>
      </c>
      <c r="AC526" s="79">
        <f t="shared" ca="1" si="301"/>
        <v>0</v>
      </c>
      <c r="AD526" s="35"/>
      <c r="AE526" s="35"/>
      <c r="AF526" s="35"/>
      <c r="AG526" s="35"/>
      <c r="AH526" s="35"/>
      <c r="AR526" s="69">
        <f t="shared" si="311"/>
        <v>44</v>
      </c>
      <c r="AS526" s="70">
        <f t="shared" si="317"/>
        <v>523</v>
      </c>
      <c r="AT526" s="71">
        <f t="shared" si="292"/>
        <v>2.7879462501247336E-2</v>
      </c>
      <c r="AU526" s="72">
        <f t="shared" si="302"/>
        <v>6.8214933659622723E-3</v>
      </c>
      <c r="AV526" s="73">
        <f t="shared" si="312"/>
        <v>1.0068214933659623</v>
      </c>
      <c r="AW526" s="74">
        <f>PRODUCT(AV$4:AV526)</f>
        <v>35.00629023773962</v>
      </c>
    </row>
    <row r="527" spans="5:49">
      <c r="E527">
        <f t="shared" si="290"/>
        <v>524</v>
      </c>
      <c r="F527" s="64">
        <f t="shared" si="303"/>
        <v>96.84</v>
      </c>
      <c r="G527" s="55">
        <f t="shared" si="293"/>
        <v>0</v>
      </c>
      <c r="H527" s="78">
        <f t="shared" si="318"/>
        <v>1</v>
      </c>
      <c r="I527" s="79">
        <f t="shared" si="304"/>
        <v>96563.456586749104</v>
      </c>
      <c r="J527" s="79">
        <f t="shared" si="294"/>
        <v>658.70697850089493</v>
      </c>
      <c r="K527" s="80">
        <f t="shared" si="295"/>
        <v>-15</v>
      </c>
      <c r="L527" s="80">
        <f t="shared" si="305"/>
        <v>-80.469547155624255</v>
      </c>
      <c r="M527" s="80">
        <f t="shared" si="291"/>
        <v>0</v>
      </c>
      <c r="N527" s="80">
        <f t="shared" si="306"/>
        <v>-91.735283757411665</v>
      </c>
      <c r="O527" s="81">
        <f t="shared" si="296"/>
        <v>-2500.6101455486769</v>
      </c>
      <c r="P527" s="79">
        <f t="shared" si="297"/>
        <v>94534.348588788285</v>
      </c>
      <c r="Q527" s="35"/>
      <c r="R527">
        <f t="shared" ca="1" si="307"/>
        <v>649</v>
      </c>
      <c r="S527" s="78">
        <f t="shared" ca="1" si="308"/>
        <v>106.84</v>
      </c>
      <c r="T527" s="55">
        <f t="shared" ca="1" si="298"/>
        <v>0</v>
      </c>
      <c r="U527" s="78">
        <f t="shared" ca="1" si="313"/>
        <v>2.7389054743691302E-5</v>
      </c>
      <c r="V527" s="79">
        <f t="shared" ca="1" si="309"/>
        <v>0</v>
      </c>
      <c r="W527" s="79">
        <f t="shared" ca="1" si="299"/>
        <v>0</v>
      </c>
      <c r="X527" s="80">
        <f t="shared" ca="1" si="314"/>
        <v>0</v>
      </c>
      <c r="Y527" s="80">
        <f t="shared" ca="1" si="315"/>
        <v>0</v>
      </c>
      <c r="Z527" s="80">
        <f t="shared" ca="1" si="310"/>
        <v>0</v>
      </c>
      <c r="AA527" s="80">
        <f t="shared" ca="1" si="316"/>
        <v>0</v>
      </c>
      <c r="AB527" s="81">
        <f t="shared" ca="1" si="300"/>
        <v>0</v>
      </c>
      <c r="AC527" s="79">
        <f t="shared" ca="1" si="301"/>
        <v>0</v>
      </c>
      <c r="AD527" s="35"/>
      <c r="AE527" s="35"/>
      <c r="AF527" s="35"/>
      <c r="AG527" s="35"/>
      <c r="AH527" s="35"/>
      <c r="AR527" s="69">
        <f t="shared" si="311"/>
        <v>44</v>
      </c>
      <c r="AS527" s="70">
        <f t="shared" si="317"/>
        <v>524</v>
      </c>
      <c r="AT527" s="71">
        <f t="shared" si="292"/>
        <v>2.7689282932748482E-2</v>
      </c>
      <c r="AU527" s="72">
        <f t="shared" si="302"/>
        <v>6.8214933659622723E-3</v>
      </c>
      <c r="AV527" s="73">
        <f t="shared" si="312"/>
        <v>1.0068214933659623</v>
      </c>
      <c r="AW527" s="74">
        <f>PRODUCT(AV$4:AV527)</f>
        <v>35.245085414363309</v>
      </c>
    </row>
    <row r="528" spans="5:49">
      <c r="E528">
        <f t="shared" ref="E528:E591" si="319">E527+1</f>
        <v>525</v>
      </c>
      <c r="F528" s="64">
        <f t="shared" si="303"/>
        <v>96.92</v>
      </c>
      <c r="G528" s="55">
        <f t="shared" si="293"/>
        <v>0</v>
      </c>
      <c r="H528" s="78">
        <f t="shared" si="318"/>
        <v>1</v>
      </c>
      <c r="I528" s="79">
        <f t="shared" si="304"/>
        <v>94534.348588788285</v>
      </c>
      <c r="J528" s="79">
        <f t="shared" si="294"/>
        <v>644.86543175398424</v>
      </c>
      <c r="K528" s="80">
        <f t="shared" si="295"/>
        <v>-15</v>
      </c>
      <c r="L528" s="80">
        <f t="shared" si="305"/>
        <v>-78.778623823990245</v>
      </c>
      <c r="M528" s="80">
        <f t="shared" ref="M528:M591" si="320">IF(OR(I527+O527=0,K527=0),0,-IF(MOD(E528-1,12)=0,1,0)*I528*($C$17))</f>
        <v>0</v>
      </c>
      <c r="N528" s="80">
        <f t="shared" si="306"/>
        <v>-89.807631159348887</v>
      </c>
      <c r="O528" s="81">
        <f t="shared" si="296"/>
        <v>-2500.6101455486769</v>
      </c>
      <c r="P528" s="79">
        <f t="shared" si="297"/>
        <v>92495.017620010258</v>
      </c>
      <c r="Q528" s="35"/>
      <c r="R528">
        <f t="shared" ca="1" si="307"/>
        <v>650</v>
      </c>
      <c r="S528" s="78">
        <f t="shared" ca="1" si="308"/>
        <v>106.92</v>
      </c>
      <c r="T528" s="55">
        <f t="shared" ca="1" si="298"/>
        <v>0</v>
      </c>
      <c r="U528" s="78">
        <f t="shared" ca="1" si="313"/>
        <v>2.7389054743691302E-5</v>
      </c>
      <c r="V528" s="79">
        <f t="shared" ca="1" si="309"/>
        <v>0</v>
      </c>
      <c r="W528" s="79">
        <f t="shared" ca="1" si="299"/>
        <v>0</v>
      </c>
      <c r="X528" s="80">
        <f t="shared" ca="1" si="314"/>
        <v>0</v>
      </c>
      <c r="Y528" s="80">
        <f t="shared" ca="1" si="315"/>
        <v>0</v>
      </c>
      <c r="Z528" s="80">
        <f t="shared" ca="1" si="310"/>
        <v>0</v>
      </c>
      <c r="AA528" s="80">
        <f t="shared" ca="1" si="316"/>
        <v>0</v>
      </c>
      <c r="AB528" s="81">
        <f t="shared" ca="1" si="300"/>
        <v>0</v>
      </c>
      <c r="AC528" s="79">
        <f t="shared" ca="1" si="301"/>
        <v>0</v>
      </c>
      <c r="AD528" s="35"/>
      <c r="AE528" s="35"/>
      <c r="AF528" s="35"/>
      <c r="AG528" s="35"/>
      <c r="AH528" s="35"/>
      <c r="AR528" s="69">
        <f t="shared" si="311"/>
        <v>44</v>
      </c>
      <c r="AS528" s="70">
        <f t="shared" si="317"/>
        <v>525</v>
      </c>
      <c r="AT528" s="71">
        <f t="shared" si="292"/>
        <v>2.7500400672914486E-2</v>
      </c>
      <c r="AU528" s="72">
        <f t="shared" si="302"/>
        <v>6.8214933659622723E-3</v>
      </c>
      <c r="AV528" s="73">
        <f t="shared" si="312"/>
        <v>1.0068214933659623</v>
      </c>
      <c r="AW528" s="74">
        <f>PRODUCT(AV$4:AV528)</f>
        <v>35.485509530700163</v>
      </c>
    </row>
    <row r="529" spans="5:49">
      <c r="E529">
        <f t="shared" si="319"/>
        <v>526</v>
      </c>
      <c r="F529" s="64">
        <f t="shared" si="303"/>
        <v>97</v>
      </c>
      <c r="G529" s="55">
        <f t="shared" si="293"/>
        <v>0</v>
      </c>
      <c r="H529" s="78">
        <f t="shared" si="318"/>
        <v>1</v>
      </c>
      <c r="I529" s="79">
        <f t="shared" si="304"/>
        <v>92495.017620010258</v>
      </c>
      <c r="J529" s="79">
        <f t="shared" si="294"/>
        <v>630.95414907946349</v>
      </c>
      <c r="K529" s="80">
        <f t="shared" si="295"/>
        <v>-15</v>
      </c>
      <c r="L529" s="80">
        <f t="shared" si="305"/>
        <v>-77.079181350008554</v>
      </c>
      <c r="M529" s="80">
        <f t="shared" si="320"/>
        <v>0</v>
      </c>
      <c r="N529" s="80">
        <f t="shared" si="306"/>
        <v>-87.870266739009764</v>
      </c>
      <c r="O529" s="81">
        <f t="shared" si="296"/>
        <v>-2500.6101455486769</v>
      </c>
      <c r="P529" s="79">
        <f t="shared" si="297"/>
        <v>90445.412175452031</v>
      </c>
      <c r="Q529" s="35"/>
      <c r="R529">
        <f t="shared" ca="1" si="307"/>
        <v>651</v>
      </c>
      <c r="S529" s="78">
        <f t="shared" ca="1" si="308"/>
        <v>107</v>
      </c>
      <c r="T529" s="55">
        <f t="shared" ca="1" si="298"/>
        <v>0</v>
      </c>
      <c r="U529" s="78">
        <f t="shared" ca="1" si="313"/>
        <v>2.7389054743691302E-5</v>
      </c>
      <c r="V529" s="79">
        <f t="shared" ca="1" si="309"/>
        <v>0</v>
      </c>
      <c r="W529" s="79">
        <f t="shared" ca="1" si="299"/>
        <v>0</v>
      </c>
      <c r="X529" s="80">
        <f t="shared" ca="1" si="314"/>
        <v>0</v>
      </c>
      <c r="Y529" s="80">
        <f t="shared" ca="1" si="315"/>
        <v>0</v>
      </c>
      <c r="Z529" s="80">
        <f t="shared" ca="1" si="310"/>
        <v>0</v>
      </c>
      <c r="AA529" s="80">
        <f t="shared" ca="1" si="316"/>
        <v>0</v>
      </c>
      <c r="AB529" s="81">
        <f t="shared" ca="1" si="300"/>
        <v>0</v>
      </c>
      <c r="AC529" s="79">
        <f t="shared" ca="1" si="301"/>
        <v>0</v>
      </c>
      <c r="AD529" s="35"/>
      <c r="AE529" s="35"/>
      <c r="AF529" s="35"/>
      <c r="AG529" s="35"/>
      <c r="AH529" s="35"/>
      <c r="AR529" s="69">
        <f t="shared" si="311"/>
        <v>44</v>
      </c>
      <c r="AS529" s="70">
        <f t="shared" si="317"/>
        <v>526</v>
      </c>
      <c r="AT529" s="71">
        <f t="shared" si="292"/>
        <v>2.7312806872162896E-2</v>
      </c>
      <c r="AU529" s="72">
        <f t="shared" si="302"/>
        <v>6.8214933659622723E-3</v>
      </c>
      <c r="AV529" s="73">
        <f t="shared" si="312"/>
        <v>1.0068214933659623</v>
      </c>
      <c r="AW529" s="74">
        <f>PRODUCT(AV$4:AV529)</f>
        <v>35.727573698551623</v>
      </c>
    </row>
    <row r="530" spans="5:49">
      <c r="E530">
        <f t="shared" si="319"/>
        <v>527</v>
      </c>
      <c r="F530" s="64">
        <f t="shared" si="303"/>
        <v>97.08</v>
      </c>
      <c r="G530" s="55">
        <f t="shared" si="293"/>
        <v>0</v>
      </c>
      <c r="H530" s="78">
        <f t="shared" si="318"/>
        <v>1</v>
      </c>
      <c r="I530" s="79">
        <f t="shared" si="304"/>
        <v>90445.412175452031</v>
      </c>
      <c r="J530" s="79">
        <f t="shared" si="294"/>
        <v>616.97277913656933</v>
      </c>
      <c r="K530" s="80">
        <f t="shared" si="295"/>
        <v>-15</v>
      </c>
      <c r="L530" s="80">
        <f t="shared" si="305"/>
        <v>-75.371176812876698</v>
      </c>
      <c r="M530" s="80">
        <f t="shared" si="320"/>
        <v>0</v>
      </c>
      <c r="N530" s="80">
        <f t="shared" si="306"/>
        <v>-85.923141566679433</v>
      </c>
      <c r="O530" s="81">
        <f t="shared" si="296"/>
        <v>-2500.6101455486769</v>
      </c>
      <c r="P530" s="79">
        <f t="shared" si="297"/>
        <v>88385.480490660382</v>
      </c>
      <c r="Q530" s="35"/>
      <c r="R530">
        <f t="shared" ca="1" si="307"/>
        <v>652</v>
      </c>
      <c r="S530" s="78">
        <f t="shared" ca="1" si="308"/>
        <v>107.08</v>
      </c>
      <c r="T530" s="55">
        <f t="shared" ca="1" si="298"/>
        <v>0</v>
      </c>
      <c r="U530" s="78">
        <f t="shared" ca="1" si="313"/>
        <v>2.7389054743691302E-5</v>
      </c>
      <c r="V530" s="79">
        <f t="shared" ca="1" si="309"/>
        <v>0</v>
      </c>
      <c r="W530" s="79">
        <f t="shared" ca="1" si="299"/>
        <v>0</v>
      </c>
      <c r="X530" s="80">
        <f t="shared" ca="1" si="314"/>
        <v>0</v>
      </c>
      <c r="Y530" s="80">
        <f t="shared" ca="1" si="315"/>
        <v>0</v>
      </c>
      <c r="Z530" s="80">
        <f t="shared" ca="1" si="310"/>
        <v>0</v>
      </c>
      <c r="AA530" s="80">
        <f t="shared" ca="1" si="316"/>
        <v>0</v>
      </c>
      <c r="AB530" s="81">
        <f t="shared" ca="1" si="300"/>
        <v>0</v>
      </c>
      <c r="AC530" s="79">
        <f t="shared" ca="1" si="301"/>
        <v>0</v>
      </c>
      <c r="AD530" s="35"/>
      <c r="AE530" s="35"/>
      <c r="AF530" s="35"/>
      <c r="AG530" s="35"/>
      <c r="AH530" s="35"/>
      <c r="AR530" s="69">
        <f t="shared" si="311"/>
        <v>44</v>
      </c>
      <c r="AS530" s="70">
        <f t="shared" si="317"/>
        <v>527</v>
      </c>
      <c r="AT530" s="71">
        <f t="shared" si="292"/>
        <v>2.7126492741278627E-2</v>
      </c>
      <c r="AU530" s="72">
        <f t="shared" si="302"/>
        <v>6.8214933659622723E-3</v>
      </c>
      <c r="AV530" s="73">
        <f t="shared" si="312"/>
        <v>1.0068214933659623</v>
      </c>
      <c r="AW530" s="74">
        <f>PRODUCT(AV$4:AV530)</f>
        <v>35.971289105518224</v>
      </c>
    </row>
    <row r="531" spans="5:49">
      <c r="E531">
        <f t="shared" si="319"/>
        <v>528</v>
      </c>
      <c r="F531" s="64">
        <f t="shared" si="303"/>
        <v>97.16</v>
      </c>
      <c r="G531" s="55">
        <f t="shared" si="293"/>
        <v>0</v>
      </c>
      <c r="H531" s="78">
        <f t="shared" si="318"/>
        <v>1</v>
      </c>
      <c r="I531" s="79">
        <f t="shared" si="304"/>
        <v>88385.480490660382</v>
      </c>
      <c r="J531" s="79">
        <f t="shared" si="294"/>
        <v>602.92096881442762</v>
      </c>
      <c r="K531" s="80">
        <f t="shared" si="295"/>
        <v>-15</v>
      </c>
      <c r="L531" s="80">
        <f t="shared" si="305"/>
        <v>-73.654567075550318</v>
      </c>
      <c r="M531" s="80">
        <f t="shared" si="320"/>
        <v>0</v>
      </c>
      <c r="N531" s="80">
        <f t="shared" si="306"/>
        <v>-83.966206466127375</v>
      </c>
      <c r="O531" s="81">
        <f t="shared" si="296"/>
        <v>-2500.6101455486769</v>
      </c>
      <c r="P531" s="79">
        <f t="shared" si="297"/>
        <v>86315.170540384468</v>
      </c>
      <c r="Q531" s="35"/>
      <c r="R531">
        <f t="shared" ca="1" si="307"/>
        <v>653</v>
      </c>
      <c r="S531" s="78">
        <f t="shared" ca="1" si="308"/>
        <v>107.16</v>
      </c>
      <c r="T531" s="55">
        <f t="shared" ca="1" si="298"/>
        <v>0</v>
      </c>
      <c r="U531" s="78">
        <f t="shared" ca="1" si="313"/>
        <v>2.7389054743691302E-5</v>
      </c>
      <c r="V531" s="79">
        <f t="shared" ca="1" si="309"/>
        <v>0</v>
      </c>
      <c r="W531" s="79">
        <f t="shared" ca="1" si="299"/>
        <v>0</v>
      </c>
      <c r="X531" s="80">
        <f t="shared" ca="1" si="314"/>
        <v>0</v>
      </c>
      <c r="Y531" s="80">
        <f t="shared" ca="1" si="315"/>
        <v>0</v>
      </c>
      <c r="Z531" s="80">
        <f t="shared" ca="1" si="310"/>
        <v>0</v>
      </c>
      <c r="AA531" s="80">
        <f t="shared" ca="1" si="316"/>
        <v>0</v>
      </c>
      <c r="AB531" s="81">
        <f t="shared" ca="1" si="300"/>
        <v>0</v>
      </c>
      <c r="AC531" s="79">
        <f t="shared" ca="1" si="301"/>
        <v>0</v>
      </c>
      <c r="AD531" s="35"/>
      <c r="AE531" s="35"/>
      <c r="AF531" s="35"/>
      <c r="AG531" s="35"/>
      <c r="AH531" s="35"/>
      <c r="AR531" s="69">
        <f t="shared" si="311"/>
        <v>44</v>
      </c>
      <c r="AS531" s="70">
        <f t="shared" si="317"/>
        <v>528</v>
      </c>
      <c r="AT531" s="71">
        <f t="shared" si="292"/>
        <v>2.694144955100217E-2</v>
      </c>
      <c r="AU531" s="72">
        <f t="shared" si="302"/>
        <v>6.8214933659622723E-3</v>
      </c>
      <c r="AV531" s="73">
        <f t="shared" si="312"/>
        <v>1.0068214933659623</v>
      </c>
      <c r="AW531" s="74">
        <f>PRODUCT(AV$4:AV531)</f>
        <v>36.216667015516627</v>
      </c>
    </row>
    <row r="532" spans="5:49">
      <c r="E532">
        <f t="shared" si="319"/>
        <v>529</v>
      </c>
      <c r="F532" s="64">
        <f t="shared" si="303"/>
        <v>97.24</v>
      </c>
      <c r="G532" s="55">
        <f t="shared" si="293"/>
        <v>0</v>
      </c>
      <c r="H532" s="78">
        <f t="shared" si="318"/>
        <v>1</v>
      </c>
      <c r="I532" s="79">
        <f t="shared" si="304"/>
        <v>86315.170540384468</v>
      </c>
      <c r="J532" s="79">
        <f t="shared" si="294"/>
        <v>588.79836322313486</v>
      </c>
      <c r="K532" s="80">
        <f t="shared" si="295"/>
        <v>-15</v>
      </c>
      <c r="L532" s="80">
        <f t="shared" si="305"/>
        <v>-71.929308783653724</v>
      </c>
      <c r="M532" s="80">
        <f t="shared" si="320"/>
        <v>-647.3637790528835</v>
      </c>
      <c r="N532" s="80">
        <f t="shared" si="306"/>
        <v>-81.999412013365259</v>
      </c>
      <c r="O532" s="81">
        <f t="shared" si="296"/>
        <v>-2500.6101455486769</v>
      </c>
      <c r="P532" s="79">
        <f t="shared" si="297"/>
        <v>83587.066258209015</v>
      </c>
      <c r="Q532" s="35"/>
      <c r="R532">
        <f t="shared" ca="1" si="307"/>
        <v>654</v>
      </c>
      <c r="S532" s="78">
        <f t="shared" ca="1" si="308"/>
        <v>107.24</v>
      </c>
      <c r="T532" s="55">
        <f t="shared" ca="1" si="298"/>
        <v>0</v>
      </c>
      <c r="U532" s="78">
        <f t="shared" ca="1" si="313"/>
        <v>2.7389054743691302E-5</v>
      </c>
      <c r="V532" s="79">
        <f t="shared" ca="1" si="309"/>
        <v>0</v>
      </c>
      <c r="W532" s="79">
        <f t="shared" ca="1" si="299"/>
        <v>0</v>
      </c>
      <c r="X532" s="80">
        <f t="shared" ca="1" si="314"/>
        <v>0</v>
      </c>
      <c r="Y532" s="80">
        <f t="shared" ca="1" si="315"/>
        <v>0</v>
      </c>
      <c r="Z532" s="80">
        <f t="shared" ca="1" si="310"/>
        <v>0</v>
      </c>
      <c r="AA532" s="80">
        <f t="shared" ca="1" si="316"/>
        <v>0</v>
      </c>
      <c r="AB532" s="81">
        <f t="shared" ca="1" si="300"/>
        <v>0</v>
      </c>
      <c r="AC532" s="79">
        <f t="shared" ca="1" si="301"/>
        <v>0</v>
      </c>
      <c r="AD532" s="35"/>
      <c r="AE532" s="35"/>
      <c r="AF532" s="35"/>
      <c r="AG532" s="35"/>
      <c r="AH532" s="35"/>
      <c r="AR532" s="69">
        <f t="shared" si="311"/>
        <v>45</v>
      </c>
      <c r="AS532" s="70">
        <f t="shared" si="317"/>
        <v>529</v>
      </c>
      <c r="AT532" s="71">
        <f t="shared" si="292"/>
        <v>2.6757668631620601E-2</v>
      </c>
      <c r="AU532" s="72">
        <f t="shared" si="302"/>
        <v>6.8214933659622723E-3</v>
      </c>
      <c r="AV532" s="73">
        <f t="shared" si="312"/>
        <v>1.0068214933659623</v>
      </c>
      <c r="AW532" s="74">
        <f>PRODUCT(AV$4:AV532)</f>
        <v>36.463718769300236</v>
      </c>
    </row>
    <row r="533" spans="5:49">
      <c r="E533">
        <f t="shared" si="319"/>
        <v>530</v>
      </c>
      <c r="F533" s="64">
        <f t="shared" si="303"/>
        <v>97.32</v>
      </c>
      <c r="G533" s="55">
        <f t="shared" si="293"/>
        <v>0</v>
      </c>
      <c r="H533" s="78">
        <f t="shared" si="318"/>
        <v>1</v>
      </c>
      <c r="I533" s="79">
        <f t="shared" si="304"/>
        <v>83587.066258209015</v>
      </c>
      <c r="J533" s="79">
        <f t="shared" si="294"/>
        <v>570.18861796062174</v>
      </c>
      <c r="K533" s="80">
        <f t="shared" si="295"/>
        <v>-15</v>
      </c>
      <c r="L533" s="80">
        <f t="shared" si="305"/>
        <v>-69.655888548507519</v>
      </c>
      <c r="M533" s="80">
        <f t="shared" si="320"/>
        <v>0</v>
      </c>
      <c r="N533" s="80">
        <f t="shared" si="306"/>
        <v>-79.40771294529857</v>
      </c>
      <c r="O533" s="81">
        <f t="shared" si="296"/>
        <v>-2500.6101455486769</v>
      </c>
      <c r="P533" s="79">
        <f t="shared" si="297"/>
        <v>81492.581129127153</v>
      </c>
      <c r="Q533" s="35"/>
      <c r="R533">
        <f t="shared" ca="1" si="307"/>
        <v>655</v>
      </c>
      <c r="S533" s="78">
        <f t="shared" ca="1" si="308"/>
        <v>107.32</v>
      </c>
      <c r="T533" s="55">
        <f t="shared" ca="1" si="298"/>
        <v>0</v>
      </c>
      <c r="U533" s="78">
        <f t="shared" ca="1" si="313"/>
        <v>2.7389054743691302E-5</v>
      </c>
      <c r="V533" s="79">
        <f t="shared" ca="1" si="309"/>
        <v>0</v>
      </c>
      <c r="W533" s="79">
        <f t="shared" ca="1" si="299"/>
        <v>0</v>
      </c>
      <c r="X533" s="80">
        <f t="shared" ca="1" si="314"/>
        <v>0</v>
      </c>
      <c r="Y533" s="80">
        <f t="shared" ca="1" si="315"/>
        <v>0</v>
      </c>
      <c r="Z533" s="80">
        <f t="shared" ca="1" si="310"/>
        <v>0</v>
      </c>
      <c r="AA533" s="80">
        <f t="shared" ca="1" si="316"/>
        <v>0</v>
      </c>
      <c r="AB533" s="81">
        <f t="shared" ca="1" si="300"/>
        <v>0</v>
      </c>
      <c r="AC533" s="79">
        <f t="shared" ca="1" si="301"/>
        <v>0</v>
      </c>
      <c r="AD533" s="35"/>
      <c r="AE533" s="35"/>
      <c r="AF533" s="35"/>
      <c r="AG533" s="35"/>
      <c r="AH533" s="35"/>
      <c r="AR533" s="69">
        <f t="shared" si="311"/>
        <v>45</v>
      </c>
      <c r="AS533" s="70">
        <f t="shared" si="317"/>
        <v>530</v>
      </c>
      <c r="AT533" s="71">
        <f t="shared" si="292"/>
        <v>2.6575141372561385E-2</v>
      </c>
      <c r="AU533" s="72">
        <f t="shared" si="302"/>
        <v>6.8214933659622723E-3</v>
      </c>
      <c r="AV533" s="73">
        <f t="shared" si="312"/>
        <v>1.0068214933659623</v>
      </c>
      <c r="AW533" s="74">
        <f>PRODUCT(AV$4:AV533)</f>
        <v>36.712455784983334</v>
      </c>
    </row>
    <row r="534" spans="5:49">
      <c r="E534">
        <f t="shared" si="319"/>
        <v>531</v>
      </c>
      <c r="F534" s="64">
        <f t="shared" si="303"/>
        <v>97.4</v>
      </c>
      <c r="G534" s="55">
        <f t="shared" si="293"/>
        <v>0</v>
      </c>
      <c r="H534" s="78">
        <f t="shared" si="318"/>
        <v>1</v>
      </c>
      <c r="I534" s="79">
        <f t="shared" si="304"/>
        <v>81492.581129127153</v>
      </c>
      <c r="J534" s="79">
        <f t="shared" si="294"/>
        <v>555.90110154748311</v>
      </c>
      <c r="K534" s="80">
        <f t="shared" si="295"/>
        <v>-15</v>
      </c>
      <c r="L534" s="80">
        <f t="shared" si="305"/>
        <v>-67.910484274272633</v>
      </c>
      <c r="M534" s="80">
        <f t="shared" si="320"/>
        <v>0</v>
      </c>
      <c r="N534" s="80">
        <f t="shared" si="306"/>
        <v>-77.417952072670815</v>
      </c>
      <c r="O534" s="81">
        <f t="shared" si="296"/>
        <v>-2500.6101455486769</v>
      </c>
      <c r="P534" s="79">
        <f t="shared" si="297"/>
        <v>79387.543648779014</v>
      </c>
      <c r="Q534" s="35"/>
      <c r="R534">
        <f t="shared" ca="1" si="307"/>
        <v>656</v>
      </c>
      <c r="S534" s="78">
        <f t="shared" ca="1" si="308"/>
        <v>107.4</v>
      </c>
      <c r="T534" s="55">
        <f t="shared" ca="1" si="298"/>
        <v>0</v>
      </c>
      <c r="U534" s="78">
        <f t="shared" ca="1" si="313"/>
        <v>2.7389054743691302E-5</v>
      </c>
      <c r="V534" s="79">
        <f t="shared" ca="1" si="309"/>
        <v>0</v>
      </c>
      <c r="W534" s="79">
        <f t="shared" ca="1" si="299"/>
        <v>0</v>
      </c>
      <c r="X534" s="80">
        <f t="shared" ca="1" si="314"/>
        <v>0</v>
      </c>
      <c r="Y534" s="80">
        <f t="shared" ca="1" si="315"/>
        <v>0</v>
      </c>
      <c r="Z534" s="80">
        <f t="shared" ca="1" si="310"/>
        <v>0</v>
      </c>
      <c r="AA534" s="80">
        <f t="shared" ca="1" si="316"/>
        <v>0</v>
      </c>
      <c r="AB534" s="81">
        <f t="shared" ca="1" si="300"/>
        <v>0</v>
      </c>
      <c r="AC534" s="79">
        <f t="shared" ca="1" si="301"/>
        <v>0</v>
      </c>
      <c r="AD534" s="35"/>
      <c r="AE534" s="35"/>
      <c r="AF534" s="35"/>
      <c r="AG534" s="35"/>
      <c r="AH534" s="35"/>
      <c r="AR534" s="69">
        <f t="shared" si="311"/>
        <v>45</v>
      </c>
      <c r="AS534" s="70">
        <f t="shared" si="317"/>
        <v>531</v>
      </c>
      <c r="AT534" s="71">
        <f t="shared" si="292"/>
        <v>2.6393859221988947E-2</v>
      </c>
      <c r="AU534" s="72">
        <f t="shared" si="302"/>
        <v>6.8214933659622723E-3</v>
      </c>
      <c r="AV534" s="73">
        <f t="shared" si="312"/>
        <v>1.0068214933659623</v>
      </c>
      <c r="AW534" s="74">
        <f>PRODUCT(AV$4:AV534)</f>
        <v>36.962889558568783</v>
      </c>
    </row>
    <row r="535" spans="5:49">
      <c r="E535">
        <f t="shared" si="319"/>
        <v>532</v>
      </c>
      <c r="F535" s="64">
        <f t="shared" si="303"/>
        <v>97.48</v>
      </c>
      <c r="G535" s="55">
        <f t="shared" si="293"/>
        <v>0</v>
      </c>
      <c r="H535" s="78">
        <f t="shared" si="318"/>
        <v>1</v>
      </c>
      <c r="I535" s="79">
        <f t="shared" si="304"/>
        <v>79387.543648779014</v>
      </c>
      <c r="J535" s="79">
        <f t="shared" si="294"/>
        <v>541.54160234018639</v>
      </c>
      <c r="K535" s="80">
        <f t="shared" si="295"/>
        <v>-15</v>
      </c>
      <c r="L535" s="80">
        <f t="shared" si="305"/>
        <v>-66.15628637398251</v>
      </c>
      <c r="M535" s="80">
        <f t="shared" si="320"/>
        <v>0</v>
      </c>
      <c r="N535" s="80">
        <f t="shared" si="306"/>
        <v>-75.418166466340082</v>
      </c>
      <c r="O535" s="81">
        <f t="shared" si="296"/>
        <v>-2500.6101455486769</v>
      </c>
      <c r="P535" s="79">
        <f t="shared" si="297"/>
        <v>77271.900652730212</v>
      </c>
      <c r="Q535" s="35"/>
      <c r="R535">
        <f t="shared" ca="1" si="307"/>
        <v>657</v>
      </c>
      <c r="S535" s="78">
        <f t="shared" ca="1" si="308"/>
        <v>107.48</v>
      </c>
      <c r="T535" s="55">
        <f t="shared" ca="1" si="298"/>
        <v>0</v>
      </c>
      <c r="U535" s="78">
        <f t="shared" ca="1" si="313"/>
        <v>2.7389054743691302E-5</v>
      </c>
      <c r="V535" s="79">
        <f t="shared" ca="1" si="309"/>
        <v>0</v>
      </c>
      <c r="W535" s="79">
        <f t="shared" ca="1" si="299"/>
        <v>0</v>
      </c>
      <c r="X535" s="80">
        <f t="shared" ca="1" si="314"/>
        <v>0</v>
      </c>
      <c r="Y535" s="80">
        <f t="shared" ca="1" si="315"/>
        <v>0</v>
      </c>
      <c r="Z535" s="80">
        <f t="shared" ca="1" si="310"/>
        <v>0</v>
      </c>
      <c r="AA535" s="80">
        <f t="shared" ca="1" si="316"/>
        <v>0</v>
      </c>
      <c r="AB535" s="81">
        <f t="shared" ca="1" si="300"/>
        <v>0</v>
      </c>
      <c r="AC535" s="79">
        <f t="shared" ca="1" si="301"/>
        <v>0</v>
      </c>
      <c r="AD535" s="35"/>
      <c r="AE535" s="35"/>
      <c r="AF535" s="35"/>
      <c r="AG535" s="35"/>
      <c r="AH535" s="35"/>
      <c r="AR535" s="69">
        <f t="shared" si="311"/>
        <v>45</v>
      </c>
      <c r="AS535" s="70">
        <f t="shared" si="317"/>
        <v>532</v>
      </c>
      <c r="AT535" s="71">
        <f t="shared" si="292"/>
        <v>2.6213813686404006E-2</v>
      </c>
      <c r="AU535" s="72">
        <f t="shared" si="302"/>
        <v>6.8214933659622723E-3</v>
      </c>
      <c r="AV535" s="73">
        <f t="shared" si="312"/>
        <v>1.0068214933659623</v>
      </c>
      <c r="AW535" s="74">
        <f>PRODUCT(AV$4:AV535)</f>
        <v>37.215031664479355</v>
      </c>
    </row>
    <row r="536" spans="5:49">
      <c r="E536">
        <f t="shared" si="319"/>
        <v>533</v>
      </c>
      <c r="F536" s="64">
        <f t="shared" si="303"/>
        <v>97.56</v>
      </c>
      <c r="G536" s="55">
        <f t="shared" si="293"/>
        <v>0</v>
      </c>
      <c r="H536" s="78">
        <f t="shared" si="318"/>
        <v>1</v>
      </c>
      <c r="I536" s="79">
        <f t="shared" si="304"/>
        <v>77271.900652730212</v>
      </c>
      <c r="J536" s="79">
        <f t="shared" si="294"/>
        <v>527.10975767789489</v>
      </c>
      <c r="K536" s="80">
        <f t="shared" si="295"/>
        <v>-15</v>
      </c>
      <c r="L536" s="80">
        <f t="shared" si="305"/>
        <v>-64.393250543941846</v>
      </c>
      <c r="M536" s="80">
        <f t="shared" si="320"/>
        <v>0</v>
      </c>
      <c r="N536" s="80">
        <f t="shared" si="306"/>
        <v>-73.408305620093714</v>
      </c>
      <c r="O536" s="81">
        <f t="shared" si="296"/>
        <v>-2500.6101455486769</v>
      </c>
      <c r="P536" s="79">
        <f t="shared" si="297"/>
        <v>75145.598708695397</v>
      </c>
      <c r="Q536" s="35"/>
      <c r="R536">
        <f t="shared" ca="1" si="307"/>
        <v>658</v>
      </c>
      <c r="S536" s="78">
        <f t="shared" ca="1" si="308"/>
        <v>107.56</v>
      </c>
      <c r="T536" s="55">
        <f t="shared" ca="1" si="298"/>
        <v>0</v>
      </c>
      <c r="U536" s="78">
        <f t="shared" ca="1" si="313"/>
        <v>2.7389054743691302E-5</v>
      </c>
      <c r="V536" s="79">
        <f t="shared" ca="1" si="309"/>
        <v>0</v>
      </c>
      <c r="W536" s="79">
        <f t="shared" ca="1" si="299"/>
        <v>0</v>
      </c>
      <c r="X536" s="80">
        <f t="shared" ca="1" si="314"/>
        <v>0</v>
      </c>
      <c r="Y536" s="80">
        <f t="shared" ca="1" si="315"/>
        <v>0</v>
      </c>
      <c r="Z536" s="80">
        <f t="shared" ca="1" si="310"/>
        <v>0</v>
      </c>
      <c r="AA536" s="80">
        <f t="shared" ca="1" si="316"/>
        <v>0</v>
      </c>
      <c r="AB536" s="81">
        <f t="shared" ca="1" si="300"/>
        <v>0</v>
      </c>
      <c r="AC536" s="79">
        <f t="shared" ca="1" si="301"/>
        <v>0</v>
      </c>
      <c r="AD536" s="35"/>
      <c r="AE536" s="35"/>
      <c r="AF536" s="35"/>
      <c r="AG536" s="35"/>
      <c r="AH536" s="35"/>
      <c r="AR536" s="69">
        <f t="shared" si="311"/>
        <v>45</v>
      </c>
      <c r="AS536" s="70">
        <f t="shared" si="317"/>
        <v>533</v>
      </c>
      <c r="AT536" s="71">
        <f t="shared" si="292"/>
        <v>2.6034996330245631E-2</v>
      </c>
      <c r="AU536" s="72">
        <f t="shared" si="302"/>
        <v>6.8214933659622723E-3</v>
      </c>
      <c r="AV536" s="73">
        <f t="shared" si="312"/>
        <v>1.0068214933659623</v>
      </c>
      <c r="AW536" s="74">
        <f>PRODUCT(AV$4:AV536)</f>
        <v>37.468893756092676</v>
      </c>
    </row>
    <row r="537" spans="5:49">
      <c r="E537">
        <f t="shared" si="319"/>
        <v>534</v>
      </c>
      <c r="F537" s="64">
        <f t="shared" si="303"/>
        <v>97.64</v>
      </c>
      <c r="G537" s="55">
        <f t="shared" si="293"/>
        <v>0</v>
      </c>
      <c r="H537" s="78">
        <f t="shared" si="318"/>
        <v>1</v>
      </c>
      <c r="I537" s="79">
        <f t="shared" si="304"/>
        <v>75145.598708695397</v>
      </c>
      <c r="J537" s="79">
        <f t="shared" si="294"/>
        <v>512.6052030726288</v>
      </c>
      <c r="K537" s="80">
        <f t="shared" si="295"/>
        <v>-15</v>
      </c>
      <c r="L537" s="80">
        <f t="shared" si="305"/>
        <v>-62.621332257246166</v>
      </c>
      <c r="M537" s="80">
        <f t="shared" si="320"/>
        <v>0</v>
      </c>
      <c r="N537" s="80">
        <f t="shared" si="306"/>
        <v>-71.38831877326065</v>
      </c>
      <c r="O537" s="81">
        <f t="shared" si="296"/>
        <v>-2500.6101455486769</v>
      </c>
      <c r="P537" s="79">
        <f t="shared" si="297"/>
        <v>73008.584115188845</v>
      </c>
      <c r="Q537" s="35"/>
      <c r="R537">
        <f t="shared" ca="1" si="307"/>
        <v>659</v>
      </c>
      <c r="S537" s="78">
        <f t="shared" ca="1" si="308"/>
        <v>107.64</v>
      </c>
      <c r="T537" s="55">
        <f t="shared" ca="1" si="298"/>
        <v>0</v>
      </c>
      <c r="U537" s="78">
        <f t="shared" ca="1" si="313"/>
        <v>2.7389054743691302E-5</v>
      </c>
      <c r="V537" s="79">
        <f t="shared" ca="1" si="309"/>
        <v>0</v>
      </c>
      <c r="W537" s="79">
        <f t="shared" ca="1" si="299"/>
        <v>0</v>
      </c>
      <c r="X537" s="80">
        <f t="shared" ca="1" si="314"/>
        <v>0</v>
      </c>
      <c r="Y537" s="80">
        <f t="shared" ca="1" si="315"/>
        <v>0</v>
      </c>
      <c r="Z537" s="80">
        <f t="shared" ca="1" si="310"/>
        <v>0</v>
      </c>
      <c r="AA537" s="80">
        <f t="shared" ca="1" si="316"/>
        <v>0</v>
      </c>
      <c r="AB537" s="81">
        <f t="shared" ca="1" si="300"/>
        <v>0</v>
      </c>
      <c r="AC537" s="79">
        <f t="shared" ca="1" si="301"/>
        <v>0</v>
      </c>
      <c r="AD537" s="35"/>
      <c r="AE537" s="35"/>
      <c r="AF537" s="35"/>
      <c r="AG537" s="35"/>
      <c r="AH537" s="35"/>
      <c r="AR537" s="69">
        <f t="shared" si="311"/>
        <v>45</v>
      </c>
      <c r="AS537" s="70">
        <f t="shared" si="317"/>
        <v>534</v>
      </c>
      <c r="AT537" s="71">
        <f t="shared" si="292"/>
        <v>2.5857398775496008E-2</v>
      </c>
      <c r="AU537" s="72">
        <f t="shared" si="302"/>
        <v>6.8214933659622723E-3</v>
      </c>
      <c r="AV537" s="73">
        <f t="shared" si="312"/>
        <v>1.0068214933659623</v>
      </c>
      <c r="AW537" s="74">
        <f>PRODUCT(AV$4:AV537)</f>
        <v>37.724487566279805</v>
      </c>
    </row>
    <row r="538" spans="5:49">
      <c r="E538">
        <f t="shared" si="319"/>
        <v>535</v>
      </c>
      <c r="F538" s="64">
        <f t="shared" si="303"/>
        <v>97.72</v>
      </c>
      <c r="G538" s="55">
        <f t="shared" si="293"/>
        <v>0</v>
      </c>
      <c r="H538" s="78">
        <f t="shared" si="318"/>
        <v>1</v>
      </c>
      <c r="I538" s="79">
        <f t="shared" si="304"/>
        <v>73008.584115188845</v>
      </c>
      <c r="J538" s="79">
        <f t="shared" si="294"/>
        <v>498.02757220005924</v>
      </c>
      <c r="K538" s="80">
        <f t="shared" si="295"/>
        <v>-15</v>
      </c>
      <c r="L538" s="80">
        <f t="shared" si="305"/>
        <v>-60.840486762657378</v>
      </c>
      <c r="M538" s="80">
        <f t="shared" si="320"/>
        <v>0</v>
      </c>
      <c r="N538" s="80">
        <f t="shared" si="306"/>
        <v>-69.358154909429416</v>
      </c>
      <c r="O538" s="81">
        <f t="shared" si="296"/>
        <v>-2500.6101455486769</v>
      </c>
      <c r="P538" s="79">
        <f t="shared" si="297"/>
        <v>70860.802900168157</v>
      </c>
      <c r="Q538" s="35"/>
      <c r="R538">
        <f t="shared" ca="1" si="307"/>
        <v>660</v>
      </c>
      <c r="S538" s="78">
        <f t="shared" ca="1" si="308"/>
        <v>107.72</v>
      </c>
      <c r="T538" s="55">
        <f t="shared" ca="1" si="298"/>
        <v>0</v>
      </c>
      <c r="U538" s="78">
        <f t="shared" ca="1" si="313"/>
        <v>2.7389054743691302E-5</v>
      </c>
      <c r="V538" s="79">
        <f t="shared" ca="1" si="309"/>
        <v>0</v>
      </c>
      <c r="W538" s="79">
        <f t="shared" ca="1" si="299"/>
        <v>0</v>
      </c>
      <c r="X538" s="80">
        <f t="shared" ca="1" si="314"/>
        <v>0</v>
      </c>
      <c r="Y538" s="80">
        <f t="shared" ca="1" si="315"/>
        <v>0</v>
      </c>
      <c r="Z538" s="80">
        <f t="shared" ca="1" si="310"/>
        <v>0</v>
      </c>
      <c r="AA538" s="80">
        <f t="shared" ca="1" si="316"/>
        <v>0</v>
      </c>
      <c r="AB538" s="81">
        <f t="shared" ca="1" si="300"/>
        <v>0</v>
      </c>
      <c r="AC538" s="79">
        <f t="shared" ca="1" si="301"/>
        <v>0</v>
      </c>
      <c r="AD538" s="35"/>
      <c r="AE538" s="35"/>
      <c r="AF538" s="35"/>
      <c r="AG538" s="35"/>
      <c r="AH538" s="35"/>
      <c r="AR538" s="69">
        <f t="shared" si="311"/>
        <v>45</v>
      </c>
      <c r="AS538" s="70">
        <f t="shared" si="317"/>
        <v>535</v>
      </c>
      <c r="AT538" s="71">
        <f t="shared" si="292"/>
        <v>2.568101270128792E-2</v>
      </c>
      <c r="AU538" s="72">
        <f t="shared" si="302"/>
        <v>6.8214933659622723E-3</v>
      </c>
      <c r="AV538" s="73">
        <f t="shared" si="312"/>
        <v>1.0068214933659623</v>
      </c>
      <c r="AW538" s="74">
        <f>PRODUCT(AV$4:AV538)</f>
        <v>37.981824907947512</v>
      </c>
    </row>
    <row r="539" spans="5:49">
      <c r="E539">
        <f t="shared" si="319"/>
        <v>536</v>
      </c>
      <c r="F539" s="64">
        <f t="shared" si="303"/>
        <v>97.8</v>
      </c>
      <c r="G539" s="55">
        <f t="shared" si="293"/>
        <v>0</v>
      </c>
      <c r="H539" s="78">
        <f t="shared" si="318"/>
        <v>1</v>
      </c>
      <c r="I539" s="79">
        <f t="shared" si="304"/>
        <v>70860.802900168157</v>
      </c>
      <c r="J539" s="79">
        <f t="shared" si="294"/>
        <v>483.37649689025722</v>
      </c>
      <c r="K539" s="80">
        <f t="shared" si="295"/>
        <v>-15</v>
      </c>
      <c r="L539" s="80">
        <f t="shared" si="305"/>
        <v>-59.050669083473466</v>
      </c>
      <c r="M539" s="80">
        <f t="shared" si="320"/>
        <v>0</v>
      </c>
      <c r="N539" s="80">
        <f t="shared" si="306"/>
        <v>-67.317762755159762</v>
      </c>
      <c r="O539" s="81">
        <f t="shared" si="296"/>
        <v>-2500.6101455486769</v>
      </c>
      <c r="P539" s="79">
        <f t="shared" si="297"/>
        <v>68702.200819671096</v>
      </c>
      <c r="Q539" s="35"/>
      <c r="R539">
        <f t="shared" ca="1" si="307"/>
        <v>661</v>
      </c>
      <c r="S539" s="78">
        <f t="shared" ca="1" si="308"/>
        <v>107.8</v>
      </c>
      <c r="T539" s="55">
        <f t="shared" ca="1" si="298"/>
        <v>0</v>
      </c>
      <c r="U539" s="78">
        <f t="shared" ca="1" si="313"/>
        <v>2.7389054743691302E-5</v>
      </c>
      <c r="V539" s="79">
        <f t="shared" ca="1" si="309"/>
        <v>0</v>
      </c>
      <c r="W539" s="79">
        <f t="shared" ca="1" si="299"/>
        <v>0</v>
      </c>
      <c r="X539" s="80">
        <f t="shared" ca="1" si="314"/>
        <v>0</v>
      </c>
      <c r="Y539" s="80">
        <f t="shared" ca="1" si="315"/>
        <v>0</v>
      </c>
      <c r="Z539" s="80">
        <f t="shared" ca="1" si="310"/>
        <v>0</v>
      </c>
      <c r="AA539" s="80">
        <f t="shared" ca="1" si="316"/>
        <v>0</v>
      </c>
      <c r="AB539" s="81">
        <f t="shared" ca="1" si="300"/>
        <v>0</v>
      </c>
      <c r="AC539" s="79">
        <f t="shared" ca="1" si="301"/>
        <v>0</v>
      </c>
      <c r="AD539" s="35"/>
      <c r="AE539" s="35"/>
      <c r="AF539" s="35"/>
      <c r="AG539" s="35"/>
      <c r="AH539" s="35"/>
      <c r="AR539" s="69">
        <f t="shared" si="311"/>
        <v>45</v>
      </c>
      <c r="AS539" s="70">
        <f t="shared" si="317"/>
        <v>536</v>
      </c>
      <c r="AT539" s="71">
        <f t="shared" si="292"/>
        <v>2.5505829843514891E-2</v>
      </c>
      <c r="AU539" s="72">
        <f t="shared" si="302"/>
        <v>6.8214933659622723E-3</v>
      </c>
      <c r="AV539" s="73">
        <f t="shared" si="312"/>
        <v>1.0068214933659623</v>
      </c>
      <c r="AW539" s="74">
        <f>PRODUCT(AV$4:AV539)</f>
        <v>38.240917674584217</v>
      </c>
    </row>
    <row r="540" spans="5:49">
      <c r="E540">
        <f t="shared" si="319"/>
        <v>537</v>
      </c>
      <c r="F540" s="64">
        <f t="shared" si="303"/>
        <v>97.88</v>
      </c>
      <c r="G540" s="55">
        <f t="shared" si="293"/>
        <v>0</v>
      </c>
      <c r="H540" s="78">
        <f t="shared" si="318"/>
        <v>1</v>
      </c>
      <c r="I540" s="79">
        <f t="shared" si="304"/>
        <v>68702.200819671096</v>
      </c>
      <c r="J540" s="79">
        <f t="shared" si="294"/>
        <v>468.65160711839417</v>
      </c>
      <c r="K540" s="80">
        <f t="shared" si="295"/>
        <v>-15</v>
      </c>
      <c r="L540" s="80">
        <f t="shared" si="305"/>
        <v>-57.251834016392586</v>
      </c>
      <c r="M540" s="80">
        <f t="shared" si="320"/>
        <v>0</v>
      </c>
      <c r="N540" s="80">
        <f t="shared" si="306"/>
        <v>-65.267090778687546</v>
      </c>
      <c r="O540" s="81">
        <f t="shared" si="296"/>
        <v>-2500.6101455486769</v>
      </c>
      <c r="P540" s="79">
        <f t="shared" si="297"/>
        <v>66532.723356445742</v>
      </c>
      <c r="Q540" s="35"/>
      <c r="R540">
        <f t="shared" ca="1" si="307"/>
        <v>662</v>
      </c>
      <c r="S540" s="78">
        <f t="shared" ca="1" si="308"/>
        <v>107.88</v>
      </c>
      <c r="T540" s="55">
        <f t="shared" ca="1" si="298"/>
        <v>0</v>
      </c>
      <c r="U540" s="78">
        <f t="shared" ca="1" si="313"/>
        <v>2.7389054743691302E-5</v>
      </c>
      <c r="V540" s="79">
        <f t="shared" ca="1" si="309"/>
        <v>0</v>
      </c>
      <c r="W540" s="79">
        <f t="shared" ca="1" si="299"/>
        <v>0</v>
      </c>
      <c r="X540" s="80">
        <f t="shared" ca="1" si="314"/>
        <v>0</v>
      </c>
      <c r="Y540" s="80">
        <f t="shared" ca="1" si="315"/>
        <v>0</v>
      </c>
      <c r="Z540" s="80">
        <f t="shared" ca="1" si="310"/>
        <v>0</v>
      </c>
      <c r="AA540" s="80">
        <f t="shared" ca="1" si="316"/>
        <v>0</v>
      </c>
      <c r="AB540" s="81">
        <f t="shared" ca="1" si="300"/>
        <v>0</v>
      </c>
      <c r="AC540" s="79">
        <f t="shared" ca="1" si="301"/>
        <v>0</v>
      </c>
      <c r="AD540" s="35"/>
      <c r="AE540" s="35"/>
      <c r="AF540" s="35"/>
      <c r="AG540" s="35"/>
      <c r="AH540" s="35"/>
      <c r="AR540" s="69">
        <f t="shared" si="311"/>
        <v>45</v>
      </c>
      <c r="AS540" s="70">
        <f t="shared" si="317"/>
        <v>537</v>
      </c>
      <c r="AT540" s="71">
        <f t="shared" ref="AT540:AT598" si="321">(1-AU540)*AT539</f>
        <v>2.533184199444399E-2</v>
      </c>
      <c r="AU540" s="72">
        <f t="shared" si="302"/>
        <v>6.8214933659622723E-3</v>
      </c>
      <c r="AV540" s="73">
        <f t="shared" si="312"/>
        <v>1.0068214933659623</v>
      </c>
      <c r="AW540" s="74">
        <f>PRODUCT(AV$4:AV540)</f>
        <v>38.501777840809702</v>
      </c>
    </row>
    <row r="541" spans="5:49">
      <c r="E541">
        <f t="shared" si="319"/>
        <v>538</v>
      </c>
      <c r="F541" s="64">
        <f t="shared" si="303"/>
        <v>97.96</v>
      </c>
      <c r="G541" s="55">
        <f t="shared" si="293"/>
        <v>0</v>
      </c>
      <c r="H541" s="78">
        <f t="shared" si="318"/>
        <v>1</v>
      </c>
      <c r="I541" s="79">
        <f t="shared" si="304"/>
        <v>66532.723356445742</v>
      </c>
      <c r="J541" s="79">
        <f t="shared" si="294"/>
        <v>453.85253099539773</v>
      </c>
      <c r="K541" s="80">
        <f t="shared" si="295"/>
        <v>-15</v>
      </c>
      <c r="L541" s="80">
        <f t="shared" si="305"/>
        <v>-55.443936130371455</v>
      </c>
      <c r="M541" s="80">
        <f t="shared" si="320"/>
        <v>0</v>
      </c>
      <c r="N541" s="80">
        <f t="shared" si="306"/>
        <v>-63.206087188623464</v>
      </c>
      <c r="O541" s="81">
        <f t="shared" si="296"/>
        <v>-2500.6101455486769</v>
      </c>
      <c r="P541" s="79">
        <f t="shared" si="297"/>
        <v>64352.315718573474</v>
      </c>
      <c r="Q541" s="35"/>
      <c r="R541">
        <f t="shared" ca="1" si="307"/>
        <v>663</v>
      </c>
      <c r="S541" s="78">
        <f t="shared" ca="1" si="308"/>
        <v>107.96</v>
      </c>
      <c r="T541" s="55">
        <f t="shared" ca="1" si="298"/>
        <v>0</v>
      </c>
      <c r="U541" s="78">
        <f t="shared" ca="1" si="313"/>
        <v>2.7389054743691302E-5</v>
      </c>
      <c r="V541" s="79">
        <f t="shared" ca="1" si="309"/>
        <v>0</v>
      </c>
      <c r="W541" s="79">
        <f t="shared" ca="1" si="299"/>
        <v>0</v>
      </c>
      <c r="X541" s="80">
        <f t="shared" ca="1" si="314"/>
        <v>0</v>
      </c>
      <c r="Y541" s="80">
        <f t="shared" ca="1" si="315"/>
        <v>0</v>
      </c>
      <c r="Z541" s="80">
        <f t="shared" ca="1" si="310"/>
        <v>0</v>
      </c>
      <c r="AA541" s="80">
        <f t="shared" ca="1" si="316"/>
        <v>0</v>
      </c>
      <c r="AB541" s="81">
        <f t="shared" ca="1" si="300"/>
        <v>0</v>
      </c>
      <c r="AC541" s="79">
        <f t="shared" ca="1" si="301"/>
        <v>0</v>
      </c>
      <c r="AD541" s="35"/>
      <c r="AE541" s="35"/>
      <c r="AF541" s="35"/>
      <c r="AG541" s="35"/>
      <c r="AH541" s="35"/>
      <c r="AR541" s="69">
        <f t="shared" si="311"/>
        <v>45</v>
      </c>
      <c r="AS541" s="70">
        <f t="shared" si="317"/>
        <v>538</v>
      </c>
      <c r="AT541" s="71">
        <f t="shared" si="321"/>
        <v>2.5159041002331285E-2</v>
      </c>
      <c r="AU541" s="72">
        <f t="shared" si="302"/>
        <v>6.8214933659622723E-3</v>
      </c>
      <c r="AV541" s="73">
        <f t="shared" si="312"/>
        <v>1.0068214933659623</v>
      </c>
      <c r="AW541" s="74">
        <f>PRODUCT(AV$4:AV541)</f>
        <v>38.764417462928542</v>
      </c>
    </row>
    <row r="542" spans="5:49">
      <c r="E542">
        <f t="shared" si="319"/>
        <v>539</v>
      </c>
      <c r="F542" s="64">
        <f t="shared" si="303"/>
        <v>98.04</v>
      </c>
      <c r="G542" s="55">
        <f t="shared" si="293"/>
        <v>0</v>
      </c>
      <c r="H542" s="78">
        <f t="shared" si="318"/>
        <v>1</v>
      </c>
      <c r="I542" s="79">
        <f t="shared" si="304"/>
        <v>64352.315718573474</v>
      </c>
      <c r="J542" s="79">
        <f t="shared" si="294"/>
        <v>438.97889475855862</v>
      </c>
      <c r="K542" s="80">
        <f t="shared" si="295"/>
        <v>-15</v>
      </c>
      <c r="L542" s="80">
        <f t="shared" si="305"/>
        <v>-53.626929765477897</v>
      </c>
      <c r="M542" s="80">
        <f t="shared" si="320"/>
        <v>0</v>
      </c>
      <c r="N542" s="80">
        <f t="shared" si="306"/>
        <v>-61.134699932644814</v>
      </c>
      <c r="O542" s="81">
        <f t="shared" si="296"/>
        <v>-2500.6101455486769</v>
      </c>
      <c r="P542" s="79">
        <f t="shared" si="297"/>
        <v>62160.922838085236</v>
      </c>
      <c r="Q542" s="35"/>
      <c r="R542">
        <f t="shared" ca="1" si="307"/>
        <v>664</v>
      </c>
      <c r="S542" s="78">
        <f t="shared" ca="1" si="308"/>
        <v>108.04</v>
      </c>
      <c r="T542" s="55">
        <f t="shared" ca="1" si="298"/>
        <v>0</v>
      </c>
      <c r="U542" s="78">
        <f t="shared" ca="1" si="313"/>
        <v>2.7389054743691302E-5</v>
      </c>
      <c r="V542" s="79">
        <f t="shared" ca="1" si="309"/>
        <v>0</v>
      </c>
      <c r="W542" s="79">
        <f t="shared" ca="1" si="299"/>
        <v>0</v>
      </c>
      <c r="X542" s="80">
        <f t="shared" ca="1" si="314"/>
        <v>0</v>
      </c>
      <c r="Y542" s="80">
        <f t="shared" ca="1" si="315"/>
        <v>0</v>
      </c>
      <c r="Z542" s="80">
        <f t="shared" ca="1" si="310"/>
        <v>0</v>
      </c>
      <c r="AA542" s="80">
        <f t="shared" ca="1" si="316"/>
        <v>0</v>
      </c>
      <c r="AB542" s="81">
        <f t="shared" ca="1" si="300"/>
        <v>0</v>
      </c>
      <c r="AC542" s="79">
        <f t="shared" ca="1" si="301"/>
        <v>0</v>
      </c>
      <c r="AD542" s="35"/>
      <c r="AE542" s="35"/>
      <c r="AF542" s="35"/>
      <c r="AG542" s="35"/>
      <c r="AH542" s="35"/>
      <c r="AR542" s="69">
        <f t="shared" si="311"/>
        <v>45</v>
      </c>
      <c r="AS542" s="70">
        <f t="shared" si="317"/>
        <v>539</v>
      </c>
      <c r="AT542" s="71">
        <f t="shared" si="321"/>
        <v>2.498741877103991E-2</v>
      </c>
      <c r="AU542" s="72">
        <f t="shared" si="302"/>
        <v>6.8214933659622723E-3</v>
      </c>
      <c r="AV542" s="73">
        <f t="shared" si="312"/>
        <v>1.0068214933659623</v>
      </c>
      <c r="AW542" s="74">
        <f>PRODUCT(AV$4:AV542)</f>
        <v>39.028848679487304</v>
      </c>
    </row>
    <row r="543" spans="5:49">
      <c r="E543">
        <f t="shared" si="319"/>
        <v>540</v>
      </c>
      <c r="F543" s="64">
        <f t="shared" si="303"/>
        <v>98.12</v>
      </c>
      <c r="G543" s="55">
        <f t="shared" si="293"/>
        <v>0</v>
      </c>
      <c r="H543" s="78">
        <f t="shared" si="318"/>
        <v>1</v>
      </c>
      <c r="I543" s="79">
        <f t="shared" si="304"/>
        <v>62160.922838085236</v>
      </c>
      <c r="J543" s="79">
        <f t="shared" si="294"/>
        <v>424.03032276209115</v>
      </c>
      <c r="K543" s="80">
        <f t="shared" si="295"/>
        <v>-15</v>
      </c>
      <c r="L543" s="80">
        <f t="shared" si="305"/>
        <v>-51.800769031737701</v>
      </c>
      <c r="M543" s="80">
        <f t="shared" si="320"/>
        <v>0</v>
      </c>
      <c r="N543" s="80">
        <f t="shared" si="306"/>
        <v>-59.052876696180988</v>
      </c>
      <c r="O543" s="81">
        <f t="shared" si="296"/>
        <v>-2500.6101455486769</v>
      </c>
      <c r="P543" s="79">
        <f t="shared" si="297"/>
        <v>59958.489369570729</v>
      </c>
      <c r="Q543" s="35"/>
      <c r="R543">
        <f t="shared" ca="1" si="307"/>
        <v>665</v>
      </c>
      <c r="S543" s="78">
        <f t="shared" ca="1" si="308"/>
        <v>108.12</v>
      </c>
      <c r="T543" s="55">
        <f t="shared" ca="1" si="298"/>
        <v>0</v>
      </c>
      <c r="U543" s="78">
        <f t="shared" ca="1" si="313"/>
        <v>2.7389054743691302E-5</v>
      </c>
      <c r="V543" s="79">
        <f t="shared" ca="1" si="309"/>
        <v>0</v>
      </c>
      <c r="W543" s="79">
        <f t="shared" ca="1" si="299"/>
        <v>0</v>
      </c>
      <c r="X543" s="80">
        <f t="shared" ca="1" si="314"/>
        <v>0</v>
      </c>
      <c r="Y543" s="80">
        <f t="shared" ca="1" si="315"/>
        <v>0</v>
      </c>
      <c r="Z543" s="80">
        <f t="shared" ca="1" si="310"/>
        <v>0</v>
      </c>
      <c r="AA543" s="80">
        <f t="shared" ca="1" si="316"/>
        <v>0</v>
      </c>
      <c r="AB543" s="81">
        <f t="shared" ca="1" si="300"/>
        <v>0</v>
      </c>
      <c r="AC543" s="79">
        <f t="shared" ca="1" si="301"/>
        <v>0</v>
      </c>
      <c r="AD543" s="35"/>
      <c r="AE543" s="35"/>
      <c r="AF543" s="35"/>
      <c r="AG543" s="35"/>
      <c r="AH543" s="35"/>
      <c r="AR543" s="69">
        <f t="shared" si="311"/>
        <v>45</v>
      </c>
      <c r="AS543" s="70">
        <f t="shared" si="317"/>
        <v>540</v>
      </c>
      <c r="AT543" s="71">
        <f t="shared" si="321"/>
        <v>2.481696725966074E-2</v>
      </c>
      <c r="AU543" s="72">
        <f t="shared" si="302"/>
        <v>6.8214933659622723E-3</v>
      </c>
      <c r="AV543" s="73">
        <f t="shared" si="312"/>
        <v>1.0068214933659623</v>
      </c>
      <c r="AW543" s="74">
        <f>PRODUCT(AV$4:AV543)</f>
        <v>39.295083711835574</v>
      </c>
    </row>
    <row r="544" spans="5:49">
      <c r="E544">
        <f t="shared" si="319"/>
        <v>541</v>
      </c>
      <c r="F544" s="64">
        <f t="shared" si="303"/>
        <v>98.2</v>
      </c>
      <c r="G544" s="55">
        <f t="shared" si="293"/>
        <v>0</v>
      </c>
      <c r="H544" s="78">
        <f t="shared" si="318"/>
        <v>1</v>
      </c>
      <c r="I544" s="79">
        <f t="shared" si="304"/>
        <v>59958.489369570729</v>
      </c>
      <c r="J544" s="79">
        <f t="shared" si="294"/>
        <v>409.00643746764615</v>
      </c>
      <c r="K544" s="80">
        <f t="shared" si="295"/>
        <v>-15</v>
      </c>
      <c r="L544" s="80">
        <f t="shared" si="305"/>
        <v>-49.965407807975609</v>
      </c>
      <c r="M544" s="80">
        <f t="shared" si="320"/>
        <v>-449.68867027178044</v>
      </c>
      <c r="N544" s="80">
        <f t="shared" si="306"/>
        <v>-56.960564901092205</v>
      </c>
      <c r="O544" s="81">
        <f t="shared" si="296"/>
        <v>-2500.6101455486769</v>
      </c>
      <c r="P544" s="79">
        <f t="shared" si="297"/>
        <v>57295.271018508844</v>
      </c>
      <c r="Q544" s="35"/>
      <c r="R544">
        <f t="shared" ca="1" si="307"/>
        <v>666</v>
      </c>
      <c r="S544" s="78">
        <f t="shared" ca="1" si="308"/>
        <v>108.2</v>
      </c>
      <c r="T544" s="55">
        <f t="shared" ca="1" si="298"/>
        <v>0</v>
      </c>
      <c r="U544" s="78">
        <f t="shared" ca="1" si="313"/>
        <v>2.7389054743691302E-5</v>
      </c>
      <c r="V544" s="79">
        <f t="shared" ca="1" si="309"/>
        <v>0</v>
      </c>
      <c r="W544" s="79">
        <f t="shared" ca="1" si="299"/>
        <v>0</v>
      </c>
      <c r="X544" s="80">
        <f t="shared" ca="1" si="314"/>
        <v>0</v>
      </c>
      <c r="Y544" s="80">
        <f t="shared" ca="1" si="315"/>
        <v>0</v>
      </c>
      <c r="Z544" s="80">
        <f t="shared" ca="1" si="310"/>
        <v>0</v>
      </c>
      <c r="AA544" s="80">
        <f t="shared" ca="1" si="316"/>
        <v>0</v>
      </c>
      <c r="AB544" s="81">
        <f t="shared" ca="1" si="300"/>
        <v>0</v>
      </c>
      <c r="AC544" s="79">
        <f t="shared" ca="1" si="301"/>
        <v>0</v>
      </c>
      <c r="AD544" s="35"/>
      <c r="AE544" s="35"/>
      <c r="AF544" s="35"/>
      <c r="AG544" s="35"/>
      <c r="AH544" s="35"/>
      <c r="AR544" s="69">
        <f t="shared" si="311"/>
        <v>46</v>
      </c>
      <c r="AS544" s="70">
        <f t="shared" si="317"/>
        <v>541</v>
      </c>
      <c r="AT544" s="71">
        <f t="shared" si="321"/>
        <v>2.4647678482135661E-2</v>
      </c>
      <c r="AU544" s="72">
        <f t="shared" si="302"/>
        <v>6.8214933659622723E-3</v>
      </c>
      <c r="AV544" s="73">
        <f t="shared" si="312"/>
        <v>1.0068214933659623</v>
      </c>
      <c r="AW544" s="74">
        <f>PRODUCT(AV$4:AV544)</f>
        <v>39.563134864690795</v>
      </c>
    </row>
    <row r="545" spans="5:49">
      <c r="E545">
        <f t="shared" si="319"/>
        <v>542</v>
      </c>
      <c r="F545" s="64">
        <f t="shared" si="303"/>
        <v>98.28</v>
      </c>
      <c r="G545" s="55">
        <f t="shared" si="293"/>
        <v>0</v>
      </c>
      <c r="H545" s="78">
        <f t="shared" si="318"/>
        <v>1</v>
      </c>
      <c r="I545" s="79">
        <f t="shared" si="304"/>
        <v>57295.271018508844</v>
      </c>
      <c r="J545" s="79">
        <f t="shared" si="294"/>
        <v>390.83931115376851</v>
      </c>
      <c r="K545" s="80">
        <f t="shared" si="295"/>
        <v>-15</v>
      </c>
      <c r="L545" s="80">
        <f t="shared" si="305"/>
        <v>-47.746059182090704</v>
      </c>
      <c r="M545" s="80">
        <f t="shared" si="320"/>
        <v>0</v>
      </c>
      <c r="N545" s="80">
        <f t="shared" si="306"/>
        <v>-54.430507467583418</v>
      </c>
      <c r="O545" s="81">
        <f t="shared" si="296"/>
        <v>-2500.6101455486769</v>
      </c>
      <c r="P545" s="79">
        <f t="shared" si="297"/>
        <v>55068.323617464252</v>
      </c>
      <c r="Q545" s="35"/>
      <c r="R545">
        <f t="shared" ca="1" si="307"/>
        <v>667</v>
      </c>
      <c r="S545" s="78">
        <f t="shared" ca="1" si="308"/>
        <v>108.28</v>
      </c>
      <c r="T545" s="55">
        <f t="shared" ca="1" si="298"/>
        <v>0</v>
      </c>
      <c r="U545" s="78">
        <f t="shared" ca="1" si="313"/>
        <v>2.7389054743691302E-5</v>
      </c>
      <c r="V545" s="79">
        <f t="shared" ca="1" si="309"/>
        <v>0</v>
      </c>
      <c r="W545" s="79">
        <f t="shared" ca="1" si="299"/>
        <v>0</v>
      </c>
      <c r="X545" s="80">
        <f t="shared" ca="1" si="314"/>
        <v>0</v>
      </c>
      <c r="Y545" s="80">
        <f t="shared" ca="1" si="315"/>
        <v>0</v>
      </c>
      <c r="Z545" s="80">
        <f t="shared" ca="1" si="310"/>
        <v>0</v>
      </c>
      <c r="AA545" s="80">
        <f t="shared" ca="1" si="316"/>
        <v>0</v>
      </c>
      <c r="AB545" s="81">
        <f t="shared" ca="1" si="300"/>
        <v>0</v>
      </c>
      <c r="AC545" s="79">
        <f t="shared" ca="1" si="301"/>
        <v>0</v>
      </c>
      <c r="AD545" s="35"/>
      <c r="AE545" s="35"/>
      <c r="AF545" s="35"/>
      <c r="AG545" s="35"/>
      <c r="AH545" s="35"/>
      <c r="AR545" s="69">
        <f t="shared" si="311"/>
        <v>46</v>
      </c>
      <c r="AS545" s="70">
        <f t="shared" si="317"/>
        <v>542</v>
      </c>
      <c r="AT545" s="71">
        <f t="shared" si="321"/>
        <v>2.4479544506883402E-2</v>
      </c>
      <c r="AU545" s="72">
        <f t="shared" si="302"/>
        <v>6.8214933659622723E-3</v>
      </c>
      <c r="AV545" s="73">
        <f t="shared" si="312"/>
        <v>1.0068214933659623</v>
      </c>
      <c r="AW545" s="74">
        <f>PRODUCT(AV$4:AV545)</f>
        <v>39.833014526706954</v>
      </c>
    </row>
    <row r="546" spans="5:49">
      <c r="E546">
        <f t="shared" si="319"/>
        <v>543</v>
      </c>
      <c r="F546" s="64">
        <f t="shared" si="303"/>
        <v>98.36</v>
      </c>
      <c r="G546" s="55">
        <f t="shared" si="293"/>
        <v>0</v>
      </c>
      <c r="H546" s="78">
        <f t="shared" si="318"/>
        <v>1</v>
      </c>
      <c r="I546" s="79">
        <f t="shared" si="304"/>
        <v>55068.323617464252</v>
      </c>
      <c r="J546" s="79">
        <f t="shared" si="294"/>
        <v>375.6482042311959</v>
      </c>
      <c r="K546" s="80">
        <f t="shared" si="295"/>
        <v>-15</v>
      </c>
      <c r="L546" s="80">
        <f t="shared" si="305"/>
        <v>-45.890269681220211</v>
      </c>
      <c r="M546" s="80">
        <f t="shared" si="320"/>
        <v>0</v>
      </c>
      <c r="N546" s="80">
        <f t="shared" si="306"/>
        <v>-52.314907436591049</v>
      </c>
      <c r="O546" s="81">
        <f t="shared" si="296"/>
        <v>-2500.6101455486769</v>
      </c>
      <c r="P546" s="79">
        <f t="shared" si="297"/>
        <v>52830.156499028955</v>
      </c>
      <c r="R546">
        <f t="shared" ca="1" si="307"/>
        <v>668</v>
      </c>
      <c r="S546" s="78">
        <f t="shared" ca="1" si="308"/>
        <v>108.36</v>
      </c>
      <c r="T546" s="55">
        <f t="shared" ca="1" si="298"/>
        <v>0</v>
      </c>
      <c r="U546" s="78">
        <f t="shared" ca="1" si="313"/>
        <v>2.7389054743691302E-5</v>
      </c>
      <c r="V546" s="79">
        <f t="shared" ca="1" si="309"/>
        <v>0</v>
      </c>
      <c r="W546" s="79">
        <f t="shared" ca="1" si="299"/>
        <v>0</v>
      </c>
      <c r="X546" s="80">
        <f t="shared" ca="1" si="314"/>
        <v>0</v>
      </c>
      <c r="Y546" s="80">
        <f t="shared" ca="1" si="315"/>
        <v>0</v>
      </c>
      <c r="Z546" s="80">
        <f t="shared" ca="1" si="310"/>
        <v>0</v>
      </c>
      <c r="AA546" s="80">
        <f t="shared" ca="1" si="316"/>
        <v>0</v>
      </c>
      <c r="AB546" s="81">
        <f t="shared" ca="1" si="300"/>
        <v>0</v>
      </c>
      <c r="AC546" s="79">
        <f t="shared" ca="1" si="301"/>
        <v>0</v>
      </c>
      <c r="AE546" s="35"/>
      <c r="AF546" s="35"/>
      <c r="AR546" s="69">
        <f t="shared" si="311"/>
        <v>46</v>
      </c>
      <c r="AS546" s="70">
        <f t="shared" si="317"/>
        <v>543</v>
      </c>
      <c r="AT546" s="71">
        <f t="shared" si="321"/>
        <v>2.4312557456427918E-2</v>
      </c>
      <c r="AU546" s="72">
        <f t="shared" si="302"/>
        <v>6.8214933659622723E-3</v>
      </c>
      <c r="AV546" s="73">
        <f t="shared" si="312"/>
        <v>1.0068214933659623</v>
      </c>
      <c r="AW546" s="74">
        <f>PRODUCT(AV$4:AV546)</f>
        <v>40.104735171047167</v>
      </c>
    </row>
    <row r="547" spans="5:49">
      <c r="E547">
        <f t="shared" si="319"/>
        <v>544</v>
      </c>
      <c r="F547" s="64">
        <f t="shared" si="303"/>
        <v>98.44</v>
      </c>
      <c r="G547" s="55">
        <f t="shared" si="293"/>
        <v>0</v>
      </c>
      <c r="H547" s="78">
        <f t="shared" si="318"/>
        <v>1</v>
      </c>
      <c r="I547" s="79">
        <f t="shared" si="304"/>
        <v>52830.156499028955</v>
      </c>
      <c r="J547" s="79">
        <f t="shared" si="294"/>
        <v>360.38056208087465</v>
      </c>
      <c r="K547" s="80">
        <f t="shared" si="295"/>
        <v>-15</v>
      </c>
      <c r="L547" s="80">
        <f t="shared" si="305"/>
        <v>-44.025130415857468</v>
      </c>
      <c r="M547" s="80">
        <f t="shared" si="320"/>
        <v>0</v>
      </c>
      <c r="N547" s="80">
        <f t="shared" si="306"/>
        <v>-50.188648674077513</v>
      </c>
      <c r="O547" s="81">
        <f t="shared" si="296"/>
        <v>-2500.6101455486769</v>
      </c>
      <c r="P547" s="79">
        <f t="shared" si="297"/>
        <v>50580.713136471219</v>
      </c>
      <c r="R547">
        <f t="shared" ca="1" si="307"/>
        <v>669</v>
      </c>
      <c r="S547" s="78">
        <f t="shared" ca="1" si="308"/>
        <v>108.44</v>
      </c>
      <c r="T547" s="55">
        <f t="shared" ca="1" si="298"/>
        <v>0</v>
      </c>
      <c r="U547" s="78">
        <f t="shared" ca="1" si="313"/>
        <v>2.7389054743691302E-5</v>
      </c>
      <c r="V547" s="79">
        <f t="shared" ca="1" si="309"/>
        <v>0</v>
      </c>
      <c r="W547" s="79">
        <f t="shared" ca="1" si="299"/>
        <v>0</v>
      </c>
      <c r="X547" s="80">
        <f t="shared" ca="1" si="314"/>
        <v>0</v>
      </c>
      <c r="Y547" s="80">
        <f t="shared" ca="1" si="315"/>
        <v>0</v>
      </c>
      <c r="Z547" s="80">
        <f t="shared" ca="1" si="310"/>
        <v>0</v>
      </c>
      <c r="AA547" s="80">
        <f t="shared" ca="1" si="316"/>
        <v>0</v>
      </c>
      <c r="AB547" s="81">
        <f t="shared" ca="1" si="300"/>
        <v>0</v>
      </c>
      <c r="AC547" s="79">
        <f t="shared" ca="1" si="301"/>
        <v>0</v>
      </c>
      <c r="AE547" s="35"/>
      <c r="AF547" s="35"/>
      <c r="AR547" s="69">
        <f t="shared" si="311"/>
        <v>46</v>
      </c>
      <c r="AS547" s="70">
        <f t="shared" si="317"/>
        <v>544</v>
      </c>
      <c r="AT547" s="71">
        <f t="shared" si="321"/>
        <v>2.414670950702932E-2</v>
      </c>
      <c r="AU547" s="72">
        <f t="shared" si="302"/>
        <v>6.8214933659622723E-3</v>
      </c>
      <c r="AV547" s="73">
        <f t="shared" si="312"/>
        <v>1.0068214933659623</v>
      </c>
      <c r="AW547" s="74">
        <f>PRODUCT(AV$4:AV547)</f>
        <v>40.378309355960141</v>
      </c>
    </row>
    <row r="548" spans="5:49">
      <c r="E548">
        <f t="shared" si="319"/>
        <v>545</v>
      </c>
      <c r="F548" s="64">
        <f t="shared" si="303"/>
        <v>98.52</v>
      </c>
      <c r="G548" s="55">
        <f t="shared" si="293"/>
        <v>0</v>
      </c>
      <c r="H548" s="78">
        <f t="shared" si="318"/>
        <v>1</v>
      </c>
      <c r="I548" s="79">
        <f t="shared" si="304"/>
        <v>50580.713136471219</v>
      </c>
      <c r="J548" s="79">
        <f t="shared" si="294"/>
        <v>345.0359991060792</v>
      </c>
      <c r="K548" s="80">
        <f t="shared" si="295"/>
        <v>-15</v>
      </c>
      <c r="L548" s="80">
        <f t="shared" si="305"/>
        <v>-42.150594280392681</v>
      </c>
      <c r="M548" s="80">
        <f t="shared" si="320"/>
        <v>0</v>
      </c>
      <c r="N548" s="80">
        <f t="shared" si="306"/>
        <v>-48.051677479647672</v>
      </c>
      <c r="O548" s="81">
        <f t="shared" si="296"/>
        <v>-2500.6101455486769</v>
      </c>
      <c r="P548" s="79">
        <f t="shared" si="297"/>
        <v>48319.936718268575</v>
      </c>
      <c r="R548">
        <f t="shared" ca="1" si="307"/>
        <v>670</v>
      </c>
      <c r="S548" s="78">
        <f t="shared" ca="1" si="308"/>
        <v>108.52</v>
      </c>
      <c r="T548" s="55">
        <f t="shared" ca="1" si="298"/>
        <v>0</v>
      </c>
      <c r="U548" s="78">
        <f t="shared" ca="1" si="313"/>
        <v>2.7389054743691302E-5</v>
      </c>
      <c r="V548" s="79">
        <f t="shared" ca="1" si="309"/>
        <v>0</v>
      </c>
      <c r="W548" s="79">
        <f t="shared" ca="1" si="299"/>
        <v>0</v>
      </c>
      <c r="X548" s="80">
        <f t="shared" ca="1" si="314"/>
        <v>0</v>
      </c>
      <c r="Y548" s="80">
        <f t="shared" ca="1" si="315"/>
        <v>0</v>
      </c>
      <c r="Z548" s="80">
        <f t="shared" ca="1" si="310"/>
        <v>0</v>
      </c>
      <c r="AA548" s="80">
        <f t="shared" ca="1" si="316"/>
        <v>0</v>
      </c>
      <c r="AB548" s="81">
        <f t="shared" ca="1" si="300"/>
        <v>0</v>
      </c>
      <c r="AC548" s="79">
        <f t="shared" ca="1" si="301"/>
        <v>0</v>
      </c>
      <c r="AE548" s="35"/>
      <c r="AF548" s="35"/>
      <c r="AR548" s="69">
        <f t="shared" si="311"/>
        <v>46</v>
      </c>
      <c r="AS548" s="70">
        <f t="shared" si="317"/>
        <v>545</v>
      </c>
      <c r="AT548" s="71">
        <f t="shared" si="321"/>
        <v>2.3981992888317302E-2</v>
      </c>
      <c r="AU548" s="72">
        <f t="shared" si="302"/>
        <v>6.8214933659622723E-3</v>
      </c>
      <c r="AV548" s="73">
        <f t="shared" si="312"/>
        <v>1.0068214933659623</v>
      </c>
      <c r="AW548" s="74">
        <f>PRODUCT(AV$4:AV548)</f>
        <v>40.653749725360598</v>
      </c>
    </row>
    <row r="549" spans="5:49">
      <c r="E549">
        <f t="shared" si="319"/>
        <v>546</v>
      </c>
      <c r="F549" s="64">
        <f t="shared" si="303"/>
        <v>98.6</v>
      </c>
      <c r="G549" s="55">
        <f t="shared" si="293"/>
        <v>0</v>
      </c>
      <c r="H549" s="78">
        <f t="shared" si="318"/>
        <v>1</v>
      </c>
      <c r="I549" s="79">
        <f t="shared" si="304"/>
        <v>48319.936718268575</v>
      </c>
      <c r="J549" s="79">
        <f t="shared" si="294"/>
        <v>329.61412776738587</v>
      </c>
      <c r="K549" s="80">
        <f t="shared" si="295"/>
        <v>-15</v>
      </c>
      <c r="L549" s="80">
        <f t="shared" si="305"/>
        <v>-40.266613931890483</v>
      </c>
      <c r="M549" s="80">
        <f t="shared" si="320"/>
        <v>0</v>
      </c>
      <c r="N549" s="80">
        <f t="shared" si="306"/>
        <v>-45.903939882355154</v>
      </c>
      <c r="O549" s="81">
        <f t="shared" si="296"/>
        <v>-2500.6101455486769</v>
      </c>
      <c r="P549" s="79">
        <f t="shared" si="297"/>
        <v>46047.770146673043</v>
      </c>
      <c r="R549">
        <f t="shared" ca="1" si="307"/>
        <v>671</v>
      </c>
      <c r="S549" s="78">
        <f t="shared" ca="1" si="308"/>
        <v>108.6</v>
      </c>
      <c r="T549" s="55">
        <f t="shared" ca="1" si="298"/>
        <v>0</v>
      </c>
      <c r="U549" s="78">
        <f t="shared" ca="1" si="313"/>
        <v>2.7389054743691302E-5</v>
      </c>
      <c r="V549" s="79">
        <f t="shared" ca="1" si="309"/>
        <v>0</v>
      </c>
      <c r="W549" s="79">
        <f t="shared" ca="1" si="299"/>
        <v>0</v>
      </c>
      <c r="X549" s="80">
        <f t="shared" ca="1" si="314"/>
        <v>0</v>
      </c>
      <c r="Y549" s="80">
        <f t="shared" ca="1" si="315"/>
        <v>0</v>
      </c>
      <c r="Z549" s="80">
        <f t="shared" ca="1" si="310"/>
        <v>0</v>
      </c>
      <c r="AA549" s="80">
        <f t="shared" ca="1" si="316"/>
        <v>0</v>
      </c>
      <c r="AB549" s="81">
        <f t="shared" ca="1" si="300"/>
        <v>0</v>
      </c>
      <c r="AC549" s="79">
        <f t="shared" ca="1" si="301"/>
        <v>0</v>
      </c>
      <c r="AE549" s="35"/>
      <c r="AF549" s="35"/>
      <c r="AR549" s="69">
        <f t="shared" si="311"/>
        <v>46</v>
      </c>
      <c r="AS549" s="70">
        <f t="shared" si="317"/>
        <v>546</v>
      </c>
      <c r="AT549" s="71">
        <f t="shared" si="321"/>
        <v>2.3818399882927093E-2</v>
      </c>
      <c r="AU549" s="72">
        <f t="shared" si="302"/>
        <v>6.8214933659622723E-3</v>
      </c>
      <c r="AV549" s="73">
        <f t="shared" si="312"/>
        <v>1.0068214933659623</v>
      </c>
      <c r="AW549" s="74">
        <f>PRODUCT(AV$4:AV549)</f>
        <v>40.931069009413633</v>
      </c>
    </row>
    <row r="550" spans="5:49">
      <c r="E550">
        <f t="shared" si="319"/>
        <v>547</v>
      </c>
      <c r="F550" s="64">
        <f t="shared" si="303"/>
        <v>98.68</v>
      </c>
      <c r="G550" s="55">
        <f t="shared" si="293"/>
        <v>0</v>
      </c>
      <c r="H550" s="78">
        <f t="shared" si="318"/>
        <v>1</v>
      </c>
      <c r="I550" s="79">
        <f t="shared" si="304"/>
        <v>46047.770146673043</v>
      </c>
      <c r="J550" s="79">
        <f t="shared" si="294"/>
        <v>314.11455857288576</v>
      </c>
      <c r="K550" s="80">
        <f t="shared" si="295"/>
        <v>-15</v>
      </c>
      <c r="L550" s="80">
        <f t="shared" si="305"/>
        <v>-38.373141788894202</v>
      </c>
      <c r="M550" s="80">
        <f t="shared" si="320"/>
        <v>0</v>
      </c>
      <c r="N550" s="80">
        <f t="shared" si="306"/>
        <v>-43.745381639339399</v>
      </c>
      <c r="O550" s="81">
        <f t="shared" si="296"/>
        <v>-2500.6101455486769</v>
      </c>
      <c r="P550" s="79">
        <f t="shared" si="297"/>
        <v>43764.156036269022</v>
      </c>
      <c r="R550">
        <f t="shared" ca="1" si="307"/>
        <v>672</v>
      </c>
      <c r="S550" s="78">
        <f t="shared" ca="1" si="308"/>
        <v>108.68</v>
      </c>
      <c r="T550" s="55">
        <f t="shared" ca="1" si="298"/>
        <v>0</v>
      </c>
      <c r="U550" s="78">
        <f t="shared" ca="1" si="313"/>
        <v>2.7389054743691302E-5</v>
      </c>
      <c r="V550" s="79">
        <f t="shared" ca="1" si="309"/>
        <v>0</v>
      </c>
      <c r="W550" s="79">
        <f t="shared" ca="1" si="299"/>
        <v>0</v>
      </c>
      <c r="X550" s="80">
        <f t="shared" ca="1" si="314"/>
        <v>0</v>
      </c>
      <c r="Y550" s="80">
        <f t="shared" ca="1" si="315"/>
        <v>0</v>
      </c>
      <c r="Z550" s="80">
        <f t="shared" ca="1" si="310"/>
        <v>0</v>
      </c>
      <c r="AA550" s="80">
        <f t="shared" ca="1" si="316"/>
        <v>0</v>
      </c>
      <c r="AB550" s="81">
        <f t="shared" ca="1" si="300"/>
        <v>0</v>
      </c>
      <c r="AC550" s="79">
        <f t="shared" ca="1" si="301"/>
        <v>0</v>
      </c>
      <c r="AE550" s="35"/>
      <c r="AF550" s="35"/>
      <c r="AR550" s="69">
        <f t="shared" si="311"/>
        <v>46</v>
      </c>
      <c r="AS550" s="70">
        <f t="shared" si="317"/>
        <v>547</v>
      </c>
      <c r="AT550" s="71">
        <f t="shared" si="321"/>
        <v>2.3655922826137869E-2</v>
      </c>
      <c r="AU550" s="72">
        <f t="shared" si="302"/>
        <v>6.8214933659622723E-3</v>
      </c>
      <c r="AV550" s="73">
        <f t="shared" si="312"/>
        <v>1.0068214933659623</v>
      </c>
      <c r="AW550" s="74">
        <f>PRODUCT(AV$4:AV550)</f>
        <v>41.21028002512309</v>
      </c>
    </row>
    <row r="551" spans="5:49">
      <c r="E551">
        <f t="shared" si="319"/>
        <v>548</v>
      </c>
      <c r="F551" s="64">
        <f t="shared" si="303"/>
        <v>98.76</v>
      </c>
      <c r="G551" s="55">
        <f t="shared" si="293"/>
        <v>0</v>
      </c>
      <c r="H551" s="78">
        <f t="shared" si="318"/>
        <v>1</v>
      </c>
      <c r="I551" s="79">
        <f t="shared" si="304"/>
        <v>43764.156036269022</v>
      </c>
      <c r="J551" s="79">
        <f t="shared" si="294"/>
        <v>298.53690006834688</v>
      </c>
      <c r="K551" s="80">
        <f t="shared" si="295"/>
        <v>-15</v>
      </c>
      <c r="L551" s="80">
        <f t="shared" si="305"/>
        <v>-36.47013003022419</v>
      </c>
      <c r="M551" s="80">
        <f t="shared" si="320"/>
        <v>0</v>
      </c>
      <c r="N551" s="80">
        <f t="shared" si="306"/>
        <v>-41.575948234455581</v>
      </c>
      <c r="O551" s="81">
        <f t="shared" si="296"/>
        <v>-2500.6101455486769</v>
      </c>
      <c r="P551" s="79">
        <f t="shared" si="297"/>
        <v>41469.036712524008</v>
      </c>
      <c r="R551">
        <f t="shared" ca="1" si="307"/>
        <v>673</v>
      </c>
      <c r="S551" s="78">
        <f t="shared" ca="1" si="308"/>
        <v>108.76</v>
      </c>
      <c r="T551" s="55">
        <f t="shared" ca="1" si="298"/>
        <v>0</v>
      </c>
      <c r="U551" s="78">
        <f t="shared" ca="1" si="313"/>
        <v>2.7389054743691302E-5</v>
      </c>
      <c r="V551" s="79">
        <f t="shared" ca="1" si="309"/>
        <v>0</v>
      </c>
      <c r="W551" s="79">
        <f t="shared" ca="1" si="299"/>
        <v>0</v>
      </c>
      <c r="X551" s="80">
        <f t="shared" ca="1" si="314"/>
        <v>0</v>
      </c>
      <c r="Y551" s="80">
        <f t="shared" ca="1" si="315"/>
        <v>0</v>
      </c>
      <c r="Z551" s="80">
        <f t="shared" ca="1" si="310"/>
        <v>0</v>
      </c>
      <c r="AA551" s="80">
        <f t="shared" ca="1" si="316"/>
        <v>0</v>
      </c>
      <c r="AB551" s="81">
        <f t="shared" ca="1" si="300"/>
        <v>0</v>
      </c>
      <c r="AC551" s="79">
        <f t="shared" ca="1" si="301"/>
        <v>0</v>
      </c>
      <c r="AE551" s="35"/>
      <c r="AF551" s="35"/>
      <c r="AR551" s="69">
        <f t="shared" si="311"/>
        <v>46</v>
      </c>
      <c r="AS551" s="70">
        <f t="shared" si="317"/>
        <v>548</v>
      </c>
      <c r="AT551" s="71">
        <f t="shared" si="321"/>
        <v>2.3494554105513654E-2</v>
      </c>
      <c r="AU551" s="72">
        <f t="shared" si="302"/>
        <v>6.8214933659622723E-3</v>
      </c>
      <c r="AV551" s="73">
        <f t="shared" si="312"/>
        <v>1.0068214933659623</v>
      </c>
      <c r="AW551" s="74">
        <f>PRODUCT(AV$4:AV551)</f>
        <v>41.491395676923915</v>
      </c>
    </row>
    <row r="552" spans="5:49">
      <c r="E552">
        <f t="shared" si="319"/>
        <v>549</v>
      </c>
      <c r="F552" s="64">
        <f t="shared" si="303"/>
        <v>98.84</v>
      </c>
      <c r="G552" s="55">
        <f t="shared" si="293"/>
        <v>0</v>
      </c>
      <c r="H552" s="78">
        <f t="shared" si="318"/>
        <v>1</v>
      </c>
      <c r="I552" s="79">
        <f t="shared" si="304"/>
        <v>41469.036712524008</v>
      </c>
      <c r="J552" s="79">
        <f t="shared" si="294"/>
        <v>282.88075882732846</v>
      </c>
      <c r="K552" s="80">
        <f t="shared" si="295"/>
        <v>-15</v>
      </c>
      <c r="L552" s="80">
        <f t="shared" si="305"/>
        <v>-34.557530593770011</v>
      </c>
      <c r="M552" s="80">
        <f t="shared" si="320"/>
        <v>0</v>
      </c>
      <c r="N552" s="80">
        <f t="shared" si="306"/>
        <v>-39.395584876897814</v>
      </c>
      <c r="O552" s="81">
        <f t="shared" si="296"/>
        <v>-2500.6101455486769</v>
      </c>
      <c r="P552" s="79">
        <f t="shared" si="297"/>
        <v>39162.354210331992</v>
      </c>
      <c r="R552">
        <f t="shared" ca="1" si="307"/>
        <v>674</v>
      </c>
      <c r="S552" s="78">
        <f t="shared" ca="1" si="308"/>
        <v>108.84</v>
      </c>
      <c r="T552" s="55">
        <f t="shared" ca="1" si="298"/>
        <v>0</v>
      </c>
      <c r="U552" s="78">
        <f t="shared" ca="1" si="313"/>
        <v>2.7389054743691302E-5</v>
      </c>
      <c r="V552" s="79">
        <f t="shared" ca="1" si="309"/>
        <v>0</v>
      </c>
      <c r="W552" s="79">
        <f t="shared" ca="1" si="299"/>
        <v>0</v>
      </c>
      <c r="X552" s="80">
        <f t="shared" ca="1" si="314"/>
        <v>0</v>
      </c>
      <c r="Y552" s="80">
        <f t="shared" ca="1" si="315"/>
        <v>0</v>
      </c>
      <c r="Z552" s="80">
        <f t="shared" ca="1" si="310"/>
        <v>0</v>
      </c>
      <c r="AA552" s="80">
        <f t="shared" ca="1" si="316"/>
        <v>0</v>
      </c>
      <c r="AB552" s="81">
        <f t="shared" ca="1" si="300"/>
        <v>0</v>
      </c>
      <c r="AC552" s="79">
        <f t="shared" ca="1" si="301"/>
        <v>0</v>
      </c>
      <c r="AE552" s="35"/>
      <c r="AF552" s="35"/>
      <c r="AR552" s="69">
        <f t="shared" si="311"/>
        <v>46</v>
      </c>
      <c r="AS552" s="70">
        <f t="shared" si="317"/>
        <v>549</v>
      </c>
      <c r="AT552" s="71">
        <f t="shared" si="321"/>
        <v>2.3334286160546652E-2</v>
      </c>
      <c r="AU552" s="72">
        <f t="shared" si="302"/>
        <v>6.8214933659622723E-3</v>
      </c>
      <c r="AV552" s="73">
        <f t="shared" si="312"/>
        <v>1.0068214933659623</v>
      </c>
      <c r="AW552" s="74">
        <f>PRODUCT(AV$4:AV552)</f>
        <v>41.774428957278566</v>
      </c>
    </row>
    <row r="553" spans="5:49">
      <c r="E553">
        <f t="shared" si="319"/>
        <v>550</v>
      </c>
      <c r="F553" s="64">
        <f t="shared" si="303"/>
        <v>98.92</v>
      </c>
      <c r="G553" s="55">
        <f t="shared" si="293"/>
        <v>0</v>
      </c>
      <c r="H553" s="78">
        <f t="shared" si="318"/>
        <v>1</v>
      </c>
      <c r="I553" s="79">
        <f t="shared" si="304"/>
        <v>39162.354210331992</v>
      </c>
      <c r="J553" s="79">
        <f t="shared" si="294"/>
        <v>267.14573944124436</v>
      </c>
      <c r="K553" s="80">
        <f t="shared" si="295"/>
        <v>-15</v>
      </c>
      <c r="L553" s="80">
        <f t="shared" si="305"/>
        <v>-32.63529517527666</v>
      </c>
      <c r="M553" s="80">
        <f t="shared" si="320"/>
        <v>0</v>
      </c>
      <c r="N553" s="80">
        <f t="shared" si="306"/>
        <v>-37.204236499815401</v>
      </c>
      <c r="O553" s="81">
        <f t="shared" si="296"/>
        <v>-2500.6101455486769</v>
      </c>
      <c r="P553" s="79">
        <f t="shared" si="297"/>
        <v>36844.050272549466</v>
      </c>
      <c r="R553">
        <f t="shared" ca="1" si="307"/>
        <v>675</v>
      </c>
      <c r="S553" s="78">
        <f t="shared" ca="1" si="308"/>
        <v>108.92</v>
      </c>
      <c r="T553" s="55">
        <f t="shared" ca="1" si="298"/>
        <v>0</v>
      </c>
      <c r="U553" s="78">
        <f t="shared" ca="1" si="313"/>
        <v>2.7389054743691302E-5</v>
      </c>
      <c r="V553" s="79">
        <f t="shared" ca="1" si="309"/>
        <v>0</v>
      </c>
      <c r="W553" s="79">
        <f t="shared" ca="1" si="299"/>
        <v>0</v>
      </c>
      <c r="X553" s="80">
        <f t="shared" ca="1" si="314"/>
        <v>0</v>
      </c>
      <c r="Y553" s="80">
        <f t="shared" ca="1" si="315"/>
        <v>0</v>
      </c>
      <c r="Z553" s="80">
        <f t="shared" ca="1" si="310"/>
        <v>0</v>
      </c>
      <c r="AA553" s="80">
        <f t="shared" ca="1" si="316"/>
        <v>0</v>
      </c>
      <c r="AB553" s="81">
        <f t="shared" ca="1" si="300"/>
        <v>0</v>
      </c>
      <c r="AC553" s="79">
        <f t="shared" ca="1" si="301"/>
        <v>0</v>
      </c>
      <c r="AE553" s="35"/>
      <c r="AF553" s="35"/>
      <c r="AR553" s="69">
        <f t="shared" si="311"/>
        <v>46</v>
      </c>
      <c r="AS553" s="70">
        <f t="shared" si="317"/>
        <v>550</v>
      </c>
      <c r="AT553" s="71">
        <f t="shared" si="321"/>
        <v>2.3175111482303019E-2</v>
      </c>
      <c r="AU553" s="72">
        <f t="shared" si="302"/>
        <v>6.8214933659622723E-3</v>
      </c>
      <c r="AV553" s="73">
        <f t="shared" si="312"/>
        <v>1.0068214933659623</v>
      </c>
      <c r="AW553" s="74">
        <f>PRODUCT(AV$4:AV553)</f>
        <v>42.059392947277502</v>
      </c>
    </row>
    <row r="554" spans="5:49">
      <c r="E554">
        <f t="shared" si="319"/>
        <v>551</v>
      </c>
      <c r="F554" s="64">
        <f t="shared" si="303"/>
        <v>99</v>
      </c>
      <c r="G554" s="55">
        <f t="shared" si="293"/>
        <v>0</v>
      </c>
      <c r="H554" s="78">
        <f t="shared" si="318"/>
        <v>1</v>
      </c>
      <c r="I554" s="79">
        <f t="shared" si="304"/>
        <v>36844.050272549466</v>
      </c>
      <c r="J554" s="79">
        <f t="shared" si="294"/>
        <v>251.33144450937664</v>
      </c>
      <c r="K554" s="80">
        <f t="shared" si="295"/>
        <v>-15</v>
      </c>
      <c r="L554" s="80">
        <f t="shared" si="305"/>
        <v>-30.703375227124557</v>
      </c>
      <c r="M554" s="80">
        <f t="shared" si="320"/>
        <v>0</v>
      </c>
      <c r="N554" s="80">
        <f t="shared" si="306"/>
        <v>-35.001847758922004</v>
      </c>
      <c r="O554" s="81">
        <f t="shared" si="296"/>
        <v>-2500.6101455486769</v>
      </c>
      <c r="P554" s="79">
        <f t="shared" si="297"/>
        <v>34514.066348524117</v>
      </c>
      <c r="R554">
        <f t="shared" ca="1" si="307"/>
        <v>676</v>
      </c>
      <c r="S554" s="78">
        <f t="shared" ca="1" si="308"/>
        <v>109</v>
      </c>
      <c r="T554" s="55">
        <f t="shared" ca="1" si="298"/>
        <v>0</v>
      </c>
      <c r="U554" s="78">
        <f t="shared" ca="1" si="313"/>
        <v>2.7389054743691302E-5</v>
      </c>
      <c r="V554" s="79">
        <f t="shared" ca="1" si="309"/>
        <v>0</v>
      </c>
      <c r="W554" s="79">
        <f t="shared" ca="1" si="299"/>
        <v>0</v>
      </c>
      <c r="X554" s="80">
        <f t="shared" ca="1" si="314"/>
        <v>0</v>
      </c>
      <c r="Y554" s="80">
        <f t="shared" ca="1" si="315"/>
        <v>0</v>
      </c>
      <c r="Z554" s="80">
        <f t="shared" ca="1" si="310"/>
        <v>0</v>
      </c>
      <c r="AA554" s="80">
        <f t="shared" ca="1" si="316"/>
        <v>0</v>
      </c>
      <c r="AB554" s="81">
        <f t="shared" ca="1" si="300"/>
        <v>0</v>
      </c>
      <c r="AC554" s="79">
        <f t="shared" ca="1" si="301"/>
        <v>0</v>
      </c>
      <c r="AE554" s="35"/>
      <c r="AF554" s="35"/>
      <c r="AR554" s="69">
        <f t="shared" si="311"/>
        <v>46</v>
      </c>
      <c r="AS554" s="70">
        <f t="shared" si="317"/>
        <v>551</v>
      </c>
      <c r="AT554" s="71">
        <f t="shared" si="321"/>
        <v>2.3017022613071054E-2</v>
      </c>
      <c r="AU554" s="72">
        <f t="shared" si="302"/>
        <v>6.8214933659622723E-3</v>
      </c>
      <c r="AV554" s="73">
        <f t="shared" si="312"/>
        <v>1.0068214933659623</v>
      </c>
      <c r="AW554" s="74">
        <f>PRODUCT(AV$4:AV554)</f>
        <v>42.346300817243758</v>
      </c>
    </row>
    <row r="555" spans="5:49">
      <c r="E555">
        <f t="shared" si="319"/>
        <v>552</v>
      </c>
      <c r="F555" s="64">
        <f t="shared" si="303"/>
        <v>99.08</v>
      </c>
      <c r="G555" s="55">
        <f t="shared" si="293"/>
        <v>0</v>
      </c>
      <c r="H555" s="78">
        <f t="shared" si="318"/>
        <v>1</v>
      </c>
      <c r="I555" s="79">
        <f t="shared" si="304"/>
        <v>34514.066348524117</v>
      </c>
      <c r="J555" s="79">
        <f t="shared" si="294"/>
        <v>235.43747462883897</v>
      </c>
      <c r="K555" s="80">
        <f t="shared" si="295"/>
        <v>-15</v>
      </c>
      <c r="L555" s="80">
        <f t="shared" si="305"/>
        <v>-28.761721957103433</v>
      </c>
      <c r="M555" s="80">
        <f t="shared" si="320"/>
        <v>0</v>
      </c>
      <c r="N555" s="80">
        <f t="shared" si="306"/>
        <v>-32.788363031097916</v>
      </c>
      <c r="O555" s="81">
        <f t="shared" si="296"/>
        <v>-2500.6101455486769</v>
      </c>
      <c r="P555" s="79">
        <f t="shared" si="297"/>
        <v>32172.343592616075</v>
      </c>
      <c r="R555">
        <f t="shared" ca="1" si="307"/>
        <v>677</v>
      </c>
      <c r="S555" s="78">
        <f t="shared" ca="1" si="308"/>
        <v>109.08</v>
      </c>
      <c r="T555" s="55">
        <f t="shared" ca="1" si="298"/>
        <v>0</v>
      </c>
      <c r="U555" s="78">
        <f t="shared" ca="1" si="313"/>
        <v>2.7389054743691302E-5</v>
      </c>
      <c r="V555" s="79">
        <f t="shared" ca="1" si="309"/>
        <v>0</v>
      </c>
      <c r="W555" s="79">
        <f t="shared" ca="1" si="299"/>
        <v>0</v>
      </c>
      <c r="X555" s="80">
        <f t="shared" ca="1" si="314"/>
        <v>0</v>
      </c>
      <c r="Y555" s="80">
        <f t="shared" ca="1" si="315"/>
        <v>0</v>
      </c>
      <c r="Z555" s="80">
        <f t="shared" ca="1" si="310"/>
        <v>0</v>
      </c>
      <c r="AA555" s="80">
        <f t="shared" ca="1" si="316"/>
        <v>0</v>
      </c>
      <c r="AB555" s="81">
        <f t="shared" ca="1" si="300"/>
        <v>0</v>
      </c>
      <c r="AC555" s="79">
        <f t="shared" ca="1" si="301"/>
        <v>0</v>
      </c>
      <c r="AE555" s="35"/>
      <c r="AF555" s="35"/>
      <c r="AR555" s="69">
        <f t="shared" si="311"/>
        <v>46</v>
      </c>
      <c r="AS555" s="70">
        <f t="shared" si="317"/>
        <v>552</v>
      </c>
      <c r="AT555" s="71">
        <f t="shared" si="321"/>
        <v>2.2860012146011785E-2</v>
      </c>
      <c r="AU555" s="72">
        <f t="shared" si="302"/>
        <v>6.8214933659622723E-3</v>
      </c>
      <c r="AV555" s="73">
        <f t="shared" si="312"/>
        <v>1.0068214933659623</v>
      </c>
      <c r="AW555" s="74">
        <f>PRODUCT(AV$4:AV555)</f>
        <v>42.635165827341631</v>
      </c>
    </row>
    <row r="556" spans="5:49">
      <c r="E556">
        <f t="shared" si="319"/>
        <v>553</v>
      </c>
      <c r="F556" s="64">
        <f t="shared" si="303"/>
        <v>99.16</v>
      </c>
      <c r="G556" s="55">
        <f t="shared" si="293"/>
        <v>0</v>
      </c>
      <c r="H556" s="78">
        <f t="shared" si="318"/>
        <v>1</v>
      </c>
      <c r="I556" s="79">
        <f t="shared" si="304"/>
        <v>32172.343592616075</v>
      </c>
      <c r="J556" s="79">
        <f t="shared" si="294"/>
        <v>219.46342838448936</v>
      </c>
      <c r="K556" s="80">
        <f t="shared" si="295"/>
        <v>-15</v>
      </c>
      <c r="L556" s="80">
        <f t="shared" si="305"/>
        <v>-26.810286327180062</v>
      </c>
      <c r="M556" s="80">
        <f t="shared" si="320"/>
        <v>-241.29257694462055</v>
      </c>
      <c r="N556" s="80">
        <f t="shared" si="306"/>
        <v>-30.563726412985275</v>
      </c>
      <c r="O556" s="81">
        <f t="shared" si="296"/>
        <v>-2500.6101455486769</v>
      </c>
      <c r="P556" s="79">
        <f t="shared" si="297"/>
        <v>29577.530285767105</v>
      </c>
      <c r="R556">
        <f t="shared" ca="1" si="307"/>
        <v>678</v>
      </c>
      <c r="S556" s="78">
        <f t="shared" ca="1" si="308"/>
        <v>109.16</v>
      </c>
      <c r="T556" s="55">
        <f t="shared" ca="1" si="298"/>
        <v>0</v>
      </c>
      <c r="U556" s="78">
        <f t="shared" ca="1" si="313"/>
        <v>2.7389054743691302E-5</v>
      </c>
      <c r="V556" s="79">
        <f t="shared" ca="1" si="309"/>
        <v>0</v>
      </c>
      <c r="W556" s="79">
        <f t="shared" ca="1" si="299"/>
        <v>0</v>
      </c>
      <c r="X556" s="80">
        <f t="shared" ca="1" si="314"/>
        <v>0</v>
      </c>
      <c r="Y556" s="80">
        <f t="shared" ca="1" si="315"/>
        <v>0</v>
      </c>
      <c r="Z556" s="80">
        <f t="shared" ca="1" si="310"/>
        <v>0</v>
      </c>
      <c r="AA556" s="80">
        <f t="shared" ca="1" si="316"/>
        <v>0</v>
      </c>
      <c r="AB556" s="81">
        <f t="shared" ca="1" si="300"/>
        <v>0</v>
      </c>
      <c r="AC556" s="79">
        <f t="shared" ca="1" si="301"/>
        <v>0</v>
      </c>
      <c r="AE556" s="35"/>
      <c r="AF556" s="35"/>
      <c r="AR556" s="69">
        <f t="shared" si="311"/>
        <v>47</v>
      </c>
      <c r="AS556" s="70">
        <f t="shared" si="317"/>
        <v>553</v>
      </c>
      <c r="AT556" s="71">
        <f t="shared" si="321"/>
        <v>2.2704072724811949E-2</v>
      </c>
      <c r="AU556" s="72">
        <f t="shared" si="302"/>
        <v>6.8214933659622723E-3</v>
      </c>
      <c r="AV556" s="73">
        <f t="shared" si="312"/>
        <v>1.0068214933659623</v>
      </c>
      <c r="AW556" s="74">
        <f>PRODUCT(AV$4:AV556)</f>
        <v>42.926001328189543</v>
      </c>
    </row>
    <row r="557" spans="5:49">
      <c r="E557">
        <f t="shared" si="319"/>
        <v>554</v>
      </c>
      <c r="F557" s="64">
        <f t="shared" si="303"/>
        <v>99.24</v>
      </c>
      <c r="G557" s="55">
        <f t="shared" si="293"/>
        <v>0</v>
      </c>
      <c r="H557" s="78">
        <f t="shared" si="318"/>
        <v>1</v>
      </c>
      <c r="I557" s="79">
        <f t="shared" si="304"/>
        <v>29577.530285767105</v>
      </c>
      <c r="J557" s="79">
        <f t="shared" si="294"/>
        <v>201.76292662590851</v>
      </c>
      <c r="K557" s="80">
        <f t="shared" si="295"/>
        <v>-15</v>
      </c>
      <c r="L557" s="80">
        <f t="shared" si="305"/>
        <v>-24.647941904805922</v>
      </c>
      <c r="M557" s="80">
        <f t="shared" si="320"/>
        <v>0</v>
      </c>
      <c r="N557" s="80">
        <f t="shared" si="306"/>
        <v>-28.098653771478755</v>
      </c>
      <c r="O557" s="81">
        <f t="shared" si="296"/>
        <v>-2500.6101455486769</v>
      </c>
      <c r="P557" s="79">
        <f t="shared" si="297"/>
        <v>27210.936471168054</v>
      </c>
      <c r="R557">
        <f t="shared" ca="1" si="307"/>
        <v>679</v>
      </c>
      <c r="S557" s="78">
        <f t="shared" ca="1" si="308"/>
        <v>109.24</v>
      </c>
      <c r="T557" s="55">
        <f t="shared" ca="1" si="298"/>
        <v>0</v>
      </c>
      <c r="U557" s="78">
        <f t="shared" ca="1" si="313"/>
        <v>2.7389054743691302E-5</v>
      </c>
      <c r="V557" s="79">
        <f t="shared" ca="1" si="309"/>
        <v>0</v>
      </c>
      <c r="W557" s="79">
        <f t="shared" ca="1" si="299"/>
        <v>0</v>
      </c>
      <c r="X557" s="80">
        <f t="shared" ca="1" si="314"/>
        <v>0</v>
      </c>
      <c r="Y557" s="80">
        <f t="shared" ca="1" si="315"/>
        <v>0</v>
      </c>
      <c r="Z557" s="80">
        <f t="shared" ca="1" si="310"/>
        <v>0</v>
      </c>
      <c r="AA557" s="80">
        <f t="shared" ca="1" si="316"/>
        <v>0</v>
      </c>
      <c r="AB557" s="81">
        <f t="shared" ca="1" si="300"/>
        <v>0</v>
      </c>
      <c r="AC557" s="79">
        <f t="shared" ca="1" si="301"/>
        <v>0</v>
      </c>
      <c r="AE557" s="35"/>
      <c r="AF557" s="35"/>
      <c r="AR557" s="69">
        <f t="shared" si="311"/>
        <v>47</v>
      </c>
      <c r="AS557" s="70">
        <f t="shared" si="317"/>
        <v>554</v>
      </c>
      <c r="AT557" s="71">
        <f t="shared" si="321"/>
        <v>2.2549197043339318E-2</v>
      </c>
      <c r="AU557" s="72">
        <f t="shared" si="302"/>
        <v>6.8214933659622723E-3</v>
      </c>
      <c r="AV557" s="73">
        <f t="shared" si="312"/>
        <v>1.0068214933659623</v>
      </c>
      <c r="AW557" s="74">
        <f>PRODUCT(AV$4:AV557)</f>
        <v>43.218820761477076</v>
      </c>
    </row>
    <row r="558" spans="5:49">
      <c r="E558">
        <f t="shared" si="319"/>
        <v>555</v>
      </c>
      <c r="F558" s="64">
        <f t="shared" si="303"/>
        <v>99.32</v>
      </c>
      <c r="G558" s="55">
        <f t="shared" si="293"/>
        <v>0</v>
      </c>
      <c r="H558" s="78">
        <f t="shared" si="318"/>
        <v>1</v>
      </c>
      <c r="I558" s="79">
        <f t="shared" si="304"/>
        <v>27210.936471168054</v>
      </c>
      <c r="J558" s="79">
        <f t="shared" si="294"/>
        <v>185.61922261969372</v>
      </c>
      <c r="K558" s="80">
        <f t="shared" si="295"/>
        <v>-15</v>
      </c>
      <c r="L558" s="80">
        <f t="shared" si="305"/>
        <v>-22.675780392640046</v>
      </c>
      <c r="M558" s="80">
        <f t="shared" si="320"/>
        <v>0</v>
      </c>
      <c r="N558" s="80">
        <f t="shared" si="306"/>
        <v>-25.850389647609656</v>
      </c>
      <c r="O558" s="81">
        <f t="shared" si="296"/>
        <v>-2500.6101455486769</v>
      </c>
      <c r="P558" s="79">
        <f t="shared" si="297"/>
        <v>24832.419378198822</v>
      </c>
      <c r="R558">
        <f t="shared" ca="1" si="307"/>
        <v>680</v>
      </c>
      <c r="S558" s="78">
        <f t="shared" ca="1" si="308"/>
        <v>109.32</v>
      </c>
      <c r="T558" s="55">
        <f t="shared" ca="1" si="298"/>
        <v>0</v>
      </c>
      <c r="U558" s="78">
        <f t="shared" ca="1" si="313"/>
        <v>2.7389054743691302E-5</v>
      </c>
      <c r="V558" s="79">
        <f t="shared" ca="1" si="309"/>
        <v>0</v>
      </c>
      <c r="W558" s="79">
        <f t="shared" ca="1" si="299"/>
        <v>0</v>
      </c>
      <c r="X558" s="80">
        <f t="shared" ca="1" si="314"/>
        <v>0</v>
      </c>
      <c r="Y558" s="80">
        <f t="shared" ca="1" si="315"/>
        <v>0</v>
      </c>
      <c r="Z558" s="80">
        <f t="shared" ca="1" si="310"/>
        <v>0</v>
      </c>
      <c r="AA558" s="80">
        <f t="shared" ca="1" si="316"/>
        <v>0</v>
      </c>
      <c r="AB558" s="81">
        <f t="shared" ca="1" si="300"/>
        <v>0</v>
      </c>
      <c r="AC558" s="79">
        <f t="shared" ca="1" si="301"/>
        <v>0</v>
      </c>
      <c r="AE558" s="35"/>
      <c r="AF558" s="35"/>
      <c r="AR558" s="69">
        <f t="shared" si="311"/>
        <v>47</v>
      </c>
      <c r="AS558" s="70">
        <f t="shared" si="317"/>
        <v>555</v>
      </c>
      <c r="AT558" s="71">
        <f t="shared" si="321"/>
        <v>2.2395377845300404E-2</v>
      </c>
      <c r="AU558" s="72">
        <f t="shared" si="302"/>
        <v>6.8214933659622723E-3</v>
      </c>
      <c r="AV558" s="73">
        <f t="shared" si="312"/>
        <v>1.0068214933659623</v>
      </c>
      <c r="AW558" s="74">
        <f>PRODUCT(AV$4:AV558)</f>
        <v>43.513637660586205</v>
      </c>
    </row>
    <row r="559" spans="5:49">
      <c r="E559">
        <f t="shared" si="319"/>
        <v>556</v>
      </c>
      <c r="F559" s="64">
        <f t="shared" si="303"/>
        <v>99.4</v>
      </c>
      <c r="G559" s="55">
        <f t="shared" si="293"/>
        <v>0</v>
      </c>
      <c r="H559" s="78">
        <f t="shared" si="318"/>
        <v>1</v>
      </c>
      <c r="I559" s="79">
        <f t="shared" si="304"/>
        <v>24832.419378198822</v>
      </c>
      <c r="J559" s="79">
        <f t="shared" si="294"/>
        <v>169.39418404917623</v>
      </c>
      <c r="K559" s="80">
        <f t="shared" si="295"/>
        <v>-15</v>
      </c>
      <c r="L559" s="80">
        <f t="shared" si="305"/>
        <v>-20.693682815165687</v>
      </c>
      <c r="M559" s="80">
        <f t="shared" si="320"/>
        <v>0</v>
      </c>
      <c r="N559" s="80">
        <f t="shared" si="306"/>
        <v>-23.590798409288883</v>
      </c>
      <c r="O559" s="81">
        <f t="shared" si="296"/>
        <v>-2500.6101455486769</v>
      </c>
      <c r="P559" s="79">
        <f t="shared" si="297"/>
        <v>22441.918935474867</v>
      </c>
      <c r="R559">
        <f t="shared" ca="1" si="307"/>
        <v>681</v>
      </c>
      <c r="S559" s="78">
        <f t="shared" ca="1" si="308"/>
        <v>109.4</v>
      </c>
      <c r="T559" s="55">
        <f t="shared" ca="1" si="298"/>
        <v>0</v>
      </c>
      <c r="U559" s="78">
        <f t="shared" ca="1" si="313"/>
        <v>2.7389054743691302E-5</v>
      </c>
      <c r="V559" s="79">
        <f t="shared" ca="1" si="309"/>
        <v>0</v>
      </c>
      <c r="W559" s="79">
        <f t="shared" ca="1" si="299"/>
        <v>0</v>
      </c>
      <c r="X559" s="80">
        <f t="shared" ca="1" si="314"/>
        <v>0</v>
      </c>
      <c r="Y559" s="80">
        <f t="shared" ca="1" si="315"/>
        <v>0</v>
      </c>
      <c r="Z559" s="80">
        <f t="shared" ca="1" si="310"/>
        <v>0</v>
      </c>
      <c r="AA559" s="80">
        <f t="shared" ca="1" si="316"/>
        <v>0</v>
      </c>
      <c r="AB559" s="81">
        <f t="shared" ca="1" si="300"/>
        <v>0</v>
      </c>
      <c r="AC559" s="79">
        <f t="shared" ca="1" si="301"/>
        <v>0</v>
      </c>
      <c r="AE559" s="35"/>
      <c r="AF559" s="35"/>
      <c r="AR559" s="69">
        <f t="shared" si="311"/>
        <v>47</v>
      </c>
      <c r="AS559" s="70">
        <f t="shared" si="317"/>
        <v>556</v>
      </c>
      <c r="AT559" s="71">
        <f t="shared" si="321"/>
        <v>2.2242607923900468E-2</v>
      </c>
      <c r="AU559" s="72">
        <f t="shared" si="302"/>
        <v>6.8214933659622723E-3</v>
      </c>
      <c r="AV559" s="73">
        <f t="shared" si="312"/>
        <v>1.0068214933659623</v>
      </c>
      <c r="AW559" s="74">
        <f>PRODUCT(AV$4:AV559)</f>
        <v>43.810465651216781</v>
      </c>
    </row>
    <row r="560" spans="5:49">
      <c r="E560">
        <f t="shared" si="319"/>
        <v>557</v>
      </c>
      <c r="F560" s="64">
        <f t="shared" si="303"/>
        <v>99.48</v>
      </c>
      <c r="G560" s="55">
        <f t="shared" si="293"/>
        <v>0</v>
      </c>
      <c r="H560" s="78">
        <f t="shared" si="318"/>
        <v>1</v>
      </c>
      <c r="I560" s="79">
        <f t="shared" si="304"/>
        <v>22441.918935474867</v>
      </c>
      <c r="J560" s="79">
        <f t="shared" si="294"/>
        <v>153.0874011378049</v>
      </c>
      <c r="K560" s="80">
        <f t="shared" si="295"/>
        <v>-15</v>
      </c>
      <c r="L560" s="80">
        <f t="shared" si="305"/>
        <v>-18.701599112895725</v>
      </c>
      <c r="M560" s="80">
        <f t="shared" si="320"/>
        <v>0</v>
      </c>
      <c r="N560" s="80">
        <f t="shared" si="306"/>
        <v>-21.319822988701127</v>
      </c>
      <c r="O560" s="81">
        <f t="shared" si="296"/>
        <v>-2500.6101455486769</v>
      </c>
      <c r="P560" s="79">
        <f t="shared" si="297"/>
        <v>20039.374768962392</v>
      </c>
      <c r="R560">
        <f t="shared" ca="1" si="307"/>
        <v>682</v>
      </c>
      <c r="S560" s="78">
        <f t="shared" ca="1" si="308"/>
        <v>109.48</v>
      </c>
      <c r="T560" s="55">
        <f t="shared" ca="1" si="298"/>
        <v>0</v>
      </c>
      <c r="U560" s="78">
        <f t="shared" ca="1" si="313"/>
        <v>2.7389054743691302E-5</v>
      </c>
      <c r="V560" s="79">
        <f t="shared" ca="1" si="309"/>
        <v>0</v>
      </c>
      <c r="W560" s="79">
        <f t="shared" ca="1" si="299"/>
        <v>0</v>
      </c>
      <c r="X560" s="80">
        <f t="shared" ca="1" si="314"/>
        <v>0</v>
      </c>
      <c r="Y560" s="80">
        <f t="shared" ca="1" si="315"/>
        <v>0</v>
      </c>
      <c r="Z560" s="80">
        <f t="shared" ca="1" si="310"/>
        <v>0</v>
      </c>
      <c r="AA560" s="80">
        <f t="shared" ca="1" si="316"/>
        <v>0</v>
      </c>
      <c r="AB560" s="81">
        <f t="shared" ca="1" si="300"/>
        <v>0</v>
      </c>
      <c r="AC560" s="79">
        <f t="shared" ca="1" si="301"/>
        <v>0</v>
      </c>
      <c r="AE560" s="35"/>
      <c r="AF560" s="35"/>
      <c r="AR560" s="69">
        <f t="shared" si="311"/>
        <v>47</v>
      </c>
      <c r="AS560" s="70">
        <f t="shared" si="317"/>
        <v>557</v>
      </c>
      <c r="AT560" s="71">
        <f t="shared" si="321"/>
        <v>2.2090880121505882E-2</v>
      </c>
      <c r="AU560" s="72">
        <f t="shared" si="302"/>
        <v>6.8214933659622723E-3</v>
      </c>
      <c r="AV560" s="73">
        <f t="shared" si="312"/>
        <v>1.0068214933659623</v>
      </c>
      <c r="AW560" s="74">
        <f>PRODUCT(AV$4:AV560)</f>
        <v>44.109318452016275</v>
      </c>
    </row>
    <row r="561" spans="5:49">
      <c r="E561">
        <f t="shared" si="319"/>
        <v>558</v>
      </c>
      <c r="F561" s="64">
        <f t="shared" si="303"/>
        <v>99.56</v>
      </c>
      <c r="G561" s="55">
        <f t="shared" si="293"/>
        <v>0</v>
      </c>
      <c r="H561" s="78">
        <f t="shared" si="318"/>
        <v>1</v>
      </c>
      <c r="I561" s="79">
        <f t="shared" si="304"/>
        <v>20039.374768962392</v>
      </c>
      <c r="J561" s="79">
        <f t="shared" si="294"/>
        <v>136.69846204450872</v>
      </c>
      <c r="K561" s="80">
        <f t="shared" si="295"/>
        <v>-15</v>
      </c>
      <c r="L561" s="80">
        <f t="shared" si="305"/>
        <v>-16.699478974135328</v>
      </c>
      <c r="M561" s="80">
        <f t="shared" si="320"/>
        <v>0</v>
      </c>
      <c r="N561" s="80">
        <f t="shared" si="306"/>
        <v>-19.037406030514276</v>
      </c>
      <c r="O561" s="81">
        <f t="shared" si="296"/>
        <v>-2500.6101455486769</v>
      </c>
      <c r="P561" s="79">
        <f t="shared" si="297"/>
        <v>17624.726200453573</v>
      </c>
      <c r="R561">
        <f t="shared" ca="1" si="307"/>
        <v>683</v>
      </c>
      <c r="S561" s="78">
        <f t="shared" ca="1" si="308"/>
        <v>109.56</v>
      </c>
      <c r="T561" s="55">
        <f t="shared" ca="1" si="298"/>
        <v>0</v>
      </c>
      <c r="U561" s="78">
        <f t="shared" ca="1" si="313"/>
        <v>2.7389054743691302E-5</v>
      </c>
      <c r="V561" s="79">
        <f t="shared" ca="1" si="309"/>
        <v>0</v>
      </c>
      <c r="W561" s="79">
        <f t="shared" ca="1" si="299"/>
        <v>0</v>
      </c>
      <c r="X561" s="80">
        <f t="shared" ca="1" si="314"/>
        <v>0</v>
      </c>
      <c r="Y561" s="80">
        <f t="shared" ca="1" si="315"/>
        <v>0</v>
      </c>
      <c r="Z561" s="80">
        <f t="shared" ca="1" si="310"/>
        <v>0</v>
      </c>
      <c r="AA561" s="80">
        <f t="shared" ca="1" si="316"/>
        <v>0</v>
      </c>
      <c r="AB561" s="81">
        <f t="shared" ca="1" si="300"/>
        <v>0</v>
      </c>
      <c r="AC561" s="79">
        <f t="shared" ca="1" si="301"/>
        <v>0</v>
      </c>
      <c r="AE561" s="35"/>
      <c r="AF561" s="35"/>
      <c r="AR561" s="69">
        <f t="shared" si="311"/>
        <v>47</v>
      </c>
      <c r="AS561" s="70">
        <f t="shared" si="317"/>
        <v>558</v>
      </c>
      <c r="AT561" s="71">
        <f t="shared" si="321"/>
        <v>2.1940187329308761E-2</v>
      </c>
      <c r="AU561" s="72">
        <f t="shared" si="302"/>
        <v>6.8214933659622723E-3</v>
      </c>
      <c r="AV561" s="73">
        <f t="shared" si="312"/>
        <v>1.0068214933659623</v>
      </c>
      <c r="AW561" s="74">
        <f>PRODUCT(AV$4:AV561)</f>
        <v>44.410209875213823</v>
      </c>
    </row>
    <row r="562" spans="5:49">
      <c r="E562">
        <f t="shared" si="319"/>
        <v>559</v>
      </c>
      <c r="F562" s="64">
        <f t="shared" si="303"/>
        <v>99.64</v>
      </c>
      <c r="G562" s="55">
        <f t="shared" si="293"/>
        <v>0</v>
      </c>
      <c r="H562" s="78">
        <f t="shared" si="318"/>
        <v>1</v>
      </c>
      <c r="I562" s="79">
        <f t="shared" si="304"/>
        <v>17624.726200453573</v>
      </c>
      <c r="J562" s="79">
        <f t="shared" si="294"/>
        <v>120.2269528532955</v>
      </c>
      <c r="K562" s="80">
        <f t="shared" si="295"/>
        <v>-15</v>
      </c>
      <c r="L562" s="80">
        <f t="shared" si="305"/>
        <v>-14.687271833711312</v>
      </c>
      <c r="M562" s="80">
        <f t="shared" si="320"/>
        <v>0</v>
      </c>
      <c r="N562" s="80">
        <f t="shared" si="306"/>
        <v>-16.743489890430897</v>
      </c>
      <c r="O562" s="81">
        <f t="shared" si="296"/>
        <v>-2500.6101455486769</v>
      </c>
      <c r="P562" s="79">
        <f t="shared" si="297"/>
        <v>15197.91224603405</v>
      </c>
      <c r="R562">
        <f t="shared" ca="1" si="307"/>
        <v>684</v>
      </c>
      <c r="S562" s="78">
        <f t="shared" ca="1" si="308"/>
        <v>109.64</v>
      </c>
      <c r="T562" s="55">
        <f t="shared" ca="1" si="298"/>
        <v>0</v>
      </c>
      <c r="U562" s="78">
        <f t="shared" ca="1" si="313"/>
        <v>2.7389054743691302E-5</v>
      </c>
      <c r="V562" s="79">
        <f t="shared" ca="1" si="309"/>
        <v>0</v>
      </c>
      <c r="W562" s="79">
        <f t="shared" ca="1" si="299"/>
        <v>0</v>
      </c>
      <c r="X562" s="80">
        <f t="shared" ca="1" si="314"/>
        <v>0</v>
      </c>
      <c r="Y562" s="80">
        <f t="shared" ca="1" si="315"/>
        <v>0</v>
      </c>
      <c r="Z562" s="80">
        <f t="shared" ca="1" si="310"/>
        <v>0</v>
      </c>
      <c r="AA562" s="80">
        <f t="shared" ca="1" si="316"/>
        <v>0</v>
      </c>
      <c r="AB562" s="81">
        <f t="shared" ca="1" si="300"/>
        <v>0</v>
      </c>
      <c r="AC562" s="79">
        <f t="shared" ca="1" si="301"/>
        <v>0</v>
      </c>
      <c r="AE562" s="35"/>
      <c r="AF562" s="35"/>
      <c r="AR562" s="69">
        <f t="shared" si="311"/>
        <v>47</v>
      </c>
      <c r="AS562" s="70">
        <f t="shared" si="317"/>
        <v>559</v>
      </c>
      <c r="AT562" s="71">
        <f t="shared" si="321"/>
        <v>2.179052248699391E-2</v>
      </c>
      <c r="AU562" s="72">
        <f t="shared" si="302"/>
        <v>6.8214933659622723E-3</v>
      </c>
      <c r="AV562" s="73">
        <f t="shared" si="312"/>
        <v>1.0068214933659623</v>
      </c>
      <c r="AW562" s="74">
        <f>PRODUCT(AV$4:AV562)</f>
        <v>44.713153827258587</v>
      </c>
    </row>
    <row r="563" spans="5:49">
      <c r="E563">
        <f t="shared" si="319"/>
        <v>560</v>
      </c>
      <c r="F563" s="64">
        <f t="shared" si="303"/>
        <v>99.72</v>
      </c>
      <c r="G563" s="55">
        <f t="shared" si="293"/>
        <v>0</v>
      </c>
      <c r="H563" s="78">
        <f t="shared" si="318"/>
        <v>1</v>
      </c>
      <c r="I563" s="79">
        <f t="shared" si="304"/>
        <v>15197.91224603405</v>
      </c>
      <c r="J563" s="79">
        <f t="shared" si="294"/>
        <v>103.67245756279804</v>
      </c>
      <c r="K563" s="80">
        <f t="shared" si="295"/>
        <v>-15</v>
      </c>
      <c r="L563" s="80">
        <f t="shared" si="305"/>
        <v>-12.664926871695043</v>
      </c>
      <c r="M563" s="80">
        <f t="shared" si="320"/>
        <v>0</v>
      </c>
      <c r="N563" s="80">
        <f t="shared" si="306"/>
        <v>-14.438016633732351</v>
      </c>
      <c r="O563" s="81">
        <f t="shared" si="296"/>
        <v>-2500.6101455486769</v>
      </c>
      <c r="P563" s="79">
        <f t="shared" si="297"/>
        <v>12758.871614542742</v>
      </c>
      <c r="R563">
        <f t="shared" ca="1" si="307"/>
        <v>685</v>
      </c>
      <c r="S563" s="78">
        <f t="shared" ca="1" si="308"/>
        <v>109.72</v>
      </c>
      <c r="T563" s="55">
        <f t="shared" ca="1" si="298"/>
        <v>0</v>
      </c>
      <c r="U563" s="78">
        <f t="shared" ca="1" si="313"/>
        <v>2.7389054743691302E-5</v>
      </c>
      <c r="V563" s="79">
        <f t="shared" ca="1" si="309"/>
        <v>0</v>
      </c>
      <c r="W563" s="79">
        <f t="shared" ca="1" si="299"/>
        <v>0</v>
      </c>
      <c r="X563" s="80">
        <f t="shared" ca="1" si="314"/>
        <v>0</v>
      </c>
      <c r="Y563" s="80">
        <f t="shared" ca="1" si="315"/>
        <v>0</v>
      </c>
      <c r="Z563" s="80">
        <f t="shared" ca="1" si="310"/>
        <v>0</v>
      </c>
      <c r="AA563" s="80">
        <f t="shared" ca="1" si="316"/>
        <v>0</v>
      </c>
      <c r="AB563" s="81">
        <f t="shared" ca="1" si="300"/>
        <v>0</v>
      </c>
      <c r="AC563" s="79">
        <f t="shared" ca="1" si="301"/>
        <v>0</v>
      </c>
      <c r="AE563" s="35"/>
      <c r="AF563" s="35"/>
      <c r="AR563" s="69">
        <f t="shared" si="311"/>
        <v>47</v>
      </c>
      <c r="AS563" s="70">
        <f t="shared" si="317"/>
        <v>560</v>
      </c>
      <c r="AT563" s="71">
        <f t="shared" si="321"/>
        <v>2.1641878582408028E-2</v>
      </c>
      <c r="AU563" s="72">
        <f t="shared" si="302"/>
        <v>6.8214933659622723E-3</v>
      </c>
      <c r="AV563" s="73">
        <f t="shared" si="312"/>
        <v>1.0068214933659623</v>
      </c>
      <c r="AW563" s="74">
        <f>PRODUCT(AV$4:AV563)</f>
        <v>45.018164309462485</v>
      </c>
    </row>
    <row r="564" spans="5:49">
      <c r="E564">
        <f t="shared" si="319"/>
        <v>561</v>
      </c>
      <c r="F564" s="64">
        <f t="shared" si="303"/>
        <v>99.8</v>
      </c>
      <c r="G564" s="55">
        <f t="shared" si="293"/>
        <v>0</v>
      </c>
      <c r="H564" s="78">
        <f t="shared" si="318"/>
        <v>1</v>
      </c>
      <c r="I564" s="79">
        <f t="shared" si="304"/>
        <v>12758.871614542742</v>
      </c>
      <c r="J564" s="79">
        <f t="shared" si="294"/>
        <v>87.034558075767663</v>
      </c>
      <c r="K564" s="80">
        <f t="shared" si="295"/>
        <v>-15</v>
      </c>
      <c r="L564" s="80">
        <f t="shared" si="305"/>
        <v>-10.632393012118953</v>
      </c>
      <c r="M564" s="80">
        <f t="shared" si="320"/>
        <v>0</v>
      </c>
      <c r="N564" s="80">
        <f t="shared" si="306"/>
        <v>-12.120928033815607</v>
      </c>
      <c r="O564" s="81">
        <f t="shared" si="296"/>
        <v>-2500.6101455486769</v>
      </c>
      <c r="P564" s="79">
        <f t="shared" si="297"/>
        <v>10307.542706023898</v>
      </c>
      <c r="R564">
        <f t="shared" ca="1" si="307"/>
        <v>686</v>
      </c>
      <c r="S564" s="78">
        <f t="shared" ca="1" si="308"/>
        <v>109.8</v>
      </c>
      <c r="T564" s="55">
        <f t="shared" ca="1" si="298"/>
        <v>0</v>
      </c>
      <c r="U564" s="78">
        <f t="shared" ca="1" si="313"/>
        <v>2.7389054743691302E-5</v>
      </c>
      <c r="V564" s="79">
        <f t="shared" ca="1" si="309"/>
        <v>0</v>
      </c>
      <c r="W564" s="79">
        <f t="shared" ca="1" si="299"/>
        <v>0</v>
      </c>
      <c r="X564" s="80">
        <f t="shared" ca="1" si="314"/>
        <v>0</v>
      </c>
      <c r="Y564" s="80">
        <f t="shared" ca="1" si="315"/>
        <v>0</v>
      </c>
      <c r="Z564" s="80">
        <f t="shared" ca="1" si="310"/>
        <v>0</v>
      </c>
      <c r="AA564" s="80">
        <f t="shared" ca="1" si="316"/>
        <v>0</v>
      </c>
      <c r="AB564" s="81">
        <f t="shared" ca="1" si="300"/>
        <v>0</v>
      </c>
      <c r="AC564" s="79">
        <f t="shared" ca="1" si="301"/>
        <v>0</v>
      </c>
      <c r="AE564" s="35"/>
      <c r="AF564" s="35"/>
      <c r="AR564" s="69">
        <f t="shared" si="311"/>
        <v>47</v>
      </c>
      <c r="AS564" s="70">
        <f t="shared" si="317"/>
        <v>561</v>
      </c>
      <c r="AT564" s="71">
        <f t="shared" si="321"/>
        <v>2.149424865123117E-2</v>
      </c>
      <c r="AU564" s="72">
        <f t="shared" si="302"/>
        <v>6.8214933659622723E-3</v>
      </c>
      <c r="AV564" s="73">
        <f t="shared" si="312"/>
        <v>1.0068214933659623</v>
      </c>
      <c r="AW564" s="74">
        <f>PRODUCT(AV$4:AV564)</f>
        <v>45.325255418647281</v>
      </c>
    </row>
    <row r="565" spans="5:49">
      <c r="E565">
        <f t="shared" si="319"/>
        <v>562</v>
      </c>
      <c r="F565" s="64">
        <f t="shared" si="303"/>
        <v>99.88</v>
      </c>
      <c r="G565" s="55">
        <f t="shared" si="293"/>
        <v>0</v>
      </c>
      <c r="H565" s="78">
        <f t="shared" si="318"/>
        <v>1</v>
      </c>
      <c r="I565" s="79">
        <f t="shared" si="304"/>
        <v>10307.542706023898</v>
      </c>
      <c r="J565" s="79">
        <f t="shared" si="294"/>
        <v>70.312834188514827</v>
      </c>
      <c r="K565" s="80">
        <f t="shared" si="295"/>
        <v>-15</v>
      </c>
      <c r="L565" s="80">
        <f t="shared" si="305"/>
        <v>-8.5896189216865828</v>
      </c>
      <c r="M565" s="80">
        <f t="shared" si="320"/>
        <v>0</v>
      </c>
      <c r="N565" s="80">
        <f t="shared" si="306"/>
        <v>-9.7921655707227053</v>
      </c>
      <c r="O565" s="81">
        <f t="shared" si="296"/>
        <v>-2500.6101455486769</v>
      </c>
      <c r="P565" s="79">
        <f t="shared" si="297"/>
        <v>7843.8636101713255</v>
      </c>
      <c r="R565">
        <f t="shared" ca="1" si="307"/>
        <v>687</v>
      </c>
      <c r="S565" s="78">
        <f t="shared" ca="1" si="308"/>
        <v>109.88</v>
      </c>
      <c r="T565" s="55">
        <f t="shared" ca="1" si="298"/>
        <v>0</v>
      </c>
      <c r="U565" s="78">
        <f t="shared" ca="1" si="313"/>
        <v>2.7389054743691302E-5</v>
      </c>
      <c r="V565" s="79">
        <f t="shared" ca="1" si="309"/>
        <v>0</v>
      </c>
      <c r="W565" s="79">
        <f t="shared" ca="1" si="299"/>
        <v>0</v>
      </c>
      <c r="X565" s="80">
        <f t="shared" ca="1" si="314"/>
        <v>0</v>
      </c>
      <c r="Y565" s="80">
        <f t="shared" ca="1" si="315"/>
        <v>0</v>
      </c>
      <c r="Z565" s="80">
        <f t="shared" ca="1" si="310"/>
        <v>0</v>
      </c>
      <c r="AA565" s="80">
        <f t="shared" ca="1" si="316"/>
        <v>0</v>
      </c>
      <c r="AB565" s="81">
        <f t="shared" ca="1" si="300"/>
        <v>0</v>
      </c>
      <c r="AC565" s="79">
        <f t="shared" ca="1" si="301"/>
        <v>0</v>
      </c>
      <c r="AE565" s="35"/>
      <c r="AF565" s="35"/>
      <c r="AR565" s="69">
        <f t="shared" si="311"/>
        <v>47</v>
      </c>
      <c r="AS565" s="70">
        <f t="shared" si="317"/>
        <v>562</v>
      </c>
      <c r="AT565" s="71">
        <f t="shared" si="321"/>
        <v>2.1347625776650454E-2</v>
      </c>
      <c r="AU565" s="72">
        <f t="shared" si="302"/>
        <v>6.8214933659622723E-3</v>
      </c>
      <c r="AV565" s="73">
        <f t="shared" si="312"/>
        <v>1.0068214933659623</v>
      </c>
      <c r="AW565" s="74">
        <f>PRODUCT(AV$4:AV565)</f>
        <v>45.634441347796127</v>
      </c>
    </row>
    <row r="566" spans="5:49">
      <c r="E566">
        <f t="shared" si="319"/>
        <v>563</v>
      </c>
      <c r="F566" s="64">
        <f t="shared" si="303"/>
        <v>99.96</v>
      </c>
      <c r="G566" s="55">
        <f t="shared" si="293"/>
        <v>0</v>
      </c>
      <c r="H566" s="78">
        <f t="shared" si="318"/>
        <v>1</v>
      </c>
      <c r="I566" s="79">
        <f t="shared" si="304"/>
        <v>7843.8636101713255</v>
      </c>
      <c r="J566" s="79">
        <f t="shared" si="294"/>
        <v>53.506863580296574</v>
      </c>
      <c r="K566" s="80">
        <f t="shared" si="295"/>
        <v>-15</v>
      </c>
      <c r="L566" s="80">
        <f t="shared" si="305"/>
        <v>-6.5365530084761048</v>
      </c>
      <c r="M566" s="80">
        <f t="shared" si="320"/>
        <v>0</v>
      </c>
      <c r="N566" s="80">
        <f t="shared" si="306"/>
        <v>-7.4516704296627614</v>
      </c>
      <c r="O566" s="81">
        <f t="shared" si="296"/>
        <v>-2500.6101455486769</v>
      </c>
      <c r="P566" s="79">
        <f t="shared" si="297"/>
        <v>5367.7721047648056</v>
      </c>
      <c r="R566">
        <f t="shared" ca="1" si="307"/>
        <v>688</v>
      </c>
      <c r="S566" s="78">
        <f t="shared" ca="1" si="308"/>
        <v>109.96</v>
      </c>
      <c r="T566" s="55">
        <f t="shared" ca="1" si="298"/>
        <v>0</v>
      </c>
      <c r="U566" s="78">
        <f t="shared" ca="1" si="313"/>
        <v>2.7389054743691302E-5</v>
      </c>
      <c r="V566" s="79">
        <f t="shared" ca="1" si="309"/>
        <v>0</v>
      </c>
      <c r="W566" s="79">
        <f t="shared" ca="1" si="299"/>
        <v>0</v>
      </c>
      <c r="X566" s="80">
        <f t="shared" ca="1" si="314"/>
        <v>0</v>
      </c>
      <c r="Y566" s="80">
        <f t="shared" ca="1" si="315"/>
        <v>0</v>
      </c>
      <c r="Z566" s="80">
        <f t="shared" ca="1" si="310"/>
        <v>0</v>
      </c>
      <c r="AA566" s="80">
        <f t="shared" ca="1" si="316"/>
        <v>0</v>
      </c>
      <c r="AB566" s="81">
        <f t="shared" ca="1" si="300"/>
        <v>0</v>
      </c>
      <c r="AC566" s="79">
        <f t="shared" ca="1" si="301"/>
        <v>0</v>
      </c>
      <c r="AE566" s="35"/>
      <c r="AF566" s="35"/>
      <c r="AR566" s="69">
        <f t="shared" si="311"/>
        <v>47</v>
      </c>
      <c r="AS566" s="70">
        <f t="shared" si="317"/>
        <v>563</v>
      </c>
      <c r="AT566" s="71">
        <f t="shared" si="321"/>
        <v>2.1202003089035987E-2</v>
      </c>
      <c r="AU566" s="72">
        <f t="shared" si="302"/>
        <v>6.8214933659622723E-3</v>
      </c>
      <c r="AV566" s="73">
        <f t="shared" si="312"/>
        <v>1.0068214933659623</v>
      </c>
      <c r="AW566" s="74">
        <f>PRODUCT(AV$4:AV566)</f>
        <v>45.945736386709513</v>
      </c>
    </row>
    <row r="567" spans="5:49">
      <c r="E567">
        <f t="shared" si="319"/>
        <v>564</v>
      </c>
      <c r="F567" s="64">
        <f t="shared" si="303"/>
        <v>100.04</v>
      </c>
      <c r="G567" s="55">
        <f t="shared" si="293"/>
        <v>0</v>
      </c>
      <c r="H567" s="78">
        <f t="shared" si="318"/>
        <v>1</v>
      </c>
      <c r="I567" s="79">
        <f t="shared" si="304"/>
        <v>5367.7721047648056</v>
      </c>
      <c r="J567" s="79">
        <f t="shared" si="294"/>
        <v>36.616221802650465</v>
      </c>
      <c r="K567" s="80">
        <f t="shared" si="295"/>
        <v>-15</v>
      </c>
      <c r="L567" s="80">
        <f t="shared" si="305"/>
        <v>-4.4731434206373386</v>
      </c>
      <c r="M567" s="80">
        <f t="shared" si="320"/>
        <v>0</v>
      </c>
      <c r="N567" s="80">
        <f t="shared" si="306"/>
        <v>-5.0993834995265663</v>
      </c>
      <c r="O567" s="81">
        <f t="shared" si="296"/>
        <v>-2500.6101455486769</v>
      </c>
      <c r="P567" s="79">
        <f t="shared" si="297"/>
        <v>2879.205654098615</v>
      </c>
      <c r="R567">
        <f t="shared" ca="1" si="307"/>
        <v>689</v>
      </c>
      <c r="S567" s="78">
        <f t="shared" ca="1" si="308"/>
        <v>110.04</v>
      </c>
      <c r="T567" s="55">
        <f t="shared" ca="1" si="298"/>
        <v>0</v>
      </c>
      <c r="U567" s="78">
        <f t="shared" ca="1" si="313"/>
        <v>2.7389054743691302E-5</v>
      </c>
      <c r="V567" s="79">
        <f t="shared" ca="1" si="309"/>
        <v>0</v>
      </c>
      <c r="W567" s="79">
        <f t="shared" ca="1" si="299"/>
        <v>0</v>
      </c>
      <c r="X567" s="80">
        <f t="shared" ca="1" si="314"/>
        <v>0</v>
      </c>
      <c r="Y567" s="80">
        <f t="shared" ca="1" si="315"/>
        <v>0</v>
      </c>
      <c r="Z567" s="80">
        <f t="shared" ca="1" si="310"/>
        <v>0</v>
      </c>
      <c r="AA567" s="80">
        <f t="shared" ca="1" si="316"/>
        <v>0</v>
      </c>
      <c r="AB567" s="81">
        <f t="shared" ca="1" si="300"/>
        <v>0</v>
      </c>
      <c r="AC567" s="79">
        <f t="shared" ca="1" si="301"/>
        <v>0</v>
      </c>
      <c r="AE567" s="35"/>
      <c r="AF567" s="35"/>
      <c r="AR567" s="69">
        <f t="shared" si="311"/>
        <v>47</v>
      </c>
      <c r="AS567" s="70">
        <f t="shared" si="317"/>
        <v>564</v>
      </c>
      <c r="AT567" s="71">
        <f t="shared" si="321"/>
        <v>2.1057373765619017E-2</v>
      </c>
      <c r="AU567" s="72">
        <f t="shared" si="302"/>
        <v>6.8214933659622723E-3</v>
      </c>
      <c r="AV567" s="73">
        <f t="shared" si="312"/>
        <v>1.0068214933659623</v>
      </c>
      <c r="AW567" s="74">
        <f>PRODUCT(AV$4:AV567)</f>
        <v>46.259154922665701</v>
      </c>
    </row>
    <row r="568" spans="5:49">
      <c r="E568">
        <f t="shared" si="319"/>
        <v>565</v>
      </c>
      <c r="F568" s="64">
        <f t="shared" si="303"/>
        <v>100.12</v>
      </c>
      <c r="G568" s="55">
        <f t="shared" si="293"/>
        <v>0</v>
      </c>
      <c r="H568" s="78">
        <f t="shared" si="318"/>
        <v>1</v>
      </c>
      <c r="I568" s="79">
        <f t="shared" si="304"/>
        <v>2879.205654098615</v>
      </c>
      <c r="J568" s="79">
        <f t="shared" si="294"/>
        <v>19.640482268674766</v>
      </c>
      <c r="K568" s="80">
        <f t="shared" si="295"/>
        <v>-15</v>
      </c>
      <c r="L568" s="80">
        <f t="shared" si="305"/>
        <v>-2.3993380450821795</v>
      </c>
      <c r="M568" s="80">
        <f t="shared" si="320"/>
        <v>-21.594042405739611</v>
      </c>
      <c r="N568" s="80">
        <f t="shared" si="306"/>
        <v>-2.7352453713936846</v>
      </c>
      <c r="O568" s="81">
        <f t="shared" si="296"/>
        <v>-2500.6101455486769</v>
      </c>
      <c r="P568" s="79">
        <f t="shared" si="297"/>
        <v>356.50736499639788</v>
      </c>
      <c r="R568">
        <f t="shared" ca="1" si="307"/>
        <v>690</v>
      </c>
      <c r="S568" s="78">
        <f t="shared" ca="1" si="308"/>
        <v>110.12</v>
      </c>
      <c r="T568" s="55">
        <f t="shared" ca="1" si="298"/>
        <v>0</v>
      </c>
      <c r="U568" s="78">
        <f t="shared" ca="1" si="313"/>
        <v>2.7389054743691302E-5</v>
      </c>
      <c r="V568" s="79">
        <f t="shared" ca="1" si="309"/>
        <v>0</v>
      </c>
      <c r="W568" s="79">
        <f t="shared" ca="1" si="299"/>
        <v>0</v>
      </c>
      <c r="X568" s="80">
        <f t="shared" ca="1" si="314"/>
        <v>0</v>
      </c>
      <c r="Y568" s="80">
        <f t="shared" ca="1" si="315"/>
        <v>0</v>
      </c>
      <c r="Z568" s="80">
        <f t="shared" ca="1" si="310"/>
        <v>0</v>
      </c>
      <c r="AA568" s="80">
        <f t="shared" ca="1" si="316"/>
        <v>0</v>
      </c>
      <c r="AB568" s="81">
        <f t="shared" ca="1" si="300"/>
        <v>0</v>
      </c>
      <c r="AC568" s="79">
        <f t="shared" ca="1" si="301"/>
        <v>0</v>
      </c>
      <c r="AE568" s="35"/>
      <c r="AF568" s="35"/>
      <c r="AR568" s="69">
        <f t="shared" si="311"/>
        <v>48</v>
      </c>
      <c r="AS568" s="70">
        <f t="shared" si="317"/>
        <v>565</v>
      </c>
      <c r="AT568" s="71">
        <f t="shared" si="321"/>
        <v>2.0913731030172258E-2</v>
      </c>
      <c r="AU568" s="72">
        <f t="shared" si="302"/>
        <v>6.8214933659622723E-3</v>
      </c>
      <c r="AV568" s="73">
        <f t="shared" si="312"/>
        <v>1.0068214933659623</v>
      </c>
      <c r="AW568" s="74">
        <f>PRODUCT(AV$4:AV568)</f>
        <v>46.574711441085682</v>
      </c>
    </row>
    <row r="569" spans="5:49">
      <c r="E569">
        <f t="shared" si="319"/>
        <v>566</v>
      </c>
      <c r="F569" s="64">
        <f t="shared" si="303"/>
        <v>100.2</v>
      </c>
      <c r="G569" s="55">
        <f t="shared" si="293"/>
        <v>0</v>
      </c>
      <c r="H569" s="78">
        <f t="shared" si="318"/>
        <v>1</v>
      </c>
      <c r="I569" s="79">
        <f t="shared" si="304"/>
        <v>356.50736499639788</v>
      </c>
      <c r="J569" s="79">
        <f t="shared" si="294"/>
        <v>2.4319126252396184</v>
      </c>
      <c r="K569" s="80">
        <f t="shared" si="295"/>
        <v>-15</v>
      </c>
      <c r="L569" s="80">
        <f t="shared" si="305"/>
        <v>-0.2970894708303316</v>
      </c>
      <c r="M569" s="80">
        <f t="shared" si="320"/>
        <v>0</v>
      </c>
      <c r="N569" s="80">
        <f t="shared" si="306"/>
        <v>-0.33868199674657801</v>
      </c>
      <c r="O569" s="81">
        <f t="shared" si="296"/>
        <v>-356.50736499639788</v>
      </c>
      <c r="P569" s="79">
        <f t="shared" si="297"/>
        <v>-13.203858842337297</v>
      </c>
      <c r="R569">
        <f t="shared" ca="1" si="307"/>
        <v>691</v>
      </c>
      <c r="S569" s="78">
        <f t="shared" ca="1" si="308"/>
        <v>110.2</v>
      </c>
      <c r="T569" s="55">
        <f t="shared" ca="1" si="298"/>
        <v>0</v>
      </c>
      <c r="U569" s="78">
        <f t="shared" ca="1" si="313"/>
        <v>2.7389054743691302E-5</v>
      </c>
      <c r="V569" s="79">
        <f t="shared" ca="1" si="309"/>
        <v>0</v>
      </c>
      <c r="W569" s="79">
        <f t="shared" ca="1" si="299"/>
        <v>0</v>
      </c>
      <c r="X569" s="80">
        <f t="shared" ca="1" si="314"/>
        <v>0</v>
      </c>
      <c r="Y569" s="80">
        <f t="shared" ca="1" si="315"/>
        <v>0</v>
      </c>
      <c r="Z569" s="80">
        <f t="shared" ca="1" si="310"/>
        <v>0</v>
      </c>
      <c r="AA569" s="80">
        <f t="shared" ca="1" si="316"/>
        <v>0</v>
      </c>
      <c r="AB569" s="81">
        <f t="shared" ca="1" si="300"/>
        <v>0</v>
      </c>
      <c r="AC569" s="79">
        <f t="shared" ca="1" si="301"/>
        <v>0</v>
      </c>
      <c r="AE569" s="35"/>
      <c r="AF569" s="35"/>
      <c r="AR569" s="69">
        <f t="shared" si="311"/>
        <v>48</v>
      </c>
      <c r="AS569" s="70">
        <f t="shared" si="317"/>
        <v>566</v>
      </c>
      <c r="AT569" s="71">
        <f t="shared" si="321"/>
        <v>2.0771068152692418E-2</v>
      </c>
      <c r="AU569" s="72">
        <f t="shared" si="302"/>
        <v>6.8214933659622723E-3</v>
      </c>
      <c r="AV569" s="73">
        <f t="shared" si="312"/>
        <v>1.0068214933659623</v>
      </c>
      <c r="AW569" s="74">
        <f>PRODUCT(AV$4:AV569)</f>
        <v>46.892420526202656</v>
      </c>
    </row>
    <row r="570" spans="5:49">
      <c r="E570">
        <f t="shared" si="319"/>
        <v>567</v>
      </c>
      <c r="F570" s="64">
        <f t="shared" si="303"/>
        <v>100.28</v>
      </c>
      <c r="G570" s="55">
        <f t="shared" si="293"/>
        <v>0</v>
      </c>
      <c r="H570" s="78">
        <f t="shared" si="318"/>
        <v>1</v>
      </c>
      <c r="I570" s="79">
        <f t="shared" si="304"/>
        <v>0</v>
      </c>
      <c r="J570" s="79">
        <f t="shared" si="294"/>
        <v>0</v>
      </c>
      <c r="K570" s="80">
        <f t="shared" si="295"/>
        <v>0</v>
      </c>
      <c r="L570" s="80">
        <f t="shared" si="305"/>
        <v>0</v>
      </c>
      <c r="M570" s="80">
        <f t="shared" si="320"/>
        <v>0</v>
      </c>
      <c r="N570" s="80">
        <f t="shared" si="306"/>
        <v>0</v>
      </c>
      <c r="O570" s="81">
        <f t="shared" si="296"/>
        <v>0</v>
      </c>
      <c r="P570" s="79">
        <f t="shared" si="297"/>
        <v>0</v>
      </c>
      <c r="R570">
        <f t="shared" ca="1" si="307"/>
        <v>692</v>
      </c>
      <c r="S570" s="78">
        <f t="shared" ca="1" si="308"/>
        <v>110.28</v>
      </c>
      <c r="T570" s="55">
        <f t="shared" ca="1" si="298"/>
        <v>0</v>
      </c>
      <c r="U570" s="78">
        <f t="shared" ca="1" si="313"/>
        <v>2.7389054743691302E-5</v>
      </c>
      <c r="V570" s="79">
        <f t="shared" ca="1" si="309"/>
        <v>0</v>
      </c>
      <c r="W570" s="79">
        <f t="shared" ca="1" si="299"/>
        <v>0</v>
      </c>
      <c r="X570" s="80">
        <f t="shared" ca="1" si="314"/>
        <v>0</v>
      </c>
      <c r="Y570" s="80">
        <f t="shared" ca="1" si="315"/>
        <v>0</v>
      </c>
      <c r="Z570" s="80">
        <f t="shared" ca="1" si="310"/>
        <v>0</v>
      </c>
      <c r="AA570" s="80">
        <f t="shared" ca="1" si="316"/>
        <v>0</v>
      </c>
      <c r="AB570" s="81">
        <f t="shared" ca="1" si="300"/>
        <v>0</v>
      </c>
      <c r="AC570" s="79">
        <f t="shared" ca="1" si="301"/>
        <v>0</v>
      </c>
      <c r="AE570" s="35"/>
      <c r="AF570" s="35"/>
      <c r="AR570" s="69">
        <f t="shared" si="311"/>
        <v>48</v>
      </c>
      <c r="AS570" s="70">
        <f t="shared" si="317"/>
        <v>567</v>
      </c>
      <c r="AT570" s="71">
        <f t="shared" si="321"/>
        <v>2.0629378449084877E-2</v>
      </c>
      <c r="AU570" s="72">
        <f t="shared" si="302"/>
        <v>6.8214933659622723E-3</v>
      </c>
      <c r="AV570" s="73">
        <f t="shared" si="312"/>
        <v>1.0068214933659623</v>
      </c>
      <c r="AW570" s="74">
        <f>PRODUCT(AV$4:AV570)</f>
        <v>47.212296861736064</v>
      </c>
    </row>
    <row r="571" spans="5:49">
      <c r="E571">
        <f t="shared" si="319"/>
        <v>568</v>
      </c>
      <c r="F571" s="64">
        <f t="shared" si="303"/>
        <v>100.36</v>
      </c>
      <c r="G571" s="55">
        <f t="shared" si="293"/>
        <v>0</v>
      </c>
      <c r="H571" s="78">
        <f t="shared" si="318"/>
        <v>1</v>
      </c>
      <c r="I571" s="79">
        <f t="shared" si="304"/>
        <v>0</v>
      </c>
      <c r="J571" s="79">
        <f t="shared" si="294"/>
        <v>0</v>
      </c>
      <c r="K571" s="80">
        <f t="shared" si="295"/>
        <v>0</v>
      </c>
      <c r="L571" s="80">
        <f t="shared" si="305"/>
        <v>0</v>
      </c>
      <c r="M571" s="80">
        <f t="shared" si="320"/>
        <v>0</v>
      </c>
      <c r="N571" s="80">
        <f t="shared" si="306"/>
        <v>0</v>
      </c>
      <c r="O571" s="81">
        <f t="shared" si="296"/>
        <v>0</v>
      </c>
      <c r="P571" s="79">
        <f t="shared" si="297"/>
        <v>0</v>
      </c>
      <c r="R571">
        <f t="shared" ca="1" si="307"/>
        <v>693</v>
      </c>
      <c r="S571" s="78">
        <f t="shared" ca="1" si="308"/>
        <v>110.36</v>
      </c>
      <c r="T571" s="55">
        <f t="shared" ca="1" si="298"/>
        <v>0</v>
      </c>
      <c r="U571" s="78">
        <f t="shared" ca="1" si="313"/>
        <v>2.7389054743691302E-5</v>
      </c>
      <c r="V571" s="79">
        <f t="shared" ca="1" si="309"/>
        <v>0</v>
      </c>
      <c r="W571" s="79">
        <f t="shared" ca="1" si="299"/>
        <v>0</v>
      </c>
      <c r="X571" s="80">
        <f t="shared" ca="1" si="314"/>
        <v>0</v>
      </c>
      <c r="Y571" s="80">
        <f t="shared" ca="1" si="315"/>
        <v>0</v>
      </c>
      <c r="Z571" s="80">
        <f t="shared" ca="1" si="310"/>
        <v>0</v>
      </c>
      <c r="AA571" s="80">
        <f t="shared" ca="1" si="316"/>
        <v>0</v>
      </c>
      <c r="AB571" s="81">
        <f t="shared" ca="1" si="300"/>
        <v>0</v>
      </c>
      <c r="AC571" s="79">
        <f t="shared" ca="1" si="301"/>
        <v>0</v>
      </c>
      <c r="AE571" s="35"/>
      <c r="AF571" s="35"/>
      <c r="AR571" s="69">
        <f t="shared" si="311"/>
        <v>48</v>
      </c>
      <c r="AS571" s="70">
        <f t="shared" si="317"/>
        <v>568</v>
      </c>
      <c r="AT571" s="71">
        <f t="shared" si="321"/>
        <v>2.0488655280850521E-2</v>
      </c>
      <c r="AU571" s="72">
        <f t="shared" si="302"/>
        <v>6.8214933659622723E-3</v>
      </c>
      <c r="AV571" s="73">
        <f t="shared" si="312"/>
        <v>1.0068214933659623</v>
      </c>
      <c r="AW571" s="74">
        <f>PRODUCT(AV$4:AV571)</f>
        <v>47.534355231570238</v>
      </c>
    </row>
    <row r="572" spans="5:49">
      <c r="E572">
        <f t="shared" si="319"/>
        <v>569</v>
      </c>
      <c r="F572" s="64">
        <f t="shared" si="303"/>
        <v>100.44</v>
      </c>
      <c r="G572" s="55">
        <f t="shared" si="293"/>
        <v>0</v>
      </c>
      <c r="H572" s="78">
        <f t="shared" si="318"/>
        <v>1</v>
      </c>
      <c r="I572" s="79">
        <f t="shared" si="304"/>
        <v>0</v>
      </c>
      <c r="J572" s="79">
        <f t="shared" si="294"/>
        <v>0</v>
      </c>
      <c r="K572" s="80">
        <f t="shared" si="295"/>
        <v>0</v>
      </c>
      <c r="L572" s="80">
        <f t="shared" si="305"/>
        <v>0</v>
      </c>
      <c r="M572" s="80">
        <f t="shared" si="320"/>
        <v>0</v>
      </c>
      <c r="N572" s="80">
        <f t="shared" si="306"/>
        <v>0</v>
      </c>
      <c r="O572" s="81">
        <f t="shared" si="296"/>
        <v>0</v>
      </c>
      <c r="P572" s="79">
        <f t="shared" si="297"/>
        <v>0</v>
      </c>
      <c r="R572">
        <f t="shared" ca="1" si="307"/>
        <v>694</v>
      </c>
      <c r="S572" s="78">
        <f t="shared" ca="1" si="308"/>
        <v>110.44</v>
      </c>
      <c r="T572" s="55">
        <f t="shared" ca="1" si="298"/>
        <v>0</v>
      </c>
      <c r="U572" s="78">
        <f t="shared" ca="1" si="313"/>
        <v>2.7389054743691302E-5</v>
      </c>
      <c r="V572" s="79">
        <f t="shared" ca="1" si="309"/>
        <v>0</v>
      </c>
      <c r="W572" s="79">
        <f t="shared" ca="1" si="299"/>
        <v>0</v>
      </c>
      <c r="X572" s="80">
        <f t="shared" ca="1" si="314"/>
        <v>0</v>
      </c>
      <c r="Y572" s="80">
        <f t="shared" ca="1" si="315"/>
        <v>0</v>
      </c>
      <c r="Z572" s="80">
        <f t="shared" ca="1" si="310"/>
        <v>0</v>
      </c>
      <c r="AA572" s="80">
        <f t="shared" ca="1" si="316"/>
        <v>0</v>
      </c>
      <c r="AB572" s="81">
        <f t="shared" ca="1" si="300"/>
        <v>0</v>
      </c>
      <c r="AC572" s="79">
        <f t="shared" ca="1" si="301"/>
        <v>0</v>
      </c>
      <c r="AE572" s="35"/>
      <c r="AF572" s="35"/>
      <c r="AR572" s="69">
        <f t="shared" si="311"/>
        <v>48</v>
      </c>
      <c r="AS572" s="70">
        <f t="shared" si="317"/>
        <v>569</v>
      </c>
      <c r="AT572" s="71">
        <f t="shared" si="321"/>
        <v>2.0348892054774713E-2</v>
      </c>
      <c r="AU572" s="72">
        <f t="shared" si="302"/>
        <v>6.8214933659622723E-3</v>
      </c>
      <c r="AV572" s="73">
        <f t="shared" si="312"/>
        <v>1.0068214933659623</v>
      </c>
      <c r="AW572" s="74">
        <f>PRODUCT(AV$4:AV572)</f>
        <v>47.858610520437686</v>
      </c>
    </row>
    <row r="573" spans="5:49">
      <c r="E573">
        <f t="shared" si="319"/>
        <v>570</v>
      </c>
      <c r="F573" s="64">
        <f t="shared" si="303"/>
        <v>100.52</v>
      </c>
      <c r="G573" s="55">
        <f t="shared" si="293"/>
        <v>0</v>
      </c>
      <c r="H573" s="78">
        <f t="shared" si="318"/>
        <v>1</v>
      </c>
      <c r="I573" s="79">
        <f t="shared" si="304"/>
        <v>0</v>
      </c>
      <c r="J573" s="79">
        <f t="shared" si="294"/>
        <v>0</v>
      </c>
      <c r="K573" s="80">
        <f t="shared" si="295"/>
        <v>0</v>
      </c>
      <c r="L573" s="80">
        <f t="shared" si="305"/>
        <v>0</v>
      </c>
      <c r="M573" s="80">
        <f t="shared" si="320"/>
        <v>0</v>
      </c>
      <c r="N573" s="80">
        <f t="shared" si="306"/>
        <v>0</v>
      </c>
      <c r="O573" s="81">
        <f t="shared" si="296"/>
        <v>0</v>
      </c>
      <c r="P573" s="79">
        <f t="shared" si="297"/>
        <v>0</v>
      </c>
      <c r="R573">
        <f t="shared" ca="1" si="307"/>
        <v>695</v>
      </c>
      <c r="S573" s="78">
        <f t="shared" ca="1" si="308"/>
        <v>110.52</v>
      </c>
      <c r="T573" s="55">
        <f t="shared" ca="1" si="298"/>
        <v>0</v>
      </c>
      <c r="U573" s="78">
        <f t="shared" ca="1" si="313"/>
        <v>2.7389054743691302E-5</v>
      </c>
      <c r="V573" s="79">
        <f t="shared" ca="1" si="309"/>
        <v>0</v>
      </c>
      <c r="W573" s="79">
        <f t="shared" ca="1" si="299"/>
        <v>0</v>
      </c>
      <c r="X573" s="80">
        <f t="shared" ca="1" si="314"/>
        <v>0</v>
      </c>
      <c r="Y573" s="80">
        <f t="shared" ca="1" si="315"/>
        <v>0</v>
      </c>
      <c r="Z573" s="80">
        <f t="shared" ca="1" si="310"/>
        <v>0</v>
      </c>
      <c r="AA573" s="80">
        <f t="shared" ca="1" si="316"/>
        <v>0</v>
      </c>
      <c r="AB573" s="81">
        <f t="shared" ca="1" si="300"/>
        <v>0</v>
      </c>
      <c r="AC573" s="79">
        <f t="shared" ca="1" si="301"/>
        <v>0</v>
      </c>
      <c r="AE573" s="35"/>
      <c r="AF573" s="35"/>
      <c r="AR573" s="69">
        <f t="shared" si="311"/>
        <v>48</v>
      </c>
      <c r="AS573" s="70">
        <f t="shared" si="317"/>
        <v>570</v>
      </c>
      <c r="AT573" s="71">
        <f t="shared" si="321"/>
        <v>2.0210082222618386E-2</v>
      </c>
      <c r="AU573" s="72">
        <f t="shared" si="302"/>
        <v>6.8214933659622723E-3</v>
      </c>
      <c r="AV573" s="73">
        <f t="shared" si="312"/>
        <v>1.0068214933659623</v>
      </c>
      <c r="AW573" s="74">
        <f>PRODUCT(AV$4:AV573)</f>
        <v>48.185077714607026</v>
      </c>
    </row>
    <row r="574" spans="5:49">
      <c r="E574">
        <f t="shared" si="319"/>
        <v>571</v>
      </c>
      <c r="F574" s="64">
        <f t="shared" si="303"/>
        <v>100.6</v>
      </c>
      <c r="G574" s="55">
        <f t="shared" si="293"/>
        <v>0</v>
      </c>
      <c r="H574" s="78">
        <f t="shared" si="318"/>
        <v>1</v>
      </c>
      <c r="I574" s="79">
        <f t="shared" si="304"/>
        <v>0</v>
      </c>
      <c r="J574" s="79">
        <f t="shared" si="294"/>
        <v>0</v>
      </c>
      <c r="K574" s="80">
        <f t="shared" si="295"/>
        <v>0</v>
      </c>
      <c r="L574" s="80">
        <f t="shared" si="305"/>
        <v>0</v>
      </c>
      <c r="M574" s="80">
        <f t="shared" si="320"/>
        <v>0</v>
      </c>
      <c r="N574" s="80">
        <f t="shared" si="306"/>
        <v>0</v>
      </c>
      <c r="O574" s="81">
        <f t="shared" si="296"/>
        <v>0</v>
      </c>
      <c r="P574" s="79">
        <f t="shared" si="297"/>
        <v>0</v>
      </c>
      <c r="R574">
        <f t="shared" ca="1" si="307"/>
        <v>696</v>
      </c>
      <c r="S574" s="78">
        <f t="shared" ca="1" si="308"/>
        <v>110.6</v>
      </c>
      <c r="T574" s="55">
        <f t="shared" ca="1" si="298"/>
        <v>0</v>
      </c>
      <c r="U574" s="78">
        <f t="shared" ca="1" si="313"/>
        <v>2.7389054743691302E-5</v>
      </c>
      <c r="V574" s="79">
        <f t="shared" ca="1" si="309"/>
        <v>0</v>
      </c>
      <c r="W574" s="79">
        <f t="shared" ca="1" si="299"/>
        <v>0</v>
      </c>
      <c r="X574" s="80">
        <f t="shared" ca="1" si="314"/>
        <v>0</v>
      </c>
      <c r="Y574" s="80">
        <f t="shared" ca="1" si="315"/>
        <v>0</v>
      </c>
      <c r="Z574" s="80">
        <f t="shared" ca="1" si="310"/>
        <v>0</v>
      </c>
      <c r="AA574" s="80">
        <f t="shared" ca="1" si="316"/>
        <v>0</v>
      </c>
      <c r="AB574" s="81">
        <f t="shared" ca="1" si="300"/>
        <v>0</v>
      </c>
      <c r="AC574" s="79">
        <f t="shared" ca="1" si="301"/>
        <v>0</v>
      </c>
      <c r="AE574" s="35"/>
      <c r="AF574" s="35"/>
      <c r="AR574" s="69">
        <f t="shared" si="311"/>
        <v>48</v>
      </c>
      <c r="AS574" s="70">
        <f t="shared" si="317"/>
        <v>571</v>
      </c>
      <c r="AT574" s="71">
        <f t="shared" si="321"/>
        <v>2.0072219280811245E-2</v>
      </c>
      <c r="AU574" s="72">
        <f t="shared" si="302"/>
        <v>6.8214933659622723E-3</v>
      </c>
      <c r="AV574" s="73">
        <f t="shared" si="312"/>
        <v>1.0068214933659623</v>
      </c>
      <c r="AW574" s="74">
        <f>PRODUCT(AV$4:AV574)</f>
        <v>48.513771902575591</v>
      </c>
    </row>
    <row r="575" spans="5:49">
      <c r="E575">
        <f t="shared" si="319"/>
        <v>572</v>
      </c>
      <c r="F575" s="64">
        <f t="shared" si="303"/>
        <v>100.68</v>
      </c>
      <c r="G575" s="55">
        <f t="shared" si="293"/>
        <v>0</v>
      </c>
      <c r="H575" s="78">
        <f t="shared" si="318"/>
        <v>1</v>
      </c>
      <c r="I575" s="79">
        <f t="shared" si="304"/>
        <v>0</v>
      </c>
      <c r="J575" s="79">
        <f t="shared" si="294"/>
        <v>0</v>
      </c>
      <c r="K575" s="80">
        <f t="shared" si="295"/>
        <v>0</v>
      </c>
      <c r="L575" s="80">
        <f t="shared" si="305"/>
        <v>0</v>
      </c>
      <c r="M575" s="80">
        <f t="shared" si="320"/>
        <v>0</v>
      </c>
      <c r="N575" s="80">
        <f t="shared" si="306"/>
        <v>0</v>
      </c>
      <c r="O575" s="81">
        <f t="shared" si="296"/>
        <v>0</v>
      </c>
      <c r="P575" s="79">
        <f t="shared" si="297"/>
        <v>0</v>
      </c>
      <c r="R575">
        <f t="shared" ca="1" si="307"/>
        <v>697</v>
      </c>
      <c r="S575" s="78">
        <f t="shared" ca="1" si="308"/>
        <v>110.68</v>
      </c>
      <c r="T575" s="55">
        <f t="shared" ca="1" si="298"/>
        <v>0</v>
      </c>
      <c r="U575" s="78">
        <f t="shared" ca="1" si="313"/>
        <v>2.7389054743691302E-5</v>
      </c>
      <c r="V575" s="79">
        <f t="shared" ca="1" si="309"/>
        <v>0</v>
      </c>
      <c r="W575" s="79">
        <f t="shared" ca="1" si="299"/>
        <v>0</v>
      </c>
      <c r="X575" s="80">
        <f t="shared" ca="1" si="314"/>
        <v>0</v>
      </c>
      <c r="Y575" s="80">
        <f t="shared" ca="1" si="315"/>
        <v>0</v>
      </c>
      <c r="Z575" s="80">
        <f t="shared" ca="1" si="310"/>
        <v>0</v>
      </c>
      <c r="AA575" s="80">
        <f t="shared" ca="1" si="316"/>
        <v>0</v>
      </c>
      <c r="AB575" s="81">
        <f t="shared" ca="1" si="300"/>
        <v>0</v>
      </c>
      <c r="AC575" s="79">
        <f t="shared" ca="1" si="301"/>
        <v>0</v>
      </c>
      <c r="AE575" s="35"/>
      <c r="AF575" s="35"/>
      <c r="AR575" s="69">
        <f t="shared" si="311"/>
        <v>48</v>
      </c>
      <c r="AS575" s="70">
        <f t="shared" si="317"/>
        <v>572</v>
      </c>
      <c r="AT575" s="71">
        <f t="shared" si="321"/>
        <v>1.9935296770147052E-2</v>
      </c>
      <c r="AU575" s="72">
        <f t="shared" si="302"/>
        <v>6.8214933659622723E-3</v>
      </c>
      <c r="AV575" s="73">
        <f t="shared" si="312"/>
        <v>1.0068214933659623</v>
      </c>
      <c r="AW575" s="74">
        <f>PRODUCT(AV$4:AV575)</f>
        <v>48.84470827576682</v>
      </c>
    </row>
    <row r="576" spans="5:49">
      <c r="E576">
        <f t="shared" si="319"/>
        <v>573</v>
      </c>
      <c r="F576" s="64">
        <f t="shared" si="303"/>
        <v>100.76</v>
      </c>
      <c r="G576" s="55">
        <f t="shared" si="293"/>
        <v>0</v>
      </c>
      <c r="H576" s="78">
        <f t="shared" si="318"/>
        <v>1</v>
      </c>
      <c r="I576" s="79">
        <f t="shared" si="304"/>
        <v>0</v>
      </c>
      <c r="J576" s="79">
        <f t="shared" si="294"/>
        <v>0</v>
      </c>
      <c r="K576" s="80">
        <f t="shared" si="295"/>
        <v>0</v>
      </c>
      <c r="L576" s="80">
        <f t="shared" si="305"/>
        <v>0</v>
      </c>
      <c r="M576" s="80">
        <f t="shared" si="320"/>
        <v>0</v>
      </c>
      <c r="N576" s="80">
        <f t="shared" si="306"/>
        <v>0</v>
      </c>
      <c r="O576" s="81">
        <f t="shared" si="296"/>
        <v>0</v>
      </c>
      <c r="P576" s="79">
        <f t="shared" si="297"/>
        <v>0</v>
      </c>
      <c r="R576">
        <f t="shared" ca="1" si="307"/>
        <v>698</v>
      </c>
      <c r="S576" s="78">
        <f t="shared" ca="1" si="308"/>
        <v>110.76</v>
      </c>
      <c r="T576" s="55">
        <f t="shared" ca="1" si="298"/>
        <v>0</v>
      </c>
      <c r="U576" s="78">
        <f t="shared" ca="1" si="313"/>
        <v>2.7389054743691302E-5</v>
      </c>
      <c r="V576" s="79">
        <f t="shared" ca="1" si="309"/>
        <v>0</v>
      </c>
      <c r="W576" s="79">
        <f t="shared" ca="1" si="299"/>
        <v>0</v>
      </c>
      <c r="X576" s="80">
        <f t="shared" ca="1" si="314"/>
        <v>0</v>
      </c>
      <c r="Y576" s="80">
        <f t="shared" ca="1" si="315"/>
        <v>0</v>
      </c>
      <c r="Z576" s="80">
        <f t="shared" ca="1" si="310"/>
        <v>0</v>
      </c>
      <c r="AA576" s="80">
        <f t="shared" ca="1" si="316"/>
        <v>0</v>
      </c>
      <c r="AB576" s="81">
        <f t="shared" ca="1" si="300"/>
        <v>0</v>
      </c>
      <c r="AC576" s="79">
        <f t="shared" ca="1" si="301"/>
        <v>0</v>
      </c>
      <c r="AE576" s="35"/>
      <c r="AF576" s="35"/>
      <c r="AR576" s="69">
        <f t="shared" si="311"/>
        <v>48</v>
      </c>
      <c r="AS576" s="70">
        <f t="shared" si="317"/>
        <v>573</v>
      </c>
      <c r="AT576" s="71">
        <f t="shared" si="321"/>
        <v>1.9799308275481004E-2</v>
      </c>
      <c r="AU576" s="72">
        <f t="shared" si="302"/>
        <v>6.8214933659622723E-3</v>
      </c>
      <c r="AV576" s="73">
        <f t="shared" si="312"/>
        <v>1.0068214933659623</v>
      </c>
      <c r="AW576" s="74">
        <f>PRODUCT(AV$4:AV576)</f>
        <v>49.177902129232322</v>
      </c>
    </row>
    <row r="577" spans="5:49">
      <c r="E577">
        <f t="shared" si="319"/>
        <v>574</v>
      </c>
      <c r="F577" s="64">
        <f t="shared" si="303"/>
        <v>100.84</v>
      </c>
      <c r="G577" s="55">
        <f t="shared" si="293"/>
        <v>0</v>
      </c>
      <c r="H577" s="78">
        <f t="shared" si="318"/>
        <v>1</v>
      </c>
      <c r="I577" s="79">
        <f t="shared" si="304"/>
        <v>0</v>
      </c>
      <c r="J577" s="79">
        <f t="shared" si="294"/>
        <v>0</v>
      </c>
      <c r="K577" s="80">
        <f t="shared" si="295"/>
        <v>0</v>
      </c>
      <c r="L577" s="80">
        <f t="shared" si="305"/>
        <v>0</v>
      </c>
      <c r="M577" s="80">
        <f t="shared" si="320"/>
        <v>0</v>
      </c>
      <c r="N577" s="80">
        <f t="shared" si="306"/>
        <v>0</v>
      </c>
      <c r="O577" s="81">
        <f t="shared" si="296"/>
        <v>0</v>
      </c>
      <c r="P577" s="79">
        <f t="shared" si="297"/>
        <v>0</v>
      </c>
      <c r="R577">
        <f t="shared" ca="1" si="307"/>
        <v>699</v>
      </c>
      <c r="S577" s="78">
        <f t="shared" ca="1" si="308"/>
        <v>110.84</v>
      </c>
      <c r="T577" s="55">
        <f t="shared" ca="1" si="298"/>
        <v>0</v>
      </c>
      <c r="U577" s="78">
        <f t="shared" ca="1" si="313"/>
        <v>2.7389054743691302E-5</v>
      </c>
      <c r="V577" s="79">
        <f t="shared" ca="1" si="309"/>
        <v>0</v>
      </c>
      <c r="W577" s="79">
        <f t="shared" ca="1" si="299"/>
        <v>0</v>
      </c>
      <c r="X577" s="80">
        <f t="shared" ca="1" si="314"/>
        <v>0</v>
      </c>
      <c r="Y577" s="80">
        <f t="shared" ca="1" si="315"/>
        <v>0</v>
      </c>
      <c r="Z577" s="80">
        <f t="shared" ca="1" si="310"/>
        <v>0</v>
      </c>
      <c r="AA577" s="80">
        <f t="shared" ca="1" si="316"/>
        <v>0</v>
      </c>
      <c r="AB577" s="81">
        <f t="shared" ca="1" si="300"/>
        <v>0</v>
      </c>
      <c r="AC577" s="79">
        <f t="shared" ca="1" si="301"/>
        <v>0</v>
      </c>
      <c r="AE577" s="35"/>
      <c r="AF577" s="35"/>
      <c r="AR577" s="69">
        <f t="shared" si="311"/>
        <v>48</v>
      </c>
      <c r="AS577" s="70">
        <f t="shared" si="317"/>
        <v>574</v>
      </c>
      <c r="AT577" s="71">
        <f t="shared" si="321"/>
        <v>1.9664247425429167E-2</v>
      </c>
      <c r="AU577" s="72">
        <f t="shared" si="302"/>
        <v>6.8214933659622723E-3</v>
      </c>
      <c r="AV577" s="73">
        <f t="shared" si="312"/>
        <v>1.0068214933659623</v>
      </c>
      <c r="AW577" s="74">
        <f>PRODUCT(AV$4:AV577)</f>
        <v>49.513368862358824</v>
      </c>
    </row>
    <row r="578" spans="5:49">
      <c r="E578">
        <f t="shared" si="319"/>
        <v>575</v>
      </c>
      <c r="F578" s="64">
        <f t="shared" si="303"/>
        <v>100.92</v>
      </c>
      <c r="G578" s="55">
        <f t="shared" si="293"/>
        <v>0</v>
      </c>
      <c r="H578" s="78">
        <f t="shared" si="318"/>
        <v>1</v>
      </c>
      <c r="I578" s="79">
        <f t="shared" si="304"/>
        <v>0</v>
      </c>
      <c r="J578" s="79">
        <f t="shared" si="294"/>
        <v>0</v>
      </c>
      <c r="K578" s="80">
        <f t="shared" si="295"/>
        <v>0</v>
      </c>
      <c r="L578" s="80">
        <f t="shared" si="305"/>
        <v>0</v>
      </c>
      <c r="M578" s="80">
        <f t="shared" si="320"/>
        <v>0</v>
      </c>
      <c r="N578" s="80">
        <f t="shared" si="306"/>
        <v>0</v>
      </c>
      <c r="O578" s="81">
        <f t="shared" si="296"/>
        <v>0</v>
      </c>
      <c r="P578" s="79">
        <f t="shared" si="297"/>
        <v>0</v>
      </c>
      <c r="R578">
        <f t="shared" ca="1" si="307"/>
        <v>700</v>
      </c>
      <c r="S578" s="78">
        <f t="shared" ca="1" si="308"/>
        <v>110.92</v>
      </c>
      <c r="T578" s="55">
        <f t="shared" ca="1" si="298"/>
        <v>0</v>
      </c>
      <c r="U578" s="78">
        <f t="shared" ca="1" si="313"/>
        <v>2.7389054743691302E-5</v>
      </c>
      <c r="V578" s="79">
        <f t="shared" ca="1" si="309"/>
        <v>0</v>
      </c>
      <c r="W578" s="79">
        <f t="shared" ca="1" si="299"/>
        <v>0</v>
      </c>
      <c r="X578" s="80">
        <f t="shared" ca="1" si="314"/>
        <v>0</v>
      </c>
      <c r="Y578" s="80">
        <f t="shared" ca="1" si="315"/>
        <v>0</v>
      </c>
      <c r="Z578" s="80">
        <f t="shared" ca="1" si="310"/>
        <v>0</v>
      </c>
      <c r="AA578" s="80">
        <f t="shared" ca="1" si="316"/>
        <v>0</v>
      </c>
      <c r="AB578" s="81">
        <f t="shared" ca="1" si="300"/>
        <v>0</v>
      </c>
      <c r="AC578" s="79">
        <f t="shared" ca="1" si="301"/>
        <v>0</v>
      </c>
      <c r="AE578" s="35"/>
      <c r="AF578" s="35"/>
      <c r="AR578" s="69">
        <f t="shared" si="311"/>
        <v>48</v>
      </c>
      <c r="AS578" s="70">
        <f t="shared" si="317"/>
        <v>575</v>
      </c>
      <c r="AT578" s="71">
        <f t="shared" si="321"/>
        <v>1.9530107892069961E-2</v>
      </c>
      <c r="AU578" s="72">
        <f t="shared" si="302"/>
        <v>6.8214933659622723E-3</v>
      </c>
      <c r="AV578" s="73">
        <f t="shared" si="312"/>
        <v>1.0068214933659623</v>
      </c>
      <c r="AW578" s="74">
        <f>PRODUCT(AV$4:AV578)</f>
        <v>49.851123979579846</v>
      </c>
    </row>
    <row r="579" spans="5:49">
      <c r="E579">
        <f t="shared" si="319"/>
        <v>576</v>
      </c>
      <c r="F579" s="64">
        <f t="shared" si="303"/>
        <v>101</v>
      </c>
      <c r="G579" s="55">
        <f t="shared" si="293"/>
        <v>0</v>
      </c>
      <c r="H579" s="78">
        <f t="shared" si="318"/>
        <v>1</v>
      </c>
      <c r="I579" s="79">
        <f t="shared" si="304"/>
        <v>0</v>
      </c>
      <c r="J579" s="79">
        <f t="shared" si="294"/>
        <v>0</v>
      </c>
      <c r="K579" s="80">
        <f t="shared" si="295"/>
        <v>0</v>
      </c>
      <c r="L579" s="80">
        <f t="shared" si="305"/>
        <v>0</v>
      </c>
      <c r="M579" s="80">
        <f t="shared" si="320"/>
        <v>0</v>
      </c>
      <c r="N579" s="80">
        <f t="shared" si="306"/>
        <v>0</v>
      </c>
      <c r="O579" s="81">
        <f t="shared" si="296"/>
        <v>0</v>
      </c>
      <c r="P579" s="79">
        <f t="shared" si="297"/>
        <v>0</v>
      </c>
      <c r="R579">
        <f t="shared" ca="1" si="307"/>
        <v>701</v>
      </c>
      <c r="S579" s="78">
        <f t="shared" ca="1" si="308"/>
        <v>111</v>
      </c>
      <c r="T579" s="55">
        <f t="shared" ca="1" si="298"/>
        <v>0</v>
      </c>
      <c r="U579" s="78">
        <f t="shared" ca="1" si="313"/>
        <v>2.7389054743691302E-5</v>
      </c>
      <c r="V579" s="79">
        <f t="shared" ca="1" si="309"/>
        <v>0</v>
      </c>
      <c r="W579" s="79">
        <f t="shared" ca="1" si="299"/>
        <v>0</v>
      </c>
      <c r="X579" s="80">
        <f t="shared" ca="1" si="314"/>
        <v>0</v>
      </c>
      <c r="Y579" s="80">
        <f t="shared" ca="1" si="315"/>
        <v>0</v>
      </c>
      <c r="Z579" s="80">
        <f t="shared" ca="1" si="310"/>
        <v>0</v>
      </c>
      <c r="AA579" s="80">
        <f t="shared" ca="1" si="316"/>
        <v>0</v>
      </c>
      <c r="AB579" s="81">
        <f t="shared" ca="1" si="300"/>
        <v>0</v>
      </c>
      <c r="AC579" s="79">
        <f t="shared" ca="1" si="301"/>
        <v>0</v>
      </c>
      <c r="AE579" s="35"/>
      <c r="AF579" s="35"/>
      <c r="AR579" s="69">
        <f t="shared" si="311"/>
        <v>48</v>
      </c>
      <c r="AS579" s="70">
        <f t="shared" si="317"/>
        <v>576</v>
      </c>
      <c r="AT579" s="71">
        <f t="shared" si="321"/>
        <v>1.9396883390647678E-2</v>
      </c>
      <c r="AU579" s="72">
        <f t="shared" si="302"/>
        <v>6.8214933659622723E-3</v>
      </c>
      <c r="AV579" s="73">
        <f t="shared" si="312"/>
        <v>1.0068214933659623</v>
      </c>
      <c r="AW579" s="74">
        <f>PRODUCT(AV$4:AV579)</f>
        <v>50.191183091092313</v>
      </c>
    </row>
    <row r="580" spans="5:49">
      <c r="E580">
        <f t="shared" si="319"/>
        <v>577</v>
      </c>
      <c r="F580" s="64">
        <f t="shared" si="303"/>
        <v>101.08</v>
      </c>
      <c r="G580" s="55">
        <f t="shared" ref="G580:G643" si="322">(1-(1-IF(F580&gt;$AJ$90,0,VLOOKUP(ROUND(F580,0),$AJ$4:$AK$90,2,FALSE)))^(1/12))*0</f>
        <v>0</v>
      </c>
      <c r="H580" s="78">
        <f t="shared" si="318"/>
        <v>1</v>
      </c>
      <c r="I580" s="79">
        <f t="shared" si="304"/>
        <v>0</v>
      </c>
      <c r="J580" s="79">
        <f t="shared" ref="J580:J643" si="323">(I580)*$AU580</f>
        <v>0</v>
      </c>
      <c r="K580" s="80">
        <f t="shared" ref="K580:K643" si="324">IF(I580=0,0,-$C$19)*H580</f>
        <v>0</v>
      </c>
      <c r="L580" s="80">
        <f t="shared" si="305"/>
        <v>0</v>
      </c>
      <c r="M580" s="80">
        <f t="shared" si="320"/>
        <v>0</v>
      </c>
      <c r="N580" s="80">
        <f t="shared" si="306"/>
        <v>0</v>
      </c>
      <c r="O580" s="81">
        <f t="shared" ref="O580:O643" si="325">-MIN(
IF(MOD(E580-1,IF($C$7="Annual",12,1))=0,1,0)
*IF(F580&lt;=$C$6,H580*$C$5*$C$4/IF($C$7="Monthly",12,1),$C$12),I580)</f>
        <v>0</v>
      </c>
      <c r="P580" s="79">
        <f t="shared" ref="P580:P643" si="326">SUM(I580:O580)</f>
        <v>0</v>
      </c>
      <c r="R580">
        <f t="shared" ca="1" si="307"/>
        <v>702</v>
      </c>
      <c r="S580" s="78">
        <f t="shared" ca="1" si="308"/>
        <v>111.08</v>
      </c>
      <c r="T580" s="55">
        <f t="shared" ref="T580:T643" ca="1" si="327">(1-(1-IF(S580&gt;$AJ$90,0,VLOOKUP(ROUND(S580,0),$AJ$4:$AK$90,2,FALSE)))^(1/12))</f>
        <v>0</v>
      </c>
      <c r="U580" s="78">
        <f t="shared" ca="1" si="313"/>
        <v>2.7389054743691302E-5</v>
      </c>
      <c r="V580" s="79">
        <f t="shared" ca="1" si="309"/>
        <v>0</v>
      </c>
      <c r="W580" s="79">
        <f t="shared" ref="W580:W643" ca="1" si="328">(V580)*$AU580</f>
        <v>0</v>
      </c>
      <c r="X580" s="80">
        <f t="shared" ca="1" si="314"/>
        <v>0</v>
      </c>
      <c r="Y580" s="80">
        <f t="shared" ca="1" si="315"/>
        <v>0</v>
      </c>
      <c r="Z580" s="80">
        <f t="shared" ca="1" si="310"/>
        <v>0</v>
      </c>
      <c r="AA580" s="80">
        <f t="shared" ca="1" si="316"/>
        <v>0</v>
      </c>
      <c r="AB580" s="81">
        <f t="shared" ref="AB580:AB643" ca="1" si="329">-MIN(IF(MOD(R580,IF($C$7="Annual",12,1))=0,1,0)*$C$39*U580/IF($C$7="Monthly",12,1),V580)</f>
        <v>0</v>
      </c>
      <c r="AC580" s="79">
        <f t="shared" ref="AC580:AC643" ca="1" si="330">SUM(V580:AB580)</f>
        <v>0</v>
      </c>
      <c r="AE580" s="35"/>
      <c r="AF580" s="35"/>
      <c r="AR580" s="69">
        <f t="shared" si="311"/>
        <v>49</v>
      </c>
      <c r="AS580" s="70">
        <f t="shared" si="317"/>
        <v>577</v>
      </c>
      <c r="AT580" s="71">
        <f t="shared" si="321"/>
        <v>1.9264567679278029E-2</v>
      </c>
      <c r="AU580" s="72">
        <f t="shared" ref="AU580:AU643" si="331">((1+$AH$21)^(1/12))-1</f>
        <v>6.8214933659622723E-3</v>
      </c>
      <c r="AV580" s="73">
        <f t="shared" si="312"/>
        <v>1.0068214933659623</v>
      </c>
      <c r="AW580" s="74">
        <f>PRODUCT(AV$4:AV580)</f>
        <v>50.533561913577998</v>
      </c>
    </row>
    <row r="581" spans="5:49">
      <c r="E581">
        <f t="shared" si="319"/>
        <v>578</v>
      </c>
      <c r="F581" s="64">
        <f t="shared" ref="F581:F644" si="332">ROUND((E581-E580)/12+F580,2)</f>
        <v>101.16</v>
      </c>
      <c r="G581" s="55">
        <f t="shared" si="322"/>
        <v>0</v>
      </c>
      <c r="H581" s="78">
        <f t="shared" si="318"/>
        <v>1</v>
      </c>
      <c r="I581" s="79">
        <f t="shared" ref="I581:I644" si="333">MAX(P580,0)*(1-G581)</f>
        <v>0</v>
      </c>
      <c r="J581" s="79">
        <f t="shared" si="323"/>
        <v>0</v>
      </c>
      <c r="K581" s="80">
        <f t="shared" si="324"/>
        <v>0</v>
      </c>
      <c r="L581" s="80">
        <f t="shared" ref="L581:L644" si="334">IF(OR(I580+O580=0,K580=0),0,-I581*($C$16/12))</f>
        <v>0</v>
      </c>
      <c r="M581" s="80">
        <f t="shared" si="320"/>
        <v>0</v>
      </c>
      <c r="N581" s="80">
        <f t="shared" ref="N581:N644" si="335">IF(OR(I580+O580=0,K580=0),0,-I581*($C$18*(1+$C$20))/12)</f>
        <v>0</v>
      </c>
      <c r="O581" s="81">
        <f t="shared" si="325"/>
        <v>0</v>
      </c>
      <c r="P581" s="79">
        <f t="shared" si="326"/>
        <v>0</v>
      </c>
      <c r="R581">
        <f t="shared" ref="R581:R644" ca="1" si="336">R580+1</f>
        <v>703</v>
      </c>
      <c r="S581" s="78">
        <f t="shared" ref="S581:S644" ca="1" si="337">ROUND((R581-R580)/12+S580,2)</f>
        <v>111.16</v>
      </c>
      <c r="T581" s="55">
        <f t="shared" ca="1" si="327"/>
        <v>0</v>
      </c>
      <c r="U581" s="78">
        <f t="shared" ca="1" si="313"/>
        <v>2.7389054743691302E-5</v>
      </c>
      <c r="V581" s="79">
        <f t="shared" ref="V581:V644" ca="1" si="338">MAX(AC580,0)*(1-T581)</f>
        <v>0</v>
      </c>
      <c r="W581" s="79">
        <f t="shared" ca="1" si="328"/>
        <v>0</v>
      </c>
      <c r="X581" s="80">
        <f t="shared" ca="1" si="314"/>
        <v>0</v>
      </c>
      <c r="Y581" s="80">
        <f t="shared" ca="1" si="315"/>
        <v>0</v>
      </c>
      <c r="Z581" s="80">
        <f t="shared" ref="Z581:Z644" ca="1" si="339">-IF(MOD(R581-1,12)=0,1,0)*V581*($C$17)</f>
        <v>0</v>
      </c>
      <c r="AA581" s="80">
        <f t="shared" ca="1" si="316"/>
        <v>0</v>
      </c>
      <c r="AB581" s="81">
        <f t="shared" ca="1" si="329"/>
        <v>0</v>
      </c>
      <c r="AC581" s="79">
        <f t="shared" ca="1" si="330"/>
        <v>0</v>
      </c>
      <c r="AE581" s="35"/>
      <c r="AF581" s="35"/>
      <c r="AR581" s="69">
        <f t="shared" ref="AR581:AR644" si="340">ROUNDDOWN((AS581-1)/12,0)+1</f>
        <v>49</v>
      </c>
      <c r="AS581" s="70">
        <f t="shared" si="317"/>
        <v>578</v>
      </c>
      <c r="AT581" s="71">
        <f t="shared" si="321"/>
        <v>1.9133154558655704E-2</v>
      </c>
      <c r="AU581" s="72">
        <f t="shared" si="331"/>
        <v>6.8214933659622723E-3</v>
      </c>
      <c r="AV581" s="73">
        <f t="shared" ref="AV581:AV644" si="341">(1+AU581)</f>
        <v>1.0068214933659623</v>
      </c>
      <c r="AW581" s="74">
        <f>PRODUCT(AV$4:AV581)</f>
        <v>50.878276270929916</v>
      </c>
    </row>
    <row r="582" spans="5:49">
      <c r="E582">
        <f t="shared" si="319"/>
        <v>579</v>
      </c>
      <c r="F582" s="64">
        <f t="shared" si="332"/>
        <v>101.24</v>
      </c>
      <c r="G582" s="55">
        <f t="shared" si="322"/>
        <v>0</v>
      </c>
      <c r="H582" s="78">
        <f t="shared" si="318"/>
        <v>1</v>
      </c>
      <c r="I582" s="79">
        <f t="shared" si="333"/>
        <v>0</v>
      </c>
      <c r="J582" s="79">
        <f t="shared" si="323"/>
        <v>0</v>
      </c>
      <c r="K582" s="80">
        <f t="shared" si="324"/>
        <v>0</v>
      </c>
      <c r="L582" s="80">
        <f t="shared" si="334"/>
        <v>0</v>
      </c>
      <c r="M582" s="80">
        <f t="shared" si="320"/>
        <v>0</v>
      </c>
      <c r="N582" s="80">
        <f t="shared" si="335"/>
        <v>0</v>
      </c>
      <c r="O582" s="81">
        <f t="shared" si="325"/>
        <v>0</v>
      </c>
      <c r="P582" s="79">
        <f t="shared" si="326"/>
        <v>0</v>
      </c>
      <c r="R582">
        <f t="shared" ca="1" si="336"/>
        <v>704</v>
      </c>
      <c r="S582" s="78">
        <f t="shared" ca="1" si="337"/>
        <v>111.24</v>
      </c>
      <c r="T582" s="55">
        <f t="shared" ca="1" si="327"/>
        <v>0</v>
      </c>
      <c r="U582" s="78">
        <f t="shared" ref="U582:U645" ca="1" si="342">U581*(1-T582)</f>
        <v>2.7389054743691302E-5</v>
      </c>
      <c r="V582" s="79">
        <f t="shared" ca="1" si="338"/>
        <v>0</v>
      </c>
      <c r="W582" s="79">
        <f t="shared" ca="1" si="328"/>
        <v>0</v>
      </c>
      <c r="X582" s="80">
        <f t="shared" ref="X582:X645" ca="1" si="343">IF(V582=0,0,-$C$19)*U582</f>
        <v>0</v>
      </c>
      <c r="Y582" s="80">
        <f t="shared" ref="Y582:Y645" ca="1" si="344">IF(OR(V581+AB581=0,X581=0),0,-V582*($C$16/12))</f>
        <v>0</v>
      </c>
      <c r="Z582" s="80">
        <f t="shared" ca="1" si="339"/>
        <v>0</v>
      </c>
      <c r="AA582" s="80">
        <f t="shared" ref="AA582:AA645" ca="1" si="345">IF(OR(V581+AB581=0,X581=0),0,-V582*($C$18*(1+$C$20))/12)</f>
        <v>0</v>
      </c>
      <c r="AB582" s="81">
        <f t="shared" ca="1" si="329"/>
        <v>0</v>
      </c>
      <c r="AC582" s="79">
        <f t="shared" ca="1" si="330"/>
        <v>0</v>
      </c>
      <c r="AE582" s="35"/>
      <c r="AF582" s="35"/>
      <c r="AR582" s="69">
        <f t="shared" si="340"/>
        <v>49</v>
      </c>
      <c r="AS582" s="70">
        <f t="shared" ref="AS582:AS645" si="346">AS581+1</f>
        <v>579</v>
      </c>
      <c r="AT582" s="71">
        <f t="shared" si="321"/>
        <v>1.9002637871763903E-2</v>
      </c>
      <c r="AU582" s="72">
        <f t="shared" si="331"/>
        <v>6.8214933659622723E-3</v>
      </c>
      <c r="AV582" s="73">
        <f t="shared" si="341"/>
        <v>1.0068214933659623</v>
      </c>
      <c r="AW582" s="74">
        <f>PRODUCT(AV$4:AV582)</f>
        <v>51.22534209498366</v>
      </c>
    </row>
    <row r="583" spans="5:49">
      <c r="E583">
        <f t="shared" si="319"/>
        <v>580</v>
      </c>
      <c r="F583" s="64">
        <f t="shared" si="332"/>
        <v>101.32</v>
      </c>
      <c r="G583" s="55">
        <f t="shared" si="322"/>
        <v>0</v>
      </c>
      <c r="H583" s="78">
        <f t="shared" ref="H583:H646" si="347">H582*(1-G583)</f>
        <v>1</v>
      </c>
      <c r="I583" s="79">
        <f t="shared" si="333"/>
        <v>0</v>
      </c>
      <c r="J583" s="79">
        <f t="shared" si="323"/>
        <v>0</v>
      </c>
      <c r="K583" s="80">
        <f t="shared" si="324"/>
        <v>0</v>
      </c>
      <c r="L583" s="80">
        <f t="shared" si="334"/>
        <v>0</v>
      </c>
      <c r="M583" s="80">
        <f t="shared" si="320"/>
        <v>0</v>
      </c>
      <c r="N583" s="80">
        <f t="shared" si="335"/>
        <v>0</v>
      </c>
      <c r="O583" s="81">
        <f t="shared" si="325"/>
        <v>0</v>
      </c>
      <c r="P583" s="79">
        <f t="shared" si="326"/>
        <v>0</v>
      </c>
      <c r="R583">
        <f t="shared" ca="1" si="336"/>
        <v>705</v>
      </c>
      <c r="S583" s="78">
        <f t="shared" ca="1" si="337"/>
        <v>111.32</v>
      </c>
      <c r="T583" s="55">
        <f t="shared" ca="1" si="327"/>
        <v>0</v>
      </c>
      <c r="U583" s="78">
        <f t="shared" ca="1" si="342"/>
        <v>2.7389054743691302E-5</v>
      </c>
      <c r="V583" s="79">
        <f t="shared" ca="1" si="338"/>
        <v>0</v>
      </c>
      <c r="W583" s="79">
        <f t="shared" ca="1" si="328"/>
        <v>0</v>
      </c>
      <c r="X583" s="80">
        <f t="shared" ca="1" si="343"/>
        <v>0</v>
      </c>
      <c r="Y583" s="80">
        <f t="shared" ca="1" si="344"/>
        <v>0</v>
      </c>
      <c r="Z583" s="80">
        <f t="shared" ca="1" si="339"/>
        <v>0</v>
      </c>
      <c r="AA583" s="80">
        <f t="shared" ca="1" si="345"/>
        <v>0</v>
      </c>
      <c r="AB583" s="81">
        <f t="shared" ca="1" si="329"/>
        <v>0</v>
      </c>
      <c r="AC583" s="79">
        <f t="shared" ca="1" si="330"/>
        <v>0</v>
      </c>
      <c r="AE583" s="35"/>
      <c r="AF583" s="35"/>
      <c r="AR583" s="69">
        <f t="shared" si="340"/>
        <v>49</v>
      </c>
      <c r="AS583" s="70">
        <f t="shared" si="346"/>
        <v>580</v>
      </c>
      <c r="AT583" s="71">
        <f t="shared" si="321"/>
        <v>1.8873011503585883E-2</v>
      </c>
      <c r="AU583" s="72">
        <f t="shared" si="331"/>
        <v>6.8214933659622723E-3</v>
      </c>
      <c r="AV583" s="73">
        <f t="shared" si="341"/>
        <v>1.0068214933659623</v>
      </c>
      <c r="AW583" s="74">
        <f>PRODUCT(AV$4:AV583)</f>
        <v>51.574775426253737</v>
      </c>
    </row>
    <row r="584" spans="5:49">
      <c r="E584">
        <f t="shared" si="319"/>
        <v>581</v>
      </c>
      <c r="F584" s="64">
        <f t="shared" si="332"/>
        <v>101.4</v>
      </c>
      <c r="G584" s="55">
        <f t="shared" si="322"/>
        <v>0</v>
      </c>
      <c r="H584" s="78">
        <f t="shared" si="347"/>
        <v>1</v>
      </c>
      <c r="I584" s="79">
        <f t="shared" si="333"/>
        <v>0</v>
      </c>
      <c r="J584" s="79">
        <f t="shared" si="323"/>
        <v>0</v>
      </c>
      <c r="K584" s="80">
        <f t="shared" si="324"/>
        <v>0</v>
      </c>
      <c r="L584" s="80">
        <f t="shared" si="334"/>
        <v>0</v>
      </c>
      <c r="M584" s="80">
        <f t="shared" si="320"/>
        <v>0</v>
      </c>
      <c r="N584" s="80">
        <f t="shared" si="335"/>
        <v>0</v>
      </c>
      <c r="O584" s="81">
        <f t="shared" si="325"/>
        <v>0</v>
      </c>
      <c r="P584" s="79">
        <f t="shared" si="326"/>
        <v>0</v>
      </c>
      <c r="R584">
        <f t="shared" ca="1" si="336"/>
        <v>706</v>
      </c>
      <c r="S584" s="78">
        <f t="shared" ca="1" si="337"/>
        <v>111.4</v>
      </c>
      <c r="T584" s="55">
        <f t="shared" ca="1" si="327"/>
        <v>0</v>
      </c>
      <c r="U584" s="78">
        <f t="shared" ca="1" si="342"/>
        <v>2.7389054743691302E-5</v>
      </c>
      <c r="V584" s="79">
        <f t="shared" ca="1" si="338"/>
        <v>0</v>
      </c>
      <c r="W584" s="79">
        <f t="shared" ca="1" si="328"/>
        <v>0</v>
      </c>
      <c r="X584" s="80">
        <f t="shared" ca="1" si="343"/>
        <v>0</v>
      </c>
      <c r="Y584" s="80">
        <f t="shared" ca="1" si="344"/>
        <v>0</v>
      </c>
      <c r="Z584" s="80">
        <f t="shared" ca="1" si="339"/>
        <v>0</v>
      </c>
      <c r="AA584" s="80">
        <f t="shared" ca="1" si="345"/>
        <v>0</v>
      </c>
      <c r="AB584" s="81">
        <f t="shared" ca="1" si="329"/>
        <v>0</v>
      </c>
      <c r="AC584" s="79">
        <f t="shared" ca="1" si="330"/>
        <v>0</v>
      </c>
      <c r="AE584" s="35"/>
      <c r="AF584" s="35"/>
      <c r="AR584" s="69">
        <f t="shared" si="340"/>
        <v>49</v>
      </c>
      <c r="AS584" s="70">
        <f t="shared" si="346"/>
        <v>581</v>
      </c>
      <c r="AT584" s="71">
        <f t="shared" si="321"/>
        <v>1.8744269380818444E-2</v>
      </c>
      <c r="AU584" s="72">
        <f t="shared" si="331"/>
        <v>6.8214933659622723E-3</v>
      </c>
      <c r="AV584" s="73">
        <f t="shared" si="341"/>
        <v>1.0068214933659623</v>
      </c>
      <c r="AW584" s="74">
        <f>PRODUCT(AV$4:AV584)</f>
        <v>51.926592414674921</v>
      </c>
    </row>
    <row r="585" spans="5:49">
      <c r="E585">
        <f t="shared" si="319"/>
        <v>582</v>
      </c>
      <c r="F585" s="64">
        <f t="shared" si="332"/>
        <v>101.48</v>
      </c>
      <c r="G585" s="55">
        <f t="shared" si="322"/>
        <v>0</v>
      </c>
      <c r="H585" s="78">
        <f t="shared" si="347"/>
        <v>1</v>
      </c>
      <c r="I585" s="79">
        <f t="shared" si="333"/>
        <v>0</v>
      </c>
      <c r="J585" s="79">
        <f t="shared" si="323"/>
        <v>0</v>
      </c>
      <c r="K585" s="80">
        <f t="shared" si="324"/>
        <v>0</v>
      </c>
      <c r="L585" s="80">
        <f t="shared" si="334"/>
        <v>0</v>
      </c>
      <c r="M585" s="80">
        <f t="shared" si="320"/>
        <v>0</v>
      </c>
      <c r="N585" s="80">
        <f t="shared" si="335"/>
        <v>0</v>
      </c>
      <c r="O585" s="81">
        <f t="shared" si="325"/>
        <v>0</v>
      </c>
      <c r="P585" s="79">
        <f t="shared" si="326"/>
        <v>0</v>
      </c>
      <c r="R585">
        <f t="shared" ca="1" si="336"/>
        <v>707</v>
      </c>
      <c r="S585" s="78">
        <f t="shared" ca="1" si="337"/>
        <v>111.48</v>
      </c>
      <c r="T585" s="55">
        <f t="shared" ca="1" si="327"/>
        <v>0</v>
      </c>
      <c r="U585" s="78">
        <f t="shared" ca="1" si="342"/>
        <v>2.7389054743691302E-5</v>
      </c>
      <c r="V585" s="79">
        <f t="shared" ca="1" si="338"/>
        <v>0</v>
      </c>
      <c r="W585" s="79">
        <f t="shared" ca="1" si="328"/>
        <v>0</v>
      </c>
      <c r="X585" s="80">
        <f t="shared" ca="1" si="343"/>
        <v>0</v>
      </c>
      <c r="Y585" s="80">
        <f t="shared" ca="1" si="344"/>
        <v>0</v>
      </c>
      <c r="Z585" s="80">
        <f t="shared" ca="1" si="339"/>
        <v>0</v>
      </c>
      <c r="AA585" s="80">
        <f t="shared" ca="1" si="345"/>
        <v>0</v>
      </c>
      <c r="AB585" s="81">
        <f t="shared" ca="1" si="329"/>
        <v>0</v>
      </c>
      <c r="AC585" s="79">
        <f t="shared" ca="1" si="330"/>
        <v>0</v>
      </c>
      <c r="AE585" s="35"/>
      <c r="AF585" s="35"/>
      <c r="AR585" s="69">
        <f t="shared" si="340"/>
        <v>49</v>
      </c>
      <c r="AS585" s="70">
        <f t="shared" si="346"/>
        <v>582</v>
      </c>
      <c r="AT585" s="71">
        <f t="shared" si="321"/>
        <v>1.8616405471587379E-2</v>
      </c>
      <c r="AU585" s="72">
        <f t="shared" si="331"/>
        <v>6.8214933659622723E-3</v>
      </c>
      <c r="AV585" s="73">
        <f t="shared" si="341"/>
        <v>1.0068214933659623</v>
      </c>
      <c r="AW585" s="74">
        <f>PRODUCT(AV$4:AV585)</f>
        <v>52.280809320348652</v>
      </c>
    </row>
    <row r="586" spans="5:49">
      <c r="E586">
        <f t="shared" si="319"/>
        <v>583</v>
      </c>
      <c r="F586" s="64">
        <f t="shared" si="332"/>
        <v>101.56</v>
      </c>
      <c r="G586" s="55">
        <f t="shared" si="322"/>
        <v>0</v>
      </c>
      <c r="H586" s="78">
        <f t="shared" si="347"/>
        <v>1</v>
      </c>
      <c r="I586" s="79">
        <f t="shared" si="333"/>
        <v>0</v>
      </c>
      <c r="J586" s="79">
        <f t="shared" si="323"/>
        <v>0</v>
      </c>
      <c r="K586" s="80">
        <f t="shared" si="324"/>
        <v>0</v>
      </c>
      <c r="L586" s="80">
        <f t="shared" si="334"/>
        <v>0</v>
      </c>
      <c r="M586" s="80">
        <f t="shared" si="320"/>
        <v>0</v>
      </c>
      <c r="N586" s="80">
        <f t="shared" si="335"/>
        <v>0</v>
      </c>
      <c r="O586" s="81">
        <f t="shared" si="325"/>
        <v>0</v>
      </c>
      <c r="P586" s="79">
        <f t="shared" si="326"/>
        <v>0</v>
      </c>
      <c r="R586">
        <f t="shared" ca="1" si="336"/>
        <v>708</v>
      </c>
      <c r="S586" s="78">
        <f t="shared" ca="1" si="337"/>
        <v>111.56</v>
      </c>
      <c r="T586" s="55">
        <f t="shared" ca="1" si="327"/>
        <v>0</v>
      </c>
      <c r="U586" s="78">
        <f t="shared" ca="1" si="342"/>
        <v>2.7389054743691302E-5</v>
      </c>
      <c r="V586" s="79">
        <f t="shared" ca="1" si="338"/>
        <v>0</v>
      </c>
      <c r="W586" s="79">
        <f t="shared" ca="1" si="328"/>
        <v>0</v>
      </c>
      <c r="X586" s="80">
        <f t="shared" ca="1" si="343"/>
        <v>0</v>
      </c>
      <c r="Y586" s="80">
        <f t="shared" ca="1" si="344"/>
        <v>0</v>
      </c>
      <c r="Z586" s="80">
        <f t="shared" ca="1" si="339"/>
        <v>0</v>
      </c>
      <c r="AA586" s="80">
        <f t="shared" ca="1" si="345"/>
        <v>0</v>
      </c>
      <c r="AB586" s="81">
        <f t="shared" ca="1" si="329"/>
        <v>0</v>
      </c>
      <c r="AC586" s="79">
        <f t="shared" ca="1" si="330"/>
        <v>0</v>
      </c>
      <c r="AE586" s="35"/>
      <c r="AF586" s="35"/>
      <c r="AR586" s="69">
        <f t="shared" si="340"/>
        <v>49</v>
      </c>
      <c r="AS586" s="70">
        <f t="shared" si="346"/>
        <v>583</v>
      </c>
      <c r="AT586" s="71">
        <f t="shared" si="321"/>
        <v>1.8489413785164881E-2</v>
      </c>
      <c r="AU586" s="72">
        <f t="shared" si="331"/>
        <v>6.8214933659622723E-3</v>
      </c>
      <c r="AV586" s="73">
        <f t="shared" si="341"/>
        <v>1.0068214933659623</v>
      </c>
      <c r="AW586" s="74">
        <f>PRODUCT(AV$4:AV586)</f>
        <v>52.637442514294548</v>
      </c>
    </row>
    <row r="587" spans="5:49">
      <c r="E587">
        <f t="shared" si="319"/>
        <v>584</v>
      </c>
      <c r="F587" s="64">
        <f t="shared" si="332"/>
        <v>101.64</v>
      </c>
      <c r="G587" s="55">
        <f t="shared" si="322"/>
        <v>0</v>
      </c>
      <c r="H587" s="78">
        <f t="shared" si="347"/>
        <v>1</v>
      </c>
      <c r="I587" s="79">
        <f t="shared" si="333"/>
        <v>0</v>
      </c>
      <c r="J587" s="79">
        <f t="shared" si="323"/>
        <v>0</v>
      </c>
      <c r="K587" s="80">
        <f t="shared" si="324"/>
        <v>0</v>
      </c>
      <c r="L587" s="80">
        <f t="shared" si="334"/>
        <v>0</v>
      </c>
      <c r="M587" s="80">
        <f t="shared" si="320"/>
        <v>0</v>
      </c>
      <c r="N587" s="80">
        <f t="shared" si="335"/>
        <v>0</v>
      </c>
      <c r="O587" s="81">
        <f t="shared" si="325"/>
        <v>0</v>
      </c>
      <c r="P587" s="79">
        <f t="shared" si="326"/>
        <v>0</v>
      </c>
      <c r="R587">
        <f t="shared" ca="1" si="336"/>
        <v>709</v>
      </c>
      <c r="S587" s="78">
        <f t="shared" ca="1" si="337"/>
        <v>111.64</v>
      </c>
      <c r="T587" s="55">
        <f t="shared" ca="1" si="327"/>
        <v>0</v>
      </c>
      <c r="U587" s="78">
        <f t="shared" ca="1" si="342"/>
        <v>2.7389054743691302E-5</v>
      </c>
      <c r="V587" s="79">
        <f t="shared" ca="1" si="338"/>
        <v>0</v>
      </c>
      <c r="W587" s="79">
        <f t="shared" ca="1" si="328"/>
        <v>0</v>
      </c>
      <c r="X587" s="80">
        <f t="shared" ca="1" si="343"/>
        <v>0</v>
      </c>
      <c r="Y587" s="80">
        <f t="shared" ca="1" si="344"/>
        <v>0</v>
      </c>
      <c r="Z587" s="80">
        <f t="shared" ca="1" si="339"/>
        <v>0</v>
      </c>
      <c r="AA587" s="80">
        <f t="shared" ca="1" si="345"/>
        <v>0</v>
      </c>
      <c r="AB587" s="81">
        <f t="shared" ca="1" si="329"/>
        <v>0</v>
      </c>
      <c r="AC587" s="79">
        <f t="shared" ca="1" si="330"/>
        <v>0</v>
      </c>
      <c r="AE587" s="35"/>
      <c r="AF587" s="35"/>
      <c r="AR587" s="69">
        <f t="shared" si="340"/>
        <v>49</v>
      </c>
      <c r="AS587" s="70">
        <f t="shared" si="346"/>
        <v>584</v>
      </c>
      <c r="AT587" s="71">
        <f t="shared" si="321"/>
        <v>1.8363288371688848E-2</v>
      </c>
      <c r="AU587" s="72">
        <f t="shared" si="331"/>
        <v>6.8214933659622723E-3</v>
      </c>
      <c r="AV587" s="73">
        <f t="shared" si="341"/>
        <v>1.0068214933659623</v>
      </c>
      <c r="AW587" s="74">
        <f>PRODUCT(AV$4:AV587)</f>
        <v>52.99650847920703</v>
      </c>
    </row>
    <row r="588" spans="5:49">
      <c r="E588">
        <f t="shared" si="319"/>
        <v>585</v>
      </c>
      <c r="F588" s="64">
        <f t="shared" si="332"/>
        <v>101.72</v>
      </c>
      <c r="G588" s="55">
        <f t="shared" si="322"/>
        <v>0</v>
      </c>
      <c r="H588" s="78">
        <f t="shared" si="347"/>
        <v>1</v>
      </c>
      <c r="I588" s="79">
        <f t="shared" si="333"/>
        <v>0</v>
      </c>
      <c r="J588" s="79">
        <f t="shared" si="323"/>
        <v>0</v>
      </c>
      <c r="K588" s="80">
        <f t="shared" si="324"/>
        <v>0</v>
      </c>
      <c r="L588" s="80">
        <f t="shared" si="334"/>
        <v>0</v>
      </c>
      <c r="M588" s="80">
        <f t="shared" si="320"/>
        <v>0</v>
      </c>
      <c r="N588" s="80">
        <f t="shared" si="335"/>
        <v>0</v>
      </c>
      <c r="O588" s="81">
        <f t="shared" si="325"/>
        <v>0</v>
      </c>
      <c r="P588" s="79">
        <f t="shared" si="326"/>
        <v>0</v>
      </c>
      <c r="R588">
        <f t="shared" ca="1" si="336"/>
        <v>710</v>
      </c>
      <c r="S588" s="78">
        <f t="shared" ca="1" si="337"/>
        <v>111.72</v>
      </c>
      <c r="T588" s="55">
        <f t="shared" ca="1" si="327"/>
        <v>0</v>
      </c>
      <c r="U588" s="78">
        <f t="shared" ca="1" si="342"/>
        <v>2.7389054743691302E-5</v>
      </c>
      <c r="V588" s="79">
        <f t="shared" ca="1" si="338"/>
        <v>0</v>
      </c>
      <c r="W588" s="79">
        <f t="shared" ca="1" si="328"/>
        <v>0</v>
      </c>
      <c r="X588" s="80">
        <f t="shared" ca="1" si="343"/>
        <v>0</v>
      </c>
      <c r="Y588" s="80">
        <f t="shared" ca="1" si="344"/>
        <v>0</v>
      </c>
      <c r="Z588" s="80">
        <f t="shared" ca="1" si="339"/>
        <v>0</v>
      </c>
      <c r="AA588" s="80">
        <f t="shared" ca="1" si="345"/>
        <v>0</v>
      </c>
      <c r="AB588" s="81">
        <f t="shared" ca="1" si="329"/>
        <v>0</v>
      </c>
      <c r="AC588" s="79">
        <f t="shared" ca="1" si="330"/>
        <v>0</v>
      </c>
      <c r="AE588" s="35"/>
      <c r="AF588" s="35"/>
      <c r="AR588" s="69">
        <f t="shared" si="340"/>
        <v>49</v>
      </c>
      <c r="AS588" s="70">
        <f t="shared" si="346"/>
        <v>585</v>
      </c>
      <c r="AT588" s="71">
        <f t="shared" si="321"/>
        <v>1.8238023321884119E-2</v>
      </c>
      <c r="AU588" s="72">
        <f t="shared" si="331"/>
        <v>6.8214933659622723E-3</v>
      </c>
      <c r="AV588" s="73">
        <f t="shared" si="341"/>
        <v>1.0068214933659623</v>
      </c>
      <c r="AW588" s="74">
        <f>PRODUCT(AV$4:AV588)</f>
        <v>53.358023810217105</v>
      </c>
    </row>
    <row r="589" spans="5:49">
      <c r="E589">
        <f t="shared" si="319"/>
        <v>586</v>
      </c>
      <c r="F589" s="64">
        <f t="shared" si="332"/>
        <v>101.8</v>
      </c>
      <c r="G589" s="55">
        <f t="shared" si="322"/>
        <v>0</v>
      </c>
      <c r="H589" s="78">
        <f t="shared" si="347"/>
        <v>1</v>
      </c>
      <c r="I589" s="79">
        <f t="shared" si="333"/>
        <v>0</v>
      </c>
      <c r="J589" s="79">
        <f t="shared" si="323"/>
        <v>0</v>
      </c>
      <c r="K589" s="80">
        <f t="shared" si="324"/>
        <v>0</v>
      </c>
      <c r="L589" s="80">
        <f t="shared" si="334"/>
        <v>0</v>
      </c>
      <c r="M589" s="80">
        <f t="shared" si="320"/>
        <v>0</v>
      </c>
      <c r="N589" s="80">
        <f t="shared" si="335"/>
        <v>0</v>
      </c>
      <c r="O589" s="81">
        <f t="shared" si="325"/>
        <v>0</v>
      </c>
      <c r="P589" s="79">
        <f t="shared" si="326"/>
        <v>0</v>
      </c>
      <c r="R589">
        <f t="shared" ca="1" si="336"/>
        <v>711</v>
      </c>
      <c r="S589" s="78">
        <f t="shared" ca="1" si="337"/>
        <v>111.8</v>
      </c>
      <c r="T589" s="55">
        <f t="shared" ca="1" si="327"/>
        <v>0</v>
      </c>
      <c r="U589" s="78">
        <f t="shared" ca="1" si="342"/>
        <v>2.7389054743691302E-5</v>
      </c>
      <c r="V589" s="79">
        <f t="shared" ca="1" si="338"/>
        <v>0</v>
      </c>
      <c r="W589" s="79">
        <f t="shared" ca="1" si="328"/>
        <v>0</v>
      </c>
      <c r="X589" s="80">
        <f t="shared" ca="1" si="343"/>
        <v>0</v>
      </c>
      <c r="Y589" s="80">
        <f t="shared" ca="1" si="344"/>
        <v>0</v>
      </c>
      <c r="Z589" s="80">
        <f t="shared" ca="1" si="339"/>
        <v>0</v>
      </c>
      <c r="AA589" s="80">
        <f t="shared" ca="1" si="345"/>
        <v>0</v>
      </c>
      <c r="AB589" s="81">
        <f t="shared" ca="1" si="329"/>
        <v>0</v>
      </c>
      <c r="AC589" s="79">
        <f t="shared" ca="1" si="330"/>
        <v>0</v>
      </c>
      <c r="AE589" s="35"/>
      <c r="AF589" s="35"/>
      <c r="AR589" s="69">
        <f t="shared" si="340"/>
        <v>49</v>
      </c>
      <c r="AS589" s="70">
        <f t="shared" si="346"/>
        <v>586</v>
      </c>
      <c r="AT589" s="71">
        <f t="shared" si="321"/>
        <v>1.8113612766785622E-2</v>
      </c>
      <c r="AU589" s="72">
        <f t="shared" si="331"/>
        <v>6.8214933659622723E-3</v>
      </c>
      <c r="AV589" s="73">
        <f t="shared" si="341"/>
        <v>1.0068214933659623</v>
      </c>
      <c r="AW589" s="74">
        <f>PRODUCT(AV$4:AV589)</f>
        <v>53.722005215659358</v>
      </c>
    </row>
    <row r="590" spans="5:49">
      <c r="E590">
        <f t="shared" si="319"/>
        <v>587</v>
      </c>
      <c r="F590" s="64">
        <f t="shared" si="332"/>
        <v>101.88</v>
      </c>
      <c r="G590" s="55">
        <f t="shared" si="322"/>
        <v>0</v>
      </c>
      <c r="H590" s="78">
        <f t="shared" si="347"/>
        <v>1</v>
      </c>
      <c r="I590" s="79">
        <f t="shared" si="333"/>
        <v>0</v>
      </c>
      <c r="J590" s="79">
        <f t="shared" si="323"/>
        <v>0</v>
      </c>
      <c r="K590" s="80">
        <f t="shared" si="324"/>
        <v>0</v>
      </c>
      <c r="L590" s="80">
        <f t="shared" si="334"/>
        <v>0</v>
      </c>
      <c r="M590" s="80">
        <f t="shared" si="320"/>
        <v>0</v>
      </c>
      <c r="N590" s="80">
        <f t="shared" si="335"/>
        <v>0</v>
      </c>
      <c r="O590" s="81">
        <f t="shared" si="325"/>
        <v>0</v>
      </c>
      <c r="P590" s="79">
        <f t="shared" si="326"/>
        <v>0</v>
      </c>
      <c r="R590">
        <f t="shared" ca="1" si="336"/>
        <v>712</v>
      </c>
      <c r="S590" s="78">
        <f t="shared" ca="1" si="337"/>
        <v>111.88</v>
      </c>
      <c r="T590" s="55">
        <f t="shared" ca="1" si="327"/>
        <v>0</v>
      </c>
      <c r="U590" s="78">
        <f t="shared" ca="1" si="342"/>
        <v>2.7389054743691302E-5</v>
      </c>
      <c r="V590" s="79">
        <f t="shared" ca="1" si="338"/>
        <v>0</v>
      </c>
      <c r="W590" s="79">
        <f t="shared" ca="1" si="328"/>
        <v>0</v>
      </c>
      <c r="X590" s="80">
        <f t="shared" ca="1" si="343"/>
        <v>0</v>
      </c>
      <c r="Y590" s="80">
        <f t="shared" ca="1" si="344"/>
        <v>0</v>
      </c>
      <c r="Z590" s="80">
        <f t="shared" ca="1" si="339"/>
        <v>0</v>
      </c>
      <c r="AA590" s="80">
        <f t="shared" ca="1" si="345"/>
        <v>0</v>
      </c>
      <c r="AB590" s="81">
        <f t="shared" ca="1" si="329"/>
        <v>0</v>
      </c>
      <c r="AC590" s="79">
        <f t="shared" ca="1" si="330"/>
        <v>0</v>
      </c>
      <c r="AE590" s="35"/>
      <c r="AF590" s="35"/>
      <c r="AR590" s="69">
        <f t="shared" si="340"/>
        <v>49</v>
      </c>
      <c r="AS590" s="70">
        <f t="shared" si="346"/>
        <v>587</v>
      </c>
      <c r="AT590" s="71">
        <f t="shared" si="321"/>
        <v>1.7990050877463384E-2</v>
      </c>
      <c r="AU590" s="72">
        <f t="shared" si="331"/>
        <v>6.8214933659622723E-3</v>
      </c>
      <c r="AV590" s="73">
        <f t="shared" si="341"/>
        <v>1.0068214933659623</v>
      </c>
      <c r="AW590" s="74">
        <f>PRODUCT(AV$4:AV590)</f>
        <v>54.088469517844167</v>
      </c>
    </row>
    <row r="591" spans="5:49">
      <c r="E591">
        <f t="shared" si="319"/>
        <v>588</v>
      </c>
      <c r="F591" s="64">
        <f t="shared" si="332"/>
        <v>101.96</v>
      </c>
      <c r="G591" s="55">
        <f t="shared" si="322"/>
        <v>0</v>
      </c>
      <c r="H591" s="78">
        <f t="shared" si="347"/>
        <v>1</v>
      </c>
      <c r="I591" s="79">
        <f t="shared" si="333"/>
        <v>0</v>
      </c>
      <c r="J591" s="79">
        <f t="shared" si="323"/>
        <v>0</v>
      </c>
      <c r="K591" s="80">
        <f t="shared" si="324"/>
        <v>0</v>
      </c>
      <c r="L591" s="80">
        <f t="shared" si="334"/>
        <v>0</v>
      </c>
      <c r="M591" s="80">
        <f t="shared" si="320"/>
        <v>0</v>
      </c>
      <c r="N591" s="80">
        <f t="shared" si="335"/>
        <v>0</v>
      </c>
      <c r="O591" s="81">
        <f t="shared" si="325"/>
        <v>0</v>
      </c>
      <c r="P591" s="79">
        <f t="shared" si="326"/>
        <v>0</v>
      </c>
      <c r="R591">
        <f t="shared" ca="1" si="336"/>
        <v>713</v>
      </c>
      <c r="S591" s="78">
        <f t="shared" ca="1" si="337"/>
        <v>111.96</v>
      </c>
      <c r="T591" s="55">
        <f t="shared" ca="1" si="327"/>
        <v>0</v>
      </c>
      <c r="U591" s="78">
        <f t="shared" ca="1" si="342"/>
        <v>2.7389054743691302E-5</v>
      </c>
      <c r="V591" s="79">
        <f t="shared" ca="1" si="338"/>
        <v>0</v>
      </c>
      <c r="W591" s="79">
        <f t="shared" ca="1" si="328"/>
        <v>0</v>
      </c>
      <c r="X591" s="80">
        <f t="shared" ca="1" si="343"/>
        <v>0</v>
      </c>
      <c r="Y591" s="80">
        <f t="shared" ca="1" si="344"/>
        <v>0</v>
      </c>
      <c r="Z591" s="80">
        <f t="shared" ca="1" si="339"/>
        <v>0</v>
      </c>
      <c r="AA591" s="80">
        <f t="shared" ca="1" si="345"/>
        <v>0</v>
      </c>
      <c r="AB591" s="81">
        <f t="shared" ca="1" si="329"/>
        <v>0</v>
      </c>
      <c r="AC591" s="79">
        <f t="shared" ca="1" si="330"/>
        <v>0</v>
      </c>
      <c r="AE591" s="35"/>
      <c r="AF591" s="35"/>
      <c r="AR591" s="69">
        <f t="shared" si="340"/>
        <v>49</v>
      </c>
      <c r="AS591" s="70">
        <f t="shared" si="346"/>
        <v>588</v>
      </c>
      <c r="AT591" s="71">
        <f t="shared" si="321"/>
        <v>1.7867331864749442E-2</v>
      </c>
      <c r="AU591" s="72">
        <f t="shared" si="331"/>
        <v>6.8214933659622723E-3</v>
      </c>
      <c r="AV591" s="73">
        <f t="shared" si="341"/>
        <v>1.0068214933659623</v>
      </c>
      <c r="AW591" s="74">
        <f>PRODUCT(AV$4:AV591)</f>
        <v>54.457433653835196</v>
      </c>
    </row>
    <row r="592" spans="5:49">
      <c r="E592">
        <f t="shared" ref="E592:E655" si="348">E591+1</f>
        <v>589</v>
      </c>
      <c r="F592" s="64">
        <f t="shared" si="332"/>
        <v>102.04</v>
      </c>
      <c r="G592" s="55">
        <f t="shared" si="322"/>
        <v>0</v>
      </c>
      <c r="H592" s="78">
        <f t="shared" si="347"/>
        <v>1</v>
      </c>
      <c r="I592" s="79">
        <f t="shared" si="333"/>
        <v>0</v>
      </c>
      <c r="J592" s="79">
        <f t="shared" si="323"/>
        <v>0</v>
      </c>
      <c r="K592" s="80">
        <f t="shared" si="324"/>
        <v>0</v>
      </c>
      <c r="L592" s="80">
        <f t="shared" si="334"/>
        <v>0</v>
      </c>
      <c r="M592" s="80">
        <f t="shared" ref="M592:M655" si="349">IF(OR(I591+O591=0,K591=0),0,-IF(MOD(E592-1,12)=0,1,0)*I592*($C$17))</f>
        <v>0</v>
      </c>
      <c r="N592" s="80">
        <f t="shared" si="335"/>
        <v>0</v>
      </c>
      <c r="O592" s="81">
        <f t="shared" si="325"/>
        <v>0</v>
      </c>
      <c r="P592" s="79">
        <f t="shared" si="326"/>
        <v>0</v>
      </c>
      <c r="R592">
        <f t="shared" ca="1" si="336"/>
        <v>714</v>
      </c>
      <c r="S592" s="78">
        <f t="shared" ca="1" si="337"/>
        <v>112.04</v>
      </c>
      <c r="T592" s="55">
        <f t="shared" ca="1" si="327"/>
        <v>0</v>
      </c>
      <c r="U592" s="78">
        <f t="shared" ca="1" si="342"/>
        <v>2.7389054743691302E-5</v>
      </c>
      <c r="V592" s="79">
        <f t="shared" ca="1" si="338"/>
        <v>0</v>
      </c>
      <c r="W592" s="79">
        <f t="shared" ca="1" si="328"/>
        <v>0</v>
      </c>
      <c r="X592" s="80">
        <f t="shared" ca="1" si="343"/>
        <v>0</v>
      </c>
      <c r="Y592" s="80">
        <f t="shared" ca="1" si="344"/>
        <v>0</v>
      </c>
      <c r="Z592" s="80">
        <f t="shared" ca="1" si="339"/>
        <v>0</v>
      </c>
      <c r="AA592" s="80">
        <f t="shared" ca="1" si="345"/>
        <v>0</v>
      </c>
      <c r="AB592" s="81">
        <f t="shared" ca="1" si="329"/>
        <v>0</v>
      </c>
      <c r="AC592" s="79">
        <f t="shared" ca="1" si="330"/>
        <v>0</v>
      </c>
      <c r="AE592" s="35"/>
      <c r="AF592" s="35"/>
      <c r="AR592" s="69">
        <f t="shared" si="340"/>
        <v>50</v>
      </c>
      <c r="AS592" s="70">
        <f t="shared" si="346"/>
        <v>589</v>
      </c>
      <c r="AT592" s="71">
        <f t="shared" si="321"/>
        <v>1.7745449978966609E-2</v>
      </c>
      <c r="AU592" s="72">
        <f t="shared" si="331"/>
        <v>6.8214933659622723E-3</v>
      </c>
      <c r="AV592" s="73">
        <f t="shared" si="341"/>
        <v>1.0068214933659623</v>
      </c>
      <c r="AW592" s="74">
        <f>PRODUCT(AV$4:AV592)</f>
        <v>54.828914676232166</v>
      </c>
    </row>
    <row r="593" spans="5:49">
      <c r="E593">
        <f t="shared" si="348"/>
        <v>590</v>
      </c>
      <c r="F593" s="64">
        <f t="shared" si="332"/>
        <v>102.12</v>
      </c>
      <c r="G593" s="55">
        <f t="shared" si="322"/>
        <v>0</v>
      </c>
      <c r="H593" s="78">
        <f t="shared" si="347"/>
        <v>1</v>
      </c>
      <c r="I593" s="79">
        <f t="shared" si="333"/>
        <v>0</v>
      </c>
      <c r="J593" s="79">
        <f t="shared" si="323"/>
        <v>0</v>
      </c>
      <c r="K593" s="80">
        <f t="shared" si="324"/>
        <v>0</v>
      </c>
      <c r="L593" s="80">
        <f t="shared" si="334"/>
        <v>0</v>
      </c>
      <c r="M593" s="80">
        <f t="shared" si="349"/>
        <v>0</v>
      </c>
      <c r="N593" s="80">
        <f t="shared" si="335"/>
        <v>0</v>
      </c>
      <c r="O593" s="81">
        <f t="shared" si="325"/>
        <v>0</v>
      </c>
      <c r="P593" s="79">
        <f t="shared" si="326"/>
        <v>0</v>
      </c>
      <c r="R593">
        <f t="shared" ca="1" si="336"/>
        <v>715</v>
      </c>
      <c r="S593" s="78">
        <f t="shared" ca="1" si="337"/>
        <v>112.12</v>
      </c>
      <c r="T593" s="55">
        <f t="shared" ca="1" si="327"/>
        <v>0</v>
      </c>
      <c r="U593" s="78">
        <f t="shared" ca="1" si="342"/>
        <v>2.7389054743691302E-5</v>
      </c>
      <c r="V593" s="79">
        <f t="shared" ca="1" si="338"/>
        <v>0</v>
      </c>
      <c r="W593" s="79">
        <f t="shared" ca="1" si="328"/>
        <v>0</v>
      </c>
      <c r="X593" s="80">
        <f t="shared" ca="1" si="343"/>
        <v>0</v>
      </c>
      <c r="Y593" s="80">
        <f t="shared" ca="1" si="344"/>
        <v>0</v>
      </c>
      <c r="Z593" s="80">
        <f t="shared" ca="1" si="339"/>
        <v>0</v>
      </c>
      <c r="AA593" s="80">
        <f t="shared" ca="1" si="345"/>
        <v>0</v>
      </c>
      <c r="AB593" s="81">
        <f t="shared" ca="1" si="329"/>
        <v>0</v>
      </c>
      <c r="AC593" s="79">
        <f t="shared" ca="1" si="330"/>
        <v>0</v>
      </c>
      <c r="AE593" s="35"/>
      <c r="AF593" s="35"/>
      <c r="AR593" s="69">
        <f t="shared" si="340"/>
        <v>50</v>
      </c>
      <c r="AS593" s="70">
        <f t="shared" si="346"/>
        <v>590</v>
      </c>
      <c r="AT593" s="71">
        <f t="shared" si="321"/>
        <v>1.7624399509659074E-2</v>
      </c>
      <c r="AU593" s="72">
        <f t="shared" si="331"/>
        <v>6.8214933659622723E-3</v>
      </c>
      <c r="AV593" s="73">
        <f t="shared" si="341"/>
        <v>1.0068214933659623</v>
      </c>
      <c r="AW593" s="74">
        <f>PRODUCT(AV$4:AV593)</f>
        <v>55.202929753958998</v>
      </c>
    </row>
    <row r="594" spans="5:49">
      <c r="E594">
        <f t="shared" si="348"/>
        <v>591</v>
      </c>
      <c r="F594" s="64">
        <f t="shared" si="332"/>
        <v>102.2</v>
      </c>
      <c r="G594" s="55">
        <f t="shared" si="322"/>
        <v>0</v>
      </c>
      <c r="H594" s="78">
        <f t="shared" si="347"/>
        <v>1</v>
      </c>
      <c r="I594" s="79">
        <f t="shared" si="333"/>
        <v>0</v>
      </c>
      <c r="J594" s="79">
        <f t="shared" si="323"/>
        <v>0</v>
      </c>
      <c r="K594" s="80">
        <f t="shared" si="324"/>
        <v>0</v>
      </c>
      <c r="L594" s="80">
        <f t="shared" si="334"/>
        <v>0</v>
      </c>
      <c r="M594" s="80">
        <f t="shared" si="349"/>
        <v>0</v>
      </c>
      <c r="N594" s="80">
        <f t="shared" si="335"/>
        <v>0</v>
      </c>
      <c r="O594" s="81">
        <f t="shared" si="325"/>
        <v>0</v>
      </c>
      <c r="P594" s="79">
        <f t="shared" si="326"/>
        <v>0</v>
      </c>
      <c r="R594">
        <f t="shared" ca="1" si="336"/>
        <v>716</v>
      </c>
      <c r="S594" s="78">
        <f t="shared" ca="1" si="337"/>
        <v>112.2</v>
      </c>
      <c r="T594" s="55">
        <f t="shared" ca="1" si="327"/>
        <v>0</v>
      </c>
      <c r="U594" s="78">
        <f t="shared" ca="1" si="342"/>
        <v>2.7389054743691302E-5</v>
      </c>
      <c r="V594" s="79">
        <f t="shared" ca="1" si="338"/>
        <v>0</v>
      </c>
      <c r="W594" s="79">
        <f t="shared" ca="1" si="328"/>
        <v>0</v>
      </c>
      <c r="X594" s="80">
        <f t="shared" ca="1" si="343"/>
        <v>0</v>
      </c>
      <c r="Y594" s="80">
        <f t="shared" ca="1" si="344"/>
        <v>0</v>
      </c>
      <c r="Z594" s="80">
        <f t="shared" ca="1" si="339"/>
        <v>0</v>
      </c>
      <c r="AA594" s="80">
        <f t="shared" ca="1" si="345"/>
        <v>0</v>
      </c>
      <c r="AB594" s="81">
        <f t="shared" ca="1" si="329"/>
        <v>0</v>
      </c>
      <c r="AC594" s="79">
        <f t="shared" ca="1" si="330"/>
        <v>0</v>
      </c>
      <c r="AE594" s="35"/>
      <c r="AF594" s="35"/>
      <c r="AR594" s="69">
        <f t="shared" si="340"/>
        <v>50</v>
      </c>
      <c r="AS594" s="70">
        <f t="shared" si="346"/>
        <v>591</v>
      </c>
      <c r="AT594" s="71">
        <f t="shared" si="321"/>
        <v>1.7504174785324865E-2</v>
      </c>
      <c r="AU594" s="72">
        <f t="shared" si="331"/>
        <v>6.8214933659622723E-3</v>
      </c>
      <c r="AV594" s="73">
        <f t="shared" si="341"/>
        <v>1.0068214933659623</v>
      </c>
      <c r="AW594" s="74">
        <f>PRODUCT(AV$4:AV594)</f>
        <v>55.579496173057308</v>
      </c>
    </row>
    <row r="595" spans="5:49">
      <c r="E595">
        <f t="shared" si="348"/>
        <v>592</v>
      </c>
      <c r="F595" s="64">
        <f t="shared" si="332"/>
        <v>102.28</v>
      </c>
      <c r="G595" s="55">
        <f t="shared" si="322"/>
        <v>0</v>
      </c>
      <c r="H595" s="78">
        <f t="shared" si="347"/>
        <v>1</v>
      </c>
      <c r="I595" s="79">
        <f t="shared" si="333"/>
        <v>0</v>
      </c>
      <c r="J595" s="79">
        <f t="shared" si="323"/>
        <v>0</v>
      </c>
      <c r="K595" s="80">
        <f t="shared" si="324"/>
        <v>0</v>
      </c>
      <c r="L595" s="80">
        <f t="shared" si="334"/>
        <v>0</v>
      </c>
      <c r="M595" s="80">
        <f t="shared" si="349"/>
        <v>0</v>
      </c>
      <c r="N595" s="80">
        <f t="shared" si="335"/>
        <v>0</v>
      </c>
      <c r="O595" s="81">
        <f t="shared" si="325"/>
        <v>0</v>
      </c>
      <c r="P595" s="79">
        <f t="shared" si="326"/>
        <v>0</v>
      </c>
      <c r="R595">
        <f t="shared" ca="1" si="336"/>
        <v>717</v>
      </c>
      <c r="S595" s="78">
        <f t="shared" ca="1" si="337"/>
        <v>112.28</v>
      </c>
      <c r="T595" s="55">
        <f t="shared" ca="1" si="327"/>
        <v>0</v>
      </c>
      <c r="U595" s="78">
        <f t="shared" ca="1" si="342"/>
        <v>2.7389054743691302E-5</v>
      </c>
      <c r="V595" s="79">
        <f t="shared" ca="1" si="338"/>
        <v>0</v>
      </c>
      <c r="W595" s="79">
        <f t="shared" ca="1" si="328"/>
        <v>0</v>
      </c>
      <c r="X595" s="80">
        <f t="shared" ca="1" si="343"/>
        <v>0</v>
      </c>
      <c r="Y595" s="80">
        <f t="shared" ca="1" si="344"/>
        <v>0</v>
      </c>
      <c r="Z595" s="80">
        <f t="shared" ca="1" si="339"/>
        <v>0</v>
      </c>
      <c r="AA595" s="80">
        <f t="shared" ca="1" si="345"/>
        <v>0</v>
      </c>
      <c r="AB595" s="81">
        <f t="shared" ca="1" si="329"/>
        <v>0</v>
      </c>
      <c r="AC595" s="79">
        <f t="shared" ca="1" si="330"/>
        <v>0</v>
      </c>
      <c r="AE595" s="35"/>
      <c r="AF595" s="35"/>
      <c r="AR595" s="69">
        <f t="shared" si="340"/>
        <v>50</v>
      </c>
      <c r="AS595" s="70">
        <f t="shared" si="346"/>
        <v>592</v>
      </c>
      <c r="AT595" s="71">
        <f t="shared" si="321"/>
        <v>1.7384770173150127E-2</v>
      </c>
      <c r="AU595" s="72">
        <f t="shared" si="331"/>
        <v>6.8214933659622723E-3</v>
      </c>
      <c r="AV595" s="73">
        <f t="shared" si="341"/>
        <v>1.0068214933659623</v>
      </c>
      <c r="AW595" s="74">
        <f>PRODUCT(AV$4:AV595)</f>
        <v>55.958631337485343</v>
      </c>
    </row>
    <row r="596" spans="5:49">
      <c r="E596">
        <f t="shared" si="348"/>
        <v>593</v>
      </c>
      <c r="F596" s="64">
        <f t="shared" si="332"/>
        <v>102.36</v>
      </c>
      <c r="G596" s="55">
        <f t="shared" si="322"/>
        <v>0</v>
      </c>
      <c r="H596" s="78">
        <f t="shared" si="347"/>
        <v>1</v>
      </c>
      <c r="I596" s="79">
        <f t="shared" si="333"/>
        <v>0</v>
      </c>
      <c r="J596" s="79">
        <f t="shared" si="323"/>
        <v>0</v>
      </c>
      <c r="K596" s="80">
        <f t="shared" si="324"/>
        <v>0</v>
      </c>
      <c r="L596" s="80">
        <f t="shared" si="334"/>
        <v>0</v>
      </c>
      <c r="M596" s="80">
        <f t="shared" si="349"/>
        <v>0</v>
      </c>
      <c r="N596" s="80">
        <f t="shared" si="335"/>
        <v>0</v>
      </c>
      <c r="O596" s="81">
        <f t="shared" si="325"/>
        <v>0</v>
      </c>
      <c r="P596" s="79">
        <f t="shared" si="326"/>
        <v>0</v>
      </c>
      <c r="R596">
        <f t="shared" ca="1" si="336"/>
        <v>718</v>
      </c>
      <c r="S596" s="78">
        <f t="shared" ca="1" si="337"/>
        <v>112.36</v>
      </c>
      <c r="T596" s="55">
        <f t="shared" ca="1" si="327"/>
        <v>0</v>
      </c>
      <c r="U596" s="78">
        <f t="shared" ca="1" si="342"/>
        <v>2.7389054743691302E-5</v>
      </c>
      <c r="V596" s="79">
        <f t="shared" ca="1" si="338"/>
        <v>0</v>
      </c>
      <c r="W596" s="79">
        <f t="shared" ca="1" si="328"/>
        <v>0</v>
      </c>
      <c r="X596" s="80">
        <f t="shared" ca="1" si="343"/>
        <v>0</v>
      </c>
      <c r="Y596" s="80">
        <f t="shared" ca="1" si="344"/>
        <v>0</v>
      </c>
      <c r="Z596" s="80">
        <f t="shared" ca="1" si="339"/>
        <v>0</v>
      </c>
      <c r="AA596" s="80">
        <f t="shared" ca="1" si="345"/>
        <v>0</v>
      </c>
      <c r="AB596" s="81">
        <f t="shared" ca="1" si="329"/>
        <v>0</v>
      </c>
      <c r="AC596" s="79">
        <f t="shared" ca="1" si="330"/>
        <v>0</v>
      </c>
      <c r="AE596" s="35"/>
      <c r="AF596" s="35"/>
      <c r="AR596" s="69">
        <f t="shared" si="340"/>
        <v>50</v>
      </c>
      <c r="AS596" s="70">
        <f t="shared" si="346"/>
        <v>593</v>
      </c>
      <c r="AT596" s="71">
        <f t="shared" si="321"/>
        <v>1.7266180078745204E-2</v>
      </c>
      <c r="AU596" s="72">
        <f t="shared" si="331"/>
        <v>6.8214933659622723E-3</v>
      </c>
      <c r="AV596" s="73">
        <f t="shared" si="341"/>
        <v>1.0068214933659623</v>
      </c>
      <c r="AW596" s="74">
        <f>PRODUCT(AV$4:AV596)</f>
        <v>56.340352769922326</v>
      </c>
    </row>
    <row r="597" spans="5:49">
      <c r="E597">
        <f t="shared" si="348"/>
        <v>594</v>
      </c>
      <c r="F597" s="64">
        <f t="shared" si="332"/>
        <v>102.44</v>
      </c>
      <c r="G597" s="55">
        <f t="shared" si="322"/>
        <v>0</v>
      </c>
      <c r="H597" s="78">
        <f t="shared" si="347"/>
        <v>1</v>
      </c>
      <c r="I597" s="79">
        <f t="shared" si="333"/>
        <v>0</v>
      </c>
      <c r="J597" s="79">
        <f t="shared" si="323"/>
        <v>0</v>
      </c>
      <c r="K597" s="80">
        <f t="shared" si="324"/>
        <v>0</v>
      </c>
      <c r="L597" s="80">
        <f t="shared" si="334"/>
        <v>0</v>
      </c>
      <c r="M597" s="80">
        <f t="shared" si="349"/>
        <v>0</v>
      </c>
      <c r="N597" s="80">
        <f t="shared" si="335"/>
        <v>0</v>
      </c>
      <c r="O597" s="81">
        <f t="shared" si="325"/>
        <v>0</v>
      </c>
      <c r="P597" s="79">
        <f t="shared" si="326"/>
        <v>0</v>
      </c>
      <c r="R597">
        <f t="shared" ca="1" si="336"/>
        <v>719</v>
      </c>
      <c r="S597" s="78">
        <f t="shared" ca="1" si="337"/>
        <v>112.44</v>
      </c>
      <c r="T597" s="55">
        <f t="shared" ca="1" si="327"/>
        <v>0</v>
      </c>
      <c r="U597" s="78">
        <f t="shared" ca="1" si="342"/>
        <v>2.7389054743691302E-5</v>
      </c>
      <c r="V597" s="79">
        <f t="shared" ca="1" si="338"/>
        <v>0</v>
      </c>
      <c r="W597" s="79">
        <f t="shared" ca="1" si="328"/>
        <v>0</v>
      </c>
      <c r="X597" s="80">
        <f t="shared" ca="1" si="343"/>
        <v>0</v>
      </c>
      <c r="Y597" s="80">
        <f t="shared" ca="1" si="344"/>
        <v>0</v>
      </c>
      <c r="Z597" s="80">
        <f t="shared" ca="1" si="339"/>
        <v>0</v>
      </c>
      <c r="AA597" s="80">
        <f t="shared" ca="1" si="345"/>
        <v>0</v>
      </c>
      <c r="AB597" s="81">
        <f t="shared" ca="1" si="329"/>
        <v>0</v>
      </c>
      <c r="AC597" s="79">
        <f t="shared" ca="1" si="330"/>
        <v>0</v>
      </c>
      <c r="AE597" s="35"/>
      <c r="AF597" s="35"/>
      <c r="AR597" s="69">
        <f t="shared" si="340"/>
        <v>50</v>
      </c>
      <c r="AS597" s="70">
        <f t="shared" si="346"/>
        <v>594</v>
      </c>
      <c r="AT597" s="71">
        <f t="shared" si="321"/>
        <v>1.7148398945882534E-2</v>
      </c>
      <c r="AU597" s="72">
        <f t="shared" si="331"/>
        <v>6.8214933659622723E-3</v>
      </c>
      <c r="AV597" s="73">
        <f t="shared" si="341"/>
        <v>1.0068214933659623</v>
      </c>
      <c r="AW597" s="74">
        <f>PRODUCT(AV$4:AV597)</f>
        <v>56.724678112578324</v>
      </c>
    </row>
    <row r="598" spans="5:49">
      <c r="E598">
        <f t="shared" si="348"/>
        <v>595</v>
      </c>
      <c r="F598" s="64">
        <f t="shared" si="332"/>
        <v>102.52</v>
      </c>
      <c r="G598" s="55">
        <f t="shared" si="322"/>
        <v>0</v>
      </c>
      <c r="H598" s="78">
        <f t="shared" si="347"/>
        <v>1</v>
      </c>
      <c r="I598" s="79">
        <f t="shared" si="333"/>
        <v>0</v>
      </c>
      <c r="J598" s="79">
        <f t="shared" si="323"/>
        <v>0</v>
      </c>
      <c r="K598" s="80">
        <f t="shared" si="324"/>
        <v>0</v>
      </c>
      <c r="L598" s="80">
        <f t="shared" si="334"/>
        <v>0</v>
      </c>
      <c r="M598" s="80">
        <f t="shared" si="349"/>
        <v>0</v>
      </c>
      <c r="N598" s="80">
        <f t="shared" si="335"/>
        <v>0</v>
      </c>
      <c r="O598" s="81">
        <f t="shared" si="325"/>
        <v>0</v>
      </c>
      <c r="P598" s="79">
        <f t="shared" si="326"/>
        <v>0</v>
      </c>
      <c r="R598">
        <f t="shared" ca="1" si="336"/>
        <v>720</v>
      </c>
      <c r="S598" s="78">
        <f t="shared" ca="1" si="337"/>
        <v>112.52</v>
      </c>
      <c r="T598" s="55">
        <f t="shared" ca="1" si="327"/>
        <v>0</v>
      </c>
      <c r="U598" s="78">
        <f t="shared" ca="1" si="342"/>
        <v>2.7389054743691302E-5</v>
      </c>
      <c r="V598" s="79">
        <f t="shared" ca="1" si="338"/>
        <v>0</v>
      </c>
      <c r="W598" s="79">
        <f t="shared" ca="1" si="328"/>
        <v>0</v>
      </c>
      <c r="X598" s="80">
        <f t="shared" ca="1" si="343"/>
        <v>0</v>
      </c>
      <c r="Y598" s="80">
        <f t="shared" ca="1" si="344"/>
        <v>0</v>
      </c>
      <c r="Z598" s="80">
        <f t="shared" ca="1" si="339"/>
        <v>0</v>
      </c>
      <c r="AA598" s="80">
        <f t="shared" ca="1" si="345"/>
        <v>0</v>
      </c>
      <c r="AB598" s="81">
        <f t="shared" ca="1" si="329"/>
        <v>0</v>
      </c>
      <c r="AC598" s="79">
        <f t="shared" ca="1" si="330"/>
        <v>0</v>
      </c>
      <c r="AE598" s="35"/>
      <c r="AF598" s="35"/>
      <c r="AR598" s="69">
        <f t="shared" si="340"/>
        <v>50</v>
      </c>
      <c r="AS598" s="70">
        <f t="shared" si="346"/>
        <v>595</v>
      </c>
      <c r="AT598" s="71">
        <f t="shared" si="321"/>
        <v>1.7031421256236322E-2</v>
      </c>
      <c r="AU598" s="72">
        <f t="shared" si="331"/>
        <v>6.8214933659622723E-3</v>
      </c>
      <c r="AV598" s="73">
        <f t="shared" si="341"/>
        <v>1.0068214933659623</v>
      </c>
      <c r="AW598" s="74">
        <f>PRODUCT(AV$4:AV598)</f>
        <v>57.111625128009621</v>
      </c>
    </row>
    <row r="599" spans="5:49">
      <c r="E599">
        <f t="shared" si="348"/>
        <v>596</v>
      </c>
      <c r="F599" s="64">
        <f t="shared" si="332"/>
        <v>102.6</v>
      </c>
      <c r="G599" s="55">
        <f t="shared" si="322"/>
        <v>0</v>
      </c>
      <c r="H599" s="78">
        <f t="shared" si="347"/>
        <v>1</v>
      </c>
      <c r="I599" s="79">
        <f t="shared" si="333"/>
        <v>0</v>
      </c>
      <c r="J599" s="79">
        <f t="shared" si="323"/>
        <v>0</v>
      </c>
      <c r="K599" s="80">
        <f t="shared" si="324"/>
        <v>0</v>
      </c>
      <c r="L599" s="80">
        <f t="shared" si="334"/>
        <v>0</v>
      </c>
      <c r="M599" s="80">
        <f t="shared" si="349"/>
        <v>0</v>
      </c>
      <c r="N599" s="80">
        <f t="shared" si="335"/>
        <v>0</v>
      </c>
      <c r="O599" s="81">
        <f t="shared" si="325"/>
        <v>0</v>
      </c>
      <c r="P599" s="79">
        <f t="shared" si="326"/>
        <v>0</v>
      </c>
      <c r="R599">
        <f t="shared" ca="1" si="336"/>
        <v>721</v>
      </c>
      <c r="S599" s="78">
        <f t="shared" ca="1" si="337"/>
        <v>112.6</v>
      </c>
      <c r="T599" s="55">
        <f t="shared" ca="1" si="327"/>
        <v>0</v>
      </c>
      <c r="U599" s="78">
        <f t="shared" ca="1" si="342"/>
        <v>2.7389054743691302E-5</v>
      </c>
      <c r="V599" s="79">
        <f t="shared" ca="1" si="338"/>
        <v>0</v>
      </c>
      <c r="W599" s="79">
        <f t="shared" ca="1" si="328"/>
        <v>0</v>
      </c>
      <c r="X599" s="80">
        <f t="shared" ca="1" si="343"/>
        <v>0</v>
      </c>
      <c r="Y599" s="80">
        <f t="shared" ca="1" si="344"/>
        <v>0</v>
      </c>
      <c r="Z599" s="80">
        <f t="shared" ca="1" si="339"/>
        <v>0</v>
      </c>
      <c r="AA599" s="80">
        <f t="shared" ca="1" si="345"/>
        <v>0</v>
      </c>
      <c r="AB599" s="81">
        <f t="shared" ca="1" si="329"/>
        <v>0</v>
      </c>
      <c r="AC599" s="79">
        <f t="shared" ca="1" si="330"/>
        <v>0</v>
      </c>
      <c r="AE599" s="35"/>
      <c r="AF599" s="35"/>
      <c r="AR599" s="69">
        <f t="shared" si="340"/>
        <v>50</v>
      </c>
      <c r="AS599" s="70">
        <f t="shared" si="346"/>
        <v>596</v>
      </c>
      <c r="AT599" s="71">
        <f t="shared" ref="AT599:AT662" si="350">(1-AU599)*AT598</f>
        <v>1.6915241529123996E-2</v>
      </c>
      <c r="AU599" s="72">
        <f t="shared" si="331"/>
        <v>6.8214933659622723E-3</v>
      </c>
      <c r="AV599" s="73">
        <f t="shared" si="341"/>
        <v>1.0068214933659623</v>
      </c>
      <c r="AW599" s="74">
        <f>PRODUCT(AV$4:AV599)</f>
        <v>57.50121169993966</v>
      </c>
    </row>
    <row r="600" spans="5:49">
      <c r="E600">
        <f t="shared" si="348"/>
        <v>597</v>
      </c>
      <c r="F600" s="64">
        <f t="shared" si="332"/>
        <v>102.68</v>
      </c>
      <c r="G600" s="55">
        <f t="shared" si="322"/>
        <v>0</v>
      </c>
      <c r="H600" s="78">
        <f t="shared" si="347"/>
        <v>1</v>
      </c>
      <c r="I600" s="79">
        <f t="shared" si="333"/>
        <v>0</v>
      </c>
      <c r="J600" s="79">
        <f t="shared" si="323"/>
        <v>0</v>
      </c>
      <c r="K600" s="80">
        <f t="shared" si="324"/>
        <v>0</v>
      </c>
      <c r="L600" s="80">
        <f t="shared" si="334"/>
        <v>0</v>
      </c>
      <c r="M600" s="80">
        <f t="shared" si="349"/>
        <v>0</v>
      </c>
      <c r="N600" s="80">
        <f t="shared" si="335"/>
        <v>0</v>
      </c>
      <c r="O600" s="81">
        <f t="shared" si="325"/>
        <v>0</v>
      </c>
      <c r="P600" s="79">
        <f t="shared" si="326"/>
        <v>0</v>
      </c>
      <c r="R600">
        <f t="shared" ca="1" si="336"/>
        <v>722</v>
      </c>
      <c r="S600" s="78">
        <f t="shared" ca="1" si="337"/>
        <v>112.68</v>
      </c>
      <c r="T600" s="55">
        <f t="shared" ca="1" si="327"/>
        <v>0</v>
      </c>
      <c r="U600" s="78">
        <f t="shared" ca="1" si="342"/>
        <v>2.7389054743691302E-5</v>
      </c>
      <c r="V600" s="79">
        <f t="shared" ca="1" si="338"/>
        <v>0</v>
      </c>
      <c r="W600" s="79">
        <f t="shared" ca="1" si="328"/>
        <v>0</v>
      </c>
      <c r="X600" s="80">
        <f t="shared" ca="1" si="343"/>
        <v>0</v>
      </c>
      <c r="Y600" s="80">
        <f t="shared" ca="1" si="344"/>
        <v>0</v>
      </c>
      <c r="Z600" s="80">
        <f t="shared" ca="1" si="339"/>
        <v>0</v>
      </c>
      <c r="AA600" s="80">
        <f t="shared" ca="1" si="345"/>
        <v>0</v>
      </c>
      <c r="AB600" s="81">
        <f t="shared" ca="1" si="329"/>
        <v>0</v>
      </c>
      <c r="AC600" s="79">
        <f t="shared" ca="1" si="330"/>
        <v>0</v>
      </c>
      <c r="AE600" s="35"/>
      <c r="AF600" s="35"/>
      <c r="AR600" s="69">
        <f t="shared" si="340"/>
        <v>50</v>
      </c>
      <c r="AS600" s="70">
        <f t="shared" si="346"/>
        <v>597</v>
      </c>
      <c r="AT600" s="71">
        <f t="shared" si="350"/>
        <v>1.6799854321249426E-2</v>
      </c>
      <c r="AU600" s="72">
        <f t="shared" si="331"/>
        <v>6.8214933659622723E-3</v>
      </c>
      <c r="AV600" s="73">
        <f t="shared" si="341"/>
        <v>1.0068214933659623</v>
      </c>
      <c r="AW600" s="74">
        <f>PRODUCT(AV$4:AV600)</f>
        <v>57.893455834085593</v>
      </c>
    </row>
    <row r="601" spans="5:49">
      <c r="E601">
        <f t="shared" si="348"/>
        <v>598</v>
      </c>
      <c r="F601" s="64">
        <f t="shared" si="332"/>
        <v>102.76</v>
      </c>
      <c r="G601" s="55">
        <f t="shared" si="322"/>
        <v>0</v>
      </c>
      <c r="H601" s="78">
        <f t="shared" si="347"/>
        <v>1</v>
      </c>
      <c r="I601" s="79">
        <f t="shared" si="333"/>
        <v>0</v>
      </c>
      <c r="J601" s="79">
        <f t="shared" si="323"/>
        <v>0</v>
      </c>
      <c r="K601" s="80">
        <f t="shared" si="324"/>
        <v>0</v>
      </c>
      <c r="L601" s="80">
        <f t="shared" si="334"/>
        <v>0</v>
      </c>
      <c r="M601" s="80">
        <f t="shared" si="349"/>
        <v>0</v>
      </c>
      <c r="N601" s="80">
        <f t="shared" si="335"/>
        <v>0</v>
      </c>
      <c r="O601" s="81">
        <f t="shared" si="325"/>
        <v>0</v>
      </c>
      <c r="P601" s="79">
        <f t="shared" si="326"/>
        <v>0</v>
      </c>
      <c r="R601">
        <f t="shared" ca="1" si="336"/>
        <v>723</v>
      </c>
      <c r="S601" s="78">
        <f t="shared" ca="1" si="337"/>
        <v>112.76</v>
      </c>
      <c r="T601" s="55">
        <f t="shared" ca="1" si="327"/>
        <v>0</v>
      </c>
      <c r="U601" s="78">
        <f t="shared" ca="1" si="342"/>
        <v>2.7389054743691302E-5</v>
      </c>
      <c r="V601" s="79">
        <f t="shared" ca="1" si="338"/>
        <v>0</v>
      </c>
      <c r="W601" s="79">
        <f t="shared" ca="1" si="328"/>
        <v>0</v>
      </c>
      <c r="X601" s="80">
        <f t="shared" ca="1" si="343"/>
        <v>0</v>
      </c>
      <c r="Y601" s="80">
        <f t="shared" ca="1" si="344"/>
        <v>0</v>
      </c>
      <c r="Z601" s="80">
        <f t="shared" ca="1" si="339"/>
        <v>0</v>
      </c>
      <c r="AA601" s="80">
        <f t="shared" ca="1" si="345"/>
        <v>0</v>
      </c>
      <c r="AB601" s="81">
        <f t="shared" ca="1" si="329"/>
        <v>0</v>
      </c>
      <c r="AC601" s="79">
        <f t="shared" ca="1" si="330"/>
        <v>0</v>
      </c>
      <c r="AE601" s="35"/>
      <c r="AF601" s="35"/>
      <c r="AR601" s="69">
        <f t="shared" si="340"/>
        <v>50</v>
      </c>
      <c r="AS601" s="70">
        <f t="shared" si="346"/>
        <v>598</v>
      </c>
      <c r="AT601" s="71">
        <f t="shared" si="350"/>
        <v>1.6685254226447892E-2</v>
      </c>
      <c r="AU601" s="72">
        <f t="shared" si="331"/>
        <v>6.8214933659622723E-3</v>
      </c>
      <c r="AV601" s="73">
        <f t="shared" si="341"/>
        <v>1.0068214933659623</v>
      </c>
      <c r="AW601" s="74">
        <f>PRODUCT(AV$4:AV601)</f>
        <v>58.288375658990439</v>
      </c>
    </row>
    <row r="602" spans="5:49">
      <c r="E602">
        <f t="shared" si="348"/>
        <v>599</v>
      </c>
      <c r="F602" s="64">
        <f t="shared" si="332"/>
        <v>102.84</v>
      </c>
      <c r="G602" s="55">
        <f t="shared" si="322"/>
        <v>0</v>
      </c>
      <c r="H602" s="78">
        <f t="shared" si="347"/>
        <v>1</v>
      </c>
      <c r="I602" s="79">
        <f t="shared" si="333"/>
        <v>0</v>
      </c>
      <c r="J602" s="79">
        <f t="shared" si="323"/>
        <v>0</v>
      </c>
      <c r="K602" s="80">
        <f t="shared" si="324"/>
        <v>0</v>
      </c>
      <c r="L602" s="80">
        <f t="shared" si="334"/>
        <v>0</v>
      </c>
      <c r="M602" s="80">
        <f t="shared" si="349"/>
        <v>0</v>
      </c>
      <c r="N602" s="80">
        <f t="shared" si="335"/>
        <v>0</v>
      </c>
      <c r="O602" s="81">
        <f t="shared" si="325"/>
        <v>0</v>
      </c>
      <c r="P602" s="79">
        <f t="shared" si="326"/>
        <v>0</v>
      </c>
      <c r="R602">
        <f t="shared" ca="1" si="336"/>
        <v>724</v>
      </c>
      <c r="S602" s="78">
        <f t="shared" ca="1" si="337"/>
        <v>112.84</v>
      </c>
      <c r="T602" s="55">
        <f t="shared" ca="1" si="327"/>
        <v>0</v>
      </c>
      <c r="U602" s="78">
        <f t="shared" ca="1" si="342"/>
        <v>2.7389054743691302E-5</v>
      </c>
      <c r="V602" s="79">
        <f t="shared" ca="1" si="338"/>
        <v>0</v>
      </c>
      <c r="W602" s="79">
        <f t="shared" ca="1" si="328"/>
        <v>0</v>
      </c>
      <c r="X602" s="80">
        <f t="shared" ca="1" si="343"/>
        <v>0</v>
      </c>
      <c r="Y602" s="80">
        <f t="shared" ca="1" si="344"/>
        <v>0</v>
      </c>
      <c r="Z602" s="80">
        <f t="shared" ca="1" si="339"/>
        <v>0</v>
      </c>
      <c r="AA602" s="80">
        <f t="shared" ca="1" si="345"/>
        <v>0</v>
      </c>
      <c r="AB602" s="81">
        <f t="shared" ca="1" si="329"/>
        <v>0</v>
      </c>
      <c r="AC602" s="79">
        <f t="shared" ca="1" si="330"/>
        <v>0</v>
      </c>
      <c r="AE602" s="35"/>
      <c r="AF602" s="35"/>
      <c r="AR602" s="69">
        <f t="shared" si="340"/>
        <v>50</v>
      </c>
      <c r="AS602" s="70">
        <f t="shared" si="346"/>
        <v>599</v>
      </c>
      <c r="AT602" s="71">
        <f t="shared" si="350"/>
        <v>1.6571435875432784E-2</v>
      </c>
      <c r="AU602" s="72">
        <f t="shared" si="331"/>
        <v>6.8214933659622723E-3</v>
      </c>
      <c r="AV602" s="73">
        <f t="shared" si="341"/>
        <v>1.0068214933659623</v>
      </c>
      <c r="AW602" s="74">
        <f>PRODUCT(AV$4:AV602)</f>
        <v>58.685989426860957</v>
      </c>
    </row>
    <row r="603" spans="5:49">
      <c r="E603">
        <f t="shared" si="348"/>
        <v>600</v>
      </c>
      <c r="F603" s="64">
        <f t="shared" si="332"/>
        <v>102.92</v>
      </c>
      <c r="G603" s="55">
        <f t="shared" si="322"/>
        <v>0</v>
      </c>
      <c r="H603" s="78">
        <f t="shared" si="347"/>
        <v>1</v>
      </c>
      <c r="I603" s="79">
        <f t="shared" si="333"/>
        <v>0</v>
      </c>
      <c r="J603" s="79">
        <f t="shared" si="323"/>
        <v>0</v>
      </c>
      <c r="K603" s="80">
        <f t="shared" si="324"/>
        <v>0</v>
      </c>
      <c r="L603" s="80">
        <f t="shared" si="334"/>
        <v>0</v>
      </c>
      <c r="M603" s="80">
        <f t="shared" si="349"/>
        <v>0</v>
      </c>
      <c r="N603" s="80">
        <f t="shared" si="335"/>
        <v>0</v>
      </c>
      <c r="O603" s="81">
        <f t="shared" si="325"/>
        <v>0</v>
      </c>
      <c r="P603" s="79">
        <f t="shared" si="326"/>
        <v>0</v>
      </c>
      <c r="R603">
        <f t="shared" ca="1" si="336"/>
        <v>725</v>
      </c>
      <c r="S603" s="78">
        <f t="shared" ca="1" si="337"/>
        <v>112.92</v>
      </c>
      <c r="T603" s="55">
        <f t="shared" ca="1" si="327"/>
        <v>0</v>
      </c>
      <c r="U603" s="78">
        <f t="shared" ca="1" si="342"/>
        <v>2.7389054743691302E-5</v>
      </c>
      <c r="V603" s="79">
        <f t="shared" ca="1" si="338"/>
        <v>0</v>
      </c>
      <c r="W603" s="79">
        <f t="shared" ca="1" si="328"/>
        <v>0</v>
      </c>
      <c r="X603" s="80">
        <f t="shared" ca="1" si="343"/>
        <v>0</v>
      </c>
      <c r="Y603" s="80">
        <f t="shared" ca="1" si="344"/>
        <v>0</v>
      </c>
      <c r="Z603" s="80">
        <f t="shared" ca="1" si="339"/>
        <v>0</v>
      </c>
      <c r="AA603" s="80">
        <f t="shared" ca="1" si="345"/>
        <v>0</v>
      </c>
      <c r="AB603" s="81">
        <f t="shared" ca="1" si="329"/>
        <v>0</v>
      </c>
      <c r="AC603" s="79">
        <f t="shared" ca="1" si="330"/>
        <v>0</v>
      </c>
      <c r="AE603" s="35"/>
      <c r="AF603" s="35"/>
      <c r="AR603" s="69">
        <f t="shared" si="340"/>
        <v>50</v>
      </c>
      <c r="AS603" s="70">
        <f t="shared" si="346"/>
        <v>600</v>
      </c>
      <c r="AT603" s="71">
        <f t="shared" si="350"/>
        <v>1.645839393554405E-2</v>
      </c>
      <c r="AU603" s="72">
        <f t="shared" si="331"/>
        <v>6.8214933659622723E-3</v>
      </c>
      <c r="AV603" s="73">
        <f t="shared" si="341"/>
        <v>1.0068214933659623</v>
      </c>
      <c r="AW603" s="74">
        <f>PRODUCT(AV$4:AV603)</f>
        <v>59.086315514411218</v>
      </c>
    </row>
    <row r="604" spans="5:49">
      <c r="E604">
        <f t="shared" si="348"/>
        <v>601</v>
      </c>
      <c r="F604" s="64">
        <f t="shared" si="332"/>
        <v>103</v>
      </c>
      <c r="G604" s="55">
        <f t="shared" si="322"/>
        <v>0</v>
      </c>
      <c r="H604" s="78">
        <f t="shared" si="347"/>
        <v>1</v>
      </c>
      <c r="I604" s="79">
        <f t="shared" si="333"/>
        <v>0</v>
      </c>
      <c r="J604" s="79">
        <f t="shared" si="323"/>
        <v>0</v>
      </c>
      <c r="K604" s="80">
        <f t="shared" si="324"/>
        <v>0</v>
      </c>
      <c r="L604" s="80">
        <f t="shared" si="334"/>
        <v>0</v>
      </c>
      <c r="M604" s="80">
        <f t="shared" si="349"/>
        <v>0</v>
      </c>
      <c r="N604" s="80">
        <f t="shared" si="335"/>
        <v>0</v>
      </c>
      <c r="O604" s="81">
        <f t="shared" si="325"/>
        <v>0</v>
      </c>
      <c r="P604" s="79">
        <f t="shared" si="326"/>
        <v>0</v>
      </c>
      <c r="R604">
        <f t="shared" ca="1" si="336"/>
        <v>726</v>
      </c>
      <c r="S604" s="78">
        <f t="shared" ca="1" si="337"/>
        <v>113</v>
      </c>
      <c r="T604" s="55">
        <f t="shared" ca="1" si="327"/>
        <v>0</v>
      </c>
      <c r="U604" s="78">
        <f t="shared" ca="1" si="342"/>
        <v>2.7389054743691302E-5</v>
      </c>
      <c r="V604" s="79">
        <f t="shared" ca="1" si="338"/>
        <v>0</v>
      </c>
      <c r="W604" s="79">
        <f t="shared" ca="1" si="328"/>
        <v>0</v>
      </c>
      <c r="X604" s="80">
        <f t="shared" ca="1" si="343"/>
        <v>0</v>
      </c>
      <c r="Y604" s="80">
        <f t="shared" ca="1" si="344"/>
        <v>0</v>
      </c>
      <c r="Z604" s="80">
        <f t="shared" ca="1" si="339"/>
        <v>0</v>
      </c>
      <c r="AA604" s="80">
        <f t="shared" ca="1" si="345"/>
        <v>0</v>
      </c>
      <c r="AB604" s="81">
        <f t="shared" ca="1" si="329"/>
        <v>0</v>
      </c>
      <c r="AC604" s="79">
        <f t="shared" ca="1" si="330"/>
        <v>0</v>
      </c>
      <c r="AE604" s="35"/>
      <c r="AF604" s="35"/>
      <c r="AR604" s="69">
        <f t="shared" si="340"/>
        <v>51</v>
      </c>
      <c r="AS604" s="70">
        <f t="shared" si="346"/>
        <v>601</v>
      </c>
      <c r="AT604" s="71">
        <f t="shared" si="350"/>
        <v>1.6346123110498344E-2</v>
      </c>
      <c r="AU604" s="72">
        <f t="shared" si="331"/>
        <v>6.8214933659622723E-3</v>
      </c>
      <c r="AV604" s="73">
        <f t="shared" si="341"/>
        <v>1.0068214933659623</v>
      </c>
      <c r="AW604" s="74">
        <f>PRODUCT(AV$4:AV604)</f>
        <v>59.489372423711927</v>
      </c>
    </row>
    <row r="605" spans="5:49">
      <c r="E605">
        <f t="shared" si="348"/>
        <v>602</v>
      </c>
      <c r="F605" s="64">
        <f t="shared" si="332"/>
        <v>103.08</v>
      </c>
      <c r="G605" s="55">
        <f t="shared" si="322"/>
        <v>0</v>
      </c>
      <c r="H605" s="78">
        <f t="shared" si="347"/>
        <v>1</v>
      </c>
      <c r="I605" s="79">
        <f t="shared" si="333"/>
        <v>0</v>
      </c>
      <c r="J605" s="79">
        <f t="shared" si="323"/>
        <v>0</v>
      </c>
      <c r="K605" s="80">
        <f t="shared" si="324"/>
        <v>0</v>
      </c>
      <c r="L605" s="80">
        <f t="shared" si="334"/>
        <v>0</v>
      </c>
      <c r="M605" s="80">
        <f t="shared" si="349"/>
        <v>0</v>
      </c>
      <c r="N605" s="80">
        <f t="shared" si="335"/>
        <v>0</v>
      </c>
      <c r="O605" s="81">
        <f t="shared" si="325"/>
        <v>0</v>
      </c>
      <c r="P605" s="79">
        <f t="shared" si="326"/>
        <v>0</v>
      </c>
      <c r="R605">
        <f t="shared" ca="1" si="336"/>
        <v>727</v>
      </c>
      <c r="S605" s="78">
        <f t="shared" ca="1" si="337"/>
        <v>113.08</v>
      </c>
      <c r="T605" s="55">
        <f t="shared" ca="1" si="327"/>
        <v>0</v>
      </c>
      <c r="U605" s="78">
        <f t="shared" ca="1" si="342"/>
        <v>2.7389054743691302E-5</v>
      </c>
      <c r="V605" s="79">
        <f t="shared" ca="1" si="338"/>
        <v>0</v>
      </c>
      <c r="W605" s="79">
        <f t="shared" ca="1" si="328"/>
        <v>0</v>
      </c>
      <c r="X605" s="80">
        <f t="shared" ca="1" si="343"/>
        <v>0</v>
      </c>
      <c r="Y605" s="80">
        <f t="shared" ca="1" si="344"/>
        <v>0</v>
      </c>
      <c r="Z605" s="80">
        <f t="shared" ca="1" si="339"/>
        <v>0</v>
      </c>
      <c r="AA605" s="80">
        <f t="shared" ca="1" si="345"/>
        <v>0</v>
      </c>
      <c r="AB605" s="81">
        <f t="shared" ca="1" si="329"/>
        <v>0</v>
      </c>
      <c r="AC605" s="79">
        <f t="shared" ca="1" si="330"/>
        <v>0</v>
      </c>
      <c r="AE605" s="35"/>
      <c r="AF605" s="35"/>
      <c r="AR605" s="69">
        <f t="shared" si="340"/>
        <v>51</v>
      </c>
      <c r="AS605" s="70">
        <f t="shared" si="346"/>
        <v>602</v>
      </c>
      <c r="AT605" s="71">
        <f t="shared" si="350"/>
        <v>1.6234618140140877E-2</v>
      </c>
      <c r="AU605" s="72">
        <f t="shared" si="331"/>
        <v>6.8214933659622723E-3</v>
      </c>
      <c r="AV605" s="73">
        <f t="shared" si="341"/>
        <v>1.0068214933659623</v>
      </c>
      <c r="AW605" s="74">
        <f>PRODUCT(AV$4:AV605)</f>
        <v>59.895178783045537</v>
      </c>
    </row>
    <row r="606" spans="5:49">
      <c r="E606">
        <f t="shared" si="348"/>
        <v>603</v>
      </c>
      <c r="F606" s="64">
        <f t="shared" si="332"/>
        <v>103.16</v>
      </c>
      <c r="G606" s="55">
        <f t="shared" si="322"/>
        <v>0</v>
      </c>
      <c r="H606" s="78">
        <f t="shared" si="347"/>
        <v>1</v>
      </c>
      <c r="I606" s="79">
        <f t="shared" si="333"/>
        <v>0</v>
      </c>
      <c r="J606" s="79">
        <f t="shared" si="323"/>
        <v>0</v>
      </c>
      <c r="K606" s="80">
        <f t="shared" si="324"/>
        <v>0</v>
      </c>
      <c r="L606" s="80">
        <f t="shared" si="334"/>
        <v>0</v>
      </c>
      <c r="M606" s="80">
        <f t="shared" si="349"/>
        <v>0</v>
      </c>
      <c r="N606" s="80">
        <f t="shared" si="335"/>
        <v>0</v>
      </c>
      <c r="O606" s="81">
        <f t="shared" si="325"/>
        <v>0</v>
      </c>
      <c r="P606" s="79">
        <f t="shared" si="326"/>
        <v>0</v>
      </c>
      <c r="R606">
        <f t="shared" ca="1" si="336"/>
        <v>728</v>
      </c>
      <c r="S606" s="78">
        <f t="shared" ca="1" si="337"/>
        <v>113.16</v>
      </c>
      <c r="T606" s="55">
        <f t="shared" ca="1" si="327"/>
        <v>0</v>
      </c>
      <c r="U606" s="78">
        <f t="shared" ca="1" si="342"/>
        <v>2.7389054743691302E-5</v>
      </c>
      <c r="V606" s="79">
        <f t="shared" ca="1" si="338"/>
        <v>0</v>
      </c>
      <c r="W606" s="79">
        <f t="shared" ca="1" si="328"/>
        <v>0</v>
      </c>
      <c r="X606" s="80">
        <f t="shared" ca="1" si="343"/>
        <v>0</v>
      </c>
      <c r="Y606" s="80">
        <f t="shared" ca="1" si="344"/>
        <v>0</v>
      </c>
      <c r="Z606" s="80">
        <f t="shared" ca="1" si="339"/>
        <v>0</v>
      </c>
      <c r="AA606" s="80">
        <f t="shared" ca="1" si="345"/>
        <v>0</v>
      </c>
      <c r="AB606" s="81">
        <f t="shared" ca="1" si="329"/>
        <v>0</v>
      </c>
      <c r="AC606" s="79">
        <f t="shared" ca="1" si="330"/>
        <v>0</v>
      </c>
      <c r="AE606" s="35"/>
      <c r="AF606" s="35"/>
      <c r="AR606" s="69">
        <f t="shared" si="340"/>
        <v>51</v>
      </c>
      <c r="AS606" s="70">
        <f t="shared" si="346"/>
        <v>603</v>
      </c>
      <c r="AT606" s="71">
        <f t="shared" si="350"/>
        <v>1.6123873800198977E-2</v>
      </c>
      <c r="AU606" s="72">
        <f t="shared" si="331"/>
        <v>6.8214933659622723E-3</v>
      </c>
      <c r="AV606" s="73">
        <f t="shared" si="341"/>
        <v>1.0068214933659623</v>
      </c>
      <c r="AW606" s="74">
        <f>PRODUCT(AV$4:AV606)</f>
        <v>60.303753347767206</v>
      </c>
    </row>
    <row r="607" spans="5:49">
      <c r="E607">
        <f t="shared" si="348"/>
        <v>604</v>
      </c>
      <c r="F607" s="64">
        <f t="shared" si="332"/>
        <v>103.24</v>
      </c>
      <c r="G607" s="55">
        <f t="shared" si="322"/>
        <v>0</v>
      </c>
      <c r="H607" s="78">
        <f t="shared" si="347"/>
        <v>1</v>
      </c>
      <c r="I607" s="79">
        <f t="shared" si="333"/>
        <v>0</v>
      </c>
      <c r="J607" s="79">
        <f t="shared" si="323"/>
        <v>0</v>
      </c>
      <c r="K607" s="80">
        <f t="shared" si="324"/>
        <v>0</v>
      </c>
      <c r="L607" s="80">
        <f t="shared" si="334"/>
        <v>0</v>
      </c>
      <c r="M607" s="80">
        <f t="shared" si="349"/>
        <v>0</v>
      </c>
      <c r="N607" s="80">
        <f t="shared" si="335"/>
        <v>0</v>
      </c>
      <c r="O607" s="81">
        <f t="shared" si="325"/>
        <v>0</v>
      </c>
      <c r="P607" s="79">
        <f t="shared" si="326"/>
        <v>0</v>
      </c>
      <c r="R607">
        <f t="shared" ca="1" si="336"/>
        <v>729</v>
      </c>
      <c r="S607" s="78">
        <f t="shared" ca="1" si="337"/>
        <v>113.24</v>
      </c>
      <c r="T607" s="55">
        <f t="shared" ca="1" si="327"/>
        <v>0</v>
      </c>
      <c r="U607" s="78">
        <f t="shared" ca="1" si="342"/>
        <v>2.7389054743691302E-5</v>
      </c>
      <c r="V607" s="79">
        <f t="shared" ca="1" si="338"/>
        <v>0</v>
      </c>
      <c r="W607" s="79">
        <f t="shared" ca="1" si="328"/>
        <v>0</v>
      </c>
      <c r="X607" s="80">
        <f t="shared" ca="1" si="343"/>
        <v>0</v>
      </c>
      <c r="Y607" s="80">
        <f t="shared" ca="1" si="344"/>
        <v>0</v>
      </c>
      <c r="Z607" s="80">
        <f t="shared" ca="1" si="339"/>
        <v>0</v>
      </c>
      <c r="AA607" s="80">
        <f t="shared" ca="1" si="345"/>
        <v>0</v>
      </c>
      <c r="AB607" s="81">
        <f t="shared" ca="1" si="329"/>
        <v>0</v>
      </c>
      <c r="AC607" s="79">
        <f t="shared" ca="1" si="330"/>
        <v>0</v>
      </c>
      <c r="AE607" s="35"/>
      <c r="AF607" s="35"/>
      <c r="AR607" s="69">
        <f t="shared" si="340"/>
        <v>51</v>
      </c>
      <c r="AS607" s="70">
        <f t="shared" si="346"/>
        <v>604</v>
      </c>
      <c r="AT607" s="71">
        <f t="shared" si="350"/>
        <v>1.6013884902037305E-2</v>
      </c>
      <c r="AU607" s="72">
        <f t="shared" si="331"/>
        <v>6.8214933659622723E-3</v>
      </c>
      <c r="AV607" s="73">
        <f t="shared" si="341"/>
        <v>1.0068214933659623</v>
      </c>
      <c r="AW607" s="74">
        <f>PRODUCT(AV$4:AV607)</f>
        <v>60.715115001171625</v>
      </c>
    </row>
    <row r="608" spans="5:49">
      <c r="E608">
        <f t="shared" si="348"/>
        <v>605</v>
      </c>
      <c r="F608" s="64">
        <f t="shared" si="332"/>
        <v>103.32</v>
      </c>
      <c r="G608" s="55">
        <f t="shared" si="322"/>
        <v>0</v>
      </c>
      <c r="H608" s="78">
        <f t="shared" si="347"/>
        <v>1</v>
      </c>
      <c r="I608" s="79">
        <f t="shared" si="333"/>
        <v>0</v>
      </c>
      <c r="J608" s="79">
        <f t="shared" si="323"/>
        <v>0</v>
      </c>
      <c r="K608" s="80">
        <f t="shared" si="324"/>
        <v>0</v>
      </c>
      <c r="L608" s="80">
        <f t="shared" si="334"/>
        <v>0</v>
      </c>
      <c r="M608" s="80">
        <f t="shared" si="349"/>
        <v>0</v>
      </c>
      <c r="N608" s="80">
        <f t="shared" si="335"/>
        <v>0</v>
      </c>
      <c r="O608" s="81">
        <f t="shared" si="325"/>
        <v>0</v>
      </c>
      <c r="P608" s="79">
        <f t="shared" si="326"/>
        <v>0</v>
      </c>
      <c r="R608">
        <f t="shared" ca="1" si="336"/>
        <v>730</v>
      </c>
      <c r="S608" s="78">
        <f t="shared" ca="1" si="337"/>
        <v>113.32</v>
      </c>
      <c r="T608" s="55">
        <f t="shared" ca="1" si="327"/>
        <v>0</v>
      </c>
      <c r="U608" s="78">
        <f t="shared" ca="1" si="342"/>
        <v>2.7389054743691302E-5</v>
      </c>
      <c r="V608" s="79">
        <f t="shared" ca="1" si="338"/>
        <v>0</v>
      </c>
      <c r="W608" s="79">
        <f t="shared" ca="1" si="328"/>
        <v>0</v>
      </c>
      <c r="X608" s="80">
        <f t="shared" ca="1" si="343"/>
        <v>0</v>
      </c>
      <c r="Y608" s="80">
        <f t="shared" ca="1" si="344"/>
        <v>0</v>
      </c>
      <c r="Z608" s="80">
        <f t="shared" ca="1" si="339"/>
        <v>0</v>
      </c>
      <c r="AA608" s="80">
        <f t="shared" ca="1" si="345"/>
        <v>0</v>
      </c>
      <c r="AB608" s="81">
        <f t="shared" ca="1" si="329"/>
        <v>0</v>
      </c>
      <c r="AC608" s="79">
        <f t="shared" ca="1" si="330"/>
        <v>0</v>
      </c>
      <c r="AE608" s="35"/>
      <c r="AF608" s="35"/>
      <c r="AR608" s="69">
        <f t="shared" si="340"/>
        <v>51</v>
      </c>
      <c r="AS608" s="70">
        <f t="shared" si="346"/>
        <v>605</v>
      </c>
      <c r="AT608" s="71">
        <f t="shared" si="350"/>
        <v>1.5904646292414774E-2</v>
      </c>
      <c r="AU608" s="72">
        <f t="shared" si="331"/>
        <v>6.8214933659622723E-3</v>
      </c>
      <c r="AV608" s="73">
        <f t="shared" si="341"/>
        <v>1.0068214933659623</v>
      </c>
      <c r="AW608" s="74">
        <f>PRODUCT(AV$4:AV608)</f>
        <v>61.129282755365757</v>
      </c>
    </row>
    <row r="609" spans="5:49">
      <c r="E609">
        <f t="shared" si="348"/>
        <v>606</v>
      </c>
      <c r="F609" s="64">
        <f t="shared" si="332"/>
        <v>103.4</v>
      </c>
      <c r="G609" s="55">
        <f t="shared" si="322"/>
        <v>0</v>
      </c>
      <c r="H609" s="78">
        <f t="shared" si="347"/>
        <v>1</v>
      </c>
      <c r="I609" s="79">
        <f t="shared" si="333"/>
        <v>0</v>
      </c>
      <c r="J609" s="79">
        <f t="shared" si="323"/>
        <v>0</v>
      </c>
      <c r="K609" s="80">
        <f t="shared" si="324"/>
        <v>0</v>
      </c>
      <c r="L609" s="80">
        <f t="shared" si="334"/>
        <v>0</v>
      </c>
      <c r="M609" s="80">
        <f t="shared" si="349"/>
        <v>0</v>
      </c>
      <c r="N609" s="80">
        <f t="shared" si="335"/>
        <v>0</v>
      </c>
      <c r="O609" s="81">
        <f t="shared" si="325"/>
        <v>0</v>
      </c>
      <c r="P609" s="79">
        <f t="shared" si="326"/>
        <v>0</v>
      </c>
      <c r="R609">
        <f t="shared" ca="1" si="336"/>
        <v>731</v>
      </c>
      <c r="S609" s="78">
        <f t="shared" ca="1" si="337"/>
        <v>113.4</v>
      </c>
      <c r="T609" s="55">
        <f t="shared" ca="1" si="327"/>
        <v>0</v>
      </c>
      <c r="U609" s="78">
        <f t="shared" ca="1" si="342"/>
        <v>2.7389054743691302E-5</v>
      </c>
      <c r="V609" s="79">
        <f t="shared" ca="1" si="338"/>
        <v>0</v>
      </c>
      <c r="W609" s="79">
        <f t="shared" ca="1" si="328"/>
        <v>0</v>
      </c>
      <c r="X609" s="80">
        <f t="shared" ca="1" si="343"/>
        <v>0</v>
      </c>
      <c r="Y609" s="80">
        <f t="shared" ca="1" si="344"/>
        <v>0</v>
      </c>
      <c r="Z609" s="80">
        <f t="shared" ca="1" si="339"/>
        <v>0</v>
      </c>
      <c r="AA609" s="80">
        <f t="shared" ca="1" si="345"/>
        <v>0</v>
      </c>
      <c r="AB609" s="81">
        <f t="shared" ca="1" si="329"/>
        <v>0</v>
      </c>
      <c r="AC609" s="79">
        <f t="shared" ca="1" si="330"/>
        <v>0</v>
      </c>
      <c r="AE609" s="35"/>
      <c r="AF609" s="35"/>
      <c r="AR609" s="69">
        <f t="shared" si="340"/>
        <v>51</v>
      </c>
      <c r="AS609" s="70">
        <f t="shared" si="346"/>
        <v>606</v>
      </c>
      <c r="AT609" s="71">
        <f t="shared" si="350"/>
        <v>1.5796152853243092E-2</v>
      </c>
      <c r="AU609" s="72">
        <f t="shared" si="331"/>
        <v>6.8214933659622723E-3</v>
      </c>
      <c r="AV609" s="73">
        <f t="shared" si="341"/>
        <v>1.0068214933659623</v>
      </c>
      <c r="AW609" s="74">
        <f>PRODUCT(AV$4:AV609)</f>
        <v>61.546275752147515</v>
      </c>
    </row>
    <row r="610" spans="5:49">
      <c r="E610">
        <f t="shared" si="348"/>
        <v>607</v>
      </c>
      <c r="F610" s="64">
        <f t="shared" si="332"/>
        <v>103.48</v>
      </c>
      <c r="G610" s="55">
        <f t="shared" si="322"/>
        <v>0</v>
      </c>
      <c r="H610" s="78">
        <f t="shared" si="347"/>
        <v>1</v>
      </c>
      <c r="I610" s="79">
        <f t="shared" si="333"/>
        <v>0</v>
      </c>
      <c r="J610" s="79">
        <f t="shared" si="323"/>
        <v>0</v>
      </c>
      <c r="K610" s="80">
        <f t="shared" si="324"/>
        <v>0</v>
      </c>
      <c r="L610" s="80">
        <f t="shared" si="334"/>
        <v>0</v>
      </c>
      <c r="M610" s="80">
        <f t="shared" si="349"/>
        <v>0</v>
      </c>
      <c r="N610" s="80">
        <f t="shared" si="335"/>
        <v>0</v>
      </c>
      <c r="O610" s="81">
        <f t="shared" si="325"/>
        <v>0</v>
      </c>
      <c r="P610" s="79">
        <f t="shared" si="326"/>
        <v>0</v>
      </c>
      <c r="R610">
        <f t="shared" ca="1" si="336"/>
        <v>732</v>
      </c>
      <c r="S610" s="78">
        <f t="shared" ca="1" si="337"/>
        <v>113.48</v>
      </c>
      <c r="T610" s="55">
        <f t="shared" ca="1" si="327"/>
        <v>0</v>
      </c>
      <c r="U610" s="78">
        <f t="shared" ca="1" si="342"/>
        <v>2.7389054743691302E-5</v>
      </c>
      <c r="V610" s="79">
        <f t="shared" ca="1" si="338"/>
        <v>0</v>
      </c>
      <c r="W610" s="79">
        <f t="shared" ca="1" si="328"/>
        <v>0</v>
      </c>
      <c r="X610" s="80">
        <f t="shared" ca="1" si="343"/>
        <v>0</v>
      </c>
      <c r="Y610" s="80">
        <f t="shared" ca="1" si="344"/>
        <v>0</v>
      </c>
      <c r="Z610" s="80">
        <f t="shared" ca="1" si="339"/>
        <v>0</v>
      </c>
      <c r="AA610" s="80">
        <f t="shared" ca="1" si="345"/>
        <v>0</v>
      </c>
      <c r="AB610" s="81">
        <f t="shared" ca="1" si="329"/>
        <v>0</v>
      </c>
      <c r="AC610" s="79">
        <f t="shared" ca="1" si="330"/>
        <v>0</v>
      </c>
      <c r="AE610" s="35"/>
      <c r="AF610" s="35"/>
      <c r="AR610" s="69">
        <f t="shared" si="340"/>
        <v>51</v>
      </c>
      <c r="AS610" s="70">
        <f t="shared" si="346"/>
        <v>607</v>
      </c>
      <c r="AT610" s="71">
        <f t="shared" si="350"/>
        <v>1.5688399501346966E-2</v>
      </c>
      <c r="AU610" s="72">
        <f t="shared" si="331"/>
        <v>6.8214933659622723E-3</v>
      </c>
      <c r="AV610" s="73">
        <f t="shared" si="341"/>
        <v>1.0068214933659623</v>
      </c>
      <c r="AW610" s="74">
        <f>PRODUCT(AV$4:AV610)</f>
        <v>61.966113263890477</v>
      </c>
    </row>
    <row r="611" spans="5:49">
      <c r="E611">
        <f t="shared" si="348"/>
        <v>608</v>
      </c>
      <c r="F611" s="64">
        <f t="shared" si="332"/>
        <v>103.56</v>
      </c>
      <c r="G611" s="55">
        <f t="shared" si="322"/>
        <v>0</v>
      </c>
      <c r="H611" s="78">
        <f t="shared" si="347"/>
        <v>1</v>
      </c>
      <c r="I611" s="79">
        <f t="shared" si="333"/>
        <v>0</v>
      </c>
      <c r="J611" s="79">
        <f t="shared" si="323"/>
        <v>0</v>
      </c>
      <c r="K611" s="80">
        <f t="shared" si="324"/>
        <v>0</v>
      </c>
      <c r="L611" s="80">
        <f t="shared" si="334"/>
        <v>0</v>
      </c>
      <c r="M611" s="80">
        <f t="shared" si="349"/>
        <v>0</v>
      </c>
      <c r="N611" s="80">
        <f t="shared" si="335"/>
        <v>0</v>
      </c>
      <c r="O611" s="81">
        <f t="shared" si="325"/>
        <v>0</v>
      </c>
      <c r="P611" s="79">
        <f t="shared" si="326"/>
        <v>0</v>
      </c>
      <c r="R611">
        <f t="shared" ca="1" si="336"/>
        <v>733</v>
      </c>
      <c r="S611" s="78">
        <f t="shared" ca="1" si="337"/>
        <v>113.56</v>
      </c>
      <c r="T611" s="55">
        <f t="shared" ca="1" si="327"/>
        <v>0</v>
      </c>
      <c r="U611" s="78">
        <f t="shared" ca="1" si="342"/>
        <v>2.7389054743691302E-5</v>
      </c>
      <c r="V611" s="79">
        <f t="shared" ca="1" si="338"/>
        <v>0</v>
      </c>
      <c r="W611" s="79">
        <f t="shared" ca="1" si="328"/>
        <v>0</v>
      </c>
      <c r="X611" s="80">
        <f t="shared" ca="1" si="343"/>
        <v>0</v>
      </c>
      <c r="Y611" s="80">
        <f t="shared" ca="1" si="344"/>
        <v>0</v>
      </c>
      <c r="Z611" s="80">
        <f t="shared" ca="1" si="339"/>
        <v>0</v>
      </c>
      <c r="AA611" s="80">
        <f t="shared" ca="1" si="345"/>
        <v>0</v>
      </c>
      <c r="AB611" s="81">
        <f t="shared" ca="1" si="329"/>
        <v>0</v>
      </c>
      <c r="AC611" s="79">
        <f t="shared" ca="1" si="330"/>
        <v>0</v>
      </c>
      <c r="AE611" s="35"/>
      <c r="AF611" s="35"/>
      <c r="AR611" s="69">
        <f t="shared" si="340"/>
        <v>51</v>
      </c>
      <c r="AS611" s="70">
        <f t="shared" si="346"/>
        <v>608</v>
      </c>
      <c r="AT611" s="71">
        <f t="shared" si="350"/>
        <v>1.5581381188225963E-2</v>
      </c>
      <c r="AU611" s="72">
        <f t="shared" si="331"/>
        <v>6.8214933659622723E-3</v>
      </c>
      <c r="AV611" s="73">
        <f t="shared" si="341"/>
        <v>1.0068214933659623</v>
      </c>
      <c r="AW611" s="74">
        <f>PRODUCT(AV$4:AV611)</f>
        <v>62.388814694434572</v>
      </c>
    </row>
    <row r="612" spans="5:49">
      <c r="E612">
        <f t="shared" si="348"/>
        <v>609</v>
      </c>
      <c r="F612" s="64">
        <f t="shared" si="332"/>
        <v>103.64</v>
      </c>
      <c r="G612" s="55">
        <f t="shared" si="322"/>
        <v>0</v>
      </c>
      <c r="H612" s="78">
        <f t="shared" si="347"/>
        <v>1</v>
      </c>
      <c r="I612" s="79">
        <f t="shared" si="333"/>
        <v>0</v>
      </c>
      <c r="J612" s="79">
        <f t="shared" si="323"/>
        <v>0</v>
      </c>
      <c r="K612" s="80">
        <f t="shared" si="324"/>
        <v>0</v>
      </c>
      <c r="L612" s="80">
        <f t="shared" si="334"/>
        <v>0</v>
      </c>
      <c r="M612" s="80">
        <f t="shared" si="349"/>
        <v>0</v>
      </c>
      <c r="N612" s="80">
        <f t="shared" si="335"/>
        <v>0</v>
      </c>
      <c r="O612" s="81">
        <f t="shared" si="325"/>
        <v>0</v>
      </c>
      <c r="P612" s="79">
        <f t="shared" si="326"/>
        <v>0</v>
      </c>
      <c r="R612">
        <f t="shared" ca="1" si="336"/>
        <v>734</v>
      </c>
      <c r="S612" s="78">
        <f t="shared" ca="1" si="337"/>
        <v>113.64</v>
      </c>
      <c r="T612" s="55">
        <f t="shared" ca="1" si="327"/>
        <v>0</v>
      </c>
      <c r="U612" s="78">
        <f t="shared" ca="1" si="342"/>
        <v>2.7389054743691302E-5</v>
      </c>
      <c r="V612" s="79">
        <f t="shared" ca="1" si="338"/>
        <v>0</v>
      </c>
      <c r="W612" s="79">
        <f t="shared" ca="1" si="328"/>
        <v>0</v>
      </c>
      <c r="X612" s="80">
        <f t="shared" ca="1" si="343"/>
        <v>0</v>
      </c>
      <c r="Y612" s="80">
        <f t="shared" ca="1" si="344"/>
        <v>0</v>
      </c>
      <c r="Z612" s="80">
        <f t="shared" ca="1" si="339"/>
        <v>0</v>
      </c>
      <c r="AA612" s="80">
        <f t="shared" ca="1" si="345"/>
        <v>0</v>
      </c>
      <c r="AB612" s="81">
        <f t="shared" ca="1" si="329"/>
        <v>0</v>
      </c>
      <c r="AC612" s="79">
        <f t="shared" ca="1" si="330"/>
        <v>0</v>
      </c>
      <c r="AE612" s="35"/>
      <c r="AF612" s="35"/>
      <c r="AR612" s="69">
        <f t="shared" si="340"/>
        <v>51</v>
      </c>
      <c r="AS612" s="70">
        <f t="shared" si="346"/>
        <v>609</v>
      </c>
      <c r="AT612" s="71">
        <f t="shared" si="350"/>
        <v>1.547509289981795E-2</v>
      </c>
      <c r="AU612" s="72">
        <f t="shared" si="331"/>
        <v>6.8214933659622723E-3</v>
      </c>
      <c r="AV612" s="73">
        <f t="shared" si="341"/>
        <v>1.0068214933659623</v>
      </c>
      <c r="AW612" s="74">
        <f>PRODUCT(AV$4:AV612)</f>
        <v>62.814399579982904</v>
      </c>
    </row>
    <row r="613" spans="5:49">
      <c r="E613">
        <f t="shared" si="348"/>
        <v>610</v>
      </c>
      <c r="F613" s="64">
        <f t="shared" si="332"/>
        <v>103.72</v>
      </c>
      <c r="G613" s="55">
        <f t="shared" si="322"/>
        <v>0</v>
      </c>
      <c r="H613" s="78">
        <f t="shared" si="347"/>
        <v>1</v>
      </c>
      <c r="I613" s="79">
        <f t="shared" si="333"/>
        <v>0</v>
      </c>
      <c r="J613" s="79">
        <f t="shared" si="323"/>
        <v>0</v>
      </c>
      <c r="K613" s="80">
        <f t="shared" si="324"/>
        <v>0</v>
      </c>
      <c r="L613" s="80">
        <f t="shared" si="334"/>
        <v>0</v>
      </c>
      <c r="M613" s="80">
        <f t="shared" si="349"/>
        <v>0</v>
      </c>
      <c r="N613" s="80">
        <f t="shared" si="335"/>
        <v>0</v>
      </c>
      <c r="O613" s="81">
        <f t="shared" si="325"/>
        <v>0</v>
      </c>
      <c r="P613" s="79">
        <f t="shared" si="326"/>
        <v>0</v>
      </c>
      <c r="R613">
        <f t="shared" ca="1" si="336"/>
        <v>735</v>
      </c>
      <c r="S613" s="78">
        <f t="shared" ca="1" si="337"/>
        <v>113.72</v>
      </c>
      <c r="T613" s="55">
        <f t="shared" ca="1" si="327"/>
        <v>0</v>
      </c>
      <c r="U613" s="78">
        <f t="shared" ca="1" si="342"/>
        <v>2.7389054743691302E-5</v>
      </c>
      <c r="V613" s="79">
        <f t="shared" ca="1" si="338"/>
        <v>0</v>
      </c>
      <c r="W613" s="79">
        <f t="shared" ca="1" si="328"/>
        <v>0</v>
      </c>
      <c r="X613" s="80">
        <f t="shared" ca="1" si="343"/>
        <v>0</v>
      </c>
      <c r="Y613" s="80">
        <f t="shared" ca="1" si="344"/>
        <v>0</v>
      </c>
      <c r="Z613" s="80">
        <f t="shared" ca="1" si="339"/>
        <v>0</v>
      </c>
      <c r="AA613" s="80">
        <f t="shared" ca="1" si="345"/>
        <v>0</v>
      </c>
      <c r="AB613" s="81">
        <f t="shared" ca="1" si="329"/>
        <v>0</v>
      </c>
      <c r="AC613" s="79">
        <f t="shared" ca="1" si="330"/>
        <v>0</v>
      </c>
      <c r="AE613" s="35"/>
      <c r="AF613" s="35"/>
      <c r="AR613" s="69">
        <f t="shared" si="340"/>
        <v>51</v>
      </c>
      <c r="AS613" s="70">
        <f t="shared" si="346"/>
        <v>610</v>
      </c>
      <c r="AT613" s="71">
        <f t="shared" si="350"/>
        <v>1.5369529656264192E-2</v>
      </c>
      <c r="AU613" s="72">
        <f t="shared" si="331"/>
        <v>6.8214933659622723E-3</v>
      </c>
      <c r="AV613" s="73">
        <f t="shared" si="341"/>
        <v>1.0068214933659623</v>
      </c>
      <c r="AW613" s="74">
        <f>PRODUCT(AV$4:AV613)</f>
        <v>63.242887590004663</v>
      </c>
    </row>
    <row r="614" spans="5:49">
      <c r="E614">
        <f t="shared" si="348"/>
        <v>611</v>
      </c>
      <c r="F614" s="64">
        <f t="shared" si="332"/>
        <v>103.8</v>
      </c>
      <c r="G614" s="55">
        <f t="shared" si="322"/>
        <v>0</v>
      </c>
      <c r="H614" s="78">
        <f t="shared" si="347"/>
        <v>1</v>
      </c>
      <c r="I614" s="79">
        <f t="shared" si="333"/>
        <v>0</v>
      </c>
      <c r="J614" s="79">
        <f t="shared" si="323"/>
        <v>0</v>
      </c>
      <c r="K614" s="80">
        <f t="shared" si="324"/>
        <v>0</v>
      </c>
      <c r="L614" s="80">
        <f t="shared" si="334"/>
        <v>0</v>
      </c>
      <c r="M614" s="80">
        <f t="shared" si="349"/>
        <v>0</v>
      </c>
      <c r="N614" s="80">
        <f t="shared" si="335"/>
        <v>0</v>
      </c>
      <c r="O614" s="81">
        <f t="shared" si="325"/>
        <v>0</v>
      </c>
      <c r="P614" s="79">
        <f t="shared" si="326"/>
        <v>0</v>
      </c>
      <c r="R614">
        <f t="shared" ca="1" si="336"/>
        <v>736</v>
      </c>
      <c r="S614" s="78">
        <f t="shared" ca="1" si="337"/>
        <v>113.8</v>
      </c>
      <c r="T614" s="55">
        <f t="shared" ca="1" si="327"/>
        <v>0</v>
      </c>
      <c r="U614" s="78">
        <f t="shared" ca="1" si="342"/>
        <v>2.7389054743691302E-5</v>
      </c>
      <c r="V614" s="79">
        <f t="shared" ca="1" si="338"/>
        <v>0</v>
      </c>
      <c r="W614" s="79">
        <f t="shared" ca="1" si="328"/>
        <v>0</v>
      </c>
      <c r="X614" s="80">
        <f t="shared" ca="1" si="343"/>
        <v>0</v>
      </c>
      <c r="Y614" s="80">
        <f t="shared" ca="1" si="344"/>
        <v>0</v>
      </c>
      <c r="Z614" s="80">
        <f t="shared" ca="1" si="339"/>
        <v>0</v>
      </c>
      <c r="AA614" s="80">
        <f t="shared" ca="1" si="345"/>
        <v>0</v>
      </c>
      <c r="AB614" s="81">
        <f t="shared" ca="1" si="329"/>
        <v>0</v>
      </c>
      <c r="AC614" s="79">
        <f t="shared" ca="1" si="330"/>
        <v>0</v>
      </c>
      <c r="AE614" s="35"/>
      <c r="AF614" s="35"/>
      <c r="AR614" s="69">
        <f t="shared" si="340"/>
        <v>51</v>
      </c>
      <c r="AS614" s="70">
        <f t="shared" si="346"/>
        <v>611</v>
      </c>
      <c r="AT614" s="71">
        <f t="shared" si="350"/>
        <v>1.5264686511676026E-2</v>
      </c>
      <c r="AU614" s="72">
        <f t="shared" si="331"/>
        <v>6.8214933659622723E-3</v>
      </c>
      <c r="AV614" s="73">
        <f t="shared" si="341"/>
        <v>1.0068214933659623</v>
      </c>
      <c r="AW614" s="74">
        <f>PRODUCT(AV$4:AV614)</f>
        <v>63.674298528144178</v>
      </c>
    </row>
    <row r="615" spans="5:49">
      <c r="E615">
        <f t="shared" si="348"/>
        <v>612</v>
      </c>
      <c r="F615" s="64">
        <f t="shared" si="332"/>
        <v>103.88</v>
      </c>
      <c r="G615" s="55">
        <f t="shared" si="322"/>
        <v>0</v>
      </c>
      <c r="H615" s="78">
        <f t="shared" si="347"/>
        <v>1</v>
      </c>
      <c r="I615" s="79">
        <f t="shared" si="333"/>
        <v>0</v>
      </c>
      <c r="J615" s="79">
        <f t="shared" si="323"/>
        <v>0</v>
      </c>
      <c r="K615" s="80">
        <f t="shared" si="324"/>
        <v>0</v>
      </c>
      <c r="L615" s="80">
        <f t="shared" si="334"/>
        <v>0</v>
      </c>
      <c r="M615" s="80">
        <f t="shared" si="349"/>
        <v>0</v>
      </c>
      <c r="N615" s="80">
        <f t="shared" si="335"/>
        <v>0</v>
      </c>
      <c r="O615" s="81">
        <f t="shared" si="325"/>
        <v>0</v>
      </c>
      <c r="P615" s="79">
        <f t="shared" si="326"/>
        <v>0</v>
      </c>
      <c r="R615">
        <f t="shared" ca="1" si="336"/>
        <v>737</v>
      </c>
      <c r="S615" s="78">
        <f t="shared" ca="1" si="337"/>
        <v>113.88</v>
      </c>
      <c r="T615" s="55">
        <f t="shared" ca="1" si="327"/>
        <v>0</v>
      </c>
      <c r="U615" s="78">
        <f t="shared" ca="1" si="342"/>
        <v>2.7389054743691302E-5</v>
      </c>
      <c r="V615" s="79">
        <f t="shared" ca="1" si="338"/>
        <v>0</v>
      </c>
      <c r="W615" s="79">
        <f t="shared" ca="1" si="328"/>
        <v>0</v>
      </c>
      <c r="X615" s="80">
        <f t="shared" ca="1" si="343"/>
        <v>0</v>
      </c>
      <c r="Y615" s="80">
        <f t="shared" ca="1" si="344"/>
        <v>0</v>
      </c>
      <c r="Z615" s="80">
        <f t="shared" ca="1" si="339"/>
        <v>0</v>
      </c>
      <c r="AA615" s="80">
        <f t="shared" ca="1" si="345"/>
        <v>0</v>
      </c>
      <c r="AB615" s="81">
        <f t="shared" ca="1" si="329"/>
        <v>0</v>
      </c>
      <c r="AC615" s="79">
        <f t="shared" ca="1" si="330"/>
        <v>0</v>
      </c>
      <c r="AE615" s="35"/>
      <c r="AF615" s="35"/>
      <c r="AR615" s="69">
        <f t="shared" si="340"/>
        <v>51</v>
      </c>
      <c r="AS615" s="70">
        <f t="shared" si="346"/>
        <v>612</v>
      </c>
      <c r="AT615" s="71">
        <f t="shared" si="350"/>
        <v>1.5160558553903134E-2</v>
      </c>
      <c r="AU615" s="72">
        <f t="shared" si="331"/>
        <v>6.8214933659622723E-3</v>
      </c>
      <c r="AV615" s="73">
        <f t="shared" si="341"/>
        <v>1.0068214933659623</v>
      </c>
      <c r="AW615" s="74">
        <f>PRODUCT(AV$4:AV615)</f>
        <v>64.10865233313622</v>
      </c>
    </row>
    <row r="616" spans="5:49">
      <c r="E616">
        <f t="shared" si="348"/>
        <v>613</v>
      </c>
      <c r="F616" s="64">
        <f t="shared" si="332"/>
        <v>103.96</v>
      </c>
      <c r="G616" s="55">
        <f t="shared" si="322"/>
        <v>0</v>
      </c>
      <c r="H616" s="78">
        <f t="shared" si="347"/>
        <v>1</v>
      </c>
      <c r="I616" s="79">
        <f t="shared" si="333"/>
        <v>0</v>
      </c>
      <c r="J616" s="79">
        <f t="shared" si="323"/>
        <v>0</v>
      </c>
      <c r="K616" s="80">
        <f t="shared" si="324"/>
        <v>0</v>
      </c>
      <c r="L616" s="80">
        <f t="shared" si="334"/>
        <v>0</v>
      </c>
      <c r="M616" s="80">
        <f t="shared" si="349"/>
        <v>0</v>
      </c>
      <c r="N616" s="80">
        <f t="shared" si="335"/>
        <v>0</v>
      </c>
      <c r="O616" s="81">
        <f t="shared" si="325"/>
        <v>0</v>
      </c>
      <c r="P616" s="79">
        <f t="shared" si="326"/>
        <v>0</v>
      </c>
      <c r="R616">
        <f t="shared" ca="1" si="336"/>
        <v>738</v>
      </c>
      <c r="S616" s="78">
        <f t="shared" ca="1" si="337"/>
        <v>113.96</v>
      </c>
      <c r="T616" s="55">
        <f t="shared" ca="1" si="327"/>
        <v>0</v>
      </c>
      <c r="U616" s="78">
        <f t="shared" ca="1" si="342"/>
        <v>2.7389054743691302E-5</v>
      </c>
      <c r="V616" s="79">
        <f t="shared" ca="1" si="338"/>
        <v>0</v>
      </c>
      <c r="W616" s="79">
        <f t="shared" ca="1" si="328"/>
        <v>0</v>
      </c>
      <c r="X616" s="80">
        <f t="shared" ca="1" si="343"/>
        <v>0</v>
      </c>
      <c r="Y616" s="80">
        <f t="shared" ca="1" si="344"/>
        <v>0</v>
      </c>
      <c r="Z616" s="80">
        <f t="shared" ca="1" si="339"/>
        <v>0</v>
      </c>
      <c r="AA616" s="80">
        <f t="shared" ca="1" si="345"/>
        <v>0</v>
      </c>
      <c r="AB616" s="81">
        <f t="shared" ca="1" si="329"/>
        <v>0</v>
      </c>
      <c r="AC616" s="79">
        <f t="shared" ca="1" si="330"/>
        <v>0</v>
      </c>
      <c r="AE616" s="35"/>
      <c r="AF616" s="35"/>
      <c r="AR616" s="69">
        <f t="shared" si="340"/>
        <v>52</v>
      </c>
      <c r="AS616" s="70">
        <f t="shared" si="346"/>
        <v>613</v>
      </c>
      <c r="AT616" s="71">
        <f t="shared" si="350"/>
        <v>1.5057140904303401E-2</v>
      </c>
      <c r="AU616" s="72">
        <f t="shared" si="331"/>
        <v>6.8214933659622723E-3</v>
      </c>
      <c r="AV616" s="73">
        <f t="shared" si="341"/>
        <v>1.0068214933659623</v>
      </c>
      <c r="AW616" s="74">
        <f>PRODUCT(AV$4:AV616)</f>
        <v>64.545969079727485</v>
      </c>
    </row>
    <row r="617" spans="5:49">
      <c r="E617">
        <f t="shared" si="348"/>
        <v>614</v>
      </c>
      <c r="F617" s="64">
        <f t="shared" si="332"/>
        <v>104.04</v>
      </c>
      <c r="G617" s="55">
        <f t="shared" si="322"/>
        <v>0</v>
      </c>
      <c r="H617" s="78">
        <f t="shared" si="347"/>
        <v>1</v>
      </c>
      <c r="I617" s="79">
        <f t="shared" si="333"/>
        <v>0</v>
      </c>
      <c r="J617" s="79">
        <f t="shared" si="323"/>
        <v>0</v>
      </c>
      <c r="K617" s="80">
        <f t="shared" si="324"/>
        <v>0</v>
      </c>
      <c r="L617" s="80">
        <f t="shared" si="334"/>
        <v>0</v>
      </c>
      <c r="M617" s="80">
        <f t="shared" si="349"/>
        <v>0</v>
      </c>
      <c r="N617" s="80">
        <f t="shared" si="335"/>
        <v>0</v>
      </c>
      <c r="O617" s="81">
        <f t="shared" si="325"/>
        <v>0</v>
      </c>
      <c r="P617" s="79">
        <f t="shared" si="326"/>
        <v>0</v>
      </c>
      <c r="R617">
        <f t="shared" ca="1" si="336"/>
        <v>739</v>
      </c>
      <c r="S617" s="78">
        <f t="shared" ca="1" si="337"/>
        <v>114.04</v>
      </c>
      <c r="T617" s="55">
        <f t="shared" ca="1" si="327"/>
        <v>0</v>
      </c>
      <c r="U617" s="78">
        <f t="shared" ca="1" si="342"/>
        <v>2.7389054743691302E-5</v>
      </c>
      <c r="V617" s="79">
        <f t="shared" ca="1" si="338"/>
        <v>0</v>
      </c>
      <c r="W617" s="79">
        <f t="shared" ca="1" si="328"/>
        <v>0</v>
      </c>
      <c r="X617" s="80">
        <f t="shared" ca="1" si="343"/>
        <v>0</v>
      </c>
      <c r="Y617" s="80">
        <f t="shared" ca="1" si="344"/>
        <v>0</v>
      </c>
      <c r="Z617" s="80">
        <f t="shared" ca="1" si="339"/>
        <v>0</v>
      </c>
      <c r="AA617" s="80">
        <f t="shared" ca="1" si="345"/>
        <v>0</v>
      </c>
      <c r="AB617" s="81">
        <f t="shared" ca="1" si="329"/>
        <v>0</v>
      </c>
      <c r="AC617" s="79">
        <f t="shared" ca="1" si="330"/>
        <v>0</v>
      </c>
      <c r="AE617" s="35"/>
      <c r="AF617" s="35"/>
      <c r="AR617" s="69">
        <f t="shared" si="340"/>
        <v>52</v>
      </c>
      <c r="AS617" s="70">
        <f t="shared" si="346"/>
        <v>614</v>
      </c>
      <c r="AT617" s="71">
        <f t="shared" si="350"/>
        <v>1.4954428717514337E-2</v>
      </c>
      <c r="AU617" s="72">
        <f t="shared" si="331"/>
        <v>6.8214933659622723E-3</v>
      </c>
      <c r="AV617" s="73">
        <f t="shared" si="341"/>
        <v>1.0068214933659623</v>
      </c>
      <c r="AW617" s="74">
        <f>PRODUCT(AV$4:AV617)</f>
        <v>64.986268979604446</v>
      </c>
    </row>
    <row r="618" spans="5:49">
      <c r="E618">
        <f t="shared" si="348"/>
        <v>615</v>
      </c>
      <c r="F618" s="64">
        <f t="shared" si="332"/>
        <v>104.12</v>
      </c>
      <c r="G618" s="55">
        <f t="shared" si="322"/>
        <v>0</v>
      </c>
      <c r="H618" s="78">
        <f t="shared" si="347"/>
        <v>1</v>
      </c>
      <c r="I618" s="79">
        <f t="shared" si="333"/>
        <v>0</v>
      </c>
      <c r="J618" s="79">
        <f t="shared" si="323"/>
        <v>0</v>
      </c>
      <c r="K618" s="80">
        <f t="shared" si="324"/>
        <v>0</v>
      </c>
      <c r="L618" s="80">
        <f t="shared" si="334"/>
        <v>0</v>
      </c>
      <c r="M618" s="80">
        <f t="shared" si="349"/>
        <v>0</v>
      </c>
      <c r="N618" s="80">
        <f t="shared" si="335"/>
        <v>0</v>
      </c>
      <c r="O618" s="81">
        <f t="shared" si="325"/>
        <v>0</v>
      </c>
      <c r="P618" s="79">
        <f t="shared" si="326"/>
        <v>0</v>
      </c>
      <c r="R618">
        <f t="shared" ca="1" si="336"/>
        <v>740</v>
      </c>
      <c r="S618" s="78">
        <f t="shared" ca="1" si="337"/>
        <v>114.12</v>
      </c>
      <c r="T618" s="55">
        <f t="shared" ca="1" si="327"/>
        <v>0</v>
      </c>
      <c r="U618" s="78">
        <f t="shared" ca="1" si="342"/>
        <v>2.7389054743691302E-5</v>
      </c>
      <c r="V618" s="79">
        <f t="shared" ca="1" si="338"/>
        <v>0</v>
      </c>
      <c r="W618" s="79">
        <f t="shared" ca="1" si="328"/>
        <v>0</v>
      </c>
      <c r="X618" s="80">
        <f t="shared" ca="1" si="343"/>
        <v>0</v>
      </c>
      <c r="Y618" s="80">
        <f t="shared" ca="1" si="344"/>
        <v>0</v>
      </c>
      <c r="Z618" s="80">
        <f t="shared" ca="1" si="339"/>
        <v>0</v>
      </c>
      <c r="AA618" s="80">
        <f t="shared" ca="1" si="345"/>
        <v>0</v>
      </c>
      <c r="AB618" s="81">
        <f t="shared" ca="1" si="329"/>
        <v>0</v>
      </c>
      <c r="AC618" s="79">
        <f t="shared" ca="1" si="330"/>
        <v>0</v>
      </c>
      <c r="AE618" s="35"/>
      <c r="AF618" s="35"/>
      <c r="AR618" s="69">
        <f t="shared" si="340"/>
        <v>52</v>
      </c>
      <c r="AS618" s="70">
        <f t="shared" si="346"/>
        <v>615</v>
      </c>
      <c r="AT618" s="71">
        <f t="shared" si="350"/>
        <v>1.4852417181226056E-2</v>
      </c>
      <c r="AU618" s="72">
        <f t="shared" si="331"/>
        <v>6.8214933659622723E-3</v>
      </c>
      <c r="AV618" s="73">
        <f t="shared" si="341"/>
        <v>1.0068214933659623</v>
      </c>
      <c r="AW618" s="74">
        <f>PRODUCT(AV$4:AV618)</f>
        <v>65.429572382327464</v>
      </c>
    </row>
    <row r="619" spans="5:49">
      <c r="E619">
        <f t="shared" si="348"/>
        <v>616</v>
      </c>
      <c r="F619" s="64">
        <f t="shared" si="332"/>
        <v>104.2</v>
      </c>
      <c r="G619" s="55">
        <f t="shared" si="322"/>
        <v>0</v>
      </c>
      <c r="H619" s="78">
        <f t="shared" si="347"/>
        <v>1</v>
      </c>
      <c r="I619" s="79">
        <f t="shared" si="333"/>
        <v>0</v>
      </c>
      <c r="J619" s="79">
        <f t="shared" si="323"/>
        <v>0</v>
      </c>
      <c r="K619" s="80">
        <f t="shared" si="324"/>
        <v>0</v>
      </c>
      <c r="L619" s="80">
        <f t="shared" si="334"/>
        <v>0</v>
      </c>
      <c r="M619" s="80">
        <f t="shared" si="349"/>
        <v>0</v>
      </c>
      <c r="N619" s="80">
        <f t="shared" si="335"/>
        <v>0</v>
      </c>
      <c r="O619" s="81">
        <f t="shared" si="325"/>
        <v>0</v>
      </c>
      <c r="P619" s="79">
        <f t="shared" si="326"/>
        <v>0</v>
      </c>
      <c r="R619">
        <f t="shared" ca="1" si="336"/>
        <v>741</v>
      </c>
      <c r="S619" s="78">
        <f t="shared" ca="1" si="337"/>
        <v>114.2</v>
      </c>
      <c r="T619" s="55">
        <f t="shared" ca="1" si="327"/>
        <v>0</v>
      </c>
      <c r="U619" s="78">
        <f t="shared" ca="1" si="342"/>
        <v>2.7389054743691302E-5</v>
      </c>
      <c r="V619" s="79">
        <f t="shared" ca="1" si="338"/>
        <v>0</v>
      </c>
      <c r="W619" s="79">
        <f t="shared" ca="1" si="328"/>
        <v>0</v>
      </c>
      <c r="X619" s="80">
        <f t="shared" ca="1" si="343"/>
        <v>0</v>
      </c>
      <c r="Y619" s="80">
        <f t="shared" ca="1" si="344"/>
        <v>0</v>
      </c>
      <c r="Z619" s="80">
        <f t="shared" ca="1" si="339"/>
        <v>0</v>
      </c>
      <c r="AA619" s="80">
        <f t="shared" ca="1" si="345"/>
        <v>0</v>
      </c>
      <c r="AB619" s="81">
        <f t="shared" ca="1" si="329"/>
        <v>0</v>
      </c>
      <c r="AC619" s="79">
        <f t="shared" ca="1" si="330"/>
        <v>0</v>
      </c>
      <c r="AE619" s="35"/>
      <c r="AF619" s="35"/>
      <c r="AR619" s="69">
        <f t="shared" si="340"/>
        <v>52</v>
      </c>
      <c r="AS619" s="70">
        <f t="shared" si="346"/>
        <v>616</v>
      </c>
      <c r="AT619" s="71">
        <f t="shared" si="350"/>
        <v>1.4751101515955819E-2</v>
      </c>
      <c r="AU619" s="72">
        <f t="shared" si="331"/>
        <v>6.8214933659622723E-3</v>
      </c>
      <c r="AV619" s="73">
        <f t="shared" si="341"/>
        <v>1.0068214933659623</v>
      </c>
      <c r="AW619" s="74">
        <f>PRODUCT(AV$4:AV619)</f>
        <v>65.875899776271254</v>
      </c>
    </row>
    <row r="620" spans="5:49">
      <c r="E620">
        <f t="shared" si="348"/>
        <v>617</v>
      </c>
      <c r="F620" s="64">
        <f t="shared" si="332"/>
        <v>104.28</v>
      </c>
      <c r="G620" s="55">
        <f t="shared" si="322"/>
        <v>0</v>
      </c>
      <c r="H620" s="78">
        <f t="shared" si="347"/>
        <v>1</v>
      </c>
      <c r="I620" s="79">
        <f t="shared" si="333"/>
        <v>0</v>
      </c>
      <c r="J620" s="79">
        <f t="shared" si="323"/>
        <v>0</v>
      </c>
      <c r="K620" s="80">
        <f t="shared" si="324"/>
        <v>0</v>
      </c>
      <c r="L620" s="80">
        <f t="shared" si="334"/>
        <v>0</v>
      </c>
      <c r="M620" s="80">
        <f t="shared" si="349"/>
        <v>0</v>
      </c>
      <c r="N620" s="80">
        <f t="shared" si="335"/>
        <v>0</v>
      </c>
      <c r="O620" s="81">
        <f t="shared" si="325"/>
        <v>0</v>
      </c>
      <c r="P620" s="79">
        <f t="shared" si="326"/>
        <v>0</v>
      </c>
      <c r="R620">
        <f t="shared" ca="1" si="336"/>
        <v>742</v>
      </c>
      <c r="S620" s="78">
        <f t="shared" ca="1" si="337"/>
        <v>114.28</v>
      </c>
      <c r="T620" s="55">
        <f t="shared" ca="1" si="327"/>
        <v>0</v>
      </c>
      <c r="U620" s="78">
        <f t="shared" ca="1" si="342"/>
        <v>2.7389054743691302E-5</v>
      </c>
      <c r="V620" s="79">
        <f t="shared" ca="1" si="338"/>
        <v>0</v>
      </c>
      <c r="W620" s="79">
        <f t="shared" ca="1" si="328"/>
        <v>0</v>
      </c>
      <c r="X620" s="80">
        <f t="shared" ca="1" si="343"/>
        <v>0</v>
      </c>
      <c r="Y620" s="80">
        <f t="shared" ca="1" si="344"/>
        <v>0</v>
      </c>
      <c r="Z620" s="80">
        <f t="shared" ca="1" si="339"/>
        <v>0</v>
      </c>
      <c r="AA620" s="80">
        <f t="shared" ca="1" si="345"/>
        <v>0</v>
      </c>
      <c r="AB620" s="81">
        <f t="shared" ca="1" si="329"/>
        <v>0</v>
      </c>
      <c r="AC620" s="79">
        <f t="shared" ca="1" si="330"/>
        <v>0</v>
      </c>
      <c r="AE620" s="35"/>
      <c r="AF620" s="35"/>
      <c r="AR620" s="69">
        <f t="shared" si="340"/>
        <v>52</v>
      </c>
      <c r="AS620" s="70">
        <f t="shared" si="346"/>
        <v>617</v>
      </c>
      <c r="AT620" s="71">
        <f t="shared" si="350"/>
        <v>1.465047697482409E-2</v>
      </c>
      <c r="AU620" s="72">
        <f t="shared" si="331"/>
        <v>6.8214933659622723E-3</v>
      </c>
      <c r="AV620" s="73">
        <f t="shared" si="341"/>
        <v>1.0068214933659623</v>
      </c>
      <c r="AW620" s="74">
        <f>PRODUCT(AV$4:AV620)</f>
        <v>66.325271789571886</v>
      </c>
    </row>
    <row r="621" spans="5:49">
      <c r="E621">
        <f t="shared" si="348"/>
        <v>618</v>
      </c>
      <c r="F621" s="64">
        <f t="shared" si="332"/>
        <v>104.36</v>
      </c>
      <c r="G621" s="55">
        <f t="shared" si="322"/>
        <v>0</v>
      </c>
      <c r="H621" s="78">
        <f t="shared" si="347"/>
        <v>1</v>
      </c>
      <c r="I621" s="79">
        <f t="shared" si="333"/>
        <v>0</v>
      </c>
      <c r="J621" s="79">
        <f t="shared" si="323"/>
        <v>0</v>
      </c>
      <c r="K621" s="80">
        <f t="shared" si="324"/>
        <v>0</v>
      </c>
      <c r="L621" s="80">
        <f t="shared" si="334"/>
        <v>0</v>
      </c>
      <c r="M621" s="80">
        <f t="shared" si="349"/>
        <v>0</v>
      </c>
      <c r="N621" s="80">
        <f t="shared" si="335"/>
        <v>0</v>
      </c>
      <c r="O621" s="81">
        <f t="shared" si="325"/>
        <v>0</v>
      </c>
      <c r="P621" s="79">
        <f t="shared" si="326"/>
        <v>0</v>
      </c>
      <c r="R621">
        <f t="shared" ca="1" si="336"/>
        <v>743</v>
      </c>
      <c r="S621" s="78">
        <f t="shared" ca="1" si="337"/>
        <v>114.36</v>
      </c>
      <c r="T621" s="55">
        <f t="shared" ca="1" si="327"/>
        <v>0</v>
      </c>
      <c r="U621" s="78">
        <f t="shared" ca="1" si="342"/>
        <v>2.7389054743691302E-5</v>
      </c>
      <c r="V621" s="79">
        <f t="shared" ca="1" si="338"/>
        <v>0</v>
      </c>
      <c r="W621" s="79">
        <f t="shared" ca="1" si="328"/>
        <v>0</v>
      </c>
      <c r="X621" s="80">
        <f t="shared" ca="1" si="343"/>
        <v>0</v>
      </c>
      <c r="Y621" s="80">
        <f t="shared" ca="1" si="344"/>
        <v>0</v>
      </c>
      <c r="Z621" s="80">
        <f t="shared" ca="1" si="339"/>
        <v>0</v>
      </c>
      <c r="AA621" s="80">
        <f t="shared" ca="1" si="345"/>
        <v>0</v>
      </c>
      <c r="AB621" s="81">
        <f t="shared" ca="1" si="329"/>
        <v>0</v>
      </c>
      <c r="AC621" s="79">
        <f t="shared" ca="1" si="330"/>
        <v>0</v>
      </c>
      <c r="AE621" s="35"/>
      <c r="AF621" s="35"/>
      <c r="AR621" s="69">
        <f t="shared" si="340"/>
        <v>52</v>
      </c>
      <c r="AS621" s="70">
        <f t="shared" si="346"/>
        <v>618</v>
      </c>
      <c r="AT621" s="71">
        <f t="shared" si="350"/>
        <v>1.4550538843332145E-2</v>
      </c>
      <c r="AU621" s="72">
        <f t="shared" si="331"/>
        <v>6.8214933659622723E-3</v>
      </c>
      <c r="AV621" s="73">
        <f t="shared" si="341"/>
        <v>1.0068214933659623</v>
      </c>
      <c r="AW621" s="74">
        <f>PRODUCT(AV$4:AV621)</f>
        <v>66.777709191080092</v>
      </c>
    </row>
    <row r="622" spans="5:49">
      <c r="E622">
        <f t="shared" si="348"/>
        <v>619</v>
      </c>
      <c r="F622" s="64">
        <f t="shared" si="332"/>
        <v>104.44</v>
      </c>
      <c r="G622" s="55">
        <f t="shared" si="322"/>
        <v>0</v>
      </c>
      <c r="H622" s="78">
        <f t="shared" si="347"/>
        <v>1</v>
      </c>
      <c r="I622" s="79">
        <f t="shared" si="333"/>
        <v>0</v>
      </c>
      <c r="J622" s="79">
        <f t="shared" si="323"/>
        <v>0</v>
      </c>
      <c r="K622" s="80">
        <f t="shared" si="324"/>
        <v>0</v>
      </c>
      <c r="L622" s="80">
        <f t="shared" si="334"/>
        <v>0</v>
      </c>
      <c r="M622" s="80">
        <f t="shared" si="349"/>
        <v>0</v>
      </c>
      <c r="N622" s="80">
        <f t="shared" si="335"/>
        <v>0</v>
      </c>
      <c r="O622" s="81">
        <f t="shared" si="325"/>
        <v>0</v>
      </c>
      <c r="P622" s="79">
        <f t="shared" si="326"/>
        <v>0</v>
      </c>
      <c r="R622">
        <f t="shared" ca="1" si="336"/>
        <v>744</v>
      </c>
      <c r="S622" s="78">
        <f t="shared" ca="1" si="337"/>
        <v>114.44</v>
      </c>
      <c r="T622" s="55">
        <f t="shared" ca="1" si="327"/>
        <v>0</v>
      </c>
      <c r="U622" s="78">
        <f t="shared" ca="1" si="342"/>
        <v>2.7389054743691302E-5</v>
      </c>
      <c r="V622" s="79">
        <f t="shared" ca="1" si="338"/>
        <v>0</v>
      </c>
      <c r="W622" s="79">
        <f t="shared" ca="1" si="328"/>
        <v>0</v>
      </c>
      <c r="X622" s="80">
        <f t="shared" ca="1" si="343"/>
        <v>0</v>
      </c>
      <c r="Y622" s="80">
        <f t="shared" ca="1" si="344"/>
        <v>0</v>
      </c>
      <c r="Z622" s="80">
        <f t="shared" ca="1" si="339"/>
        <v>0</v>
      </c>
      <c r="AA622" s="80">
        <f t="shared" ca="1" si="345"/>
        <v>0</v>
      </c>
      <c r="AB622" s="81">
        <f t="shared" ca="1" si="329"/>
        <v>0</v>
      </c>
      <c r="AC622" s="79">
        <f t="shared" ca="1" si="330"/>
        <v>0</v>
      </c>
      <c r="AE622" s="35"/>
      <c r="AF622" s="35"/>
      <c r="AR622" s="69">
        <f t="shared" si="340"/>
        <v>52</v>
      </c>
      <c r="AS622" s="70">
        <f t="shared" si="346"/>
        <v>619</v>
      </c>
      <c r="AT622" s="71">
        <f t="shared" si="350"/>
        <v>1.4451282439141179E-2</v>
      </c>
      <c r="AU622" s="72">
        <f t="shared" si="331"/>
        <v>6.8214933659622723E-3</v>
      </c>
      <c r="AV622" s="73">
        <f t="shared" si="341"/>
        <v>1.0068214933659623</v>
      </c>
      <c r="AW622" s="74">
        <f>PRODUCT(AV$4:AV622)</f>
        <v>67.233232891321208</v>
      </c>
    </row>
    <row r="623" spans="5:49">
      <c r="E623">
        <f t="shared" si="348"/>
        <v>620</v>
      </c>
      <c r="F623" s="64">
        <f t="shared" si="332"/>
        <v>104.52</v>
      </c>
      <c r="G623" s="55">
        <f t="shared" si="322"/>
        <v>0</v>
      </c>
      <c r="H623" s="78">
        <f t="shared" si="347"/>
        <v>1</v>
      </c>
      <c r="I623" s="79">
        <f t="shared" si="333"/>
        <v>0</v>
      </c>
      <c r="J623" s="79">
        <f t="shared" si="323"/>
        <v>0</v>
      </c>
      <c r="K623" s="80">
        <f t="shared" si="324"/>
        <v>0</v>
      </c>
      <c r="L623" s="80">
        <f t="shared" si="334"/>
        <v>0</v>
      </c>
      <c r="M623" s="80">
        <f t="shared" si="349"/>
        <v>0</v>
      </c>
      <c r="N623" s="80">
        <f t="shared" si="335"/>
        <v>0</v>
      </c>
      <c r="O623" s="81">
        <f t="shared" si="325"/>
        <v>0</v>
      </c>
      <c r="P623" s="79">
        <f t="shared" si="326"/>
        <v>0</v>
      </c>
      <c r="R623">
        <f t="shared" ca="1" si="336"/>
        <v>745</v>
      </c>
      <c r="S623" s="78">
        <f t="shared" ca="1" si="337"/>
        <v>114.52</v>
      </c>
      <c r="T623" s="55">
        <f t="shared" ca="1" si="327"/>
        <v>0</v>
      </c>
      <c r="U623" s="78">
        <f t="shared" ca="1" si="342"/>
        <v>2.7389054743691302E-5</v>
      </c>
      <c r="V623" s="79">
        <f t="shared" ca="1" si="338"/>
        <v>0</v>
      </c>
      <c r="W623" s="79">
        <f t="shared" ca="1" si="328"/>
        <v>0</v>
      </c>
      <c r="X623" s="80">
        <f t="shared" ca="1" si="343"/>
        <v>0</v>
      </c>
      <c r="Y623" s="80">
        <f t="shared" ca="1" si="344"/>
        <v>0</v>
      </c>
      <c r="Z623" s="80">
        <f t="shared" ca="1" si="339"/>
        <v>0</v>
      </c>
      <c r="AA623" s="80">
        <f t="shared" ca="1" si="345"/>
        <v>0</v>
      </c>
      <c r="AB623" s="81">
        <f t="shared" ca="1" si="329"/>
        <v>0</v>
      </c>
      <c r="AC623" s="79">
        <f t="shared" ca="1" si="330"/>
        <v>0</v>
      </c>
      <c r="AE623" s="35"/>
      <c r="AF623" s="35"/>
      <c r="AR623" s="69">
        <f t="shared" si="340"/>
        <v>52</v>
      </c>
      <c r="AS623" s="70">
        <f t="shared" si="346"/>
        <v>620</v>
      </c>
      <c r="AT623" s="71">
        <f t="shared" si="350"/>
        <v>1.4352703111852931E-2</v>
      </c>
      <c r="AU623" s="72">
        <f t="shared" si="331"/>
        <v>6.8214933659622723E-3</v>
      </c>
      <c r="AV623" s="73">
        <f t="shared" si="341"/>
        <v>1.0068214933659623</v>
      </c>
      <c r="AW623" s="74">
        <f>PRODUCT(AV$4:AV623)</f>
        <v>67.691863943461556</v>
      </c>
    </row>
    <row r="624" spans="5:49">
      <c r="E624">
        <f t="shared" si="348"/>
        <v>621</v>
      </c>
      <c r="F624" s="64">
        <f t="shared" si="332"/>
        <v>104.6</v>
      </c>
      <c r="G624" s="55">
        <f t="shared" si="322"/>
        <v>0</v>
      </c>
      <c r="H624" s="78">
        <f t="shared" si="347"/>
        <v>1</v>
      </c>
      <c r="I624" s="79">
        <f t="shared" si="333"/>
        <v>0</v>
      </c>
      <c r="J624" s="79">
        <f t="shared" si="323"/>
        <v>0</v>
      </c>
      <c r="K624" s="80">
        <f t="shared" si="324"/>
        <v>0</v>
      </c>
      <c r="L624" s="80">
        <f t="shared" si="334"/>
        <v>0</v>
      </c>
      <c r="M624" s="80">
        <f t="shared" si="349"/>
        <v>0</v>
      </c>
      <c r="N624" s="80">
        <f t="shared" si="335"/>
        <v>0</v>
      </c>
      <c r="O624" s="81">
        <f t="shared" si="325"/>
        <v>0</v>
      </c>
      <c r="P624" s="79">
        <f t="shared" si="326"/>
        <v>0</v>
      </c>
      <c r="R624">
        <f t="shared" ca="1" si="336"/>
        <v>746</v>
      </c>
      <c r="S624" s="78">
        <f t="shared" ca="1" si="337"/>
        <v>114.6</v>
      </c>
      <c r="T624" s="55">
        <f t="shared" ca="1" si="327"/>
        <v>0</v>
      </c>
      <c r="U624" s="78">
        <f t="shared" ca="1" si="342"/>
        <v>2.7389054743691302E-5</v>
      </c>
      <c r="V624" s="79">
        <f t="shared" ca="1" si="338"/>
        <v>0</v>
      </c>
      <c r="W624" s="79">
        <f t="shared" ca="1" si="328"/>
        <v>0</v>
      </c>
      <c r="X624" s="80">
        <f t="shared" ca="1" si="343"/>
        <v>0</v>
      </c>
      <c r="Y624" s="80">
        <f t="shared" ca="1" si="344"/>
        <v>0</v>
      </c>
      <c r="Z624" s="80">
        <f t="shared" ca="1" si="339"/>
        <v>0</v>
      </c>
      <c r="AA624" s="80">
        <f t="shared" ca="1" si="345"/>
        <v>0</v>
      </c>
      <c r="AB624" s="81">
        <f t="shared" ca="1" si="329"/>
        <v>0</v>
      </c>
      <c r="AC624" s="79">
        <f t="shared" ca="1" si="330"/>
        <v>0</v>
      </c>
      <c r="AE624" s="35"/>
      <c r="AF624" s="35"/>
      <c r="AR624" s="69">
        <f t="shared" si="340"/>
        <v>52</v>
      </c>
      <c r="AS624" s="70">
        <f t="shared" si="346"/>
        <v>621</v>
      </c>
      <c r="AT624" s="71">
        <f t="shared" si="350"/>
        <v>1.4254796242791801E-2</v>
      </c>
      <c r="AU624" s="72">
        <f t="shared" si="331"/>
        <v>6.8214933659622723E-3</v>
      </c>
      <c r="AV624" s="73">
        <f t="shared" si="341"/>
        <v>1.0068214933659623</v>
      </c>
      <c r="AW624" s="74">
        <f>PRODUCT(AV$4:AV624)</f>
        <v>68.153623544281501</v>
      </c>
    </row>
    <row r="625" spans="5:49">
      <c r="E625">
        <f t="shared" si="348"/>
        <v>622</v>
      </c>
      <c r="F625" s="64">
        <f t="shared" si="332"/>
        <v>104.68</v>
      </c>
      <c r="G625" s="55">
        <f t="shared" si="322"/>
        <v>0</v>
      </c>
      <c r="H625" s="78">
        <f t="shared" si="347"/>
        <v>1</v>
      </c>
      <c r="I625" s="79">
        <f t="shared" si="333"/>
        <v>0</v>
      </c>
      <c r="J625" s="79">
        <f t="shared" si="323"/>
        <v>0</v>
      </c>
      <c r="K625" s="80">
        <f t="shared" si="324"/>
        <v>0</v>
      </c>
      <c r="L625" s="80">
        <f t="shared" si="334"/>
        <v>0</v>
      </c>
      <c r="M625" s="80">
        <f t="shared" si="349"/>
        <v>0</v>
      </c>
      <c r="N625" s="80">
        <f t="shared" si="335"/>
        <v>0</v>
      </c>
      <c r="O625" s="81">
        <f t="shared" si="325"/>
        <v>0</v>
      </c>
      <c r="P625" s="79">
        <f t="shared" si="326"/>
        <v>0</v>
      </c>
      <c r="R625">
        <f t="shared" ca="1" si="336"/>
        <v>747</v>
      </c>
      <c r="S625" s="78">
        <f t="shared" ca="1" si="337"/>
        <v>114.68</v>
      </c>
      <c r="T625" s="55">
        <f t="shared" ca="1" si="327"/>
        <v>0</v>
      </c>
      <c r="U625" s="78">
        <f t="shared" ca="1" si="342"/>
        <v>2.7389054743691302E-5</v>
      </c>
      <c r="V625" s="79">
        <f t="shared" ca="1" si="338"/>
        <v>0</v>
      </c>
      <c r="W625" s="79">
        <f t="shared" ca="1" si="328"/>
        <v>0</v>
      </c>
      <c r="X625" s="80">
        <f t="shared" ca="1" si="343"/>
        <v>0</v>
      </c>
      <c r="Y625" s="80">
        <f t="shared" ca="1" si="344"/>
        <v>0</v>
      </c>
      <c r="Z625" s="80">
        <f t="shared" ca="1" si="339"/>
        <v>0</v>
      </c>
      <c r="AA625" s="80">
        <f t="shared" ca="1" si="345"/>
        <v>0</v>
      </c>
      <c r="AB625" s="81">
        <f t="shared" ca="1" si="329"/>
        <v>0</v>
      </c>
      <c r="AC625" s="79">
        <f t="shared" ca="1" si="330"/>
        <v>0</v>
      </c>
      <c r="AE625" s="35"/>
      <c r="AF625" s="35"/>
      <c r="AR625" s="69">
        <f t="shared" si="340"/>
        <v>52</v>
      </c>
      <c r="AS625" s="70">
        <f t="shared" si="346"/>
        <v>622</v>
      </c>
      <c r="AT625" s="71">
        <f t="shared" si="350"/>
        <v>1.4157557244788453E-2</v>
      </c>
      <c r="AU625" s="72">
        <f t="shared" si="331"/>
        <v>6.8214933659622723E-3</v>
      </c>
      <c r="AV625" s="73">
        <f t="shared" si="341"/>
        <v>1.0068214933659623</v>
      </c>
      <c r="AW625" s="74">
        <f>PRODUCT(AV$4:AV625)</f>
        <v>68.61853303515511</v>
      </c>
    </row>
    <row r="626" spans="5:49">
      <c r="E626">
        <f t="shared" si="348"/>
        <v>623</v>
      </c>
      <c r="F626" s="64">
        <f t="shared" si="332"/>
        <v>104.76</v>
      </c>
      <c r="G626" s="55">
        <f t="shared" si="322"/>
        <v>0</v>
      </c>
      <c r="H626" s="78">
        <f t="shared" si="347"/>
        <v>1</v>
      </c>
      <c r="I626" s="79">
        <f t="shared" si="333"/>
        <v>0</v>
      </c>
      <c r="J626" s="79">
        <f t="shared" si="323"/>
        <v>0</v>
      </c>
      <c r="K626" s="80">
        <f t="shared" si="324"/>
        <v>0</v>
      </c>
      <c r="L626" s="80">
        <f t="shared" si="334"/>
        <v>0</v>
      </c>
      <c r="M626" s="80">
        <f t="shared" si="349"/>
        <v>0</v>
      </c>
      <c r="N626" s="80">
        <f t="shared" si="335"/>
        <v>0</v>
      </c>
      <c r="O626" s="81">
        <f t="shared" si="325"/>
        <v>0</v>
      </c>
      <c r="P626" s="79">
        <f t="shared" si="326"/>
        <v>0</v>
      </c>
      <c r="R626">
        <f t="shared" ca="1" si="336"/>
        <v>748</v>
      </c>
      <c r="S626" s="78">
        <f t="shared" ca="1" si="337"/>
        <v>114.76</v>
      </c>
      <c r="T626" s="55">
        <f t="shared" ca="1" si="327"/>
        <v>0</v>
      </c>
      <c r="U626" s="78">
        <f t="shared" ca="1" si="342"/>
        <v>2.7389054743691302E-5</v>
      </c>
      <c r="V626" s="79">
        <f t="shared" ca="1" si="338"/>
        <v>0</v>
      </c>
      <c r="W626" s="79">
        <f t="shared" ca="1" si="328"/>
        <v>0</v>
      </c>
      <c r="X626" s="80">
        <f t="shared" ca="1" si="343"/>
        <v>0</v>
      </c>
      <c r="Y626" s="80">
        <f t="shared" ca="1" si="344"/>
        <v>0</v>
      </c>
      <c r="Z626" s="80">
        <f t="shared" ca="1" si="339"/>
        <v>0</v>
      </c>
      <c r="AA626" s="80">
        <f t="shared" ca="1" si="345"/>
        <v>0</v>
      </c>
      <c r="AB626" s="81">
        <f t="shared" ca="1" si="329"/>
        <v>0</v>
      </c>
      <c r="AC626" s="79">
        <f t="shared" ca="1" si="330"/>
        <v>0</v>
      </c>
      <c r="AE626" s="35"/>
      <c r="AF626" s="35"/>
      <c r="AR626" s="69">
        <f t="shared" si="340"/>
        <v>52</v>
      </c>
      <c r="AS626" s="70">
        <f t="shared" si="346"/>
        <v>623</v>
      </c>
      <c r="AT626" s="71">
        <f t="shared" si="350"/>
        <v>1.4060981561964897E-2</v>
      </c>
      <c r="AU626" s="72">
        <f t="shared" si="331"/>
        <v>6.8214933659622723E-3</v>
      </c>
      <c r="AV626" s="73">
        <f t="shared" si="341"/>
        <v>1.0068214933659623</v>
      </c>
      <c r="AW626" s="74">
        <f>PRODUCT(AV$4:AV626)</f>
        <v>69.086613903036479</v>
      </c>
    </row>
    <row r="627" spans="5:49">
      <c r="E627">
        <f t="shared" si="348"/>
        <v>624</v>
      </c>
      <c r="F627" s="64">
        <f t="shared" si="332"/>
        <v>104.84</v>
      </c>
      <c r="G627" s="55">
        <f t="shared" si="322"/>
        <v>0</v>
      </c>
      <c r="H627" s="78">
        <f t="shared" si="347"/>
        <v>1</v>
      </c>
      <c r="I627" s="79">
        <f t="shared" si="333"/>
        <v>0</v>
      </c>
      <c r="J627" s="79">
        <f t="shared" si="323"/>
        <v>0</v>
      </c>
      <c r="K627" s="80">
        <f t="shared" si="324"/>
        <v>0</v>
      </c>
      <c r="L627" s="80">
        <f t="shared" si="334"/>
        <v>0</v>
      </c>
      <c r="M627" s="80">
        <f t="shared" si="349"/>
        <v>0</v>
      </c>
      <c r="N627" s="80">
        <f t="shared" si="335"/>
        <v>0</v>
      </c>
      <c r="O627" s="81">
        <f t="shared" si="325"/>
        <v>0</v>
      </c>
      <c r="P627" s="79">
        <f t="shared" si="326"/>
        <v>0</v>
      </c>
      <c r="R627">
        <f t="shared" ca="1" si="336"/>
        <v>749</v>
      </c>
      <c r="S627" s="78">
        <f t="shared" ca="1" si="337"/>
        <v>114.84</v>
      </c>
      <c r="T627" s="55">
        <f t="shared" ca="1" si="327"/>
        <v>0</v>
      </c>
      <c r="U627" s="78">
        <f t="shared" ca="1" si="342"/>
        <v>2.7389054743691302E-5</v>
      </c>
      <c r="V627" s="79">
        <f t="shared" ca="1" si="338"/>
        <v>0</v>
      </c>
      <c r="W627" s="79">
        <f t="shared" ca="1" si="328"/>
        <v>0</v>
      </c>
      <c r="X627" s="80">
        <f t="shared" ca="1" si="343"/>
        <v>0</v>
      </c>
      <c r="Y627" s="80">
        <f t="shared" ca="1" si="344"/>
        <v>0</v>
      </c>
      <c r="Z627" s="80">
        <f t="shared" ca="1" si="339"/>
        <v>0</v>
      </c>
      <c r="AA627" s="80">
        <f t="shared" ca="1" si="345"/>
        <v>0</v>
      </c>
      <c r="AB627" s="81">
        <f t="shared" ca="1" si="329"/>
        <v>0</v>
      </c>
      <c r="AC627" s="79">
        <f t="shared" ca="1" si="330"/>
        <v>0</v>
      </c>
      <c r="AE627" s="35"/>
      <c r="AF627" s="35"/>
      <c r="AR627" s="69">
        <f t="shared" si="340"/>
        <v>52</v>
      </c>
      <c r="AS627" s="70">
        <f t="shared" si="346"/>
        <v>624</v>
      </c>
      <c r="AT627" s="71">
        <f t="shared" si="350"/>
        <v>1.3965064669521035E-2</v>
      </c>
      <c r="AU627" s="72">
        <f t="shared" si="331"/>
        <v>6.8214933659622723E-3</v>
      </c>
      <c r="AV627" s="73">
        <f t="shared" si="341"/>
        <v>1.0068214933659623</v>
      </c>
      <c r="AW627" s="74">
        <f>PRODUCT(AV$4:AV627)</f>
        <v>69.557887781452834</v>
      </c>
    </row>
    <row r="628" spans="5:49">
      <c r="E628">
        <f t="shared" si="348"/>
        <v>625</v>
      </c>
      <c r="F628" s="64">
        <f t="shared" si="332"/>
        <v>104.92</v>
      </c>
      <c r="G628" s="55">
        <f t="shared" si="322"/>
        <v>0</v>
      </c>
      <c r="H628" s="78">
        <f t="shared" si="347"/>
        <v>1</v>
      </c>
      <c r="I628" s="79">
        <f t="shared" si="333"/>
        <v>0</v>
      </c>
      <c r="J628" s="79">
        <f t="shared" si="323"/>
        <v>0</v>
      </c>
      <c r="K628" s="80">
        <f t="shared" si="324"/>
        <v>0</v>
      </c>
      <c r="L628" s="80">
        <f t="shared" si="334"/>
        <v>0</v>
      </c>
      <c r="M628" s="80">
        <f t="shared" si="349"/>
        <v>0</v>
      </c>
      <c r="N628" s="80">
        <f t="shared" si="335"/>
        <v>0</v>
      </c>
      <c r="O628" s="81">
        <f t="shared" si="325"/>
        <v>0</v>
      </c>
      <c r="P628" s="79">
        <f t="shared" si="326"/>
        <v>0</v>
      </c>
      <c r="R628">
        <f t="shared" ca="1" si="336"/>
        <v>750</v>
      </c>
      <c r="S628" s="78">
        <f t="shared" ca="1" si="337"/>
        <v>114.92</v>
      </c>
      <c r="T628" s="55">
        <f t="shared" ca="1" si="327"/>
        <v>0</v>
      </c>
      <c r="U628" s="78">
        <f t="shared" ca="1" si="342"/>
        <v>2.7389054743691302E-5</v>
      </c>
      <c r="V628" s="79">
        <f t="shared" ca="1" si="338"/>
        <v>0</v>
      </c>
      <c r="W628" s="79">
        <f t="shared" ca="1" si="328"/>
        <v>0</v>
      </c>
      <c r="X628" s="80">
        <f t="shared" ca="1" si="343"/>
        <v>0</v>
      </c>
      <c r="Y628" s="80">
        <f t="shared" ca="1" si="344"/>
        <v>0</v>
      </c>
      <c r="Z628" s="80">
        <f t="shared" ca="1" si="339"/>
        <v>0</v>
      </c>
      <c r="AA628" s="80">
        <f t="shared" ca="1" si="345"/>
        <v>0</v>
      </c>
      <c r="AB628" s="81">
        <f t="shared" ca="1" si="329"/>
        <v>0</v>
      </c>
      <c r="AC628" s="79">
        <f t="shared" ca="1" si="330"/>
        <v>0</v>
      </c>
      <c r="AE628" s="35"/>
      <c r="AF628" s="35"/>
      <c r="AR628" s="69">
        <f t="shared" si="340"/>
        <v>53</v>
      </c>
      <c r="AS628" s="70">
        <f t="shared" si="346"/>
        <v>625</v>
      </c>
      <c r="AT628" s="71">
        <f t="shared" si="350"/>
        <v>1.3869802073522662E-2</v>
      </c>
      <c r="AU628" s="72">
        <f t="shared" si="331"/>
        <v>6.8214933659622723E-3</v>
      </c>
      <c r="AV628" s="73">
        <f t="shared" si="341"/>
        <v>1.0068214933659623</v>
      </c>
      <c r="AW628" s="74">
        <f>PRODUCT(AV$4:AV628)</f>
        <v>70.032376451504362</v>
      </c>
    </row>
    <row r="629" spans="5:49">
      <c r="E629">
        <f t="shared" si="348"/>
        <v>626</v>
      </c>
      <c r="F629" s="64">
        <f t="shared" si="332"/>
        <v>105</v>
      </c>
      <c r="G629" s="55">
        <f t="shared" si="322"/>
        <v>0</v>
      </c>
      <c r="H629" s="78">
        <f t="shared" si="347"/>
        <v>1</v>
      </c>
      <c r="I629" s="79">
        <f t="shared" si="333"/>
        <v>0</v>
      </c>
      <c r="J629" s="79">
        <f t="shared" si="323"/>
        <v>0</v>
      </c>
      <c r="K629" s="80">
        <f t="shared" si="324"/>
        <v>0</v>
      </c>
      <c r="L629" s="80">
        <f t="shared" si="334"/>
        <v>0</v>
      </c>
      <c r="M629" s="80">
        <f t="shared" si="349"/>
        <v>0</v>
      </c>
      <c r="N629" s="80">
        <f t="shared" si="335"/>
        <v>0</v>
      </c>
      <c r="O629" s="81">
        <f t="shared" si="325"/>
        <v>0</v>
      </c>
      <c r="P629" s="79">
        <f t="shared" si="326"/>
        <v>0</v>
      </c>
      <c r="R629">
        <f t="shared" ca="1" si="336"/>
        <v>751</v>
      </c>
      <c r="S629" s="78">
        <f t="shared" ca="1" si="337"/>
        <v>115</v>
      </c>
      <c r="T629" s="55">
        <f t="shared" ca="1" si="327"/>
        <v>0</v>
      </c>
      <c r="U629" s="78">
        <f t="shared" ca="1" si="342"/>
        <v>2.7389054743691302E-5</v>
      </c>
      <c r="V629" s="79">
        <f t="shared" ca="1" si="338"/>
        <v>0</v>
      </c>
      <c r="W629" s="79">
        <f t="shared" ca="1" si="328"/>
        <v>0</v>
      </c>
      <c r="X629" s="80">
        <f t="shared" ca="1" si="343"/>
        <v>0</v>
      </c>
      <c r="Y629" s="80">
        <f t="shared" ca="1" si="344"/>
        <v>0</v>
      </c>
      <c r="Z629" s="80">
        <f t="shared" ca="1" si="339"/>
        <v>0</v>
      </c>
      <c r="AA629" s="80">
        <f t="shared" ca="1" si="345"/>
        <v>0</v>
      </c>
      <c r="AB629" s="81">
        <f t="shared" ca="1" si="329"/>
        <v>0</v>
      </c>
      <c r="AC629" s="79">
        <f t="shared" ca="1" si="330"/>
        <v>0</v>
      </c>
      <c r="AE629" s="35"/>
      <c r="AF629" s="35"/>
      <c r="AR629" s="69">
        <f t="shared" si="340"/>
        <v>53</v>
      </c>
      <c r="AS629" s="70">
        <f t="shared" si="346"/>
        <v>626</v>
      </c>
      <c r="AT629" s="71">
        <f t="shared" si="350"/>
        <v>1.3775189310690918E-2</v>
      </c>
      <c r="AU629" s="72">
        <f t="shared" si="331"/>
        <v>6.8214933659622723E-3</v>
      </c>
      <c r="AV629" s="73">
        <f t="shared" si="341"/>
        <v>1.0068214933659623</v>
      </c>
      <c r="AW629" s="74">
        <f>PRODUCT(AV$4:AV629)</f>
        <v>70.510101842870867</v>
      </c>
    </row>
    <row r="630" spans="5:49">
      <c r="E630">
        <f t="shared" si="348"/>
        <v>627</v>
      </c>
      <c r="F630" s="64">
        <f t="shared" si="332"/>
        <v>105.08</v>
      </c>
      <c r="G630" s="55">
        <f t="shared" si="322"/>
        <v>0</v>
      </c>
      <c r="H630" s="78">
        <f t="shared" si="347"/>
        <v>1</v>
      </c>
      <c r="I630" s="79">
        <f t="shared" si="333"/>
        <v>0</v>
      </c>
      <c r="J630" s="79">
        <f t="shared" si="323"/>
        <v>0</v>
      </c>
      <c r="K630" s="80">
        <f t="shared" si="324"/>
        <v>0</v>
      </c>
      <c r="L630" s="80">
        <f t="shared" si="334"/>
        <v>0</v>
      </c>
      <c r="M630" s="80">
        <f t="shared" si="349"/>
        <v>0</v>
      </c>
      <c r="N630" s="80">
        <f t="shared" si="335"/>
        <v>0</v>
      </c>
      <c r="O630" s="81">
        <f t="shared" si="325"/>
        <v>0</v>
      </c>
      <c r="P630" s="79">
        <f t="shared" si="326"/>
        <v>0</v>
      </c>
      <c r="R630">
        <f t="shared" ca="1" si="336"/>
        <v>752</v>
      </c>
      <c r="S630" s="78">
        <f t="shared" ca="1" si="337"/>
        <v>115.08</v>
      </c>
      <c r="T630" s="55">
        <f t="shared" ca="1" si="327"/>
        <v>0</v>
      </c>
      <c r="U630" s="78">
        <f t="shared" ca="1" si="342"/>
        <v>2.7389054743691302E-5</v>
      </c>
      <c r="V630" s="79">
        <f t="shared" ca="1" si="338"/>
        <v>0</v>
      </c>
      <c r="W630" s="79">
        <f t="shared" ca="1" si="328"/>
        <v>0</v>
      </c>
      <c r="X630" s="80">
        <f t="shared" ca="1" si="343"/>
        <v>0</v>
      </c>
      <c r="Y630" s="80">
        <f t="shared" ca="1" si="344"/>
        <v>0</v>
      </c>
      <c r="Z630" s="80">
        <f t="shared" ca="1" si="339"/>
        <v>0</v>
      </c>
      <c r="AA630" s="80">
        <f t="shared" ca="1" si="345"/>
        <v>0</v>
      </c>
      <c r="AB630" s="81">
        <f t="shared" ca="1" si="329"/>
        <v>0</v>
      </c>
      <c r="AC630" s="79">
        <f t="shared" ca="1" si="330"/>
        <v>0</v>
      </c>
      <c r="AE630" s="35"/>
      <c r="AF630" s="35"/>
      <c r="AR630" s="69">
        <f t="shared" si="340"/>
        <v>53</v>
      </c>
      <c r="AS630" s="70">
        <f t="shared" si="346"/>
        <v>627</v>
      </c>
      <c r="AT630" s="71">
        <f t="shared" si="350"/>
        <v>1.3681221948193165E-2</v>
      </c>
      <c r="AU630" s="72">
        <f t="shared" si="331"/>
        <v>6.8214933659622723E-3</v>
      </c>
      <c r="AV630" s="73">
        <f t="shared" si="341"/>
        <v>1.0068214933659623</v>
      </c>
      <c r="AW630" s="74">
        <f>PRODUCT(AV$4:AV630)</f>
        <v>70.991086034825329</v>
      </c>
    </row>
    <row r="631" spans="5:49">
      <c r="E631">
        <f t="shared" si="348"/>
        <v>628</v>
      </c>
      <c r="F631" s="64">
        <f t="shared" si="332"/>
        <v>105.16</v>
      </c>
      <c r="G631" s="55">
        <f t="shared" si="322"/>
        <v>0</v>
      </c>
      <c r="H631" s="78">
        <f t="shared" si="347"/>
        <v>1</v>
      </c>
      <c r="I631" s="79">
        <f t="shared" si="333"/>
        <v>0</v>
      </c>
      <c r="J631" s="79">
        <f t="shared" si="323"/>
        <v>0</v>
      </c>
      <c r="K631" s="80">
        <f t="shared" si="324"/>
        <v>0</v>
      </c>
      <c r="L631" s="80">
        <f t="shared" si="334"/>
        <v>0</v>
      </c>
      <c r="M631" s="80">
        <f t="shared" si="349"/>
        <v>0</v>
      </c>
      <c r="N631" s="80">
        <f t="shared" si="335"/>
        <v>0</v>
      </c>
      <c r="O631" s="81">
        <f t="shared" si="325"/>
        <v>0</v>
      </c>
      <c r="P631" s="79">
        <f t="shared" si="326"/>
        <v>0</v>
      </c>
      <c r="R631">
        <f t="shared" ca="1" si="336"/>
        <v>753</v>
      </c>
      <c r="S631" s="78">
        <f t="shared" ca="1" si="337"/>
        <v>115.16</v>
      </c>
      <c r="T631" s="55">
        <f t="shared" ca="1" si="327"/>
        <v>0</v>
      </c>
      <c r="U631" s="78">
        <f t="shared" ca="1" si="342"/>
        <v>2.7389054743691302E-5</v>
      </c>
      <c r="V631" s="79">
        <f t="shared" ca="1" si="338"/>
        <v>0</v>
      </c>
      <c r="W631" s="79">
        <f t="shared" ca="1" si="328"/>
        <v>0</v>
      </c>
      <c r="X631" s="80">
        <f t="shared" ca="1" si="343"/>
        <v>0</v>
      </c>
      <c r="Y631" s="80">
        <f t="shared" ca="1" si="344"/>
        <v>0</v>
      </c>
      <c r="Z631" s="80">
        <f t="shared" ca="1" si="339"/>
        <v>0</v>
      </c>
      <c r="AA631" s="80">
        <f t="shared" ca="1" si="345"/>
        <v>0</v>
      </c>
      <c r="AB631" s="81">
        <f t="shared" ca="1" si="329"/>
        <v>0</v>
      </c>
      <c r="AC631" s="79">
        <f t="shared" ca="1" si="330"/>
        <v>0</v>
      </c>
      <c r="AE631" s="35"/>
      <c r="AF631" s="35"/>
      <c r="AR631" s="69">
        <f t="shared" si="340"/>
        <v>53</v>
      </c>
      <c r="AS631" s="70">
        <f t="shared" si="346"/>
        <v>628</v>
      </c>
      <c r="AT631" s="71">
        <f t="shared" si="350"/>
        <v>1.3587895583435308E-2</v>
      </c>
      <c r="AU631" s="72">
        <f t="shared" si="331"/>
        <v>6.8214933659622723E-3</v>
      </c>
      <c r="AV631" s="73">
        <f t="shared" si="341"/>
        <v>1.0068214933659623</v>
      </c>
      <c r="AW631" s="74">
        <f>PRODUCT(AV$4:AV631)</f>
        <v>71.475351257254346</v>
      </c>
    </row>
    <row r="632" spans="5:49">
      <c r="E632">
        <f t="shared" si="348"/>
        <v>629</v>
      </c>
      <c r="F632" s="64">
        <f t="shared" si="332"/>
        <v>105.24</v>
      </c>
      <c r="G632" s="55">
        <f t="shared" si="322"/>
        <v>0</v>
      </c>
      <c r="H632" s="78">
        <f t="shared" si="347"/>
        <v>1</v>
      </c>
      <c r="I632" s="79">
        <f t="shared" si="333"/>
        <v>0</v>
      </c>
      <c r="J632" s="79">
        <f t="shared" si="323"/>
        <v>0</v>
      </c>
      <c r="K632" s="80">
        <f t="shared" si="324"/>
        <v>0</v>
      </c>
      <c r="L632" s="80">
        <f t="shared" si="334"/>
        <v>0</v>
      </c>
      <c r="M632" s="80">
        <f t="shared" si="349"/>
        <v>0</v>
      </c>
      <c r="N632" s="80">
        <f t="shared" si="335"/>
        <v>0</v>
      </c>
      <c r="O632" s="81">
        <f t="shared" si="325"/>
        <v>0</v>
      </c>
      <c r="P632" s="79">
        <f t="shared" si="326"/>
        <v>0</v>
      </c>
      <c r="R632">
        <f t="shared" ca="1" si="336"/>
        <v>754</v>
      </c>
      <c r="S632" s="78">
        <f t="shared" ca="1" si="337"/>
        <v>115.24</v>
      </c>
      <c r="T632" s="55">
        <f t="shared" ca="1" si="327"/>
        <v>0</v>
      </c>
      <c r="U632" s="78">
        <f t="shared" ca="1" si="342"/>
        <v>2.7389054743691302E-5</v>
      </c>
      <c r="V632" s="79">
        <f t="shared" ca="1" si="338"/>
        <v>0</v>
      </c>
      <c r="W632" s="79">
        <f t="shared" ca="1" si="328"/>
        <v>0</v>
      </c>
      <c r="X632" s="80">
        <f t="shared" ca="1" si="343"/>
        <v>0</v>
      </c>
      <c r="Y632" s="80">
        <f t="shared" ca="1" si="344"/>
        <v>0</v>
      </c>
      <c r="Z632" s="80">
        <f t="shared" ca="1" si="339"/>
        <v>0</v>
      </c>
      <c r="AA632" s="80">
        <f t="shared" ca="1" si="345"/>
        <v>0</v>
      </c>
      <c r="AB632" s="81">
        <f t="shared" ca="1" si="329"/>
        <v>0</v>
      </c>
      <c r="AC632" s="79">
        <f t="shared" ca="1" si="330"/>
        <v>0</v>
      </c>
      <c r="AE632" s="35"/>
      <c r="AF632" s="35"/>
      <c r="AR632" s="69">
        <f t="shared" si="340"/>
        <v>53</v>
      </c>
      <c r="AS632" s="70">
        <f t="shared" si="346"/>
        <v>629</v>
      </c>
      <c r="AT632" s="71">
        <f t="shared" si="350"/>
        <v>1.3495205843855516E-2</v>
      </c>
      <c r="AU632" s="72">
        <f t="shared" si="331"/>
        <v>6.8214933659622723E-3</v>
      </c>
      <c r="AV632" s="73">
        <f t="shared" si="341"/>
        <v>1.0068214933659623</v>
      </c>
      <c r="AW632" s="74">
        <f>PRODUCT(AV$4:AV632)</f>
        <v>71.96291989168553</v>
      </c>
    </row>
    <row r="633" spans="5:49">
      <c r="E633">
        <f t="shared" si="348"/>
        <v>630</v>
      </c>
      <c r="F633" s="64">
        <f t="shared" si="332"/>
        <v>105.32</v>
      </c>
      <c r="G633" s="55">
        <f t="shared" si="322"/>
        <v>0</v>
      </c>
      <c r="H633" s="78">
        <f t="shared" si="347"/>
        <v>1</v>
      </c>
      <c r="I633" s="79">
        <f t="shared" si="333"/>
        <v>0</v>
      </c>
      <c r="J633" s="79">
        <f t="shared" si="323"/>
        <v>0</v>
      </c>
      <c r="K633" s="80">
        <f t="shared" si="324"/>
        <v>0</v>
      </c>
      <c r="L633" s="80">
        <f t="shared" si="334"/>
        <v>0</v>
      </c>
      <c r="M633" s="80">
        <f t="shared" si="349"/>
        <v>0</v>
      </c>
      <c r="N633" s="80">
        <f t="shared" si="335"/>
        <v>0</v>
      </c>
      <c r="O633" s="81">
        <f t="shared" si="325"/>
        <v>0</v>
      </c>
      <c r="P633" s="79">
        <f t="shared" si="326"/>
        <v>0</v>
      </c>
      <c r="R633">
        <f t="shared" ca="1" si="336"/>
        <v>755</v>
      </c>
      <c r="S633" s="78">
        <f t="shared" ca="1" si="337"/>
        <v>115.32</v>
      </c>
      <c r="T633" s="55">
        <f t="shared" ca="1" si="327"/>
        <v>0</v>
      </c>
      <c r="U633" s="78">
        <f t="shared" ca="1" si="342"/>
        <v>2.7389054743691302E-5</v>
      </c>
      <c r="V633" s="79">
        <f t="shared" ca="1" si="338"/>
        <v>0</v>
      </c>
      <c r="W633" s="79">
        <f t="shared" ca="1" si="328"/>
        <v>0</v>
      </c>
      <c r="X633" s="80">
        <f t="shared" ca="1" si="343"/>
        <v>0</v>
      </c>
      <c r="Y633" s="80">
        <f t="shared" ca="1" si="344"/>
        <v>0</v>
      </c>
      <c r="Z633" s="80">
        <f t="shared" ca="1" si="339"/>
        <v>0</v>
      </c>
      <c r="AA633" s="80">
        <f t="shared" ca="1" si="345"/>
        <v>0</v>
      </c>
      <c r="AB633" s="81">
        <f t="shared" ca="1" si="329"/>
        <v>0</v>
      </c>
      <c r="AC633" s="79">
        <f t="shared" ca="1" si="330"/>
        <v>0</v>
      </c>
      <c r="AE633" s="35"/>
      <c r="AF633" s="35"/>
      <c r="AR633" s="69">
        <f t="shared" si="340"/>
        <v>53</v>
      </c>
      <c r="AS633" s="70">
        <f t="shared" si="346"/>
        <v>630</v>
      </c>
      <c r="AT633" s="71">
        <f t="shared" si="350"/>
        <v>1.3403148386719362E-2</v>
      </c>
      <c r="AU633" s="72">
        <f t="shared" si="331"/>
        <v>6.8214933659622723E-3</v>
      </c>
      <c r="AV633" s="73">
        <f t="shared" si="341"/>
        <v>1.0068214933659623</v>
      </c>
      <c r="AW633" s="74">
        <f>PRODUCT(AV$4:AV633)</f>
        <v>72.453814472321938</v>
      </c>
    </row>
    <row r="634" spans="5:49">
      <c r="E634">
        <f t="shared" si="348"/>
        <v>631</v>
      </c>
      <c r="F634" s="64">
        <f t="shared" si="332"/>
        <v>105.4</v>
      </c>
      <c r="G634" s="55">
        <f t="shared" si="322"/>
        <v>0</v>
      </c>
      <c r="H634" s="78">
        <f t="shared" si="347"/>
        <v>1</v>
      </c>
      <c r="I634" s="79">
        <f t="shared" si="333"/>
        <v>0</v>
      </c>
      <c r="J634" s="79">
        <f t="shared" si="323"/>
        <v>0</v>
      </c>
      <c r="K634" s="80">
        <f t="shared" si="324"/>
        <v>0</v>
      </c>
      <c r="L634" s="80">
        <f t="shared" si="334"/>
        <v>0</v>
      </c>
      <c r="M634" s="80">
        <f t="shared" si="349"/>
        <v>0</v>
      </c>
      <c r="N634" s="80">
        <f t="shared" si="335"/>
        <v>0</v>
      </c>
      <c r="O634" s="81">
        <f t="shared" si="325"/>
        <v>0</v>
      </c>
      <c r="P634" s="79">
        <f t="shared" si="326"/>
        <v>0</v>
      </c>
      <c r="R634">
        <f t="shared" ca="1" si="336"/>
        <v>756</v>
      </c>
      <c r="S634" s="78">
        <f t="shared" ca="1" si="337"/>
        <v>115.4</v>
      </c>
      <c r="T634" s="55">
        <f t="shared" ca="1" si="327"/>
        <v>0</v>
      </c>
      <c r="U634" s="78">
        <f t="shared" ca="1" si="342"/>
        <v>2.7389054743691302E-5</v>
      </c>
      <c r="V634" s="79">
        <f t="shared" ca="1" si="338"/>
        <v>0</v>
      </c>
      <c r="W634" s="79">
        <f t="shared" ca="1" si="328"/>
        <v>0</v>
      </c>
      <c r="X634" s="80">
        <f t="shared" ca="1" si="343"/>
        <v>0</v>
      </c>
      <c r="Y634" s="80">
        <f t="shared" ca="1" si="344"/>
        <v>0</v>
      </c>
      <c r="Z634" s="80">
        <f t="shared" ca="1" si="339"/>
        <v>0</v>
      </c>
      <c r="AA634" s="80">
        <f t="shared" ca="1" si="345"/>
        <v>0</v>
      </c>
      <c r="AB634" s="81">
        <f t="shared" ca="1" si="329"/>
        <v>0</v>
      </c>
      <c r="AC634" s="79">
        <f t="shared" ca="1" si="330"/>
        <v>0</v>
      </c>
      <c r="AE634" s="35"/>
      <c r="AF634" s="35"/>
      <c r="AR634" s="69">
        <f t="shared" si="340"/>
        <v>53</v>
      </c>
      <c r="AS634" s="70">
        <f t="shared" si="346"/>
        <v>631</v>
      </c>
      <c r="AT634" s="71">
        <f t="shared" si="350"/>
        <v>1.3311718898916348E-2</v>
      </c>
      <c r="AU634" s="72">
        <f t="shared" si="331"/>
        <v>6.8214933659622723E-3</v>
      </c>
      <c r="AV634" s="73">
        <f t="shared" si="341"/>
        <v>1.0068214933659623</v>
      </c>
      <c r="AW634" s="74">
        <f>PRODUCT(AV$4:AV634)</f>
        <v>72.948057687083548</v>
      </c>
    </row>
    <row r="635" spans="5:49">
      <c r="E635">
        <f t="shared" si="348"/>
        <v>632</v>
      </c>
      <c r="F635" s="64">
        <f t="shared" si="332"/>
        <v>105.48</v>
      </c>
      <c r="G635" s="55">
        <f t="shared" si="322"/>
        <v>0</v>
      </c>
      <c r="H635" s="78">
        <f t="shared" si="347"/>
        <v>1</v>
      </c>
      <c r="I635" s="79">
        <f t="shared" si="333"/>
        <v>0</v>
      </c>
      <c r="J635" s="79">
        <f t="shared" si="323"/>
        <v>0</v>
      </c>
      <c r="K635" s="80">
        <f t="shared" si="324"/>
        <v>0</v>
      </c>
      <c r="L635" s="80">
        <f t="shared" si="334"/>
        <v>0</v>
      </c>
      <c r="M635" s="80">
        <f t="shared" si="349"/>
        <v>0</v>
      </c>
      <c r="N635" s="80">
        <f t="shared" si="335"/>
        <v>0</v>
      </c>
      <c r="O635" s="81">
        <f t="shared" si="325"/>
        <v>0</v>
      </c>
      <c r="P635" s="79">
        <f t="shared" si="326"/>
        <v>0</v>
      </c>
      <c r="R635">
        <f t="shared" ca="1" si="336"/>
        <v>757</v>
      </c>
      <c r="S635" s="78">
        <f t="shared" ca="1" si="337"/>
        <v>115.48</v>
      </c>
      <c r="T635" s="55">
        <f t="shared" ca="1" si="327"/>
        <v>0</v>
      </c>
      <c r="U635" s="78">
        <f t="shared" ca="1" si="342"/>
        <v>2.7389054743691302E-5</v>
      </c>
      <c r="V635" s="79">
        <f t="shared" ca="1" si="338"/>
        <v>0</v>
      </c>
      <c r="W635" s="79">
        <f t="shared" ca="1" si="328"/>
        <v>0</v>
      </c>
      <c r="X635" s="80">
        <f t="shared" ca="1" si="343"/>
        <v>0</v>
      </c>
      <c r="Y635" s="80">
        <f t="shared" ca="1" si="344"/>
        <v>0</v>
      </c>
      <c r="Z635" s="80">
        <f t="shared" ca="1" si="339"/>
        <v>0</v>
      </c>
      <c r="AA635" s="80">
        <f t="shared" ca="1" si="345"/>
        <v>0</v>
      </c>
      <c r="AB635" s="81">
        <f t="shared" ca="1" si="329"/>
        <v>0</v>
      </c>
      <c r="AC635" s="79">
        <f t="shared" ca="1" si="330"/>
        <v>0</v>
      </c>
      <c r="AE635" s="35"/>
      <c r="AF635" s="35"/>
      <c r="AR635" s="69">
        <f t="shared" si="340"/>
        <v>53</v>
      </c>
      <c r="AS635" s="70">
        <f t="shared" si="346"/>
        <v>632</v>
      </c>
      <c r="AT635" s="71">
        <f t="shared" si="350"/>
        <v>1.3220913096757835E-2</v>
      </c>
      <c r="AU635" s="72">
        <f t="shared" si="331"/>
        <v>6.8214933659622723E-3</v>
      </c>
      <c r="AV635" s="73">
        <f t="shared" si="341"/>
        <v>1.0068214933659623</v>
      </c>
      <c r="AW635" s="74">
        <f>PRODUCT(AV$4:AV635)</f>
        <v>73.445672378655814</v>
      </c>
    </row>
    <row r="636" spans="5:49">
      <c r="E636">
        <f t="shared" si="348"/>
        <v>633</v>
      </c>
      <c r="F636" s="64">
        <f t="shared" si="332"/>
        <v>105.56</v>
      </c>
      <c r="G636" s="55">
        <f t="shared" si="322"/>
        <v>0</v>
      </c>
      <c r="H636" s="78">
        <f t="shared" si="347"/>
        <v>1</v>
      </c>
      <c r="I636" s="79">
        <f t="shared" si="333"/>
        <v>0</v>
      </c>
      <c r="J636" s="79">
        <f t="shared" si="323"/>
        <v>0</v>
      </c>
      <c r="K636" s="80">
        <f t="shared" si="324"/>
        <v>0</v>
      </c>
      <c r="L636" s="80">
        <f t="shared" si="334"/>
        <v>0</v>
      </c>
      <c r="M636" s="80">
        <f t="shared" si="349"/>
        <v>0</v>
      </c>
      <c r="N636" s="80">
        <f t="shared" si="335"/>
        <v>0</v>
      </c>
      <c r="O636" s="81">
        <f t="shared" si="325"/>
        <v>0</v>
      </c>
      <c r="P636" s="79">
        <f t="shared" si="326"/>
        <v>0</v>
      </c>
      <c r="R636">
        <f t="shared" ca="1" si="336"/>
        <v>758</v>
      </c>
      <c r="S636" s="78">
        <f t="shared" ca="1" si="337"/>
        <v>115.56</v>
      </c>
      <c r="T636" s="55">
        <f t="shared" ca="1" si="327"/>
        <v>0</v>
      </c>
      <c r="U636" s="78">
        <f t="shared" ca="1" si="342"/>
        <v>2.7389054743691302E-5</v>
      </c>
      <c r="V636" s="79">
        <f t="shared" ca="1" si="338"/>
        <v>0</v>
      </c>
      <c r="W636" s="79">
        <f t="shared" ca="1" si="328"/>
        <v>0</v>
      </c>
      <c r="X636" s="80">
        <f t="shared" ca="1" si="343"/>
        <v>0</v>
      </c>
      <c r="Y636" s="80">
        <f t="shared" ca="1" si="344"/>
        <v>0</v>
      </c>
      <c r="Z636" s="80">
        <f t="shared" ca="1" si="339"/>
        <v>0</v>
      </c>
      <c r="AA636" s="80">
        <f t="shared" ca="1" si="345"/>
        <v>0</v>
      </c>
      <c r="AB636" s="81">
        <f t="shared" ca="1" si="329"/>
        <v>0</v>
      </c>
      <c r="AC636" s="79">
        <f t="shared" ca="1" si="330"/>
        <v>0</v>
      </c>
      <c r="AE636" s="35"/>
      <c r="AF636" s="35"/>
      <c r="AR636" s="69">
        <f t="shared" si="340"/>
        <v>53</v>
      </c>
      <c r="AS636" s="70">
        <f t="shared" si="346"/>
        <v>633</v>
      </c>
      <c r="AT636" s="71">
        <f t="shared" si="350"/>
        <v>1.3130726725776337E-2</v>
      </c>
      <c r="AU636" s="72">
        <f t="shared" si="331"/>
        <v>6.8214933659622723E-3</v>
      </c>
      <c r="AV636" s="73">
        <f t="shared" si="341"/>
        <v>1.0068214933659623</v>
      </c>
      <c r="AW636" s="74">
        <f>PRODUCT(AV$4:AV636)</f>
        <v>73.946681545545459</v>
      </c>
    </row>
    <row r="637" spans="5:49">
      <c r="E637">
        <f t="shared" si="348"/>
        <v>634</v>
      </c>
      <c r="F637" s="64">
        <f t="shared" si="332"/>
        <v>105.64</v>
      </c>
      <c r="G637" s="55">
        <f t="shared" si="322"/>
        <v>0</v>
      </c>
      <c r="H637" s="78">
        <f t="shared" si="347"/>
        <v>1</v>
      </c>
      <c r="I637" s="79">
        <f t="shared" si="333"/>
        <v>0</v>
      </c>
      <c r="J637" s="79">
        <f t="shared" si="323"/>
        <v>0</v>
      </c>
      <c r="K637" s="80">
        <f t="shared" si="324"/>
        <v>0</v>
      </c>
      <c r="L637" s="80">
        <f t="shared" si="334"/>
        <v>0</v>
      </c>
      <c r="M637" s="80">
        <f t="shared" si="349"/>
        <v>0</v>
      </c>
      <c r="N637" s="80">
        <f t="shared" si="335"/>
        <v>0</v>
      </c>
      <c r="O637" s="81">
        <f t="shared" si="325"/>
        <v>0</v>
      </c>
      <c r="P637" s="79">
        <f t="shared" si="326"/>
        <v>0</v>
      </c>
      <c r="R637">
        <f t="shared" ca="1" si="336"/>
        <v>759</v>
      </c>
      <c r="S637" s="78">
        <f t="shared" ca="1" si="337"/>
        <v>115.64</v>
      </c>
      <c r="T637" s="55">
        <f t="shared" ca="1" si="327"/>
        <v>0</v>
      </c>
      <c r="U637" s="78">
        <f t="shared" ca="1" si="342"/>
        <v>2.7389054743691302E-5</v>
      </c>
      <c r="V637" s="79">
        <f t="shared" ca="1" si="338"/>
        <v>0</v>
      </c>
      <c r="W637" s="79">
        <f t="shared" ca="1" si="328"/>
        <v>0</v>
      </c>
      <c r="X637" s="80">
        <f t="shared" ca="1" si="343"/>
        <v>0</v>
      </c>
      <c r="Y637" s="80">
        <f t="shared" ca="1" si="344"/>
        <v>0</v>
      </c>
      <c r="Z637" s="80">
        <f t="shared" ca="1" si="339"/>
        <v>0</v>
      </c>
      <c r="AA637" s="80">
        <f t="shared" ca="1" si="345"/>
        <v>0</v>
      </c>
      <c r="AB637" s="81">
        <f t="shared" ca="1" si="329"/>
        <v>0</v>
      </c>
      <c r="AC637" s="79">
        <f t="shared" ca="1" si="330"/>
        <v>0</v>
      </c>
      <c r="AE637" s="35"/>
      <c r="AF637" s="35"/>
      <c r="AR637" s="69">
        <f t="shared" si="340"/>
        <v>53</v>
      </c>
      <c r="AS637" s="70">
        <f t="shared" si="346"/>
        <v>634</v>
      </c>
      <c r="AT637" s="71">
        <f t="shared" si="350"/>
        <v>1.304115556052619E-2</v>
      </c>
      <c r="AU637" s="72">
        <f t="shared" si="331"/>
        <v>6.8214933659622723E-3</v>
      </c>
      <c r="AV637" s="73">
        <f t="shared" si="341"/>
        <v>1.0068214933659623</v>
      </c>
      <c r="AW637" s="74">
        <f>PRODUCT(AV$4:AV637)</f>
        <v>74.451108343143318</v>
      </c>
    </row>
    <row r="638" spans="5:49">
      <c r="E638">
        <f t="shared" si="348"/>
        <v>635</v>
      </c>
      <c r="F638" s="64">
        <f t="shared" si="332"/>
        <v>105.72</v>
      </c>
      <c r="G638" s="55">
        <f t="shared" si="322"/>
        <v>0</v>
      </c>
      <c r="H638" s="78">
        <f t="shared" si="347"/>
        <v>1</v>
      </c>
      <c r="I638" s="79">
        <f t="shared" si="333"/>
        <v>0</v>
      </c>
      <c r="J638" s="79">
        <f t="shared" si="323"/>
        <v>0</v>
      </c>
      <c r="K638" s="80">
        <f t="shared" si="324"/>
        <v>0</v>
      </c>
      <c r="L638" s="80">
        <f t="shared" si="334"/>
        <v>0</v>
      </c>
      <c r="M638" s="80">
        <f t="shared" si="349"/>
        <v>0</v>
      </c>
      <c r="N638" s="80">
        <f t="shared" si="335"/>
        <v>0</v>
      </c>
      <c r="O638" s="81">
        <f t="shared" si="325"/>
        <v>0</v>
      </c>
      <c r="P638" s="79">
        <f t="shared" si="326"/>
        <v>0</v>
      </c>
      <c r="R638">
        <f t="shared" ca="1" si="336"/>
        <v>760</v>
      </c>
      <c r="S638" s="78">
        <f t="shared" ca="1" si="337"/>
        <v>115.72</v>
      </c>
      <c r="T638" s="55">
        <f t="shared" ca="1" si="327"/>
        <v>0</v>
      </c>
      <c r="U638" s="78">
        <f t="shared" ca="1" si="342"/>
        <v>2.7389054743691302E-5</v>
      </c>
      <c r="V638" s="79">
        <f t="shared" ca="1" si="338"/>
        <v>0</v>
      </c>
      <c r="W638" s="79">
        <f t="shared" ca="1" si="328"/>
        <v>0</v>
      </c>
      <c r="X638" s="80">
        <f t="shared" ca="1" si="343"/>
        <v>0</v>
      </c>
      <c r="Y638" s="80">
        <f t="shared" ca="1" si="344"/>
        <v>0</v>
      </c>
      <c r="Z638" s="80">
        <f t="shared" ca="1" si="339"/>
        <v>0</v>
      </c>
      <c r="AA638" s="80">
        <f t="shared" ca="1" si="345"/>
        <v>0</v>
      </c>
      <c r="AB638" s="81">
        <f t="shared" ca="1" si="329"/>
        <v>0</v>
      </c>
      <c r="AC638" s="79">
        <f t="shared" ca="1" si="330"/>
        <v>0</v>
      </c>
      <c r="AE638" s="35"/>
      <c r="AF638" s="35"/>
      <c r="AR638" s="69">
        <f t="shared" si="340"/>
        <v>53</v>
      </c>
      <c r="AS638" s="70">
        <f t="shared" si="346"/>
        <v>635</v>
      </c>
      <c r="AT638" s="71">
        <f t="shared" si="350"/>
        <v>1.2952195404385579E-2</v>
      </c>
      <c r="AU638" s="72">
        <f t="shared" si="331"/>
        <v>6.8214933659622723E-3</v>
      </c>
      <c r="AV638" s="73">
        <f t="shared" si="341"/>
        <v>1.0068214933659623</v>
      </c>
      <c r="AW638" s="74">
        <f>PRODUCT(AV$4:AV638)</f>
        <v>74.958976084794614</v>
      </c>
    </row>
    <row r="639" spans="5:49">
      <c r="E639">
        <f t="shared" si="348"/>
        <v>636</v>
      </c>
      <c r="F639" s="64">
        <f t="shared" si="332"/>
        <v>105.8</v>
      </c>
      <c r="G639" s="55">
        <f t="shared" si="322"/>
        <v>0</v>
      </c>
      <c r="H639" s="78">
        <f t="shared" si="347"/>
        <v>1</v>
      </c>
      <c r="I639" s="79">
        <f t="shared" si="333"/>
        <v>0</v>
      </c>
      <c r="J639" s="79">
        <f t="shared" si="323"/>
        <v>0</v>
      </c>
      <c r="K639" s="80">
        <f t="shared" si="324"/>
        <v>0</v>
      </c>
      <c r="L639" s="80">
        <f t="shared" si="334"/>
        <v>0</v>
      </c>
      <c r="M639" s="80">
        <f t="shared" si="349"/>
        <v>0</v>
      </c>
      <c r="N639" s="80">
        <f t="shared" si="335"/>
        <v>0</v>
      </c>
      <c r="O639" s="81">
        <f t="shared" si="325"/>
        <v>0</v>
      </c>
      <c r="P639" s="79">
        <f t="shared" si="326"/>
        <v>0</v>
      </c>
      <c r="R639">
        <f t="shared" ca="1" si="336"/>
        <v>761</v>
      </c>
      <c r="S639" s="78">
        <f t="shared" ca="1" si="337"/>
        <v>115.8</v>
      </c>
      <c r="T639" s="55">
        <f t="shared" ca="1" si="327"/>
        <v>0</v>
      </c>
      <c r="U639" s="78">
        <f t="shared" ca="1" si="342"/>
        <v>2.7389054743691302E-5</v>
      </c>
      <c r="V639" s="79">
        <f t="shared" ca="1" si="338"/>
        <v>0</v>
      </c>
      <c r="W639" s="79">
        <f t="shared" ca="1" si="328"/>
        <v>0</v>
      </c>
      <c r="X639" s="80">
        <f t="shared" ca="1" si="343"/>
        <v>0</v>
      </c>
      <c r="Y639" s="80">
        <f t="shared" ca="1" si="344"/>
        <v>0</v>
      </c>
      <c r="Z639" s="80">
        <f t="shared" ca="1" si="339"/>
        <v>0</v>
      </c>
      <c r="AA639" s="80">
        <f t="shared" ca="1" si="345"/>
        <v>0</v>
      </c>
      <c r="AB639" s="81">
        <f t="shared" ca="1" si="329"/>
        <v>0</v>
      </c>
      <c r="AC639" s="79">
        <f t="shared" ca="1" si="330"/>
        <v>0</v>
      </c>
      <c r="AE639" s="35"/>
      <c r="AF639" s="35"/>
      <c r="AR639" s="69">
        <f t="shared" si="340"/>
        <v>53</v>
      </c>
      <c r="AS639" s="70">
        <f t="shared" si="346"/>
        <v>636</v>
      </c>
      <c r="AT639" s="71">
        <f t="shared" si="350"/>
        <v>1.2863842089359916E-2</v>
      </c>
      <c r="AU639" s="72">
        <f t="shared" si="331"/>
        <v>6.8214933659622723E-3</v>
      </c>
      <c r="AV639" s="73">
        <f t="shared" si="341"/>
        <v>1.0068214933659623</v>
      </c>
      <c r="AW639" s="74">
        <f>PRODUCT(AV$4:AV639)</f>
        <v>75.470308242876371</v>
      </c>
    </row>
    <row r="640" spans="5:49">
      <c r="E640">
        <f t="shared" si="348"/>
        <v>637</v>
      </c>
      <c r="F640" s="64">
        <f t="shared" si="332"/>
        <v>105.88</v>
      </c>
      <c r="G640" s="55">
        <f t="shared" si="322"/>
        <v>0</v>
      </c>
      <c r="H640" s="78">
        <f t="shared" si="347"/>
        <v>1</v>
      </c>
      <c r="I640" s="79">
        <f t="shared" si="333"/>
        <v>0</v>
      </c>
      <c r="J640" s="79">
        <f t="shared" si="323"/>
        <v>0</v>
      </c>
      <c r="K640" s="80">
        <f t="shared" si="324"/>
        <v>0</v>
      </c>
      <c r="L640" s="80">
        <f t="shared" si="334"/>
        <v>0</v>
      </c>
      <c r="M640" s="80">
        <f t="shared" si="349"/>
        <v>0</v>
      </c>
      <c r="N640" s="80">
        <f t="shared" si="335"/>
        <v>0</v>
      </c>
      <c r="O640" s="81">
        <f t="shared" si="325"/>
        <v>0</v>
      </c>
      <c r="P640" s="79">
        <f t="shared" si="326"/>
        <v>0</v>
      </c>
      <c r="R640">
        <f t="shared" ca="1" si="336"/>
        <v>762</v>
      </c>
      <c r="S640" s="78">
        <f t="shared" ca="1" si="337"/>
        <v>115.88</v>
      </c>
      <c r="T640" s="55">
        <f t="shared" ca="1" si="327"/>
        <v>0</v>
      </c>
      <c r="U640" s="78">
        <f t="shared" ca="1" si="342"/>
        <v>2.7389054743691302E-5</v>
      </c>
      <c r="V640" s="79">
        <f t="shared" ca="1" si="338"/>
        <v>0</v>
      </c>
      <c r="W640" s="79">
        <f t="shared" ca="1" si="328"/>
        <v>0</v>
      </c>
      <c r="X640" s="80">
        <f t="shared" ca="1" si="343"/>
        <v>0</v>
      </c>
      <c r="Y640" s="80">
        <f t="shared" ca="1" si="344"/>
        <v>0</v>
      </c>
      <c r="Z640" s="80">
        <f t="shared" ca="1" si="339"/>
        <v>0</v>
      </c>
      <c r="AA640" s="80">
        <f t="shared" ca="1" si="345"/>
        <v>0</v>
      </c>
      <c r="AB640" s="81">
        <f t="shared" ca="1" si="329"/>
        <v>0</v>
      </c>
      <c r="AC640" s="79">
        <f t="shared" ca="1" si="330"/>
        <v>0</v>
      </c>
      <c r="AE640" s="35"/>
      <c r="AF640" s="35"/>
      <c r="AR640" s="69">
        <f t="shared" si="340"/>
        <v>54</v>
      </c>
      <c r="AS640" s="70">
        <f t="shared" si="346"/>
        <v>637</v>
      </c>
      <c r="AT640" s="71">
        <f t="shared" si="350"/>
        <v>1.2776091475886561E-2</v>
      </c>
      <c r="AU640" s="72">
        <f t="shared" si="331"/>
        <v>6.8214933659622723E-3</v>
      </c>
      <c r="AV640" s="73">
        <f t="shared" si="341"/>
        <v>1.0068214933659623</v>
      </c>
      <c r="AW640" s="74">
        <f>PRODUCT(AV$4:AV640)</f>
        <v>75.985128449882282</v>
      </c>
    </row>
    <row r="641" spans="5:49">
      <c r="E641">
        <f t="shared" si="348"/>
        <v>638</v>
      </c>
      <c r="F641" s="64">
        <f t="shared" si="332"/>
        <v>105.96</v>
      </c>
      <c r="G641" s="55">
        <f t="shared" si="322"/>
        <v>0</v>
      </c>
      <c r="H641" s="78">
        <f t="shared" si="347"/>
        <v>1</v>
      </c>
      <c r="I641" s="79">
        <f t="shared" si="333"/>
        <v>0</v>
      </c>
      <c r="J641" s="79">
        <f t="shared" si="323"/>
        <v>0</v>
      </c>
      <c r="K641" s="80">
        <f t="shared" si="324"/>
        <v>0</v>
      </c>
      <c r="L641" s="80">
        <f t="shared" si="334"/>
        <v>0</v>
      </c>
      <c r="M641" s="80">
        <f t="shared" si="349"/>
        <v>0</v>
      </c>
      <c r="N641" s="80">
        <f t="shared" si="335"/>
        <v>0</v>
      </c>
      <c r="O641" s="81">
        <f t="shared" si="325"/>
        <v>0</v>
      </c>
      <c r="P641" s="79">
        <f t="shared" si="326"/>
        <v>0</v>
      </c>
      <c r="R641">
        <f t="shared" ca="1" si="336"/>
        <v>763</v>
      </c>
      <c r="S641" s="78">
        <f t="shared" ca="1" si="337"/>
        <v>115.96</v>
      </c>
      <c r="T641" s="55">
        <f t="shared" ca="1" si="327"/>
        <v>0</v>
      </c>
      <c r="U641" s="78">
        <f t="shared" ca="1" si="342"/>
        <v>2.7389054743691302E-5</v>
      </c>
      <c r="V641" s="79">
        <f t="shared" ca="1" si="338"/>
        <v>0</v>
      </c>
      <c r="W641" s="79">
        <f t="shared" ca="1" si="328"/>
        <v>0</v>
      </c>
      <c r="X641" s="80">
        <f t="shared" ca="1" si="343"/>
        <v>0</v>
      </c>
      <c r="Y641" s="80">
        <f t="shared" ca="1" si="344"/>
        <v>0</v>
      </c>
      <c r="Z641" s="80">
        <f t="shared" ca="1" si="339"/>
        <v>0</v>
      </c>
      <c r="AA641" s="80">
        <f t="shared" ca="1" si="345"/>
        <v>0</v>
      </c>
      <c r="AB641" s="81">
        <f t="shared" ca="1" si="329"/>
        <v>0</v>
      </c>
      <c r="AC641" s="79">
        <f t="shared" ca="1" si="330"/>
        <v>0</v>
      </c>
      <c r="AE641" s="35"/>
      <c r="AF641" s="35"/>
      <c r="AR641" s="69">
        <f t="shared" si="340"/>
        <v>54</v>
      </c>
      <c r="AS641" s="70">
        <f t="shared" si="346"/>
        <v>638</v>
      </c>
      <c r="AT641" s="71">
        <f t="shared" si="350"/>
        <v>1.2688939452640874E-2</v>
      </c>
      <c r="AU641" s="72">
        <f t="shared" si="331"/>
        <v>6.8214933659622723E-3</v>
      </c>
      <c r="AV641" s="73">
        <f t="shared" si="341"/>
        <v>1.0068214933659623</v>
      </c>
      <c r="AW641" s="74">
        <f>PRODUCT(AV$4:AV641)</f>
        <v>76.503460499514944</v>
      </c>
    </row>
    <row r="642" spans="5:49">
      <c r="E642">
        <f t="shared" si="348"/>
        <v>639</v>
      </c>
      <c r="F642" s="64">
        <f t="shared" si="332"/>
        <v>106.04</v>
      </c>
      <c r="G642" s="55">
        <f t="shared" si="322"/>
        <v>0</v>
      </c>
      <c r="H642" s="78">
        <f t="shared" si="347"/>
        <v>1</v>
      </c>
      <c r="I642" s="79">
        <f t="shared" si="333"/>
        <v>0</v>
      </c>
      <c r="J642" s="79">
        <f t="shared" si="323"/>
        <v>0</v>
      </c>
      <c r="K642" s="80">
        <f t="shared" si="324"/>
        <v>0</v>
      </c>
      <c r="L642" s="80">
        <f t="shared" si="334"/>
        <v>0</v>
      </c>
      <c r="M642" s="80">
        <f t="shared" si="349"/>
        <v>0</v>
      </c>
      <c r="N642" s="80">
        <f t="shared" si="335"/>
        <v>0</v>
      </c>
      <c r="O642" s="81">
        <f t="shared" si="325"/>
        <v>0</v>
      </c>
      <c r="P642" s="79">
        <f t="shared" si="326"/>
        <v>0</v>
      </c>
      <c r="R642">
        <f t="shared" ca="1" si="336"/>
        <v>764</v>
      </c>
      <c r="S642" s="78">
        <f t="shared" ca="1" si="337"/>
        <v>116.04</v>
      </c>
      <c r="T642" s="55">
        <f t="shared" ca="1" si="327"/>
        <v>0</v>
      </c>
      <c r="U642" s="78">
        <f t="shared" ca="1" si="342"/>
        <v>2.7389054743691302E-5</v>
      </c>
      <c r="V642" s="79">
        <f t="shared" ca="1" si="338"/>
        <v>0</v>
      </c>
      <c r="W642" s="79">
        <f t="shared" ca="1" si="328"/>
        <v>0</v>
      </c>
      <c r="X642" s="80">
        <f t="shared" ca="1" si="343"/>
        <v>0</v>
      </c>
      <c r="Y642" s="80">
        <f t="shared" ca="1" si="344"/>
        <v>0</v>
      </c>
      <c r="Z642" s="80">
        <f t="shared" ca="1" si="339"/>
        <v>0</v>
      </c>
      <c r="AA642" s="80">
        <f t="shared" ca="1" si="345"/>
        <v>0</v>
      </c>
      <c r="AB642" s="81">
        <f t="shared" ca="1" si="329"/>
        <v>0</v>
      </c>
      <c r="AC642" s="79">
        <f t="shared" ca="1" si="330"/>
        <v>0</v>
      </c>
      <c r="AE642" s="35"/>
      <c r="AF642" s="35"/>
      <c r="AR642" s="69">
        <f t="shared" si="340"/>
        <v>54</v>
      </c>
      <c r="AS642" s="70">
        <f t="shared" si="346"/>
        <v>639</v>
      </c>
      <c r="AT642" s="71">
        <f t="shared" si="350"/>
        <v>1.2602381936343587E-2</v>
      </c>
      <c r="AU642" s="72">
        <f t="shared" si="331"/>
        <v>6.8214933659622723E-3</v>
      </c>
      <c r="AV642" s="73">
        <f t="shared" si="341"/>
        <v>1.0068214933659623</v>
      </c>
      <c r="AW642" s="74">
        <f>PRODUCT(AV$4:AV642)</f>
        <v>77.025328347785546</v>
      </c>
    </row>
    <row r="643" spans="5:49">
      <c r="E643">
        <f t="shared" si="348"/>
        <v>640</v>
      </c>
      <c r="F643" s="64">
        <f t="shared" si="332"/>
        <v>106.12</v>
      </c>
      <c r="G643" s="55">
        <f t="shared" si="322"/>
        <v>0</v>
      </c>
      <c r="H643" s="78">
        <f t="shared" si="347"/>
        <v>1</v>
      </c>
      <c r="I643" s="79">
        <f t="shared" si="333"/>
        <v>0</v>
      </c>
      <c r="J643" s="79">
        <f t="shared" si="323"/>
        <v>0</v>
      </c>
      <c r="K643" s="80">
        <f t="shared" si="324"/>
        <v>0</v>
      </c>
      <c r="L643" s="80">
        <f t="shared" si="334"/>
        <v>0</v>
      </c>
      <c r="M643" s="80">
        <f t="shared" si="349"/>
        <v>0</v>
      </c>
      <c r="N643" s="80">
        <f t="shared" si="335"/>
        <v>0</v>
      </c>
      <c r="O643" s="81">
        <f t="shared" si="325"/>
        <v>0</v>
      </c>
      <c r="P643" s="79">
        <f t="shared" si="326"/>
        <v>0</v>
      </c>
      <c r="R643">
        <f t="shared" ca="1" si="336"/>
        <v>765</v>
      </c>
      <c r="S643" s="78">
        <f t="shared" ca="1" si="337"/>
        <v>116.12</v>
      </c>
      <c r="T643" s="55">
        <f t="shared" ca="1" si="327"/>
        <v>0</v>
      </c>
      <c r="U643" s="78">
        <f t="shared" ca="1" si="342"/>
        <v>2.7389054743691302E-5</v>
      </c>
      <c r="V643" s="79">
        <f t="shared" ca="1" si="338"/>
        <v>0</v>
      </c>
      <c r="W643" s="79">
        <f t="shared" ca="1" si="328"/>
        <v>0</v>
      </c>
      <c r="X643" s="80">
        <f t="shared" ca="1" si="343"/>
        <v>0</v>
      </c>
      <c r="Y643" s="80">
        <f t="shared" ca="1" si="344"/>
        <v>0</v>
      </c>
      <c r="Z643" s="80">
        <f t="shared" ca="1" si="339"/>
        <v>0</v>
      </c>
      <c r="AA643" s="80">
        <f t="shared" ca="1" si="345"/>
        <v>0</v>
      </c>
      <c r="AB643" s="81">
        <f t="shared" ca="1" si="329"/>
        <v>0</v>
      </c>
      <c r="AC643" s="79">
        <f t="shared" ca="1" si="330"/>
        <v>0</v>
      </c>
      <c r="AE643" s="35"/>
      <c r="AF643" s="35"/>
      <c r="AR643" s="69">
        <f t="shared" si="340"/>
        <v>54</v>
      </c>
      <c r="AS643" s="70">
        <f t="shared" si="346"/>
        <v>640</v>
      </c>
      <c r="AT643" s="71">
        <f t="shared" si="350"/>
        <v>1.2516414871569497E-2</v>
      </c>
      <c r="AU643" s="72">
        <f t="shared" si="331"/>
        <v>6.8214933659622723E-3</v>
      </c>
      <c r="AV643" s="73">
        <f t="shared" si="341"/>
        <v>1.0068214933659623</v>
      </c>
      <c r="AW643" s="74">
        <f>PRODUCT(AV$4:AV643)</f>
        <v>77.550756114121029</v>
      </c>
    </row>
    <row r="644" spans="5:49">
      <c r="E644">
        <f t="shared" si="348"/>
        <v>641</v>
      </c>
      <c r="F644" s="64">
        <f t="shared" si="332"/>
        <v>106.2</v>
      </c>
      <c r="G644" s="55">
        <f t="shared" ref="G644:G707" si="351">(1-(1-IF(F644&gt;$AJ$90,0,VLOOKUP(ROUND(F644,0),$AJ$4:$AK$90,2,FALSE)))^(1/12))*0</f>
        <v>0</v>
      </c>
      <c r="H644" s="78">
        <f t="shared" si="347"/>
        <v>1</v>
      </c>
      <c r="I644" s="79">
        <f t="shared" si="333"/>
        <v>0</v>
      </c>
      <c r="J644" s="79">
        <f t="shared" ref="J644:J707" si="352">(I644)*$AU644</f>
        <v>0</v>
      </c>
      <c r="K644" s="80">
        <f t="shared" ref="K644:K707" si="353">IF(I644=0,0,-$C$19)*H644</f>
        <v>0</v>
      </c>
      <c r="L644" s="80">
        <f t="shared" si="334"/>
        <v>0</v>
      </c>
      <c r="M644" s="80">
        <f t="shared" si="349"/>
        <v>0</v>
      </c>
      <c r="N644" s="80">
        <f t="shared" si="335"/>
        <v>0</v>
      </c>
      <c r="O644" s="81">
        <f t="shared" ref="O644:O707" si="354">-MIN(
IF(MOD(E644-1,IF($C$7="Annual",12,1))=0,1,0)
*IF(F644&lt;=$C$6,H644*$C$5*$C$4/IF($C$7="Monthly",12,1),$C$12),I644)</f>
        <v>0</v>
      </c>
      <c r="P644" s="79">
        <f t="shared" ref="P644:P707" si="355">SUM(I644:O644)</f>
        <v>0</v>
      </c>
      <c r="R644">
        <f t="shared" ca="1" si="336"/>
        <v>766</v>
      </c>
      <c r="S644" s="78">
        <f t="shared" ca="1" si="337"/>
        <v>116.2</v>
      </c>
      <c r="T644" s="55">
        <f t="shared" ref="T644:T707" ca="1" si="356">(1-(1-IF(S644&gt;$AJ$90,0,VLOOKUP(ROUND(S644,0),$AJ$4:$AK$90,2,FALSE)))^(1/12))</f>
        <v>0</v>
      </c>
      <c r="U644" s="78">
        <f t="shared" ca="1" si="342"/>
        <v>2.7389054743691302E-5</v>
      </c>
      <c r="V644" s="79">
        <f t="shared" ca="1" si="338"/>
        <v>0</v>
      </c>
      <c r="W644" s="79">
        <f t="shared" ref="W644:W707" ca="1" si="357">(V644)*$AU644</f>
        <v>0</v>
      </c>
      <c r="X644" s="80">
        <f t="shared" ca="1" si="343"/>
        <v>0</v>
      </c>
      <c r="Y644" s="80">
        <f t="shared" ca="1" si="344"/>
        <v>0</v>
      </c>
      <c r="Z644" s="80">
        <f t="shared" ca="1" si="339"/>
        <v>0</v>
      </c>
      <c r="AA644" s="80">
        <f t="shared" ca="1" si="345"/>
        <v>0</v>
      </c>
      <c r="AB644" s="81">
        <f t="shared" ref="AB644:AB707" ca="1" si="358">-MIN(IF(MOD(R644,IF($C$7="Annual",12,1))=0,1,0)*$C$39*U644/IF($C$7="Monthly",12,1),V644)</f>
        <v>0</v>
      </c>
      <c r="AC644" s="79">
        <f t="shared" ref="AC644:AC707" ca="1" si="359">SUM(V644:AB644)</f>
        <v>0</v>
      </c>
      <c r="AE644" s="35"/>
      <c r="AF644" s="35"/>
      <c r="AR644" s="69">
        <f t="shared" si="340"/>
        <v>54</v>
      </c>
      <c r="AS644" s="70">
        <f t="shared" si="346"/>
        <v>641</v>
      </c>
      <c r="AT644" s="71">
        <f t="shared" si="350"/>
        <v>1.2431034230557454E-2</v>
      </c>
      <c r="AU644" s="72">
        <f t="shared" ref="AU644:AU707" si="360">((1+$AH$21)^(1/12))-1</f>
        <v>6.8214933659622723E-3</v>
      </c>
      <c r="AV644" s="73">
        <f t="shared" si="341"/>
        <v>1.0068214933659623</v>
      </c>
      <c r="AW644" s="74">
        <f>PRODUCT(AV$4:AV644)</f>
        <v>78.079768082478864</v>
      </c>
    </row>
    <row r="645" spans="5:49">
      <c r="E645">
        <f t="shared" si="348"/>
        <v>642</v>
      </c>
      <c r="F645" s="64">
        <f t="shared" ref="F645:F708" si="361">ROUND((E645-E644)/12+F644,2)</f>
        <v>106.28</v>
      </c>
      <c r="G645" s="55">
        <f t="shared" si="351"/>
        <v>0</v>
      </c>
      <c r="H645" s="78">
        <f t="shared" si="347"/>
        <v>1</v>
      </c>
      <c r="I645" s="79">
        <f t="shared" ref="I645:I708" si="362">MAX(P644,0)*(1-G645)</f>
        <v>0</v>
      </c>
      <c r="J645" s="79">
        <f t="shared" si="352"/>
        <v>0</v>
      </c>
      <c r="K645" s="80">
        <f t="shared" si="353"/>
        <v>0</v>
      </c>
      <c r="L645" s="80">
        <f t="shared" ref="L645:L708" si="363">IF(OR(I644+O644=0,K644=0),0,-I645*($C$16/12))</f>
        <v>0</v>
      </c>
      <c r="M645" s="80">
        <f t="shared" si="349"/>
        <v>0</v>
      </c>
      <c r="N645" s="80">
        <f t="shared" ref="N645:N708" si="364">IF(OR(I644+O644=0,K644=0),0,-I645*($C$18*(1+$C$20))/12)</f>
        <v>0</v>
      </c>
      <c r="O645" s="81">
        <f t="shared" si="354"/>
        <v>0</v>
      </c>
      <c r="P645" s="79">
        <f t="shared" si="355"/>
        <v>0</v>
      </c>
      <c r="R645">
        <f t="shared" ref="R645:R708" ca="1" si="365">R644+1</f>
        <v>767</v>
      </c>
      <c r="S645" s="78">
        <f t="shared" ref="S645:S708" ca="1" si="366">ROUND((R645-R644)/12+S644,2)</f>
        <v>116.28</v>
      </c>
      <c r="T645" s="55">
        <f t="shared" ca="1" si="356"/>
        <v>0</v>
      </c>
      <c r="U645" s="78">
        <f t="shared" ca="1" si="342"/>
        <v>2.7389054743691302E-5</v>
      </c>
      <c r="V645" s="79">
        <f t="shared" ref="V645:V708" ca="1" si="367">MAX(AC644,0)*(1-T645)</f>
        <v>0</v>
      </c>
      <c r="W645" s="79">
        <f t="shared" ca="1" si="357"/>
        <v>0</v>
      </c>
      <c r="X645" s="80">
        <f t="shared" ca="1" si="343"/>
        <v>0</v>
      </c>
      <c r="Y645" s="80">
        <f t="shared" ca="1" si="344"/>
        <v>0</v>
      </c>
      <c r="Z645" s="80">
        <f t="shared" ref="Z645:Z708" ca="1" si="368">-IF(MOD(R645-1,12)=0,1,0)*V645*($C$17)</f>
        <v>0</v>
      </c>
      <c r="AA645" s="80">
        <f t="shared" ca="1" si="345"/>
        <v>0</v>
      </c>
      <c r="AB645" s="81">
        <f t="shared" ca="1" si="358"/>
        <v>0</v>
      </c>
      <c r="AC645" s="79">
        <f t="shared" ca="1" si="359"/>
        <v>0</v>
      </c>
      <c r="AE645" s="35"/>
      <c r="AF645" s="35"/>
      <c r="AR645" s="69">
        <f t="shared" ref="AR645:AR708" si="369">ROUNDDOWN((AS645-1)/12,0)+1</f>
        <v>54</v>
      </c>
      <c r="AS645" s="70">
        <f t="shared" si="346"/>
        <v>642</v>
      </c>
      <c r="AT645" s="71">
        <f t="shared" si="350"/>
        <v>1.2346236013021657E-2</v>
      </c>
      <c r="AU645" s="72">
        <f t="shared" si="360"/>
        <v>6.8214933659622723E-3</v>
      </c>
      <c r="AV645" s="73">
        <f t="shared" ref="AV645:AV708" si="370">(1+AU645)</f>
        <v>1.0068214933659623</v>
      </c>
      <c r="AW645" s="74">
        <f>PRODUCT(AV$4:AV645)</f>
        <v>78.61238870246936</v>
      </c>
    </row>
    <row r="646" spans="5:49">
      <c r="E646">
        <f t="shared" si="348"/>
        <v>643</v>
      </c>
      <c r="F646" s="64">
        <f t="shared" si="361"/>
        <v>106.36</v>
      </c>
      <c r="G646" s="55">
        <f t="shared" si="351"/>
        <v>0</v>
      </c>
      <c r="H646" s="78">
        <f t="shared" si="347"/>
        <v>1</v>
      </c>
      <c r="I646" s="79">
        <f t="shared" si="362"/>
        <v>0</v>
      </c>
      <c r="J646" s="79">
        <f t="shared" si="352"/>
        <v>0</v>
      </c>
      <c r="K646" s="80">
        <f t="shared" si="353"/>
        <v>0</v>
      </c>
      <c r="L646" s="80">
        <f t="shared" si="363"/>
        <v>0</v>
      </c>
      <c r="M646" s="80">
        <f t="shared" si="349"/>
        <v>0</v>
      </c>
      <c r="N646" s="80">
        <f t="shared" si="364"/>
        <v>0</v>
      </c>
      <c r="O646" s="81">
        <f t="shared" si="354"/>
        <v>0</v>
      </c>
      <c r="P646" s="79">
        <f t="shared" si="355"/>
        <v>0</v>
      </c>
      <c r="R646">
        <f t="shared" ca="1" si="365"/>
        <v>768</v>
      </c>
      <c r="S646" s="78">
        <f t="shared" ca="1" si="366"/>
        <v>116.36</v>
      </c>
      <c r="T646" s="55">
        <f t="shared" ca="1" si="356"/>
        <v>0</v>
      </c>
      <c r="U646" s="78">
        <f t="shared" ref="U646:U709" ca="1" si="371">U645*(1-T646)</f>
        <v>2.7389054743691302E-5</v>
      </c>
      <c r="V646" s="79">
        <f t="shared" ca="1" si="367"/>
        <v>0</v>
      </c>
      <c r="W646" s="79">
        <f t="shared" ca="1" si="357"/>
        <v>0</v>
      </c>
      <c r="X646" s="80">
        <f t="shared" ref="X646:X709" ca="1" si="372">IF(V646=0,0,-$C$19)*U646</f>
        <v>0</v>
      </c>
      <c r="Y646" s="80">
        <f t="shared" ref="Y646:Y709" ca="1" si="373">IF(OR(V645+AB645=0,X645=0),0,-V646*($C$16/12))</f>
        <v>0</v>
      </c>
      <c r="Z646" s="80">
        <f t="shared" ca="1" si="368"/>
        <v>0</v>
      </c>
      <c r="AA646" s="80">
        <f t="shared" ref="AA646:AA709" ca="1" si="374">IF(OR(V645+AB645=0,X645=0),0,-V646*($C$18*(1+$C$20))/12)</f>
        <v>0</v>
      </c>
      <c r="AB646" s="81">
        <f t="shared" ca="1" si="358"/>
        <v>0</v>
      </c>
      <c r="AC646" s="79">
        <f t="shared" ca="1" si="359"/>
        <v>0</v>
      </c>
      <c r="AE646" s="35"/>
      <c r="AF646" s="35"/>
      <c r="AR646" s="69">
        <f t="shared" si="369"/>
        <v>54</v>
      </c>
      <c r="AS646" s="70">
        <f t="shared" ref="AS646:AS709" si="375">AS645+1</f>
        <v>643</v>
      </c>
      <c r="AT646" s="71">
        <f t="shared" si="350"/>
        <v>1.2262016245964225E-2</v>
      </c>
      <c r="AU646" s="72">
        <f t="shared" si="360"/>
        <v>6.8214933659622723E-3</v>
      </c>
      <c r="AV646" s="73">
        <f t="shared" si="370"/>
        <v>1.0068214933659623</v>
      </c>
      <c r="AW646" s="74">
        <f>PRODUCT(AV$4:AV646)</f>
        <v>79.148642590485707</v>
      </c>
    </row>
    <row r="647" spans="5:49">
      <c r="E647">
        <f t="shared" si="348"/>
        <v>644</v>
      </c>
      <c r="F647" s="64">
        <f t="shared" si="361"/>
        <v>106.44</v>
      </c>
      <c r="G647" s="55">
        <f t="shared" si="351"/>
        <v>0</v>
      </c>
      <c r="H647" s="78">
        <f t="shared" ref="H647:H710" si="376">H646*(1-G647)</f>
        <v>1</v>
      </c>
      <c r="I647" s="79">
        <f t="shared" si="362"/>
        <v>0</v>
      </c>
      <c r="J647" s="79">
        <f t="shared" si="352"/>
        <v>0</v>
      </c>
      <c r="K647" s="80">
        <f t="shared" si="353"/>
        <v>0</v>
      </c>
      <c r="L647" s="80">
        <f t="shared" si="363"/>
        <v>0</v>
      </c>
      <c r="M647" s="80">
        <f t="shared" si="349"/>
        <v>0</v>
      </c>
      <c r="N647" s="80">
        <f t="shared" si="364"/>
        <v>0</v>
      </c>
      <c r="O647" s="81">
        <f t="shared" si="354"/>
        <v>0</v>
      </c>
      <c r="P647" s="79">
        <f t="shared" si="355"/>
        <v>0</v>
      </c>
      <c r="R647">
        <f t="shared" ca="1" si="365"/>
        <v>769</v>
      </c>
      <c r="S647" s="78">
        <f t="shared" ca="1" si="366"/>
        <v>116.44</v>
      </c>
      <c r="T647" s="55">
        <f t="shared" ca="1" si="356"/>
        <v>0</v>
      </c>
      <c r="U647" s="78">
        <f t="shared" ca="1" si="371"/>
        <v>2.7389054743691302E-5</v>
      </c>
      <c r="V647" s="79">
        <f t="shared" ca="1" si="367"/>
        <v>0</v>
      </c>
      <c r="W647" s="79">
        <f t="shared" ca="1" si="357"/>
        <v>0</v>
      </c>
      <c r="X647" s="80">
        <f t="shared" ca="1" si="372"/>
        <v>0</v>
      </c>
      <c r="Y647" s="80">
        <f t="shared" ca="1" si="373"/>
        <v>0</v>
      </c>
      <c r="Z647" s="80">
        <f t="shared" ca="1" si="368"/>
        <v>0</v>
      </c>
      <c r="AA647" s="80">
        <f t="shared" ca="1" si="374"/>
        <v>0</v>
      </c>
      <c r="AB647" s="81">
        <f t="shared" ca="1" si="358"/>
        <v>0</v>
      </c>
      <c r="AC647" s="79">
        <f t="shared" ca="1" si="359"/>
        <v>0</v>
      </c>
      <c r="AE647" s="35"/>
      <c r="AF647" s="35"/>
      <c r="AR647" s="69">
        <f t="shared" si="369"/>
        <v>54</v>
      </c>
      <c r="AS647" s="70">
        <f t="shared" si="375"/>
        <v>644</v>
      </c>
      <c r="AT647" s="71">
        <f t="shared" si="350"/>
        <v>1.2178370983489058E-2</v>
      </c>
      <c r="AU647" s="72">
        <f t="shared" si="360"/>
        <v>6.8214933659622723E-3</v>
      </c>
      <c r="AV647" s="73">
        <f t="shared" si="370"/>
        <v>1.0068214933659623</v>
      </c>
      <c r="AW647" s="74">
        <f>PRODUCT(AV$4:AV647)</f>
        <v>79.688554530841628</v>
      </c>
    </row>
    <row r="648" spans="5:49">
      <c r="E648">
        <f t="shared" si="348"/>
        <v>645</v>
      </c>
      <c r="F648" s="64">
        <f t="shared" si="361"/>
        <v>106.52</v>
      </c>
      <c r="G648" s="55">
        <f t="shared" si="351"/>
        <v>0</v>
      </c>
      <c r="H648" s="78">
        <f t="shared" si="376"/>
        <v>1</v>
      </c>
      <c r="I648" s="79">
        <f t="shared" si="362"/>
        <v>0</v>
      </c>
      <c r="J648" s="79">
        <f t="shared" si="352"/>
        <v>0</v>
      </c>
      <c r="K648" s="80">
        <f t="shared" si="353"/>
        <v>0</v>
      </c>
      <c r="L648" s="80">
        <f t="shared" si="363"/>
        <v>0</v>
      </c>
      <c r="M648" s="80">
        <f t="shared" si="349"/>
        <v>0</v>
      </c>
      <c r="N648" s="80">
        <f t="shared" si="364"/>
        <v>0</v>
      </c>
      <c r="O648" s="81">
        <f t="shared" si="354"/>
        <v>0</v>
      </c>
      <c r="P648" s="79">
        <f t="shared" si="355"/>
        <v>0</v>
      </c>
      <c r="R648">
        <f t="shared" ca="1" si="365"/>
        <v>770</v>
      </c>
      <c r="S648" s="78">
        <f t="shared" ca="1" si="366"/>
        <v>116.52</v>
      </c>
      <c r="T648" s="55">
        <f t="shared" ca="1" si="356"/>
        <v>0</v>
      </c>
      <c r="U648" s="78">
        <f t="shared" ca="1" si="371"/>
        <v>2.7389054743691302E-5</v>
      </c>
      <c r="V648" s="79">
        <f t="shared" ca="1" si="367"/>
        <v>0</v>
      </c>
      <c r="W648" s="79">
        <f t="shared" ca="1" si="357"/>
        <v>0</v>
      </c>
      <c r="X648" s="80">
        <f t="shared" ca="1" si="372"/>
        <v>0</v>
      </c>
      <c r="Y648" s="80">
        <f t="shared" ca="1" si="373"/>
        <v>0</v>
      </c>
      <c r="Z648" s="80">
        <f t="shared" ca="1" si="368"/>
        <v>0</v>
      </c>
      <c r="AA648" s="80">
        <f t="shared" ca="1" si="374"/>
        <v>0</v>
      </c>
      <c r="AB648" s="81">
        <f t="shared" ca="1" si="358"/>
        <v>0</v>
      </c>
      <c r="AC648" s="79">
        <f t="shared" ca="1" si="359"/>
        <v>0</v>
      </c>
      <c r="AE648" s="35"/>
      <c r="AF648" s="35"/>
      <c r="AR648" s="69">
        <f t="shared" si="369"/>
        <v>54</v>
      </c>
      <c r="AS648" s="70">
        <f t="shared" si="375"/>
        <v>645</v>
      </c>
      <c r="AT648" s="71">
        <f t="shared" si="350"/>
        <v>1.2095296306616961E-2</v>
      </c>
      <c r="AU648" s="72">
        <f t="shared" si="360"/>
        <v>6.8214933659622723E-3</v>
      </c>
      <c r="AV648" s="73">
        <f t="shared" si="370"/>
        <v>1.0068214933659623</v>
      </c>
      <c r="AW648" s="74">
        <f>PRODUCT(AV$4:AV648)</f>
        <v>80.232149476916888</v>
      </c>
    </row>
    <row r="649" spans="5:49">
      <c r="E649">
        <f t="shared" si="348"/>
        <v>646</v>
      </c>
      <c r="F649" s="64">
        <f t="shared" si="361"/>
        <v>106.6</v>
      </c>
      <c r="G649" s="55">
        <f t="shared" si="351"/>
        <v>0</v>
      </c>
      <c r="H649" s="78">
        <f t="shared" si="376"/>
        <v>1</v>
      </c>
      <c r="I649" s="79">
        <f t="shared" si="362"/>
        <v>0</v>
      </c>
      <c r="J649" s="79">
        <f t="shared" si="352"/>
        <v>0</v>
      </c>
      <c r="K649" s="80">
        <f t="shared" si="353"/>
        <v>0</v>
      </c>
      <c r="L649" s="80">
        <f t="shared" si="363"/>
        <v>0</v>
      </c>
      <c r="M649" s="80">
        <f t="shared" si="349"/>
        <v>0</v>
      </c>
      <c r="N649" s="80">
        <f t="shared" si="364"/>
        <v>0</v>
      </c>
      <c r="O649" s="81">
        <f t="shared" si="354"/>
        <v>0</v>
      </c>
      <c r="P649" s="79">
        <f t="shared" si="355"/>
        <v>0</v>
      </c>
      <c r="R649">
        <f t="shared" ca="1" si="365"/>
        <v>771</v>
      </c>
      <c r="S649" s="78">
        <f t="shared" ca="1" si="366"/>
        <v>116.6</v>
      </c>
      <c r="T649" s="55">
        <f t="shared" ca="1" si="356"/>
        <v>0</v>
      </c>
      <c r="U649" s="78">
        <f t="shared" ca="1" si="371"/>
        <v>2.7389054743691302E-5</v>
      </c>
      <c r="V649" s="79">
        <f t="shared" ca="1" si="367"/>
        <v>0</v>
      </c>
      <c r="W649" s="79">
        <f t="shared" ca="1" si="357"/>
        <v>0</v>
      </c>
      <c r="X649" s="80">
        <f t="shared" ca="1" si="372"/>
        <v>0</v>
      </c>
      <c r="Y649" s="80">
        <f t="shared" ca="1" si="373"/>
        <v>0</v>
      </c>
      <c r="Z649" s="80">
        <f t="shared" ca="1" si="368"/>
        <v>0</v>
      </c>
      <c r="AA649" s="80">
        <f t="shared" ca="1" si="374"/>
        <v>0</v>
      </c>
      <c r="AB649" s="81">
        <f t="shared" ca="1" si="358"/>
        <v>0</v>
      </c>
      <c r="AC649" s="79">
        <f t="shared" ca="1" si="359"/>
        <v>0</v>
      </c>
      <c r="AE649" s="35"/>
      <c r="AF649" s="35"/>
      <c r="AR649" s="69">
        <f t="shared" si="369"/>
        <v>54</v>
      </c>
      <c r="AS649" s="70">
        <f t="shared" si="375"/>
        <v>646</v>
      </c>
      <c r="AT649" s="71">
        <f t="shared" si="350"/>
        <v>1.2012788323102026E-2</v>
      </c>
      <c r="AU649" s="72">
        <f t="shared" si="360"/>
        <v>6.8214933659622723E-3</v>
      </c>
      <c r="AV649" s="73">
        <f t="shared" si="370"/>
        <v>1.0068214933659623</v>
      </c>
      <c r="AW649" s="74">
        <f>PRODUCT(AV$4:AV649)</f>
        <v>80.779452552310573</v>
      </c>
    </row>
    <row r="650" spans="5:49">
      <c r="E650">
        <f t="shared" si="348"/>
        <v>647</v>
      </c>
      <c r="F650" s="64">
        <f t="shared" si="361"/>
        <v>106.68</v>
      </c>
      <c r="G650" s="55">
        <f t="shared" si="351"/>
        <v>0</v>
      </c>
      <c r="H650" s="78">
        <f t="shared" si="376"/>
        <v>1</v>
      </c>
      <c r="I650" s="79">
        <f t="shared" si="362"/>
        <v>0</v>
      </c>
      <c r="J650" s="79">
        <f t="shared" si="352"/>
        <v>0</v>
      </c>
      <c r="K650" s="80">
        <f t="shared" si="353"/>
        <v>0</v>
      </c>
      <c r="L650" s="80">
        <f t="shared" si="363"/>
        <v>0</v>
      </c>
      <c r="M650" s="80">
        <f t="shared" si="349"/>
        <v>0</v>
      </c>
      <c r="N650" s="80">
        <f t="shared" si="364"/>
        <v>0</v>
      </c>
      <c r="O650" s="81">
        <f t="shared" si="354"/>
        <v>0</v>
      </c>
      <c r="P650" s="79">
        <f t="shared" si="355"/>
        <v>0</v>
      </c>
      <c r="R650">
        <f t="shared" ca="1" si="365"/>
        <v>772</v>
      </c>
      <c r="S650" s="78">
        <f t="shared" ca="1" si="366"/>
        <v>116.68</v>
      </c>
      <c r="T650" s="55">
        <f t="shared" ca="1" si="356"/>
        <v>0</v>
      </c>
      <c r="U650" s="78">
        <f t="shared" ca="1" si="371"/>
        <v>2.7389054743691302E-5</v>
      </c>
      <c r="V650" s="79">
        <f t="shared" ca="1" si="367"/>
        <v>0</v>
      </c>
      <c r="W650" s="79">
        <f t="shared" ca="1" si="357"/>
        <v>0</v>
      </c>
      <c r="X650" s="80">
        <f t="shared" ca="1" si="372"/>
        <v>0</v>
      </c>
      <c r="Y650" s="80">
        <f t="shared" ca="1" si="373"/>
        <v>0</v>
      </c>
      <c r="Z650" s="80">
        <f t="shared" ca="1" si="368"/>
        <v>0</v>
      </c>
      <c r="AA650" s="80">
        <f t="shared" ca="1" si="374"/>
        <v>0</v>
      </c>
      <c r="AB650" s="81">
        <f t="shared" ca="1" si="358"/>
        <v>0</v>
      </c>
      <c r="AC650" s="79">
        <f t="shared" ca="1" si="359"/>
        <v>0</v>
      </c>
      <c r="AE650" s="35"/>
      <c r="AF650" s="35"/>
      <c r="AR650" s="69">
        <f t="shared" si="369"/>
        <v>54</v>
      </c>
      <c r="AS650" s="70">
        <f t="shared" si="375"/>
        <v>647</v>
      </c>
      <c r="AT650" s="71">
        <f t="shared" si="350"/>
        <v>1.1930843167249277E-2</v>
      </c>
      <c r="AU650" s="72">
        <f t="shared" si="360"/>
        <v>6.8214933659622723E-3</v>
      </c>
      <c r="AV650" s="73">
        <f t="shared" si="370"/>
        <v>1.0068214933659623</v>
      </c>
      <c r="AW650" s="74">
        <f>PRODUCT(AV$4:AV650)</f>
        <v>81.330489052002221</v>
      </c>
    </row>
    <row r="651" spans="5:49">
      <c r="E651">
        <f t="shared" si="348"/>
        <v>648</v>
      </c>
      <c r="F651" s="64">
        <f t="shared" si="361"/>
        <v>106.76</v>
      </c>
      <c r="G651" s="55">
        <f t="shared" si="351"/>
        <v>0</v>
      </c>
      <c r="H651" s="78">
        <f t="shared" si="376"/>
        <v>1</v>
      </c>
      <c r="I651" s="79">
        <f t="shared" si="362"/>
        <v>0</v>
      </c>
      <c r="J651" s="79">
        <f t="shared" si="352"/>
        <v>0</v>
      </c>
      <c r="K651" s="80">
        <f t="shared" si="353"/>
        <v>0</v>
      </c>
      <c r="L651" s="80">
        <f t="shared" si="363"/>
        <v>0</v>
      </c>
      <c r="M651" s="80">
        <f t="shared" si="349"/>
        <v>0</v>
      </c>
      <c r="N651" s="80">
        <f t="shared" si="364"/>
        <v>0</v>
      </c>
      <c r="O651" s="81">
        <f t="shared" si="354"/>
        <v>0</v>
      </c>
      <c r="P651" s="79">
        <f t="shared" si="355"/>
        <v>0</v>
      </c>
      <c r="R651">
        <f t="shared" ca="1" si="365"/>
        <v>773</v>
      </c>
      <c r="S651" s="78">
        <f t="shared" ca="1" si="366"/>
        <v>116.76</v>
      </c>
      <c r="T651" s="55">
        <f t="shared" ca="1" si="356"/>
        <v>0</v>
      </c>
      <c r="U651" s="78">
        <f t="shared" ca="1" si="371"/>
        <v>2.7389054743691302E-5</v>
      </c>
      <c r="V651" s="79">
        <f t="shared" ca="1" si="367"/>
        <v>0</v>
      </c>
      <c r="W651" s="79">
        <f t="shared" ca="1" si="357"/>
        <v>0</v>
      </c>
      <c r="X651" s="80">
        <f t="shared" ca="1" si="372"/>
        <v>0</v>
      </c>
      <c r="Y651" s="80">
        <f t="shared" ca="1" si="373"/>
        <v>0</v>
      </c>
      <c r="Z651" s="80">
        <f t="shared" ca="1" si="368"/>
        <v>0</v>
      </c>
      <c r="AA651" s="80">
        <f t="shared" ca="1" si="374"/>
        <v>0</v>
      </c>
      <c r="AB651" s="81">
        <f t="shared" ca="1" si="358"/>
        <v>0</v>
      </c>
      <c r="AC651" s="79">
        <f t="shared" ca="1" si="359"/>
        <v>0</v>
      </c>
      <c r="AE651" s="35"/>
      <c r="AF651" s="35"/>
      <c r="AR651" s="69">
        <f t="shared" si="369"/>
        <v>54</v>
      </c>
      <c r="AS651" s="70">
        <f t="shared" si="375"/>
        <v>648</v>
      </c>
      <c r="AT651" s="71">
        <f t="shared" si="350"/>
        <v>1.1849456999733549E-2</v>
      </c>
      <c r="AU651" s="72">
        <f t="shared" si="360"/>
        <v>6.8214933659622723E-3</v>
      </c>
      <c r="AV651" s="73">
        <f t="shared" si="370"/>
        <v>1.0068214933659623</v>
      </c>
      <c r="AW651" s="74">
        <f>PRODUCT(AV$4:AV651)</f>
        <v>81.885284443520916</v>
      </c>
    </row>
    <row r="652" spans="5:49">
      <c r="E652">
        <f t="shared" si="348"/>
        <v>649</v>
      </c>
      <c r="F652" s="64">
        <f t="shared" si="361"/>
        <v>106.84</v>
      </c>
      <c r="G652" s="55">
        <f t="shared" si="351"/>
        <v>0</v>
      </c>
      <c r="H652" s="78">
        <f t="shared" si="376"/>
        <v>1</v>
      </c>
      <c r="I652" s="79">
        <f t="shared" si="362"/>
        <v>0</v>
      </c>
      <c r="J652" s="79">
        <f t="shared" si="352"/>
        <v>0</v>
      </c>
      <c r="K652" s="80">
        <f t="shared" si="353"/>
        <v>0</v>
      </c>
      <c r="L652" s="80">
        <f t="shared" si="363"/>
        <v>0</v>
      </c>
      <c r="M652" s="80">
        <f t="shared" si="349"/>
        <v>0</v>
      </c>
      <c r="N652" s="80">
        <f t="shared" si="364"/>
        <v>0</v>
      </c>
      <c r="O652" s="81">
        <f t="shared" si="354"/>
        <v>0</v>
      </c>
      <c r="P652" s="79">
        <f t="shared" si="355"/>
        <v>0</v>
      </c>
      <c r="R652">
        <f t="shared" ca="1" si="365"/>
        <v>774</v>
      </c>
      <c r="S652" s="78">
        <f t="shared" ca="1" si="366"/>
        <v>116.84</v>
      </c>
      <c r="T652" s="55">
        <f t="shared" ca="1" si="356"/>
        <v>0</v>
      </c>
      <c r="U652" s="78">
        <f t="shared" ca="1" si="371"/>
        <v>2.7389054743691302E-5</v>
      </c>
      <c r="V652" s="79">
        <f t="shared" ca="1" si="367"/>
        <v>0</v>
      </c>
      <c r="W652" s="79">
        <f t="shared" ca="1" si="357"/>
        <v>0</v>
      </c>
      <c r="X652" s="80">
        <f t="shared" ca="1" si="372"/>
        <v>0</v>
      </c>
      <c r="Y652" s="80">
        <f t="shared" ca="1" si="373"/>
        <v>0</v>
      </c>
      <c r="Z652" s="80">
        <f t="shared" ca="1" si="368"/>
        <v>0</v>
      </c>
      <c r="AA652" s="80">
        <f t="shared" ca="1" si="374"/>
        <v>0</v>
      </c>
      <c r="AB652" s="81">
        <f t="shared" ca="1" si="358"/>
        <v>0</v>
      </c>
      <c r="AC652" s="79">
        <f t="shared" ca="1" si="359"/>
        <v>0</v>
      </c>
      <c r="AE652" s="35"/>
      <c r="AF652" s="35"/>
      <c r="AR652" s="69">
        <f t="shared" si="369"/>
        <v>55</v>
      </c>
      <c r="AS652" s="70">
        <f t="shared" si="375"/>
        <v>649</v>
      </c>
      <c r="AT652" s="71">
        <f t="shared" si="350"/>
        <v>1.1768626007419611E-2</v>
      </c>
      <c r="AU652" s="72">
        <f t="shared" si="360"/>
        <v>6.8214933659622723E-3</v>
      </c>
      <c r="AV652" s="73">
        <f t="shared" si="370"/>
        <v>1.0068214933659623</v>
      </c>
      <c r="AW652" s="74">
        <f>PRODUCT(AV$4:AV652)</f>
        <v>82.443864368122334</v>
      </c>
    </row>
    <row r="653" spans="5:49">
      <c r="E653">
        <f t="shared" si="348"/>
        <v>650</v>
      </c>
      <c r="F653" s="64">
        <f t="shared" si="361"/>
        <v>106.92</v>
      </c>
      <c r="G653" s="55">
        <f t="shared" si="351"/>
        <v>0</v>
      </c>
      <c r="H653" s="78">
        <f t="shared" si="376"/>
        <v>1</v>
      </c>
      <c r="I653" s="79">
        <f t="shared" si="362"/>
        <v>0</v>
      </c>
      <c r="J653" s="79">
        <f t="shared" si="352"/>
        <v>0</v>
      </c>
      <c r="K653" s="80">
        <f t="shared" si="353"/>
        <v>0</v>
      </c>
      <c r="L653" s="80">
        <f t="shared" si="363"/>
        <v>0</v>
      </c>
      <c r="M653" s="80">
        <f t="shared" si="349"/>
        <v>0</v>
      </c>
      <c r="N653" s="80">
        <f t="shared" si="364"/>
        <v>0</v>
      </c>
      <c r="O653" s="81">
        <f t="shared" si="354"/>
        <v>0</v>
      </c>
      <c r="P653" s="79">
        <f t="shared" si="355"/>
        <v>0</v>
      </c>
      <c r="R653">
        <f t="shared" ca="1" si="365"/>
        <v>775</v>
      </c>
      <c r="S653" s="78">
        <f t="shared" ca="1" si="366"/>
        <v>116.92</v>
      </c>
      <c r="T653" s="55">
        <f t="shared" ca="1" si="356"/>
        <v>0</v>
      </c>
      <c r="U653" s="78">
        <f t="shared" ca="1" si="371"/>
        <v>2.7389054743691302E-5</v>
      </c>
      <c r="V653" s="79">
        <f t="shared" ca="1" si="367"/>
        <v>0</v>
      </c>
      <c r="W653" s="79">
        <f t="shared" ca="1" si="357"/>
        <v>0</v>
      </c>
      <c r="X653" s="80">
        <f t="shared" ca="1" si="372"/>
        <v>0</v>
      </c>
      <c r="Y653" s="80">
        <f t="shared" ca="1" si="373"/>
        <v>0</v>
      </c>
      <c r="Z653" s="80">
        <f t="shared" ca="1" si="368"/>
        <v>0</v>
      </c>
      <c r="AA653" s="80">
        <f t="shared" ca="1" si="374"/>
        <v>0</v>
      </c>
      <c r="AB653" s="81">
        <f t="shared" ca="1" si="358"/>
        <v>0</v>
      </c>
      <c r="AC653" s="79">
        <f t="shared" ca="1" si="359"/>
        <v>0</v>
      </c>
      <c r="AE653" s="35"/>
      <c r="AF653" s="35"/>
      <c r="AR653" s="69">
        <f t="shared" si="369"/>
        <v>55</v>
      </c>
      <c r="AS653" s="70">
        <f t="shared" si="375"/>
        <v>650</v>
      </c>
      <c r="AT653" s="71">
        <f t="shared" si="350"/>
        <v>1.1688346403183506E-2</v>
      </c>
      <c r="AU653" s="72">
        <f t="shared" si="360"/>
        <v>6.8214933659622723E-3</v>
      </c>
      <c r="AV653" s="73">
        <f t="shared" si="370"/>
        <v>1.0068214933659623</v>
      </c>
      <c r="AW653" s="74">
        <f>PRODUCT(AV$4:AV653)</f>
        <v>83.006254641973769</v>
      </c>
    </row>
    <row r="654" spans="5:49">
      <c r="E654">
        <f t="shared" si="348"/>
        <v>651</v>
      </c>
      <c r="F654" s="64">
        <f t="shared" si="361"/>
        <v>107</v>
      </c>
      <c r="G654" s="55">
        <f t="shared" si="351"/>
        <v>0</v>
      </c>
      <c r="H654" s="78">
        <f t="shared" si="376"/>
        <v>1</v>
      </c>
      <c r="I654" s="79">
        <f t="shared" si="362"/>
        <v>0</v>
      </c>
      <c r="J654" s="79">
        <f t="shared" si="352"/>
        <v>0</v>
      </c>
      <c r="K654" s="80">
        <f t="shared" si="353"/>
        <v>0</v>
      </c>
      <c r="L654" s="80">
        <f t="shared" si="363"/>
        <v>0</v>
      </c>
      <c r="M654" s="80">
        <f t="shared" si="349"/>
        <v>0</v>
      </c>
      <c r="N654" s="80">
        <f t="shared" si="364"/>
        <v>0</v>
      </c>
      <c r="O654" s="81">
        <f t="shared" si="354"/>
        <v>0</v>
      </c>
      <c r="P654" s="79">
        <f t="shared" si="355"/>
        <v>0</v>
      </c>
      <c r="R654">
        <f t="shared" ca="1" si="365"/>
        <v>776</v>
      </c>
      <c r="S654" s="78">
        <f t="shared" ca="1" si="366"/>
        <v>117</v>
      </c>
      <c r="T654" s="55">
        <f t="shared" ca="1" si="356"/>
        <v>0</v>
      </c>
      <c r="U654" s="78">
        <f t="shared" ca="1" si="371"/>
        <v>2.7389054743691302E-5</v>
      </c>
      <c r="V654" s="79">
        <f t="shared" ca="1" si="367"/>
        <v>0</v>
      </c>
      <c r="W654" s="79">
        <f t="shared" ca="1" si="357"/>
        <v>0</v>
      </c>
      <c r="X654" s="80">
        <f t="shared" ca="1" si="372"/>
        <v>0</v>
      </c>
      <c r="Y654" s="80">
        <f t="shared" ca="1" si="373"/>
        <v>0</v>
      </c>
      <c r="Z654" s="80">
        <f t="shared" ca="1" si="368"/>
        <v>0</v>
      </c>
      <c r="AA654" s="80">
        <f t="shared" ca="1" si="374"/>
        <v>0</v>
      </c>
      <c r="AB654" s="81">
        <f t="shared" ca="1" si="358"/>
        <v>0</v>
      </c>
      <c r="AC654" s="79">
        <f t="shared" ca="1" si="359"/>
        <v>0</v>
      </c>
      <c r="AE654" s="35"/>
      <c r="AF654" s="35"/>
      <c r="AR654" s="69">
        <f t="shared" si="369"/>
        <v>55</v>
      </c>
      <c r="AS654" s="70">
        <f t="shared" si="375"/>
        <v>651</v>
      </c>
      <c r="AT654" s="71">
        <f t="shared" si="350"/>
        <v>1.1608614425735121E-2</v>
      </c>
      <c r="AU654" s="72">
        <f t="shared" si="360"/>
        <v>6.8214933659622723E-3</v>
      </c>
      <c r="AV654" s="73">
        <f t="shared" si="370"/>
        <v>1.0068214933659623</v>
      </c>
      <c r="AW654" s="74">
        <f>PRODUCT(AV$4:AV654)</f>
        <v>83.572481257347363</v>
      </c>
    </row>
    <row r="655" spans="5:49">
      <c r="E655">
        <f t="shared" si="348"/>
        <v>652</v>
      </c>
      <c r="F655" s="64">
        <f t="shared" si="361"/>
        <v>107.08</v>
      </c>
      <c r="G655" s="55">
        <f t="shared" si="351"/>
        <v>0</v>
      </c>
      <c r="H655" s="78">
        <f t="shared" si="376"/>
        <v>1</v>
      </c>
      <c r="I655" s="79">
        <f t="shared" si="362"/>
        <v>0</v>
      </c>
      <c r="J655" s="79">
        <f t="shared" si="352"/>
        <v>0</v>
      </c>
      <c r="K655" s="80">
        <f t="shared" si="353"/>
        <v>0</v>
      </c>
      <c r="L655" s="80">
        <f t="shared" si="363"/>
        <v>0</v>
      </c>
      <c r="M655" s="80">
        <f t="shared" si="349"/>
        <v>0</v>
      </c>
      <c r="N655" s="80">
        <f t="shared" si="364"/>
        <v>0</v>
      </c>
      <c r="O655" s="81">
        <f t="shared" si="354"/>
        <v>0</v>
      </c>
      <c r="P655" s="79">
        <f t="shared" si="355"/>
        <v>0</v>
      </c>
      <c r="R655">
        <f t="shared" ca="1" si="365"/>
        <v>777</v>
      </c>
      <c r="S655" s="78">
        <f t="shared" ca="1" si="366"/>
        <v>117.08</v>
      </c>
      <c r="T655" s="55">
        <f t="shared" ca="1" si="356"/>
        <v>0</v>
      </c>
      <c r="U655" s="78">
        <f t="shared" ca="1" si="371"/>
        <v>2.7389054743691302E-5</v>
      </c>
      <c r="V655" s="79">
        <f t="shared" ca="1" si="367"/>
        <v>0</v>
      </c>
      <c r="W655" s="79">
        <f t="shared" ca="1" si="357"/>
        <v>0</v>
      </c>
      <c r="X655" s="80">
        <f t="shared" ca="1" si="372"/>
        <v>0</v>
      </c>
      <c r="Y655" s="80">
        <f t="shared" ca="1" si="373"/>
        <v>0</v>
      </c>
      <c r="Z655" s="80">
        <f t="shared" ca="1" si="368"/>
        <v>0</v>
      </c>
      <c r="AA655" s="80">
        <f t="shared" ca="1" si="374"/>
        <v>0</v>
      </c>
      <c r="AB655" s="81">
        <f t="shared" ca="1" si="358"/>
        <v>0</v>
      </c>
      <c r="AC655" s="79">
        <f t="shared" ca="1" si="359"/>
        <v>0</v>
      </c>
      <c r="AE655" s="35"/>
      <c r="AF655" s="35"/>
      <c r="AR655" s="69">
        <f t="shared" si="369"/>
        <v>55</v>
      </c>
      <c r="AS655" s="70">
        <f t="shared" si="375"/>
        <v>652</v>
      </c>
      <c r="AT655" s="71">
        <f t="shared" si="350"/>
        <v>1.1529426339441954E-2</v>
      </c>
      <c r="AU655" s="72">
        <f t="shared" si="360"/>
        <v>6.8214933659622723E-3</v>
      </c>
      <c r="AV655" s="73">
        <f t="shared" si="370"/>
        <v>1.0068214933659623</v>
      </c>
      <c r="AW655" s="74">
        <f>PRODUCT(AV$4:AV655)</f>
        <v>84.142570383821365</v>
      </c>
    </row>
    <row r="656" spans="5:49">
      <c r="E656">
        <f t="shared" ref="E656:E719" si="377">E655+1</f>
        <v>653</v>
      </c>
      <c r="F656" s="64">
        <f t="shared" si="361"/>
        <v>107.16</v>
      </c>
      <c r="G656" s="55">
        <f t="shared" si="351"/>
        <v>0</v>
      </c>
      <c r="H656" s="78">
        <f t="shared" si="376"/>
        <v>1</v>
      </c>
      <c r="I656" s="79">
        <f t="shared" si="362"/>
        <v>0</v>
      </c>
      <c r="J656" s="79">
        <f t="shared" si="352"/>
        <v>0</v>
      </c>
      <c r="K656" s="80">
        <f t="shared" si="353"/>
        <v>0</v>
      </c>
      <c r="L656" s="80">
        <f t="shared" si="363"/>
        <v>0</v>
      </c>
      <c r="M656" s="80">
        <f t="shared" ref="M656:M719" si="378">IF(OR(I655+O655=0,K655=0),0,-IF(MOD(E656-1,12)=0,1,0)*I656*($C$17))</f>
        <v>0</v>
      </c>
      <c r="N656" s="80">
        <f t="shared" si="364"/>
        <v>0</v>
      </c>
      <c r="O656" s="81">
        <f t="shared" si="354"/>
        <v>0</v>
      </c>
      <c r="P656" s="79">
        <f t="shared" si="355"/>
        <v>0</v>
      </c>
      <c r="R656">
        <f t="shared" ca="1" si="365"/>
        <v>778</v>
      </c>
      <c r="S656" s="78">
        <f t="shared" ca="1" si="366"/>
        <v>117.16</v>
      </c>
      <c r="T656" s="55">
        <f t="shared" ca="1" si="356"/>
        <v>0</v>
      </c>
      <c r="U656" s="78">
        <f t="shared" ca="1" si="371"/>
        <v>2.7389054743691302E-5</v>
      </c>
      <c r="V656" s="79">
        <f t="shared" ca="1" si="367"/>
        <v>0</v>
      </c>
      <c r="W656" s="79">
        <f t="shared" ca="1" si="357"/>
        <v>0</v>
      </c>
      <c r="X656" s="80">
        <f t="shared" ca="1" si="372"/>
        <v>0</v>
      </c>
      <c r="Y656" s="80">
        <f t="shared" ca="1" si="373"/>
        <v>0</v>
      </c>
      <c r="Z656" s="80">
        <f t="shared" ca="1" si="368"/>
        <v>0</v>
      </c>
      <c r="AA656" s="80">
        <f t="shared" ca="1" si="374"/>
        <v>0</v>
      </c>
      <c r="AB656" s="81">
        <f t="shared" ca="1" si="358"/>
        <v>0</v>
      </c>
      <c r="AC656" s="79">
        <f t="shared" ca="1" si="359"/>
        <v>0</v>
      </c>
      <c r="AE656" s="35"/>
      <c r="AF656" s="35"/>
      <c r="AR656" s="69">
        <f t="shared" si="369"/>
        <v>55</v>
      </c>
      <c r="AS656" s="70">
        <f t="shared" si="375"/>
        <v>653</v>
      </c>
      <c r="AT656" s="71">
        <f t="shared" si="350"/>
        <v>1.14507784341541E-2</v>
      </c>
      <c r="AU656" s="72">
        <f t="shared" si="360"/>
        <v>6.8214933659622723E-3</v>
      </c>
      <c r="AV656" s="73">
        <f t="shared" si="370"/>
        <v>1.0068214933659623</v>
      </c>
      <c r="AW656" s="74">
        <f>PRODUCT(AV$4:AV656)</f>
        <v>84.716548369489615</v>
      </c>
    </row>
    <row r="657" spans="5:49">
      <c r="E657">
        <f t="shared" si="377"/>
        <v>654</v>
      </c>
      <c r="F657" s="64">
        <f t="shared" si="361"/>
        <v>107.24</v>
      </c>
      <c r="G657" s="55">
        <f t="shared" si="351"/>
        <v>0</v>
      </c>
      <c r="H657" s="78">
        <f t="shared" si="376"/>
        <v>1</v>
      </c>
      <c r="I657" s="79">
        <f t="shared" si="362"/>
        <v>0</v>
      </c>
      <c r="J657" s="79">
        <f t="shared" si="352"/>
        <v>0</v>
      </c>
      <c r="K657" s="80">
        <f t="shared" si="353"/>
        <v>0</v>
      </c>
      <c r="L657" s="80">
        <f t="shared" si="363"/>
        <v>0</v>
      </c>
      <c r="M657" s="80">
        <f t="shared" si="378"/>
        <v>0</v>
      </c>
      <c r="N657" s="80">
        <f t="shared" si="364"/>
        <v>0</v>
      </c>
      <c r="O657" s="81">
        <f t="shared" si="354"/>
        <v>0</v>
      </c>
      <c r="P657" s="79">
        <f t="shared" si="355"/>
        <v>0</v>
      </c>
      <c r="R657">
        <f t="shared" ca="1" si="365"/>
        <v>779</v>
      </c>
      <c r="S657" s="78">
        <f t="shared" ca="1" si="366"/>
        <v>117.24</v>
      </c>
      <c r="T657" s="55">
        <f t="shared" ca="1" si="356"/>
        <v>0</v>
      </c>
      <c r="U657" s="78">
        <f t="shared" ca="1" si="371"/>
        <v>2.7389054743691302E-5</v>
      </c>
      <c r="V657" s="79">
        <f t="shared" ca="1" si="367"/>
        <v>0</v>
      </c>
      <c r="W657" s="79">
        <f t="shared" ca="1" si="357"/>
        <v>0</v>
      </c>
      <c r="X657" s="80">
        <f t="shared" ca="1" si="372"/>
        <v>0</v>
      </c>
      <c r="Y657" s="80">
        <f t="shared" ca="1" si="373"/>
        <v>0</v>
      </c>
      <c r="Z657" s="80">
        <f t="shared" ca="1" si="368"/>
        <v>0</v>
      </c>
      <c r="AA657" s="80">
        <f t="shared" ca="1" si="374"/>
        <v>0</v>
      </c>
      <c r="AB657" s="81">
        <f t="shared" ca="1" si="358"/>
        <v>0</v>
      </c>
      <c r="AC657" s="79">
        <f t="shared" ca="1" si="359"/>
        <v>0</v>
      </c>
      <c r="AE657" s="35"/>
      <c r="AF657" s="35"/>
      <c r="AR657" s="69">
        <f t="shared" si="369"/>
        <v>55</v>
      </c>
      <c r="AS657" s="70">
        <f t="shared" si="375"/>
        <v>654</v>
      </c>
      <c r="AT657" s="71">
        <f t="shared" si="350"/>
        <v>1.1372667025030413E-2</v>
      </c>
      <c r="AU657" s="72">
        <f t="shared" si="360"/>
        <v>6.8214933659622723E-3</v>
      </c>
      <c r="AV657" s="73">
        <f t="shared" si="370"/>
        <v>1.0068214933659623</v>
      </c>
      <c r="AW657" s="74">
        <f>PRODUCT(AV$4:AV657)</f>
        <v>85.294441742179316</v>
      </c>
    </row>
    <row r="658" spans="5:49">
      <c r="E658">
        <f t="shared" si="377"/>
        <v>655</v>
      </c>
      <c r="F658" s="64">
        <f t="shared" si="361"/>
        <v>107.32</v>
      </c>
      <c r="G658" s="55">
        <f t="shared" si="351"/>
        <v>0</v>
      </c>
      <c r="H658" s="78">
        <f t="shared" si="376"/>
        <v>1</v>
      </c>
      <c r="I658" s="79">
        <f t="shared" si="362"/>
        <v>0</v>
      </c>
      <c r="J658" s="79">
        <f t="shared" si="352"/>
        <v>0</v>
      </c>
      <c r="K658" s="80">
        <f t="shared" si="353"/>
        <v>0</v>
      </c>
      <c r="L658" s="80">
        <f t="shared" si="363"/>
        <v>0</v>
      </c>
      <c r="M658" s="80">
        <f t="shared" si="378"/>
        <v>0</v>
      </c>
      <c r="N658" s="80">
        <f t="shared" si="364"/>
        <v>0</v>
      </c>
      <c r="O658" s="81">
        <f t="shared" si="354"/>
        <v>0</v>
      </c>
      <c r="P658" s="79">
        <f t="shared" si="355"/>
        <v>0</v>
      </c>
      <c r="R658">
        <f t="shared" ca="1" si="365"/>
        <v>780</v>
      </c>
      <c r="S658" s="78">
        <f t="shared" ca="1" si="366"/>
        <v>117.32</v>
      </c>
      <c r="T658" s="55">
        <f t="shared" ca="1" si="356"/>
        <v>0</v>
      </c>
      <c r="U658" s="78">
        <f t="shared" ca="1" si="371"/>
        <v>2.7389054743691302E-5</v>
      </c>
      <c r="V658" s="79">
        <f t="shared" ca="1" si="367"/>
        <v>0</v>
      </c>
      <c r="W658" s="79">
        <f t="shared" ca="1" si="357"/>
        <v>0</v>
      </c>
      <c r="X658" s="80">
        <f t="shared" ca="1" si="372"/>
        <v>0</v>
      </c>
      <c r="Y658" s="80">
        <f t="shared" ca="1" si="373"/>
        <v>0</v>
      </c>
      <c r="Z658" s="80">
        <f t="shared" ca="1" si="368"/>
        <v>0</v>
      </c>
      <c r="AA658" s="80">
        <f t="shared" ca="1" si="374"/>
        <v>0</v>
      </c>
      <c r="AB658" s="81">
        <f t="shared" ca="1" si="358"/>
        <v>0</v>
      </c>
      <c r="AC658" s="79">
        <f t="shared" ca="1" si="359"/>
        <v>0</v>
      </c>
      <c r="AE658" s="35"/>
      <c r="AF658" s="35"/>
      <c r="AR658" s="69">
        <f t="shared" si="369"/>
        <v>55</v>
      </c>
      <c r="AS658" s="70">
        <f t="shared" si="375"/>
        <v>655</v>
      </c>
      <c r="AT658" s="71">
        <f t="shared" si="350"/>
        <v>1.129508845236587E-2</v>
      </c>
      <c r="AU658" s="72">
        <f t="shared" si="360"/>
        <v>6.8214933659622723E-3</v>
      </c>
      <c r="AV658" s="73">
        <f t="shared" si="370"/>
        <v>1.0068214933659623</v>
      </c>
      <c r="AW658" s="74">
        <f>PRODUCT(AV$4:AV658)</f>
        <v>85.876277210677046</v>
      </c>
    </row>
    <row r="659" spans="5:49">
      <c r="E659">
        <f t="shared" si="377"/>
        <v>656</v>
      </c>
      <c r="F659" s="64">
        <f t="shared" si="361"/>
        <v>107.4</v>
      </c>
      <c r="G659" s="55">
        <f t="shared" si="351"/>
        <v>0</v>
      </c>
      <c r="H659" s="78">
        <f t="shared" si="376"/>
        <v>1</v>
      </c>
      <c r="I659" s="79">
        <f t="shared" si="362"/>
        <v>0</v>
      </c>
      <c r="J659" s="79">
        <f t="shared" si="352"/>
        <v>0</v>
      </c>
      <c r="K659" s="80">
        <f t="shared" si="353"/>
        <v>0</v>
      </c>
      <c r="L659" s="80">
        <f t="shared" si="363"/>
        <v>0</v>
      </c>
      <c r="M659" s="80">
        <f t="shared" si="378"/>
        <v>0</v>
      </c>
      <c r="N659" s="80">
        <f t="shared" si="364"/>
        <v>0</v>
      </c>
      <c r="O659" s="81">
        <f t="shared" si="354"/>
        <v>0</v>
      </c>
      <c r="P659" s="79">
        <f t="shared" si="355"/>
        <v>0</v>
      </c>
      <c r="R659">
        <f t="shared" ca="1" si="365"/>
        <v>781</v>
      </c>
      <c r="S659" s="78">
        <f t="shared" ca="1" si="366"/>
        <v>117.4</v>
      </c>
      <c r="T659" s="55">
        <f t="shared" ca="1" si="356"/>
        <v>0</v>
      </c>
      <c r="U659" s="78">
        <f t="shared" ca="1" si="371"/>
        <v>2.7389054743691302E-5</v>
      </c>
      <c r="V659" s="79">
        <f t="shared" ca="1" si="367"/>
        <v>0</v>
      </c>
      <c r="W659" s="79">
        <f t="shared" ca="1" si="357"/>
        <v>0</v>
      </c>
      <c r="X659" s="80">
        <f t="shared" ca="1" si="372"/>
        <v>0</v>
      </c>
      <c r="Y659" s="80">
        <f t="shared" ca="1" si="373"/>
        <v>0</v>
      </c>
      <c r="Z659" s="80">
        <f t="shared" ca="1" si="368"/>
        <v>0</v>
      </c>
      <c r="AA659" s="80">
        <f t="shared" ca="1" si="374"/>
        <v>0</v>
      </c>
      <c r="AB659" s="81">
        <f t="shared" ca="1" si="358"/>
        <v>0</v>
      </c>
      <c r="AC659" s="79">
        <f t="shared" ca="1" si="359"/>
        <v>0</v>
      </c>
      <c r="AE659" s="35"/>
      <c r="AF659" s="35"/>
      <c r="AR659" s="69">
        <f t="shared" si="369"/>
        <v>55</v>
      </c>
      <c r="AS659" s="70">
        <f t="shared" si="375"/>
        <v>656</v>
      </c>
      <c r="AT659" s="71">
        <f t="shared" si="350"/>
        <v>1.1218039081420099E-2</v>
      </c>
      <c r="AU659" s="72">
        <f t="shared" si="360"/>
        <v>6.8214933659622723E-3</v>
      </c>
      <c r="AV659" s="73">
        <f t="shared" si="370"/>
        <v>1.0068214933659623</v>
      </c>
      <c r="AW659" s="74">
        <f>PRODUCT(AV$4:AV659)</f>
        <v>86.462081665963211</v>
      </c>
    </row>
    <row r="660" spans="5:49">
      <c r="E660">
        <f t="shared" si="377"/>
        <v>657</v>
      </c>
      <c r="F660" s="64">
        <f t="shared" si="361"/>
        <v>107.48</v>
      </c>
      <c r="G660" s="55">
        <f t="shared" si="351"/>
        <v>0</v>
      </c>
      <c r="H660" s="78">
        <f t="shared" si="376"/>
        <v>1</v>
      </c>
      <c r="I660" s="79">
        <f t="shared" si="362"/>
        <v>0</v>
      </c>
      <c r="J660" s="79">
        <f t="shared" si="352"/>
        <v>0</v>
      </c>
      <c r="K660" s="80">
        <f t="shared" si="353"/>
        <v>0</v>
      </c>
      <c r="L660" s="80">
        <f t="shared" si="363"/>
        <v>0</v>
      </c>
      <c r="M660" s="80">
        <f t="shared" si="378"/>
        <v>0</v>
      </c>
      <c r="N660" s="80">
        <f t="shared" si="364"/>
        <v>0</v>
      </c>
      <c r="O660" s="81">
        <f t="shared" si="354"/>
        <v>0</v>
      </c>
      <c r="P660" s="79">
        <f t="shared" si="355"/>
        <v>0</v>
      </c>
      <c r="R660">
        <f t="shared" ca="1" si="365"/>
        <v>782</v>
      </c>
      <c r="S660" s="78">
        <f t="shared" ca="1" si="366"/>
        <v>117.48</v>
      </c>
      <c r="T660" s="55">
        <f t="shared" ca="1" si="356"/>
        <v>0</v>
      </c>
      <c r="U660" s="78">
        <f t="shared" ca="1" si="371"/>
        <v>2.7389054743691302E-5</v>
      </c>
      <c r="V660" s="79">
        <f t="shared" ca="1" si="367"/>
        <v>0</v>
      </c>
      <c r="W660" s="79">
        <f t="shared" ca="1" si="357"/>
        <v>0</v>
      </c>
      <c r="X660" s="80">
        <f t="shared" ca="1" si="372"/>
        <v>0</v>
      </c>
      <c r="Y660" s="80">
        <f t="shared" ca="1" si="373"/>
        <v>0</v>
      </c>
      <c r="Z660" s="80">
        <f t="shared" ca="1" si="368"/>
        <v>0</v>
      </c>
      <c r="AA660" s="80">
        <f t="shared" ca="1" si="374"/>
        <v>0</v>
      </c>
      <c r="AB660" s="81">
        <f t="shared" ca="1" si="358"/>
        <v>0</v>
      </c>
      <c r="AC660" s="79">
        <f t="shared" ca="1" si="359"/>
        <v>0</v>
      </c>
      <c r="AE660" s="35"/>
      <c r="AF660" s="35"/>
      <c r="AR660" s="69">
        <f t="shared" si="369"/>
        <v>55</v>
      </c>
      <c r="AS660" s="70">
        <f t="shared" si="375"/>
        <v>657</v>
      </c>
      <c r="AT660" s="71">
        <f t="shared" si="350"/>
        <v>1.1141515302247086E-2</v>
      </c>
      <c r="AU660" s="72">
        <f t="shared" si="360"/>
        <v>6.8214933659622723E-3</v>
      </c>
      <c r="AV660" s="73">
        <f t="shared" si="370"/>
        <v>1.0068214933659623</v>
      </c>
      <c r="AW660" s="74">
        <f>PRODUCT(AV$4:AV660)</f>
        <v>87.051882182454861</v>
      </c>
    </row>
    <row r="661" spans="5:49">
      <c r="E661">
        <f t="shared" si="377"/>
        <v>658</v>
      </c>
      <c r="F661" s="64">
        <f t="shared" si="361"/>
        <v>107.56</v>
      </c>
      <c r="G661" s="55">
        <f t="shared" si="351"/>
        <v>0</v>
      </c>
      <c r="H661" s="78">
        <f t="shared" si="376"/>
        <v>1</v>
      </c>
      <c r="I661" s="79">
        <f t="shared" si="362"/>
        <v>0</v>
      </c>
      <c r="J661" s="79">
        <f t="shared" si="352"/>
        <v>0</v>
      </c>
      <c r="K661" s="80">
        <f t="shared" si="353"/>
        <v>0</v>
      </c>
      <c r="L661" s="80">
        <f t="shared" si="363"/>
        <v>0</v>
      </c>
      <c r="M661" s="80">
        <f t="shared" si="378"/>
        <v>0</v>
      </c>
      <c r="N661" s="80">
        <f t="shared" si="364"/>
        <v>0</v>
      </c>
      <c r="O661" s="81">
        <f t="shared" si="354"/>
        <v>0</v>
      </c>
      <c r="P661" s="79">
        <f t="shared" si="355"/>
        <v>0</v>
      </c>
      <c r="R661">
        <f t="shared" ca="1" si="365"/>
        <v>783</v>
      </c>
      <c r="S661" s="78">
        <f t="shared" ca="1" si="366"/>
        <v>117.56</v>
      </c>
      <c r="T661" s="55">
        <f t="shared" ca="1" si="356"/>
        <v>0</v>
      </c>
      <c r="U661" s="78">
        <f t="shared" ca="1" si="371"/>
        <v>2.7389054743691302E-5</v>
      </c>
      <c r="V661" s="79">
        <f t="shared" ca="1" si="367"/>
        <v>0</v>
      </c>
      <c r="W661" s="79">
        <f t="shared" ca="1" si="357"/>
        <v>0</v>
      </c>
      <c r="X661" s="80">
        <f t="shared" ca="1" si="372"/>
        <v>0</v>
      </c>
      <c r="Y661" s="80">
        <f t="shared" ca="1" si="373"/>
        <v>0</v>
      </c>
      <c r="Z661" s="80">
        <f t="shared" ca="1" si="368"/>
        <v>0</v>
      </c>
      <c r="AA661" s="80">
        <f t="shared" ca="1" si="374"/>
        <v>0</v>
      </c>
      <c r="AB661" s="81">
        <f t="shared" ca="1" si="358"/>
        <v>0</v>
      </c>
      <c r="AC661" s="79">
        <f t="shared" ca="1" si="359"/>
        <v>0</v>
      </c>
      <c r="AE661" s="35"/>
      <c r="AF661" s="35"/>
      <c r="AR661" s="69">
        <f t="shared" si="369"/>
        <v>55</v>
      </c>
      <c r="AS661" s="70">
        <f t="shared" si="375"/>
        <v>658</v>
      </c>
      <c r="AT661" s="71">
        <f t="shared" si="350"/>
        <v>1.106551352952604E-2</v>
      </c>
      <c r="AU661" s="72">
        <f t="shared" si="360"/>
        <v>6.8214933659622723E-3</v>
      </c>
      <c r="AV661" s="73">
        <f t="shared" si="370"/>
        <v>1.0068214933659623</v>
      </c>
      <c r="AW661" s="74">
        <f>PRODUCT(AV$4:AV661)</f>
        <v>87.645706019257005</v>
      </c>
    </row>
    <row r="662" spans="5:49">
      <c r="E662">
        <f t="shared" si="377"/>
        <v>659</v>
      </c>
      <c r="F662" s="64">
        <f t="shared" si="361"/>
        <v>107.64</v>
      </c>
      <c r="G662" s="55">
        <f t="shared" si="351"/>
        <v>0</v>
      </c>
      <c r="H662" s="78">
        <f t="shared" si="376"/>
        <v>1</v>
      </c>
      <c r="I662" s="79">
        <f t="shared" si="362"/>
        <v>0</v>
      </c>
      <c r="J662" s="79">
        <f t="shared" si="352"/>
        <v>0</v>
      </c>
      <c r="K662" s="80">
        <f t="shared" si="353"/>
        <v>0</v>
      </c>
      <c r="L662" s="80">
        <f t="shared" si="363"/>
        <v>0</v>
      </c>
      <c r="M662" s="80">
        <f t="shared" si="378"/>
        <v>0</v>
      </c>
      <c r="N662" s="80">
        <f t="shared" si="364"/>
        <v>0</v>
      </c>
      <c r="O662" s="81">
        <f t="shared" si="354"/>
        <v>0</v>
      </c>
      <c r="P662" s="79">
        <f t="shared" si="355"/>
        <v>0</v>
      </c>
      <c r="R662">
        <f t="shared" ca="1" si="365"/>
        <v>784</v>
      </c>
      <c r="S662" s="78">
        <f t="shared" ca="1" si="366"/>
        <v>117.64</v>
      </c>
      <c r="T662" s="55">
        <f t="shared" ca="1" si="356"/>
        <v>0</v>
      </c>
      <c r="U662" s="78">
        <f t="shared" ca="1" si="371"/>
        <v>2.7389054743691302E-5</v>
      </c>
      <c r="V662" s="79">
        <f t="shared" ca="1" si="367"/>
        <v>0</v>
      </c>
      <c r="W662" s="79">
        <f t="shared" ca="1" si="357"/>
        <v>0</v>
      </c>
      <c r="X662" s="80">
        <f t="shared" ca="1" si="372"/>
        <v>0</v>
      </c>
      <c r="Y662" s="80">
        <f t="shared" ca="1" si="373"/>
        <v>0</v>
      </c>
      <c r="Z662" s="80">
        <f t="shared" ca="1" si="368"/>
        <v>0</v>
      </c>
      <c r="AA662" s="80">
        <f t="shared" ca="1" si="374"/>
        <v>0</v>
      </c>
      <c r="AB662" s="81">
        <f t="shared" ca="1" si="358"/>
        <v>0</v>
      </c>
      <c r="AC662" s="79">
        <f t="shared" ca="1" si="359"/>
        <v>0</v>
      </c>
      <c r="AE662" s="35"/>
      <c r="AF662" s="35"/>
      <c r="AR662" s="69">
        <f t="shared" si="369"/>
        <v>55</v>
      </c>
      <c r="AS662" s="70">
        <f t="shared" si="375"/>
        <v>659</v>
      </c>
      <c r="AT662" s="71">
        <f t="shared" si="350"/>
        <v>1.0990030202393412E-2</v>
      </c>
      <c r="AU662" s="72">
        <f t="shared" si="360"/>
        <v>6.8214933659622723E-3</v>
      </c>
      <c r="AV662" s="73">
        <f t="shared" si="370"/>
        <v>1.0068214933659623</v>
      </c>
      <c r="AW662" s="74">
        <f>PRODUCT(AV$4:AV662)</f>
        <v>88.243580621422453</v>
      </c>
    </row>
    <row r="663" spans="5:49">
      <c r="E663">
        <f t="shared" si="377"/>
        <v>660</v>
      </c>
      <c r="F663" s="64">
        <f t="shared" si="361"/>
        <v>107.72</v>
      </c>
      <c r="G663" s="55">
        <f t="shared" si="351"/>
        <v>0</v>
      </c>
      <c r="H663" s="78">
        <f t="shared" si="376"/>
        <v>1</v>
      </c>
      <c r="I663" s="79">
        <f t="shared" si="362"/>
        <v>0</v>
      </c>
      <c r="J663" s="79">
        <f t="shared" si="352"/>
        <v>0</v>
      </c>
      <c r="K663" s="80">
        <f t="shared" si="353"/>
        <v>0</v>
      </c>
      <c r="L663" s="80">
        <f t="shared" si="363"/>
        <v>0</v>
      </c>
      <c r="M663" s="80">
        <f t="shared" si="378"/>
        <v>0</v>
      </c>
      <c r="N663" s="80">
        <f t="shared" si="364"/>
        <v>0</v>
      </c>
      <c r="O663" s="81">
        <f t="shared" si="354"/>
        <v>0</v>
      </c>
      <c r="P663" s="79">
        <f t="shared" si="355"/>
        <v>0</v>
      </c>
      <c r="R663">
        <f t="shared" ca="1" si="365"/>
        <v>785</v>
      </c>
      <c r="S663" s="78">
        <f t="shared" ca="1" si="366"/>
        <v>117.72</v>
      </c>
      <c r="T663" s="55">
        <f t="shared" ca="1" si="356"/>
        <v>0</v>
      </c>
      <c r="U663" s="78">
        <f t="shared" ca="1" si="371"/>
        <v>2.7389054743691302E-5</v>
      </c>
      <c r="V663" s="79">
        <f t="shared" ca="1" si="367"/>
        <v>0</v>
      </c>
      <c r="W663" s="79">
        <f t="shared" ca="1" si="357"/>
        <v>0</v>
      </c>
      <c r="X663" s="80">
        <f t="shared" ca="1" si="372"/>
        <v>0</v>
      </c>
      <c r="Y663" s="80">
        <f t="shared" ca="1" si="373"/>
        <v>0</v>
      </c>
      <c r="Z663" s="80">
        <f t="shared" ca="1" si="368"/>
        <v>0</v>
      </c>
      <c r="AA663" s="80">
        <f t="shared" ca="1" si="374"/>
        <v>0</v>
      </c>
      <c r="AB663" s="81">
        <f t="shared" ca="1" si="358"/>
        <v>0</v>
      </c>
      <c r="AC663" s="79">
        <f t="shared" ca="1" si="359"/>
        <v>0</v>
      </c>
      <c r="AE663" s="35"/>
      <c r="AF663" s="35"/>
      <c r="AR663" s="69">
        <f t="shared" si="369"/>
        <v>55</v>
      </c>
      <c r="AS663" s="70">
        <f t="shared" si="375"/>
        <v>660</v>
      </c>
      <c r="AT663" s="71">
        <f t="shared" ref="AT663:AT726" si="379">(1-AU663)*AT662</f>
        <v>1.0915061784276061E-2</v>
      </c>
      <c r="AU663" s="72">
        <f t="shared" si="360"/>
        <v>6.8214933659622723E-3</v>
      </c>
      <c r="AV663" s="73">
        <f t="shared" si="370"/>
        <v>1.0068214933659623</v>
      </c>
      <c r="AW663" s="74">
        <f>PRODUCT(AV$4:AV663)</f>
        <v>88.845533621220241</v>
      </c>
    </row>
    <row r="664" spans="5:49">
      <c r="E664">
        <f t="shared" si="377"/>
        <v>661</v>
      </c>
      <c r="F664" s="64">
        <f t="shared" si="361"/>
        <v>107.8</v>
      </c>
      <c r="G664" s="55">
        <f t="shared" si="351"/>
        <v>0</v>
      </c>
      <c r="H664" s="78">
        <f t="shared" si="376"/>
        <v>1</v>
      </c>
      <c r="I664" s="79">
        <f t="shared" si="362"/>
        <v>0</v>
      </c>
      <c r="J664" s="79">
        <f t="shared" si="352"/>
        <v>0</v>
      </c>
      <c r="K664" s="80">
        <f t="shared" si="353"/>
        <v>0</v>
      </c>
      <c r="L664" s="80">
        <f t="shared" si="363"/>
        <v>0</v>
      </c>
      <c r="M664" s="80">
        <f t="shared" si="378"/>
        <v>0</v>
      </c>
      <c r="N664" s="80">
        <f t="shared" si="364"/>
        <v>0</v>
      </c>
      <c r="O664" s="81">
        <f t="shared" si="354"/>
        <v>0</v>
      </c>
      <c r="P664" s="79">
        <f t="shared" si="355"/>
        <v>0</v>
      </c>
      <c r="R664">
        <f t="shared" ca="1" si="365"/>
        <v>786</v>
      </c>
      <c r="S664" s="78">
        <f t="shared" ca="1" si="366"/>
        <v>117.8</v>
      </c>
      <c r="T664" s="55">
        <f t="shared" ca="1" si="356"/>
        <v>0</v>
      </c>
      <c r="U664" s="78">
        <f t="shared" ca="1" si="371"/>
        <v>2.7389054743691302E-5</v>
      </c>
      <c r="V664" s="79">
        <f t="shared" ca="1" si="367"/>
        <v>0</v>
      </c>
      <c r="W664" s="79">
        <f t="shared" ca="1" si="357"/>
        <v>0</v>
      </c>
      <c r="X664" s="80">
        <f t="shared" ca="1" si="372"/>
        <v>0</v>
      </c>
      <c r="Y664" s="80">
        <f t="shared" ca="1" si="373"/>
        <v>0</v>
      </c>
      <c r="Z664" s="80">
        <f t="shared" ca="1" si="368"/>
        <v>0</v>
      </c>
      <c r="AA664" s="80">
        <f t="shared" ca="1" si="374"/>
        <v>0</v>
      </c>
      <c r="AB664" s="81">
        <f t="shared" ca="1" si="358"/>
        <v>0</v>
      </c>
      <c r="AC664" s="79">
        <f t="shared" ca="1" si="359"/>
        <v>0</v>
      </c>
      <c r="AE664" s="35"/>
      <c r="AF664" s="35"/>
      <c r="AR664" s="69">
        <f t="shared" si="369"/>
        <v>56</v>
      </c>
      <c r="AS664" s="70">
        <f t="shared" si="375"/>
        <v>661</v>
      </c>
      <c r="AT664" s="71">
        <f t="shared" si="379"/>
        <v>1.0840604762725553E-2</v>
      </c>
      <c r="AU664" s="72">
        <f t="shared" si="360"/>
        <v>6.8214933659622723E-3</v>
      </c>
      <c r="AV664" s="73">
        <f t="shared" si="370"/>
        <v>1.0068214933659623</v>
      </c>
      <c r="AW664" s="74">
        <f>PRODUCT(AV$4:AV664)</f>
        <v>89.451592839412768</v>
      </c>
    </row>
    <row r="665" spans="5:49">
      <c r="E665">
        <f t="shared" si="377"/>
        <v>662</v>
      </c>
      <c r="F665" s="64">
        <f t="shared" si="361"/>
        <v>107.88</v>
      </c>
      <c r="G665" s="55">
        <f t="shared" si="351"/>
        <v>0</v>
      </c>
      <c r="H665" s="78">
        <f t="shared" si="376"/>
        <v>1</v>
      </c>
      <c r="I665" s="79">
        <f t="shared" si="362"/>
        <v>0</v>
      </c>
      <c r="J665" s="79">
        <f t="shared" si="352"/>
        <v>0</v>
      </c>
      <c r="K665" s="80">
        <f t="shared" si="353"/>
        <v>0</v>
      </c>
      <c r="L665" s="80">
        <f t="shared" si="363"/>
        <v>0</v>
      </c>
      <c r="M665" s="80">
        <f t="shared" si="378"/>
        <v>0</v>
      </c>
      <c r="N665" s="80">
        <f t="shared" si="364"/>
        <v>0</v>
      </c>
      <c r="O665" s="81">
        <f t="shared" si="354"/>
        <v>0</v>
      </c>
      <c r="P665" s="79">
        <f t="shared" si="355"/>
        <v>0</v>
      </c>
      <c r="R665">
        <f t="shared" ca="1" si="365"/>
        <v>787</v>
      </c>
      <c r="S665" s="78">
        <f t="shared" ca="1" si="366"/>
        <v>117.88</v>
      </c>
      <c r="T665" s="55">
        <f t="shared" ca="1" si="356"/>
        <v>0</v>
      </c>
      <c r="U665" s="78">
        <f t="shared" ca="1" si="371"/>
        <v>2.7389054743691302E-5</v>
      </c>
      <c r="V665" s="79">
        <f t="shared" ca="1" si="367"/>
        <v>0</v>
      </c>
      <c r="W665" s="79">
        <f t="shared" ca="1" si="357"/>
        <v>0</v>
      </c>
      <c r="X665" s="80">
        <f t="shared" ca="1" si="372"/>
        <v>0</v>
      </c>
      <c r="Y665" s="80">
        <f t="shared" ca="1" si="373"/>
        <v>0</v>
      </c>
      <c r="Z665" s="80">
        <f t="shared" ca="1" si="368"/>
        <v>0</v>
      </c>
      <c r="AA665" s="80">
        <f t="shared" ca="1" si="374"/>
        <v>0</v>
      </c>
      <c r="AB665" s="81">
        <f t="shared" ca="1" si="358"/>
        <v>0</v>
      </c>
      <c r="AC665" s="79">
        <f t="shared" ca="1" si="359"/>
        <v>0</v>
      </c>
      <c r="AE665" s="35"/>
      <c r="AF665" s="35"/>
      <c r="AR665" s="69">
        <f t="shared" si="369"/>
        <v>56</v>
      </c>
      <c r="AS665" s="70">
        <f t="shared" si="375"/>
        <v>662</v>
      </c>
      <c r="AT665" s="71">
        <f t="shared" si="379"/>
        <v>1.0766655649253602E-2</v>
      </c>
      <c r="AU665" s="72">
        <f t="shared" si="360"/>
        <v>6.8214933659622723E-3</v>
      </c>
      <c r="AV665" s="73">
        <f t="shared" si="370"/>
        <v>1.0068214933659623</v>
      </c>
      <c r="AW665" s="74">
        <f>PRODUCT(AV$4:AV665)</f>
        <v>90.061786286541576</v>
      </c>
    </row>
    <row r="666" spans="5:49">
      <c r="E666">
        <f t="shared" si="377"/>
        <v>663</v>
      </c>
      <c r="F666" s="64">
        <f t="shared" si="361"/>
        <v>107.96</v>
      </c>
      <c r="G666" s="55">
        <f t="shared" si="351"/>
        <v>0</v>
      </c>
      <c r="H666" s="78">
        <f t="shared" si="376"/>
        <v>1</v>
      </c>
      <c r="I666" s="79">
        <f t="shared" si="362"/>
        <v>0</v>
      </c>
      <c r="J666" s="79">
        <f t="shared" si="352"/>
        <v>0</v>
      </c>
      <c r="K666" s="80">
        <f t="shared" si="353"/>
        <v>0</v>
      </c>
      <c r="L666" s="80">
        <f t="shared" si="363"/>
        <v>0</v>
      </c>
      <c r="M666" s="80">
        <f t="shared" si="378"/>
        <v>0</v>
      </c>
      <c r="N666" s="80">
        <f t="shared" si="364"/>
        <v>0</v>
      </c>
      <c r="O666" s="81">
        <f t="shared" si="354"/>
        <v>0</v>
      </c>
      <c r="P666" s="79">
        <f t="shared" si="355"/>
        <v>0</v>
      </c>
      <c r="R666">
        <f t="shared" ca="1" si="365"/>
        <v>788</v>
      </c>
      <c r="S666" s="78">
        <f t="shared" ca="1" si="366"/>
        <v>117.96</v>
      </c>
      <c r="T666" s="55">
        <f t="shared" ca="1" si="356"/>
        <v>0</v>
      </c>
      <c r="U666" s="78">
        <f t="shared" ca="1" si="371"/>
        <v>2.7389054743691302E-5</v>
      </c>
      <c r="V666" s="79">
        <f t="shared" ca="1" si="367"/>
        <v>0</v>
      </c>
      <c r="W666" s="79">
        <f t="shared" ca="1" si="357"/>
        <v>0</v>
      </c>
      <c r="X666" s="80">
        <f t="shared" ca="1" si="372"/>
        <v>0</v>
      </c>
      <c r="Y666" s="80">
        <f t="shared" ca="1" si="373"/>
        <v>0</v>
      </c>
      <c r="Z666" s="80">
        <f t="shared" ca="1" si="368"/>
        <v>0</v>
      </c>
      <c r="AA666" s="80">
        <f t="shared" ca="1" si="374"/>
        <v>0</v>
      </c>
      <c r="AB666" s="81">
        <f t="shared" ca="1" si="358"/>
        <v>0</v>
      </c>
      <c r="AC666" s="79">
        <f t="shared" ca="1" si="359"/>
        <v>0</v>
      </c>
      <c r="AE666" s="35"/>
      <c r="AF666" s="35"/>
      <c r="AR666" s="69">
        <f t="shared" si="369"/>
        <v>56</v>
      </c>
      <c r="AS666" s="70">
        <f t="shared" si="375"/>
        <v>663</v>
      </c>
      <c r="AT666" s="71">
        <f t="shared" si="379"/>
        <v>1.0693210979168619E-2</v>
      </c>
      <c r="AU666" s="72">
        <f t="shared" si="360"/>
        <v>6.8214933659622723E-3</v>
      </c>
      <c r="AV666" s="73">
        <f t="shared" si="370"/>
        <v>1.0068214933659623</v>
      </c>
      <c r="AW666" s="74">
        <f>PRODUCT(AV$4:AV666)</f>
        <v>90.676142164221929</v>
      </c>
    </row>
    <row r="667" spans="5:49">
      <c r="E667">
        <f t="shared" si="377"/>
        <v>664</v>
      </c>
      <c r="F667" s="64">
        <f t="shared" si="361"/>
        <v>108.04</v>
      </c>
      <c r="G667" s="55">
        <f t="shared" si="351"/>
        <v>0</v>
      </c>
      <c r="H667" s="78">
        <f t="shared" si="376"/>
        <v>1</v>
      </c>
      <c r="I667" s="79">
        <f t="shared" si="362"/>
        <v>0</v>
      </c>
      <c r="J667" s="79">
        <f t="shared" si="352"/>
        <v>0</v>
      </c>
      <c r="K667" s="80">
        <f t="shared" si="353"/>
        <v>0</v>
      </c>
      <c r="L667" s="80">
        <f t="shared" si="363"/>
        <v>0</v>
      </c>
      <c r="M667" s="80">
        <f t="shared" si="378"/>
        <v>0</v>
      </c>
      <c r="N667" s="80">
        <f t="shared" si="364"/>
        <v>0</v>
      </c>
      <c r="O667" s="81">
        <f t="shared" si="354"/>
        <v>0</v>
      </c>
      <c r="P667" s="79">
        <f t="shared" si="355"/>
        <v>0</v>
      </c>
      <c r="R667">
        <f t="shared" ca="1" si="365"/>
        <v>789</v>
      </c>
      <c r="S667" s="78">
        <f t="shared" ca="1" si="366"/>
        <v>118.04</v>
      </c>
      <c r="T667" s="55">
        <f t="shared" ca="1" si="356"/>
        <v>0</v>
      </c>
      <c r="U667" s="78">
        <f t="shared" ca="1" si="371"/>
        <v>2.7389054743691302E-5</v>
      </c>
      <c r="V667" s="79">
        <f t="shared" ca="1" si="367"/>
        <v>0</v>
      </c>
      <c r="W667" s="79">
        <f t="shared" ca="1" si="357"/>
        <v>0</v>
      </c>
      <c r="X667" s="80">
        <f t="shared" ca="1" si="372"/>
        <v>0</v>
      </c>
      <c r="Y667" s="80">
        <f t="shared" ca="1" si="373"/>
        <v>0</v>
      </c>
      <c r="Z667" s="80">
        <f t="shared" ca="1" si="368"/>
        <v>0</v>
      </c>
      <c r="AA667" s="80">
        <f t="shared" ca="1" si="374"/>
        <v>0</v>
      </c>
      <c r="AB667" s="81">
        <f t="shared" ca="1" si="358"/>
        <v>0</v>
      </c>
      <c r="AC667" s="79">
        <f t="shared" ca="1" si="359"/>
        <v>0</v>
      </c>
      <c r="AE667" s="35"/>
      <c r="AF667" s="35"/>
      <c r="AR667" s="69">
        <f t="shared" si="369"/>
        <v>56</v>
      </c>
      <c r="AS667" s="70">
        <f t="shared" si="375"/>
        <v>664</v>
      </c>
      <c r="AT667" s="71">
        <f t="shared" si="379"/>
        <v>1.0620267311413386E-2</v>
      </c>
      <c r="AU667" s="72">
        <f t="shared" si="360"/>
        <v>6.8214933659622723E-3</v>
      </c>
      <c r="AV667" s="73">
        <f t="shared" si="370"/>
        <v>1.0068214933659623</v>
      </c>
      <c r="AW667" s="74">
        <f>PRODUCT(AV$4:AV667)</f>
        <v>91.294688866446222</v>
      </c>
    </row>
    <row r="668" spans="5:49">
      <c r="E668">
        <f t="shared" si="377"/>
        <v>665</v>
      </c>
      <c r="F668" s="64">
        <f t="shared" si="361"/>
        <v>108.12</v>
      </c>
      <c r="G668" s="55">
        <f t="shared" si="351"/>
        <v>0</v>
      </c>
      <c r="H668" s="78">
        <f t="shared" si="376"/>
        <v>1</v>
      </c>
      <c r="I668" s="79">
        <f t="shared" si="362"/>
        <v>0</v>
      </c>
      <c r="J668" s="79">
        <f t="shared" si="352"/>
        <v>0</v>
      </c>
      <c r="K668" s="80">
        <f t="shared" si="353"/>
        <v>0</v>
      </c>
      <c r="L668" s="80">
        <f t="shared" si="363"/>
        <v>0</v>
      </c>
      <c r="M668" s="80">
        <f t="shared" si="378"/>
        <v>0</v>
      </c>
      <c r="N668" s="80">
        <f t="shared" si="364"/>
        <v>0</v>
      </c>
      <c r="O668" s="81">
        <f t="shared" si="354"/>
        <v>0</v>
      </c>
      <c r="P668" s="79">
        <f t="shared" si="355"/>
        <v>0</v>
      </c>
      <c r="R668">
        <f t="shared" ca="1" si="365"/>
        <v>790</v>
      </c>
      <c r="S668" s="78">
        <f t="shared" ca="1" si="366"/>
        <v>118.12</v>
      </c>
      <c r="T668" s="55">
        <f t="shared" ca="1" si="356"/>
        <v>0</v>
      </c>
      <c r="U668" s="78">
        <f t="shared" ca="1" si="371"/>
        <v>2.7389054743691302E-5</v>
      </c>
      <c r="V668" s="79">
        <f t="shared" ca="1" si="367"/>
        <v>0</v>
      </c>
      <c r="W668" s="79">
        <f t="shared" ca="1" si="357"/>
        <v>0</v>
      </c>
      <c r="X668" s="80">
        <f t="shared" ca="1" si="372"/>
        <v>0</v>
      </c>
      <c r="Y668" s="80">
        <f t="shared" ca="1" si="373"/>
        <v>0</v>
      </c>
      <c r="Z668" s="80">
        <f t="shared" ca="1" si="368"/>
        <v>0</v>
      </c>
      <c r="AA668" s="80">
        <f t="shared" ca="1" si="374"/>
        <v>0</v>
      </c>
      <c r="AB668" s="81">
        <f t="shared" ca="1" si="358"/>
        <v>0</v>
      </c>
      <c r="AC668" s="79">
        <f t="shared" ca="1" si="359"/>
        <v>0</v>
      </c>
      <c r="AE668" s="35"/>
      <c r="AF668" s="35"/>
      <c r="AR668" s="69">
        <f t="shared" si="369"/>
        <v>56</v>
      </c>
      <c r="AS668" s="70">
        <f t="shared" si="375"/>
        <v>665</v>
      </c>
      <c r="AT668" s="71">
        <f t="shared" si="379"/>
        <v>1.0547821228403833E-2</v>
      </c>
      <c r="AU668" s="72">
        <f t="shared" si="360"/>
        <v>6.8214933659622723E-3</v>
      </c>
      <c r="AV668" s="73">
        <f t="shared" si="370"/>
        <v>1.0068214933659623</v>
      </c>
      <c r="AW668" s="74">
        <f>PRODUCT(AV$4:AV668)</f>
        <v>91.917454980896281</v>
      </c>
    </row>
    <row r="669" spans="5:49">
      <c r="E669">
        <f t="shared" si="377"/>
        <v>666</v>
      </c>
      <c r="F669" s="64">
        <f t="shared" si="361"/>
        <v>108.2</v>
      </c>
      <c r="G669" s="55">
        <f t="shared" si="351"/>
        <v>0</v>
      </c>
      <c r="H669" s="78">
        <f t="shared" si="376"/>
        <v>1</v>
      </c>
      <c r="I669" s="79">
        <f t="shared" si="362"/>
        <v>0</v>
      </c>
      <c r="J669" s="79">
        <f t="shared" si="352"/>
        <v>0</v>
      </c>
      <c r="K669" s="80">
        <f t="shared" si="353"/>
        <v>0</v>
      </c>
      <c r="L669" s="80">
        <f t="shared" si="363"/>
        <v>0</v>
      </c>
      <c r="M669" s="80">
        <f t="shared" si="378"/>
        <v>0</v>
      </c>
      <c r="N669" s="80">
        <f t="shared" si="364"/>
        <v>0</v>
      </c>
      <c r="O669" s="81">
        <f t="shared" si="354"/>
        <v>0</v>
      </c>
      <c r="P669" s="79">
        <f t="shared" si="355"/>
        <v>0</v>
      </c>
      <c r="R669">
        <f t="shared" ca="1" si="365"/>
        <v>791</v>
      </c>
      <c r="S669" s="78">
        <f t="shared" ca="1" si="366"/>
        <v>118.2</v>
      </c>
      <c r="T669" s="55">
        <f t="shared" ca="1" si="356"/>
        <v>0</v>
      </c>
      <c r="U669" s="78">
        <f t="shared" ca="1" si="371"/>
        <v>2.7389054743691302E-5</v>
      </c>
      <c r="V669" s="79">
        <f t="shared" ca="1" si="367"/>
        <v>0</v>
      </c>
      <c r="W669" s="79">
        <f t="shared" ca="1" si="357"/>
        <v>0</v>
      </c>
      <c r="X669" s="80">
        <f t="shared" ca="1" si="372"/>
        <v>0</v>
      </c>
      <c r="Y669" s="80">
        <f t="shared" ca="1" si="373"/>
        <v>0</v>
      </c>
      <c r="Z669" s="80">
        <f t="shared" ca="1" si="368"/>
        <v>0</v>
      </c>
      <c r="AA669" s="80">
        <f t="shared" ca="1" si="374"/>
        <v>0</v>
      </c>
      <c r="AB669" s="81">
        <f t="shared" ca="1" si="358"/>
        <v>0</v>
      </c>
      <c r="AC669" s="79">
        <f t="shared" ca="1" si="359"/>
        <v>0</v>
      </c>
      <c r="AE669" s="35"/>
      <c r="AF669" s="35"/>
      <c r="AR669" s="69">
        <f t="shared" si="369"/>
        <v>56</v>
      </c>
      <c r="AS669" s="70">
        <f t="shared" si="375"/>
        <v>666</v>
      </c>
      <c r="AT669" s="71">
        <f t="shared" si="379"/>
        <v>1.047586933586892E-2</v>
      </c>
      <c r="AU669" s="72">
        <f t="shared" si="360"/>
        <v>6.8214933659622723E-3</v>
      </c>
      <c r="AV669" s="73">
        <f t="shared" si="370"/>
        <v>1.0068214933659623</v>
      </c>
      <c r="AW669" s="74">
        <f>PRODUCT(AV$4:AV669)</f>
        <v>92.544469290264601</v>
      </c>
    </row>
    <row r="670" spans="5:49">
      <c r="E670">
        <f t="shared" si="377"/>
        <v>667</v>
      </c>
      <c r="F670" s="64">
        <f t="shared" si="361"/>
        <v>108.28</v>
      </c>
      <c r="G670" s="55">
        <f t="shared" si="351"/>
        <v>0</v>
      </c>
      <c r="H670" s="78">
        <f t="shared" si="376"/>
        <v>1</v>
      </c>
      <c r="I670" s="79">
        <f t="shared" si="362"/>
        <v>0</v>
      </c>
      <c r="J670" s="79">
        <f t="shared" si="352"/>
        <v>0</v>
      </c>
      <c r="K670" s="80">
        <f t="shared" si="353"/>
        <v>0</v>
      </c>
      <c r="L670" s="80">
        <f t="shared" si="363"/>
        <v>0</v>
      </c>
      <c r="M670" s="80">
        <f t="shared" si="378"/>
        <v>0</v>
      </c>
      <c r="N670" s="80">
        <f t="shared" si="364"/>
        <v>0</v>
      </c>
      <c r="O670" s="81">
        <f t="shared" si="354"/>
        <v>0</v>
      </c>
      <c r="P670" s="79">
        <f t="shared" si="355"/>
        <v>0</v>
      </c>
      <c r="R670">
        <f t="shared" ca="1" si="365"/>
        <v>792</v>
      </c>
      <c r="S670" s="78">
        <f t="shared" ca="1" si="366"/>
        <v>118.28</v>
      </c>
      <c r="T670" s="55">
        <f t="shared" ca="1" si="356"/>
        <v>0</v>
      </c>
      <c r="U670" s="78">
        <f t="shared" ca="1" si="371"/>
        <v>2.7389054743691302E-5</v>
      </c>
      <c r="V670" s="79">
        <f t="shared" ca="1" si="367"/>
        <v>0</v>
      </c>
      <c r="W670" s="79">
        <f t="shared" ca="1" si="357"/>
        <v>0</v>
      </c>
      <c r="X670" s="80">
        <f t="shared" ca="1" si="372"/>
        <v>0</v>
      </c>
      <c r="Y670" s="80">
        <f t="shared" ca="1" si="373"/>
        <v>0</v>
      </c>
      <c r="Z670" s="80">
        <f t="shared" ca="1" si="368"/>
        <v>0</v>
      </c>
      <c r="AA670" s="80">
        <f t="shared" ca="1" si="374"/>
        <v>0</v>
      </c>
      <c r="AB670" s="81">
        <f t="shared" ca="1" si="358"/>
        <v>0</v>
      </c>
      <c r="AC670" s="79">
        <f t="shared" ca="1" si="359"/>
        <v>0</v>
      </c>
      <c r="AE670" s="35"/>
      <c r="AF670" s="35"/>
      <c r="AR670" s="69">
        <f t="shared" si="369"/>
        <v>56</v>
      </c>
      <c r="AS670" s="70">
        <f t="shared" si="375"/>
        <v>667</v>
      </c>
      <c r="AT670" s="71">
        <f t="shared" si="379"/>
        <v>1.0404408262691603E-2</v>
      </c>
      <c r="AU670" s="72">
        <f t="shared" si="360"/>
        <v>6.8214933659622723E-3</v>
      </c>
      <c r="AV670" s="73">
        <f t="shared" si="370"/>
        <v>1.0068214933659623</v>
      </c>
      <c r="AW670" s="74">
        <f>PRODUCT(AV$4:AV670)</f>
        <v>93.175760773584642</v>
      </c>
    </row>
    <row r="671" spans="5:49">
      <c r="E671">
        <f t="shared" si="377"/>
        <v>668</v>
      </c>
      <c r="F671" s="64">
        <f t="shared" si="361"/>
        <v>108.36</v>
      </c>
      <c r="G671" s="55">
        <f t="shared" si="351"/>
        <v>0</v>
      </c>
      <c r="H671" s="78">
        <f t="shared" si="376"/>
        <v>1</v>
      </c>
      <c r="I671" s="79">
        <f t="shared" si="362"/>
        <v>0</v>
      </c>
      <c r="J671" s="79">
        <f t="shared" si="352"/>
        <v>0</v>
      </c>
      <c r="K671" s="80">
        <f t="shared" si="353"/>
        <v>0</v>
      </c>
      <c r="L671" s="80">
        <f t="shared" si="363"/>
        <v>0</v>
      </c>
      <c r="M671" s="80">
        <f t="shared" si="378"/>
        <v>0</v>
      </c>
      <c r="N671" s="80">
        <f t="shared" si="364"/>
        <v>0</v>
      </c>
      <c r="O671" s="81">
        <f t="shared" si="354"/>
        <v>0</v>
      </c>
      <c r="P671" s="79">
        <f t="shared" si="355"/>
        <v>0</v>
      </c>
      <c r="R671">
        <f t="shared" ca="1" si="365"/>
        <v>793</v>
      </c>
      <c r="S671" s="78">
        <f t="shared" ca="1" si="366"/>
        <v>118.36</v>
      </c>
      <c r="T671" s="55">
        <f t="shared" ca="1" si="356"/>
        <v>0</v>
      </c>
      <c r="U671" s="78">
        <f t="shared" ca="1" si="371"/>
        <v>2.7389054743691302E-5</v>
      </c>
      <c r="V671" s="79">
        <f t="shared" ca="1" si="367"/>
        <v>0</v>
      </c>
      <c r="W671" s="79">
        <f t="shared" ca="1" si="357"/>
        <v>0</v>
      </c>
      <c r="X671" s="80">
        <f t="shared" ca="1" si="372"/>
        <v>0</v>
      </c>
      <c r="Y671" s="80">
        <f t="shared" ca="1" si="373"/>
        <v>0</v>
      </c>
      <c r="Z671" s="80">
        <f t="shared" ca="1" si="368"/>
        <v>0</v>
      </c>
      <c r="AA671" s="80">
        <f t="shared" ca="1" si="374"/>
        <v>0</v>
      </c>
      <c r="AB671" s="81">
        <f t="shared" ca="1" si="358"/>
        <v>0</v>
      </c>
      <c r="AC671" s="79">
        <f t="shared" ca="1" si="359"/>
        <v>0</v>
      </c>
      <c r="AE671" s="35"/>
      <c r="AF671" s="35"/>
      <c r="AR671" s="69">
        <f t="shared" si="369"/>
        <v>56</v>
      </c>
      <c r="AS671" s="70">
        <f t="shared" si="375"/>
        <v>668</v>
      </c>
      <c r="AT671" s="71">
        <f t="shared" si="379"/>
        <v>1.0333434660750889E-2</v>
      </c>
      <c r="AU671" s="72">
        <f t="shared" si="360"/>
        <v>6.8214933659622723E-3</v>
      </c>
      <c r="AV671" s="73">
        <f t="shared" si="370"/>
        <v>1.0068214933659623</v>
      </c>
      <c r="AW671" s="74">
        <f>PRODUCT(AV$4:AV671)</f>
        <v>93.811358607570142</v>
      </c>
    </row>
    <row r="672" spans="5:49">
      <c r="E672">
        <f t="shared" si="377"/>
        <v>669</v>
      </c>
      <c r="F672" s="64">
        <f t="shared" si="361"/>
        <v>108.44</v>
      </c>
      <c r="G672" s="55">
        <f t="shared" si="351"/>
        <v>0</v>
      </c>
      <c r="H672" s="78">
        <f t="shared" si="376"/>
        <v>1</v>
      </c>
      <c r="I672" s="79">
        <f t="shared" si="362"/>
        <v>0</v>
      </c>
      <c r="J672" s="79">
        <f t="shared" si="352"/>
        <v>0</v>
      </c>
      <c r="K672" s="80">
        <f t="shared" si="353"/>
        <v>0</v>
      </c>
      <c r="L672" s="80">
        <f t="shared" si="363"/>
        <v>0</v>
      </c>
      <c r="M672" s="80">
        <f t="shared" si="378"/>
        <v>0</v>
      </c>
      <c r="N672" s="80">
        <f t="shared" si="364"/>
        <v>0</v>
      </c>
      <c r="O672" s="81">
        <f t="shared" si="354"/>
        <v>0</v>
      </c>
      <c r="P672" s="79">
        <f t="shared" si="355"/>
        <v>0</v>
      </c>
      <c r="R672">
        <f t="shared" ca="1" si="365"/>
        <v>794</v>
      </c>
      <c r="S672" s="78">
        <f t="shared" ca="1" si="366"/>
        <v>118.44</v>
      </c>
      <c r="T672" s="55">
        <f t="shared" ca="1" si="356"/>
        <v>0</v>
      </c>
      <c r="U672" s="78">
        <f t="shared" ca="1" si="371"/>
        <v>2.7389054743691302E-5</v>
      </c>
      <c r="V672" s="79">
        <f t="shared" ca="1" si="367"/>
        <v>0</v>
      </c>
      <c r="W672" s="79">
        <f t="shared" ca="1" si="357"/>
        <v>0</v>
      </c>
      <c r="X672" s="80">
        <f t="shared" ca="1" si="372"/>
        <v>0</v>
      </c>
      <c r="Y672" s="80">
        <f t="shared" ca="1" si="373"/>
        <v>0</v>
      </c>
      <c r="Z672" s="80">
        <f t="shared" ca="1" si="368"/>
        <v>0</v>
      </c>
      <c r="AA672" s="80">
        <f t="shared" ca="1" si="374"/>
        <v>0</v>
      </c>
      <c r="AB672" s="81">
        <f t="shared" ca="1" si="358"/>
        <v>0</v>
      </c>
      <c r="AC672" s="79">
        <f t="shared" ca="1" si="359"/>
        <v>0</v>
      </c>
      <c r="AE672" s="35"/>
      <c r="AF672" s="35"/>
      <c r="AR672" s="69">
        <f t="shared" si="369"/>
        <v>56</v>
      </c>
      <c r="AS672" s="70">
        <f t="shared" si="375"/>
        <v>669</v>
      </c>
      <c r="AT672" s="71">
        <f t="shared" si="379"/>
        <v>1.0262945204764971E-2</v>
      </c>
      <c r="AU672" s="72">
        <f t="shared" si="360"/>
        <v>6.8214933659622723E-3</v>
      </c>
      <c r="AV672" s="73">
        <f t="shared" si="370"/>
        <v>1.0068214933659623</v>
      </c>
      <c r="AW672" s="74">
        <f>PRODUCT(AV$4:AV672)</f>
        <v>94.451292167963587</v>
      </c>
    </row>
    <row r="673" spans="5:49">
      <c r="E673">
        <f t="shared" si="377"/>
        <v>670</v>
      </c>
      <c r="F673" s="64">
        <f t="shared" si="361"/>
        <v>108.52</v>
      </c>
      <c r="G673" s="55">
        <f t="shared" si="351"/>
        <v>0</v>
      </c>
      <c r="H673" s="78">
        <f t="shared" si="376"/>
        <v>1</v>
      </c>
      <c r="I673" s="79">
        <f t="shared" si="362"/>
        <v>0</v>
      </c>
      <c r="J673" s="79">
        <f t="shared" si="352"/>
        <v>0</v>
      </c>
      <c r="K673" s="80">
        <f t="shared" si="353"/>
        <v>0</v>
      </c>
      <c r="L673" s="80">
        <f t="shared" si="363"/>
        <v>0</v>
      </c>
      <c r="M673" s="80">
        <f t="shared" si="378"/>
        <v>0</v>
      </c>
      <c r="N673" s="80">
        <f t="shared" si="364"/>
        <v>0</v>
      </c>
      <c r="O673" s="81">
        <f t="shared" si="354"/>
        <v>0</v>
      </c>
      <c r="P673" s="79">
        <f t="shared" si="355"/>
        <v>0</v>
      </c>
      <c r="R673">
        <f t="shared" ca="1" si="365"/>
        <v>795</v>
      </c>
      <c r="S673" s="78">
        <f t="shared" ca="1" si="366"/>
        <v>118.52</v>
      </c>
      <c r="T673" s="55">
        <f t="shared" ca="1" si="356"/>
        <v>0</v>
      </c>
      <c r="U673" s="78">
        <f t="shared" ca="1" si="371"/>
        <v>2.7389054743691302E-5</v>
      </c>
      <c r="V673" s="79">
        <f t="shared" ca="1" si="367"/>
        <v>0</v>
      </c>
      <c r="W673" s="79">
        <f t="shared" ca="1" si="357"/>
        <v>0</v>
      </c>
      <c r="X673" s="80">
        <f t="shared" ca="1" si="372"/>
        <v>0</v>
      </c>
      <c r="Y673" s="80">
        <f t="shared" ca="1" si="373"/>
        <v>0</v>
      </c>
      <c r="Z673" s="80">
        <f t="shared" ca="1" si="368"/>
        <v>0</v>
      </c>
      <c r="AA673" s="80">
        <f t="shared" ca="1" si="374"/>
        <v>0</v>
      </c>
      <c r="AB673" s="81">
        <f t="shared" ca="1" si="358"/>
        <v>0</v>
      </c>
      <c r="AC673" s="79">
        <f t="shared" ca="1" si="359"/>
        <v>0</v>
      </c>
      <c r="AE673" s="35"/>
      <c r="AF673" s="35"/>
      <c r="AR673" s="69">
        <f t="shared" si="369"/>
        <v>56</v>
      </c>
      <c r="AS673" s="70">
        <f t="shared" si="375"/>
        <v>670</v>
      </c>
      <c r="AT673" s="71">
        <f t="shared" si="379"/>
        <v>1.0192936592135432E-2</v>
      </c>
      <c r="AU673" s="72">
        <f t="shared" si="360"/>
        <v>6.8214933659622723E-3</v>
      </c>
      <c r="AV673" s="73">
        <f t="shared" si="370"/>
        <v>1.0068214933659623</v>
      </c>
      <c r="AW673" s="74">
        <f>PRODUCT(AV$4:AV673)</f>
        <v>95.095591030893914</v>
      </c>
    </row>
    <row r="674" spans="5:49">
      <c r="E674">
        <f t="shared" si="377"/>
        <v>671</v>
      </c>
      <c r="F674" s="64">
        <f t="shared" si="361"/>
        <v>108.6</v>
      </c>
      <c r="G674" s="55">
        <f t="shared" si="351"/>
        <v>0</v>
      </c>
      <c r="H674" s="78">
        <f t="shared" si="376"/>
        <v>1</v>
      </c>
      <c r="I674" s="79">
        <f t="shared" si="362"/>
        <v>0</v>
      </c>
      <c r="J674" s="79">
        <f t="shared" si="352"/>
        <v>0</v>
      </c>
      <c r="K674" s="80">
        <f t="shared" si="353"/>
        <v>0</v>
      </c>
      <c r="L674" s="80">
        <f t="shared" si="363"/>
        <v>0</v>
      </c>
      <c r="M674" s="80">
        <f t="shared" si="378"/>
        <v>0</v>
      </c>
      <c r="N674" s="80">
        <f t="shared" si="364"/>
        <v>0</v>
      </c>
      <c r="O674" s="81">
        <f t="shared" si="354"/>
        <v>0</v>
      </c>
      <c r="P674" s="79">
        <f t="shared" si="355"/>
        <v>0</v>
      </c>
      <c r="R674">
        <f t="shared" ca="1" si="365"/>
        <v>796</v>
      </c>
      <c r="S674" s="78">
        <f t="shared" ca="1" si="366"/>
        <v>118.6</v>
      </c>
      <c r="T674" s="55">
        <f t="shared" ca="1" si="356"/>
        <v>0</v>
      </c>
      <c r="U674" s="78">
        <f t="shared" ca="1" si="371"/>
        <v>2.7389054743691302E-5</v>
      </c>
      <c r="V674" s="79">
        <f t="shared" ca="1" si="367"/>
        <v>0</v>
      </c>
      <c r="W674" s="79">
        <f t="shared" ca="1" si="357"/>
        <v>0</v>
      </c>
      <c r="X674" s="80">
        <f t="shared" ca="1" si="372"/>
        <v>0</v>
      </c>
      <c r="Y674" s="80">
        <f t="shared" ca="1" si="373"/>
        <v>0</v>
      </c>
      <c r="Z674" s="80">
        <f t="shared" ca="1" si="368"/>
        <v>0</v>
      </c>
      <c r="AA674" s="80">
        <f t="shared" ca="1" si="374"/>
        <v>0</v>
      </c>
      <c r="AB674" s="81">
        <f t="shared" ca="1" si="358"/>
        <v>0</v>
      </c>
      <c r="AC674" s="79">
        <f t="shared" ca="1" si="359"/>
        <v>0</v>
      </c>
      <c r="AE674" s="35"/>
      <c r="AF674" s="35"/>
      <c r="AR674" s="69">
        <f t="shared" si="369"/>
        <v>56</v>
      </c>
      <c r="AS674" s="70">
        <f t="shared" si="375"/>
        <v>671</v>
      </c>
      <c r="AT674" s="71">
        <f t="shared" si="379"/>
        <v>1.0123405542792506E-2</v>
      </c>
      <c r="AU674" s="72">
        <f t="shared" si="360"/>
        <v>6.8214933659622723E-3</v>
      </c>
      <c r="AV674" s="73">
        <f t="shared" si="370"/>
        <v>1.0068214933659623</v>
      </c>
      <c r="AW674" s="74">
        <f>PRODUCT(AV$4:AV674)</f>
        <v>95.744284974243413</v>
      </c>
    </row>
    <row r="675" spans="5:49">
      <c r="E675">
        <f t="shared" si="377"/>
        <v>672</v>
      </c>
      <c r="F675" s="64">
        <f t="shared" si="361"/>
        <v>108.68</v>
      </c>
      <c r="G675" s="55">
        <f t="shared" si="351"/>
        <v>0</v>
      </c>
      <c r="H675" s="78">
        <f t="shared" si="376"/>
        <v>1</v>
      </c>
      <c r="I675" s="79">
        <f t="shared" si="362"/>
        <v>0</v>
      </c>
      <c r="J675" s="79">
        <f t="shared" si="352"/>
        <v>0</v>
      </c>
      <c r="K675" s="80">
        <f t="shared" si="353"/>
        <v>0</v>
      </c>
      <c r="L675" s="80">
        <f t="shared" si="363"/>
        <v>0</v>
      </c>
      <c r="M675" s="80">
        <f t="shared" si="378"/>
        <v>0</v>
      </c>
      <c r="N675" s="80">
        <f t="shared" si="364"/>
        <v>0</v>
      </c>
      <c r="O675" s="81">
        <f t="shared" si="354"/>
        <v>0</v>
      </c>
      <c r="P675" s="79">
        <f t="shared" si="355"/>
        <v>0</v>
      </c>
      <c r="R675">
        <f t="shared" ca="1" si="365"/>
        <v>797</v>
      </c>
      <c r="S675" s="78">
        <f t="shared" ca="1" si="366"/>
        <v>118.68</v>
      </c>
      <c r="T675" s="55">
        <f t="shared" ca="1" si="356"/>
        <v>0</v>
      </c>
      <c r="U675" s="78">
        <f t="shared" ca="1" si="371"/>
        <v>2.7389054743691302E-5</v>
      </c>
      <c r="V675" s="79">
        <f t="shared" ca="1" si="367"/>
        <v>0</v>
      </c>
      <c r="W675" s="79">
        <f t="shared" ca="1" si="357"/>
        <v>0</v>
      </c>
      <c r="X675" s="80">
        <f t="shared" ca="1" si="372"/>
        <v>0</v>
      </c>
      <c r="Y675" s="80">
        <f t="shared" ca="1" si="373"/>
        <v>0</v>
      </c>
      <c r="Z675" s="80">
        <f t="shared" ca="1" si="368"/>
        <v>0</v>
      </c>
      <c r="AA675" s="80">
        <f t="shared" ca="1" si="374"/>
        <v>0</v>
      </c>
      <c r="AB675" s="81">
        <f t="shared" ca="1" si="358"/>
        <v>0</v>
      </c>
      <c r="AC675" s="79">
        <f t="shared" ca="1" si="359"/>
        <v>0</v>
      </c>
      <c r="AE675" s="35"/>
      <c r="AF675" s="35"/>
      <c r="AR675" s="69">
        <f t="shared" si="369"/>
        <v>56</v>
      </c>
      <c r="AS675" s="70">
        <f t="shared" si="375"/>
        <v>672</v>
      </c>
      <c r="AT675" s="71">
        <f t="shared" si="379"/>
        <v>1.00543487990414E-2</v>
      </c>
      <c r="AU675" s="72">
        <f t="shared" si="360"/>
        <v>6.8214933659622723E-3</v>
      </c>
      <c r="AV675" s="73">
        <f t="shared" si="370"/>
        <v>1.0068214933659623</v>
      </c>
      <c r="AW675" s="74">
        <f>PRODUCT(AV$4:AV675)</f>
        <v>96.39740397902402</v>
      </c>
    </row>
    <row r="676" spans="5:49">
      <c r="E676">
        <f t="shared" si="377"/>
        <v>673</v>
      </c>
      <c r="F676" s="64">
        <f t="shared" si="361"/>
        <v>108.76</v>
      </c>
      <c r="G676" s="55">
        <f t="shared" si="351"/>
        <v>0</v>
      </c>
      <c r="H676" s="78">
        <f t="shared" si="376"/>
        <v>1</v>
      </c>
      <c r="I676" s="79">
        <f t="shared" si="362"/>
        <v>0</v>
      </c>
      <c r="J676" s="79">
        <f t="shared" si="352"/>
        <v>0</v>
      </c>
      <c r="K676" s="80">
        <f t="shared" si="353"/>
        <v>0</v>
      </c>
      <c r="L676" s="80">
        <f t="shared" si="363"/>
        <v>0</v>
      </c>
      <c r="M676" s="80">
        <f t="shared" si="378"/>
        <v>0</v>
      </c>
      <c r="N676" s="80">
        <f t="shared" si="364"/>
        <v>0</v>
      </c>
      <c r="O676" s="81">
        <f t="shared" si="354"/>
        <v>0</v>
      </c>
      <c r="P676" s="79">
        <f t="shared" si="355"/>
        <v>0</v>
      </c>
      <c r="R676">
        <f t="shared" ca="1" si="365"/>
        <v>798</v>
      </c>
      <c r="S676" s="78">
        <f t="shared" ca="1" si="366"/>
        <v>118.76</v>
      </c>
      <c r="T676" s="55">
        <f t="shared" ca="1" si="356"/>
        <v>0</v>
      </c>
      <c r="U676" s="78">
        <f t="shared" ca="1" si="371"/>
        <v>2.7389054743691302E-5</v>
      </c>
      <c r="V676" s="79">
        <f t="shared" ca="1" si="367"/>
        <v>0</v>
      </c>
      <c r="W676" s="79">
        <f t="shared" ca="1" si="357"/>
        <v>0</v>
      </c>
      <c r="X676" s="80">
        <f t="shared" ca="1" si="372"/>
        <v>0</v>
      </c>
      <c r="Y676" s="80">
        <f t="shared" ca="1" si="373"/>
        <v>0</v>
      </c>
      <c r="Z676" s="80">
        <f t="shared" ca="1" si="368"/>
        <v>0</v>
      </c>
      <c r="AA676" s="80">
        <f t="shared" ca="1" si="374"/>
        <v>0</v>
      </c>
      <c r="AB676" s="81">
        <f t="shared" ca="1" si="358"/>
        <v>0</v>
      </c>
      <c r="AC676" s="79">
        <f t="shared" ca="1" si="359"/>
        <v>0</v>
      </c>
      <c r="AE676" s="35"/>
      <c r="AF676" s="35"/>
      <c r="AR676" s="69">
        <f t="shared" si="369"/>
        <v>57</v>
      </c>
      <c r="AS676" s="70">
        <f t="shared" si="375"/>
        <v>673</v>
      </c>
      <c r="AT676" s="71">
        <f t="shared" si="379"/>
        <v>9.9857631254096687E-3</v>
      </c>
      <c r="AU676" s="72">
        <f t="shared" si="360"/>
        <v>6.8214933659622723E-3</v>
      </c>
      <c r="AV676" s="73">
        <f t="shared" si="370"/>
        <v>1.0068214933659623</v>
      </c>
      <c r="AW676" s="74">
        <f>PRODUCT(AV$4:AV676)</f>
        <v>97.054978230762913</v>
      </c>
    </row>
    <row r="677" spans="5:49">
      <c r="E677">
        <f t="shared" si="377"/>
        <v>674</v>
      </c>
      <c r="F677" s="64">
        <f t="shared" si="361"/>
        <v>108.84</v>
      </c>
      <c r="G677" s="55">
        <f t="shared" si="351"/>
        <v>0</v>
      </c>
      <c r="H677" s="78">
        <f t="shared" si="376"/>
        <v>1</v>
      </c>
      <c r="I677" s="79">
        <f t="shared" si="362"/>
        <v>0</v>
      </c>
      <c r="J677" s="79">
        <f t="shared" si="352"/>
        <v>0</v>
      </c>
      <c r="K677" s="80">
        <f t="shared" si="353"/>
        <v>0</v>
      </c>
      <c r="L677" s="80">
        <f t="shared" si="363"/>
        <v>0</v>
      </c>
      <c r="M677" s="80">
        <f t="shared" si="378"/>
        <v>0</v>
      </c>
      <c r="N677" s="80">
        <f t="shared" si="364"/>
        <v>0</v>
      </c>
      <c r="O677" s="81">
        <f t="shared" si="354"/>
        <v>0</v>
      </c>
      <c r="P677" s="79">
        <f t="shared" si="355"/>
        <v>0</v>
      </c>
      <c r="R677">
        <f t="shared" ca="1" si="365"/>
        <v>799</v>
      </c>
      <c r="S677" s="78">
        <f t="shared" ca="1" si="366"/>
        <v>118.84</v>
      </c>
      <c r="T677" s="55">
        <f t="shared" ca="1" si="356"/>
        <v>0</v>
      </c>
      <c r="U677" s="78">
        <f t="shared" ca="1" si="371"/>
        <v>2.7389054743691302E-5</v>
      </c>
      <c r="V677" s="79">
        <f t="shared" ca="1" si="367"/>
        <v>0</v>
      </c>
      <c r="W677" s="79">
        <f t="shared" ca="1" si="357"/>
        <v>0</v>
      </c>
      <c r="X677" s="80">
        <f t="shared" ca="1" si="372"/>
        <v>0</v>
      </c>
      <c r="Y677" s="80">
        <f t="shared" ca="1" si="373"/>
        <v>0</v>
      </c>
      <c r="Z677" s="80">
        <f t="shared" ca="1" si="368"/>
        <v>0</v>
      </c>
      <c r="AA677" s="80">
        <f t="shared" ca="1" si="374"/>
        <v>0</v>
      </c>
      <c r="AB677" s="81">
        <f t="shared" ca="1" si="358"/>
        <v>0</v>
      </c>
      <c r="AC677" s="79">
        <f t="shared" ca="1" si="359"/>
        <v>0</v>
      </c>
      <c r="AE677" s="35"/>
      <c r="AF677" s="35"/>
      <c r="AR677" s="69">
        <f t="shared" si="369"/>
        <v>57</v>
      </c>
      <c r="AS677" s="70">
        <f t="shared" si="375"/>
        <v>674</v>
      </c>
      <c r="AT677" s="71">
        <f t="shared" si="379"/>
        <v>9.9176453084956154E-3</v>
      </c>
      <c r="AU677" s="72">
        <f t="shared" si="360"/>
        <v>6.8214933659622723E-3</v>
      </c>
      <c r="AV677" s="73">
        <f t="shared" si="370"/>
        <v>1.0068214933659623</v>
      </c>
      <c r="AW677" s="74">
        <f>PRODUCT(AV$4:AV677)</f>
        <v>97.717038120897669</v>
      </c>
    </row>
    <row r="678" spans="5:49">
      <c r="E678">
        <f t="shared" si="377"/>
        <v>675</v>
      </c>
      <c r="F678" s="64">
        <f t="shared" si="361"/>
        <v>108.92</v>
      </c>
      <c r="G678" s="55">
        <f t="shared" si="351"/>
        <v>0</v>
      </c>
      <c r="H678" s="78">
        <f t="shared" si="376"/>
        <v>1</v>
      </c>
      <c r="I678" s="79">
        <f t="shared" si="362"/>
        <v>0</v>
      </c>
      <c r="J678" s="79">
        <f t="shared" si="352"/>
        <v>0</v>
      </c>
      <c r="K678" s="80">
        <f t="shared" si="353"/>
        <v>0</v>
      </c>
      <c r="L678" s="80">
        <f t="shared" si="363"/>
        <v>0</v>
      </c>
      <c r="M678" s="80">
        <f t="shared" si="378"/>
        <v>0</v>
      </c>
      <c r="N678" s="80">
        <f t="shared" si="364"/>
        <v>0</v>
      </c>
      <c r="O678" s="81">
        <f t="shared" si="354"/>
        <v>0</v>
      </c>
      <c r="P678" s="79">
        <f t="shared" si="355"/>
        <v>0</v>
      </c>
      <c r="R678">
        <f t="shared" ca="1" si="365"/>
        <v>800</v>
      </c>
      <c r="S678" s="78">
        <f t="shared" ca="1" si="366"/>
        <v>118.92</v>
      </c>
      <c r="T678" s="55">
        <f t="shared" ca="1" si="356"/>
        <v>0</v>
      </c>
      <c r="U678" s="78">
        <f t="shared" ca="1" si="371"/>
        <v>2.7389054743691302E-5</v>
      </c>
      <c r="V678" s="79">
        <f t="shared" ca="1" si="367"/>
        <v>0</v>
      </c>
      <c r="W678" s="79">
        <f t="shared" ca="1" si="357"/>
        <v>0</v>
      </c>
      <c r="X678" s="80">
        <f t="shared" ca="1" si="372"/>
        <v>0</v>
      </c>
      <c r="Y678" s="80">
        <f t="shared" ca="1" si="373"/>
        <v>0</v>
      </c>
      <c r="Z678" s="80">
        <f t="shared" ca="1" si="368"/>
        <v>0</v>
      </c>
      <c r="AA678" s="80">
        <f t="shared" ca="1" si="374"/>
        <v>0</v>
      </c>
      <c r="AB678" s="81">
        <f t="shared" ca="1" si="358"/>
        <v>0</v>
      </c>
      <c r="AC678" s="79">
        <f t="shared" ca="1" si="359"/>
        <v>0</v>
      </c>
      <c r="AE678" s="35"/>
      <c r="AF678" s="35"/>
      <c r="AR678" s="69">
        <f t="shared" si="369"/>
        <v>57</v>
      </c>
      <c r="AS678" s="70">
        <f t="shared" si="375"/>
        <v>675</v>
      </c>
      <c r="AT678" s="71">
        <f t="shared" si="379"/>
        <v>9.8499921568177464E-3</v>
      </c>
      <c r="AU678" s="72">
        <f t="shared" si="360"/>
        <v>6.8214933659622723E-3</v>
      </c>
      <c r="AV678" s="73">
        <f t="shared" si="370"/>
        <v>1.0068214933659623</v>
      </c>
      <c r="AW678" s="74">
        <f>PRODUCT(AV$4:AV678)</f>
        <v>98.383614248180862</v>
      </c>
    </row>
    <row r="679" spans="5:49">
      <c r="E679">
        <f t="shared" si="377"/>
        <v>676</v>
      </c>
      <c r="F679" s="64">
        <f t="shared" si="361"/>
        <v>109</v>
      </c>
      <c r="G679" s="55">
        <f t="shared" si="351"/>
        <v>0</v>
      </c>
      <c r="H679" s="78">
        <f t="shared" si="376"/>
        <v>1</v>
      </c>
      <c r="I679" s="79">
        <f t="shared" si="362"/>
        <v>0</v>
      </c>
      <c r="J679" s="79">
        <f t="shared" si="352"/>
        <v>0</v>
      </c>
      <c r="K679" s="80">
        <f t="shared" si="353"/>
        <v>0</v>
      </c>
      <c r="L679" s="80">
        <f t="shared" si="363"/>
        <v>0</v>
      </c>
      <c r="M679" s="80">
        <f t="shared" si="378"/>
        <v>0</v>
      </c>
      <c r="N679" s="80">
        <f t="shared" si="364"/>
        <v>0</v>
      </c>
      <c r="O679" s="81">
        <f t="shared" si="354"/>
        <v>0</v>
      </c>
      <c r="P679" s="79">
        <f t="shared" si="355"/>
        <v>0</v>
      </c>
      <c r="R679">
        <f t="shared" ca="1" si="365"/>
        <v>801</v>
      </c>
      <c r="S679" s="78">
        <f t="shared" ca="1" si="366"/>
        <v>119</v>
      </c>
      <c r="T679" s="55">
        <f t="shared" ca="1" si="356"/>
        <v>0</v>
      </c>
      <c r="U679" s="78">
        <f t="shared" ca="1" si="371"/>
        <v>2.7389054743691302E-5</v>
      </c>
      <c r="V679" s="79">
        <f t="shared" ca="1" si="367"/>
        <v>0</v>
      </c>
      <c r="W679" s="79">
        <f t="shared" ca="1" si="357"/>
        <v>0</v>
      </c>
      <c r="X679" s="80">
        <f t="shared" ca="1" si="372"/>
        <v>0</v>
      </c>
      <c r="Y679" s="80">
        <f t="shared" ca="1" si="373"/>
        <v>0</v>
      </c>
      <c r="Z679" s="80">
        <f t="shared" ca="1" si="368"/>
        <v>0</v>
      </c>
      <c r="AA679" s="80">
        <f t="shared" ca="1" si="374"/>
        <v>0</v>
      </c>
      <c r="AB679" s="81">
        <f t="shared" ca="1" si="358"/>
        <v>0</v>
      </c>
      <c r="AC679" s="79">
        <f t="shared" ca="1" si="359"/>
        <v>0</v>
      </c>
      <c r="AE679" s="35"/>
      <c r="AF679" s="35"/>
      <c r="AR679" s="69">
        <f t="shared" si="369"/>
        <v>57</v>
      </c>
      <c r="AS679" s="70">
        <f t="shared" si="375"/>
        <v>676</v>
      </c>
      <c r="AT679" s="71">
        <f t="shared" si="379"/>
        <v>9.7828005006652344E-3</v>
      </c>
      <c r="AU679" s="72">
        <f t="shared" si="360"/>
        <v>6.8214933659622723E-3</v>
      </c>
      <c r="AV679" s="73">
        <f t="shared" si="370"/>
        <v>1.0068214933659623</v>
      </c>
      <c r="AW679" s="74">
        <f>PRODUCT(AV$4:AV679)</f>
        <v>99.054737420094213</v>
      </c>
    </row>
    <row r="680" spans="5:49">
      <c r="E680">
        <f t="shared" si="377"/>
        <v>677</v>
      </c>
      <c r="F680" s="64">
        <f t="shared" si="361"/>
        <v>109.08</v>
      </c>
      <c r="G680" s="55">
        <f t="shared" si="351"/>
        <v>0</v>
      </c>
      <c r="H680" s="78">
        <f t="shared" si="376"/>
        <v>1</v>
      </c>
      <c r="I680" s="79">
        <f t="shared" si="362"/>
        <v>0</v>
      </c>
      <c r="J680" s="79">
        <f t="shared" si="352"/>
        <v>0</v>
      </c>
      <c r="K680" s="80">
        <f t="shared" si="353"/>
        <v>0</v>
      </c>
      <c r="L680" s="80">
        <f t="shared" si="363"/>
        <v>0</v>
      </c>
      <c r="M680" s="80">
        <f t="shared" si="378"/>
        <v>0</v>
      </c>
      <c r="N680" s="80">
        <f t="shared" si="364"/>
        <v>0</v>
      </c>
      <c r="O680" s="81">
        <f t="shared" si="354"/>
        <v>0</v>
      </c>
      <c r="P680" s="79">
        <f t="shared" si="355"/>
        <v>0</v>
      </c>
      <c r="R680">
        <f t="shared" ca="1" si="365"/>
        <v>802</v>
      </c>
      <c r="S680" s="78">
        <f t="shared" ca="1" si="366"/>
        <v>119.08</v>
      </c>
      <c r="T680" s="55">
        <f t="shared" ca="1" si="356"/>
        <v>0</v>
      </c>
      <c r="U680" s="78">
        <f t="shared" ca="1" si="371"/>
        <v>2.7389054743691302E-5</v>
      </c>
      <c r="V680" s="79">
        <f t="shared" ca="1" si="367"/>
        <v>0</v>
      </c>
      <c r="W680" s="79">
        <f t="shared" ca="1" si="357"/>
        <v>0</v>
      </c>
      <c r="X680" s="80">
        <f t="shared" ca="1" si="372"/>
        <v>0</v>
      </c>
      <c r="Y680" s="80">
        <f t="shared" ca="1" si="373"/>
        <v>0</v>
      </c>
      <c r="Z680" s="80">
        <f t="shared" ca="1" si="368"/>
        <v>0</v>
      </c>
      <c r="AA680" s="80">
        <f t="shared" ca="1" si="374"/>
        <v>0</v>
      </c>
      <c r="AB680" s="81">
        <f t="shared" ca="1" si="358"/>
        <v>0</v>
      </c>
      <c r="AC680" s="79">
        <f t="shared" ca="1" si="359"/>
        <v>0</v>
      </c>
      <c r="AE680" s="35"/>
      <c r="AF680" s="35"/>
      <c r="AR680" s="69">
        <f t="shared" si="369"/>
        <v>57</v>
      </c>
      <c r="AS680" s="70">
        <f t="shared" si="375"/>
        <v>677</v>
      </c>
      <c r="AT680" s="71">
        <f t="shared" si="379"/>
        <v>9.7160671919494148E-3</v>
      </c>
      <c r="AU680" s="72">
        <f t="shared" si="360"/>
        <v>6.8214933659622723E-3</v>
      </c>
      <c r="AV680" s="73">
        <f t="shared" si="370"/>
        <v>1.0068214933659623</v>
      </c>
      <c r="AW680" s="74">
        <f>PRODUCT(AV$4:AV680)</f>
        <v>99.730438654272518</v>
      </c>
    </row>
    <row r="681" spans="5:49">
      <c r="E681">
        <f t="shared" si="377"/>
        <v>678</v>
      </c>
      <c r="F681" s="64">
        <f t="shared" si="361"/>
        <v>109.16</v>
      </c>
      <c r="G681" s="55">
        <f t="shared" si="351"/>
        <v>0</v>
      </c>
      <c r="H681" s="78">
        <f t="shared" si="376"/>
        <v>1</v>
      </c>
      <c r="I681" s="79">
        <f t="shared" si="362"/>
        <v>0</v>
      </c>
      <c r="J681" s="79">
        <f t="shared" si="352"/>
        <v>0</v>
      </c>
      <c r="K681" s="80">
        <f t="shared" si="353"/>
        <v>0</v>
      </c>
      <c r="L681" s="80">
        <f t="shared" si="363"/>
        <v>0</v>
      </c>
      <c r="M681" s="80">
        <f t="shared" si="378"/>
        <v>0</v>
      </c>
      <c r="N681" s="80">
        <f t="shared" si="364"/>
        <v>0</v>
      </c>
      <c r="O681" s="81">
        <f t="shared" si="354"/>
        <v>0</v>
      </c>
      <c r="P681" s="79">
        <f t="shared" si="355"/>
        <v>0</v>
      </c>
      <c r="R681">
        <f t="shared" ca="1" si="365"/>
        <v>803</v>
      </c>
      <c r="S681" s="78">
        <f t="shared" ca="1" si="366"/>
        <v>119.16</v>
      </c>
      <c r="T681" s="55">
        <f t="shared" ca="1" si="356"/>
        <v>0</v>
      </c>
      <c r="U681" s="78">
        <f t="shared" ca="1" si="371"/>
        <v>2.7389054743691302E-5</v>
      </c>
      <c r="V681" s="79">
        <f t="shared" ca="1" si="367"/>
        <v>0</v>
      </c>
      <c r="W681" s="79">
        <f t="shared" ca="1" si="357"/>
        <v>0</v>
      </c>
      <c r="X681" s="80">
        <f t="shared" ca="1" si="372"/>
        <v>0</v>
      </c>
      <c r="Y681" s="80">
        <f t="shared" ca="1" si="373"/>
        <v>0</v>
      </c>
      <c r="Z681" s="80">
        <f t="shared" ca="1" si="368"/>
        <v>0</v>
      </c>
      <c r="AA681" s="80">
        <f t="shared" ca="1" si="374"/>
        <v>0</v>
      </c>
      <c r="AB681" s="81">
        <f t="shared" ca="1" si="358"/>
        <v>0</v>
      </c>
      <c r="AC681" s="79">
        <f t="shared" ca="1" si="359"/>
        <v>0</v>
      </c>
      <c r="AE681" s="35"/>
      <c r="AF681" s="35"/>
      <c r="AR681" s="69">
        <f t="shared" si="369"/>
        <v>57</v>
      </c>
      <c r="AS681" s="70">
        <f t="shared" si="375"/>
        <v>678</v>
      </c>
      <c r="AT681" s="71">
        <f t="shared" si="379"/>
        <v>9.6497891040562885E-3</v>
      </c>
      <c r="AU681" s="72">
        <f t="shared" si="360"/>
        <v>6.8214933659622723E-3</v>
      </c>
      <c r="AV681" s="73">
        <f t="shared" si="370"/>
        <v>1.0068214933659623</v>
      </c>
      <c r="AW681" s="74">
        <f>PRODUCT(AV$4:AV681)</f>
        <v>100.41074917993714</v>
      </c>
    </row>
    <row r="682" spans="5:49">
      <c r="E682">
        <f t="shared" si="377"/>
        <v>679</v>
      </c>
      <c r="F682" s="64">
        <f t="shared" si="361"/>
        <v>109.24</v>
      </c>
      <c r="G682" s="55">
        <f t="shared" si="351"/>
        <v>0</v>
      </c>
      <c r="H682" s="78">
        <f t="shared" si="376"/>
        <v>1</v>
      </c>
      <c r="I682" s="79">
        <f t="shared" si="362"/>
        <v>0</v>
      </c>
      <c r="J682" s="79">
        <f t="shared" si="352"/>
        <v>0</v>
      </c>
      <c r="K682" s="80">
        <f t="shared" si="353"/>
        <v>0</v>
      </c>
      <c r="L682" s="80">
        <f t="shared" si="363"/>
        <v>0</v>
      </c>
      <c r="M682" s="80">
        <f t="shared" si="378"/>
        <v>0</v>
      </c>
      <c r="N682" s="80">
        <f t="shared" si="364"/>
        <v>0</v>
      </c>
      <c r="O682" s="81">
        <f t="shared" si="354"/>
        <v>0</v>
      </c>
      <c r="P682" s="79">
        <f t="shared" si="355"/>
        <v>0</v>
      </c>
      <c r="R682">
        <f t="shared" ca="1" si="365"/>
        <v>804</v>
      </c>
      <c r="S682" s="78">
        <f t="shared" ca="1" si="366"/>
        <v>119.24</v>
      </c>
      <c r="T682" s="55">
        <f t="shared" ca="1" si="356"/>
        <v>0</v>
      </c>
      <c r="U682" s="78">
        <f t="shared" ca="1" si="371"/>
        <v>2.7389054743691302E-5</v>
      </c>
      <c r="V682" s="79">
        <f t="shared" ca="1" si="367"/>
        <v>0</v>
      </c>
      <c r="W682" s="79">
        <f t="shared" ca="1" si="357"/>
        <v>0</v>
      </c>
      <c r="X682" s="80">
        <f t="shared" ca="1" si="372"/>
        <v>0</v>
      </c>
      <c r="Y682" s="80">
        <f t="shared" ca="1" si="373"/>
        <v>0</v>
      </c>
      <c r="Z682" s="80">
        <f t="shared" ca="1" si="368"/>
        <v>0</v>
      </c>
      <c r="AA682" s="80">
        <f t="shared" ca="1" si="374"/>
        <v>0</v>
      </c>
      <c r="AB682" s="81">
        <f t="shared" ca="1" si="358"/>
        <v>0</v>
      </c>
      <c r="AC682" s="79">
        <f t="shared" ca="1" si="359"/>
        <v>0</v>
      </c>
      <c r="AE682" s="35"/>
      <c r="AF682" s="35"/>
      <c r="AR682" s="69">
        <f t="shared" si="369"/>
        <v>57</v>
      </c>
      <c r="AS682" s="70">
        <f t="shared" si="375"/>
        <v>679</v>
      </c>
      <c r="AT682" s="71">
        <f t="shared" si="379"/>
        <v>9.5839631317000337E-3</v>
      </c>
      <c r="AU682" s="72">
        <f t="shared" si="360"/>
        <v>6.8214933659622723E-3</v>
      </c>
      <c r="AV682" s="73">
        <f t="shared" si="370"/>
        <v>1.0068214933659623</v>
      </c>
      <c r="AW682" s="74">
        <f>PRODUCT(AV$4:AV682)</f>
        <v>101.09570043933938</v>
      </c>
    </row>
    <row r="683" spans="5:49">
      <c r="E683">
        <f t="shared" si="377"/>
        <v>680</v>
      </c>
      <c r="F683" s="64">
        <f t="shared" si="361"/>
        <v>109.32</v>
      </c>
      <c r="G683" s="55">
        <f t="shared" si="351"/>
        <v>0</v>
      </c>
      <c r="H683" s="78">
        <f t="shared" si="376"/>
        <v>1</v>
      </c>
      <c r="I683" s="79">
        <f t="shared" si="362"/>
        <v>0</v>
      </c>
      <c r="J683" s="79">
        <f t="shared" si="352"/>
        <v>0</v>
      </c>
      <c r="K683" s="80">
        <f t="shared" si="353"/>
        <v>0</v>
      </c>
      <c r="L683" s="80">
        <f t="shared" si="363"/>
        <v>0</v>
      </c>
      <c r="M683" s="80">
        <f t="shared" si="378"/>
        <v>0</v>
      </c>
      <c r="N683" s="80">
        <f t="shared" si="364"/>
        <v>0</v>
      </c>
      <c r="O683" s="81">
        <f t="shared" si="354"/>
        <v>0</v>
      </c>
      <c r="P683" s="79">
        <f t="shared" si="355"/>
        <v>0</v>
      </c>
      <c r="R683">
        <f t="shared" ca="1" si="365"/>
        <v>805</v>
      </c>
      <c r="S683" s="78">
        <f t="shared" ca="1" si="366"/>
        <v>119.32</v>
      </c>
      <c r="T683" s="55">
        <f t="shared" ca="1" si="356"/>
        <v>0</v>
      </c>
      <c r="U683" s="78">
        <f t="shared" ca="1" si="371"/>
        <v>2.7389054743691302E-5</v>
      </c>
      <c r="V683" s="79">
        <f t="shared" ca="1" si="367"/>
        <v>0</v>
      </c>
      <c r="W683" s="79">
        <f t="shared" ca="1" si="357"/>
        <v>0</v>
      </c>
      <c r="X683" s="80">
        <f t="shared" ca="1" si="372"/>
        <v>0</v>
      </c>
      <c r="Y683" s="80">
        <f t="shared" ca="1" si="373"/>
        <v>0</v>
      </c>
      <c r="Z683" s="80">
        <f t="shared" ca="1" si="368"/>
        <v>0</v>
      </c>
      <c r="AA683" s="80">
        <f t="shared" ca="1" si="374"/>
        <v>0</v>
      </c>
      <c r="AB683" s="81">
        <f t="shared" ca="1" si="358"/>
        <v>0</v>
      </c>
      <c r="AC683" s="79">
        <f t="shared" ca="1" si="359"/>
        <v>0</v>
      </c>
      <c r="AE683" s="35"/>
      <c r="AF683" s="35"/>
      <c r="AR683" s="69">
        <f t="shared" si="369"/>
        <v>57</v>
      </c>
      <c r="AS683" s="70">
        <f t="shared" si="375"/>
        <v>680</v>
      </c>
      <c r="AT683" s="71">
        <f t="shared" si="379"/>
        <v>9.5185861907775143E-3</v>
      </c>
      <c r="AU683" s="72">
        <f t="shared" si="360"/>
        <v>6.8214933659622723E-3</v>
      </c>
      <c r="AV683" s="73">
        <f t="shared" si="370"/>
        <v>1.0068214933659623</v>
      </c>
      <c r="AW683" s="74">
        <f>PRODUCT(AV$4:AV683)</f>
        <v>101.78532408921365</v>
      </c>
    </row>
    <row r="684" spans="5:49">
      <c r="E684">
        <f t="shared" si="377"/>
        <v>681</v>
      </c>
      <c r="F684" s="64">
        <f t="shared" si="361"/>
        <v>109.4</v>
      </c>
      <c r="G684" s="55">
        <f t="shared" si="351"/>
        <v>0</v>
      </c>
      <c r="H684" s="78">
        <f t="shared" si="376"/>
        <v>1</v>
      </c>
      <c r="I684" s="79">
        <f t="shared" si="362"/>
        <v>0</v>
      </c>
      <c r="J684" s="79">
        <f t="shared" si="352"/>
        <v>0</v>
      </c>
      <c r="K684" s="80">
        <f t="shared" si="353"/>
        <v>0</v>
      </c>
      <c r="L684" s="80">
        <f t="shared" si="363"/>
        <v>0</v>
      </c>
      <c r="M684" s="80">
        <f t="shared" si="378"/>
        <v>0</v>
      </c>
      <c r="N684" s="80">
        <f t="shared" si="364"/>
        <v>0</v>
      </c>
      <c r="O684" s="81">
        <f t="shared" si="354"/>
        <v>0</v>
      </c>
      <c r="P684" s="79">
        <f t="shared" si="355"/>
        <v>0</v>
      </c>
      <c r="R684">
        <f t="shared" ca="1" si="365"/>
        <v>806</v>
      </c>
      <c r="S684" s="78">
        <f t="shared" ca="1" si="366"/>
        <v>119.4</v>
      </c>
      <c r="T684" s="55">
        <f t="shared" ca="1" si="356"/>
        <v>0</v>
      </c>
      <c r="U684" s="78">
        <f t="shared" ca="1" si="371"/>
        <v>2.7389054743691302E-5</v>
      </c>
      <c r="V684" s="79">
        <f t="shared" ca="1" si="367"/>
        <v>0</v>
      </c>
      <c r="W684" s="79">
        <f t="shared" ca="1" si="357"/>
        <v>0</v>
      </c>
      <c r="X684" s="80">
        <f t="shared" ca="1" si="372"/>
        <v>0</v>
      </c>
      <c r="Y684" s="80">
        <f t="shared" ca="1" si="373"/>
        <v>0</v>
      </c>
      <c r="Z684" s="80">
        <f t="shared" ca="1" si="368"/>
        <v>0</v>
      </c>
      <c r="AA684" s="80">
        <f t="shared" ca="1" si="374"/>
        <v>0</v>
      </c>
      <c r="AB684" s="81">
        <f t="shared" ca="1" si="358"/>
        <v>0</v>
      </c>
      <c r="AC684" s="79">
        <f t="shared" ca="1" si="359"/>
        <v>0</v>
      </c>
      <c r="AE684" s="35"/>
      <c r="AF684" s="35"/>
      <c r="AR684" s="69">
        <f t="shared" si="369"/>
        <v>57</v>
      </c>
      <c r="AS684" s="70">
        <f t="shared" si="375"/>
        <v>681</v>
      </c>
      <c r="AT684" s="71">
        <f t="shared" si="379"/>
        <v>9.4536552182237846E-3</v>
      </c>
      <c r="AU684" s="72">
        <f t="shared" si="360"/>
        <v>6.8214933659622723E-3</v>
      </c>
      <c r="AV684" s="73">
        <f t="shared" si="370"/>
        <v>1.0068214933659623</v>
      </c>
      <c r="AW684" s="74">
        <f>PRODUCT(AV$4:AV684)</f>
        <v>102.47965200224054</v>
      </c>
    </row>
    <row r="685" spans="5:49">
      <c r="E685">
        <f t="shared" si="377"/>
        <v>682</v>
      </c>
      <c r="F685" s="64">
        <f t="shared" si="361"/>
        <v>109.48</v>
      </c>
      <c r="G685" s="55">
        <f t="shared" si="351"/>
        <v>0</v>
      </c>
      <c r="H685" s="78">
        <f t="shared" si="376"/>
        <v>1</v>
      </c>
      <c r="I685" s="79">
        <f t="shared" si="362"/>
        <v>0</v>
      </c>
      <c r="J685" s="79">
        <f t="shared" si="352"/>
        <v>0</v>
      </c>
      <c r="K685" s="80">
        <f t="shared" si="353"/>
        <v>0</v>
      </c>
      <c r="L685" s="80">
        <f t="shared" si="363"/>
        <v>0</v>
      </c>
      <c r="M685" s="80">
        <f t="shared" si="378"/>
        <v>0</v>
      </c>
      <c r="N685" s="80">
        <f t="shared" si="364"/>
        <v>0</v>
      </c>
      <c r="O685" s="81">
        <f t="shared" si="354"/>
        <v>0</v>
      </c>
      <c r="P685" s="79">
        <f t="shared" si="355"/>
        <v>0</v>
      </c>
      <c r="R685">
        <f t="shared" ca="1" si="365"/>
        <v>807</v>
      </c>
      <c r="S685" s="78">
        <f t="shared" ca="1" si="366"/>
        <v>119.48</v>
      </c>
      <c r="T685" s="55">
        <f t="shared" ca="1" si="356"/>
        <v>0</v>
      </c>
      <c r="U685" s="78">
        <f t="shared" ca="1" si="371"/>
        <v>2.7389054743691302E-5</v>
      </c>
      <c r="V685" s="79">
        <f t="shared" ca="1" si="367"/>
        <v>0</v>
      </c>
      <c r="W685" s="79">
        <f t="shared" ca="1" si="357"/>
        <v>0</v>
      </c>
      <c r="X685" s="80">
        <f t="shared" ca="1" si="372"/>
        <v>0</v>
      </c>
      <c r="Y685" s="80">
        <f t="shared" ca="1" si="373"/>
        <v>0</v>
      </c>
      <c r="Z685" s="80">
        <f t="shared" ca="1" si="368"/>
        <v>0</v>
      </c>
      <c r="AA685" s="80">
        <f t="shared" ca="1" si="374"/>
        <v>0</v>
      </c>
      <c r="AB685" s="81">
        <f t="shared" ca="1" si="358"/>
        <v>0</v>
      </c>
      <c r="AC685" s="79">
        <f t="shared" ca="1" si="359"/>
        <v>0</v>
      </c>
      <c r="AE685" s="35"/>
      <c r="AF685" s="35"/>
      <c r="AR685" s="69">
        <f t="shared" si="369"/>
        <v>57</v>
      </c>
      <c r="AS685" s="70">
        <f t="shared" si="375"/>
        <v>682</v>
      </c>
      <c r="AT685" s="71">
        <f t="shared" si="379"/>
        <v>9.389167171868577E-3</v>
      </c>
      <c r="AU685" s="72">
        <f t="shared" si="360"/>
        <v>6.8214933659622723E-3</v>
      </c>
      <c r="AV685" s="73">
        <f t="shared" si="370"/>
        <v>1.0068214933659623</v>
      </c>
      <c r="AW685" s="74">
        <f>PRODUCT(AV$4:AV685)</f>
        <v>103.17871626851995</v>
      </c>
    </row>
    <row r="686" spans="5:49">
      <c r="E686">
        <f t="shared" si="377"/>
        <v>683</v>
      </c>
      <c r="F686" s="64">
        <f t="shared" si="361"/>
        <v>109.56</v>
      </c>
      <c r="G686" s="55">
        <f t="shared" si="351"/>
        <v>0</v>
      </c>
      <c r="H686" s="78">
        <f t="shared" si="376"/>
        <v>1</v>
      </c>
      <c r="I686" s="79">
        <f t="shared" si="362"/>
        <v>0</v>
      </c>
      <c r="J686" s="79">
        <f t="shared" si="352"/>
        <v>0</v>
      </c>
      <c r="K686" s="80">
        <f t="shared" si="353"/>
        <v>0</v>
      </c>
      <c r="L686" s="80">
        <f t="shared" si="363"/>
        <v>0</v>
      </c>
      <c r="M686" s="80">
        <f t="shared" si="378"/>
        <v>0</v>
      </c>
      <c r="N686" s="80">
        <f t="shared" si="364"/>
        <v>0</v>
      </c>
      <c r="O686" s="81">
        <f t="shared" si="354"/>
        <v>0</v>
      </c>
      <c r="P686" s="79">
        <f t="shared" si="355"/>
        <v>0</v>
      </c>
      <c r="R686">
        <f t="shared" ca="1" si="365"/>
        <v>808</v>
      </c>
      <c r="S686" s="78">
        <f t="shared" ca="1" si="366"/>
        <v>119.56</v>
      </c>
      <c r="T686" s="55">
        <f t="shared" ca="1" si="356"/>
        <v>0</v>
      </c>
      <c r="U686" s="78">
        <f t="shared" ca="1" si="371"/>
        <v>2.7389054743691302E-5</v>
      </c>
      <c r="V686" s="79">
        <f t="shared" ca="1" si="367"/>
        <v>0</v>
      </c>
      <c r="W686" s="79">
        <f t="shared" ca="1" si="357"/>
        <v>0</v>
      </c>
      <c r="X686" s="80">
        <f t="shared" ca="1" si="372"/>
        <v>0</v>
      </c>
      <c r="Y686" s="80">
        <f t="shared" ca="1" si="373"/>
        <v>0</v>
      </c>
      <c r="Z686" s="80">
        <f t="shared" ca="1" si="368"/>
        <v>0</v>
      </c>
      <c r="AA686" s="80">
        <f t="shared" ca="1" si="374"/>
        <v>0</v>
      </c>
      <c r="AB686" s="81">
        <f t="shared" ca="1" si="358"/>
        <v>0</v>
      </c>
      <c r="AC686" s="79">
        <f t="shared" ca="1" si="359"/>
        <v>0</v>
      </c>
      <c r="AE686" s="35"/>
      <c r="AF686" s="35"/>
      <c r="AR686" s="69">
        <f t="shared" si="369"/>
        <v>57</v>
      </c>
      <c r="AS686" s="70">
        <f t="shared" si="375"/>
        <v>683</v>
      </c>
      <c r="AT686" s="71">
        <f t="shared" si="379"/>
        <v>9.3251190302937655E-3</v>
      </c>
      <c r="AU686" s="72">
        <f t="shared" si="360"/>
        <v>6.8214933659622723E-3</v>
      </c>
      <c r="AV686" s="73">
        <f t="shared" si="370"/>
        <v>1.0068214933659623</v>
      </c>
      <c r="AW686" s="74">
        <f>PRODUCT(AV$4:AV686)</f>
        <v>103.88254919705416</v>
      </c>
    </row>
    <row r="687" spans="5:49">
      <c r="E687">
        <f t="shared" si="377"/>
        <v>684</v>
      </c>
      <c r="F687" s="64">
        <f t="shared" si="361"/>
        <v>109.64</v>
      </c>
      <c r="G687" s="55">
        <f t="shared" si="351"/>
        <v>0</v>
      </c>
      <c r="H687" s="78">
        <f t="shared" si="376"/>
        <v>1</v>
      </c>
      <c r="I687" s="79">
        <f t="shared" si="362"/>
        <v>0</v>
      </c>
      <c r="J687" s="79">
        <f t="shared" si="352"/>
        <v>0</v>
      </c>
      <c r="K687" s="80">
        <f t="shared" si="353"/>
        <v>0</v>
      </c>
      <c r="L687" s="80">
        <f t="shared" si="363"/>
        <v>0</v>
      </c>
      <c r="M687" s="80">
        <f t="shared" si="378"/>
        <v>0</v>
      </c>
      <c r="N687" s="80">
        <f t="shared" si="364"/>
        <v>0</v>
      </c>
      <c r="O687" s="81">
        <f t="shared" si="354"/>
        <v>0</v>
      </c>
      <c r="P687" s="79">
        <f t="shared" si="355"/>
        <v>0</v>
      </c>
      <c r="R687">
        <f t="shared" ca="1" si="365"/>
        <v>809</v>
      </c>
      <c r="S687" s="78">
        <f t="shared" ca="1" si="366"/>
        <v>119.64</v>
      </c>
      <c r="T687" s="55">
        <f t="shared" ca="1" si="356"/>
        <v>0</v>
      </c>
      <c r="U687" s="78">
        <f t="shared" ca="1" si="371"/>
        <v>2.7389054743691302E-5</v>
      </c>
      <c r="V687" s="79">
        <f t="shared" ca="1" si="367"/>
        <v>0</v>
      </c>
      <c r="W687" s="79">
        <f t="shared" ca="1" si="357"/>
        <v>0</v>
      </c>
      <c r="X687" s="80">
        <f t="shared" ca="1" si="372"/>
        <v>0</v>
      </c>
      <c r="Y687" s="80">
        <f t="shared" ca="1" si="373"/>
        <v>0</v>
      </c>
      <c r="Z687" s="80">
        <f t="shared" ca="1" si="368"/>
        <v>0</v>
      </c>
      <c r="AA687" s="80">
        <f t="shared" ca="1" si="374"/>
        <v>0</v>
      </c>
      <c r="AB687" s="81">
        <f t="shared" ca="1" si="358"/>
        <v>0</v>
      </c>
      <c r="AC687" s="79">
        <f t="shared" ca="1" si="359"/>
        <v>0</v>
      </c>
      <c r="AE687" s="35"/>
      <c r="AF687" s="35"/>
      <c r="AR687" s="69">
        <f t="shared" si="369"/>
        <v>57</v>
      </c>
      <c r="AS687" s="70">
        <f t="shared" si="375"/>
        <v>684</v>
      </c>
      <c r="AT687" s="71">
        <f t="shared" si="379"/>
        <v>9.2615077926918084E-3</v>
      </c>
      <c r="AU687" s="72">
        <f t="shared" si="360"/>
        <v>6.8214933659622723E-3</v>
      </c>
      <c r="AV687" s="73">
        <f t="shared" si="370"/>
        <v>1.0068214933659623</v>
      </c>
      <c r="AW687" s="74">
        <f>PRODUCT(AV$4:AV687)</f>
        <v>104.59118331724112</v>
      </c>
    </row>
    <row r="688" spans="5:49">
      <c r="E688">
        <f t="shared" si="377"/>
        <v>685</v>
      </c>
      <c r="F688" s="64">
        <f t="shared" si="361"/>
        <v>109.72</v>
      </c>
      <c r="G688" s="55">
        <f t="shared" si="351"/>
        <v>0</v>
      </c>
      <c r="H688" s="78">
        <f t="shared" si="376"/>
        <v>1</v>
      </c>
      <c r="I688" s="79">
        <f t="shared" si="362"/>
        <v>0</v>
      </c>
      <c r="J688" s="79">
        <f t="shared" si="352"/>
        <v>0</v>
      </c>
      <c r="K688" s="80">
        <f t="shared" si="353"/>
        <v>0</v>
      </c>
      <c r="L688" s="80">
        <f t="shared" si="363"/>
        <v>0</v>
      </c>
      <c r="M688" s="80">
        <f t="shared" si="378"/>
        <v>0</v>
      </c>
      <c r="N688" s="80">
        <f t="shared" si="364"/>
        <v>0</v>
      </c>
      <c r="O688" s="81">
        <f t="shared" si="354"/>
        <v>0</v>
      </c>
      <c r="P688" s="79">
        <f t="shared" si="355"/>
        <v>0</v>
      </c>
      <c r="R688">
        <f t="shared" ca="1" si="365"/>
        <v>810</v>
      </c>
      <c r="S688" s="78">
        <f t="shared" ca="1" si="366"/>
        <v>119.72</v>
      </c>
      <c r="T688" s="55">
        <f t="shared" ca="1" si="356"/>
        <v>0</v>
      </c>
      <c r="U688" s="78">
        <f t="shared" ca="1" si="371"/>
        <v>2.7389054743691302E-5</v>
      </c>
      <c r="V688" s="79">
        <f t="shared" ca="1" si="367"/>
        <v>0</v>
      </c>
      <c r="W688" s="79">
        <f t="shared" ca="1" si="357"/>
        <v>0</v>
      </c>
      <c r="X688" s="80">
        <f t="shared" ca="1" si="372"/>
        <v>0</v>
      </c>
      <c r="Y688" s="80">
        <f t="shared" ca="1" si="373"/>
        <v>0</v>
      </c>
      <c r="Z688" s="80">
        <f t="shared" ca="1" si="368"/>
        <v>0</v>
      </c>
      <c r="AA688" s="80">
        <f t="shared" ca="1" si="374"/>
        <v>0</v>
      </c>
      <c r="AB688" s="81">
        <f t="shared" ca="1" si="358"/>
        <v>0</v>
      </c>
      <c r="AC688" s="79">
        <f t="shared" ca="1" si="359"/>
        <v>0</v>
      </c>
      <c r="AE688" s="35"/>
      <c r="AF688" s="35"/>
      <c r="AR688" s="69">
        <f t="shared" si="369"/>
        <v>58</v>
      </c>
      <c r="AS688" s="70">
        <f t="shared" si="375"/>
        <v>685</v>
      </c>
      <c r="AT688" s="71">
        <f t="shared" si="379"/>
        <v>9.1983304787251526E-3</v>
      </c>
      <c r="AU688" s="72">
        <f t="shared" si="360"/>
        <v>6.8214933659622723E-3</v>
      </c>
      <c r="AV688" s="73">
        <f t="shared" si="370"/>
        <v>1.0068214933659623</v>
      </c>
      <c r="AW688" s="74">
        <f>PRODUCT(AV$4:AV688)</f>
        <v>105.30465138037782</v>
      </c>
    </row>
    <row r="689" spans="5:49">
      <c r="E689">
        <f t="shared" si="377"/>
        <v>686</v>
      </c>
      <c r="F689" s="64">
        <f t="shared" si="361"/>
        <v>109.8</v>
      </c>
      <c r="G689" s="55">
        <f t="shared" si="351"/>
        <v>0</v>
      </c>
      <c r="H689" s="78">
        <f t="shared" si="376"/>
        <v>1</v>
      </c>
      <c r="I689" s="79">
        <f t="shared" si="362"/>
        <v>0</v>
      </c>
      <c r="J689" s="79">
        <f t="shared" si="352"/>
        <v>0</v>
      </c>
      <c r="K689" s="80">
        <f t="shared" si="353"/>
        <v>0</v>
      </c>
      <c r="L689" s="80">
        <f t="shared" si="363"/>
        <v>0</v>
      </c>
      <c r="M689" s="80">
        <f t="shared" si="378"/>
        <v>0</v>
      </c>
      <c r="N689" s="80">
        <f t="shared" si="364"/>
        <v>0</v>
      </c>
      <c r="O689" s="81">
        <f t="shared" si="354"/>
        <v>0</v>
      </c>
      <c r="P689" s="79">
        <f t="shared" si="355"/>
        <v>0</v>
      </c>
      <c r="R689">
        <f t="shared" ca="1" si="365"/>
        <v>811</v>
      </c>
      <c r="S689" s="78">
        <f t="shared" ca="1" si="366"/>
        <v>119.8</v>
      </c>
      <c r="T689" s="55">
        <f t="shared" ca="1" si="356"/>
        <v>0</v>
      </c>
      <c r="U689" s="78">
        <f t="shared" ca="1" si="371"/>
        <v>2.7389054743691302E-5</v>
      </c>
      <c r="V689" s="79">
        <f t="shared" ca="1" si="367"/>
        <v>0</v>
      </c>
      <c r="W689" s="79">
        <f t="shared" ca="1" si="357"/>
        <v>0</v>
      </c>
      <c r="X689" s="80">
        <f t="shared" ca="1" si="372"/>
        <v>0</v>
      </c>
      <c r="Y689" s="80">
        <f t="shared" ca="1" si="373"/>
        <v>0</v>
      </c>
      <c r="Z689" s="80">
        <f t="shared" ca="1" si="368"/>
        <v>0</v>
      </c>
      <c r="AA689" s="80">
        <f t="shared" ca="1" si="374"/>
        <v>0</v>
      </c>
      <c r="AB689" s="81">
        <f t="shared" ca="1" si="358"/>
        <v>0</v>
      </c>
      <c r="AC689" s="79">
        <f t="shared" ca="1" si="359"/>
        <v>0</v>
      </c>
      <c r="AE689" s="35"/>
      <c r="AF689" s="35"/>
      <c r="AR689" s="69">
        <f t="shared" si="369"/>
        <v>58</v>
      </c>
      <c r="AS689" s="70">
        <f t="shared" si="375"/>
        <v>686</v>
      </c>
      <c r="AT689" s="71">
        <f t="shared" si="379"/>
        <v>9.1355841283866004E-3</v>
      </c>
      <c r="AU689" s="72">
        <f t="shared" si="360"/>
        <v>6.8214933659622723E-3</v>
      </c>
      <c r="AV689" s="73">
        <f t="shared" si="370"/>
        <v>1.0068214933659623</v>
      </c>
      <c r="AW689" s="74">
        <f>PRODUCT(AV$4:AV689)</f>
        <v>106.02298636117403</v>
      </c>
    </row>
    <row r="690" spans="5:49">
      <c r="E690">
        <f t="shared" si="377"/>
        <v>687</v>
      </c>
      <c r="F690" s="64">
        <f t="shared" si="361"/>
        <v>109.88</v>
      </c>
      <c r="G690" s="55">
        <f t="shared" si="351"/>
        <v>0</v>
      </c>
      <c r="H690" s="78">
        <f t="shared" si="376"/>
        <v>1</v>
      </c>
      <c r="I690" s="79">
        <f t="shared" si="362"/>
        <v>0</v>
      </c>
      <c r="J690" s="79">
        <f t="shared" si="352"/>
        <v>0</v>
      </c>
      <c r="K690" s="80">
        <f t="shared" si="353"/>
        <v>0</v>
      </c>
      <c r="L690" s="80">
        <f t="shared" si="363"/>
        <v>0</v>
      </c>
      <c r="M690" s="80">
        <f t="shared" si="378"/>
        <v>0</v>
      </c>
      <c r="N690" s="80">
        <f t="shared" si="364"/>
        <v>0</v>
      </c>
      <c r="O690" s="81">
        <f t="shared" si="354"/>
        <v>0</v>
      </c>
      <c r="P690" s="79">
        <f t="shared" si="355"/>
        <v>0</v>
      </c>
      <c r="R690">
        <f t="shared" ca="1" si="365"/>
        <v>812</v>
      </c>
      <c r="S690" s="78">
        <f t="shared" ca="1" si="366"/>
        <v>119.88</v>
      </c>
      <c r="T690" s="55">
        <f t="shared" ca="1" si="356"/>
        <v>0</v>
      </c>
      <c r="U690" s="78">
        <f t="shared" ca="1" si="371"/>
        <v>2.7389054743691302E-5</v>
      </c>
      <c r="V690" s="79">
        <f t="shared" ca="1" si="367"/>
        <v>0</v>
      </c>
      <c r="W690" s="79">
        <f t="shared" ca="1" si="357"/>
        <v>0</v>
      </c>
      <c r="X690" s="80">
        <f t="shared" ca="1" si="372"/>
        <v>0</v>
      </c>
      <c r="Y690" s="80">
        <f t="shared" ca="1" si="373"/>
        <v>0</v>
      </c>
      <c r="Z690" s="80">
        <f t="shared" ca="1" si="368"/>
        <v>0</v>
      </c>
      <c r="AA690" s="80">
        <f t="shared" ca="1" si="374"/>
        <v>0</v>
      </c>
      <c r="AB690" s="81">
        <f t="shared" ca="1" si="358"/>
        <v>0</v>
      </c>
      <c r="AC690" s="79">
        <f t="shared" ca="1" si="359"/>
        <v>0</v>
      </c>
      <c r="AE690" s="35"/>
      <c r="AF690" s="35"/>
      <c r="AR690" s="69">
        <f t="shared" si="369"/>
        <v>58</v>
      </c>
      <c r="AS690" s="70">
        <f t="shared" si="375"/>
        <v>687</v>
      </c>
      <c r="AT690" s="71">
        <f t="shared" si="379"/>
        <v>9.0732658018606218E-3</v>
      </c>
      <c r="AU690" s="72">
        <f t="shared" si="360"/>
        <v>6.8214933659622723E-3</v>
      </c>
      <c r="AV690" s="73">
        <f t="shared" si="370"/>
        <v>1.0068214933659623</v>
      </c>
      <c r="AW690" s="74">
        <f>PRODUCT(AV$4:AV690)</f>
        <v>106.74622145927628</v>
      </c>
    </row>
    <row r="691" spans="5:49">
      <c r="E691">
        <f t="shared" si="377"/>
        <v>688</v>
      </c>
      <c r="F691" s="64">
        <f t="shared" si="361"/>
        <v>109.96</v>
      </c>
      <c r="G691" s="55">
        <f t="shared" si="351"/>
        <v>0</v>
      </c>
      <c r="H691" s="78">
        <f t="shared" si="376"/>
        <v>1</v>
      </c>
      <c r="I691" s="79">
        <f t="shared" si="362"/>
        <v>0</v>
      </c>
      <c r="J691" s="79">
        <f t="shared" si="352"/>
        <v>0</v>
      </c>
      <c r="K691" s="80">
        <f t="shared" si="353"/>
        <v>0</v>
      </c>
      <c r="L691" s="80">
        <f t="shared" si="363"/>
        <v>0</v>
      </c>
      <c r="M691" s="80">
        <f t="shared" si="378"/>
        <v>0</v>
      </c>
      <c r="N691" s="80">
        <f t="shared" si="364"/>
        <v>0</v>
      </c>
      <c r="O691" s="81">
        <f t="shared" si="354"/>
        <v>0</v>
      </c>
      <c r="P691" s="79">
        <f t="shared" si="355"/>
        <v>0</v>
      </c>
      <c r="R691">
        <f t="shared" ca="1" si="365"/>
        <v>813</v>
      </c>
      <c r="S691" s="78">
        <f t="shared" ca="1" si="366"/>
        <v>119.96</v>
      </c>
      <c r="T691" s="55">
        <f t="shared" ca="1" si="356"/>
        <v>0</v>
      </c>
      <c r="U691" s="78">
        <f t="shared" ca="1" si="371"/>
        <v>2.7389054743691302E-5</v>
      </c>
      <c r="V691" s="79">
        <f t="shared" ca="1" si="367"/>
        <v>0</v>
      </c>
      <c r="W691" s="79">
        <f t="shared" ca="1" si="357"/>
        <v>0</v>
      </c>
      <c r="X691" s="80">
        <f t="shared" ca="1" si="372"/>
        <v>0</v>
      </c>
      <c r="Y691" s="80">
        <f t="shared" ca="1" si="373"/>
        <v>0</v>
      </c>
      <c r="Z691" s="80">
        <f t="shared" ca="1" si="368"/>
        <v>0</v>
      </c>
      <c r="AA691" s="80">
        <f t="shared" ca="1" si="374"/>
        <v>0</v>
      </c>
      <c r="AB691" s="81">
        <f t="shared" ca="1" si="358"/>
        <v>0</v>
      </c>
      <c r="AC691" s="79">
        <f t="shared" ca="1" si="359"/>
        <v>0</v>
      </c>
      <c r="AE691" s="35"/>
      <c r="AF691" s="35"/>
      <c r="AR691" s="69">
        <f t="shared" si="369"/>
        <v>58</v>
      </c>
      <c r="AS691" s="70">
        <f t="shared" si="375"/>
        <v>688</v>
      </c>
      <c r="AT691" s="71">
        <f t="shared" si="379"/>
        <v>9.0113725793856177E-3</v>
      </c>
      <c r="AU691" s="72">
        <f t="shared" si="360"/>
        <v>6.8214933659622723E-3</v>
      </c>
      <c r="AV691" s="73">
        <f t="shared" si="370"/>
        <v>1.0068214933659623</v>
      </c>
      <c r="AW691" s="74">
        <f>PRODUCT(AV$4:AV691)</f>
        <v>107.47439010080228</v>
      </c>
    </row>
    <row r="692" spans="5:49">
      <c r="E692">
        <f t="shared" si="377"/>
        <v>689</v>
      </c>
      <c r="F692" s="64">
        <f t="shared" si="361"/>
        <v>110.04</v>
      </c>
      <c r="G692" s="55">
        <f t="shared" si="351"/>
        <v>0</v>
      </c>
      <c r="H692" s="78">
        <f t="shared" si="376"/>
        <v>1</v>
      </c>
      <c r="I692" s="79">
        <f t="shared" si="362"/>
        <v>0</v>
      </c>
      <c r="J692" s="79">
        <f t="shared" si="352"/>
        <v>0</v>
      </c>
      <c r="K692" s="80">
        <f t="shared" si="353"/>
        <v>0</v>
      </c>
      <c r="L692" s="80">
        <f t="shared" si="363"/>
        <v>0</v>
      </c>
      <c r="M692" s="80">
        <f t="shared" si="378"/>
        <v>0</v>
      </c>
      <c r="N692" s="80">
        <f t="shared" si="364"/>
        <v>0</v>
      </c>
      <c r="O692" s="81">
        <f t="shared" si="354"/>
        <v>0</v>
      </c>
      <c r="P692" s="79">
        <f t="shared" si="355"/>
        <v>0</v>
      </c>
      <c r="R692">
        <f t="shared" ca="1" si="365"/>
        <v>814</v>
      </c>
      <c r="S692" s="78">
        <f t="shared" ca="1" si="366"/>
        <v>120.04</v>
      </c>
      <c r="T692" s="55">
        <f t="shared" ca="1" si="356"/>
        <v>0</v>
      </c>
      <c r="U692" s="78">
        <f t="shared" ca="1" si="371"/>
        <v>2.7389054743691302E-5</v>
      </c>
      <c r="V692" s="79">
        <f t="shared" ca="1" si="367"/>
        <v>0</v>
      </c>
      <c r="W692" s="79">
        <f t="shared" ca="1" si="357"/>
        <v>0</v>
      </c>
      <c r="X692" s="80">
        <f t="shared" ca="1" si="372"/>
        <v>0</v>
      </c>
      <c r="Y692" s="80">
        <f t="shared" ca="1" si="373"/>
        <v>0</v>
      </c>
      <c r="Z692" s="80">
        <f t="shared" ca="1" si="368"/>
        <v>0</v>
      </c>
      <c r="AA692" s="80">
        <f t="shared" ca="1" si="374"/>
        <v>0</v>
      </c>
      <c r="AB692" s="81">
        <f t="shared" ca="1" si="358"/>
        <v>0</v>
      </c>
      <c r="AC692" s="79">
        <f t="shared" ca="1" si="359"/>
        <v>0</v>
      </c>
      <c r="AE692" s="35"/>
      <c r="AF692" s="35"/>
      <c r="AR692" s="69">
        <f t="shared" si="369"/>
        <v>58</v>
      </c>
      <c r="AS692" s="70">
        <f t="shared" si="375"/>
        <v>689</v>
      </c>
      <c r="AT692" s="71">
        <f t="shared" si="379"/>
        <v>8.9499015611171247E-3</v>
      </c>
      <c r="AU692" s="72">
        <f t="shared" si="360"/>
        <v>6.8214933659622723E-3</v>
      </c>
      <c r="AV692" s="73">
        <f t="shared" si="370"/>
        <v>1.0068214933659623</v>
      </c>
      <c r="AW692" s="74">
        <f>PRODUCT(AV$4:AV692)</f>
        <v>108.20752593988574</v>
      </c>
    </row>
    <row r="693" spans="5:49">
      <c r="E693">
        <f t="shared" si="377"/>
        <v>690</v>
      </c>
      <c r="F693" s="64">
        <f t="shared" si="361"/>
        <v>110.12</v>
      </c>
      <c r="G693" s="55">
        <f t="shared" si="351"/>
        <v>0</v>
      </c>
      <c r="H693" s="78">
        <f t="shared" si="376"/>
        <v>1</v>
      </c>
      <c r="I693" s="79">
        <f t="shared" si="362"/>
        <v>0</v>
      </c>
      <c r="J693" s="79">
        <f t="shared" si="352"/>
        <v>0</v>
      </c>
      <c r="K693" s="80">
        <f t="shared" si="353"/>
        <v>0</v>
      </c>
      <c r="L693" s="80">
        <f t="shared" si="363"/>
        <v>0</v>
      </c>
      <c r="M693" s="80">
        <f t="shared" si="378"/>
        <v>0</v>
      </c>
      <c r="N693" s="80">
        <f t="shared" si="364"/>
        <v>0</v>
      </c>
      <c r="O693" s="81">
        <f t="shared" si="354"/>
        <v>0</v>
      </c>
      <c r="P693" s="79">
        <f t="shared" si="355"/>
        <v>0</v>
      </c>
      <c r="R693">
        <f t="shared" ca="1" si="365"/>
        <v>815</v>
      </c>
      <c r="S693" s="78">
        <f t="shared" ca="1" si="366"/>
        <v>120.12</v>
      </c>
      <c r="T693" s="55">
        <f t="shared" ca="1" si="356"/>
        <v>0</v>
      </c>
      <c r="U693" s="78">
        <f t="shared" ca="1" si="371"/>
        <v>2.7389054743691302E-5</v>
      </c>
      <c r="V693" s="79">
        <f t="shared" ca="1" si="367"/>
        <v>0</v>
      </c>
      <c r="W693" s="79">
        <f t="shared" ca="1" si="357"/>
        <v>0</v>
      </c>
      <c r="X693" s="80">
        <f t="shared" ca="1" si="372"/>
        <v>0</v>
      </c>
      <c r="Y693" s="80">
        <f t="shared" ca="1" si="373"/>
        <v>0</v>
      </c>
      <c r="Z693" s="80">
        <f t="shared" ca="1" si="368"/>
        <v>0</v>
      </c>
      <c r="AA693" s="80">
        <f t="shared" ca="1" si="374"/>
        <v>0</v>
      </c>
      <c r="AB693" s="81">
        <f t="shared" ca="1" si="358"/>
        <v>0</v>
      </c>
      <c r="AC693" s="79">
        <f t="shared" ca="1" si="359"/>
        <v>0</v>
      </c>
      <c r="AE693" s="35"/>
      <c r="AF693" s="35"/>
      <c r="AR693" s="69">
        <f t="shared" si="369"/>
        <v>58</v>
      </c>
      <c r="AS693" s="70">
        <f t="shared" si="375"/>
        <v>690</v>
      </c>
      <c r="AT693" s="71">
        <f t="shared" si="379"/>
        <v>8.8888498669919495E-3</v>
      </c>
      <c r="AU693" s="72">
        <f t="shared" si="360"/>
        <v>6.8214933659622723E-3</v>
      </c>
      <c r="AV693" s="73">
        <f t="shared" si="370"/>
        <v>1.0068214933659623</v>
      </c>
      <c r="AW693" s="74">
        <f>PRODUCT(AV$4:AV693)</f>
        <v>108.94566286023186</v>
      </c>
    </row>
    <row r="694" spans="5:49">
      <c r="E694">
        <f t="shared" si="377"/>
        <v>691</v>
      </c>
      <c r="F694" s="64">
        <f t="shared" si="361"/>
        <v>110.2</v>
      </c>
      <c r="G694" s="55">
        <f t="shared" si="351"/>
        <v>0</v>
      </c>
      <c r="H694" s="78">
        <f t="shared" si="376"/>
        <v>1</v>
      </c>
      <c r="I694" s="79">
        <f t="shared" si="362"/>
        <v>0</v>
      </c>
      <c r="J694" s="79">
        <f t="shared" si="352"/>
        <v>0</v>
      </c>
      <c r="K694" s="80">
        <f t="shared" si="353"/>
        <v>0</v>
      </c>
      <c r="L694" s="80">
        <f t="shared" si="363"/>
        <v>0</v>
      </c>
      <c r="M694" s="80">
        <f t="shared" si="378"/>
        <v>0</v>
      </c>
      <c r="N694" s="80">
        <f t="shared" si="364"/>
        <v>0</v>
      </c>
      <c r="O694" s="81">
        <f t="shared" si="354"/>
        <v>0</v>
      </c>
      <c r="P694" s="79">
        <f t="shared" si="355"/>
        <v>0</v>
      </c>
      <c r="R694">
        <f t="shared" ca="1" si="365"/>
        <v>816</v>
      </c>
      <c r="S694" s="78">
        <f t="shared" ca="1" si="366"/>
        <v>120.2</v>
      </c>
      <c r="T694" s="55">
        <f t="shared" ca="1" si="356"/>
        <v>0</v>
      </c>
      <c r="U694" s="78">
        <f t="shared" ca="1" si="371"/>
        <v>2.7389054743691302E-5</v>
      </c>
      <c r="V694" s="79">
        <f t="shared" ca="1" si="367"/>
        <v>0</v>
      </c>
      <c r="W694" s="79">
        <f t="shared" ca="1" si="357"/>
        <v>0</v>
      </c>
      <c r="X694" s="80">
        <f t="shared" ca="1" si="372"/>
        <v>0</v>
      </c>
      <c r="Y694" s="80">
        <f t="shared" ca="1" si="373"/>
        <v>0</v>
      </c>
      <c r="Z694" s="80">
        <f t="shared" ca="1" si="368"/>
        <v>0</v>
      </c>
      <c r="AA694" s="80">
        <f t="shared" ca="1" si="374"/>
        <v>0</v>
      </c>
      <c r="AB694" s="81">
        <f t="shared" ca="1" si="358"/>
        <v>0</v>
      </c>
      <c r="AC694" s="79">
        <f t="shared" ca="1" si="359"/>
        <v>0</v>
      </c>
      <c r="AE694" s="35"/>
      <c r="AF694" s="35"/>
      <c r="AR694" s="69">
        <f t="shared" si="369"/>
        <v>58</v>
      </c>
      <c r="AS694" s="70">
        <f t="shared" si="375"/>
        <v>691</v>
      </c>
      <c r="AT694" s="71">
        <f t="shared" si="379"/>
        <v>8.8282146365932287E-3</v>
      </c>
      <c r="AU694" s="72">
        <f t="shared" si="360"/>
        <v>6.8214933659622723E-3</v>
      </c>
      <c r="AV694" s="73">
        <f t="shared" si="370"/>
        <v>1.0068214933659623</v>
      </c>
      <c r="AW694" s="74">
        <f>PRODUCT(AV$4:AV694)</f>
        <v>109.6888349766833</v>
      </c>
    </row>
    <row r="695" spans="5:49">
      <c r="E695">
        <f t="shared" si="377"/>
        <v>692</v>
      </c>
      <c r="F695" s="64">
        <f t="shared" si="361"/>
        <v>110.28</v>
      </c>
      <c r="G695" s="55">
        <f t="shared" si="351"/>
        <v>0</v>
      </c>
      <c r="H695" s="78">
        <f t="shared" si="376"/>
        <v>1</v>
      </c>
      <c r="I695" s="79">
        <f t="shared" si="362"/>
        <v>0</v>
      </c>
      <c r="J695" s="79">
        <f t="shared" si="352"/>
        <v>0</v>
      </c>
      <c r="K695" s="80">
        <f t="shared" si="353"/>
        <v>0</v>
      </c>
      <c r="L695" s="80">
        <f t="shared" si="363"/>
        <v>0</v>
      </c>
      <c r="M695" s="80">
        <f t="shared" si="378"/>
        <v>0</v>
      </c>
      <c r="N695" s="80">
        <f t="shared" si="364"/>
        <v>0</v>
      </c>
      <c r="O695" s="81">
        <f t="shared" si="354"/>
        <v>0</v>
      </c>
      <c r="P695" s="79">
        <f t="shared" si="355"/>
        <v>0</v>
      </c>
      <c r="R695">
        <f t="shared" ca="1" si="365"/>
        <v>817</v>
      </c>
      <c r="S695" s="78">
        <f t="shared" ca="1" si="366"/>
        <v>120.28</v>
      </c>
      <c r="T695" s="55">
        <f t="shared" ca="1" si="356"/>
        <v>0</v>
      </c>
      <c r="U695" s="78">
        <f t="shared" ca="1" si="371"/>
        <v>2.7389054743691302E-5</v>
      </c>
      <c r="V695" s="79">
        <f t="shared" ca="1" si="367"/>
        <v>0</v>
      </c>
      <c r="W695" s="79">
        <f t="shared" ca="1" si="357"/>
        <v>0</v>
      </c>
      <c r="X695" s="80">
        <f t="shared" ca="1" si="372"/>
        <v>0</v>
      </c>
      <c r="Y695" s="80">
        <f t="shared" ca="1" si="373"/>
        <v>0</v>
      </c>
      <c r="Z695" s="80">
        <f t="shared" ca="1" si="368"/>
        <v>0</v>
      </c>
      <c r="AA695" s="80">
        <f t="shared" ca="1" si="374"/>
        <v>0</v>
      </c>
      <c r="AB695" s="81">
        <f t="shared" ca="1" si="358"/>
        <v>0</v>
      </c>
      <c r="AC695" s="79">
        <f t="shared" ca="1" si="359"/>
        <v>0</v>
      </c>
      <c r="AE695" s="35"/>
      <c r="AF695" s="35"/>
      <c r="AR695" s="69">
        <f t="shared" si="369"/>
        <v>58</v>
      </c>
      <c r="AS695" s="70">
        <f t="shared" si="375"/>
        <v>692</v>
      </c>
      <c r="AT695" s="71">
        <f t="shared" si="379"/>
        <v>8.7679930290164177E-3</v>
      </c>
      <c r="AU695" s="72">
        <f t="shared" si="360"/>
        <v>6.8214933659622723E-3</v>
      </c>
      <c r="AV695" s="73">
        <f t="shared" si="370"/>
        <v>1.0068214933659623</v>
      </c>
      <c r="AW695" s="74">
        <f>PRODUCT(AV$4:AV695)</f>
        <v>110.43707663679687</v>
      </c>
    </row>
    <row r="696" spans="5:49">
      <c r="E696">
        <f t="shared" si="377"/>
        <v>693</v>
      </c>
      <c r="F696" s="64">
        <f t="shared" si="361"/>
        <v>110.36</v>
      </c>
      <c r="G696" s="55">
        <f t="shared" si="351"/>
        <v>0</v>
      </c>
      <c r="H696" s="78">
        <f t="shared" si="376"/>
        <v>1</v>
      </c>
      <c r="I696" s="79">
        <f t="shared" si="362"/>
        <v>0</v>
      </c>
      <c r="J696" s="79">
        <f t="shared" si="352"/>
        <v>0</v>
      </c>
      <c r="K696" s="80">
        <f t="shared" si="353"/>
        <v>0</v>
      </c>
      <c r="L696" s="80">
        <f t="shared" si="363"/>
        <v>0</v>
      </c>
      <c r="M696" s="80">
        <f t="shared" si="378"/>
        <v>0</v>
      </c>
      <c r="N696" s="80">
        <f t="shared" si="364"/>
        <v>0</v>
      </c>
      <c r="O696" s="81">
        <f t="shared" si="354"/>
        <v>0</v>
      </c>
      <c r="P696" s="79">
        <f t="shared" si="355"/>
        <v>0</v>
      </c>
      <c r="R696">
        <f t="shared" ca="1" si="365"/>
        <v>818</v>
      </c>
      <c r="S696" s="78">
        <f t="shared" ca="1" si="366"/>
        <v>120.36</v>
      </c>
      <c r="T696" s="55">
        <f t="shared" ca="1" si="356"/>
        <v>0</v>
      </c>
      <c r="U696" s="78">
        <f t="shared" ca="1" si="371"/>
        <v>2.7389054743691302E-5</v>
      </c>
      <c r="V696" s="79">
        <f t="shared" ca="1" si="367"/>
        <v>0</v>
      </c>
      <c r="W696" s="79">
        <f t="shared" ca="1" si="357"/>
        <v>0</v>
      </c>
      <c r="X696" s="80">
        <f t="shared" ca="1" si="372"/>
        <v>0</v>
      </c>
      <c r="Y696" s="80">
        <f t="shared" ca="1" si="373"/>
        <v>0</v>
      </c>
      <c r="Z696" s="80">
        <f t="shared" ca="1" si="368"/>
        <v>0</v>
      </c>
      <c r="AA696" s="80">
        <f t="shared" ca="1" si="374"/>
        <v>0</v>
      </c>
      <c r="AB696" s="81">
        <f t="shared" ca="1" si="358"/>
        <v>0</v>
      </c>
      <c r="AC696" s="79">
        <f t="shared" ca="1" si="359"/>
        <v>0</v>
      </c>
      <c r="AE696" s="35"/>
      <c r="AF696" s="35"/>
      <c r="AR696" s="69">
        <f t="shared" si="369"/>
        <v>58</v>
      </c>
      <c r="AS696" s="70">
        <f t="shared" si="375"/>
        <v>693</v>
      </c>
      <c r="AT696" s="71">
        <f t="shared" si="379"/>
        <v>8.7081822227361785E-3</v>
      </c>
      <c r="AU696" s="72">
        <f t="shared" si="360"/>
        <v>6.8214933659622723E-3</v>
      </c>
      <c r="AV696" s="73">
        <f t="shared" si="370"/>
        <v>1.0068214933659623</v>
      </c>
      <c r="AW696" s="74">
        <f>PRODUCT(AV$4:AV696)</f>
        <v>111.19042242243106</v>
      </c>
    </row>
    <row r="697" spans="5:49">
      <c r="E697">
        <f t="shared" si="377"/>
        <v>694</v>
      </c>
      <c r="F697" s="64">
        <f t="shared" si="361"/>
        <v>110.44</v>
      </c>
      <c r="G697" s="55">
        <f t="shared" si="351"/>
        <v>0</v>
      </c>
      <c r="H697" s="78">
        <f t="shared" si="376"/>
        <v>1</v>
      </c>
      <c r="I697" s="79">
        <f t="shared" si="362"/>
        <v>0</v>
      </c>
      <c r="J697" s="79">
        <f t="shared" si="352"/>
        <v>0</v>
      </c>
      <c r="K697" s="80">
        <f t="shared" si="353"/>
        <v>0</v>
      </c>
      <c r="L697" s="80">
        <f t="shared" si="363"/>
        <v>0</v>
      </c>
      <c r="M697" s="80">
        <f t="shared" si="378"/>
        <v>0</v>
      </c>
      <c r="N697" s="80">
        <f t="shared" si="364"/>
        <v>0</v>
      </c>
      <c r="O697" s="81">
        <f t="shared" si="354"/>
        <v>0</v>
      </c>
      <c r="P697" s="79">
        <f t="shared" si="355"/>
        <v>0</v>
      </c>
      <c r="R697">
        <f t="shared" ca="1" si="365"/>
        <v>819</v>
      </c>
      <c r="S697" s="78">
        <f t="shared" ca="1" si="366"/>
        <v>120.44</v>
      </c>
      <c r="T697" s="55">
        <f t="shared" ca="1" si="356"/>
        <v>0</v>
      </c>
      <c r="U697" s="78">
        <f t="shared" ca="1" si="371"/>
        <v>2.7389054743691302E-5</v>
      </c>
      <c r="V697" s="79">
        <f t="shared" ca="1" si="367"/>
        <v>0</v>
      </c>
      <c r="W697" s="79">
        <f t="shared" ca="1" si="357"/>
        <v>0</v>
      </c>
      <c r="X697" s="80">
        <f t="shared" ca="1" si="372"/>
        <v>0</v>
      </c>
      <c r="Y697" s="80">
        <f t="shared" ca="1" si="373"/>
        <v>0</v>
      </c>
      <c r="Z697" s="80">
        <f t="shared" ca="1" si="368"/>
        <v>0</v>
      </c>
      <c r="AA697" s="80">
        <f t="shared" ca="1" si="374"/>
        <v>0</v>
      </c>
      <c r="AB697" s="81">
        <f t="shared" ca="1" si="358"/>
        <v>0</v>
      </c>
      <c r="AC697" s="79">
        <f t="shared" ca="1" si="359"/>
        <v>0</v>
      </c>
      <c r="AE697" s="35"/>
      <c r="AF697" s="35"/>
      <c r="AR697" s="69">
        <f t="shared" si="369"/>
        <v>58</v>
      </c>
      <c r="AS697" s="70">
        <f t="shared" si="375"/>
        <v>694</v>
      </c>
      <c r="AT697" s="71">
        <f t="shared" si="379"/>
        <v>8.6487794154741938E-3</v>
      </c>
      <c r="AU697" s="72">
        <f t="shared" si="360"/>
        <v>6.8214933659622723E-3</v>
      </c>
      <c r="AV697" s="73">
        <f t="shared" si="370"/>
        <v>1.0068214933659623</v>
      </c>
      <c r="AW697" s="74">
        <f>PRODUCT(AV$4:AV697)</f>
        <v>111.94890715134422</v>
      </c>
    </row>
    <row r="698" spans="5:49">
      <c r="E698">
        <f t="shared" si="377"/>
        <v>695</v>
      </c>
      <c r="F698" s="64">
        <f t="shared" si="361"/>
        <v>110.52</v>
      </c>
      <c r="G698" s="55">
        <f t="shared" si="351"/>
        <v>0</v>
      </c>
      <c r="H698" s="78">
        <f t="shared" si="376"/>
        <v>1</v>
      </c>
      <c r="I698" s="79">
        <f t="shared" si="362"/>
        <v>0</v>
      </c>
      <c r="J698" s="79">
        <f t="shared" si="352"/>
        <v>0</v>
      </c>
      <c r="K698" s="80">
        <f t="shared" si="353"/>
        <v>0</v>
      </c>
      <c r="L698" s="80">
        <f t="shared" si="363"/>
        <v>0</v>
      </c>
      <c r="M698" s="80">
        <f t="shared" si="378"/>
        <v>0</v>
      </c>
      <c r="N698" s="80">
        <f t="shared" si="364"/>
        <v>0</v>
      </c>
      <c r="O698" s="81">
        <f t="shared" si="354"/>
        <v>0</v>
      </c>
      <c r="P698" s="79">
        <f t="shared" si="355"/>
        <v>0</v>
      </c>
      <c r="R698">
        <f t="shared" ca="1" si="365"/>
        <v>820</v>
      </c>
      <c r="S698" s="78">
        <f t="shared" ca="1" si="366"/>
        <v>120.52</v>
      </c>
      <c r="T698" s="55">
        <f t="shared" ca="1" si="356"/>
        <v>0</v>
      </c>
      <c r="U698" s="78">
        <f t="shared" ca="1" si="371"/>
        <v>2.7389054743691302E-5</v>
      </c>
      <c r="V698" s="79">
        <f t="shared" ca="1" si="367"/>
        <v>0</v>
      </c>
      <c r="W698" s="79">
        <f t="shared" ca="1" si="357"/>
        <v>0</v>
      </c>
      <c r="X698" s="80">
        <f t="shared" ca="1" si="372"/>
        <v>0</v>
      </c>
      <c r="Y698" s="80">
        <f t="shared" ca="1" si="373"/>
        <v>0</v>
      </c>
      <c r="Z698" s="80">
        <f t="shared" ca="1" si="368"/>
        <v>0</v>
      </c>
      <c r="AA698" s="80">
        <f t="shared" ca="1" si="374"/>
        <v>0</v>
      </c>
      <c r="AB698" s="81">
        <f t="shared" ca="1" si="358"/>
        <v>0</v>
      </c>
      <c r="AC698" s="79">
        <f t="shared" ca="1" si="359"/>
        <v>0</v>
      </c>
      <c r="AE698" s="35"/>
      <c r="AF698" s="35"/>
      <c r="AR698" s="69">
        <f t="shared" si="369"/>
        <v>58</v>
      </c>
      <c r="AS698" s="70">
        <f t="shared" si="375"/>
        <v>695</v>
      </c>
      <c r="AT698" s="71">
        <f t="shared" si="379"/>
        <v>8.5897818240678655E-3</v>
      </c>
      <c r="AU698" s="72">
        <f t="shared" si="360"/>
        <v>6.8214933659622723E-3</v>
      </c>
      <c r="AV698" s="73">
        <f t="shared" si="370"/>
        <v>1.0068214933659623</v>
      </c>
      <c r="AW698" s="74">
        <f>PRODUCT(AV$4:AV698)</f>
        <v>112.71256587880384</v>
      </c>
    </row>
    <row r="699" spans="5:49">
      <c r="E699">
        <f t="shared" si="377"/>
        <v>696</v>
      </c>
      <c r="F699" s="64">
        <f t="shared" si="361"/>
        <v>110.6</v>
      </c>
      <c r="G699" s="55">
        <f t="shared" si="351"/>
        <v>0</v>
      </c>
      <c r="H699" s="78">
        <f t="shared" si="376"/>
        <v>1</v>
      </c>
      <c r="I699" s="79">
        <f t="shared" si="362"/>
        <v>0</v>
      </c>
      <c r="J699" s="79">
        <f t="shared" si="352"/>
        <v>0</v>
      </c>
      <c r="K699" s="80">
        <f t="shared" si="353"/>
        <v>0</v>
      </c>
      <c r="L699" s="80">
        <f t="shared" si="363"/>
        <v>0</v>
      </c>
      <c r="M699" s="80">
        <f t="shared" si="378"/>
        <v>0</v>
      </c>
      <c r="N699" s="80">
        <f t="shared" si="364"/>
        <v>0</v>
      </c>
      <c r="O699" s="81">
        <f t="shared" si="354"/>
        <v>0</v>
      </c>
      <c r="P699" s="79">
        <f t="shared" si="355"/>
        <v>0</v>
      </c>
      <c r="R699">
        <f t="shared" ca="1" si="365"/>
        <v>821</v>
      </c>
      <c r="S699" s="78">
        <f t="shared" ca="1" si="366"/>
        <v>120.6</v>
      </c>
      <c r="T699" s="55">
        <f t="shared" ca="1" si="356"/>
        <v>0</v>
      </c>
      <c r="U699" s="78">
        <f t="shared" ca="1" si="371"/>
        <v>2.7389054743691302E-5</v>
      </c>
      <c r="V699" s="79">
        <f t="shared" ca="1" si="367"/>
        <v>0</v>
      </c>
      <c r="W699" s="79">
        <f t="shared" ca="1" si="357"/>
        <v>0</v>
      </c>
      <c r="X699" s="80">
        <f t="shared" ca="1" si="372"/>
        <v>0</v>
      </c>
      <c r="Y699" s="80">
        <f t="shared" ca="1" si="373"/>
        <v>0</v>
      </c>
      <c r="Z699" s="80">
        <f t="shared" ca="1" si="368"/>
        <v>0</v>
      </c>
      <c r="AA699" s="80">
        <f t="shared" ca="1" si="374"/>
        <v>0</v>
      </c>
      <c r="AB699" s="81">
        <f t="shared" ca="1" si="358"/>
        <v>0</v>
      </c>
      <c r="AC699" s="79">
        <f t="shared" ca="1" si="359"/>
        <v>0</v>
      </c>
      <c r="AE699" s="35"/>
      <c r="AF699" s="35"/>
      <c r="AR699" s="69">
        <f t="shared" si="369"/>
        <v>58</v>
      </c>
      <c r="AS699" s="70">
        <f t="shared" si="375"/>
        <v>696</v>
      </c>
      <c r="AT699" s="71">
        <f t="shared" si="379"/>
        <v>8.5311866843399229E-3</v>
      </c>
      <c r="AU699" s="72">
        <f t="shared" si="360"/>
        <v>6.8214933659622723E-3</v>
      </c>
      <c r="AV699" s="73">
        <f t="shared" si="370"/>
        <v>1.0068214933659623</v>
      </c>
      <c r="AW699" s="74">
        <f>PRODUCT(AV$4:AV699)</f>
        <v>113.48143389920669</v>
      </c>
    </row>
    <row r="700" spans="5:49">
      <c r="E700">
        <f t="shared" si="377"/>
        <v>697</v>
      </c>
      <c r="F700" s="64">
        <f t="shared" si="361"/>
        <v>110.68</v>
      </c>
      <c r="G700" s="55">
        <f t="shared" si="351"/>
        <v>0</v>
      </c>
      <c r="H700" s="78">
        <f t="shared" si="376"/>
        <v>1</v>
      </c>
      <c r="I700" s="79">
        <f t="shared" si="362"/>
        <v>0</v>
      </c>
      <c r="J700" s="79">
        <f t="shared" si="352"/>
        <v>0</v>
      </c>
      <c r="K700" s="80">
        <f t="shared" si="353"/>
        <v>0</v>
      </c>
      <c r="L700" s="80">
        <f t="shared" si="363"/>
        <v>0</v>
      </c>
      <c r="M700" s="80">
        <f t="shared" si="378"/>
        <v>0</v>
      </c>
      <c r="N700" s="80">
        <f t="shared" si="364"/>
        <v>0</v>
      </c>
      <c r="O700" s="81">
        <f t="shared" si="354"/>
        <v>0</v>
      </c>
      <c r="P700" s="79">
        <f t="shared" si="355"/>
        <v>0</v>
      </c>
      <c r="R700">
        <f t="shared" ca="1" si="365"/>
        <v>822</v>
      </c>
      <c r="S700" s="78">
        <f t="shared" ca="1" si="366"/>
        <v>120.68</v>
      </c>
      <c r="T700" s="55">
        <f t="shared" ca="1" si="356"/>
        <v>0</v>
      </c>
      <c r="U700" s="78">
        <f t="shared" ca="1" si="371"/>
        <v>2.7389054743691302E-5</v>
      </c>
      <c r="V700" s="79">
        <f t="shared" ca="1" si="367"/>
        <v>0</v>
      </c>
      <c r="W700" s="79">
        <f t="shared" ca="1" si="357"/>
        <v>0</v>
      </c>
      <c r="X700" s="80">
        <f t="shared" ca="1" si="372"/>
        <v>0</v>
      </c>
      <c r="Y700" s="80">
        <f t="shared" ca="1" si="373"/>
        <v>0</v>
      </c>
      <c r="Z700" s="80">
        <f t="shared" ca="1" si="368"/>
        <v>0</v>
      </c>
      <c r="AA700" s="80">
        <f t="shared" ca="1" si="374"/>
        <v>0</v>
      </c>
      <c r="AB700" s="81">
        <f t="shared" ca="1" si="358"/>
        <v>0</v>
      </c>
      <c r="AC700" s="79">
        <f t="shared" ca="1" si="359"/>
        <v>0</v>
      </c>
      <c r="AE700" s="35"/>
      <c r="AF700" s="35"/>
      <c r="AR700" s="69">
        <f t="shared" si="369"/>
        <v>59</v>
      </c>
      <c r="AS700" s="70">
        <f t="shared" si="375"/>
        <v>697</v>
      </c>
      <c r="AT700" s="71">
        <f t="shared" si="379"/>
        <v>8.4729912509689132E-3</v>
      </c>
      <c r="AU700" s="72">
        <f t="shared" si="360"/>
        <v>6.8214933659622723E-3</v>
      </c>
      <c r="AV700" s="73">
        <f t="shared" si="370"/>
        <v>1.0068214933659623</v>
      </c>
      <c r="AW700" s="74">
        <f>PRODUCT(AV$4:AV700)</f>
        <v>114.25554674771001</v>
      </c>
    </row>
    <row r="701" spans="5:49">
      <c r="E701">
        <f t="shared" si="377"/>
        <v>698</v>
      </c>
      <c r="F701" s="64">
        <f t="shared" si="361"/>
        <v>110.76</v>
      </c>
      <c r="G701" s="55">
        <f t="shared" si="351"/>
        <v>0</v>
      </c>
      <c r="H701" s="78">
        <f t="shared" si="376"/>
        <v>1</v>
      </c>
      <c r="I701" s="79">
        <f t="shared" si="362"/>
        <v>0</v>
      </c>
      <c r="J701" s="79">
        <f t="shared" si="352"/>
        <v>0</v>
      </c>
      <c r="K701" s="80">
        <f t="shared" si="353"/>
        <v>0</v>
      </c>
      <c r="L701" s="80">
        <f t="shared" si="363"/>
        <v>0</v>
      </c>
      <c r="M701" s="80">
        <f t="shared" si="378"/>
        <v>0</v>
      </c>
      <c r="N701" s="80">
        <f t="shared" si="364"/>
        <v>0</v>
      </c>
      <c r="O701" s="81">
        <f t="shared" si="354"/>
        <v>0</v>
      </c>
      <c r="P701" s="79">
        <f t="shared" si="355"/>
        <v>0</v>
      </c>
      <c r="R701">
        <f t="shared" ca="1" si="365"/>
        <v>823</v>
      </c>
      <c r="S701" s="78">
        <f t="shared" ca="1" si="366"/>
        <v>120.76</v>
      </c>
      <c r="T701" s="55">
        <f t="shared" ca="1" si="356"/>
        <v>0</v>
      </c>
      <c r="U701" s="78">
        <f t="shared" ca="1" si="371"/>
        <v>2.7389054743691302E-5</v>
      </c>
      <c r="V701" s="79">
        <f t="shared" ca="1" si="367"/>
        <v>0</v>
      </c>
      <c r="W701" s="79">
        <f t="shared" ca="1" si="357"/>
        <v>0</v>
      </c>
      <c r="X701" s="80">
        <f t="shared" ca="1" si="372"/>
        <v>0</v>
      </c>
      <c r="Y701" s="80">
        <f t="shared" ca="1" si="373"/>
        <v>0</v>
      </c>
      <c r="Z701" s="80">
        <f t="shared" ca="1" si="368"/>
        <v>0</v>
      </c>
      <c r="AA701" s="80">
        <f t="shared" ca="1" si="374"/>
        <v>0</v>
      </c>
      <c r="AB701" s="81">
        <f t="shared" ca="1" si="358"/>
        <v>0</v>
      </c>
      <c r="AC701" s="79">
        <f t="shared" ca="1" si="359"/>
        <v>0</v>
      </c>
      <c r="AE701" s="35"/>
      <c r="AF701" s="35"/>
      <c r="AR701" s="69">
        <f t="shared" si="369"/>
        <v>59</v>
      </c>
      <c r="AS701" s="70">
        <f t="shared" si="375"/>
        <v>698</v>
      </c>
      <c r="AT701" s="71">
        <f t="shared" si="379"/>
        <v>8.4151927973605718E-3</v>
      </c>
      <c r="AU701" s="72">
        <f t="shared" si="360"/>
        <v>6.8214933659622723E-3</v>
      </c>
      <c r="AV701" s="73">
        <f t="shared" si="370"/>
        <v>1.0068214933659623</v>
      </c>
      <c r="AW701" s="74">
        <f>PRODUCT(AV$4:AV701)</f>
        <v>115.03494020187391</v>
      </c>
    </row>
    <row r="702" spans="5:49">
      <c r="E702">
        <f t="shared" si="377"/>
        <v>699</v>
      </c>
      <c r="F702" s="64">
        <f t="shared" si="361"/>
        <v>110.84</v>
      </c>
      <c r="G702" s="55">
        <f t="shared" si="351"/>
        <v>0</v>
      </c>
      <c r="H702" s="78">
        <f t="shared" si="376"/>
        <v>1</v>
      </c>
      <c r="I702" s="79">
        <f t="shared" si="362"/>
        <v>0</v>
      </c>
      <c r="J702" s="79">
        <f t="shared" si="352"/>
        <v>0</v>
      </c>
      <c r="K702" s="80">
        <f t="shared" si="353"/>
        <v>0</v>
      </c>
      <c r="L702" s="80">
        <f t="shared" si="363"/>
        <v>0</v>
      </c>
      <c r="M702" s="80">
        <f t="shared" si="378"/>
        <v>0</v>
      </c>
      <c r="N702" s="80">
        <f t="shared" si="364"/>
        <v>0</v>
      </c>
      <c r="O702" s="81">
        <f t="shared" si="354"/>
        <v>0</v>
      </c>
      <c r="P702" s="79">
        <f t="shared" si="355"/>
        <v>0</v>
      </c>
      <c r="R702">
        <f t="shared" ca="1" si="365"/>
        <v>824</v>
      </c>
      <c r="S702" s="78">
        <f t="shared" ca="1" si="366"/>
        <v>120.84</v>
      </c>
      <c r="T702" s="55">
        <f t="shared" ca="1" si="356"/>
        <v>0</v>
      </c>
      <c r="U702" s="78">
        <f t="shared" ca="1" si="371"/>
        <v>2.7389054743691302E-5</v>
      </c>
      <c r="V702" s="79">
        <f t="shared" ca="1" si="367"/>
        <v>0</v>
      </c>
      <c r="W702" s="79">
        <f t="shared" ca="1" si="357"/>
        <v>0</v>
      </c>
      <c r="X702" s="80">
        <f t="shared" ca="1" si="372"/>
        <v>0</v>
      </c>
      <c r="Y702" s="80">
        <f t="shared" ca="1" si="373"/>
        <v>0</v>
      </c>
      <c r="Z702" s="80">
        <f t="shared" ca="1" si="368"/>
        <v>0</v>
      </c>
      <c r="AA702" s="80">
        <f t="shared" ca="1" si="374"/>
        <v>0</v>
      </c>
      <c r="AB702" s="81">
        <f t="shared" ca="1" si="358"/>
        <v>0</v>
      </c>
      <c r="AC702" s="79">
        <f t="shared" ca="1" si="359"/>
        <v>0</v>
      </c>
      <c r="AE702" s="35"/>
      <c r="AF702" s="35"/>
      <c r="AR702" s="69">
        <f t="shared" si="369"/>
        <v>59</v>
      </c>
      <c r="AS702" s="70">
        <f t="shared" si="375"/>
        <v>699</v>
      </c>
      <c r="AT702" s="71">
        <f t="shared" si="379"/>
        <v>8.3577886155200825E-3</v>
      </c>
      <c r="AU702" s="72">
        <f t="shared" si="360"/>
        <v>6.8214933659622723E-3</v>
      </c>
      <c r="AV702" s="73">
        <f t="shared" si="370"/>
        <v>1.0068214933659623</v>
      </c>
      <c r="AW702" s="74">
        <f>PRODUCT(AV$4:AV702)</f>
        <v>115.81965028331486</v>
      </c>
    </row>
    <row r="703" spans="5:49">
      <c r="E703">
        <f t="shared" si="377"/>
        <v>700</v>
      </c>
      <c r="F703" s="64">
        <f t="shared" si="361"/>
        <v>110.92</v>
      </c>
      <c r="G703" s="55">
        <f t="shared" si="351"/>
        <v>0</v>
      </c>
      <c r="H703" s="78">
        <f t="shared" si="376"/>
        <v>1</v>
      </c>
      <c r="I703" s="79">
        <f t="shared" si="362"/>
        <v>0</v>
      </c>
      <c r="J703" s="79">
        <f t="shared" si="352"/>
        <v>0</v>
      </c>
      <c r="K703" s="80">
        <f t="shared" si="353"/>
        <v>0</v>
      </c>
      <c r="L703" s="80">
        <f t="shared" si="363"/>
        <v>0</v>
      </c>
      <c r="M703" s="80">
        <f t="shared" si="378"/>
        <v>0</v>
      </c>
      <c r="N703" s="80">
        <f t="shared" si="364"/>
        <v>0</v>
      </c>
      <c r="O703" s="81">
        <f t="shared" si="354"/>
        <v>0</v>
      </c>
      <c r="P703" s="79">
        <f t="shared" si="355"/>
        <v>0</v>
      </c>
      <c r="R703">
        <f t="shared" ca="1" si="365"/>
        <v>825</v>
      </c>
      <c r="S703" s="78">
        <f t="shared" ca="1" si="366"/>
        <v>120.92</v>
      </c>
      <c r="T703" s="55">
        <f t="shared" ca="1" si="356"/>
        <v>0</v>
      </c>
      <c r="U703" s="78">
        <f t="shared" ca="1" si="371"/>
        <v>2.7389054743691302E-5</v>
      </c>
      <c r="V703" s="79">
        <f t="shared" ca="1" si="367"/>
        <v>0</v>
      </c>
      <c r="W703" s="79">
        <f t="shared" ca="1" si="357"/>
        <v>0</v>
      </c>
      <c r="X703" s="80">
        <f t="shared" ca="1" si="372"/>
        <v>0</v>
      </c>
      <c r="Y703" s="80">
        <f t="shared" ca="1" si="373"/>
        <v>0</v>
      </c>
      <c r="Z703" s="80">
        <f t="shared" ca="1" si="368"/>
        <v>0</v>
      </c>
      <c r="AA703" s="80">
        <f t="shared" ca="1" si="374"/>
        <v>0</v>
      </c>
      <c r="AB703" s="81">
        <f t="shared" ca="1" si="358"/>
        <v>0</v>
      </c>
      <c r="AC703" s="79">
        <f t="shared" ca="1" si="359"/>
        <v>0</v>
      </c>
      <c r="AE703" s="35"/>
      <c r="AF703" s="35"/>
      <c r="AR703" s="69">
        <f t="shared" si="369"/>
        <v>59</v>
      </c>
      <c r="AS703" s="70">
        <f t="shared" si="375"/>
        <v>700</v>
      </c>
      <c r="AT703" s="71">
        <f t="shared" si="379"/>
        <v>8.300776015925198E-3</v>
      </c>
      <c r="AU703" s="72">
        <f t="shared" si="360"/>
        <v>6.8214933659622723E-3</v>
      </c>
      <c r="AV703" s="73">
        <f t="shared" si="370"/>
        <v>1.0068214933659623</v>
      </c>
      <c r="AW703" s="74">
        <f>PRODUCT(AV$4:AV703)</f>
        <v>116.60971325937057</v>
      </c>
    </row>
    <row r="704" spans="5:49">
      <c r="E704">
        <f t="shared" si="377"/>
        <v>701</v>
      </c>
      <c r="F704" s="64">
        <f t="shared" si="361"/>
        <v>111</v>
      </c>
      <c r="G704" s="55">
        <f t="shared" si="351"/>
        <v>0</v>
      </c>
      <c r="H704" s="78">
        <f t="shared" si="376"/>
        <v>1</v>
      </c>
      <c r="I704" s="79">
        <f t="shared" si="362"/>
        <v>0</v>
      </c>
      <c r="J704" s="79">
        <f t="shared" si="352"/>
        <v>0</v>
      </c>
      <c r="K704" s="80">
        <f t="shared" si="353"/>
        <v>0</v>
      </c>
      <c r="L704" s="80">
        <f t="shared" si="363"/>
        <v>0</v>
      </c>
      <c r="M704" s="80">
        <f t="shared" si="378"/>
        <v>0</v>
      </c>
      <c r="N704" s="80">
        <f t="shared" si="364"/>
        <v>0</v>
      </c>
      <c r="O704" s="81">
        <f t="shared" si="354"/>
        <v>0</v>
      </c>
      <c r="P704" s="79">
        <f t="shared" si="355"/>
        <v>0</v>
      </c>
      <c r="R704">
        <f t="shared" ca="1" si="365"/>
        <v>826</v>
      </c>
      <c r="S704" s="78">
        <f t="shared" ca="1" si="366"/>
        <v>121</v>
      </c>
      <c r="T704" s="55">
        <f t="shared" ca="1" si="356"/>
        <v>0</v>
      </c>
      <c r="U704" s="78">
        <f t="shared" ca="1" si="371"/>
        <v>2.7389054743691302E-5</v>
      </c>
      <c r="V704" s="79">
        <f t="shared" ca="1" si="367"/>
        <v>0</v>
      </c>
      <c r="W704" s="79">
        <f t="shared" ca="1" si="357"/>
        <v>0</v>
      </c>
      <c r="X704" s="80">
        <f t="shared" ca="1" si="372"/>
        <v>0</v>
      </c>
      <c r="Y704" s="80">
        <f t="shared" ca="1" si="373"/>
        <v>0</v>
      </c>
      <c r="Z704" s="80">
        <f t="shared" ca="1" si="368"/>
        <v>0</v>
      </c>
      <c r="AA704" s="80">
        <f t="shared" ca="1" si="374"/>
        <v>0</v>
      </c>
      <c r="AB704" s="81">
        <f t="shared" ca="1" si="358"/>
        <v>0</v>
      </c>
      <c r="AC704" s="79">
        <f t="shared" ca="1" si="359"/>
        <v>0</v>
      </c>
      <c r="AE704" s="35"/>
      <c r="AF704" s="35"/>
      <c r="AR704" s="69">
        <f t="shared" si="369"/>
        <v>59</v>
      </c>
      <c r="AS704" s="70">
        <f t="shared" si="375"/>
        <v>701</v>
      </c>
      <c r="AT704" s="71">
        <f t="shared" si="379"/>
        <v>8.2441523274002261E-3</v>
      </c>
      <c r="AU704" s="72">
        <f t="shared" si="360"/>
        <v>6.8214933659622723E-3</v>
      </c>
      <c r="AV704" s="73">
        <f t="shared" si="370"/>
        <v>1.0068214933659623</v>
      </c>
      <c r="AW704" s="74">
        <f>PRODUCT(AV$4:AV704)</f>
        <v>117.40516564477612</v>
      </c>
    </row>
    <row r="705" spans="5:49">
      <c r="E705">
        <f t="shared" si="377"/>
        <v>702</v>
      </c>
      <c r="F705" s="64">
        <f t="shared" si="361"/>
        <v>111.08</v>
      </c>
      <c r="G705" s="55">
        <f t="shared" si="351"/>
        <v>0</v>
      </c>
      <c r="H705" s="78">
        <f t="shared" si="376"/>
        <v>1</v>
      </c>
      <c r="I705" s="79">
        <f t="shared" si="362"/>
        <v>0</v>
      </c>
      <c r="J705" s="79">
        <f t="shared" si="352"/>
        <v>0</v>
      </c>
      <c r="K705" s="80">
        <f t="shared" si="353"/>
        <v>0</v>
      </c>
      <c r="L705" s="80">
        <f t="shared" si="363"/>
        <v>0</v>
      </c>
      <c r="M705" s="80">
        <f t="shared" si="378"/>
        <v>0</v>
      </c>
      <c r="N705" s="80">
        <f t="shared" si="364"/>
        <v>0</v>
      </c>
      <c r="O705" s="81">
        <f t="shared" si="354"/>
        <v>0</v>
      </c>
      <c r="P705" s="79">
        <f t="shared" si="355"/>
        <v>0</v>
      </c>
      <c r="R705">
        <f t="shared" ca="1" si="365"/>
        <v>827</v>
      </c>
      <c r="S705" s="78">
        <f t="shared" ca="1" si="366"/>
        <v>121.08</v>
      </c>
      <c r="T705" s="55">
        <f t="shared" ca="1" si="356"/>
        <v>0</v>
      </c>
      <c r="U705" s="78">
        <f t="shared" ca="1" si="371"/>
        <v>2.7389054743691302E-5</v>
      </c>
      <c r="V705" s="79">
        <f t="shared" ca="1" si="367"/>
        <v>0</v>
      </c>
      <c r="W705" s="79">
        <f t="shared" ca="1" si="357"/>
        <v>0</v>
      </c>
      <c r="X705" s="80">
        <f t="shared" ca="1" si="372"/>
        <v>0</v>
      </c>
      <c r="Y705" s="80">
        <f t="shared" ca="1" si="373"/>
        <v>0</v>
      </c>
      <c r="Z705" s="80">
        <f t="shared" ca="1" si="368"/>
        <v>0</v>
      </c>
      <c r="AA705" s="80">
        <f t="shared" ca="1" si="374"/>
        <v>0</v>
      </c>
      <c r="AB705" s="81">
        <f t="shared" ca="1" si="358"/>
        <v>0</v>
      </c>
      <c r="AC705" s="79">
        <f t="shared" ca="1" si="359"/>
        <v>0</v>
      </c>
      <c r="AE705" s="35"/>
      <c r="AF705" s="35"/>
      <c r="AR705" s="69">
        <f t="shared" si="369"/>
        <v>59</v>
      </c>
      <c r="AS705" s="70">
        <f t="shared" si="375"/>
        <v>702</v>
      </c>
      <c r="AT705" s="71">
        <f t="shared" si="379"/>
        <v>8.1879148969908836E-3</v>
      </c>
      <c r="AU705" s="72">
        <f t="shared" si="360"/>
        <v>6.8214933659622723E-3</v>
      </c>
      <c r="AV705" s="73">
        <f t="shared" si="370"/>
        <v>1.0068214933659623</v>
      </c>
      <c r="AW705" s="74">
        <f>PRODUCT(AV$4:AV705)</f>
        <v>118.20604420335167</v>
      </c>
    </row>
    <row r="706" spans="5:49">
      <c r="E706">
        <f t="shared" si="377"/>
        <v>703</v>
      </c>
      <c r="F706" s="64">
        <f t="shared" si="361"/>
        <v>111.16</v>
      </c>
      <c r="G706" s="55">
        <f t="shared" si="351"/>
        <v>0</v>
      </c>
      <c r="H706" s="78">
        <f t="shared" si="376"/>
        <v>1</v>
      </c>
      <c r="I706" s="79">
        <f t="shared" si="362"/>
        <v>0</v>
      </c>
      <c r="J706" s="79">
        <f t="shared" si="352"/>
        <v>0</v>
      </c>
      <c r="K706" s="80">
        <f t="shared" si="353"/>
        <v>0</v>
      </c>
      <c r="L706" s="80">
        <f t="shared" si="363"/>
        <v>0</v>
      </c>
      <c r="M706" s="80">
        <f t="shared" si="378"/>
        <v>0</v>
      </c>
      <c r="N706" s="80">
        <f t="shared" si="364"/>
        <v>0</v>
      </c>
      <c r="O706" s="81">
        <f t="shared" si="354"/>
        <v>0</v>
      </c>
      <c r="P706" s="79">
        <f t="shared" si="355"/>
        <v>0</v>
      </c>
      <c r="R706">
        <f t="shared" ca="1" si="365"/>
        <v>828</v>
      </c>
      <c r="S706" s="78">
        <f t="shared" ca="1" si="366"/>
        <v>121.16</v>
      </c>
      <c r="T706" s="55">
        <f t="shared" ca="1" si="356"/>
        <v>0</v>
      </c>
      <c r="U706" s="78">
        <f t="shared" ca="1" si="371"/>
        <v>2.7389054743691302E-5</v>
      </c>
      <c r="V706" s="79">
        <f t="shared" ca="1" si="367"/>
        <v>0</v>
      </c>
      <c r="W706" s="79">
        <f t="shared" ca="1" si="357"/>
        <v>0</v>
      </c>
      <c r="X706" s="80">
        <f t="shared" ca="1" si="372"/>
        <v>0</v>
      </c>
      <c r="Y706" s="80">
        <f t="shared" ca="1" si="373"/>
        <v>0</v>
      </c>
      <c r="Z706" s="80">
        <f t="shared" ca="1" si="368"/>
        <v>0</v>
      </c>
      <c r="AA706" s="80">
        <f t="shared" ca="1" si="374"/>
        <v>0</v>
      </c>
      <c r="AB706" s="81">
        <f t="shared" ca="1" si="358"/>
        <v>0</v>
      </c>
      <c r="AC706" s="79">
        <f t="shared" ca="1" si="359"/>
        <v>0</v>
      </c>
      <c r="AE706" s="35"/>
      <c r="AF706" s="35"/>
      <c r="AR706" s="69">
        <f t="shared" si="369"/>
        <v>59</v>
      </c>
      <c r="AS706" s="70">
        <f t="shared" si="375"/>
        <v>703</v>
      </c>
      <c r="AT706" s="71">
        <f t="shared" si="379"/>
        <v>8.132061089839996E-3</v>
      </c>
      <c r="AU706" s="72">
        <f t="shared" si="360"/>
        <v>6.8214933659622723E-3</v>
      </c>
      <c r="AV706" s="73">
        <f t="shared" si="370"/>
        <v>1.0068214933659623</v>
      </c>
      <c r="AW706" s="74">
        <f>PRODUCT(AV$4:AV706)</f>
        <v>119.01238594970147</v>
      </c>
    </row>
    <row r="707" spans="5:49">
      <c r="E707">
        <f t="shared" si="377"/>
        <v>704</v>
      </c>
      <c r="F707" s="64">
        <f t="shared" si="361"/>
        <v>111.24</v>
      </c>
      <c r="G707" s="55">
        <f t="shared" si="351"/>
        <v>0</v>
      </c>
      <c r="H707" s="78">
        <f t="shared" si="376"/>
        <v>1</v>
      </c>
      <c r="I707" s="79">
        <f t="shared" si="362"/>
        <v>0</v>
      </c>
      <c r="J707" s="79">
        <f t="shared" si="352"/>
        <v>0</v>
      </c>
      <c r="K707" s="80">
        <f t="shared" si="353"/>
        <v>0</v>
      </c>
      <c r="L707" s="80">
        <f t="shared" si="363"/>
        <v>0</v>
      </c>
      <c r="M707" s="80">
        <f t="shared" si="378"/>
        <v>0</v>
      </c>
      <c r="N707" s="80">
        <f t="shared" si="364"/>
        <v>0</v>
      </c>
      <c r="O707" s="81">
        <f t="shared" si="354"/>
        <v>0</v>
      </c>
      <c r="P707" s="79">
        <f t="shared" si="355"/>
        <v>0</v>
      </c>
      <c r="R707">
        <f t="shared" ca="1" si="365"/>
        <v>829</v>
      </c>
      <c r="S707" s="78">
        <f t="shared" ca="1" si="366"/>
        <v>121.24</v>
      </c>
      <c r="T707" s="55">
        <f t="shared" ca="1" si="356"/>
        <v>0</v>
      </c>
      <c r="U707" s="78">
        <f t="shared" ca="1" si="371"/>
        <v>2.7389054743691302E-5</v>
      </c>
      <c r="V707" s="79">
        <f t="shared" ca="1" si="367"/>
        <v>0</v>
      </c>
      <c r="W707" s="79">
        <f t="shared" ca="1" si="357"/>
        <v>0</v>
      </c>
      <c r="X707" s="80">
        <f t="shared" ca="1" si="372"/>
        <v>0</v>
      </c>
      <c r="Y707" s="80">
        <f t="shared" ca="1" si="373"/>
        <v>0</v>
      </c>
      <c r="Z707" s="80">
        <f t="shared" ca="1" si="368"/>
        <v>0</v>
      </c>
      <c r="AA707" s="80">
        <f t="shared" ca="1" si="374"/>
        <v>0</v>
      </c>
      <c r="AB707" s="81">
        <f t="shared" ca="1" si="358"/>
        <v>0</v>
      </c>
      <c r="AC707" s="79">
        <f t="shared" ca="1" si="359"/>
        <v>0</v>
      </c>
      <c r="AE707" s="35"/>
      <c r="AF707" s="35"/>
      <c r="AR707" s="69">
        <f t="shared" si="369"/>
        <v>59</v>
      </c>
      <c r="AS707" s="70">
        <f t="shared" si="375"/>
        <v>704</v>
      </c>
      <c r="AT707" s="71">
        <f t="shared" si="379"/>
        <v>8.0765882890640531E-3</v>
      </c>
      <c r="AU707" s="72">
        <f t="shared" si="360"/>
        <v>6.8214933659622723E-3</v>
      </c>
      <c r="AV707" s="73">
        <f t="shared" si="370"/>
        <v>1.0068214933659623</v>
      </c>
      <c r="AW707" s="74">
        <f>PRODUCT(AV$4:AV707)</f>
        <v>119.8242281509247</v>
      </c>
    </row>
    <row r="708" spans="5:49">
      <c r="E708">
        <f t="shared" si="377"/>
        <v>705</v>
      </c>
      <c r="F708" s="64">
        <f t="shared" si="361"/>
        <v>111.32</v>
      </c>
      <c r="G708" s="55">
        <f t="shared" ref="G708:G771" si="380">(1-(1-IF(F708&gt;$AJ$90,0,VLOOKUP(ROUND(F708,0),$AJ$4:$AK$90,2,FALSE)))^(1/12))*0</f>
        <v>0</v>
      </c>
      <c r="H708" s="78">
        <f t="shared" si="376"/>
        <v>1</v>
      </c>
      <c r="I708" s="79">
        <f t="shared" si="362"/>
        <v>0</v>
      </c>
      <c r="J708" s="79">
        <f t="shared" ref="J708:J771" si="381">(I708)*$AU708</f>
        <v>0</v>
      </c>
      <c r="K708" s="80">
        <f t="shared" ref="K708:K771" si="382">IF(I708=0,0,-$C$19)*H708</f>
        <v>0</v>
      </c>
      <c r="L708" s="80">
        <f t="shared" si="363"/>
        <v>0</v>
      </c>
      <c r="M708" s="80">
        <f t="shared" si="378"/>
        <v>0</v>
      </c>
      <c r="N708" s="80">
        <f t="shared" si="364"/>
        <v>0</v>
      </c>
      <c r="O708" s="81">
        <f t="shared" ref="O708:O771" si="383">-MIN(
IF(MOD(E708-1,IF($C$7="Annual",12,1))=0,1,0)
*IF(F708&lt;=$C$6,H708*$C$5*$C$4/IF($C$7="Monthly",12,1),$C$12),I708)</f>
        <v>0</v>
      </c>
      <c r="P708" s="79">
        <f t="shared" ref="P708:P771" si="384">SUM(I708:O708)</f>
        <v>0</v>
      </c>
      <c r="R708">
        <f t="shared" ca="1" si="365"/>
        <v>830</v>
      </c>
      <c r="S708" s="78">
        <f t="shared" ca="1" si="366"/>
        <v>121.32</v>
      </c>
      <c r="T708" s="55">
        <f t="shared" ref="T708:T771" ca="1" si="385">(1-(1-IF(S708&gt;$AJ$90,0,VLOOKUP(ROUND(S708,0),$AJ$4:$AK$90,2,FALSE)))^(1/12))</f>
        <v>0</v>
      </c>
      <c r="U708" s="78">
        <f t="shared" ca="1" si="371"/>
        <v>2.7389054743691302E-5</v>
      </c>
      <c r="V708" s="79">
        <f t="shared" ca="1" si="367"/>
        <v>0</v>
      </c>
      <c r="W708" s="79">
        <f t="shared" ref="W708:W771" ca="1" si="386">(V708)*$AU708</f>
        <v>0</v>
      </c>
      <c r="X708" s="80">
        <f t="shared" ca="1" si="372"/>
        <v>0</v>
      </c>
      <c r="Y708" s="80">
        <f t="shared" ca="1" si="373"/>
        <v>0</v>
      </c>
      <c r="Z708" s="80">
        <f t="shared" ca="1" si="368"/>
        <v>0</v>
      </c>
      <c r="AA708" s="80">
        <f t="shared" ca="1" si="374"/>
        <v>0</v>
      </c>
      <c r="AB708" s="81">
        <f t="shared" ref="AB708:AB771" ca="1" si="387">-MIN(IF(MOD(R708,IF($C$7="Annual",12,1))=0,1,0)*$C$39*U708/IF($C$7="Monthly",12,1),V708)</f>
        <v>0</v>
      </c>
      <c r="AC708" s="79">
        <f t="shared" ref="AC708:AC771" ca="1" si="388">SUM(V708:AB708)</f>
        <v>0</v>
      </c>
      <c r="AE708" s="35"/>
      <c r="AF708" s="35"/>
      <c r="AR708" s="69">
        <f t="shared" si="369"/>
        <v>59</v>
      </c>
      <c r="AS708" s="70">
        <f t="shared" si="375"/>
        <v>705</v>
      </c>
      <c r="AT708" s="71">
        <f t="shared" si="379"/>
        <v>8.0214938956305933E-3</v>
      </c>
      <c r="AU708" s="72">
        <f t="shared" ref="AU708:AU771" si="389">((1+$AH$21)^(1/12))-1</f>
        <v>6.8214933659622723E-3</v>
      </c>
      <c r="AV708" s="73">
        <f t="shared" si="370"/>
        <v>1.0068214933659623</v>
      </c>
      <c r="AW708" s="74">
        <f>PRODUCT(AV$4:AV708)</f>
        <v>120.64160832833778</v>
      </c>
    </row>
    <row r="709" spans="5:49">
      <c r="E709">
        <f t="shared" si="377"/>
        <v>706</v>
      </c>
      <c r="F709" s="64">
        <f t="shared" ref="F709:F772" si="390">ROUND((E709-E708)/12+F708,2)</f>
        <v>111.4</v>
      </c>
      <c r="G709" s="55">
        <f t="shared" si="380"/>
        <v>0</v>
      </c>
      <c r="H709" s="78">
        <f t="shared" si="376"/>
        <v>1</v>
      </c>
      <c r="I709" s="79">
        <f t="shared" ref="I709:I772" si="391">MAX(P708,0)*(1-G709)</f>
        <v>0</v>
      </c>
      <c r="J709" s="79">
        <f t="shared" si="381"/>
        <v>0</v>
      </c>
      <c r="K709" s="80">
        <f t="shared" si="382"/>
        <v>0</v>
      </c>
      <c r="L709" s="80">
        <f t="shared" ref="L709:L772" si="392">IF(OR(I708+O708=0,K708=0),0,-I709*($C$16/12))</f>
        <v>0</v>
      </c>
      <c r="M709" s="80">
        <f t="shared" si="378"/>
        <v>0</v>
      </c>
      <c r="N709" s="80">
        <f t="shared" ref="N709:N772" si="393">IF(OR(I708+O708=0,K708=0),0,-I709*($C$18*(1+$C$20))/12)</f>
        <v>0</v>
      </c>
      <c r="O709" s="81">
        <f t="shared" si="383"/>
        <v>0</v>
      </c>
      <c r="P709" s="79">
        <f t="shared" si="384"/>
        <v>0</v>
      </c>
      <c r="R709">
        <f t="shared" ref="R709:R772" ca="1" si="394">R708+1</f>
        <v>831</v>
      </c>
      <c r="S709" s="78">
        <f t="shared" ref="S709:S772" ca="1" si="395">ROUND((R709-R708)/12+S708,2)</f>
        <v>121.4</v>
      </c>
      <c r="T709" s="55">
        <f t="shared" ca="1" si="385"/>
        <v>0</v>
      </c>
      <c r="U709" s="78">
        <f t="shared" ca="1" si="371"/>
        <v>2.7389054743691302E-5</v>
      </c>
      <c r="V709" s="79">
        <f t="shared" ref="V709:V772" ca="1" si="396">MAX(AC708,0)*(1-T709)</f>
        <v>0</v>
      </c>
      <c r="W709" s="79">
        <f t="shared" ca="1" si="386"/>
        <v>0</v>
      </c>
      <c r="X709" s="80">
        <f t="shared" ca="1" si="372"/>
        <v>0</v>
      </c>
      <c r="Y709" s="80">
        <f t="shared" ca="1" si="373"/>
        <v>0</v>
      </c>
      <c r="Z709" s="80">
        <f t="shared" ref="Z709:Z772" ca="1" si="397">-IF(MOD(R709-1,12)=0,1,0)*V709*($C$17)</f>
        <v>0</v>
      </c>
      <c r="AA709" s="80">
        <f t="shared" ca="1" si="374"/>
        <v>0</v>
      </c>
      <c r="AB709" s="81">
        <f t="shared" ca="1" si="387"/>
        <v>0</v>
      </c>
      <c r="AC709" s="79">
        <f t="shared" ca="1" si="388"/>
        <v>0</v>
      </c>
      <c r="AE709" s="35"/>
      <c r="AF709" s="35"/>
      <c r="AR709" s="69">
        <f t="shared" ref="AR709:AR772" si="398">ROUNDDOWN((AS709-1)/12,0)+1</f>
        <v>59</v>
      </c>
      <c r="AS709" s="70">
        <f t="shared" si="375"/>
        <v>706</v>
      </c>
      <c r="AT709" s="71">
        <f t="shared" si="379"/>
        <v>7.9667753282364421E-3</v>
      </c>
      <c r="AU709" s="72">
        <f t="shared" si="389"/>
        <v>6.8214933659622723E-3</v>
      </c>
      <c r="AV709" s="73">
        <f t="shared" ref="AV709:AV772" si="399">(1+AU709)</f>
        <v>1.0068214933659623</v>
      </c>
      <c r="AW709" s="74">
        <f>PRODUCT(AV$4:AV709)</f>
        <v>121.46456425920856</v>
      </c>
    </row>
    <row r="710" spans="5:49">
      <c r="E710">
        <f t="shared" si="377"/>
        <v>707</v>
      </c>
      <c r="F710" s="64">
        <f t="shared" si="390"/>
        <v>111.48</v>
      </c>
      <c r="G710" s="55">
        <f t="shared" si="380"/>
        <v>0</v>
      </c>
      <c r="H710" s="78">
        <f t="shared" si="376"/>
        <v>1</v>
      </c>
      <c r="I710" s="79">
        <f t="shared" si="391"/>
        <v>0</v>
      </c>
      <c r="J710" s="79">
        <f t="shared" si="381"/>
        <v>0</v>
      </c>
      <c r="K710" s="80">
        <f t="shared" si="382"/>
        <v>0</v>
      </c>
      <c r="L710" s="80">
        <f t="shared" si="392"/>
        <v>0</v>
      </c>
      <c r="M710" s="80">
        <f t="shared" si="378"/>
        <v>0</v>
      </c>
      <c r="N710" s="80">
        <f t="shared" si="393"/>
        <v>0</v>
      </c>
      <c r="O710" s="81">
        <f t="shared" si="383"/>
        <v>0</v>
      </c>
      <c r="P710" s="79">
        <f t="shared" si="384"/>
        <v>0</v>
      </c>
      <c r="R710">
        <f t="shared" ca="1" si="394"/>
        <v>832</v>
      </c>
      <c r="S710" s="78">
        <f t="shared" ca="1" si="395"/>
        <v>121.48</v>
      </c>
      <c r="T710" s="55">
        <f t="shared" ca="1" si="385"/>
        <v>0</v>
      </c>
      <c r="U710" s="78">
        <f t="shared" ref="U710:U773" ca="1" si="400">U709*(1-T710)</f>
        <v>2.7389054743691302E-5</v>
      </c>
      <c r="V710" s="79">
        <f t="shared" ca="1" si="396"/>
        <v>0</v>
      </c>
      <c r="W710" s="79">
        <f t="shared" ca="1" si="386"/>
        <v>0</v>
      </c>
      <c r="X710" s="80">
        <f t="shared" ref="X710:X773" ca="1" si="401">IF(V710=0,0,-$C$19)*U710</f>
        <v>0</v>
      </c>
      <c r="Y710" s="80">
        <f t="shared" ref="Y710:Y773" ca="1" si="402">IF(OR(V709+AB709=0,X709=0),0,-V710*($C$16/12))</f>
        <v>0</v>
      </c>
      <c r="Z710" s="80">
        <f t="shared" ca="1" si="397"/>
        <v>0</v>
      </c>
      <c r="AA710" s="80">
        <f t="shared" ref="AA710:AA773" ca="1" si="403">IF(OR(V709+AB709=0,X709=0),0,-V710*($C$18*(1+$C$20))/12)</f>
        <v>0</v>
      </c>
      <c r="AB710" s="81">
        <f t="shared" ca="1" si="387"/>
        <v>0</v>
      </c>
      <c r="AC710" s="79">
        <f t="shared" ca="1" si="388"/>
        <v>0</v>
      </c>
      <c r="AE710" s="35"/>
      <c r="AF710" s="35"/>
      <c r="AR710" s="69">
        <f t="shared" si="398"/>
        <v>59</v>
      </c>
      <c r="AS710" s="70">
        <f t="shared" ref="AS710:AS773" si="404">AS709+1</f>
        <v>707</v>
      </c>
      <c r="AT710" s="71">
        <f t="shared" si="379"/>
        <v>7.9124300231867648E-3</v>
      </c>
      <c r="AU710" s="72">
        <f t="shared" si="389"/>
        <v>6.8214933659622723E-3</v>
      </c>
      <c r="AV710" s="73">
        <f t="shared" si="399"/>
        <v>1.0068214933659623</v>
      </c>
      <c r="AW710" s="74">
        <f>PRODUCT(AV$4:AV710)</f>
        <v>122.29313397850224</v>
      </c>
    </row>
    <row r="711" spans="5:49">
      <c r="E711">
        <f t="shared" si="377"/>
        <v>708</v>
      </c>
      <c r="F711" s="64">
        <f t="shared" si="390"/>
        <v>111.56</v>
      </c>
      <c r="G711" s="55">
        <f t="shared" si="380"/>
        <v>0</v>
      </c>
      <c r="H711" s="78">
        <f t="shared" ref="H711:H774" si="405">H710*(1-G711)</f>
        <v>1</v>
      </c>
      <c r="I711" s="79">
        <f t="shared" si="391"/>
        <v>0</v>
      </c>
      <c r="J711" s="79">
        <f t="shared" si="381"/>
        <v>0</v>
      </c>
      <c r="K711" s="80">
        <f t="shared" si="382"/>
        <v>0</v>
      </c>
      <c r="L711" s="80">
        <f t="shared" si="392"/>
        <v>0</v>
      </c>
      <c r="M711" s="80">
        <f t="shared" si="378"/>
        <v>0</v>
      </c>
      <c r="N711" s="80">
        <f t="shared" si="393"/>
        <v>0</v>
      </c>
      <c r="O711" s="81">
        <f t="shared" si="383"/>
        <v>0</v>
      </c>
      <c r="P711" s="79">
        <f t="shared" si="384"/>
        <v>0</v>
      </c>
      <c r="R711">
        <f t="shared" ca="1" si="394"/>
        <v>833</v>
      </c>
      <c r="S711" s="78">
        <f t="shared" ca="1" si="395"/>
        <v>121.56</v>
      </c>
      <c r="T711" s="55">
        <f t="shared" ca="1" si="385"/>
        <v>0</v>
      </c>
      <c r="U711" s="78">
        <f t="shared" ca="1" si="400"/>
        <v>2.7389054743691302E-5</v>
      </c>
      <c r="V711" s="79">
        <f t="shared" ca="1" si="396"/>
        <v>0</v>
      </c>
      <c r="W711" s="79">
        <f t="shared" ca="1" si="386"/>
        <v>0</v>
      </c>
      <c r="X711" s="80">
        <f t="shared" ca="1" si="401"/>
        <v>0</v>
      </c>
      <c r="Y711" s="80">
        <f t="shared" ca="1" si="402"/>
        <v>0</v>
      </c>
      <c r="Z711" s="80">
        <f t="shared" ca="1" si="397"/>
        <v>0</v>
      </c>
      <c r="AA711" s="80">
        <f t="shared" ca="1" si="403"/>
        <v>0</v>
      </c>
      <c r="AB711" s="81">
        <f t="shared" ca="1" si="387"/>
        <v>0</v>
      </c>
      <c r="AC711" s="79">
        <f t="shared" ca="1" si="388"/>
        <v>0</v>
      </c>
      <c r="AE711" s="35"/>
      <c r="AF711" s="35"/>
      <c r="AR711" s="69">
        <f t="shared" si="398"/>
        <v>59</v>
      </c>
      <c r="AS711" s="70">
        <f t="shared" si="404"/>
        <v>708</v>
      </c>
      <c r="AT711" s="71">
        <f t="shared" si="379"/>
        <v>7.8584554342749548E-3</v>
      </c>
      <c r="AU711" s="72">
        <f t="shared" si="389"/>
        <v>6.8214933659622723E-3</v>
      </c>
      <c r="AV711" s="73">
        <f t="shared" si="399"/>
        <v>1.0068214933659623</v>
      </c>
      <c r="AW711" s="74">
        <f>PRODUCT(AV$4:AV711)</f>
        <v>123.12735578063933</v>
      </c>
    </row>
    <row r="712" spans="5:49">
      <c r="E712">
        <f t="shared" si="377"/>
        <v>709</v>
      </c>
      <c r="F712" s="64">
        <f t="shared" si="390"/>
        <v>111.64</v>
      </c>
      <c r="G712" s="55">
        <f t="shared" si="380"/>
        <v>0</v>
      </c>
      <c r="H712" s="78">
        <f t="shared" si="405"/>
        <v>1</v>
      </c>
      <c r="I712" s="79">
        <f t="shared" si="391"/>
        <v>0</v>
      </c>
      <c r="J712" s="79">
        <f t="shared" si="381"/>
        <v>0</v>
      </c>
      <c r="K712" s="80">
        <f t="shared" si="382"/>
        <v>0</v>
      </c>
      <c r="L712" s="80">
        <f t="shared" si="392"/>
        <v>0</v>
      </c>
      <c r="M712" s="80">
        <f t="shared" si="378"/>
        <v>0</v>
      </c>
      <c r="N712" s="80">
        <f t="shared" si="393"/>
        <v>0</v>
      </c>
      <c r="O712" s="81">
        <f t="shared" si="383"/>
        <v>0</v>
      </c>
      <c r="P712" s="79">
        <f t="shared" si="384"/>
        <v>0</v>
      </c>
      <c r="R712">
        <f t="shared" ca="1" si="394"/>
        <v>834</v>
      </c>
      <c r="S712" s="78">
        <f t="shared" ca="1" si="395"/>
        <v>121.64</v>
      </c>
      <c r="T712" s="55">
        <f t="shared" ca="1" si="385"/>
        <v>0</v>
      </c>
      <c r="U712" s="78">
        <f t="shared" ca="1" si="400"/>
        <v>2.7389054743691302E-5</v>
      </c>
      <c r="V712" s="79">
        <f t="shared" ca="1" si="396"/>
        <v>0</v>
      </c>
      <c r="W712" s="79">
        <f t="shared" ca="1" si="386"/>
        <v>0</v>
      </c>
      <c r="X712" s="80">
        <f t="shared" ca="1" si="401"/>
        <v>0</v>
      </c>
      <c r="Y712" s="80">
        <f t="shared" ca="1" si="402"/>
        <v>0</v>
      </c>
      <c r="Z712" s="80">
        <f t="shared" ca="1" si="397"/>
        <v>0</v>
      </c>
      <c r="AA712" s="80">
        <f t="shared" ca="1" si="403"/>
        <v>0</v>
      </c>
      <c r="AB712" s="81">
        <f t="shared" ca="1" si="387"/>
        <v>0</v>
      </c>
      <c r="AC712" s="79">
        <f t="shared" ca="1" si="388"/>
        <v>0</v>
      </c>
      <c r="AE712" s="35"/>
      <c r="AF712" s="35"/>
      <c r="AR712" s="69">
        <f t="shared" si="398"/>
        <v>60</v>
      </c>
      <c r="AS712" s="70">
        <f t="shared" si="404"/>
        <v>709</v>
      </c>
      <c r="AT712" s="71">
        <f t="shared" si="379"/>
        <v>7.8048490326633382E-3</v>
      </c>
      <c r="AU712" s="72">
        <f t="shared" si="389"/>
        <v>6.8214933659622723E-3</v>
      </c>
      <c r="AV712" s="73">
        <f t="shared" si="399"/>
        <v>1.0068214933659623</v>
      </c>
      <c r="AW712" s="74">
        <f>PRODUCT(AV$4:AV712)</f>
        <v>123.96726822126544</v>
      </c>
    </row>
    <row r="713" spans="5:49">
      <c r="E713">
        <f t="shared" si="377"/>
        <v>710</v>
      </c>
      <c r="F713" s="64">
        <f t="shared" si="390"/>
        <v>111.72</v>
      </c>
      <c r="G713" s="55">
        <f t="shared" si="380"/>
        <v>0</v>
      </c>
      <c r="H713" s="78">
        <f t="shared" si="405"/>
        <v>1</v>
      </c>
      <c r="I713" s="79">
        <f t="shared" si="391"/>
        <v>0</v>
      </c>
      <c r="J713" s="79">
        <f t="shared" si="381"/>
        <v>0</v>
      </c>
      <c r="K713" s="80">
        <f t="shared" si="382"/>
        <v>0</v>
      </c>
      <c r="L713" s="80">
        <f t="shared" si="392"/>
        <v>0</v>
      </c>
      <c r="M713" s="80">
        <f t="shared" si="378"/>
        <v>0</v>
      </c>
      <c r="N713" s="80">
        <f t="shared" si="393"/>
        <v>0</v>
      </c>
      <c r="O713" s="81">
        <f t="shared" si="383"/>
        <v>0</v>
      </c>
      <c r="P713" s="79">
        <f t="shared" si="384"/>
        <v>0</v>
      </c>
      <c r="R713">
        <f t="shared" ca="1" si="394"/>
        <v>835</v>
      </c>
      <c r="S713" s="78">
        <f t="shared" ca="1" si="395"/>
        <v>121.72</v>
      </c>
      <c r="T713" s="55">
        <f t="shared" ca="1" si="385"/>
        <v>0</v>
      </c>
      <c r="U713" s="78">
        <f t="shared" ca="1" si="400"/>
        <v>2.7389054743691302E-5</v>
      </c>
      <c r="V713" s="79">
        <f t="shared" ca="1" si="396"/>
        <v>0</v>
      </c>
      <c r="W713" s="79">
        <f t="shared" ca="1" si="386"/>
        <v>0</v>
      </c>
      <c r="X713" s="80">
        <f t="shared" ca="1" si="401"/>
        <v>0</v>
      </c>
      <c r="Y713" s="80">
        <f t="shared" ca="1" si="402"/>
        <v>0</v>
      </c>
      <c r="Z713" s="80">
        <f t="shared" ca="1" si="397"/>
        <v>0</v>
      </c>
      <c r="AA713" s="80">
        <f t="shared" ca="1" si="403"/>
        <v>0</v>
      </c>
      <c r="AB713" s="81">
        <f t="shared" ca="1" si="387"/>
        <v>0</v>
      </c>
      <c r="AC713" s="79">
        <f t="shared" ca="1" si="388"/>
        <v>0</v>
      </c>
      <c r="AE713" s="35"/>
      <c r="AF713" s="35"/>
      <c r="AR713" s="69">
        <f t="shared" si="398"/>
        <v>60</v>
      </c>
      <c r="AS713" s="70">
        <f t="shared" si="404"/>
        <v>710</v>
      </c>
      <c r="AT713" s="71">
        <f t="shared" si="379"/>
        <v>7.7516083067646884E-3</v>
      </c>
      <c r="AU713" s="72">
        <f t="shared" si="389"/>
        <v>6.8214933659622723E-3</v>
      </c>
      <c r="AV713" s="73">
        <f t="shared" si="399"/>
        <v>1.0068214933659623</v>
      </c>
      <c r="AW713" s="74">
        <f>PRODUCT(AV$4:AV713)</f>
        <v>124.81291011903328</v>
      </c>
    </row>
    <row r="714" spans="5:49">
      <c r="E714">
        <f t="shared" si="377"/>
        <v>711</v>
      </c>
      <c r="F714" s="64">
        <f t="shared" si="390"/>
        <v>111.8</v>
      </c>
      <c r="G714" s="55">
        <f t="shared" si="380"/>
        <v>0</v>
      </c>
      <c r="H714" s="78">
        <f t="shared" si="405"/>
        <v>1</v>
      </c>
      <c r="I714" s="79">
        <f t="shared" si="391"/>
        <v>0</v>
      </c>
      <c r="J714" s="79">
        <f t="shared" si="381"/>
        <v>0</v>
      </c>
      <c r="K714" s="80">
        <f t="shared" si="382"/>
        <v>0</v>
      </c>
      <c r="L714" s="80">
        <f t="shared" si="392"/>
        <v>0</v>
      </c>
      <c r="M714" s="80">
        <f t="shared" si="378"/>
        <v>0</v>
      </c>
      <c r="N714" s="80">
        <f t="shared" si="393"/>
        <v>0</v>
      </c>
      <c r="O714" s="81">
        <f t="shared" si="383"/>
        <v>0</v>
      </c>
      <c r="P714" s="79">
        <f t="shared" si="384"/>
        <v>0</v>
      </c>
      <c r="R714">
        <f t="shared" ca="1" si="394"/>
        <v>836</v>
      </c>
      <c r="S714" s="78">
        <f t="shared" ca="1" si="395"/>
        <v>121.8</v>
      </c>
      <c r="T714" s="55">
        <f t="shared" ca="1" si="385"/>
        <v>0</v>
      </c>
      <c r="U714" s="78">
        <f t="shared" ca="1" si="400"/>
        <v>2.7389054743691302E-5</v>
      </c>
      <c r="V714" s="79">
        <f t="shared" ca="1" si="396"/>
        <v>0</v>
      </c>
      <c r="W714" s="79">
        <f t="shared" ca="1" si="386"/>
        <v>0</v>
      </c>
      <c r="X714" s="80">
        <f t="shared" ca="1" si="401"/>
        <v>0</v>
      </c>
      <c r="Y714" s="80">
        <f t="shared" ca="1" si="402"/>
        <v>0</v>
      </c>
      <c r="Z714" s="80">
        <f t="shared" ca="1" si="397"/>
        <v>0</v>
      </c>
      <c r="AA714" s="80">
        <f t="shared" ca="1" si="403"/>
        <v>0</v>
      </c>
      <c r="AB714" s="81">
        <f t="shared" ca="1" si="387"/>
        <v>0</v>
      </c>
      <c r="AC714" s="79">
        <f t="shared" ca="1" si="388"/>
        <v>0</v>
      </c>
      <c r="AE714" s="35"/>
      <c r="AF714" s="35"/>
      <c r="AR714" s="69">
        <f t="shared" si="398"/>
        <v>60</v>
      </c>
      <c r="AS714" s="70">
        <f t="shared" si="404"/>
        <v>711</v>
      </c>
      <c r="AT714" s="71">
        <f t="shared" si="379"/>
        <v>7.6987307621245553E-3</v>
      </c>
      <c r="AU714" s="72">
        <f t="shared" si="389"/>
        <v>6.8214933659622723E-3</v>
      </c>
      <c r="AV714" s="73">
        <f t="shared" si="399"/>
        <v>1.0068214933659623</v>
      </c>
      <c r="AW714" s="74">
        <f>PRODUCT(AV$4:AV714)</f>
        <v>125.66432055739671</v>
      </c>
    </row>
    <row r="715" spans="5:49">
      <c r="E715">
        <f t="shared" si="377"/>
        <v>712</v>
      </c>
      <c r="F715" s="64">
        <f t="shared" si="390"/>
        <v>111.88</v>
      </c>
      <c r="G715" s="55">
        <f t="shared" si="380"/>
        <v>0</v>
      </c>
      <c r="H715" s="78">
        <f t="shared" si="405"/>
        <v>1</v>
      </c>
      <c r="I715" s="79">
        <f t="shared" si="391"/>
        <v>0</v>
      </c>
      <c r="J715" s="79">
        <f t="shared" si="381"/>
        <v>0</v>
      </c>
      <c r="K715" s="80">
        <f t="shared" si="382"/>
        <v>0</v>
      </c>
      <c r="L715" s="80">
        <f t="shared" si="392"/>
        <v>0</v>
      </c>
      <c r="M715" s="80">
        <f t="shared" si="378"/>
        <v>0</v>
      </c>
      <c r="N715" s="80">
        <f t="shared" si="393"/>
        <v>0</v>
      </c>
      <c r="O715" s="81">
        <f t="shared" si="383"/>
        <v>0</v>
      </c>
      <c r="P715" s="79">
        <f t="shared" si="384"/>
        <v>0</v>
      </c>
      <c r="R715">
        <f t="shared" ca="1" si="394"/>
        <v>837</v>
      </c>
      <c r="S715" s="78">
        <f t="shared" ca="1" si="395"/>
        <v>121.88</v>
      </c>
      <c r="T715" s="55">
        <f t="shared" ca="1" si="385"/>
        <v>0</v>
      </c>
      <c r="U715" s="78">
        <f t="shared" ca="1" si="400"/>
        <v>2.7389054743691302E-5</v>
      </c>
      <c r="V715" s="79">
        <f t="shared" ca="1" si="396"/>
        <v>0</v>
      </c>
      <c r="W715" s="79">
        <f t="shared" ca="1" si="386"/>
        <v>0</v>
      </c>
      <c r="X715" s="80">
        <f t="shared" ca="1" si="401"/>
        <v>0</v>
      </c>
      <c r="Y715" s="80">
        <f t="shared" ca="1" si="402"/>
        <v>0</v>
      </c>
      <c r="Z715" s="80">
        <f t="shared" ca="1" si="397"/>
        <v>0</v>
      </c>
      <c r="AA715" s="80">
        <f t="shared" ca="1" si="403"/>
        <v>0</v>
      </c>
      <c r="AB715" s="81">
        <f t="shared" ca="1" si="387"/>
        <v>0</v>
      </c>
      <c r="AC715" s="79">
        <f t="shared" ca="1" si="388"/>
        <v>0</v>
      </c>
      <c r="AE715" s="35"/>
      <c r="AF715" s="35"/>
      <c r="AR715" s="69">
        <f t="shared" si="398"/>
        <v>60</v>
      </c>
      <c r="AS715" s="70">
        <f t="shared" si="404"/>
        <v>712</v>
      </c>
      <c r="AT715" s="71">
        <f t="shared" si="379"/>
        <v>7.6462139213043928E-3</v>
      </c>
      <c r="AU715" s="72">
        <f t="shared" si="389"/>
        <v>6.8214933659622723E-3</v>
      </c>
      <c r="AV715" s="73">
        <f t="shared" si="399"/>
        <v>1.0068214933659623</v>
      </c>
      <c r="AW715" s="74">
        <f>PRODUCT(AV$4:AV715)</f>
        <v>126.52153888641715</v>
      </c>
    </row>
    <row r="716" spans="5:49">
      <c r="E716">
        <f t="shared" si="377"/>
        <v>713</v>
      </c>
      <c r="F716" s="64">
        <f t="shared" si="390"/>
        <v>111.96</v>
      </c>
      <c r="G716" s="55">
        <f t="shared" si="380"/>
        <v>0</v>
      </c>
      <c r="H716" s="78">
        <f t="shared" si="405"/>
        <v>1</v>
      </c>
      <c r="I716" s="79">
        <f t="shared" si="391"/>
        <v>0</v>
      </c>
      <c r="J716" s="79">
        <f t="shared" si="381"/>
        <v>0</v>
      </c>
      <c r="K716" s="80">
        <f t="shared" si="382"/>
        <v>0</v>
      </c>
      <c r="L716" s="80">
        <f t="shared" si="392"/>
        <v>0</v>
      </c>
      <c r="M716" s="80">
        <f t="shared" si="378"/>
        <v>0</v>
      </c>
      <c r="N716" s="80">
        <f t="shared" si="393"/>
        <v>0</v>
      </c>
      <c r="O716" s="81">
        <f t="shared" si="383"/>
        <v>0</v>
      </c>
      <c r="P716" s="79">
        <f t="shared" si="384"/>
        <v>0</v>
      </c>
      <c r="R716">
        <f t="shared" ca="1" si="394"/>
        <v>838</v>
      </c>
      <c r="S716" s="78">
        <f t="shared" ca="1" si="395"/>
        <v>121.96</v>
      </c>
      <c r="T716" s="55">
        <f t="shared" ca="1" si="385"/>
        <v>0</v>
      </c>
      <c r="U716" s="78">
        <f t="shared" ca="1" si="400"/>
        <v>2.7389054743691302E-5</v>
      </c>
      <c r="V716" s="79">
        <f t="shared" ca="1" si="396"/>
        <v>0</v>
      </c>
      <c r="W716" s="79">
        <f t="shared" ca="1" si="386"/>
        <v>0</v>
      </c>
      <c r="X716" s="80">
        <f t="shared" ca="1" si="401"/>
        <v>0</v>
      </c>
      <c r="Y716" s="80">
        <f t="shared" ca="1" si="402"/>
        <v>0</v>
      </c>
      <c r="Z716" s="80">
        <f t="shared" ca="1" si="397"/>
        <v>0</v>
      </c>
      <c r="AA716" s="80">
        <f t="shared" ca="1" si="403"/>
        <v>0</v>
      </c>
      <c r="AB716" s="81">
        <f t="shared" ca="1" si="387"/>
        <v>0</v>
      </c>
      <c r="AC716" s="79">
        <f t="shared" ca="1" si="388"/>
        <v>0</v>
      </c>
      <c r="AE716" s="35"/>
      <c r="AF716" s="35"/>
      <c r="AR716" s="69">
        <f t="shared" si="398"/>
        <v>60</v>
      </c>
      <c r="AS716" s="70">
        <f t="shared" si="404"/>
        <v>713</v>
      </c>
      <c r="AT716" s="71">
        <f t="shared" si="379"/>
        <v>7.5940553237654864E-3</v>
      </c>
      <c r="AU716" s="72">
        <f t="shared" si="389"/>
        <v>6.8214933659622723E-3</v>
      </c>
      <c r="AV716" s="73">
        <f t="shared" si="399"/>
        <v>1.0068214933659623</v>
      </c>
      <c r="AW716" s="74">
        <f>PRODUCT(AV$4:AV716)</f>
        <v>127.38460472458218</v>
      </c>
    </row>
    <row r="717" spans="5:49">
      <c r="E717">
        <f t="shared" si="377"/>
        <v>714</v>
      </c>
      <c r="F717" s="64">
        <f t="shared" si="390"/>
        <v>112.04</v>
      </c>
      <c r="G717" s="55">
        <f t="shared" si="380"/>
        <v>0</v>
      </c>
      <c r="H717" s="78">
        <f t="shared" si="405"/>
        <v>1</v>
      </c>
      <c r="I717" s="79">
        <f t="shared" si="391"/>
        <v>0</v>
      </c>
      <c r="J717" s="79">
        <f t="shared" si="381"/>
        <v>0</v>
      </c>
      <c r="K717" s="80">
        <f t="shared" si="382"/>
        <v>0</v>
      </c>
      <c r="L717" s="80">
        <f t="shared" si="392"/>
        <v>0</v>
      </c>
      <c r="M717" s="80">
        <f t="shared" si="378"/>
        <v>0</v>
      </c>
      <c r="N717" s="80">
        <f t="shared" si="393"/>
        <v>0</v>
      </c>
      <c r="O717" s="81">
        <f t="shared" si="383"/>
        <v>0</v>
      </c>
      <c r="P717" s="79">
        <f t="shared" si="384"/>
        <v>0</v>
      </c>
      <c r="R717">
        <f t="shared" ca="1" si="394"/>
        <v>839</v>
      </c>
      <c r="S717" s="78">
        <f t="shared" ca="1" si="395"/>
        <v>122.04</v>
      </c>
      <c r="T717" s="55">
        <f t="shared" ca="1" si="385"/>
        <v>0</v>
      </c>
      <c r="U717" s="78">
        <f t="shared" ca="1" si="400"/>
        <v>2.7389054743691302E-5</v>
      </c>
      <c r="V717" s="79">
        <f t="shared" ca="1" si="396"/>
        <v>0</v>
      </c>
      <c r="W717" s="79">
        <f t="shared" ca="1" si="386"/>
        <v>0</v>
      </c>
      <c r="X717" s="80">
        <f t="shared" ca="1" si="401"/>
        <v>0</v>
      </c>
      <c r="Y717" s="80">
        <f t="shared" ca="1" si="402"/>
        <v>0</v>
      </c>
      <c r="Z717" s="80">
        <f t="shared" ca="1" si="397"/>
        <v>0</v>
      </c>
      <c r="AA717" s="80">
        <f t="shared" ca="1" si="403"/>
        <v>0</v>
      </c>
      <c r="AB717" s="81">
        <f t="shared" ca="1" si="387"/>
        <v>0</v>
      </c>
      <c r="AC717" s="79">
        <f t="shared" ca="1" si="388"/>
        <v>0</v>
      </c>
      <c r="AE717" s="35"/>
      <c r="AF717" s="35"/>
      <c r="AR717" s="69">
        <f t="shared" si="398"/>
        <v>60</v>
      </c>
      <c r="AS717" s="70">
        <f t="shared" si="404"/>
        <v>714</v>
      </c>
      <c r="AT717" s="71">
        <f t="shared" si="379"/>
        <v>7.5422525257536699E-3</v>
      </c>
      <c r="AU717" s="72">
        <f t="shared" si="389"/>
        <v>6.8214933659622723E-3</v>
      </c>
      <c r="AV717" s="73">
        <f t="shared" si="399"/>
        <v>1.0068214933659623</v>
      </c>
      <c r="AW717" s="74">
        <f>PRODUCT(AV$4:AV717)</f>
        <v>128.25355796063664</v>
      </c>
    </row>
    <row r="718" spans="5:49">
      <c r="E718">
        <f t="shared" si="377"/>
        <v>715</v>
      </c>
      <c r="F718" s="64">
        <f t="shared" si="390"/>
        <v>112.12</v>
      </c>
      <c r="G718" s="55">
        <f t="shared" si="380"/>
        <v>0</v>
      </c>
      <c r="H718" s="78">
        <f t="shared" si="405"/>
        <v>1</v>
      </c>
      <c r="I718" s="79">
        <f t="shared" si="391"/>
        <v>0</v>
      </c>
      <c r="J718" s="79">
        <f t="shared" si="381"/>
        <v>0</v>
      </c>
      <c r="K718" s="80">
        <f t="shared" si="382"/>
        <v>0</v>
      </c>
      <c r="L718" s="80">
        <f t="shared" si="392"/>
        <v>0</v>
      </c>
      <c r="M718" s="80">
        <f t="shared" si="378"/>
        <v>0</v>
      </c>
      <c r="N718" s="80">
        <f t="shared" si="393"/>
        <v>0</v>
      </c>
      <c r="O718" s="81">
        <f t="shared" si="383"/>
        <v>0</v>
      </c>
      <c r="P718" s="79">
        <f t="shared" si="384"/>
        <v>0</v>
      </c>
      <c r="R718">
        <f t="shared" ca="1" si="394"/>
        <v>840</v>
      </c>
      <c r="S718" s="78">
        <f t="shared" ca="1" si="395"/>
        <v>122.12</v>
      </c>
      <c r="T718" s="55">
        <f t="shared" ca="1" si="385"/>
        <v>0</v>
      </c>
      <c r="U718" s="78">
        <f t="shared" ca="1" si="400"/>
        <v>2.7389054743691302E-5</v>
      </c>
      <c r="V718" s="79">
        <f t="shared" ca="1" si="396"/>
        <v>0</v>
      </c>
      <c r="W718" s="79">
        <f t="shared" ca="1" si="386"/>
        <v>0</v>
      </c>
      <c r="X718" s="80">
        <f t="shared" ca="1" si="401"/>
        <v>0</v>
      </c>
      <c r="Y718" s="80">
        <f t="shared" ca="1" si="402"/>
        <v>0</v>
      </c>
      <c r="Z718" s="80">
        <f t="shared" ca="1" si="397"/>
        <v>0</v>
      </c>
      <c r="AA718" s="80">
        <f t="shared" ca="1" si="403"/>
        <v>0</v>
      </c>
      <c r="AB718" s="81">
        <f t="shared" ca="1" si="387"/>
        <v>0</v>
      </c>
      <c r="AC718" s="79">
        <f t="shared" ca="1" si="388"/>
        <v>0</v>
      </c>
      <c r="AE718" s="35"/>
      <c r="AF718" s="35"/>
      <c r="AR718" s="69">
        <f t="shared" si="398"/>
        <v>60</v>
      </c>
      <c r="AS718" s="70">
        <f t="shared" si="404"/>
        <v>715</v>
      </c>
      <c r="AT718" s="71">
        <f t="shared" si="379"/>
        <v>7.4908031001848291E-3</v>
      </c>
      <c r="AU718" s="72">
        <f t="shared" si="389"/>
        <v>6.8214933659622723E-3</v>
      </c>
      <c r="AV718" s="73">
        <f t="shared" si="399"/>
        <v>1.0068214933659623</v>
      </c>
      <c r="AW718" s="74">
        <f>PRODUCT(AV$4:AV718)</f>
        <v>129.12843875542617</v>
      </c>
    </row>
    <row r="719" spans="5:49">
      <c r="E719">
        <f t="shared" si="377"/>
        <v>716</v>
      </c>
      <c r="F719" s="64">
        <f t="shared" si="390"/>
        <v>112.2</v>
      </c>
      <c r="G719" s="55">
        <f t="shared" si="380"/>
        <v>0</v>
      </c>
      <c r="H719" s="78">
        <f t="shared" si="405"/>
        <v>1</v>
      </c>
      <c r="I719" s="79">
        <f t="shared" si="391"/>
        <v>0</v>
      </c>
      <c r="J719" s="79">
        <f t="shared" si="381"/>
        <v>0</v>
      </c>
      <c r="K719" s="80">
        <f t="shared" si="382"/>
        <v>0</v>
      </c>
      <c r="L719" s="80">
        <f t="shared" si="392"/>
        <v>0</v>
      </c>
      <c r="M719" s="80">
        <f t="shared" si="378"/>
        <v>0</v>
      </c>
      <c r="N719" s="80">
        <f t="shared" si="393"/>
        <v>0</v>
      </c>
      <c r="O719" s="81">
        <f t="shared" si="383"/>
        <v>0</v>
      </c>
      <c r="P719" s="79">
        <f t="shared" si="384"/>
        <v>0</v>
      </c>
      <c r="R719">
        <f t="shared" ca="1" si="394"/>
        <v>841</v>
      </c>
      <c r="S719" s="78">
        <f t="shared" ca="1" si="395"/>
        <v>122.2</v>
      </c>
      <c r="T719" s="55">
        <f t="shared" ca="1" si="385"/>
        <v>0</v>
      </c>
      <c r="U719" s="78">
        <f t="shared" ca="1" si="400"/>
        <v>2.7389054743691302E-5</v>
      </c>
      <c r="V719" s="79">
        <f t="shared" ca="1" si="396"/>
        <v>0</v>
      </c>
      <c r="W719" s="79">
        <f t="shared" ca="1" si="386"/>
        <v>0</v>
      </c>
      <c r="X719" s="80">
        <f t="shared" ca="1" si="401"/>
        <v>0</v>
      </c>
      <c r="Y719" s="80">
        <f t="shared" ca="1" si="402"/>
        <v>0</v>
      </c>
      <c r="Z719" s="80">
        <f t="shared" ca="1" si="397"/>
        <v>0</v>
      </c>
      <c r="AA719" s="80">
        <f t="shared" ca="1" si="403"/>
        <v>0</v>
      </c>
      <c r="AB719" s="81">
        <f t="shared" ca="1" si="387"/>
        <v>0</v>
      </c>
      <c r="AC719" s="79">
        <f t="shared" ca="1" si="388"/>
        <v>0</v>
      </c>
      <c r="AE719" s="35"/>
      <c r="AF719" s="35"/>
      <c r="AR719" s="69">
        <f t="shared" si="398"/>
        <v>60</v>
      </c>
      <c r="AS719" s="70">
        <f t="shared" si="404"/>
        <v>716</v>
      </c>
      <c r="AT719" s="71">
        <f t="shared" si="379"/>
        <v>7.439704636531189E-3</v>
      </c>
      <c r="AU719" s="72">
        <f t="shared" si="389"/>
        <v>6.8214933659622723E-3</v>
      </c>
      <c r="AV719" s="73">
        <f t="shared" si="399"/>
        <v>1.0068214933659623</v>
      </c>
      <c r="AW719" s="74">
        <f>PRODUCT(AV$4:AV719)</f>
        <v>130.00928754375337</v>
      </c>
    </row>
    <row r="720" spans="5:49">
      <c r="E720">
        <f t="shared" ref="E720:E783" si="406">E719+1</f>
        <v>717</v>
      </c>
      <c r="F720" s="64">
        <f t="shared" si="390"/>
        <v>112.28</v>
      </c>
      <c r="G720" s="55">
        <f t="shared" si="380"/>
        <v>0</v>
      </c>
      <c r="H720" s="78">
        <f t="shared" si="405"/>
        <v>1</v>
      </c>
      <c r="I720" s="79">
        <f t="shared" si="391"/>
        <v>0</v>
      </c>
      <c r="J720" s="79">
        <f t="shared" si="381"/>
        <v>0</v>
      </c>
      <c r="K720" s="80">
        <f t="shared" si="382"/>
        <v>0</v>
      </c>
      <c r="L720" s="80">
        <f t="shared" si="392"/>
        <v>0</v>
      </c>
      <c r="M720" s="80">
        <f t="shared" ref="M720:M783" si="407">IF(OR(I719+O719=0,K719=0),0,-IF(MOD(E720-1,12)=0,1,0)*I720*($C$17))</f>
        <v>0</v>
      </c>
      <c r="N720" s="80">
        <f t="shared" si="393"/>
        <v>0</v>
      </c>
      <c r="O720" s="81">
        <f t="shared" si="383"/>
        <v>0</v>
      </c>
      <c r="P720" s="79">
        <f t="shared" si="384"/>
        <v>0</v>
      </c>
      <c r="R720">
        <f t="shared" ca="1" si="394"/>
        <v>842</v>
      </c>
      <c r="S720" s="78">
        <f t="shared" ca="1" si="395"/>
        <v>122.28</v>
      </c>
      <c r="T720" s="55">
        <f t="shared" ca="1" si="385"/>
        <v>0</v>
      </c>
      <c r="U720" s="78">
        <f t="shared" ca="1" si="400"/>
        <v>2.7389054743691302E-5</v>
      </c>
      <c r="V720" s="79">
        <f t="shared" ca="1" si="396"/>
        <v>0</v>
      </c>
      <c r="W720" s="79">
        <f t="shared" ca="1" si="386"/>
        <v>0</v>
      </c>
      <c r="X720" s="80">
        <f t="shared" ca="1" si="401"/>
        <v>0</v>
      </c>
      <c r="Y720" s="80">
        <f t="shared" ca="1" si="402"/>
        <v>0</v>
      </c>
      <c r="Z720" s="80">
        <f t="shared" ca="1" si="397"/>
        <v>0</v>
      </c>
      <c r="AA720" s="80">
        <f t="shared" ca="1" si="403"/>
        <v>0</v>
      </c>
      <c r="AB720" s="81">
        <f t="shared" ca="1" si="387"/>
        <v>0</v>
      </c>
      <c r="AC720" s="79">
        <f t="shared" ca="1" si="388"/>
        <v>0</v>
      </c>
      <c r="AE720" s="35"/>
      <c r="AF720" s="35"/>
      <c r="AR720" s="69">
        <f t="shared" si="398"/>
        <v>60</v>
      </c>
      <c r="AS720" s="70">
        <f t="shared" si="404"/>
        <v>717</v>
      </c>
      <c r="AT720" s="71">
        <f t="shared" si="379"/>
        <v>7.3889547407083728E-3</v>
      </c>
      <c r="AU720" s="72">
        <f t="shared" si="389"/>
        <v>6.8214933659622723E-3</v>
      </c>
      <c r="AV720" s="73">
        <f t="shared" si="399"/>
        <v>1.0068214933659623</v>
      </c>
      <c r="AW720" s="74">
        <f>PRODUCT(AV$4:AV720)</f>
        <v>130.89614503624657</v>
      </c>
    </row>
    <row r="721" spans="5:49">
      <c r="E721">
        <f t="shared" si="406"/>
        <v>718</v>
      </c>
      <c r="F721" s="64">
        <f t="shared" si="390"/>
        <v>112.36</v>
      </c>
      <c r="G721" s="55">
        <f t="shared" si="380"/>
        <v>0</v>
      </c>
      <c r="H721" s="78">
        <f t="shared" si="405"/>
        <v>1</v>
      </c>
      <c r="I721" s="79">
        <f t="shared" si="391"/>
        <v>0</v>
      </c>
      <c r="J721" s="79">
        <f t="shared" si="381"/>
        <v>0</v>
      </c>
      <c r="K721" s="80">
        <f t="shared" si="382"/>
        <v>0</v>
      </c>
      <c r="L721" s="80">
        <f t="shared" si="392"/>
        <v>0</v>
      </c>
      <c r="M721" s="80">
        <f t="shared" si="407"/>
        <v>0</v>
      </c>
      <c r="N721" s="80">
        <f t="shared" si="393"/>
        <v>0</v>
      </c>
      <c r="O721" s="81">
        <f t="shared" si="383"/>
        <v>0</v>
      </c>
      <c r="P721" s="79">
        <f t="shared" si="384"/>
        <v>0</v>
      </c>
      <c r="R721">
        <f t="shared" ca="1" si="394"/>
        <v>843</v>
      </c>
      <c r="S721" s="78">
        <f t="shared" ca="1" si="395"/>
        <v>122.36</v>
      </c>
      <c r="T721" s="55">
        <f t="shared" ca="1" si="385"/>
        <v>0</v>
      </c>
      <c r="U721" s="78">
        <f t="shared" ca="1" si="400"/>
        <v>2.7389054743691302E-5</v>
      </c>
      <c r="V721" s="79">
        <f t="shared" ca="1" si="396"/>
        <v>0</v>
      </c>
      <c r="W721" s="79">
        <f t="shared" ca="1" si="386"/>
        <v>0</v>
      </c>
      <c r="X721" s="80">
        <f t="shared" ca="1" si="401"/>
        <v>0</v>
      </c>
      <c r="Y721" s="80">
        <f t="shared" ca="1" si="402"/>
        <v>0</v>
      </c>
      <c r="Z721" s="80">
        <f t="shared" ca="1" si="397"/>
        <v>0</v>
      </c>
      <c r="AA721" s="80">
        <f t="shared" ca="1" si="403"/>
        <v>0</v>
      </c>
      <c r="AB721" s="81">
        <f t="shared" ca="1" si="387"/>
        <v>0</v>
      </c>
      <c r="AC721" s="79">
        <f t="shared" ca="1" si="388"/>
        <v>0</v>
      </c>
      <c r="AE721" s="35"/>
      <c r="AF721" s="35"/>
      <c r="AR721" s="69">
        <f t="shared" si="398"/>
        <v>60</v>
      </c>
      <c r="AS721" s="70">
        <f t="shared" si="404"/>
        <v>718</v>
      </c>
      <c r="AT721" s="71">
        <f t="shared" si="379"/>
        <v>7.338551034963235E-3</v>
      </c>
      <c r="AU721" s="72">
        <f t="shared" si="389"/>
        <v>6.8214933659622723E-3</v>
      </c>
      <c r="AV721" s="73">
        <f t="shared" si="399"/>
        <v>1.0068214933659623</v>
      </c>
      <c r="AW721" s="74">
        <f>PRODUCT(AV$4:AV721)</f>
        <v>131.78905222124135</v>
      </c>
    </row>
    <row r="722" spans="5:49">
      <c r="E722">
        <f t="shared" si="406"/>
        <v>719</v>
      </c>
      <c r="F722" s="64">
        <f t="shared" si="390"/>
        <v>112.44</v>
      </c>
      <c r="G722" s="55">
        <f t="shared" si="380"/>
        <v>0</v>
      </c>
      <c r="H722" s="78">
        <f t="shared" si="405"/>
        <v>1</v>
      </c>
      <c r="I722" s="79">
        <f t="shared" si="391"/>
        <v>0</v>
      </c>
      <c r="J722" s="79">
        <f t="shared" si="381"/>
        <v>0</v>
      </c>
      <c r="K722" s="80">
        <f t="shared" si="382"/>
        <v>0</v>
      </c>
      <c r="L722" s="80">
        <f t="shared" si="392"/>
        <v>0</v>
      </c>
      <c r="M722" s="80">
        <f t="shared" si="407"/>
        <v>0</v>
      </c>
      <c r="N722" s="80">
        <f t="shared" si="393"/>
        <v>0</v>
      </c>
      <c r="O722" s="81">
        <f t="shared" si="383"/>
        <v>0</v>
      </c>
      <c r="P722" s="79">
        <f t="shared" si="384"/>
        <v>0</v>
      </c>
      <c r="R722">
        <f t="shared" ca="1" si="394"/>
        <v>844</v>
      </c>
      <c r="S722" s="78">
        <f t="shared" ca="1" si="395"/>
        <v>122.44</v>
      </c>
      <c r="T722" s="55">
        <f t="shared" ca="1" si="385"/>
        <v>0</v>
      </c>
      <c r="U722" s="78">
        <f t="shared" ca="1" si="400"/>
        <v>2.7389054743691302E-5</v>
      </c>
      <c r="V722" s="79">
        <f t="shared" ca="1" si="396"/>
        <v>0</v>
      </c>
      <c r="W722" s="79">
        <f t="shared" ca="1" si="386"/>
        <v>0</v>
      </c>
      <c r="X722" s="80">
        <f t="shared" ca="1" si="401"/>
        <v>0</v>
      </c>
      <c r="Y722" s="80">
        <f t="shared" ca="1" si="402"/>
        <v>0</v>
      </c>
      <c r="Z722" s="80">
        <f t="shared" ca="1" si="397"/>
        <v>0</v>
      </c>
      <c r="AA722" s="80">
        <f t="shared" ca="1" si="403"/>
        <v>0</v>
      </c>
      <c r="AB722" s="81">
        <f t="shared" ca="1" si="387"/>
        <v>0</v>
      </c>
      <c r="AC722" s="79">
        <f t="shared" ca="1" si="388"/>
        <v>0</v>
      </c>
      <c r="AE722" s="35"/>
      <c r="AF722" s="35"/>
      <c r="AR722" s="69">
        <f t="shared" si="398"/>
        <v>60</v>
      </c>
      <c r="AS722" s="70">
        <f t="shared" si="404"/>
        <v>719</v>
      </c>
      <c r="AT722" s="71">
        <f t="shared" si="379"/>
        <v>7.2884911577624579E-3</v>
      </c>
      <c r="AU722" s="72">
        <f t="shared" si="389"/>
        <v>6.8214933659622723E-3</v>
      </c>
      <c r="AV722" s="73">
        <f t="shared" si="399"/>
        <v>1.0068214933659623</v>
      </c>
      <c r="AW722" s="74">
        <f>PRODUCT(AV$4:AV722)</f>
        <v>132.68805036667501</v>
      </c>
    </row>
    <row r="723" spans="5:49">
      <c r="E723">
        <f t="shared" si="406"/>
        <v>720</v>
      </c>
      <c r="F723" s="64">
        <f t="shared" si="390"/>
        <v>112.52</v>
      </c>
      <c r="G723" s="55">
        <f t="shared" si="380"/>
        <v>0</v>
      </c>
      <c r="H723" s="78">
        <f t="shared" si="405"/>
        <v>1</v>
      </c>
      <c r="I723" s="79">
        <f t="shared" si="391"/>
        <v>0</v>
      </c>
      <c r="J723" s="79">
        <f t="shared" si="381"/>
        <v>0</v>
      </c>
      <c r="K723" s="80">
        <f t="shared" si="382"/>
        <v>0</v>
      </c>
      <c r="L723" s="80">
        <f t="shared" si="392"/>
        <v>0</v>
      </c>
      <c r="M723" s="80">
        <f t="shared" si="407"/>
        <v>0</v>
      </c>
      <c r="N723" s="80">
        <f t="shared" si="393"/>
        <v>0</v>
      </c>
      <c r="O723" s="81">
        <f t="shared" si="383"/>
        <v>0</v>
      </c>
      <c r="P723" s="79">
        <f t="shared" si="384"/>
        <v>0</v>
      </c>
      <c r="R723">
        <f t="shared" ca="1" si="394"/>
        <v>845</v>
      </c>
      <c r="S723" s="78">
        <f t="shared" ca="1" si="395"/>
        <v>122.52</v>
      </c>
      <c r="T723" s="55">
        <f t="shared" ca="1" si="385"/>
        <v>0</v>
      </c>
      <c r="U723" s="78">
        <f t="shared" ca="1" si="400"/>
        <v>2.7389054743691302E-5</v>
      </c>
      <c r="V723" s="79">
        <f t="shared" ca="1" si="396"/>
        <v>0</v>
      </c>
      <c r="W723" s="79">
        <f t="shared" ca="1" si="386"/>
        <v>0</v>
      </c>
      <c r="X723" s="80">
        <f t="shared" ca="1" si="401"/>
        <v>0</v>
      </c>
      <c r="Y723" s="80">
        <f t="shared" ca="1" si="402"/>
        <v>0</v>
      </c>
      <c r="Z723" s="80">
        <f t="shared" ca="1" si="397"/>
        <v>0</v>
      </c>
      <c r="AA723" s="80">
        <f t="shared" ca="1" si="403"/>
        <v>0</v>
      </c>
      <c r="AB723" s="81">
        <f t="shared" ca="1" si="387"/>
        <v>0</v>
      </c>
      <c r="AC723" s="79">
        <f t="shared" ca="1" si="388"/>
        <v>0</v>
      </c>
      <c r="AE723" s="35"/>
      <c r="AF723" s="35"/>
      <c r="AR723" s="69">
        <f t="shared" si="398"/>
        <v>60</v>
      </c>
      <c r="AS723" s="70">
        <f t="shared" si="404"/>
        <v>720</v>
      </c>
      <c r="AT723" s="71">
        <f t="shared" si="379"/>
        <v>7.2387727636819069E-3</v>
      </c>
      <c r="AU723" s="72">
        <f t="shared" si="389"/>
        <v>6.8214933659622723E-3</v>
      </c>
      <c r="AV723" s="73">
        <f t="shared" si="399"/>
        <v>1.0068214933659623</v>
      </c>
      <c r="AW723" s="74">
        <f>PRODUCT(AV$4:AV723)</f>
        <v>133.59318102199376</v>
      </c>
    </row>
    <row r="724" spans="5:49">
      <c r="E724">
        <f t="shared" si="406"/>
        <v>721</v>
      </c>
      <c r="F724" s="64">
        <f t="shared" si="390"/>
        <v>112.6</v>
      </c>
      <c r="G724" s="55">
        <f t="shared" si="380"/>
        <v>0</v>
      </c>
      <c r="H724" s="78">
        <f t="shared" si="405"/>
        <v>1</v>
      </c>
      <c r="I724" s="79">
        <f t="shared" si="391"/>
        <v>0</v>
      </c>
      <c r="J724" s="79">
        <f t="shared" si="381"/>
        <v>0</v>
      </c>
      <c r="K724" s="80">
        <f t="shared" si="382"/>
        <v>0</v>
      </c>
      <c r="L724" s="80">
        <f t="shared" si="392"/>
        <v>0</v>
      </c>
      <c r="M724" s="80">
        <f t="shared" si="407"/>
        <v>0</v>
      </c>
      <c r="N724" s="80">
        <f t="shared" si="393"/>
        <v>0</v>
      </c>
      <c r="O724" s="81">
        <f t="shared" si="383"/>
        <v>0</v>
      </c>
      <c r="P724" s="79">
        <f t="shared" si="384"/>
        <v>0</v>
      </c>
      <c r="R724">
        <f t="shared" ca="1" si="394"/>
        <v>846</v>
      </c>
      <c r="S724" s="78">
        <f t="shared" ca="1" si="395"/>
        <v>122.6</v>
      </c>
      <c r="T724" s="55">
        <f t="shared" ca="1" si="385"/>
        <v>0</v>
      </c>
      <c r="U724" s="78">
        <f t="shared" ca="1" si="400"/>
        <v>2.7389054743691302E-5</v>
      </c>
      <c r="V724" s="79">
        <f t="shared" ca="1" si="396"/>
        <v>0</v>
      </c>
      <c r="W724" s="79">
        <f t="shared" ca="1" si="386"/>
        <v>0</v>
      </c>
      <c r="X724" s="80">
        <f t="shared" ca="1" si="401"/>
        <v>0</v>
      </c>
      <c r="Y724" s="80">
        <f t="shared" ca="1" si="402"/>
        <v>0</v>
      </c>
      <c r="Z724" s="80">
        <f t="shared" ca="1" si="397"/>
        <v>0</v>
      </c>
      <c r="AA724" s="80">
        <f t="shared" ca="1" si="403"/>
        <v>0</v>
      </c>
      <c r="AB724" s="81">
        <f t="shared" ca="1" si="387"/>
        <v>0</v>
      </c>
      <c r="AC724" s="79">
        <f t="shared" ca="1" si="388"/>
        <v>0</v>
      </c>
      <c r="AE724" s="35"/>
      <c r="AF724" s="35"/>
      <c r="AR724" s="69">
        <f t="shared" si="398"/>
        <v>61</v>
      </c>
      <c r="AS724" s="70">
        <f t="shared" si="404"/>
        <v>721</v>
      </c>
      <c r="AT724" s="71">
        <f t="shared" si="379"/>
        <v>7.1893935232967424E-3</v>
      </c>
      <c r="AU724" s="72">
        <f t="shared" si="389"/>
        <v>6.8214933659622723E-3</v>
      </c>
      <c r="AV724" s="73">
        <f t="shared" si="399"/>
        <v>1.0068214933659623</v>
      </c>
      <c r="AW724" s="74">
        <f>PRODUCT(AV$4:AV724)</f>
        <v>134.50448602007307</v>
      </c>
    </row>
    <row r="725" spans="5:49">
      <c r="E725">
        <f t="shared" si="406"/>
        <v>722</v>
      </c>
      <c r="F725" s="64">
        <f t="shared" si="390"/>
        <v>112.68</v>
      </c>
      <c r="G725" s="55">
        <f t="shared" si="380"/>
        <v>0</v>
      </c>
      <c r="H725" s="78">
        <f t="shared" si="405"/>
        <v>1</v>
      </c>
      <c r="I725" s="79">
        <f t="shared" si="391"/>
        <v>0</v>
      </c>
      <c r="J725" s="79">
        <f t="shared" si="381"/>
        <v>0</v>
      </c>
      <c r="K725" s="80">
        <f t="shared" si="382"/>
        <v>0</v>
      </c>
      <c r="L725" s="80">
        <f t="shared" si="392"/>
        <v>0</v>
      </c>
      <c r="M725" s="80">
        <f t="shared" si="407"/>
        <v>0</v>
      </c>
      <c r="N725" s="80">
        <f t="shared" si="393"/>
        <v>0</v>
      </c>
      <c r="O725" s="81">
        <f t="shared" si="383"/>
        <v>0</v>
      </c>
      <c r="P725" s="79">
        <f t="shared" si="384"/>
        <v>0</v>
      </c>
      <c r="R725">
        <f t="shared" ca="1" si="394"/>
        <v>847</v>
      </c>
      <c r="S725" s="78">
        <f t="shared" ca="1" si="395"/>
        <v>122.68</v>
      </c>
      <c r="T725" s="55">
        <f t="shared" ca="1" si="385"/>
        <v>0</v>
      </c>
      <c r="U725" s="78">
        <f t="shared" ca="1" si="400"/>
        <v>2.7389054743691302E-5</v>
      </c>
      <c r="V725" s="79">
        <f t="shared" ca="1" si="396"/>
        <v>0</v>
      </c>
      <c r="W725" s="79">
        <f t="shared" ca="1" si="386"/>
        <v>0</v>
      </c>
      <c r="X725" s="80">
        <f t="shared" ca="1" si="401"/>
        <v>0</v>
      </c>
      <c r="Y725" s="80">
        <f t="shared" ca="1" si="402"/>
        <v>0</v>
      </c>
      <c r="Z725" s="80">
        <f t="shared" ca="1" si="397"/>
        <v>0</v>
      </c>
      <c r="AA725" s="80">
        <f t="shared" ca="1" si="403"/>
        <v>0</v>
      </c>
      <c r="AB725" s="81">
        <f t="shared" ca="1" si="387"/>
        <v>0</v>
      </c>
      <c r="AC725" s="79">
        <f t="shared" ca="1" si="388"/>
        <v>0</v>
      </c>
      <c r="AE725" s="35"/>
      <c r="AF725" s="35"/>
      <c r="AR725" s="69">
        <f t="shared" si="398"/>
        <v>61</v>
      </c>
      <c r="AS725" s="70">
        <f t="shared" si="404"/>
        <v>722</v>
      </c>
      <c r="AT725" s="71">
        <f t="shared" si="379"/>
        <v>7.1403511230722812E-3</v>
      </c>
      <c r="AU725" s="72">
        <f t="shared" si="389"/>
        <v>6.8214933659622723E-3</v>
      </c>
      <c r="AV725" s="73">
        <f t="shared" si="399"/>
        <v>1.0068214933659623</v>
      </c>
      <c r="AW725" s="74">
        <f>PRODUCT(AV$4:AV725)</f>
        <v>135.42200747915118</v>
      </c>
    </row>
    <row r="726" spans="5:49">
      <c r="E726">
        <f t="shared" si="406"/>
        <v>723</v>
      </c>
      <c r="F726" s="64">
        <f t="shared" si="390"/>
        <v>112.76</v>
      </c>
      <c r="G726" s="55">
        <f t="shared" si="380"/>
        <v>0</v>
      </c>
      <c r="H726" s="78">
        <f t="shared" si="405"/>
        <v>1</v>
      </c>
      <c r="I726" s="79">
        <f t="shared" si="391"/>
        <v>0</v>
      </c>
      <c r="J726" s="79">
        <f t="shared" si="381"/>
        <v>0</v>
      </c>
      <c r="K726" s="80">
        <f t="shared" si="382"/>
        <v>0</v>
      </c>
      <c r="L726" s="80">
        <f t="shared" si="392"/>
        <v>0</v>
      </c>
      <c r="M726" s="80">
        <f t="shared" si="407"/>
        <v>0</v>
      </c>
      <c r="N726" s="80">
        <f t="shared" si="393"/>
        <v>0</v>
      </c>
      <c r="O726" s="81">
        <f t="shared" si="383"/>
        <v>0</v>
      </c>
      <c r="P726" s="79">
        <f t="shared" si="384"/>
        <v>0</v>
      </c>
      <c r="R726">
        <f t="shared" ca="1" si="394"/>
        <v>848</v>
      </c>
      <c r="S726" s="78">
        <f t="shared" ca="1" si="395"/>
        <v>122.76</v>
      </c>
      <c r="T726" s="55">
        <f t="shared" ca="1" si="385"/>
        <v>0</v>
      </c>
      <c r="U726" s="78">
        <f t="shared" ca="1" si="400"/>
        <v>2.7389054743691302E-5</v>
      </c>
      <c r="V726" s="79">
        <f t="shared" ca="1" si="396"/>
        <v>0</v>
      </c>
      <c r="W726" s="79">
        <f t="shared" ca="1" si="386"/>
        <v>0</v>
      </c>
      <c r="X726" s="80">
        <f t="shared" ca="1" si="401"/>
        <v>0</v>
      </c>
      <c r="Y726" s="80">
        <f t="shared" ca="1" si="402"/>
        <v>0</v>
      </c>
      <c r="Z726" s="80">
        <f t="shared" ca="1" si="397"/>
        <v>0</v>
      </c>
      <c r="AA726" s="80">
        <f t="shared" ca="1" si="403"/>
        <v>0</v>
      </c>
      <c r="AB726" s="81">
        <f t="shared" ca="1" si="387"/>
        <v>0</v>
      </c>
      <c r="AC726" s="79">
        <f t="shared" ca="1" si="388"/>
        <v>0</v>
      </c>
      <c r="AE726" s="35"/>
      <c r="AF726" s="35"/>
      <c r="AR726" s="69">
        <f t="shared" si="398"/>
        <v>61</v>
      </c>
      <c r="AS726" s="70">
        <f t="shared" si="404"/>
        <v>723</v>
      </c>
      <c r="AT726" s="71">
        <f t="shared" si="379"/>
        <v>7.0916432652556021E-3</v>
      </c>
      <c r="AU726" s="72">
        <f t="shared" si="389"/>
        <v>6.8214933659622723E-3</v>
      </c>
      <c r="AV726" s="73">
        <f t="shared" si="399"/>
        <v>1.0068214933659623</v>
      </c>
      <c r="AW726" s="74">
        <f>PRODUCT(AV$4:AV726)</f>
        <v>136.34578780477551</v>
      </c>
    </row>
    <row r="727" spans="5:49">
      <c r="E727">
        <f t="shared" si="406"/>
        <v>724</v>
      </c>
      <c r="F727" s="64">
        <f t="shared" si="390"/>
        <v>112.84</v>
      </c>
      <c r="G727" s="55">
        <f t="shared" si="380"/>
        <v>0</v>
      </c>
      <c r="H727" s="78">
        <f t="shared" si="405"/>
        <v>1</v>
      </c>
      <c r="I727" s="79">
        <f t="shared" si="391"/>
        <v>0</v>
      </c>
      <c r="J727" s="79">
        <f t="shared" si="381"/>
        <v>0</v>
      </c>
      <c r="K727" s="80">
        <f t="shared" si="382"/>
        <v>0</v>
      </c>
      <c r="L727" s="80">
        <f t="shared" si="392"/>
        <v>0</v>
      </c>
      <c r="M727" s="80">
        <f t="shared" si="407"/>
        <v>0</v>
      </c>
      <c r="N727" s="80">
        <f t="shared" si="393"/>
        <v>0</v>
      </c>
      <c r="O727" s="81">
        <f t="shared" si="383"/>
        <v>0</v>
      </c>
      <c r="P727" s="79">
        <f t="shared" si="384"/>
        <v>0</v>
      </c>
      <c r="R727">
        <f t="shared" ca="1" si="394"/>
        <v>849</v>
      </c>
      <c r="S727" s="78">
        <f t="shared" ca="1" si="395"/>
        <v>122.84</v>
      </c>
      <c r="T727" s="55">
        <f t="shared" ca="1" si="385"/>
        <v>0</v>
      </c>
      <c r="U727" s="78">
        <f t="shared" ca="1" si="400"/>
        <v>2.7389054743691302E-5</v>
      </c>
      <c r="V727" s="79">
        <f t="shared" ca="1" si="396"/>
        <v>0</v>
      </c>
      <c r="W727" s="79">
        <f t="shared" ca="1" si="386"/>
        <v>0</v>
      </c>
      <c r="X727" s="80">
        <f t="shared" ca="1" si="401"/>
        <v>0</v>
      </c>
      <c r="Y727" s="80">
        <f t="shared" ca="1" si="402"/>
        <v>0</v>
      </c>
      <c r="Z727" s="80">
        <f t="shared" ca="1" si="397"/>
        <v>0</v>
      </c>
      <c r="AA727" s="80">
        <f t="shared" ca="1" si="403"/>
        <v>0</v>
      </c>
      <c r="AB727" s="81">
        <f t="shared" ca="1" si="387"/>
        <v>0</v>
      </c>
      <c r="AC727" s="79">
        <f t="shared" ca="1" si="388"/>
        <v>0</v>
      </c>
      <c r="AE727" s="35"/>
      <c r="AF727" s="35"/>
      <c r="AR727" s="69">
        <f t="shared" si="398"/>
        <v>61</v>
      </c>
      <c r="AS727" s="70">
        <f t="shared" si="404"/>
        <v>724</v>
      </c>
      <c r="AT727" s="71">
        <f t="shared" ref="AT727:AT790" si="408">(1-AU727)*AT726</f>
        <v>7.0432676677678902E-3</v>
      </c>
      <c r="AU727" s="72">
        <f t="shared" si="389"/>
        <v>6.8214933659622723E-3</v>
      </c>
      <c r="AV727" s="73">
        <f t="shared" si="399"/>
        <v>1.0068214933659623</v>
      </c>
      <c r="AW727" s="74">
        <f>PRODUCT(AV$4:AV727)</f>
        <v>137.27586969176269</v>
      </c>
    </row>
    <row r="728" spans="5:49">
      <c r="E728">
        <f t="shared" si="406"/>
        <v>725</v>
      </c>
      <c r="F728" s="64">
        <f t="shared" si="390"/>
        <v>112.92</v>
      </c>
      <c r="G728" s="55">
        <f t="shared" si="380"/>
        <v>0</v>
      </c>
      <c r="H728" s="78">
        <f t="shared" si="405"/>
        <v>1</v>
      </c>
      <c r="I728" s="79">
        <f t="shared" si="391"/>
        <v>0</v>
      </c>
      <c r="J728" s="79">
        <f t="shared" si="381"/>
        <v>0</v>
      </c>
      <c r="K728" s="80">
        <f t="shared" si="382"/>
        <v>0</v>
      </c>
      <c r="L728" s="80">
        <f t="shared" si="392"/>
        <v>0</v>
      </c>
      <c r="M728" s="80">
        <f t="shared" si="407"/>
        <v>0</v>
      </c>
      <c r="N728" s="80">
        <f t="shared" si="393"/>
        <v>0</v>
      </c>
      <c r="O728" s="81">
        <f t="shared" si="383"/>
        <v>0</v>
      </c>
      <c r="P728" s="79">
        <f t="shared" si="384"/>
        <v>0</v>
      </c>
      <c r="R728">
        <f t="shared" ca="1" si="394"/>
        <v>850</v>
      </c>
      <c r="S728" s="78">
        <f t="shared" ca="1" si="395"/>
        <v>122.92</v>
      </c>
      <c r="T728" s="55">
        <f t="shared" ca="1" si="385"/>
        <v>0</v>
      </c>
      <c r="U728" s="78">
        <f t="shared" ca="1" si="400"/>
        <v>2.7389054743691302E-5</v>
      </c>
      <c r="V728" s="79">
        <f t="shared" ca="1" si="396"/>
        <v>0</v>
      </c>
      <c r="W728" s="79">
        <f t="shared" ca="1" si="386"/>
        <v>0</v>
      </c>
      <c r="X728" s="80">
        <f t="shared" ca="1" si="401"/>
        <v>0</v>
      </c>
      <c r="Y728" s="80">
        <f t="shared" ca="1" si="402"/>
        <v>0</v>
      </c>
      <c r="Z728" s="80">
        <f t="shared" ca="1" si="397"/>
        <v>0</v>
      </c>
      <c r="AA728" s="80">
        <f t="shared" ca="1" si="403"/>
        <v>0</v>
      </c>
      <c r="AB728" s="81">
        <f t="shared" ca="1" si="387"/>
        <v>0</v>
      </c>
      <c r="AC728" s="79">
        <f t="shared" ca="1" si="388"/>
        <v>0</v>
      </c>
      <c r="AE728" s="35"/>
      <c r="AF728" s="35"/>
      <c r="AR728" s="69">
        <f t="shared" si="398"/>
        <v>61</v>
      </c>
      <c r="AS728" s="70">
        <f t="shared" si="404"/>
        <v>725</v>
      </c>
      <c r="AT728" s="71">
        <f t="shared" si="408"/>
        <v>6.9952220640975152E-3</v>
      </c>
      <c r="AU728" s="72">
        <f t="shared" si="389"/>
        <v>6.8214933659622723E-3</v>
      </c>
      <c r="AV728" s="73">
        <f t="shared" si="399"/>
        <v>1.0068214933659623</v>
      </c>
      <c r="AW728" s="74">
        <f>PRODUCT(AV$4:AV728)</f>
        <v>138.21229612617176</v>
      </c>
    </row>
    <row r="729" spans="5:49">
      <c r="E729">
        <f t="shared" si="406"/>
        <v>726</v>
      </c>
      <c r="F729" s="64">
        <f t="shared" si="390"/>
        <v>113</v>
      </c>
      <c r="G729" s="55">
        <f t="shared" si="380"/>
        <v>0</v>
      </c>
      <c r="H729" s="78">
        <f t="shared" si="405"/>
        <v>1</v>
      </c>
      <c r="I729" s="79">
        <f t="shared" si="391"/>
        <v>0</v>
      </c>
      <c r="J729" s="79">
        <f t="shared" si="381"/>
        <v>0</v>
      </c>
      <c r="K729" s="80">
        <f t="shared" si="382"/>
        <v>0</v>
      </c>
      <c r="L729" s="80">
        <f t="shared" si="392"/>
        <v>0</v>
      </c>
      <c r="M729" s="80">
        <f t="shared" si="407"/>
        <v>0</v>
      </c>
      <c r="N729" s="80">
        <f t="shared" si="393"/>
        <v>0</v>
      </c>
      <c r="O729" s="81">
        <f t="shared" si="383"/>
        <v>0</v>
      </c>
      <c r="P729" s="79">
        <f t="shared" si="384"/>
        <v>0</v>
      </c>
      <c r="R729">
        <f t="shared" ca="1" si="394"/>
        <v>851</v>
      </c>
      <c r="S729" s="78">
        <f t="shared" ca="1" si="395"/>
        <v>123</v>
      </c>
      <c r="T729" s="55">
        <f t="shared" ca="1" si="385"/>
        <v>0</v>
      </c>
      <c r="U729" s="78">
        <f t="shared" ca="1" si="400"/>
        <v>2.7389054743691302E-5</v>
      </c>
      <c r="V729" s="79">
        <f t="shared" ca="1" si="396"/>
        <v>0</v>
      </c>
      <c r="W729" s="79">
        <f t="shared" ca="1" si="386"/>
        <v>0</v>
      </c>
      <c r="X729" s="80">
        <f t="shared" ca="1" si="401"/>
        <v>0</v>
      </c>
      <c r="Y729" s="80">
        <f t="shared" ca="1" si="402"/>
        <v>0</v>
      </c>
      <c r="Z729" s="80">
        <f t="shared" ca="1" si="397"/>
        <v>0</v>
      </c>
      <c r="AA729" s="80">
        <f t="shared" ca="1" si="403"/>
        <v>0</v>
      </c>
      <c r="AB729" s="81">
        <f t="shared" ca="1" si="387"/>
        <v>0</v>
      </c>
      <c r="AC729" s="79">
        <f t="shared" ca="1" si="388"/>
        <v>0</v>
      </c>
      <c r="AE729" s="35"/>
      <c r="AF729" s="35"/>
      <c r="AR729" s="69">
        <f t="shared" si="398"/>
        <v>61</v>
      </c>
      <c r="AS729" s="70">
        <f t="shared" si="404"/>
        <v>726</v>
      </c>
      <c r="AT729" s="71">
        <f t="shared" si="408"/>
        <v>6.9475042031938413E-3</v>
      </c>
      <c r="AU729" s="72">
        <f t="shared" si="389"/>
        <v>6.8214933659622723E-3</v>
      </c>
      <c r="AV729" s="73">
        <f t="shared" si="399"/>
        <v>1.0068214933659623</v>
      </c>
      <c r="AW729" s="74">
        <f>PRODUCT(AV$4:AV729)</f>
        <v>139.15511038729085</v>
      </c>
    </row>
    <row r="730" spans="5:49">
      <c r="E730">
        <f t="shared" si="406"/>
        <v>727</v>
      </c>
      <c r="F730" s="64">
        <f t="shared" si="390"/>
        <v>113.08</v>
      </c>
      <c r="G730" s="55">
        <f t="shared" si="380"/>
        <v>0</v>
      </c>
      <c r="H730" s="78">
        <f t="shared" si="405"/>
        <v>1</v>
      </c>
      <c r="I730" s="79">
        <f t="shared" si="391"/>
        <v>0</v>
      </c>
      <c r="J730" s="79">
        <f t="shared" si="381"/>
        <v>0</v>
      </c>
      <c r="K730" s="80">
        <f t="shared" si="382"/>
        <v>0</v>
      </c>
      <c r="L730" s="80">
        <f t="shared" si="392"/>
        <v>0</v>
      </c>
      <c r="M730" s="80">
        <f t="shared" si="407"/>
        <v>0</v>
      </c>
      <c r="N730" s="80">
        <f t="shared" si="393"/>
        <v>0</v>
      </c>
      <c r="O730" s="81">
        <f t="shared" si="383"/>
        <v>0</v>
      </c>
      <c r="P730" s="79">
        <f t="shared" si="384"/>
        <v>0</v>
      </c>
      <c r="R730">
        <f t="shared" ca="1" si="394"/>
        <v>852</v>
      </c>
      <c r="S730" s="78">
        <f t="shared" ca="1" si="395"/>
        <v>123.08</v>
      </c>
      <c r="T730" s="55">
        <f t="shared" ca="1" si="385"/>
        <v>0</v>
      </c>
      <c r="U730" s="78">
        <f t="shared" ca="1" si="400"/>
        <v>2.7389054743691302E-5</v>
      </c>
      <c r="V730" s="79">
        <f t="shared" ca="1" si="396"/>
        <v>0</v>
      </c>
      <c r="W730" s="79">
        <f t="shared" ca="1" si="386"/>
        <v>0</v>
      </c>
      <c r="X730" s="80">
        <f t="shared" ca="1" si="401"/>
        <v>0</v>
      </c>
      <c r="Y730" s="80">
        <f t="shared" ca="1" si="402"/>
        <v>0</v>
      </c>
      <c r="Z730" s="80">
        <f t="shared" ca="1" si="397"/>
        <v>0</v>
      </c>
      <c r="AA730" s="80">
        <f t="shared" ca="1" si="403"/>
        <v>0</v>
      </c>
      <c r="AB730" s="81">
        <f t="shared" ca="1" si="387"/>
        <v>0</v>
      </c>
      <c r="AC730" s="79">
        <f t="shared" ca="1" si="388"/>
        <v>0</v>
      </c>
      <c r="AE730" s="35"/>
      <c r="AF730" s="35"/>
      <c r="AR730" s="69">
        <f t="shared" si="398"/>
        <v>61</v>
      </c>
      <c r="AS730" s="70">
        <f t="shared" si="404"/>
        <v>727</v>
      </c>
      <c r="AT730" s="71">
        <f t="shared" si="408"/>
        <v>6.9001118493617593E-3</v>
      </c>
      <c r="AU730" s="72">
        <f t="shared" si="389"/>
        <v>6.8214933659622723E-3</v>
      </c>
      <c r="AV730" s="73">
        <f t="shared" si="399"/>
        <v>1.0068214933659623</v>
      </c>
      <c r="AW730" s="74">
        <f>PRODUCT(AV$4:AV730)</f>
        <v>140.10435604963749</v>
      </c>
    </row>
    <row r="731" spans="5:49">
      <c r="E731">
        <f t="shared" si="406"/>
        <v>728</v>
      </c>
      <c r="F731" s="64">
        <f t="shared" si="390"/>
        <v>113.16</v>
      </c>
      <c r="G731" s="55">
        <f t="shared" si="380"/>
        <v>0</v>
      </c>
      <c r="H731" s="78">
        <f t="shared" si="405"/>
        <v>1</v>
      </c>
      <c r="I731" s="79">
        <f t="shared" si="391"/>
        <v>0</v>
      </c>
      <c r="J731" s="79">
        <f t="shared" si="381"/>
        <v>0</v>
      </c>
      <c r="K731" s="80">
        <f t="shared" si="382"/>
        <v>0</v>
      </c>
      <c r="L731" s="80">
        <f t="shared" si="392"/>
        <v>0</v>
      </c>
      <c r="M731" s="80">
        <f t="shared" si="407"/>
        <v>0</v>
      </c>
      <c r="N731" s="80">
        <f t="shared" si="393"/>
        <v>0</v>
      </c>
      <c r="O731" s="81">
        <f t="shared" si="383"/>
        <v>0</v>
      </c>
      <c r="P731" s="79">
        <f t="shared" si="384"/>
        <v>0</v>
      </c>
      <c r="R731">
        <f t="shared" ca="1" si="394"/>
        <v>853</v>
      </c>
      <c r="S731" s="78">
        <f t="shared" ca="1" si="395"/>
        <v>123.16</v>
      </c>
      <c r="T731" s="55">
        <f t="shared" ca="1" si="385"/>
        <v>0</v>
      </c>
      <c r="U731" s="78">
        <f t="shared" ca="1" si="400"/>
        <v>2.7389054743691302E-5</v>
      </c>
      <c r="V731" s="79">
        <f t="shared" ca="1" si="396"/>
        <v>0</v>
      </c>
      <c r="W731" s="79">
        <f t="shared" ca="1" si="386"/>
        <v>0</v>
      </c>
      <c r="X731" s="80">
        <f t="shared" ca="1" si="401"/>
        <v>0</v>
      </c>
      <c r="Y731" s="80">
        <f t="shared" ca="1" si="402"/>
        <v>0</v>
      </c>
      <c r="Z731" s="80">
        <f t="shared" ca="1" si="397"/>
        <v>0</v>
      </c>
      <c r="AA731" s="80">
        <f t="shared" ca="1" si="403"/>
        <v>0</v>
      </c>
      <c r="AB731" s="81">
        <f t="shared" ca="1" si="387"/>
        <v>0</v>
      </c>
      <c r="AC731" s="79">
        <f t="shared" ca="1" si="388"/>
        <v>0</v>
      </c>
      <c r="AE731" s="35"/>
      <c r="AF731" s="35"/>
      <c r="AR731" s="69">
        <f t="shared" si="398"/>
        <v>61</v>
      </c>
      <c r="AS731" s="70">
        <f t="shared" si="404"/>
        <v>728</v>
      </c>
      <c r="AT731" s="71">
        <f t="shared" si="408"/>
        <v>6.8530427821569401E-3</v>
      </c>
      <c r="AU731" s="72">
        <f t="shared" si="389"/>
        <v>6.8214933659622723E-3</v>
      </c>
      <c r="AV731" s="73">
        <f t="shared" si="399"/>
        <v>1.0068214933659623</v>
      </c>
      <c r="AW731" s="74">
        <f>PRODUCT(AV$4:AV731)</f>
        <v>141.06007698497251</v>
      </c>
    </row>
    <row r="732" spans="5:49">
      <c r="E732">
        <f t="shared" si="406"/>
        <v>729</v>
      </c>
      <c r="F732" s="64">
        <f t="shared" si="390"/>
        <v>113.24</v>
      </c>
      <c r="G732" s="55">
        <f t="shared" si="380"/>
        <v>0</v>
      </c>
      <c r="H732" s="78">
        <f t="shared" si="405"/>
        <v>1</v>
      </c>
      <c r="I732" s="79">
        <f t="shared" si="391"/>
        <v>0</v>
      </c>
      <c r="J732" s="79">
        <f t="shared" si="381"/>
        <v>0</v>
      </c>
      <c r="K732" s="80">
        <f t="shared" si="382"/>
        <v>0</v>
      </c>
      <c r="L732" s="80">
        <f t="shared" si="392"/>
        <v>0</v>
      </c>
      <c r="M732" s="80">
        <f t="shared" si="407"/>
        <v>0</v>
      </c>
      <c r="N732" s="80">
        <f t="shared" si="393"/>
        <v>0</v>
      </c>
      <c r="O732" s="81">
        <f t="shared" si="383"/>
        <v>0</v>
      </c>
      <c r="P732" s="79">
        <f t="shared" si="384"/>
        <v>0</v>
      </c>
      <c r="R732">
        <f t="shared" ca="1" si="394"/>
        <v>854</v>
      </c>
      <c r="S732" s="78">
        <f t="shared" ca="1" si="395"/>
        <v>123.24</v>
      </c>
      <c r="T732" s="55">
        <f t="shared" ca="1" si="385"/>
        <v>0</v>
      </c>
      <c r="U732" s="78">
        <f t="shared" ca="1" si="400"/>
        <v>2.7389054743691302E-5</v>
      </c>
      <c r="V732" s="79">
        <f t="shared" ca="1" si="396"/>
        <v>0</v>
      </c>
      <c r="W732" s="79">
        <f t="shared" ca="1" si="386"/>
        <v>0</v>
      </c>
      <c r="X732" s="80">
        <f t="shared" ca="1" si="401"/>
        <v>0</v>
      </c>
      <c r="Y732" s="80">
        <f t="shared" ca="1" si="402"/>
        <v>0</v>
      </c>
      <c r="Z732" s="80">
        <f t="shared" ca="1" si="397"/>
        <v>0</v>
      </c>
      <c r="AA732" s="80">
        <f t="shared" ca="1" si="403"/>
        <v>0</v>
      </c>
      <c r="AB732" s="81">
        <f t="shared" ca="1" si="387"/>
        <v>0</v>
      </c>
      <c r="AC732" s="79">
        <f t="shared" ca="1" si="388"/>
        <v>0</v>
      </c>
      <c r="AE732" s="35"/>
      <c r="AF732" s="35"/>
      <c r="AR732" s="69">
        <f t="shared" si="398"/>
        <v>61</v>
      </c>
      <c r="AS732" s="70">
        <f t="shared" si="404"/>
        <v>729</v>
      </c>
      <c r="AT732" s="71">
        <f t="shared" si="408"/>
        <v>6.806294796281801E-3</v>
      </c>
      <c r="AU732" s="72">
        <f t="shared" si="389"/>
        <v>6.8214933659622723E-3</v>
      </c>
      <c r="AV732" s="73">
        <f t="shared" si="399"/>
        <v>1.0068214933659623</v>
      </c>
      <c r="AW732" s="74">
        <f>PRODUCT(AV$4:AV732)</f>
        <v>142.02231736432762</v>
      </c>
    </row>
    <row r="733" spans="5:49">
      <c r="E733">
        <f t="shared" si="406"/>
        <v>730</v>
      </c>
      <c r="F733" s="64">
        <f t="shared" si="390"/>
        <v>113.32</v>
      </c>
      <c r="G733" s="55">
        <f t="shared" si="380"/>
        <v>0</v>
      </c>
      <c r="H733" s="78">
        <f t="shared" si="405"/>
        <v>1</v>
      </c>
      <c r="I733" s="79">
        <f t="shared" si="391"/>
        <v>0</v>
      </c>
      <c r="J733" s="79">
        <f t="shared" si="381"/>
        <v>0</v>
      </c>
      <c r="K733" s="80">
        <f t="shared" si="382"/>
        <v>0</v>
      </c>
      <c r="L733" s="80">
        <f t="shared" si="392"/>
        <v>0</v>
      </c>
      <c r="M733" s="80">
        <f t="shared" si="407"/>
        <v>0</v>
      </c>
      <c r="N733" s="80">
        <f t="shared" si="393"/>
        <v>0</v>
      </c>
      <c r="O733" s="81">
        <f t="shared" si="383"/>
        <v>0</v>
      </c>
      <c r="P733" s="79">
        <f t="shared" si="384"/>
        <v>0</v>
      </c>
      <c r="R733">
        <f t="shared" ca="1" si="394"/>
        <v>855</v>
      </c>
      <c r="S733" s="78">
        <f t="shared" ca="1" si="395"/>
        <v>123.32</v>
      </c>
      <c r="T733" s="55">
        <f t="shared" ca="1" si="385"/>
        <v>0</v>
      </c>
      <c r="U733" s="78">
        <f t="shared" ca="1" si="400"/>
        <v>2.7389054743691302E-5</v>
      </c>
      <c r="V733" s="79">
        <f t="shared" ca="1" si="396"/>
        <v>0</v>
      </c>
      <c r="W733" s="79">
        <f t="shared" ca="1" si="386"/>
        <v>0</v>
      </c>
      <c r="X733" s="80">
        <f t="shared" ca="1" si="401"/>
        <v>0</v>
      </c>
      <c r="Y733" s="80">
        <f t="shared" ca="1" si="402"/>
        <v>0</v>
      </c>
      <c r="Z733" s="80">
        <f t="shared" ca="1" si="397"/>
        <v>0</v>
      </c>
      <c r="AA733" s="80">
        <f t="shared" ca="1" si="403"/>
        <v>0</v>
      </c>
      <c r="AB733" s="81">
        <f t="shared" ca="1" si="387"/>
        <v>0</v>
      </c>
      <c r="AC733" s="79">
        <f t="shared" ca="1" si="388"/>
        <v>0</v>
      </c>
      <c r="AE733" s="35"/>
      <c r="AF733" s="35"/>
      <c r="AR733" s="69">
        <f t="shared" si="398"/>
        <v>61</v>
      </c>
      <c r="AS733" s="70">
        <f t="shared" si="404"/>
        <v>730</v>
      </c>
      <c r="AT733" s="71">
        <f t="shared" si="408"/>
        <v>6.7598657014821808E-3</v>
      </c>
      <c r="AU733" s="72">
        <f t="shared" si="389"/>
        <v>6.8214933659622723E-3</v>
      </c>
      <c r="AV733" s="73">
        <f t="shared" si="399"/>
        <v>1.0068214933659623</v>
      </c>
      <c r="AW733" s="74">
        <f>PRODUCT(AV$4:AV733)</f>
        <v>142.99112166004696</v>
      </c>
    </row>
    <row r="734" spans="5:49">
      <c r="E734">
        <f t="shared" si="406"/>
        <v>731</v>
      </c>
      <c r="F734" s="64">
        <f t="shared" si="390"/>
        <v>113.4</v>
      </c>
      <c r="G734" s="55">
        <f t="shared" si="380"/>
        <v>0</v>
      </c>
      <c r="H734" s="78">
        <f t="shared" si="405"/>
        <v>1</v>
      </c>
      <c r="I734" s="79">
        <f t="shared" si="391"/>
        <v>0</v>
      </c>
      <c r="J734" s="79">
        <f t="shared" si="381"/>
        <v>0</v>
      </c>
      <c r="K734" s="80">
        <f t="shared" si="382"/>
        <v>0</v>
      </c>
      <c r="L734" s="80">
        <f t="shared" si="392"/>
        <v>0</v>
      </c>
      <c r="M734" s="80">
        <f t="shared" si="407"/>
        <v>0</v>
      </c>
      <c r="N734" s="80">
        <f t="shared" si="393"/>
        <v>0</v>
      </c>
      <c r="O734" s="81">
        <f t="shared" si="383"/>
        <v>0</v>
      </c>
      <c r="P734" s="79">
        <f t="shared" si="384"/>
        <v>0</v>
      </c>
      <c r="R734">
        <f t="shared" ca="1" si="394"/>
        <v>856</v>
      </c>
      <c r="S734" s="78">
        <f t="shared" ca="1" si="395"/>
        <v>123.4</v>
      </c>
      <c r="T734" s="55">
        <f t="shared" ca="1" si="385"/>
        <v>0</v>
      </c>
      <c r="U734" s="78">
        <f t="shared" ca="1" si="400"/>
        <v>2.7389054743691302E-5</v>
      </c>
      <c r="V734" s="79">
        <f t="shared" ca="1" si="396"/>
        <v>0</v>
      </c>
      <c r="W734" s="79">
        <f t="shared" ca="1" si="386"/>
        <v>0</v>
      </c>
      <c r="X734" s="80">
        <f t="shared" ca="1" si="401"/>
        <v>0</v>
      </c>
      <c r="Y734" s="80">
        <f t="shared" ca="1" si="402"/>
        <v>0</v>
      </c>
      <c r="Z734" s="80">
        <f t="shared" ca="1" si="397"/>
        <v>0</v>
      </c>
      <c r="AA734" s="80">
        <f t="shared" ca="1" si="403"/>
        <v>0</v>
      </c>
      <c r="AB734" s="81">
        <f t="shared" ca="1" si="387"/>
        <v>0</v>
      </c>
      <c r="AC734" s="79">
        <f t="shared" ca="1" si="388"/>
        <v>0</v>
      </c>
      <c r="AE734" s="35"/>
      <c r="AF734" s="35"/>
      <c r="AR734" s="69">
        <f t="shared" si="398"/>
        <v>61</v>
      </c>
      <c r="AS734" s="70">
        <f t="shared" si="404"/>
        <v>731</v>
      </c>
      <c r="AT734" s="71">
        <f t="shared" si="408"/>
        <v>6.713753322444724E-3</v>
      </c>
      <c r="AU734" s="72">
        <f t="shared" si="389"/>
        <v>6.8214933659622723E-3</v>
      </c>
      <c r="AV734" s="73">
        <f t="shared" si="399"/>
        <v>1.0068214933659623</v>
      </c>
      <c r="AW734" s="74">
        <f>PRODUCT(AV$4:AV734)</f>
        <v>143.96653464784248</v>
      </c>
    </row>
    <row r="735" spans="5:49">
      <c r="E735">
        <f t="shared" si="406"/>
        <v>732</v>
      </c>
      <c r="F735" s="64">
        <f t="shared" si="390"/>
        <v>113.48</v>
      </c>
      <c r="G735" s="55">
        <f t="shared" si="380"/>
        <v>0</v>
      </c>
      <c r="H735" s="78">
        <f t="shared" si="405"/>
        <v>1</v>
      </c>
      <c r="I735" s="79">
        <f t="shared" si="391"/>
        <v>0</v>
      </c>
      <c r="J735" s="79">
        <f t="shared" si="381"/>
        <v>0</v>
      </c>
      <c r="K735" s="80">
        <f t="shared" si="382"/>
        <v>0</v>
      </c>
      <c r="L735" s="80">
        <f t="shared" si="392"/>
        <v>0</v>
      </c>
      <c r="M735" s="80">
        <f t="shared" si="407"/>
        <v>0</v>
      </c>
      <c r="N735" s="80">
        <f t="shared" si="393"/>
        <v>0</v>
      </c>
      <c r="O735" s="81">
        <f t="shared" si="383"/>
        <v>0</v>
      </c>
      <c r="P735" s="79">
        <f t="shared" si="384"/>
        <v>0</v>
      </c>
      <c r="R735">
        <f t="shared" ca="1" si="394"/>
        <v>857</v>
      </c>
      <c r="S735" s="78">
        <f t="shared" ca="1" si="395"/>
        <v>123.48</v>
      </c>
      <c r="T735" s="55">
        <f t="shared" ca="1" si="385"/>
        <v>0</v>
      </c>
      <c r="U735" s="78">
        <f t="shared" ca="1" si="400"/>
        <v>2.7389054743691302E-5</v>
      </c>
      <c r="V735" s="79">
        <f t="shared" ca="1" si="396"/>
        <v>0</v>
      </c>
      <c r="W735" s="79">
        <f t="shared" ca="1" si="386"/>
        <v>0</v>
      </c>
      <c r="X735" s="80">
        <f t="shared" ca="1" si="401"/>
        <v>0</v>
      </c>
      <c r="Y735" s="80">
        <f t="shared" ca="1" si="402"/>
        <v>0</v>
      </c>
      <c r="Z735" s="80">
        <f t="shared" ca="1" si="397"/>
        <v>0</v>
      </c>
      <c r="AA735" s="80">
        <f t="shared" ca="1" si="403"/>
        <v>0</v>
      </c>
      <c r="AB735" s="81">
        <f t="shared" ca="1" si="387"/>
        <v>0</v>
      </c>
      <c r="AC735" s="79">
        <f t="shared" ca="1" si="388"/>
        <v>0</v>
      </c>
      <c r="AE735" s="35"/>
      <c r="AF735" s="35"/>
      <c r="AR735" s="69">
        <f t="shared" si="398"/>
        <v>61</v>
      </c>
      <c r="AS735" s="70">
        <f t="shared" si="404"/>
        <v>732</v>
      </c>
      <c r="AT735" s="71">
        <f t="shared" si="408"/>
        <v>6.66795549869496E-3</v>
      </c>
      <c r="AU735" s="72">
        <f t="shared" si="389"/>
        <v>6.8214933659622723E-3</v>
      </c>
      <c r="AV735" s="73">
        <f t="shared" si="399"/>
        <v>1.0068214933659623</v>
      </c>
      <c r="AW735" s="74">
        <f>PRODUCT(AV$4:AV735)</f>
        <v>144.94860140886331</v>
      </c>
    </row>
    <row r="736" spans="5:49">
      <c r="E736">
        <f t="shared" si="406"/>
        <v>733</v>
      </c>
      <c r="F736" s="64">
        <f t="shared" si="390"/>
        <v>113.56</v>
      </c>
      <c r="G736" s="55">
        <f t="shared" si="380"/>
        <v>0</v>
      </c>
      <c r="H736" s="78">
        <f t="shared" si="405"/>
        <v>1</v>
      </c>
      <c r="I736" s="79">
        <f t="shared" si="391"/>
        <v>0</v>
      </c>
      <c r="J736" s="79">
        <f t="shared" si="381"/>
        <v>0</v>
      </c>
      <c r="K736" s="80">
        <f t="shared" si="382"/>
        <v>0</v>
      </c>
      <c r="L736" s="80">
        <f t="shared" si="392"/>
        <v>0</v>
      </c>
      <c r="M736" s="80">
        <f t="shared" si="407"/>
        <v>0</v>
      </c>
      <c r="N736" s="80">
        <f t="shared" si="393"/>
        <v>0</v>
      </c>
      <c r="O736" s="81">
        <f t="shared" si="383"/>
        <v>0</v>
      </c>
      <c r="P736" s="79">
        <f t="shared" si="384"/>
        <v>0</v>
      </c>
      <c r="R736">
        <f t="shared" ca="1" si="394"/>
        <v>858</v>
      </c>
      <c r="S736" s="78">
        <f t="shared" ca="1" si="395"/>
        <v>123.56</v>
      </c>
      <c r="T736" s="55">
        <f t="shared" ca="1" si="385"/>
        <v>0</v>
      </c>
      <c r="U736" s="78">
        <f t="shared" ca="1" si="400"/>
        <v>2.7389054743691302E-5</v>
      </c>
      <c r="V736" s="79">
        <f t="shared" ca="1" si="396"/>
        <v>0</v>
      </c>
      <c r="W736" s="79">
        <f t="shared" ca="1" si="386"/>
        <v>0</v>
      </c>
      <c r="X736" s="80">
        <f t="shared" ca="1" si="401"/>
        <v>0</v>
      </c>
      <c r="Y736" s="80">
        <f t="shared" ca="1" si="402"/>
        <v>0</v>
      </c>
      <c r="Z736" s="80">
        <f t="shared" ca="1" si="397"/>
        <v>0</v>
      </c>
      <c r="AA736" s="80">
        <f t="shared" ca="1" si="403"/>
        <v>0</v>
      </c>
      <c r="AB736" s="81">
        <f t="shared" ca="1" si="387"/>
        <v>0</v>
      </c>
      <c r="AC736" s="79">
        <f t="shared" ca="1" si="388"/>
        <v>0</v>
      </c>
      <c r="AE736" s="35"/>
      <c r="AF736" s="35"/>
      <c r="AR736" s="69">
        <f t="shared" si="398"/>
        <v>62</v>
      </c>
      <c r="AS736" s="70">
        <f t="shared" si="404"/>
        <v>733</v>
      </c>
      <c r="AT736" s="71">
        <f t="shared" si="408"/>
        <v>6.6224700844960804E-3</v>
      </c>
      <c r="AU736" s="72">
        <f t="shared" si="389"/>
        <v>6.8214933659622723E-3</v>
      </c>
      <c r="AV736" s="73">
        <f t="shared" si="399"/>
        <v>1.0068214933659623</v>
      </c>
      <c r="AW736" s="74">
        <f>PRODUCT(AV$4:AV736)</f>
        <v>145.93736733177937</v>
      </c>
    </row>
    <row r="737" spans="5:49">
      <c r="E737">
        <f t="shared" si="406"/>
        <v>734</v>
      </c>
      <c r="F737" s="64">
        <f t="shared" si="390"/>
        <v>113.64</v>
      </c>
      <c r="G737" s="55">
        <f t="shared" si="380"/>
        <v>0</v>
      </c>
      <c r="H737" s="78">
        <f t="shared" si="405"/>
        <v>1</v>
      </c>
      <c r="I737" s="79">
        <f t="shared" si="391"/>
        <v>0</v>
      </c>
      <c r="J737" s="79">
        <f t="shared" si="381"/>
        <v>0</v>
      </c>
      <c r="K737" s="80">
        <f t="shared" si="382"/>
        <v>0</v>
      </c>
      <c r="L737" s="80">
        <f t="shared" si="392"/>
        <v>0</v>
      </c>
      <c r="M737" s="80">
        <f t="shared" si="407"/>
        <v>0</v>
      </c>
      <c r="N737" s="80">
        <f t="shared" si="393"/>
        <v>0</v>
      </c>
      <c r="O737" s="81">
        <f t="shared" si="383"/>
        <v>0</v>
      </c>
      <c r="P737" s="79">
        <f t="shared" si="384"/>
        <v>0</v>
      </c>
      <c r="R737">
        <f t="shared" ca="1" si="394"/>
        <v>859</v>
      </c>
      <c r="S737" s="78">
        <f t="shared" ca="1" si="395"/>
        <v>123.64</v>
      </c>
      <c r="T737" s="55">
        <f t="shared" ca="1" si="385"/>
        <v>0</v>
      </c>
      <c r="U737" s="78">
        <f t="shared" ca="1" si="400"/>
        <v>2.7389054743691302E-5</v>
      </c>
      <c r="V737" s="79">
        <f t="shared" ca="1" si="396"/>
        <v>0</v>
      </c>
      <c r="W737" s="79">
        <f t="shared" ca="1" si="386"/>
        <v>0</v>
      </c>
      <c r="X737" s="80">
        <f t="shared" ca="1" si="401"/>
        <v>0</v>
      </c>
      <c r="Y737" s="80">
        <f t="shared" ca="1" si="402"/>
        <v>0</v>
      </c>
      <c r="Z737" s="80">
        <f t="shared" ca="1" si="397"/>
        <v>0</v>
      </c>
      <c r="AA737" s="80">
        <f t="shared" ca="1" si="403"/>
        <v>0</v>
      </c>
      <c r="AB737" s="81">
        <f t="shared" ca="1" si="387"/>
        <v>0</v>
      </c>
      <c r="AC737" s="79">
        <f t="shared" ca="1" si="388"/>
        <v>0</v>
      </c>
      <c r="AE737" s="35"/>
      <c r="AF737" s="35"/>
      <c r="AR737" s="69">
        <f t="shared" si="398"/>
        <v>62</v>
      </c>
      <c r="AS737" s="70">
        <f t="shared" si="404"/>
        <v>734</v>
      </c>
      <c r="AT737" s="71">
        <f t="shared" si="408"/>
        <v>6.5772949487484071E-3</v>
      </c>
      <c r="AU737" s="72">
        <f t="shared" si="389"/>
        <v>6.8214933659622723E-3</v>
      </c>
      <c r="AV737" s="73">
        <f t="shared" si="399"/>
        <v>1.0068214933659623</v>
      </c>
      <c r="AW737" s="74">
        <f>PRODUCT(AV$4:AV737)</f>
        <v>146.93287811487912</v>
      </c>
    </row>
    <row r="738" spans="5:49">
      <c r="E738">
        <f t="shared" si="406"/>
        <v>735</v>
      </c>
      <c r="F738" s="64">
        <f t="shared" si="390"/>
        <v>113.72</v>
      </c>
      <c r="G738" s="55">
        <f t="shared" si="380"/>
        <v>0</v>
      </c>
      <c r="H738" s="78">
        <f t="shared" si="405"/>
        <v>1</v>
      </c>
      <c r="I738" s="79">
        <f t="shared" si="391"/>
        <v>0</v>
      </c>
      <c r="J738" s="79">
        <f t="shared" si="381"/>
        <v>0</v>
      </c>
      <c r="K738" s="80">
        <f t="shared" si="382"/>
        <v>0</v>
      </c>
      <c r="L738" s="80">
        <f t="shared" si="392"/>
        <v>0</v>
      </c>
      <c r="M738" s="80">
        <f t="shared" si="407"/>
        <v>0</v>
      </c>
      <c r="N738" s="80">
        <f t="shared" si="393"/>
        <v>0</v>
      </c>
      <c r="O738" s="81">
        <f t="shared" si="383"/>
        <v>0</v>
      </c>
      <c r="P738" s="79">
        <f t="shared" si="384"/>
        <v>0</v>
      </c>
      <c r="R738">
        <f t="shared" ca="1" si="394"/>
        <v>860</v>
      </c>
      <c r="S738" s="78">
        <f t="shared" ca="1" si="395"/>
        <v>123.72</v>
      </c>
      <c r="T738" s="55">
        <f t="shared" ca="1" si="385"/>
        <v>0</v>
      </c>
      <c r="U738" s="78">
        <f t="shared" ca="1" si="400"/>
        <v>2.7389054743691302E-5</v>
      </c>
      <c r="V738" s="79">
        <f t="shared" ca="1" si="396"/>
        <v>0</v>
      </c>
      <c r="W738" s="79">
        <f t="shared" ca="1" si="386"/>
        <v>0</v>
      </c>
      <c r="X738" s="80">
        <f t="shared" ca="1" si="401"/>
        <v>0</v>
      </c>
      <c r="Y738" s="80">
        <f t="shared" ca="1" si="402"/>
        <v>0</v>
      </c>
      <c r="Z738" s="80">
        <f t="shared" ca="1" si="397"/>
        <v>0</v>
      </c>
      <c r="AA738" s="80">
        <f t="shared" ca="1" si="403"/>
        <v>0</v>
      </c>
      <c r="AB738" s="81">
        <f t="shared" ca="1" si="387"/>
        <v>0</v>
      </c>
      <c r="AC738" s="79">
        <f t="shared" ca="1" si="388"/>
        <v>0</v>
      </c>
      <c r="AE738" s="35"/>
      <c r="AF738" s="35"/>
      <c r="AR738" s="69">
        <f t="shared" si="398"/>
        <v>62</v>
      </c>
      <c r="AS738" s="70">
        <f t="shared" si="404"/>
        <v>735</v>
      </c>
      <c r="AT738" s="71">
        <f t="shared" si="408"/>
        <v>6.5324279748895427E-3</v>
      </c>
      <c r="AU738" s="72">
        <f t="shared" si="389"/>
        <v>6.8214933659622723E-3</v>
      </c>
      <c r="AV738" s="73">
        <f t="shared" si="399"/>
        <v>1.0068214933659623</v>
      </c>
      <c r="AW738" s="74">
        <f>PRODUCT(AV$4:AV738)</f>
        <v>147.93517976818151</v>
      </c>
    </row>
    <row r="739" spans="5:49">
      <c r="E739">
        <f t="shared" si="406"/>
        <v>736</v>
      </c>
      <c r="F739" s="64">
        <f t="shared" si="390"/>
        <v>113.8</v>
      </c>
      <c r="G739" s="55">
        <f t="shared" si="380"/>
        <v>0</v>
      </c>
      <c r="H739" s="78">
        <f t="shared" si="405"/>
        <v>1</v>
      </c>
      <c r="I739" s="79">
        <f t="shared" si="391"/>
        <v>0</v>
      </c>
      <c r="J739" s="79">
        <f t="shared" si="381"/>
        <v>0</v>
      </c>
      <c r="K739" s="80">
        <f t="shared" si="382"/>
        <v>0</v>
      </c>
      <c r="L739" s="80">
        <f t="shared" si="392"/>
        <v>0</v>
      </c>
      <c r="M739" s="80">
        <f t="shared" si="407"/>
        <v>0</v>
      </c>
      <c r="N739" s="80">
        <f t="shared" si="393"/>
        <v>0</v>
      </c>
      <c r="O739" s="81">
        <f t="shared" si="383"/>
        <v>0</v>
      </c>
      <c r="P739" s="79">
        <f t="shared" si="384"/>
        <v>0</v>
      </c>
      <c r="R739">
        <f t="shared" ca="1" si="394"/>
        <v>861</v>
      </c>
      <c r="S739" s="78">
        <f t="shared" ca="1" si="395"/>
        <v>123.8</v>
      </c>
      <c r="T739" s="55">
        <f t="shared" ca="1" si="385"/>
        <v>0</v>
      </c>
      <c r="U739" s="78">
        <f t="shared" ca="1" si="400"/>
        <v>2.7389054743691302E-5</v>
      </c>
      <c r="V739" s="79">
        <f t="shared" ca="1" si="396"/>
        <v>0</v>
      </c>
      <c r="W739" s="79">
        <f t="shared" ca="1" si="386"/>
        <v>0</v>
      </c>
      <c r="X739" s="80">
        <f t="shared" ca="1" si="401"/>
        <v>0</v>
      </c>
      <c r="Y739" s="80">
        <f t="shared" ca="1" si="402"/>
        <v>0</v>
      </c>
      <c r="Z739" s="80">
        <f t="shared" ca="1" si="397"/>
        <v>0</v>
      </c>
      <c r="AA739" s="80">
        <f t="shared" ca="1" si="403"/>
        <v>0</v>
      </c>
      <c r="AB739" s="81">
        <f t="shared" ca="1" si="387"/>
        <v>0</v>
      </c>
      <c r="AC739" s="79">
        <f t="shared" ca="1" si="388"/>
        <v>0</v>
      </c>
      <c r="AE739" s="35"/>
      <c r="AF739" s="35"/>
      <c r="AR739" s="69">
        <f t="shared" si="398"/>
        <v>62</v>
      </c>
      <c r="AS739" s="70">
        <f t="shared" si="404"/>
        <v>736</v>
      </c>
      <c r="AT739" s="71">
        <f t="shared" si="408"/>
        <v>6.487867060795207E-3</v>
      </c>
      <c r="AU739" s="72">
        <f t="shared" si="389"/>
        <v>6.8214933659622723E-3</v>
      </c>
      <c r="AV739" s="73">
        <f t="shared" si="399"/>
        <v>1.0068214933659623</v>
      </c>
      <c r="AW739" s="74">
        <f>PRODUCT(AV$4:AV739)</f>
        <v>148.94431861556259</v>
      </c>
    </row>
    <row r="740" spans="5:49">
      <c r="E740">
        <f t="shared" si="406"/>
        <v>737</v>
      </c>
      <c r="F740" s="64">
        <f t="shared" si="390"/>
        <v>113.88</v>
      </c>
      <c r="G740" s="55">
        <f t="shared" si="380"/>
        <v>0</v>
      </c>
      <c r="H740" s="78">
        <f t="shared" si="405"/>
        <v>1</v>
      </c>
      <c r="I740" s="79">
        <f t="shared" si="391"/>
        <v>0</v>
      </c>
      <c r="J740" s="79">
        <f t="shared" si="381"/>
        <v>0</v>
      </c>
      <c r="K740" s="80">
        <f t="shared" si="382"/>
        <v>0</v>
      </c>
      <c r="L740" s="80">
        <f t="shared" si="392"/>
        <v>0</v>
      </c>
      <c r="M740" s="80">
        <f t="shared" si="407"/>
        <v>0</v>
      </c>
      <c r="N740" s="80">
        <f t="shared" si="393"/>
        <v>0</v>
      </c>
      <c r="O740" s="81">
        <f t="shared" si="383"/>
        <v>0</v>
      </c>
      <c r="P740" s="79">
        <f t="shared" si="384"/>
        <v>0</v>
      </c>
      <c r="R740">
        <f t="shared" ca="1" si="394"/>
        <v>862</v>
      </c>
      <c r="S740" s="78">
        <f t="shared" ca="1" si="395"/>
        <v>123.88</v>
      </c>
      <c r="T740" s="55">
        <f t="shared" ca="1" si="385"/>
        <v>0</v>
      </c>
      <c r="U740" s="78">
        <f t="shared" ca="1" si="400"/>
        <v>2.7389054743691302E-5</v>
      </c>
      <c r="V740" s="79">
        <f t="shared" ca="1" si="396"/>
        <v>0</v>
      </c>
      <c r="W740" s="79">
        <f t="shared" ca="1" si="386"/>
        <v>0</v>
      </c>
      <c r="X740" s="80">
        <f t="shared" ca="1" si="401"/>
        <v>0</v>
      </c>
      <c r="Y740" s="80">
        <f t="shared" ca="1" si="402"/>
        <v>0</v>
      </c>
      <c r="Z740" s="80">
        <f t="shared" ca="1" si="397"/>
        <v>0</v>
      </c>
      <c r="AA740" s="80">
        <f t="shared" ca="1" si="403"/>
        <v>0</v>
      </c>
      <c r="AB740" s="81">
        <f t="shared" ca="1" si="387"/>
        <v>0</v>
      </c>
      <c r="AC740" s="79">
        <f t="shared" ca="1" si="388"/>
        <v>0</v>
      </c>
      <c r="AE740" s="35"/>
      <c r="AF740" s="35"/>
      <c r="AR740" s="69">
        <f t="shared" si="398"/>
        <v>62</v>
      </c>
      <c r="AS740" s="70">
        <f t="shared" si="404"/>
        <v>737</v>
      </c>
      <c r="AT740" s="71">
        <f t="shared" si="408"/>
        <v>6.4436101186807473E-3</v>
      </c>
      <c r="AU740" s="72">
        <f t="shared" si="389"/>
        <v>6.8214933659622723E-3</v>
      </c>
      <c r="AV740" s="73">
        <f t="shared" si="399"/>
        <v>1.0068214933659623</v>
      </c>
      <c r="AW740" s="74">
        <f>PRODUCT(AV$4:AV740)</f>
        <v>149.96034129689642</v>
      </c>
    </row>
    <row r="741" spans="5:49">
      <c r="E741">
        <f t="shared" si="406"/>
        <v>738</v>
      </c>
      <c r="F741" s="64">
        <f t="shared" si="390"/>
        <v>113.96</v>
      </c>
      <c r="G741" s="55">
        <f t="shared" si="380"/>
        <v>0</v>
      </c>
      <c r="H741" s="78">
        <f t="shared" si="405"/>
        <v>1</v>
      </c>
      <c r="I741" s="79">
        <f t="shared" si="391"/>
        <v>0</v>
      </c>
      <c r="J741" s="79">
        <f t="shared" si="381"/>
        <v>0</v>
      </c>
      <c r="K741" s="80">
        <f t="shared" si="382"/>
        <v>0</v>
      </c>
      <c r="L741" s="80">
        <f t="shared" si="392"/>
        <v>0</v>
      </c>
      <c r="M741" s="80">
        <f t="shared" si="407"/>
        <v>0</v>
      </c>
      <c r="N741" s="80">
        <f t="shared" si="393"/>
        <v>0</v>
      </c>
      <c r="O741" s="81">
        <f t="shared" si="383"/>
        <v>0</v>
      </c>
      <c r="P741" s="79">
        <f t="shared" si="384"/>
        <v>0</v>
      </c>
      <c r="R741">
        <f t="shared" ca="1" si="394"/>
        <v>863</v>
      </c>
      <c r="S741" s="78">
        <f t="shared" ca="1" si="395"/>
        <v>123.96</v>
      </c>
      <c r="T741" s="55">
        <f t="shared" ca="1" si="385"/>
        <v>0</v>
      </c>
      <c r="U741" s="78">
        <f t="shared" ca="1" si="400"/>
        <v>2.7389054743691302E-5</v>
      </c>
      <c r="V741" s="79">
        <f t="shared" ca="1" si="396"/>
        <v>0</v>
      </c>
      <c r="W741" s="79">
        <f t="shared" ca="1" si="386"/>
        <v>0</v>
      </c>
      <c r="X741" s="80">
        <f t="shared" ca="1" si="401"/>
        <v>0</v>
      </c>
      <c r="Y741" s="80">
        <f t="shared" ca="1" si="402"/>
        <v>0</v>
      </c>
      <c r="Z741" s="80">
        <f t="shared" ca="1" si="397"/>
        <v>0</v>
      </c>
      <c r="AA741" s="80">
        <f t="shared" ca="1" si="403"/>
        <v>0</v>
      </c>
      <c r="AB741" s="81">
        <f t="shared" ca="1" si="387"/>
        <v>0</v>
      </c>
      <c r="AC741" s="79">
        <f t="shared" ca="1" si="388"/>
        <v>0</v>
      </c>
      <c r="AE741" s="35"/>
      <c r="AF741" s="35"/>
      <c r="AR741" s="69">
        <f t="shared" si="398"/>
        <v>62</v>
      </c>
      <c r="AS741" s="70">
        <f t="shared" si="404"/>
        <v>738</v>
      </c>
      <c r="AT741" s="71">
        <f t="shared" si="408"/>
        <v>6.3996550750033193E-3</v>
      </c>
      <c r="AU741" s="72">
        <f t="shared" si="389"/>
        <v>6.8214933659622723E-3</v>
      </c>
      <c r="AV741" s="73">
        <f t="shared" si="399"/>
        <v>1.0068214933659623</v>
      </c>
      <c r="AW741" s="74">
        <f>PRODUCT(AV$4:AV741)</f>
        <v>150.98329477021062</v>
      </c>
    </row>
    <row r="742" spans="5:49">
      <c r="E742">
        <f t="shared" si="406"/>
        <v>739</v>
      </c>
      <c r="F742" s="64">
        <f t="shared" si="390"/>
        <v>114.04</v>
      </c>
      <c r="G742" s="55">
        <f t="shared" si="380"/>
        <v>0</v>
      </c>
      <c r="H742" s="78">
        <f t="shared" si="405"/>
        <v>1</v>
      </c>
      <c r="I742" s="79">
        <f t="shared" si="391"/>
        <v>0</v>
      </c>
      <c r="J742" s="79">
        <f t="shared" si="381"/>
        <v>0</v>
      </c>
      <c r="K742" s="80">
        <f t="shared" si="382"/>
        <v>0</v>
      </c>
      <c r="L742" s="80">
        <f t="shared" si="392"/>
        <v>0</v>
      </c>
      <c r="M742" s="80">
        <f t="shared" si="407"/>
        <v>0</v>
      </c>
      <c r="N742" s="80">
        <f t="shared" si="393"/>
        <v>0</v>
      </c>
      <c r="O742" s="81">
        <f t="shared" si="383"/>
        <v>0</v>
      </c>
      <c r="P742" s="79">
        <f t="shared" si="384"/>
        <v>0</v>
      </c>
      <c r="R742">
        <f t="shared" ca="1" si="394"/>
        <v>864</v>
      </c>
      <c r="S742" s="78">
        <f t="shared" ca="1" si="395"/>
        <v>124.04</v>
      </c>
      <c r="T742" s="55">
        <f t="shared" ca="1" si="385"/>
        <v>0</v>
      </c>
      <c r="U742" s="78">
        <f t="shared" ca="1" si="400"/>
        <v>2.7389054743691302E-5</v>
      </c>
      <c r="V742" s="79">
        <f t="shared" ca="1" si="396"/>
        <v>0</v>
      </c>
      <c r="W742" s="79">
        <f t="shared" ca="1" si="386"/>
        <v>0</v>
      </c>
      <c r="X742" s="80">
        <f t="shared" ca="1" si="401"/>
        <v>0</v>
      </c>
      <c r="Y742" s="80">
        <f t="shared" ca="1" si="402"/>
        <v>0</v>
      </c>
      <c r="Z742" s="80">
        <f t="shared" ca="1" si="397"/>
        <v>0</v>
      </c>
      <c r="AA742" s="80">
        <f t="shared" ca="1" si="403"/>
        <v>0</v>
      </c>
      <c r="AB742" s="81">
        <f t="shared" ca="1" si="387"/>
        <v>0</v>
      </c>
      <c r="AC742" s="79">
        <f t="shared" ca="1" si="388"/>
        <v>0</v>
      </c>
      <c r="AE742" s="35"/>
      <c r="AF742" s="35"/>
      <c r="AR742" s="69">
        <f t="shared" si="398"/>
        <v>62</v>
      </c>
      <c r="AS742" s="70">
        <f t="shared" si="404"/>
        <v>739</v>
      </c>
      <c r="AT742" s="71">
        <f t="shared" si="408"/>
        <v>6.3559998703647371E-3</v>
      </c>
      <c r="AU742" s="72">
        <f t="shared" si="389"/>
        <v>6.8214933659622723E-3</v>
      </c>
      <c r="AV742" s="73">
        <f t="shared" si="399"/>
        <v>1.0068214933659623</v>
      </c>
      <c r="AW742" s="74">
        <f>PRODUCT(AV$4:AV742)</f>
        <v>152.01322631385673</v>
      </c>
    </row>
    <row r="743" spans="5:49">
      <c r="E743">
        <f t="shared" si="406"/>
        <v>740</v>
      </c>
      <c r="F743" s="64">
        <f t="shared" si="390"/>
        <v>114.12</v>
      </c>
      <c r="G743" s="55">
        <f t="shared" si="380"/>
        <v>0</v>
      </c>
      <c r="H743" s="78">
        <f t="shared" si="405"/>
        <v>1</v>
      </c>
      <c r="I743" s="79">
        <f t="shared" si="391"/>
        <v>0</v>
      </c>
      <c r="J743" s="79">
        <f t="shared" si="381"/>
        <v>0</v>
      </c>
      <c r="K743" s="80">
        <f t="shared" si="382"/>
        <v>0</v>
      </c>
      <c r="L743" s="80">
        <f t="shared" si="392"/>
        <v>0</v>
      </c>
      <c r="M743" s="80">
        <f t="shared" si="407"/>
        <v>0</v>
      </c>
      <c r="N743" s="80">
        <f t="shared" si="393"/>
        <v>0</v>
      </c>
      <c r="O743" s="81">
        <f t="shared" si="383"/>
        <v>0</v>
      </c>
      <c r="P743" s="79">
        <f t="shared" si="384"/>
        <v>0</v>
      </c>
      <c r="R743">
        <f t="shared" ca="1" si="394"/>
        <v>865</v>
      </c>
      <c r="S743" s="78">
        <f t="shared" ca="1" si="395"/>
        <v>124.12</v>
      </c>
      <c r="T743" s="55">
        <f t="shared" ca="1" si="385"/>
        <v>0</v>
      </c>
      <c r="U743" s="78">
        <f t="shared" ca="1" si="400"/>
        <v>2.7389054743691302E-5</v>
      </c>
      <c r="V743" s="79">
        <f t="shared" ca="1" si="396"/>
        <v>0</v>
      </c>
      <c r="W743" s="79">
        <f t="shared" ca="1" si="386"/>
        <v>0</v>
      </c>
      <c r="X743" s="80">
        <f t="shared" ca="1" si="401"/>
        <v>0</v>
      </c>
      <c r="Y743" s="80">
        <f t="shared" ca="1" si="402"/>
        <v>0</v>
      </c>
      <c r="Z743" s="80">
        <f t="shared" ca="1" si="397"/>
        <v>0</v>
      </c>
      <c r="AA743" s="80">
        <f t="shared" ca="1" si="403"/>
        <v>0</v>
      </c>
      <c r="AB743" s="81">
        <f t="shared" ca="1" si="387"/>
        <v>0</v>
      </c>
      <c r="AC743" s="79">
        <f t="shared" ca="1" si="388"/>
        <v>0</v>
      </c>
      <c r="AE743" s="35"/>
      <c r="AF743" s="35"/>
      <c r="AR743" s="69">
        <f t="shared" si="398"/>
        <v>62</v>
      </c>
      <c r="AS743" s="70">
        <f t="shared" si="404"/>
        <v>740</v>
      </c>
      <c r="AT743" s="71">
        <f t="shared" si="408"/>
        <v>6.3126424594149872E-3</v>
      </c>
      <c r="AU743" s="72">
        <f t="shared" si="389"/>
        <v>6.8214933659622723E-3</v>
      </c>
      <c r="AV743" s="73">
        <f t="shared" si="399"/>
        <v>1.0068214933659623</v>
      </c>
      <c r="AW743" s="74">
        <f>PRODUCT(AV$4:AV743)</f>
        <v>153.05018352869524</v>
      </c>
    </row>
    <row r="744" spans="5:49">
      <c r="E744">
        <f t="shared" si="406"/>
        <v>741</v>
      </c>
      <c r="F744" s="64">
        <f t="shared" si="390"/>
        <v>114.2</v>
      </c>
      <c r="G744" s="55">
        <f t="shared" si="380"/>
        <v>0</v>
      </c>
      <c r="H744" s="78">
        <f t="shared" si="405"/>
        <v>1</v>
      </c>
      <c r="I744" s="79">
        <f t="shared" si="391"/>
        <v>0</v>
      </c>
      <c r="J744" s="79">
        <f t="shared" si="381"/>
        <v>0</v>
      </c>
      <c r="K744" s="80">
        <f t="shared" si="382"/>
        <v>0</v>
      </c>
      <c r="L744" s="80">
        <f t="shared" si="392"/>
        <v>0</v>
      </c>
      <c r="M744" s="80">
        <f t="shared" si="407"/>
        <v>0</v>
      </c>
      <c r="N744" s="80">
        <f t="shared" si="393"/>
        <v>0</v>
      </c>
      <c r="O744" s="81">
        <f t="shared" si="383"/>
        <v>0</v>
      </c>
      <c r="P744" s="79">
        <f t="shared" si="384"/>
        <v>0</v>
      </c>
      <c r="R744">
        <f t="shared" ca="1" si="394"/>
        <v>866</v>
      </c>
      <c r="S744" s="78">
        <f t="shared" ca="1" si="395"/>
        <v>124.2</v>
      </c>
      <c r="T744" s="55">
        <f t="shared" ca="1" si="385"/>
        <v>0</v>
      </c>
      <c r="U744" s="78">
        <f t="shared" ca="1" si="400"/>
        <v>2.7389054743691302E-5</v>
      </c>
      <c r="V744" s="79">
        <f t="shared" ca="1" si="396"/>
        <v>0</v>
      </c>
      <c r="W744" s="79">
        <f t="shared" ca="1" si="386"/>
        <v>0</v>
      </c>
      <c r="X744" s="80">
        <f t="shared" ca="1" si="401"/>
        <v>0</v>
      </c>
      <c r="Y744" s="80">
        <f t="shared" ca="1" si="402"/>
        <v>0</v>
      </c>
      <c r="Z744" s="80">
        <f t="shared" ca="1" si="397"/>
        <v>0</v>
      </c>
      <c r="AA744" s="80">
        <f t="shared" ca="1" si="403"/>
        <v>0</v>
      </c>
      <c r="AB744" s="81">
        <f t="shared" ca="1" si="387"/>
        <v>0</v>
      </c>
      <c r="AC744" s="79">
        <f t="shared" ca="1" si="388"/>
        <v>0</v>
      </c>
      <c r="AE744" s="35"/>
      <c r="AF744" s="35"/>
      <c r="AR744" s="69">
        <f t="shared" si="398"/>
        <v>62</v>
      </c>
      <c r="AS744" s="70">
        <f t="shared" si="404"/>
        <v>741</v>
      </c>
      <c r="AT744" s="71">
        <f t="shared" si="408"/>
        <v>6.2695808107563963E-3</v>
      </c>
      <c r="AU744" s="72">
        <f t="shared" si="389"/>
        <v>6.8214933659622723E-3</v>
      </c>
      <c r="AV744" s="73">
        <f t="shared" si="399"/>
        <v>1.0068214933659623</v>
      </c>
      <c r="AW744" s="74">
        <f>PRODUCT(AV$4:AV744)</f>
        <v>154.09421434029554</v>
      </c>
    </row>
    <row r="745" spans="5:49">
      <c r="E745">
        <f t="shared" si="406"/>
        <v>742</v>
      </c>
      <c r="F745" s="64">
        <f t="shared" si="390"/>
        <v>114.28</v>
      </c>
      <c r="G745" s="55">
        <f t="shared" si="380"/>
        <v>0</v>
      </c>
      <c r="H745" s="78">
        <f t="shared" si="405"/>
        <v>1</v>
      </c>
      <c r="I745" s="79">
        <f t="shared" si="391"/>
        <v>0</v>
      </c>
      <c r="J745" s="79">
        <f t="shared" si="381"/>
        <v>0</v>
      </c>
      <c r="K745" s="80">
        <f t="shared" si="382"/>
        <v>0</v>
      </c>
      <c r="L745" s="80">
        <f t="shared" si="392"/>
        <v>0</v>
      </c>
      <c r="M745" s="80">
        <f t="shared" si="407"/>
        <v>0</v>
      </c>
      <c r="N745" s="80">
        <f t="shared" si="393"/>
        <v>0</v>
      </c>
      <c r="O745" s="81">
        <f t="shared" si="383"/>
        <v>0</v>
      </c>
      <c r="P745" s="79">
        <f t="shared" si="384"/>
        <v>0</v>
      </c>
      <c r="R745">
        <f t="shared" ca="1" si="394"/>
        <v>867</v>
      </c>
      <c r="S745" s="78">
        <f t="shared" ca="1" si="395"/>
        <v>124.28</v>
      </c>
      <c r="T745" s="55">
        <f t="shared" ca="1" si="385"/>
        <v>0</v>
      </c>
      <c r="U745" s="78">
        <f t="shared" ca="1" si="400"/>
        <v>2.7389054743691302E-5</v>
      </c>
      <c r="V745" s="79">
        <f t="shared" ca="1" si="396"/>
        <v>0</v>
      </c>
      <c r="W745" s="79">
        <f t="shared" ca="1" si="386"/>
        <v>0</v>
      </c>
      <c r="X745" s="80">
        <f t="shared" ca="1" si="401"/>
        <v>0</v>
      </c>
      <c r="Y745" s="80">
        <f t="shared" ca="1" si="402"/>
        <v>0</v>
      </c>
      <c r="Z745" s="80">
        <f t="shared" ca="1" si="397"/>
        <v>0</v>
      </c>
      <c r="AA745" s="80">
        <f t="shared" ca="1" si="403"/>
        <v>0</v>
      </c>
      <c r="AB745" s="81">
        <f t="shared" ca="1" si="387"/>
        <v>0</v>
      </c>
      <c r="AC745" s="79">
        <f t="shared" ca="1" si="388"/>
        <v>0</v>
      </c>
      <c r="AE745" s="35"/>
      <c r="AF745" s="35"/>
      <c r="AR745" s="69">
        <f t="shared" si="398"/>
        <v>62</v>
      </c>
      <c r="AS745" s="70">
        <f t="shared" si="404"/>
        <v>742</v>
      </c>
      <c r="AT745" s="71">
        <f t="shared" si="408"/>
        <v>6.2268129068484574E-3</v>
      </c>
      <c r="AU745" s="72">
        <f t="shared" si="389"/>
        <v>6.8214933659622723E-3</v>
      </c>
      <c r="AV745" s="73">
        <f t="shared" si="399"/>
        <v>1.0068214933659623</v>
      </c>
      <c r="AW745" s="74">
        <f>PRODUCT(AV$4:AV745)</f>
        <v>155.14536700115104</v>
      </c>
    </row>
    <row r="746" spans="5:49">
      <c r="E746">
        <f t="shared" si="406"/>
        <v>743</v>
      </c>
      <c r="F746" s="64">
        <f t="shared" si="390"/>
        <v>114.36</v>
      </c>
      <c r="G746" s="55">
        <f t="shared" si="380"/>
        <v>0</v>
      </c>
      <c r="H746" s="78">
        <f t="shared" si="405"/>
        <v>1</v>
      </c>
      <c r="I746" s="79">
        <f t="shared" si="391"/>
        <v>0</v>
      </c>
      <c r="J746" s="79">
        <f t="shared" si="381"/>
        <v>0</v>
      </c>
      <c r="K746" s="80">
        <f t="shared" si="382"/>
        <v>0</v>
      </c>
      <c r="L746" s="80">
        <f t="shared" si="392"/>
        <v>0</v>
      </c>
      <c r="M746" s="80">
        <f t="shared" si="407"/>
        <v>0</v>
      </c>
      <c r="N746" s="80">
        <f t="shared" si="393"/>
        <v>0</v>
      </c>
      <c r="O746" s="81">
        <f t="shared" si="383"/>
        <v>0</v>
      </c>
      <c r="P746" s="79">
        <f t="shared" si="384"/>
        <v>0</v>
      </c>
      <c r="R746">
        <f t="shared" ca="1" si="394"/>
        <v>868</v>
      </c>
      <c r="S746" s="78">
        <f t="shared" ca="1" si="395"/>
        <v>124.36</v>
      </c>
      <c r="T746" s="55">
        <f t="shared" ca="1" si="385"/>
        <v>0</v>
      </c>
      <c r="U746" s="78">
        <f t="shared" ca="1" si="400"/>
        <v>2.7389054743691302E-5</v>
      </c>
      <c r="V746" s="79">
        <f t="shared" ca="1" si="396"/>
        <v>0</v>
      </c>
      <c r="W746" s="79">
        <f t="shared" ca="1" si="386"/>
        <v>0</v>
      </c>
      <c r="X746" s="80">
        <f t="shared" ca="1" si="401"/>
        <v>0</v>
      </c>
      <c r="Y746" s="80">
        <f t="shared" ca="1" si="402"/>
        <v>0</v>
      </c>
      <c r="Z746" s="80">
        <f t="shared" ca="1" si="397"/>
        <v>0</v>
      </c>
      <c r="AA746" s="80">
        <f t="shared" ca="1" si="403"/>
        <v>0</v>
      </c>
      <c r="AB746" s="81">
        <f t="shared" ca="1" si="387"/>
        <v>0</v>
      </c>
      <c r="AC746" s="79">
        <f t="shared" ca="1" si="388"/>
        <v>0</v>
      </c>
      <c r="AE746" s="35"/>
      <c r="AF746" s="35"/>
      <c r="AR746" s="69">
        <f t="shared" si="398"/>
        <v>62</v>
      </c>
      <c r="AS746" s="70">
        <f t="shared" si="404"/>
        <v>743</v>
      </c>
      <c r="AT746" s="71">
        <f t="shared" si="408"/>
        <v>6.1843367439133028E-3</v>
      </c>
      <c r="AU746" s="72">
        <f t="shared" si="389"/>
        <v>6.8214933659622723E-3</v>
      </c>
      <c r="AV746" s="73">
        <f t="shared" si="399"/>
        <v>1.0068214933659623</v>
      </c>
      <c r="AW746" s="74">
        <f>PRODUCT(AV$4:AV746)</f>
        <v>156.20369009290917</v>
      </c>
    </row>
    <row r="747" spans="5:49">
      <c r="E747">
        <f t="shared" si="406"/>
        <v>744</v>
      </c>
      <c r="F747" s="64">
        <f t="shared" si="390"/>
        <v>114.44</v>
      </c>
      <c r="G747" s="55">
        <f t="shared" si="380"/>
        <v>0</v>
      </c>
      <c r="H747" s="78">
        <f t="shared" si="405"/>
        <v>1</v>
      </c>
      <c r="I747" s="79">
        <f t="shared" si="391"/>
        <v>0</v>
      </c>
      <c r="J747" s="79">
        <f t="shared" si="381"/>
        <v>0</v>
      </c>
      <c r="K747" s="80">
        <f t="shared" si="382"/>
        <v>0</v>
      </c>
      <c r="L747" s="80">
        <f t="shared" si="392"/>
        <v>0</v>
      </c>
      <c r="M747" s="80">
        <f t="shared" si="407"/>
        <v>0</v>
      </c>
      <c r="N747" s="80">
        <f t="shared" si="393"/>
        <v>0</v>
      </c>
      <c r="O747" s="81">
        <f t="shared" si="383"/>
        <v>0</v>
      </c>
      <c r="P747" s="79">
        <f t="shared" si="384"/>
        <v>0</v>
      </c>
      <c r="R747">
        <f t="shared" ca="1" si="394"/>
        <v>869</v>
      </c>
      <c r="S747" s="78">
        <f t="shared" ca="1" si="395"/>
        <v>124.44</v>
      </c>
      <c r="T747" s="55">
        <f t="shared" ca="1" si="385"/>
        <v>0</v>
      </c>
      <c r="U747" s="78">
        <f t="shared" ca="1" si="400"/>
        <v>2.7389054743691302E-5</v>
      </c>
      <c r="V747" s="79">
        <f t="shared" ca="1" si="396"/>
        <v>0</v>
      </c>
      <c r="W747" s="79">
        <f t="shared" ca="1" si="386"/>
        <v>0</v>
      </c>
      <c r="X747" s="80">
        <f t="shared" ca="1" si="401"/>
        <v>0</v>
      </c>
      <c r="Y747" s="80">
        <f t="shared" ca="1" si="402"/>
        <v>0</v>
      </c>
      <c r="Z747" s="80">
        <f t="shared" ca="1" si="397"/>
        <v>0</v>
      </c>
      <c r="AA747" s="80">
        <f t="shared" ca="1" si="403"/>
        <v>0</v>
      </c>
      <c r="AB747" s="81">
        <f t="shared" ca="1" si="387"/>
        <v>0</v>
      </c>
      <c r="AC747" s="79">
        <f t="shared" ca="1" si="388"/>
        <v>0</v>
      </c>
      <c r="AE747" s="35"/>
      <c r="AF747" s="35"/>
      <c r="AR747" s="69">
        <f t="shared" si="398"/>
        <v>62</v>
      </c>
      <c r="AS747" s="70">
        <f t="shared" si="404"/>
        <v>744</v>
      </c>
      <c r="AT747" s="71">
        <f t="shared" si="408"/>
        <v>6.1421503318418212E-3</v>
      </c>
      <c r="AU747" s="72">
        <f t="shared" si="389"/>
        <v>6.8214933659622723E-3</v>
      </c>
      <c r="AV747" s="73">
        <f t="shared" si="399"/>
        <v>1.0068214933659623</v>
      </c>
      <c r="AW747" s="74">
        <f>PRODUCT(AV$4:AV747)</f>
        <v>157.26923252861678</v>
      </c>
    </row>
    <row r="748" spans="5:49">
      <c r="E748">
        <f t="shared" si="406"/>
        <v>745</v>
      </c>
      <c r="F748" s="64">
        <f t="shared" si="390"/>
        <v>114.52</v>
      </c>
      <c r="G748" s="55">
        <f t="shared" si="380"/>
        <v>0</v>
      </c>
      <c r="H748" s="78">
        <f t="shared" si="405"/>
        <v>1</v>
      </c>
      <c r="I748" s="79">
        <f t="shared" si="391"/>
        <v>0</v>
      </c>
      <c r="J748" s="79">
        <f t="shared" si="381"/>
        <v>0</v>
      </c>
      <c r="K748" s="80">
        <f t="shared" si="382"/>
        <v>0</v>
      </c>
      <c r="L748" s="80">
        <f t="shared" si="392"/>
        <v>0</v>
      </c>
      <c r="M748" s="80">
        <f t="shared" si="407"/>
        <v>0</v>
      </c>
      <c r="N748" s="80">
        <f t="shared" si="393"/>
        <v>0</v>
      </c>
      <c r="O748" s="81">
        <f t="shared" si="383"/>
        <v>0</v>
      </c>
      <c r="P748" s="79">
        <f t="shared" si="384"/>
        <v>0</v>
      </c>
      <c r="R748">
        <f t="shared" ca="1" si="394"/>
        <v>870</v>
      </c>
      <c r="S748" s="78">
        <f t="shared" ca="1" si="395"/>
        <v>124.52</v>
      </c>
      <c r="T748" s="55">
        <f t="shared" ca="1" si="385"/>
        <v>0</v>
      </c>
      <c r="U748" s="78">
        <f t="shared" ca="1" si="400"/>
        <v>2.7389054743691302E-5</v>
      </c>
      <c r="V748" s="79">
        <f t="shared" ca="1" si="396"/>
        <v>0</v>
      </c>
      <c r="W748" s="79">
        <f t="shared" ca="1" si="386"/>
        <v>0</v>
      </c>
      <c r="X748" s="80">
        <f t="shared" ca="1" si="401"/>
        <v>0</v>
      </c>
      <c r="Y748" s="80">
        <f t="shared" ca="1" si="402"/>
        <v>0</v>
      </c>
      <c r="Z748" s="80">
        <f t="shared" ca="1" si="397"/>
        <v>0</v>
      </c>
      <c r="AA748" s="80">
        <f t="shared" ca="1" si="403"/>
        <v>0</v>
      </c>
      <c r="AB748" s="81">
        <f t="shared" ca="1" si="387"/>
        <v>0</v>
      </c>
      <c r="AC748" s="79">
        <f t="shared" ca="1" si="388"/>
        <v>0</v>
      </c>
      <c r="AE748" s="35"/>
      <c r="AF748" s="35"/>
      <c r="AR748" s="69">
        <f t="shared" si="398"/>
        <v>63</v>
      </c>
      <c r="AS748" s="70">
        <f t="shared" si="404"/>
        <v>745</v>
      </c>
      <c r="AT748" s="71">
        <f t="shared" si="408"/>
        <v>6.1002516941004196E-3</v>
      </c>
      <c r="AU748" s="72">
        <f t="shared" si="389"/>
        <v>6.8214933659622723E-3</v>
      </c>
      <c r="AV748" s="73">
        <f t="shared" si="399"/>
        <v>1.0068214933659623</v>
      </c>
      <c r="AW748" s="74">
        <f>PRODUCT(AV$4:AV748)</f>
        <v>158.34204355498073</v>
      </c>
    </row>
    <row r="749" spans="5:49">
      <c r="E749">
        <f t="shared" si="406"/>
        <v>746</v>
      </c>
      <c r="F749" s="64">
        <f t="shared" si="390"/>
        <v>114.6</v>
      </c>
      <c r="G749" s="55">
        <f t="shared" si="380"/>
        <v>0</v>
      </c>
      <c r="H749" s="78">
        <f t="shared" si="405"/>
        <v>1</v>
      </c>
      <c r="I749" s="79">
        <f t="shared" si="391"/>
        <v>0</v>
      </c>
      <c r="J749" s="79">
        <f t="shared" si="381"/>
        <v>0</v>
      </c>
      <c r="K749" s="80">
        <f t="shared" si="382"/>
        <v>0</v>
      </c>
      <c r="L749" s="80">
        <f t="shared" si="392"/>
        <v>0</v>
      </c>
      <c r="M749" s="80">
        <f t="shared" si="407"/>
        <v>0</v>
      </c>
      <c r="N749" s="80">
        <f t="shared" si="393"/>
        <v>0</v>
      </c>
      <c r="O749" s="81">
        <f t="shared" si="383"/>
        <v>0</v>
      </c>
      <c r="P749" s="79">
        <f t="shared" si="384"/>
        <v>0</v>
      </c>
      <c r="R749">
        <f t="shared" ca="1" si="394"/>
        <v>871</v>
      </c>
      <c r="S749" s="78">
        <f t="shared" ca="1" si="395"/>
        <v>124.6</v>
      </c>
      <c r="T749" s="55">
        <f t="shared" ca="1" si="385"/>
        <v>0</v>
      </c>
      <c r="U749" s="78">
        <f t="shared" ca="1" si="400"/>
        <v>2.7389054743691302E-5</v>
      </c>
      <c r="V749" s="79">
        <f t="shared" ca="1" si="396"/>
        <v>0</v>
      </c>
      <c r="W749" s="79">
        <f t="shared" ca="1" si="386"/>
        <v>0</v>
      </c>
      <c r="X749" s="80">
        <f t="shared" ca="1" si="401"/>
        <v>0</v>
      </c>
      <c r="Y749" s="80">
        <f t="shared" ca="1" si="402"/>
        <v>0</v>
      </c>
      <c r="Z749" s="80">
        <f t="shared" ca="1" si="397"/>
        <v>0</v>
      </c>
      <c r="AA749" s="80">
        <f t="shared" ca="1" si="403"/>
        <v>0</v>
      </c>
      <c r="AB749" s="81">
        <f t="shared" ca="1" si="387"/>
        <v>0</v>
      </c>
      <c r="AC749" s="79">
        <f t="shared" ca="1" si="388"/>
        <v>0</v>
      </c>
      <c r="AE749" s="35"/>
      <c r="AF749" s="35"/>
      <c r="AR749" s="69">
        <f t="shared" si="398"/>
        <v>63</v>
      </c>
      <c r="AS749" s="70">
        <f t="shared" si="404"/>
        <v>746</v>
      </c>
      <c r="AT749" s="71">
        <f t="shared" si="408"/>
        <v>6.0586388676384132E-3</v>
      </c>
      <c r="AU749" s="72">
        <f t="shared" si="389"/>
        <v>6.8214933659622723E-3</v>
      </c>
      <c r="AV749" s="73">
        <f t="shared" si="399"/>
        <v>1.0068214933659623</v>
      </c>
      <c r="AW749" s="74">
        <f>PRODUCT(AV$4:AV749)</f>
        <v>159.42217275464395</v>
      </c>
    </row>
    <row r="750" spans="5:49">
      <c r="E750">
        <f t="shared" si="406"/>
        <v>747</v>
      </c>
      <c r="F750" s="64">
        <f t="shared" si="390"/>
        <v>114.68</v>
      </c>
      <c r="G750" s="55">
        <f t="shared" si="380"/>
        <v>0</v>
      </c>
      <c r="H750" s="78">
        <f t="shared" si="405"/>
        <v>1</v>
      </c>
      <c r="I750" s="79">
        <f t="shared" si="391"/>
        <v>0</v>
      </c>
      <c r="J750" s="79">
        <f t="shared" si="381"/>
        <v>0</v>
      </c>
      <c r="K750" s="80">
        <f t="shared" si="382"/>
        <v>0</v>
      </c>
      <c r="L750" s="80">
        <f t="shared" si="392"/>
        <v>0</v>
      </c>
      <c r="M750" s="80">
        <f t="shared" si="407"/>
        <v>0</v>
      </c>
      <c r="N750" s="80">
        <f t="shared" si="393"/>
        <v>0</v>
      </c>
      <c r="O750" s="81">
        <f t="shared" si="383"/>
        <v>0</v>
      </c>
      <c r="P750" s="79">
        <f t="shared" si="384"/>
        <v>0</v>
      </c>
      <c r="R750">
        <f t="shared" ca="1" si="394"/>
        <v>872</v>
      </c>
      <c r="S750" s="78">
        <f t="shared" ca="1" si="395"/>
        <v>124.68</v>
      </c>
      <c r="T750" s="55">
        <f t="shared" ca="1" si="385"/>
        <v>0</v>
      </c>
      <c r="U750" s="78">
        <f t="shared" ca="1" si="400"/>
        <v>2.7389054743691302E-5</v>
      </c>
      <c r="V750" s="79">
        <f t="shared" ca="1" si="396"/>
        <v>0</v>
      </c>
      <c r="W750" s="79">
        <f t="shared" ca="1" si="386"/>
        <v>0</v>
      </c>
      <c r="X750" s="80">
        <f t="shared" ca="1" si="401"/>
        <v>0</v>
      </c>
      <c r="Y750" s="80">
        <f t="shared" ca="1" si="402"/>
        <v>0</v>
      </c>
      <c r="Z750" s="80">
        <f t="shared" ca="1" si="397"/>
        <v>0</v>
      </c>
      <c r="AA750" s="80">
        <f t="shared" ca="1" si="403"/>
        <v>0</v>
      </c>
      <c r="AB750" s="81">
        <f t="shared" ca="1" si="387"/>
        <v>0</v>
      </c>
      <c r="AC750" s="79">
        <f t="shared" ca="1" si="388"/>
        <v>0</v>
      </c>
      <c r="AE750" s="35"/>
      <c r="AF750" s="35"/>
      <c r="AR750" s="69">
        <f t="shared" si="398"/>
        <v>63</v>
      </c>
      <c r="AS750" s="70">
        <f t="shared" si="404"/>
        <v>747</v>
      </c>
      <c r="AT750" s="71">
        <f t="shared" si="408"/>
        <v>6.0173099027960569E-3</v>
      </c>
      <c r="AU750" s="72">
        <f t="shared" si="389"/>
        <v>6.8214933659622723E-3</v>
      </c>
      <c r="AV750" s="73">
        <f t="shared" si="399"/>
        <v>1.0068214933659623</v>
      </c>
      <c r="AW750" s="74">
        <f>PRODUCT(AV$4:AV750)</f>
        <v>160.50967004847703</v>
      </c>
    </row>
    <row r="751" spans="5:49">
      <c r="E751">
        <f t="shared" si="406"/>
        <v>748</v>
      </c>
      <c r="F751" s="64">
        <f t="shared" si="390"/>
        <v>114.76</v>
      </c>
      <c r="G751" s="55">
        <f t="shared" si="380"/>
        <v>0</v>
      </c>
      <c r="H751" s="78">
        <f t="shared" si="405"/>
        <v>1</v>
      </c>
      <c r="I751" s="79">
        <f t="shared" si="391"/>
        <v>0</v>
      </c>
      <c r="J751" s="79">
        <f t="shared" si="381"/>
        <v>0</v>
      </c>
      <c r="K751" s="80">
        <f t="shared" si="382"/>
        <v>0</v>
      </c>
      <c r="L751" s="80">
        <f t="shared" si="392"/>
        <v>0</v>
      </c>
      <c r="M751" s="80">
        <f t="shared" si="407"/>
        <v>0</v>
      </c>
      <c r="N751" s="80">
        <f t="shared" si="393"/>
        <v>0</v>
      </c>
      <c r="O751" s="81">
        <f t="shared" si="383"/>
        <v>0</v>
      </c>
      <c r="P751" s="79">
        <f t="shared" si="384"/>
        <v>0</v>
      </c>
      <c r="R751">
        <f t="shared" ca="1" si="394"/>
        <v>873</v>
      </c>
      <c r="S751" s="78">
        <f t="shared" ca="1" si="395"/>
        <v>124.76</v>
      </c>
      <c r="T751" s="55">
        <f t="shared" ca="1" si="385"/>
        <v>0</v>
      </c>
      <c r="U751" s="78">
        <f t="shared" ca="1" si="400"/>
        <v>2.7389054743691302E-5</v>
      </c>
      <c r="V751" s="79">
        <f t="shared" ca="1" si="396"/>
        <v>0</v>
      </c>
      <c r="W751" s="79">
        <f t="shared" ca="1" si="386"/>
        <v>0</v>
      </c>
      <c r="X751" s="80">
        <f t="shared" ca="1" si="401"/>
        <v>0</v>
      </c>
      <c r="Y751" s="80">
        <f t="shared" ca="1" si="402"/>
        <v>0</v>
      </c>
      <c r="Z751" s="80">
        <f t="shared" ca="1" si="397"/>
        <v>0</v>
      </c>
      <c r="AA751" s="80">
        <f t="shared" ca="1" si="403"/>
        <v>0</v>
      </c>
      <c r="AB751" s="81">
        <f t="shared" ca="1" si="387"/>
        <v>0</v>
      </c>
      <c r="AC751" s="79">
        <f t="shared" ca="1" si="388"/>
        <v>0</v>
      </c>
      <c r="AE751" s="35"/>
      <c r="AF751" s="35"/>
      <c r="AR751" s="69">
        <f t="shared" si="398"/>
        <v>63</v>
      </c>
      <c r="AS751" s="70">
        <f t="shared" si="404"/>
        <v>748</v>
      </c>
      <c r="AT751" s="71">
        <f t="shared" si="408"/>
        <v>5.976262863213194E-3</v>
      </c>
      <c r="AU751" s="72">
        <f t="shared" si="389"/>
        <v>6.8214933659622723E-3</v>
      </c>
      <c r="AV751" s="73">
        <f t="shared" si="399"/>
        <v>1.0068214933659623</v>
      </c>
      <c r="AW751" s="74">
        <f>PRODUCT(AV$4:AV751)</f>
        <v>161.60458569788551</v>
      </c>
    </row>
    <row r="752" spans="5:49">
      <c r="E752">
        <f t="shared" si="406"/>
        <v>749</v>
      </c>
      <c r="F752" s="64">
        <f t="shared" si="390"/>
        <v>114.84</v>
      </c>
      <c r="G752" s="55">
        <f t="shared" si="380"/>
        <v>0</v>
      </c>
      <c r="H752" s="78">
        <f t="shared" si="405"/>
        <v>1</v>
      </c>
      <c r="I752" s="79">
        <f t="shared" si="391"/>
        <v>0</v>
      </c>
      <c r="J752" s="79">
        <f t="shared" si="381"/>
        <v>0</v>
      </c>
      <c r="K752" s="80">
        <f t="shared" si="382"/>
        <v>0</v>
      </c>
      <c r="L752" s="80">
        <f t="shared" si="392"/>
        <v>0</v>
      </c>
      <c r="M752" s="80">
        <f t="shared" si="407"/>
        <v>0</v>
      </c>
      <c r="N752" s="80">
        <f t="shared" si="393"/>
        <v>0</v>
      </c>
      <c r="O752" s="81">
        <f t="shared" si="383"/>
        <v>0</v>
      </c>
      <c r="P752" s="79">
        <f t="shared" si="384"/>
        <v>0</v>
      </c>
      <c r="R752">
        <f t="shared" ca="1" si="394"/>
        <v>874</v>
      </c>
      <c r="S752" s="78">
        <f t="shared" ca="1" si="395"/>
        <v>124.84</v>
      </c>
      <c r="T752" s="55">
        <f t="shared" ca="1" si="385"/>
        <v>0</v>
      </c>
      <c r="U752" s="78">
        <f t="shared" ca="1" si="400"/>
        <v>2.7389054743691302E-5</v>
      </c>
      <c r="V752" s="79">
        <f t="shared" ca="1" si="396"/>
        <v>0</v>
      </c>
      <c r="W752" s="79">
        <f t="shared" ca="1" si="386"/>
        <v>0</v>
      </c>
      <c r="X752" s="80">
        <f t="shared" ca="1" si="401"/>
        <v>0</v>
      </c>
      <c r="Y752" s="80">
        <f t="shared" ca="1" si="402"/>
        <v>0</v>
      </c>
      <c r="Z752" s="80">
        <f t="shared" ca="1" si="397"/>
        <v>0</v>
      </c>
      <c r="AA752" s="80">
        <f t="shared" ca="1" si="403"/>
        <v>0</v>
      </c>
      <c r="AB752" s="81">
        <f t="shared" ca="1" si="387"/>
        <v>0</v>
      </c>
      <c r="AC752" s="79">
        <f t="shared" ca="1" si="388"/>
        <v>0</v>
      </c>
      <c r="AE752" s="35"/>
      <c r="AF752" s="35"/>
      <c r="AR752" s="69">
        <f t="shared" si="398"/>
        <v>63</v>
      </c>
      <c r="AS752" s="70">
        <f t="shared" si="404"/>
        <v>749</v>
      </c>
      <c r="AT752" s="71">
        <f t="shared" si="408"/>
        <v>5.9354958257385381E-3</v>
      </c>
      <c r="AU752" s="72">
        <f t="shared" si="389"/>
        <v>6.8214933659622723E-3</v>
      </c>
      <c r="AV752" s="73">
        <f t="shared" si="399"/>
        <v>1.0068214933659623</v>
      </c>
      <c r="AW752" s="74">
        <f>PRODUCT(AV$4:AV752)</f>
        <v>162.70697030713271</v>
      </c>
    </row>
    <row r="753" spans="5:49">
      <c r="E753">
        <f t="shared" si="406"/>
        <v>750</v>
      </c>
      <c r="F753" s="64">
        <f t="shared" si="390"/>
        <v>114.92</v>
      </c>
      <c r="G753" s="55">
        <f t="shared" si="380"/>
        <v>0</v>
      </c>
      <c r="H753" s="78">
        <f t="shared" si="405"/>
        <v>1</v>
      </c>
      <c r="I753" s="79">
        <f t="shared" si="391"/>
        <v>0</v>
      </c>
      <c r="J753" s="79">
        <f t="shared" si="381"/>
        <v>0</v>
      </c>
      <c r="K753" s="80">
        <f t="shared" si="382"/>
        <v>0</v>
      </c>
      <c r="L753" s="80">
        <f t="shared" si="392"/>
        <v>0</v>
      </c>
      <c r="M753" s="80">
        <f t="shared" si="407"/>
        <v>0</v>
      </c>
      <c r="N753" s="80">
        <f t="shared" si="393"/>
        <v>0</v>
      </c>
      <c r="O753" s="81">
        <f t="shared" si="383"/>
        <v>0</v>
      </c>
      <c r="P753" s="79">
        <f t="shared" si="384"/>
        <v>0</v>
      </c>
      <c r="R753">
        <f t="shared" ca="1" si="394"/>
        <v>875</v>
      </c>
      <c r="S753" s="78">
        <f t="shared" ca="1" si="395"/>
        <v>124.92</v>
      </c>
      <c r="T753" s="55">
        <f t="shared" ca="1" si="385"/>
        <v>0</v>
      </c>
      <c r="U753" s="78">
        <f t="shared" ca="1" si="400"/>
        <v>2.7389054743691302E-5</v>
      </c>
      <c r="V753" s="79">
        <f t="shared" ca="1" si="396"/>
        <v>0</v>
      </c>
      <c r="W753" s="79">
        <f t="shared" ca="1" si="386"/>
        <v>0</v>
      </c>
      <c r="X753" s="80">
        <f t="shared" ca="1" si="401"/>
        <v>0</v>
      </c>
      <c r="Y753" s="80">
        <f t="shared" ca="1" si="402"/>
        <v>0</v>
      </c>
      <c r="Z753" s="80">
        <f t="shared" ca="1" si="397"/>
        <v>0</v>
      </c>
      <c r="AA753" s="80">
        <f t="shared" ca="1" si="403"/>
        <v>0</v>
      </c>
      <c r="AB753" s="81">
        <f t="shared" ca="1" si="387"/>
        <v>0</v>
      </c>
      <c r="AC753" s="79">
        <f t="shared" ca="1" si="388"/>
        <v>0</v>
      </c>
      <c r="AE753" s="35"/>
      <c r="AF753" s="35"/>
      <c r="AR753" s="69">
        <f t="shared" si="398"/>
        <v>63</v>
      </c>
      <c r="AS753" s="70">
        <f t="shared" si="404"/>
        <v>750</v>
      </c>
      <c r="AT753" s="71">
        <f t="shared" si="408"/>
        <v>5.8950068803395664E-3</v>
      </c>
      <c r="AU753" s="72">
        <f t="shared" si="389"/>
        <v>6.8214933659622723E-3</v>
      </c>
      <c r="AV753" s="73">
        <f t="shared" si="399"/>
        <v>1.0068214933659623</v>
      </c>
      <c r="AW753" s="74">
        <f>PRODUCT(AV$4:AV753)</f>
        <v>163.81687482567864</v>
      </c>
    </row>
    <row r="754" spans="5:49">
      <c r="E754">
        <f t="shared" si="406"/>
        <v>751</v>
      </c>
      <c r="F754" s="64">
        <f t="shared" si="390"/>
        <v>115</v>
      </c>
      <c r="G754" s="55">
        <f t="shared" si="380"/>
        <v>0</v>
      </c>
      <c r="H754" s="78">
        <f t="shared" si="405"/>
        <v>1</v>
      </c>
      <c r="I754" s="79">
        <f t="shared" si="391"/>
        <v>0</v>
      </c>
      <c r="J754" s="79">
        <f t="shared" si="381"/>
        <v>0</v>
      </c>
      <c r="K754" s="80">
        <f t="shared" si="382"/>
        <v>0</v>
      </c>
      <c r="L754" s="80">
        <f t="shared" si="392"/>
        <v>0</v>
      </c>
      <c r="M754" s="80">
        <f t="shared" si="407"/>
        <v>0</v>
      </c>
      <c r="N754" s="80">
        <f t="shared" si="393"/>
        <v>0</v>
      </c>
      <c r="O754" s="81">
        <f t="shared" si="383"/>
        <v>0</v>
      </c>
      <c r="P754" s="79">
        <f t="shared" si="384"/>
        <v>0</v>
      </c>
      <c r="R754">
        <f t="shared" ca="1" si="394"/>
        <v>876</v>
      </c>
      <c r="S754" s="78">
        <f t="shared" ca="1" si="395"/>
        <v>125</v>
      </c>
      <c r="T754" s="55">
        <f t="shared" ca="1" si="385"/>
        <v>0</v>
      </c>
      <c r="U754" s="78">
        <f t="shared" ca="1" si="400"/>
        <v>2.7389054743691302E-5</v>
      </c>
      <c r="V754" s="79">
        <f t="shared" ca="1" si="396"/>
        <v>0</v>
      </c>
      <c r="W754" s="79">
        <f t="shared" ca="1" si="386"/>
        <v>0</v>
      </c>
      <c r="X754" s="80">
        <f t="shared" ca="1" si="401"/>
        <v>0</v>
      </c>
      <c r="Y754" s="80">
        <f t="shared" ca="1" si="402"/>
        <v>0</v>
      </c>
      <c r="Z754" s="80">
        <f t="shared" ca="1" si="397"/>
        <v>0</v>
      </c>
      <c r="AA754" s="80">
        <f t="shared" ca="1" si="403"/>
        <v>0</v>
      </c>
      <c r="AB754" s="81">
        <f t="shared" ca="1" si="387"/>
        <v>0</v>
      </c>
      <c r="AC754" s="79">
        <f t="shared" ca="1" si="388"/>
        <v>0</v>
      </c>
      <c r="AE754" s="35"/>
      <c r="AF754" s="35"/>
      <c r="AR754" s="69">
        <f t="shared" si="398"/>
        <v>63</v>
      </c>
      <c r="AS754" s="70">
        <f t="shared" si="404"/>
        <v>751</v>
      </c>
      <c r="AT754" s="71">
        <f t="shared" si="408"/>
        <v>5.8547941300130281E-3</v>
      </c>
      <c r="AU754" s="72">
        <f t="shared" si="389"/>
        <v>6.8214933659622723E-3</v>
      </c>
      <c r="AV754" s="73">
        <f t="shared" si="399"/>
        <v>1.0068214933659623</v>
      </c>
      <c r="AW754" s="74">
        <f>PRODUCT(AV$4:AV754)</f>
        <v>164.93435055053467</v>
      </c>
    </row>
    <row r="755" spans="5:49">
      <c r="E755">
        <f t="shared" si="406"/>
        <v>752</v>
      </c>
      <c r="F755" s="64">
        <f t="shared" si="390"/>
        <v>115.08</v>
      </c>
      <c r="G755" s="55">
        <f t="shared" si="380"/>
        <v>0</v>
      </c>
      <c r="H755" s="78">
        <f t="shared" si="405"/>
        <v>1</v>
      </c>
      <c r="I755" s="79">
        <f t="shared" si="391"/>
        <v>0</v>
      </c>
      <c r="J755" s="79">
        <f t="shared" si="381"/>
        <v>0</v>
      </c>
      <c r="K755" s="80">
        <f t="shared" si="382"/>
        <v>0</v>
      </c>
      <c r="L755" s="80">
        <f t="shared" si="392"/>
        <v>0</v>
      </c>
      <c r="M755" s="80">
        <f t="shared" si="407"/>
        <v>0</v>
      </c>
      <c r="N755" s="80">
        <f t="shared" si="393"/>
        <v>0</v>
      </c>
      <c r="O755" s="81">
        <f t="shared" si="383"/>
        <v>0</v>
      </c>
      <c r="P755" s="79">
        <f t="shared" si="384"/>
        <v>0</v>
      </c>
      <c r="R755">
        <f t="shared" ca="1" si="394"/>
        <v>877</v>
      </c>
      <c r="S755" s="78">
        <f t="shared" ca="1" si="395"/>
        <v>125.08</v>
      </c>
      <c r="T755" s="55">
        <f t="shared" ca="1" si="385"/>
        <v>0</v>
      </c>
      <c r="U755" s="78">
        <f t="shared" ca="1" si="400"/>
        <v>2.7389054743691302E-5</v>
      </c>
      <c r="V755" s="79">
        <f t="shared" ca="1" si="396"/>
        <v>0</v>
      </c>
      <c r="W755" s="79">
        <f t="shared" ca="1" si="386"/>
        <v>0</v>
      </c>
      <c r="X755" s="80">
        <f t="shared" ca="1" si="401"/>
        <v>0</v>
      </c>
      <c r="Y755" s="80">
        <f t="shared" ca="1" si="402"/>
        <v>0</v>
      </c>
      <c r="Z755" s="80">
        <f t="shared" ca="1" si="397"/>
        <v>0</v>
      </c>
      <c r="AA755" s="80">
        <f t="shared" ca="1" si="403"/>
        <v>0</v>
      </c>
      <c r="AB755" s="81">
        <f t="shared" ca="1" si="387"/>
        <v>0</v>
      </c>
      <c r="AC755" s="79">
        <f t="shared" ca="1" si="388"/>
        <v>0</v>
      </c>
      <c r="AE755" s="35"/>
      <c r="AF755" s="35"/>
      <c r="AR755" s="69">
        <f t="shared" si="398"/>
        <v>63</v>
      </c>
      <c r="AS755" s="70">
        <f t="shared" si="404"/>
        <v>752</v>
      </c>
      <c r="AT755" s="71">
        <f t="shared" si="408"/>
        <v>5.8148556906960696E-3</v>
      </c>
      <c r="AU755" s="72">
        <f t="shared" si="389"/>
        <v>6.8214933659622723E-3</v>
      </c>
      <c r="AV755" s="73">
        <f t="shared" si="399"/>
        <v>1.0068214933659623</v>
      </c>
      <c r="AW755" s="74">
        <f>PRODUCT(AV$4:AV755)</f>
        <v>166.05944912863444</v>
      </c>
    </row>
    <row r="756" spans="5:49">
      <c r="E756">
        <f t="shared" si="406"/>
        <v>753</v>
      </c>
      <c r="F756" s="64">
        <f t="shared" si="390"/>
        <v>115.16</v>
      </c>
      <c r="G756" s="55">
        <f t="shared" si="380"/>
        <v>0</v>
      </c>
      <c r="H756" s="78">
        <f t="shared" si="405"/>
        <v>1</v>
      </c>
      <c r="I756" s="79">
        <f t="shared" si="391"/>
        <v>0</v>
      </c>
      <c r="J756" s="79">
        <f t="shared" si="381"/>
        <v>0</v>
      </c>
      <c r="K756" s="80">
        <f t="shared" si="382"/>
        <v>0</v>
      </c>
      <c r="L756" s="80">
        <f t="shared" si="392"/>
        <v>0</v>
      </c>
      <c r="M756" s="80">
        <f t="shared" si="407"/>
        <v>0</v>
      </c>
      <c r="N756" s="80">
        <f t="shared" si="393"/>
        <v>0</v>
      </c>
      <c r="O756" s="81">
        <f t="shared" si="383"/>
        <v>0</v>
      </c>
      <c r="P756" s="79">
        <f t="shared" si="384"/>
        <v>0</v>
      </c>
      <c r="R756">
        <f t="shared" ca="1" si="394"/>
        <v>878</v>
      </c>
      <c r="S756" s="78">
        <f t="shared" ca="1" si="395"/>
        <v>125.16</v>
      </c>
      <c r="T756" s="55">
        <f t="shared" ca="1" si="385"/>
        <v>0</v>
      </c>
      <c r="U756" s="78">
        <f t="shared" ca="1" si="400"/>
        <v>2.7389054743691302E-5</v>
      </c>
      <c r="V756" s="79">
        <f t="shared" ca="1" si="396"/>
        <v>0</v>
      </c>
      <c r="W756" s="79">
        <f t="shared" ca="1" si="386"/>
        <v>0</v>
      </c>
      <c r="X756" s="80">
        <f t="shared" ca="1" si="401"/>
        <v>0</v>
      </c>
      <c r="Y756" s="80">
        <f t="shared" ca="1" si="402"/>
        <v>0</v>
      </c>
      <c r="Z756" s="80">
        <f t="shared" ca="1" si="397"/>
        <v>0</v>
      </c>
      <c r="AA756" s="80">
        <f t="shared" ca="1" si="403"/>
        <v>0</v>
      </c>
      <c r="AB756" s="81">
        <f t="shared" ca="1" si="387"/>
        <v>0</v>
      </c>
      <c r="AC756" s="79">
        <f t="shared" ca="1" si="388"/>
        <v>0</v>
      </c>
      <c r="AE756" s="35"/>
      <c r="AF756" s="35"/>
      <c r="AR756" s="69">
        <f t="shared" si="398"/>
        <v>63</v>
      </c>
      <c r="AS756" s="70">
        <f t="shared" si="404"/>
        <v>753</v>
      </c>
      <c r="AT756" s="71">
        <f t="shared" si="408"/>
        <v>5.7751896911779586E-3</v>
      </c>
      <c r="AU756" s="72">
        <f t="shared" si="389"/>
        <v>6.8214933659622723E-3</v>
      </c>
      <c r="AV756" s="73">
        <f t="shared" si="399"/>
        <v>1.0068214933659623</v>
      </c>
      <c r="AW756" s="74">
        <f>PRODUCT(AV$4:AV756)</f>
        <v>167.19222255922077</v>
      </c>
    </row>
    <row r="757" spans="5:49">
      <c r="E757">
        <f t="shared" si="406"/>
        <v>754</v>
      </c>
      <c r="F757" s="64">
        <f t="shared" si="390"/>
        <v>115.24</v>
      </c>
      <c r="G757" s="55">
        <f t="shared" si="380"/>
        <v>0</v>
      </c>
      <c r="H757" s="78">
        <f t="shared" si="405"/>
        <v>1</v>
      </c>
      <c r="I757" s="79">
        <f t="shared" si="391"/>
        <v>0</v>
      </c>
      <c r="J757" s="79">
        <f t="shared" si="381"/>
        <v>0</v>
      </c>
      <c r="K757" s="80">
        <f t="shared" si="382"/>
        <v>0</v>
      </c>
      <c r="L757" s="80">
        <f t="shared" si="392"/>
        <v>0</v>
      </c>
      <c r="M757" s="80">
        <f t="shared" si="407"/>
        <v>0</v>
      </c>
      <c r="N757" s="80">
        <f t="shared" si="393"/>
        <v>0</v>
      </c>
      <c r="O757" s="81">
        <f t="shared" si="383"/>
        <v>0</v>
      </c>
      <c r="P757" s="79">
        <f t="shared" si="384"/>
        <v>0</v>
      </c>
      <c r="R757">
        <f t="shared" ca="1" si="394"/>
        <v>879</v>
      </c>
      <c r="S757" s="78">
        <f t="shared" ca="1" si="395"/>
        <v>125.24</v>
      </c>
      <c r="T757" s="55">
        <f t="shared" ca="1" si="385"/>
        <v>0</v>
      </c>
      <c r="U757" s="78">
        <f t="shared" ca="1" si="400"/>
        <v>2.7389054743691302E-5</v>
      </c>
      <c r="V757" s="79">
        <f t="shared" ca="1" si="396"/>
        <v>0</v>
      </c>
      <c r="W757" s="79">
        <f t="shared" ca="1" si="386"/>
        <v>0</v>
      </c>
      <c r="X757" s="80">
        <f t="shared" ca="1" si="401"/>
        <v>0</v>
      </c>
      <c r="Y757" s="80">
        <f t="shared" ca="1" si="402"/>
        <v>0</v>
      </c>
      <c r="Z757" s="80">
        <f t="shared" ca="1" si="397"/>
        <v>0</v>
      </c>
      <c r="AA757" s="80">
        <f t="shared" ca="1" si="403"/>
        <v>0</v>
      </c>
      <c r="AB757" s="81">
        <f t="shared" ca="1" si="387"/>
        <v>0</v>
      </c>
      <c r="AC757" s="79">
        <f t="shared" ca="1" si="388"/>
        <v>0</v>
      </c>
      <c r="AE757" s="35"/>
      <c r="AF757" s="35"/>
      <c r="AR757" s="69">
        <f t="shared" si="398"/>
        <v>63</v>
      </c>
      <c r="AS757" s="70">
        <f t="shared" si="404"/>
        <v>754</v>
      </c>
      <c r="AT757" s="71">
        <f t="shared" si="408"/>
        <v>5.7357942730124145E-3</v>
      </c>
      <c r="AU757" s="72">
        <f t="shared" si="389"/>
        <v>6.8214933659622723E-3</v>
      </c>
      <c r="AV757" s="73">
        <f t="shared" si="399"/>
        <v>1.0068214933659623</v>
      </c>
      <c r="AW757" s="74">
        <f>PRODUCT(AV$4:AV757)</f>
        <v>168.33272319624899</v>
      </c>
    </row>
    <row r="758" spans="5:49">
      <c r="E758">
        <f t="shared" si="406"/>
        <v>755</v>
      </c>
      <c r="F758" s="64">
        <f t="shared" si="390"/>
        <v>115.32</v>
      </c>
      <c r="G758" s="55">
        <f t="shared" si="380"/>
        <v>0</v>
      </c>
      <c r="H758" s="78">
        <f t="shared" si="405"/>
        <v>1</v>
      </c>
      <c r="I758" s="79">
        <f t="shared" si="391"/>
        <v>0</v>
      </c>
      <c r="J758" s="79">
        <f t="shared" si="381"/>
        <v>0</v>
      </c>
      <c r="K758" s="80">
        <f t="shared" si="382"/>
        <v>0</v>
      </c>
      <c r="L758" s="80">
        <f t="shared" si="392"/>
        <v>0</v>
      </c>
      <c r="M758" s="80">
        <f t="shared" si="407"/>
        <v>0</v>
      </c>
      <c r="N758" s="80">
        <f t="shared" si="393"/>
        <v>0</v>
      </c>
      <c r="O758" s="81">
        <f t="shared" si="383"/>
        <v>0</v>
      </c>
      <c r="P758" s="79">
        <f t="shared" si="384"/>
        <v>0</v>
      </c>
      <c r="R758">
        <f t="shared" ca="1" si="394"/>
        <v>880</v>
      </c>
      <c r="S758" s="78">
        <f t="shared" ca="1" si="395"/>
        <v>125.32</v>
      </c>
      <c r="T758" s="55">
        <f t="shared" ca="1" si="385"/>
        <v>0</v>
      </c>
      <c r="U758" s="78">
        <f t="shared" ca="1" si="400"/>
        <v>2.7389054743691302E-5</v>
      </c>
      <c r="V758" s="79">
        <f t="shared" ca="1" si="396"/>
        <v>0</v>
      </c>
      <c r="W758" s="79">
        <f t="shared" ca="1" si="386"/>
        <v>0</v>
      </c>
      <c r="X758" s="80">
        <f t="shared" ca="1" si="401"/>
        <v>0</v>
      </c>
      <c r="Y758" s="80">
        <f t="shared" ca="1" si="402"/>
        <v>0</v>
      </c>
      <c r="Z758" s="80">
        <f t="shared" ca="1" si="397"/>
        <v>0</v>
      </c>
      <c r="AA758" s="80">
        <f t="shared" ca="1" si="403"/>
        <v>0</v>
      </c>
      <c r="AB758" s="81">
        <f t="shared" ca="1" si="387"/>
        <v>0</v>
      </c>
      <c r="AC758" s="79">
        <f t="shared" ca="1" si="388"/>
        <v>0</v>
      </c>
      <c r="AE758" s="35"/>
      <c r="AF758" s="35"/>
      <c r="AR758" s="69">
        <f t="shared" si="398"/>
        <v>63</v>
      </c>
      <c r="AS758" s="70">
        <f t="shared" si="404"/>
        <v>755</v>
      </c>
      <c r="AT758" s="71">
        <f t="shared" si="408"/>
        <v>5.6966675904305359E-3</v>
      </c>
      <c r="AU758" s="72">
        <f t="shared" si="389"/>
        <v>6.8214933659622723E-3</v>
      </c>
      <c r="AV758" s="73">
        <f t="shared" si="399"/>
        <v>1.0068214933659623</v>
      </c>
      <c r="AW758" s="74">
        <f>PRODUCT(AV$4:AV758)</f>
        <v>169.48100375080656</v>
      </c>
    </row>
    <row r="759" spans="5:49">
      <c r="E759">
        <f t="shared" si="406"/>
        <v>756</v>
      </c>
      <c r="F759" s="64">
        <f t="shared" si="390"/>
        <v>115.4</v>
      </c>
      <c r="G759" s="55">
        <f t="shared" si="380"/>
        <v>0</v>
      </c>
      <c r="H759" s="78">
        <f t="shared" si="405"/>
        <v>1</v>
      </c>
      <c r="I759" s="79">
        <f t="shared" si="391"/>
        <v>0</v>
      </c>
      <c r="J759" s="79">
        <f t="shared" si="381"/>
        <v>0</v>
      </c>
      <c r="K759" s="80">
        <f t="shared" si="382"/>
        <v>0</v>
      </c>
      <c r="L759" s="80">
        <f t="shared" si="392"/>
        <v>0</v>
      </c>
      <c r="M759" s="80">
        <f t="shared" si="407"/>
        <v>0</v>
      </c>
      <c r="N759" s="80">
        <f t="shared" si="393"/>
        <v>0</v>
      </c>
      <c r="O759" s="81">
        <f t="shared" si="383"/>
        <v>0</v>
      </c>
      <c r="P759" s="79">
        <f t="shared" si="384"/>
        <v>0</v>
      </c>
      <c r="R759">
        <f t="shared" ca="1" si="394"/>
        <v>881</v>
      </c>
      <c r="S759" s="78">
        <f t="shared" ca="1" si="395"/>
        <v>125.4</v>
      </c>
      <c r="T759" s="55">
        <f t="shared" ca="1" si="385"/>
        <v>0</v>
      </c>
      <c r="U759" s="78">
        <f t="shared" ca="1" si="400"/>
        <v>2.7389054743691302E-5</v>
      </c>
      <c r="V759" s="79">
        <f t="shared" ca="1" si="396"/>
        <v>0</v>
      </c>
      <c r="W759" s="79">
        <f t="shared" ca="1" si="386"/>
        <v>0</v>
      </c>
      <c r="X759" s="80">
        <f t="shared" ca="1" si="401"/>
        <v>0</v>
      </c>
      <c r="Y759" s="80">
        <f t="shared" ca="1" si="402"/>
        <v>0</v>
      </c>
      <c r="Z759" s="80">
        <f t="shared" ca="1" si="397"/>
        <v>0</v>
      </c>
      <c r="AA759" s="80">
        <f t="shared" ca="1" si="403"/>
        <v>0</v>
      </c>
      <c r="AB759" s="81">
        <f t="shared" ca="1" si="387"/>
        <v>0</v>
      </c>
      <c r="AC759" s="79">
        <f t="shared" ca="1" si="388"/>
        <v>0</v>
      </c>
      <c r="AE759" s="35"/>
      <c r="AF759" s="35"/>
      <c r="AR759" s="69">
        <f t="shared" si="398"/>
        <v>63</v>
      </c>
      <c r="AS759" s="70">
        <f t="shared" si="404"/>
        <v>756</v>
      </c>
      <c r="AT759" s="71">
        <f t="shared" si="408"/>
        <v>5.6578078102543219E-3</v>
      </c>
      <c r="AU759" s="72">
        <f t="shared" si="389"/>
        <v>6.8214933659622723E-3</v>
      </c>
      <c r="AV759" s="73">
        <f t="shared" si="399"/>
        <v>1.0068214933659623</v>
      </c>
      <c r="AW759" s="74">
        <f>PRODUCT(AV$4:AV759)</f>
        <v>170.63711729354932</v>
      </c>
    </row>
    <row r="760" spans="5:49">
      <c r="E760">
        <f t="shared" si="406"/>
        <v>757</v>
      </c>
      <c r="F760" s="64">
        <f t="shared" si="390"/>
        <v>115.48</v>
      </c>
      <c r="G760" s="55">
        <f t="shared" si="380"/>
        <v>0</v>
      </c>
      <c r="H760" s="78">
        <f t="shared" si="405"/>
        <v>1</v>
      </c>
      <c r="I760" s="79">
        <f t="shared" si="391"/>
        <v>0</v>
      </c>
      <c r="J760" s="79">
        <f t="shared" si="381"/>
        <v>0</v>
      </c>
      <c r="K760" s="80">
        <f t="shared" si="382"/>
        <v>0</v>
      </c>
      <c r="L760" s="80">
        <f t="shared" si="392"/>
        <v>0</v>
      </c>
      <c r="M760" s="80">
        <f t="shared" si="407"/>
        <v>0</v>
      </c>
      <c r="N760" s="80">
        <f t="shared" si="393"/>
        <v>0</v>
      </c>
      <c r="O760" s="81">
        <f t="shared" si="383"/>
        <v>0</v>
      </c>
      <c r="P760" s="79">
        <f t="shared" si="384"/>
        <v>0</v>
      </c>
      <c r="R760">
        <f t="shared" ca="1" si="394"/>
        <v>882</v>
      </c>
      <c r="S760" s="78">
        <f t="shared" ca="1" si="395"/>
        <v>125.48</v>
      </c>
      <c r="T760" s="55">
        <f t="shared" ca="1" si="385"/>
        <v>0</v>
      </c>
      <c r="U760" s="78">
        <f t="shared" ca="1" si="400"/>
        <v>2.7389054743691302E-5</v>
      </c>
      <c r="V760" s="79">
        <f t="shared" ca="1" si="396"/>
        <v>0</v>
      </c>
      <c r="W760" s="79">
        <f t="shared" ca="1" si="386"/>
        <v>0</v>
      </c>
      <c r="X760" s="80">
        <f t="shared" ca="1" si="401"/>
        <v>0</v>
      </c>
      <c r="Y760" s="80">
        <f t="shared" ca="1" si="402"/>
        <v>0</v>
      </c>
      <c r="Z760" s="80">
        <f t="shared" ca="1" si="397"/>
        <v>0</v>
      </c>
      <c r="AA760" s="80">
        <f t="shared" ca="1" si="403"/>
        <v>0</v>
      </c>
      <c r="AB760" s="81">
        <f t="shared" ca="1" si="387"/>
        <v>0</v>
      </c>
      <c r="AC760" s="79">
        <f t="shared" ca="1" si="388"/>
        <v>0</v>
      </c>
      <c r="AE760" s="35"/>
      <c r="AF760" s="35"/>
      <c r="AR760" s="69">
        <f t="shared" si="398"/>
        <v>64</v>
      </c>
      <c r="AS760" s="70">
        <f t="shared" si="404"/>
        <v>757</v>
      </c>
      <c r="AT760" s="71">
        <f t="shared" si="408"/>
        <v>5.6192131118107825E-3</v>
      </c>
      <c r="AU760" s="72">
        <f t="shared" si="389"/>
        <v>6.8214933659622723E-3</v>
      </c>
      <c r="AV760" s="73">
        <f t="shared" si="399"/>
        <v>1.0068214933659623</v>
      </c>
      <c r="AW760" s="74">
        <f>PRODUCT(AV$4:AV760)</f>
        <v>171.8011172571542</v>
      </c>
    </row>
    <row r="761" spans="5:49">
      <c r="E761">
        <f t="shared" si="406"/>
        <v>758</v>
      </c>
      <c r="F761" s="64">
        <f t="shared" si="390"/>
        <v>115.56</v>
      </c>
      <c r="G761" s="55">
        <f t="shared" si="380"/>
        <v>0</v>
      </c>
      <c r="H761" s="78">
        <f t="shared" si="405"/>
        <v>1</v>
      </c>
      <c r="I761" s="79">
        <f t="shared" si="391"/>
        <v>0</v>
      </c>
      <c r="J761" s="79">
        <f t="shared" si="381"/>
        <v>0</v>
      </c>
      <c r="K761" s="80">
        <f t="shared" si="382"/>
        <v>0</v>
      </c>
      <c r="L761" s="80">
        <f t="shared" si="392"/>
        <v>0</v>
      </c>
      <c r="M761" s="80">
        <f t="shared" si="407"/>
        <v>0</v>
      </c>
      <c r="N761" s="80">
        <f t="shared" si="393"/>
        <v>0</v>
      </c>
      <c r="O761" s="81">
        <f t="shared" si="383"/>
        <v>0</v>
      </c>
      <c r="P761" s="79">
        <f t="shared" si="384"/>
        <v>0</v>
      </c>
      <c r="R761">
        <f t="shared" ca="1" si="394"/>
        <v>883</v>
      </c>
      <c r="S761" s="78">
        <f t="shared" ca="1" si="395"/>
        <v>125.56</v>
      </c>
      <c r="T761" s="55">
        <f t="shared" ca="1" si="385"/>
        <v>0</v>
      </c>
      <c r="U761" s="78">
        <f t="shared" ca="1" si="400"/>
        <v>2.7389054743691302E-5</v>
      </c>
      <c r="V761" s="79">
        <f t="shared" ca="1" si="396"/>
        <v>0</v>
      </c>
      <c r="W761" s="79">
        <f t="shared" ca="1" si="386"/>
        <v>0</v>
      </c>
      <c r="X761" s="80">
        <f t="shared" ca="1" si="401"/>
        <v>0</v>
      </c>
      <c r="Y761" s="80">
        <f t="shared" ca="1" si="402"/>
        <v>0</v>
      </c>
      <c r="Z761" s="80">
        <f t="shared" ca="1" si="397"/>
        <v>0</v>
      </c>
      <c r="AA761" s="80">
        <f t="shared" ca="1" si="403"/>
        <v>0</v>
      </c>
      <c r="AB761" s="81">
        <f t="shared" ca="1" si="387"/>
        <v>0</v>
      </c>
      <c r="AC761" s="79">
        <f t="shared" ca="1" si="388"/>
        <v>0</v>
      </c>
      <c r="AE761" s="35"/>
      <c r="AF761" s="35"/>
      <c r="AR761" s="69">
        <f t="shared" si="398"/>
        <v>64</v>
      </c>
      <c r="AS761" s="70">
        <f t="shared" si="404"/>
        <v>758</v>
      </c>
      <c r="AT761" s="71">
        <f t="shared" si="408"/>
        <v>5.5808816868466371E-3</v>
      </c>
      <c r="AU761" s="72">
        <f t="shared" si="389"/>
        <v>6.8214933659622723E-3</v>
      </c>
      <c r="AV761" s="73">
        <f t="shared" si="399"/>
        <v>1.0068214933659623</v>
      </c>
      <c r="AW761" s="74">
        <f>PRODUCT(AV$4:AV761)</f>
        <v>172.9730574387888</v>
      </c>
    </row>
    <row r="762" spans="5:49">
      <c r="E762">
        <f t="shared" si="406"/>
        <v>759</v>
      </c>
      <c r="F762" s="64">
        <f t="shared" si="390"/>
        <v>115.64</v>
      </c>
      <c r="G762" s="55">
        <f t="shared" si="380"/>
        <v>0</v>
      </c>
      <c r="H762" s="78">
        <f t="shared" si="405"/>
        <v>1</v>
      </c>
      <c r="I762" s="79">
        <f t="shared" si="391"/>
        <v>0</v>
      </c>
      <c r="J762" s="79">
        <f t="shared" si="381"/>
        <v>0</v>
      </c>
      <c r="K762" s="80">
        <f t="shared" si="382"/>
        <v>0</v>
      </c>
      <c r="L762" s="80">
        <f t="shared" si="392"/>
        <v>0</v>
      </c>
      <c r="M762" s="80">
        <f t="shared" si="407"/>
        <v>0</v>
      </c>
      <c r="N762" s="80">
        <f t="shared" si="393"/>
        <v>0</v>
      </c>
      <c r="O762" s="81">
        <f t="shared" si="383"/>
        <v>0</v>
      </c>
      <c r="P762" s="79">
        <f t="shared" si="384"/>
        <v>0</v>
      </c>
      <c r="R762">
        <f t="shared" ca="1" si="394"/>
        <v>884</v>
      </c>
      <c r="S762" s="78">
        <f t="shared" ca="1" si="395"/>
        <v>125.64</v>
      </c>
      <c r="T762" s="55">
        <f t="shared" ca="1" si="385"/>
        <v>0</v>
      </c>
      <c r="U762" s="78">
        <f t="shared" ca="1" si="400"/>
        <v>2.7389054743691302E-5</v>
      </c>
      <c r="V762" s="79">
        <f t="shared" ca="1" si="396"/>
        <v>0</v>
      </c>
      <c r="W762" s="79">
        <f t="shared" ca="1" si="386"/>
        <v>0</v>
      </c>
      <c r="X762" s="80">
        <f t="shared" ca="1" si="401"/>
        <v>0</v>
      </c>
      <c r="Y762" s="80">
        <f t="shared" ca="1" si="402"/>
        <v>0</v>
      </c>
      <c r="Z762" s="80">
        <f t="shared" ca="1" si="397"/>
        <v>0</v>
      </c>
      <c r="AA762" s="80">
        <f t="shared" ca="1" si="403"/>
        <v>0</v>
      </c>
      <c r="AB762" s="81">
        <f t="shared" ca="1" si="387"/>
        <v>0</v>
      </c>
      <c r="AC762" s="79">
        <f t="shared" ca="1" si="388"/>
        <v>0</v>
      </c>
      <c r="AE762" s="35"/>
      <c r="AF762" s="35"/>
      <c r="AR762" s="69">
        <f t="shared" si="398"/>
        <v>64</v>
      </c>
      <c r="AS762" s="70">
        <f t="shared" si="404"/>
        <v>759</v>
      </c>
      <c r="AT762" s="71">
        <f t="shared" si="408"/>
        <v>5.5428117394435922E-3</v>
      </c>
      <c r="AU762" s="72">
        <f t="shared" si="389"/>
        <v>6.8214933659622723E-3</v>
      </c>
      <c r="AV762" s="73">
        <f t="shared" si="399"/>
        <v>1.0068214933659623</v>
      </c>
      <c r="AW762" s="74">
        <f>PRODUCT(AV$4:AV762)</f>
        <v>174.1529920025977</v>
      </c>
    </row>
    <row r="763" spans="5:49">
      <c r="E763">
        <f t="shared" si="406"/>
        <v>760</v>
      </c>
      <c r="F763" s="64">
        <f t="shared" si="390"/>
        <v>115.72</v>
      </c>
      <c r="G763" s="55">
        <f t="shared" si="380"/>
        <v>0</v>
      </c>
      <c r="H763" s="78">
        <f t="shared" si="405"/>
        <v>1</v>
      </c>
      <c r="I763" s="79">
        <f t="shared" si="391"/>
        <v>0</v>
      </c>
      <c r="J763" s="79">
        <f t="shared" si="381"/>
        <v>0</v>
      </c>
      <c r="K763" s="80">
        <f t="shared" si="382"/>
        <v>0</v>
      </c>
      <c r="L763" s="80">
        <f t="shared" si="392"/>
        <v>0</v>
      </c>
      <c r="M763" s="80">
        <f t="shared" si="407"/>
        <v>0</v>
      </c>
      <c r="N763" s="80">
        <f t="shared" si="393"/>
        <v>0</v>
      </c>
      <c r="O763" s="81">
        <f t="shared" si="383"/>
        <v>0</v>
      </c>
      <c r="P763" s="79">
        <f t="shared" si="384"/>
        <v>0</v>
      </c>
      <c r="R763">
        <f t="shared" ca="1" si="394"/>
        <v>885</v>
      </c>
      <c r="S763" s="78">
        <f t="shared" ca="1" si="395"/>
        <v>125.72</v>
      </c>
      <c r="T763" s="55">
        <f t="shared" ca="1" si="385"/>
        <v>0</v>
      </c>
      <c r="U763" s="78">
        <f t="shared" ca="1" si="400"/>
        <v>2.7389054743691302E-5</v>
      </c>
      <c r="V763" s="79">
        <f t="shared" ca="1" si="396"/>
        <v>0</v>
      </c>
      <c r="W763" s="79">
        <f t="shared" ca="1" si="386"/>
        <v>0</v>
      </c>
      <c r="X763" s="80">
        <f t="shared" ca="1" si="401"/>
        <v>0</v>
      </c>
      <c r="Y763" s="80">
        <f t="shared" ca="1" si="402"/>
        <v>0</v>
      </c>
      <c r="Z763" s="80">
        <f t="shared" ca="1" si="397"/>
        <v>0</v>
      </c>
      <c r="AA763" s="80">
        <f t="shared" ca="1" si="403"/>
        <v>0</v>
      </c>
      <c r="AB763" s="81">
        <f t="shared" ca="1" si="387"/>
        <v>0</v>
      </c>
      <c r="AC763" s="79">
        <f t="shared" ca="1" si="388"/>
        <v>0</v>
      </c>
      <c r="AE763" s="35"/>
      <c r="AF763" s="35"/>
      <c r="AR763" s="69">
        <f t="shared" si="398"/>
        <v>64</v>
      </c>
      <c r="AS763" s="70">
        <f t="shared" si="404"/>
        <v>760</v>
      </c>
      <c r="AT763" s="71">
        <f t="shared" si="408"/>
        <v>5.5050014859341998E-3</v>
      </c>
      <c r="AU763" s="72">
        <f t="shared" si="389"/>
        <v>6.8214933659622723E-3</v>
      </c>
      <c r="AV763" s="73">
        <f t="shared" si="399"/>
        <v>1.0068214933659623</v>
      </c>
      <c r="AW763" s="74">
        <f>PRODUCT(AV$4:AV763)</f>
        <v>175.34097548220589</v>
      </c>
    </row>
    <row r="764" spans="5:49">
      <c r="E764">
        <f t="shared" si="406"/>
        <v>761</v>
      </c>
      <c r="F764" s="64">
        <f t="shared" si="390"/>
        <v>115.8</v>
      </c>
      <c r="G764" s="55">
        <f t="shared" si="380"/>
        <v>0</v>
      </c>
      <c r="H764" s="78">
        <f t="shared" si="405"/>
        <v>1</v>
      </c>
      <c r="I764" s="79">
        <f t="shared" si="391"/>
        <v>0</v>
      </c>
      <c r="J764" s="79">
        <f t="shared" si="381"/>
        <v>0</v>
      </c>
      <c r="K764" s="80">
        <f t="shared" si="382"/>
        <v>0</v>
      </c>
      <c r="L764" s="80">
        <f t="shared" si="392"/>
        <v>0</v>
      </c>
      <c r="M764" s="80">
        <f t="shared" si="407"/>
        <v>0</v>
      </c>
      <c r="N764" s="80">
        <f t="shared" si="393"/>
        <v>0</v>
      </c>
      <c r="O764" s="81">
        <f t="shared" si="383"/>
        <v>0</v>
      </c>
      <c r="P764" s="79">
        <f t="shared" si="384"/>
        <v>0</v>
      </c>
      <c r="R764">
        <f t="shared" ca="1" si="394"/>
        <v>886</v>
      </c>
      <c r="S764" s="78">
        <f t="shared" ca="1" si="395"/>
        <v>125.8</v>
      </c>
      <c r="T764" s="55">
        <f t="shared" ca="1" si="385"/>
        <v>0</v>
      </c>
      <c r="U764" s="78">
        <f t="shared" ca="1" si="400"/>
        <v>2.7389054743691302E-5</v>
      </c>
      <c r="V764" s="79">
        <f t="shared" ca="1" si="396"/>
        <v>0</v>
      </c>
      <c r="W764" s="79">
        <f t="shared" ca="1" si="386"/>
        <v>0</v>
      </c>
      <c r="X764" s="80">
        <f t="shared" ca="1" si="401"/>
        <v>0</v>
      </c>
      <c r="Y764" s="80">
        <f t="shared" ca="1" si="402"/>
        <v>0</v>
      </c>
      <c r="Z764" s="80">
        <f t="shared" ca="1" si="397"/>
        <v>0</v>
      </c>
      <c r="AA764" s="80">
        <f t="shared" ca="1" si="403"/>
        <v>0</v>
      </c>
      <c r="AB764" s="81">
        <f t="shared" ca="1" si="387"/>
        <v>0</v>
      </c>
      <c r="AC764" s="79">
        <f t="shared" ca="1" si="388"/>
        <v>0</v>
      </c>
      <c r="AE764" s="35"/>
      <c r="AF764" s="35"/>
      <c r="AR764" s="69">
        <f t="shared" si="398"/>
        <v>64</v>
      </c>
      <c r="AS764" s="70">
        <f t="shared" si="404"/>
        <v>761</v>
      </c>
      <c r="AT764" s="71">
        <f t="shared" si="408"/>
        <v>5.4674491548182876E-3</v>
      </c>
      <c r="AU764" s="72">
        <f t="shared" si="389"/>
        <v>6.8214933659622723E-3</v>
      </c>
      <c r="AV764" s="73">
        <f t="shared" si="399"/>
        <v>1.0068214933659623</v>
      </c>
      <c r="AW764" s="74">
        <f>PRODUCT(AV$4:AV764)</f>
        <v>176.53706278323912</v>
      </c>
    </row>
    <row r="765" spans="5:49">
      <c r="E765">
        <f t="shared" si="406"/>
        <v>762</v>
      </c>
      <c r="F765" s="64">
        <f t="shared" si="390"/>
        <v>115.88</v>
      </c>
      <c r="G765" s="55">
        <f t="shared" si="380"/>
        <v>0</v>
      </c>
      <c r="H765" s="78">
        <f t="shared" si="405"/>
        <v>1</v>
      </c>
      <c r="I765" s="79">
        <f t="shared" si="391"/>
        <v>0</v>
      </c>
      <c r="J765" s="79">
        <f t="shared" si="381"/>
        <v>0</v>
      </c>
      <c r="K765" s="80">
        <f t="shared" si="382"/>
        <v>0</v>
      </c>
      <c r="L765" s="80">
        <f t="shared" si="392"/>
        <v>0</v>
      </c>
      <c r="M765" s="80">
        <f t="shared" si="407"/>
        <v>0</v>
      </c>
      <c r="N765" s="80">
        <f t="shared" si="393"/>
        <v>0</v>
      </c>
      <c r="O765" s="81">
        <f t="shared" si="383"/>
        <v>0</v>
      </c>
      <c r="P765" s="79">
        <f t="shared" si="384"/>
        <v>0</v>
      </c>
      <c r="R765">
        <f t="shared" ca="1" si="394"/>
        <v>887</v>
      </c>
      <c r="S765" s="78">
        <f t="shared" ca="1" si="395"/>
        <v>125.88</v>
      </c>
      <c r="T765" s="55">
        <f t="shared" ca="1" si="385"/>
        <v>0</v>
      </c>
      <c r="U765" s="78">
        <f t="shared" ca="1" si="400"/>
        <v>2.7389054743691302E-5</v>
      </c>
      <c r="V765" s="79">
        <f t="shared" ca="1" si="396"/>
        <v>0</v>
      </c>
      <c r="W765" s="79">
        <f t="shared" ca="1" si="386"/>
        <v>0</v>
      </c>
      <c r="X765" s="80">
        <f t="shared" ca="1" si="401"/>
        <v>0</v>
      </c>
      <c r="Y765" s="80">
        <f t="shared" ca="1" si="402"/>
        <v>0</v>
      </c>
      <c r="Z765" s="80">
        <f t="shared" ca="1" si="397"/>
        <v>0</v>
      </c>
      <c r="AA765" s="80">
        <f t="shared" ca="1" si="403"/>
        <v>0</v>
      </c>
      <c r="AB765" s="81">
        <f t="shared" ca="1" si="387"/>
        <v>0</v>
      </c>
      <c r="AC765" s="79">
        <f t="shared" ca="1" si="388"/>
        <v>0</v>
      </c>
      <c r="AE765" s="35"/>
      <c r="AF765" s="35"/>
      <c r="AR765" s="69">
        <f t="shared" si="398"/>
        <v>64</v>
      </c>
      <c r="AS765" s="70">
        <f t="shared" si="404"/>
        <v>762</v>
      </c>
      <c r="AT765" s="71">
        <f t="shared" si="408"/>
        <v>5.4301529866799588E-3</v>
      </c>
      <c r="AU765" s="72">
        <f t="shared" si="389"/>
        <v>6.8214933659622723E-3</v>
      </c>
      <c r="AV765" s="73">
        <f t="shared" si="399"/>
        <v>1.0068214933659623</v>
      </c>
      <c r="AW765" s="74">
        <f>PRODUCT(AV$4:AV765)</f>
        <v>177.74130918586144</v>
      </c>
    </row>
    <row r="766" spans="5:49">
      <c r="E766">
        <f t="shared" si="406"/>
        <v>763</v>
      </c>
      <c r="F766" s="64">
        <f t="shared" si="390"/>
        <v>115.96</v>
      </c>
      <c r="G766" s="55">
        <f t="shared" si="380"/>
        <v>0</v>
      </c>
      <c r="H766" s="78">
        <f t="shared" si="405"/>
        <v>1</v>
      </c>
      <c r="I766" s="79">
        <f t="shared" si="391"/>
        <v>0</v>
      </c>
      <c r="J766" s="79">
        <f t="shared" si="381"/>
        <v>0</v>
      </c>
      <c r="K766" s="80">
        <f t="shared" si="382"/>
        <v>0</v>
      </c>
      <c r="L766" s="80">
        <f t="shared" si="392"/>
        <v>0</v>
      </c>
      <c r="M766" s="80">
        <f t="shared" si="407"/>
        <v>0</v>
      </c>
      <c r="N766" s="80">
        <f t="shared" si="393"/>
        <v>0</v>
      </c>
      <c r="O766" s="81">
        <f t="shared" si="383"/>
        <v>0</v>
      </c>
      <c r="P766" s="79">
        <f t="shared" si="384"/>
        <v>0</v>
      </c>
      <c r="R766">
        <f t="shared" ca="1" si="394"/>
        <v>888</v>
      </c>
      <c r="S766" s="78">
        <f t="shared" ca="1" si="395"/>
        <v>125.96</v>
      </c>
      <c r="T766" s="55">
        <f t="shared" ca="1" si="385"/>
        <v>0</v>
      </c>
      <c r="U766" s="78">
        <f t="shared" ca="1" si="400"/>
        <v>2.7389054743691302E-5</v>
      </c>
      <c r="V766" s="79">
        <f t="shared" ca="1" si="396"/>
        <v>0</v>
      </c>
      <c r="W766" s="79">
        <f t="shared" ca="1" si="386"/>
        <v>0</v>
      </c>
      <c r="X766" s="80">
        <f t="shared" ca="1" si="401"/>
        <v>0</v>
      </c>
      <c r="Y766" s="80">
        <f t="shared" ca="1" si="402"/>
        <v>0</v>
      </c>
      <c r="Z766" s="80">
        <f t="shared" ca="1" si="397"/>
        <v>0</v>
      </c>
      <c r="AA766" s="80">
        <f t="shared" ca="1" si="403"/>
        <v>0</v>
      </c>
      <c r="AB766" s="81">
        <f t="shared" ca="1" si="387"/>
        <v>0</v>
      </c>
      <c r="AC766" s="79">
        <f t="shared" ca="1" si="388"/>
        <v>0</v>
      </c>
      <c r="AE766" s="35"/>
      <c r="AF766" s="35"/>
      <c r="AR766" s="69">
        <f t="shared" si="398"/>
        <v>64</v>
      </c>
      <c r="AS766" s="70">
        <f t="shared" si="404"/>
        <v>763</v>
      </c>
      <c r="AT766" s="71">
        <f t="shared" si="408"/>
        <v>5.3931112341051614E-3</v>
      </c>
      <c r="AU766" s="72">
        <f t="shared" si="389"/>
        <v>6.8214933659622723E-3</v>
      </c>
      <c r="AV766" s="73">
        <f t="shared" si="399"/>
        <v>1.0068214933659623</v>
      </c>
      <c r="AW766" s="74">
        <f>PRODUCT(AV$4:AV766)</f>
        <v>178.95377034733025</v>
      </c>
    </row>
    <row r="767" spans="5:49">
      <c r="E767">
        <f t="shared" si="406"/>
        <v>764</v>
      </c>
      <c r="F767" s="64">
        <f t="shared" si="390"/>
        <v>116.04</v>
      </c>
      <c r="G767" s="55">
        <f t="shared" si="380"/>
        <v>0</v>
      </c>
      <c r="H767" s="78">
        <f t="shared" si="405"/>
        <v>1</v>
      </c>
      <c r="I767" s="79">
        <f t="shared" si="391"/>
        <v>0</v>
      </c>
      <c r="J767" s="79">
        <f t="shared" si="381"/>
        <v>0</v>
      </c>
      <c r="K767" s="80">
        <f t="shared" si="382"/>
        <v>0</v>
      </c>
      <c r="L767" s="80">
        <f t="shared" si="392"/>
        <v>0</v>
      </c>
      <c r="M767" s="80">
        <f t="shared" si="407"/>
        <v>0</v>
      </c>
      <c r="N767" s="80">
        <f t="shared" si="393"/>
        <v>0</v>
      </c>
      <c r="O767" s="81">
        <f t="shared" si="383"/>
        <v>0</v>
      </c>
      <c r="P767" s="79">
        <f t="shared" si="384"/>
        <v>0</v>
      </c>
      <c r="R767">
        <f t="shared" ca="1" si="394"/>
        <v>889</v>
      </c>
      <c r="S767" s="78">
        <f t="shared" ca="1" si="395"/>
        <v>126.04</v>
      </c>
      <c r="T767" s="55">
        <f t="shared" ca="1" si="385"/>
        <v>0</v>
      </c>
      <c r="U767" s="78">
        <f t="shared" ca="1" si="400"/>
        <v>2.7389054743691302E-5</v>
      </c>
      <c r="V767" s="79">
        <f t="shared" ca="1" si="396"/>
        <v>0</v>
      </c>
      <c r="W767" s="79">
        <f t="shared" ca="1" si="386"/>
        <v>0</v>
      </c>
      <c r="X767" s="80">
        <f t="shared" ca="1" si="401"/>
        <v>0</v>
      </c>
      <c r="Y767" s="80">
        <f t="shared" ca="1" si="402"/>
        <v>0</v>
      </c>
      <c r="Z767" s="80">
        <f t="shared" ca="1" si="397"/>
        <v>0</v>
      </c>
      <c r="AA767" s="80">
        <f t="shared" ca="1" si="403"/>
        <v>0</v>
      </c>
      <c r="AB767" s="81">
        <f t="shared" ca="1" si="387"/>
        <v>0</v>
      </c>
      <c r="AC767" s="79">
        <f t="shared" ca="1" si="388"/>
        <v>0</v>
      </c>
      <c r="AE767" s="35"/>
      <c r="AF767" s="35"/>
      <c r="AR767" s="69">
        <f t="shared" si="398"/>
        <v>64</v>
      </c>
      <c r="AS767" s="70">
        <f t="shared" si="404"/>
        <v>764</v>
      </c>
      <c r="AT767" s="71">
        <f t="shared" si="408"/>
        <v>5.3563221615998162E-3</v>
      </c>
      <c r="AU767" s="72">
        <f t="shared" si="389"/>
        <v>6.8214933659622723E-3</v>
      </c>
      <c r="AV767" s="73">
        <f t="shared" si="399"/>
        <v>1.0068214933659623</v>
      </c>
      <c r="AW767" s="74">
        <f>PRODUCT(AV$4:AV767)</f>
        <v>180.17450230456851</v>
      </c>
    </row>
    <row r="768" spans="5:49">
      <c r="E768">
        <f t="shared" si="406"/>
        <v>765</v>
      </c>
      <c r="F768" s="64">
        <f t="shared" si="390"/>
        <v>116.12</v>
      </c>
      <c r="G768" s="55">
        <f t="shared" si="380"/>
        <v>0</v>
      </c>
      <c r="H768" s="78">
        <f t="shared" si="405"/>
        <v>1</v>
      </c>
      <c r="I768" s="79">
        <f t="shared" si="391"/>
        <v>0</v>
      </c>
      <c r="J768" s="79">
        <f t="shared" si="381"/>
        <v>0</v>
      </c>
      <c r="K768" s="80">
        <f t="shared" si="382"/>
        <v>0</v>
      </c>
      <c r="L768" s="80">
        <f t="shared" si="392"/>
        <v>0</v>
      </c>
      <c r="M768" s="80">
        <f t="shared" si="407"/>
        <v>0</v>
      </c>
      <c r="N768" s="80">
        <f t="shared" si="393"/>
        <v>0</v>
      </c>
      <c r="O768" s="81">
        <f t="shared" si="383"/>
        <v>0</v>
      </c>
      <c r="P768" s="79">
        <f t="shared" si="384"/>
        <v>0</v>
      </c>
      <c r="R768">
        <f t="shared" ca="1" si="394"/>
        <v>890</v>
      </c>
      <c r="S768" s="78">
        <f t="shared" ca="1" si="395"/>
        <v>126.12</v>
      </c>
      <c r="T768" s="55">
        <f t="shared" ca="1" si="385"/>
        <v>0</v>
      </c>
      <c r="U768" s="78">
        <f t="shared" ca="1" si="400"/>
        <v>2.7389054743691302E-5</v>
      </c>
      <c r="V768" s="79">
        <f t="shared" ca="1" si="396"/>
        <v>0</v>
      </c>
      <c r="W768" s="79">
        <f t="shared" ca="1" si="386"/>
        <v>0</v>
      </c>
      <c r="X768" s="80">
        <f t="shared" ca="1" si="401"/>
        <v>0</v>
      </c>
      <c r="Y768" s="80">
        <f t="shared" ca="1" si="402"/>
        <v>0</v>
      </c>
      <c r="Z768" s="80">
        <f t="shared" ca="1" si="397"/>
        <v>0</v>
      </c>
      <c r="AA768" s="80">
        <f t="shared" ca="1" si="403"/>
        <v>0</v>
      </c>
      <c r="AB768" s="81">
        <f t="shared" ca="1" si="387"/>
        <v>0</v>
      </c>
      <c r="AC768" s="79">
        <f t="shared" ca="1" si="388"/>
        <v>0</v>
      </c>
      <c r="AE768" s="35"/>
      <c r="AF768" s="35"/>
      <c r="AR768" s="69">
        <f t="shared" si="398"/>
        <v>64</v>
      </c>
      <c r="AS768" s="70">
        <f t="shared" si="404"/>
        <v>765</v>
      </c>
      <c r="AT768" s="71">
        <f t="shared" si="408"/>
        <v>5.319784045508506E-3</v>
      </c>
      <c r="AU768" s="72">
        <f t="shared" si="389"/>
        <v>6.8214933659622723E-3</v>
      </c>
      <c r="AV768" s="73">
        <f t="shared" si="399"/>
        <v>1.0068214933659623</v>
      </c>
      <c r="AW768" s="74">
        <f>PRODUCT(AV$4:AV768)</f>
        <v>181.40356147675467</v>
      </c>
    </row>
    <row r="769" spans="5:49">
      <c r="E769">
        <f t="shared" si="406"/>
        <v>766</v>
      </c>
      <c r="F769" s="64">
        <f t="shared" si="390"/>
        <v>116.2</v>
      </c>
      <c r="G769" s="55">
        <f t="shared" si="380"/>
        <v>0</v>
      </c>
      <c r="H769" s="78">
        <f t="shared" si="405"/>
        <v>1</v>
      </c>
      <c r="I769" s="79">
        <f t="shared" si="391"/>
        <v>0</v>
      </c>
      <c r="J769" s="79">
        <f t="shared" si="381"/>
        <v>0</v>
      </c>
      <c r="K769" s="80">
        <f t="shared" si="382"/>
        <v>0</v>
      </c>
      <c r="L769" s="80">
        <f t="shared" si="392"/>
        <v>0</v>
      </c>
      <c r="M769" s="80">
        <f t="shared" si="407"/>
        <v>0</v>
      </c>
      <c r="N769" s="80">
        <f t="shared" si="393"/>
        <v>0</v>
      </c>
      <c r="O769" s="81">
        <f t="shared" si="383"/>
        <v>0</v>
      </c>
      <c r="P769" s="79">
        <f t="shared" si="384"/>
        <v>0</v>
      </c>
      <c r="R769">
        <f t="shared" ca="1" si="394"/>
        <v>891</v>
      </c>
      <c r="S769" s="78">
        <f t="shared" ca="1" si="395"/>
        <v>126.2</v>
      </c>
      <c r="T769" s="55">
        <f t="shared" ca="1" si="385"/>
        <v>0</v>
      </c>
      <c r="U769" s="78">
        <f t="shared" ca="1" si="400"/>
        <v>2.7389054743691302E-5</v>
      </c>
      <c r="V769" s="79">
        <f t="shared" ca="1" si="396"/>
        <v>0</v>
      </c>
      <c r="W769" s="79">
        <f t="shared" ca="1" si="386"/>
        <v>0</v>
      </c>
      <c r="X769" s="80">
        <f t="shared" ca="1" si="401"/>
        <v>0</v>
      </c>
      <c r="Y769" s="80">
        <f t="shared" ca="1" si="402"/>
        <v>0</v>
      </c>
      <c r="Z769" s="80">
        <f t="shared" ca="1" si="397"/>
        <v>0</v>
      </c>
      <c r="AA769" s="80">
        <f t="shared" ca="1" si="403"/>
        <v>0</v>
      </c>
      <c r="AB769" s="81">
        <f t="shared" ca="1" si="387"/>
        <v>0</v>
      </c>
      <c r="AC769" s="79">
        <f t="shared" ca="1" si="388"/>
        <v>0</v>
      </c>
      <c r="AE769" s="35"/>
      <c r="AF769" s="35"/>
      <c r="AR769" s="69">
        <f t="shared" si="398"/>
        <v>64</v>
      </c>
      <c r="AS769" s="70">
        <f t="shared" si="404"/>
        <v>766</v>
      </c>
      <c r="AT769" s="71">
        <f t="shared" si="408"/>
        <v>5.2834951739337182E-3</v>
      </c>
      <c r="AU769" s="72">
        <f t="shared" si="389"/>
        <v>6.8214933659622723E-3</v>
      </c>
      <c r="AV769" s="73">
        <f t="shared" si="399"/>
        <v>1.0068214933659623</v>
      </c>
      <c r="AW769" s="74">
        <f>PRODUCT(AV$4:AV769)</f>
        <v>182.64100466793028</v>
      </c>
    </row>
    <row r="770" spans="5:49">
      <c r="E770">
        <f t="shared" si="406"/>
        <v>767</v>
      </c>
      <c r="F770" s="64">
        <f t="shared" si="390"/>
        <v>116.28</v>
      </c>
      <c r="G770" s="55">
        <f t="shared" si="380"/>
        <v>0</v>
      </c>
      <c r="H770" s="78">
        <f t="shared" si="405"/>
        <v>1</v>
      </c>
      <c r="I770" s="79">
        <f t="shared" si="391"/>
        <v>0</v>
      </c>
      <c r="J770" s="79">
        <f t="shared" si="381"/>
        <v>0</v>
      </c>
      <c r="K770" s="80">
        <f t="shared" si="382"/>
        <v>0</v>
      </c>
      <c r="L770" s="80">
        <f t="shared" si="392"/>
        <v>0</v>
      </c>
      <c r="M770" s="80">
        <f t="shared" si="407"/>
        <v>0</v>
      </c>
      <c r="N770" s="80">
        <f t="shared" si="393"/>
        <v>0</v>
      </c>
      <c r="O770" s="81">
        <f t="shared" si="383"/>
        <v>0</v>
      </c>
      <c r="P770" s="79">
        <f t="shared" si="384"/>
        <v>0</v>
      </c>
      <c r="R770">
        <f t="shared" ca="1" si="394"/>
        <v>892</v>
      </c>
      <c r="S770" s="78">
        <f t="shared" ca="1" si="395"/>
        <v>126.28</v>
      </c>
      <c r="T770" s="55">
        <f t="shared" ca="1" si="385"/>
        <v>0</v>
      </c>
      <c r="U770" s="78">
        <f t="shared" ca="1" si="400"/>
        <v>2.7389054743691302E-5</v>
      </c>
      <c r="V770" s="79">
        <f t="shared" ca="1" si="396"/>
        <v>0</v>
      </c>
      <c r="W770" s="79">
        <f t="shared" ca="1" si="386"/>
        <v>0</v>
      </c>
      <c r="X770" s="80">
        <f t="shared" ca="1" si="401"/>
        <v>0</v>
      </c>
      <c r="Y770" s="80">
        <f t="shared" ca="1" si="402"/>
        <v>0</v>
      </c>
      <c r="Z770" s="80">
        <f t="shared" ca="1" si="397"/>
        <v>0</v>
      </c>
      <c r="AA770" s="80">
        <f t="shared" ca="1" si="403"/>
        <v>0</v>
      </c>
      <c r="AB770" s="81">
        <f t="shared" ca="1" si="387"/>
        <v>0</v>
      </c>
      <c r="AC770" s="79">
        <f t="shared" ca="1" si="388"/>
        <v>0</v>
      </c>
      <c r="AE770" s="35"/>
      <c r="AF770" s="35"/>
      <c r="AR770" s="69">
        <f t="shared" si="398"/>
        <v>64</v>
      </c>
      <c r="AS770" s="70">
        <f t="shared" si="404"/>
        <v>767</v>
      </c>
      <c r="AT770" s="71">
        <f t="shared" si="408"/>
        <v>5.2474538466556354E-3</v>
      </c>
      <c r="AU770" s="72">
        <f t="shared" si="389"/>
        <v>6.8214933659622723E-3</v>
      </c>
      <c r="AV770" s="73">
        <f t="shared" si="399"/>
        <v>1.0068214933659623</v>
      </c>
      <c r="AW770" s="74">
        <f>PRODUCT(AV$4:AV770)</f>
        <v>183.88688906962525</v>
      </c>
    </row>
    <row r="771" spans="5:49">
      <c r="E771">
        <f t="shared" si="406"/>
        <v>768</v>
      </c>
      <c r="F771" s="64">
        <f t="shared" si="390"/>
        <v>116.36</v>
      </c>
      <c r="G771" s="55">
        <f t="shared" si="380"/>
        <v>0</v>
      </c>
      <c r="H771" s="78">
        <f t="shared" si="405"/>
        <v>1</v>
      </c>
      <c r="I771" s="79">
        <f t="shared" si="391"/>
        <v>0</v>
      </c>
      <c r="J771" s="79">
        <f t="shared" si="381"/>
        <v>0</v>
      </c>
      <c r="K771" s="80">
        <f t="shared" si="382"/>
        <v>0</v>
      </c>
      <c r="L771" s="80">
        <f t="shared" si="392"/>
        <v>0</v>
      </c>
      <c r="M771" s="80">
        <f t="shared" si="407"/>
        <v>0</v>
      </c>
      <c r="N771" s="80">
        <f t="shared" si="393"/>
        <v>0</v>
      </c>
      <c r="O771" s="81">
        <f t="shared" si="383"/>
        <v>0</v>
      </c>
      <c r="P771" s="79">
        <f t="shared" si="384"/>
        <v>0</v>
      </c>
      <c r="R771">
        <f t="shared" ca="1" si="394"/>
        <v>893</v>
      </c>
      <c r="S771" s="78">
        <f t="shared" ca="1" si="395"/>
        <v>126.36</v>
      </c>
      <c r="T771" s="55">
        <f t="shared" ca="1" si="385"/>
        <v>0</v>
      </c>
      <c r="U771" s="78">
        <f t="shared" ca="1" si="400"/>
        <v>2.7389054743691302E-5</v>
      </c>
      <c r="V771" s="79">
        <f t="shared" ca="1" si="396"/>
        <v>0</v>
      </c>
      <c r="W771" s="79">
        <f t="shared" ca="1" si="386"/>
        <v>0</v>
      </c>
      <c r="X771" s="80">
        <f t="shared" ca="1" si="401"/>
        <v>0</v>
      </c>
      <c r="Y771" s="80">
        <f t="shared" ca="1" si="402"/>
        <v>0</v>
      </c>
      <c r="Z771" s="80">
        <f t="shared" ca="1" si="397"/>
        <v>0</v>
      </c>
      <c r="AA771" s="80">
        <f t="shared" ca="1" si="403"/>
        <v>0</v>
      </c>
      <c r="AB771" s="81">
        <f t="shared" ca="1" si="387"/>
        <v>0</v>
      </c>
      <c r="AC771" s="79">
        <f t="shared" ca="1" si="388"/>
        <v>0</v>
      </c>
      <c r="AE771" s="35"/>
      <c r="AF771" s="35"/>
      <c r="AR771" s="69">
        <f t="shared" si="398"/>
        <v>64</v>
      </c>
      <c r="AS771" s="70">
        <f t="shared" si="404"/>
        <v>768</v>
      </c>
      <c r="AT771" s="71">
        <f t="shared" si="408"/>
        <v>5.2116583750524805E-3</v>
      </c>
      <c r="AU771" s="72">
        <f t="shared" si="389"/>
        <v>6.8214933659622723E-3</v>
      </c>
      <c r="AV771" s="73">
        <f t="shared" si="399"/>
        <v>1.0068214933659623</v>
      </c>
      <c r="AW771" s="74">
        <f>PRODUCT(AV$4:AV771)</f>
        <v>185.14127226350115</v>
      </c>
    </row>
    <row r="772" spans="5:49">
      <c r="E772">
        <f t="shared" si="406"/>
        <v>769</v>
      </c>
      <c r="F772" s="64">
        <f t="shared" si="390"/>
        <v>116.44</v>
      </c>
      <c r="G772" s="55">
        <f t="shared" ref="G772:G784" si="409">(1-(1-IF(F772&gt;$AJ$90,0,VLOOKUP(ROUND(F772,0),$AJ$4:$AK$90,2,FALSE)))^(1/12))*0</f>
        <v>0</v>
      </c>
      <c r="H772" s="78">
        <f t="shared" si="405"/>
        <v>1</v>
      </c>
      <c r="I772" s="79">
        <f t="shared" si="391"/>
        <v>0</v>
      </c>
      <c r="J772" s="79">
        <f t="shared" ref="J772:J784" si="410">(I772)*$AU772</f>
        <v>0</v>
      </c>
      <c r="K772" s="80">
        <f t="shared" ref="K772:K784" si="411">IF(I772=0,0,-$C$19)*H772</f>
        <v>0</v>
      </c>
      <c r="L772" s="80">
        <f t="shared" si="392"/>
        <v>0</v>
      </c>
      <c r="M772" s="80">
        <f t="shared" si="407"/>
        <v>0</v>
      </c>
      <c r="N772" s="80">
        <f t="shared" si="393"/>
        <v>0</v>
      </c>
      <c r="O772" s="81">
        <f t="shared" ref="O772:O784" si="412">-MIN(
IF(MOD(E772-1,IF($C$7="Annual",12,1))=0,1,0)
*IF(F772&lt;=$C$6,H772*$C$5*$C$4/IF($C$7="Monthly",12,1),$C$12),I772)</f>
        <v>0</v>
      </c>
      <c r="P772" s="79">
        <f t="shared" ref="P772:P784" si="413">SUM(I772:O772)</f>
        <v>0</v>
      </c>
      <c r="R772">
        <f t="shared" ca="1" si="394"/>
        <v>894</v>
      </c>
      <c r="S772" s="78">
        <f t="shared" ca="1" si="395"/>
        <v>126.44</v>
      </c>
      <c r="T772" s="55">
        <f t="shared" ref="T772:T784" ca="1" si="414">(1-(1-IF(S772&gt;$AJ$90,0,VLOOKUP(ROUND(S772,0),$AJ$4:$AK$90,2,FALSE)))^(1/12))</f>
        <v>0</v>
      </c>
      <c r="U772" s="78">
        <f t="shared" ca="1" si="400"/>
        <v>2.7389054743691302E-5</v>
      </c>
      <c r="V772" s="79">
        <f t="shared" ca="1" si="396"/>
        <v>0</v>
      </c>
      <c r="W772" s="79">
        <f t="shared" ref="W772:W784" ca="1" si="415">(V772)*$AU772</f>
        <v>0</v>
      </c>
      <c r="X772" s="80">
        <f t="shared" ca="1" si="401"/>
        <v>0</v>
      </c>
      <c r="Y772" s="80">
        <f t="shared" ca="1" si="402"/>
        <v>0</v>
      </c>
      <c r="Z772" s="80">
        <f t="shared" ca="1" si="397"/>
        <v>0</v>
      </c>
      <c r="AA772" s="80">
        <f t="shared" ca="1" si="403"/>
        <v>0</v>
      </c>
      <c r="AB772" s="81">
        <f t="shared" ref="AB772:AB784" ca="1" si="416">-MIN(IF(MOD(R772,IF($C$7="Annual",12,1))=0,1,0)*$C$39*U772/IF($C$7="Monthly",12,1),V772)</f>
        <v>0</v>
      </c>
      <c r="AC772" s="79">
        <f t="shared" ref="AC772:AC784" ca="1" si="417">SUM(V772:AB772)</f>
        <v>0</v>
      </c>
      <c r="AE772" s="35"/>
      <c r="AF772" s="35"/>
      <c r="AR772" s="69">
        <f t="shared" si="398"/>
        <v>65</v>
      </c>
      <c r="AS772" s="70">
        <f t="shared" si="404"/>
        <v>769</v>
      </c>
      <c r="AT772" s="71">
        <f t="shared" si="408"/>
        <v>5.1761070820213985E-3</v>
      </c>
      <c r="AU772" s="72">
        <f t="shared" ref="AU772:AU835" si="418">((1+$AH$21)^(1/12))-1</f>
        <v>6.8214933659622723E-3</v>
      </c>
      <c r="AV772" s="73">
        <f t="shared" si="399"/>
        <v>1.0068214933659623</v>
      </c>
      <c r="AW772" s="74">
        <f>PRODUCT(AV$4:AV772)</f>
        <v>186.40421222401244</v>
      </c>
    </row>
    <row r="773" spans="5:49">
      <c r="E773">
        <f t="shared" si="406"/>
        <v>770</v>
      </c>
      <c r="F773" s="64">
        <f t="shared" ref="F773:F784" si="419">ROUND((E773-E772)/12+F772,2)</f>
        <v>116.52</v>
      </c>
      <c r="G773" s="55">
        <f t="shared" si="409"/>
        <v>0</v>
      </c>
      <c r="H773" s="78">
        <f t="shared" si="405"/>
        <v>1</v>
      </c>
      <c r="I773" s="79">
        <f t="shared" ref="I773:I784" si="420">MAX(P772,0)*(1-G773)</f>
        <v>0</v>
      </c>
      <c r="J773" s="79">
        <f t="shared" si="410"/>
        <v>0</v>
      </c>
      <c r="K773" s="80">
        <f t="shared" si="411"/>
        <v>0</v>
      </c>
      <c r="L773" s="80">
        <f t="shared" ref="L773:L784" si="421">IF(OR(I772+O772=0,K772=0),0,-I773*($C$16/12))</f>
        <v>0</v>
      </c>
      <c r="M773" s="80">
        <f t="shared" si="407"/>
        <v>0</v>
      </c>
      <c r="N773" s="80">
        <f t="shared" ref="N773:N784" si="422">IF(OR(I772+O772=0,K772=0),0,-I773*($C$18*(1+$C$20))/12)</f>
        <v>0</v>
      </c>
      <c r="O773" s="81">
        <f t="shared" si="412"/>
        <v>0</v>
      </c>
      <c r="P773" s="79">
        <f t="shared" si="413"/>
        <v>0</v>
      </c>
      <c r="R773">
        <f t="shared" ref="R773:R784" ca="1" si="423">R772+1</f>
        <v>895</v>
      </c>
      <c r="S773" s="78">
        <f t="shared" ref="S773:S784" ca="1" si="424">ROUND((R773-R772)/12+S772,2)</f>
        <v>126.52</v>
      </c>
      <c r="T773" s="55">
        <f t="shared" ca="1" si="414"/>
        <v>0</v>
      </c>
      <c r="U773" s="78">
        <f t="shared" ca="1" si="400"/>
        <v>2.7389054743691302E-5</v>
      </c>
      <c r="V773" s="79">
        <f t="shared" ref="V773:V784" ca="1" si="425">MAX(AC772,0)*(1-T773)</f>
        <v>0</v>
      </c>
      <c r="W773" s="79">
        <f t="shared" ca="1" si="415"/>
        <v>0</v>
      </c>
      <c r="X773" s="80">
        <f t="shared" ca="1" si="401"/>
        <v>0</v>
      </c>
      <c r="Y773" s="80">
        <f t="shared" ca="1" si="402"/>
        <v>0</v>
      </c>
      <c r="Z773" s="80">
        <f t="shared" ref="Z773:Z784" ca="1" si="426">-IF(MOD(R773-1,12)=0,1,0)*V773*($C$17)</f>
        <v>0</v>
      </c>
      <c r="AA773" s="80">
        <f t="shared" ca="1" si="403"/>
        <v>0</v>
      </c>
      <c r="AB773" s="81">
        <f t="shared" ca="1" si="416"/>
        <v>0</v>
      </c>
      <c r="AC773" s="79">
        <f t="shared" ca="1" si="417"/>
        <v>0</v>
      </c>
      <c r="AE773" s="35"/>
      <c r="AF773" s="35"/>
      <c r="AR773" s="69">
        <f t="shared" ref="AR773:AR836" si="427">ROUNDDOWN((AS773-1)/12,0)+1</f>
        <v>65</v>
      </c>
      <c r="AS773" s="70">
        <f t="shared" si="404"/>
        <v>770</v>
      </c>
      <c r="AT773" s="71">
        <f t="shared" si="408"/>
        <v>5.1407983018998795E-3</v>
      </c>
      <c r="AU773" s="72">
        <f t="shared" si="418"/>
        <v>6.8214933659622723E-3</v>
      </c>
      <c r="AV773" s="73">
        <f t="shared" ref="AV773:AV836" si="428">(1+AU773)</f>
        <v>1.0068214933659623</v>
      </c>
      <c r="AW773" s="74">
        <f>PRODUCT(AV$4:AV773)</f>
        <v>187.67576732108597</v>
      </c>
    </row>
    <row r="774" spans="5:49">
      <c r="E774">
        <f t="shared" si="406"/>
        <v>771</v>
      </c>
      <c r="F774" s="64">
        <f t="shared" si="419"/>
        <v>116.6</v>
      </c>
      <c r="G774" s="55">
        <f t="shared" si="409"/>
        <v>0</v>
      </c>
      <c r="H774" s="78">
        <f t="shared" si="405"/>
        <v>1</v>
      </c>
      <c r="I774" s="79">
        <f t="shared" si="420"/>
        <v>0</v>
      </c>
      <c r="J774" s="79">
        <f t="shared" si="410"/>
        <v>0</v>
      </c>
      <c r="K774" s="80">
        <f t="shared" si="411"/>
        <v>0</v>
      </c>
      <c r="L774" s="80">
        <f t="shared" si="421"/>
        <v>0</v>
      </c>
      <c r="M774" s="80">
        <f t="shared" si="407"/>
        <v>0</v>
      </c>
      <c r="N774" s="80">
        <f t="shared" si="422"/>
        <v>0</v>
      </c>
      <c r="O774" s="81">
        <f t="shared" si="412"/>
        <v>0</v>
      </c>
      <c r="P774" s="79">
        <f t="shared" si="413"/>
        <v>0</v>
      </c>
      <c r="R774">
        <f t="shared" ca="1" si="423"/>
        <v>896</v>
      </c>
      <c r="S774" s="78">
        <f t="shared" ca="1" si="424"/>
        <v>126.6</v>
      </c>
      <c r="T774" s="55">
        <f t="shared" ca="1" si="414"/>
        <v>0</v>
      </c>
      <c r="U774" s="78">
        <f t="shared" ref="U774:U784" ca="1" si="429">U773*(1-T774)</f>
        <v>2.7389054743691302E-5</v>
      </c>
      <c r="V774" s="79">
        <f t="shared" ca="1" si="425"/>
        <v>0</v>
      </c>
      <c r="W774" s="79">
        <f t="shared" ca="1" si="415"/>
        <v>0</v>
      </c>
      <c r="X774" s="80">
        <f t="shared" ref="X774:X784" ca="1" si="430">IF(V774=0,0,-$C$19)*U774</f>
        <v>0</v>
      </c>
      <c r="Y774" s="80">
        <f t="shared" ref="Y774:Y784" ca="1" si="431">IF(OR(V773+AB773=0,X773=0),0,-V774*($C$16/12))</f>
        <v>0</v>
      </c>
      <c r="Z774" s="80">
        <f t="shared" ca="1" si="426"/>
        <v>0</v>
      </c>
      <c r="AA774" s="80">
        <f t="shared" ref="AA774:AA784" ca="1" si="432">IF(OR(V773+AB773=0,X773=0),0,-V774*($C$18*(1+$C$20))/12)</f>
        <v>0</v>
      </c>
      <c r="AB774" s="81">
        <f t="shared" ca="1" si="416"/>
        <v>0</v>
      </c>
      <c r="AC774" s="79">
        <f t="shared" ca="1" si="417"/>
        <v>0</v>
      </c>
      <c r="AE774" s="35"/>
      <c r="AF774" s="35"/>
      <c r="AR774" s="69">
        <f t="shared" si="427"/>
        <v>65</v>
      </c>
      <c r="AS774" s="70">
        <f t="shared" ref="AS774:AS837" si="433">AS773+1</f>
        <v>771</v>
      </c>
      <c r="AT774" s="71">
        <f t="shared" si="408"/>
        <v>5.1057303803877198E-3</v>
      </c>
      <c r="AU774" s="72">
        <f t="shared" si="418"/>
        <v>6.8214933659622723E-3</v>
      </c>
      <c r="AV774" s="73">
        <f t="shared" si="428"/>
        <v>1.0068214933659623</v>
      </c>
      <c r="AW774" s="74">
        <f>PRODUCT(AV$4:AV774)</f>
        <v>188.95599632281863</v>
      </c>
    </row>
    <row r="775" spans="5:49">
      <c r="E775">
        <f t="shared" si="406"/>
        <v>772</v>
      </c>
      <c r="F775" s="64">
        <f t="shared" si="419"/>
        <v>116.68</v>
      </c>
      <c r="G775" s="55">
        <f t="shared" si="409"/>
        <v>0</v>
      </c>
      <c r="H775" s="78">
        <f t="shared" ref="H775:H784" si="434">H774*(1-G775)</f>
        <v>1</v>
      </c>
      <c r="I775" s="79">
        <f t="shared" si="420"/>
        <v>0</v>
      </c>
      <c r="J775" s="79">
        <f t="shared" si="410"/>
        <v>0</v>
      </c>
      <c r="K775" s="80">
        <f t="shared" si="411"/>
        <v>0</v>
      </c>
      <c r="L775" s="80">
        <f t="shared" si="421"/>
        <v>0</v>
      </c>
      <c r="M775" s="80">
        <f t="shared" si="407"/>
        <v>0</v>
      </c>
      <c r="N775" s="80">
        <f t="shared" si="422"/>
        <v>0</v>
      </c>
      <c r="O775" s="81">
        <f t="shared" si="412"/>
        <v>0</v>
      </c>
      <c r="P775" s="79">
        <f t="shared" si="413"/>
        <v>0</v>
      </c>
      <c r="R775">
        <f t="shared" ca="1" si="423"/>
        <v>897</v>
      </c>
      <c r="S775" s="78">
        <f t="shared" ca="1" si="424"/>
        <v>126.68</v>
      </c>
      <c r="T775" s="55">
        <f t="shared" ca="1" si="414"/>
        <v>0</v>
      </c>
      <c r="U775" s="78">
        <f t="shared" ca="1" si="429"/>
        <v>2.7389054743691302E-5</v>
      </c>
      <c r="V775" s="79">
        <f t="shared" ca="1" si="425"/>
        <v>0</v>
      </c>
      <c r="W775" s="79">
        <f t="shared" ca="1" si="415"/>
        <v>0</v>
      </c>
      <c r="X775" s="80">
        <f t="shared" ca="1" si="430"/>
        <v>0</v>
      </c>
      <c r="Y775" s="80">
        <f t="shared" ca="1" si="431"/>
        <v>0</v>
      </c>
      <c r="Z775" s="80">
        <f t="shared" ca="1" si="426"/>
        <v>0</v>
      </c>
      <c r="AA775" s="80">
        <f t="shared" ca="1" si="432"/>
        <v>0</v>
      </c>
      <c r="AB775" s="81">
        <f t="shared" ca="1" si="416"/>
        <v>0</v>
      </c>
      <c r="AC775" s="79">
        <f t="shared" ca="1" si="417"/>
        <v>0</v>
      </c>
      <c r="AE775" s="35"/>
      <c r="AF775" s="35"/>
      <c r="AR775" s="69">
        <f t="shared" si="427"/>
        <v>65</v>
      </c>
      <c r="AS775" s="70">
        <f t="shared" si="433"/>
        <v>772</v>
      </c>
      <c r="AT775" s="71">
        <f t="shared" si="408"/>
        <v>5.0709016744695133E-3</v>
      </c>
      <c r="AU775" s="72">
        <f t="shared" si="418"/>
        <v>6.8214933659622723E-3</v>
      </c>
      <c r="AV775" s="73">
        <f t="shared" si="428"/>
        <v>1.0068214933659623</v>
      </c>
      <c r="AW775" s="74">
        <f>PRODUCT(AV$4:AV775)</f>
        <v>190.24495839819355</v>
      </c>
    </row>
    <row r="776" spans="5:49">
      <c r="E776">
        <f t="shared" si="406"/>
        <v>773</v>
      </c>
      <c r="F776" s="64">
        <f t="shared" si="419"/>
        <v>116.76</v>
      </c>
      <c r="G776" s="55">
        <f t="shared" si="409"/>
        <v>0</v>
      </c>
      <c r="H776" s="78">
        <f t="shared" si="434"/>
        <v>1</v>
      </c>
      <c r="I776" s="79">
        <f t="shared" si="420"/>
        <v>0</v>
      </c>
      <c r="J776" s="79">
        <f t="shared" si="410"/>
        <v>0</v>
      </c>
      <c r="K776" s="80">
        <f t="shared" si="411"/>
        <v>0</v>
      </c>
      <c r="L776" s="80">
        <f t="shared" si="421"/>
        <v>0</v>
      </c>
      <c r="M776" s="80">
        <f t="shared" si="407"/>
        <v>0</v>
      </c>
      <c r="N776" s="80">
        <f t="shared" si="422"/>
        <v>0</v>
      </c>
      <c r="O776" s="81">
        <f t="shared" si="412"/>
        <v>0</v>
      </c>
      <c r="P776" s="79">
        <f t="shared" si="413"/>
        <v>0</v>
      </c>
      <c r="R776">
        <f t="shared" ca="1" si="423"/>
        <v>898</v>
      </c>
      <c r="S776" s="78">
        <f t="shared" ca="1" si="424"/>
        <v>126.76</v>
      </c>
      <c r="T776" s="55">
        <f t="shared" ca="1" si="414"/>
        <v>0</v>
      </c>
      <c r="U776" s="78">
        <f t="shared" ca="1" si="429"/>
        <v>2.7389054743691302E-5</v>
      </c>
      <c r="V776" s="79">
        <f t="shared" ca="1" si="425"/>
        <v>0</v>
      </c>
      <c r="W776" s="79">
        <f t="shared" ca="1" si="415"/>
        <v>0</v>
      </c>
      <c r="X776" s="80">
        <f t="shared" ca="1" si="430"/>
        <v>0</v>
      </c>
      <c r="Y776" s="80">
        <f t="shared" ca="1" si="431"/>
        <v>0</v>
      </c>
      <c r="Z776" s="80">
        <f t="shared" ca="1" si="426"/>
        <v>0</v>
      </c>
      <c r="AA776" s="80">
        <f t="shared" ca="1" si="432"/>
        <v>0</v>
      </c>
      <c r="AB776" s="81">
        <f t="shared" ca="1" si="416"/>
        <v>0</v>
      </c>
      <c r="AC776" s="79">
        <f t="shared" ca="1" si="417"/>
        <v>0</v>
      </c>
      <c r="AE776" s="35"/>
      <c r="AF776" s="35"/>
      <c r="AR776" s="69">
        <f t="shared" si="427"/>
        <v>65</v>
      </c>
      <c r="AS776" s="70">
        <f t="shared" si="433"/>
        <v>773</v>
      </c>
      <c r="AT776" s="71">
        <f t="shared" si="408"/>
        <v>5.0363105523376726E-3</v>
      </c>
      <c r="AU776" s="72">
        <f t="shared" si="418"/>
        <v>6.8214933659622723E-3</v>
      </c>
      <c r="AV776" s="73">
        <f t="shared" si="428"/>
        <v>1.0068214933659623</v>
      </c>
      <c r="AW776" s="74">
        <f>PRODUCT(AV$4:AV776)</f>
        <v>191.54271311981458</v>
      </c>
    </row>
    <row r="777" spans="5:49">
      <c r="E777">
        <f t="shared" si="406"/>
        <v>774</v>
      </c>
      <c r="F777" s="64">
        <f t="shared" si="419"/>
        <v>116.84</v>
      </c>
      <c r="G777" s="55">
        <f t="shared" si="409"/>
        <v>0</v>
      </c>
      <c r="H777" s="78">
        <f t="shared" si="434"/>
        <v>1</v>
      </c>
      <c r="I777" s="79">
        <f t="shared" si="420"/>
        <v>0</v>
      </c>
      <c r="J777" s="79">
        <f t="shared" si="410"/>
        <v>0</v>
      </c>
      <c r="K777" s="80">
        <f t="shared" si="411"/>
        <v>0</v>
      </c>
      <c r="L777" s="80">
        <f t="shared" si="421"/>
        <v>0</v>
      </c>
      <c r="M777" s="80">
        <f t="shared" si="407"/>
        <v>0</v>
      </c>
      <c r="N777" s="80">
        <f t="shared" si="422"/>
        <v>0</v>
      </c>
      <c r="O777" s="81">
        <f t="shared" si="412"/>
        <v>0</v>
      </c>
      <c r="P777" s="79">
        <f t="shared" si="413"/>
        <v>0</v>
      </c>
      <c r="R777">
        <f t="shared" ca="1" si="423"/>
        <v>899</v>
      </c>
      <c r="S777" s="78">
        <f t="shared" ca="1" si="424"/>
        <v>126.84</v>
      </c>
      <c r="T777" s="55">
        <f t="shared" ca="1" si="414"/>
        <v>0</v>
      </c>
      <c r="U777" s="78">
        <f t="shared" ca="1" si="429"/>
        <v>2.7389054743691302E-5</v>
      </c>
      <c r="V777" s="79">
        <f t="shared" ca="1" si="425"/>
        <v>0</v>
      </c>
      <c r="W777" s="79">
        <f t="shared" ca="1" si="415"/>
        <v>0</v>
      </c>
      <c r="X777" s="80">
        <f t="shared" ca="1" si="430"/>
        <v>0</v>
      </c>
      <c r="Y777" s="80">
        <f t="shared" ca="1" si="431"/>
        <v>0</v>
      </c>
      <c r="Z777" s="80">
        <f t="shared" ca="1" si="426"/>
        <v>0</v>
      </c>
      <c r="AA777" s="80">
        <f t="shared" ca="1" si="432"/>
        <v>0</v>
      </c>
      <c r="AB777" s="81">
        <f t="shared" ca="1" si="416"/>
        <v>0</v>
      </c>
      <c r="AC777" s="79">
        <f t="shared" ca="1" si="417"/>
        <v>0</v>
      </c>
      <c r="AE777" s="35"/>
      <c r="AF777" s="35"/>
      <c r="AR777" s="69">
        <f t="shared" si="427"/>
        <v>65</v>
      </c>
      <c r="AS777" s="70">
        <f t="shared" si="433"/>
        <v>774</v>
      </c>
      <c r="AT777" s="71">
        <f t="shared" si="408"/>
        <v>5.001955393315975E-3</v>
      </c>
      <c r="AU777" s="72">
        <f t="shared" si="418"/>
        <v>6.8214933659622723E-3</v>
      </c>
      <c r="AV777" s="73">
        <f t="shared" si="428"/>
        <v>1.0068214933659623</v>
      </c>
      <c r="AW777" s="74">
        <f>PRODUCT(AV$4:AV777)</f>
        <v>192.8493204666598</v>
      </c>
    </row>
    <row r="778" spans="5:49">
      <c r="E778">
        <f t="shared" si="406"/>
        <v>775</v>
      </c>
      <c r="F778" s="64">
        <f t="shared" si="419"/>
        <v>116.92</v>
      </c>
      <c r="G778" s="55">
        <f t="shared" si="409"/>
        <v>0</v>
      </c>
      <c r="H778" s="78">
        <f t="shared" si="434"/>
        <v>1</v>
      </c>
      <c r="I778" s="79">
        <f t="shared" si="420"/>
        <v>0</v>
      </c>
      <c r="J778" s="79">
        <f t="shared" si="410"/>
        <v>0</v>
      </c>
      <c r="K778" s="80">
        <f t="shared" si="411"/>
        <v>0</v>
      </c>
      <c r="L778" s="80">
        <f t="shared" si="421"/>
        <v>0</v>
      </c>
      <c r="M778" s="80">
        <f t="shared" si="407"/>
        <v>0</v>
      </c>
      <c r="N778" s="80">
        <f t="shared" si="422"/>
        <v>0</v>
      </c>
      <c r="O778" s="81">
        <f t="shared" si="412"/>
        <v>0</v>
      </c>
      <c r="P778" s="79">
        <f t="shared" si="413"/>
        <v>0</v>
      </c>
      <c r="R778">
        <f t="shared" ca="1" si="423"/>
        <v>900</v>
      </c>
      <c r="S778" s="78">
        <f t="shared" ca="1" si="424"/>
        <v>126.92</v>
      </c>
      <c r="T778" s="55">
        <f t="shared" ca="1" si="414"/>
        <v>0</v>
      </c>
      <c r="U778" s="78">
        <f t="shared" ca="1" si="429"/>
        <v>2.7389054743691302E-5</v>
      </c>
      <c r="V778" s="79">
        <f t="shared" ca="1" si="425"/>
        <v>0</v>
      </c>
      <c r="W778" s="79">
        <f t="shared" ca="1" si="415"/>
        <v>0</v>
      </c>
      <c r="X778" s="80">
        <f t="shared" ca="1" si="430"/>
        <v>0</v>
      </c>
      <c r="Y778" s="80">
        <f t="shared" ca="1" si="431"/>
        <v>0</v>
      </c>
      <c r="Z778" s="80">
        <f t="shared" ca="1" si="426"/>
        <v>0</v>
      </c>
      <c r="AA778" s="80">
        <f t="shared" ca="1" si="432"/>
        <v>0</v>
      </c>
      <c r="AB778" s="81">
        <f t="shared" ca="1" si="416"/>
        <v>0</v>
      </c>
      <c r="AC778" s="79">
        <f t="shared" ca="1" si="417"/>
        <v>0</v>
      </c>
      <c r="AE778" s="35"/>
      <c r="AF778" s="35"/>
      <c r="AR778" s="69">
        <f t="shared" si="427"/>
        <v>65</v>
      </c>
      <c r="AS778" s="70">
        <f t="shared" si="433"/>
        <v>775</v>
      </c>
      <c r="AT778" s="71">
        <f t="shared" si="408"/>
        <v>4.9678345877836308E-3</v>
      </c>
      <c r="AU778" s="72">
        <f t="shared" si="418"/>
        <v>6.8214933659622723E-3</v>
      </c>
      <c r="AV778" s="73">
        <f t="shared" si="428"/>
        <v>1.0068214933659623</v>
      </c>
      <c r="AW778" s="74">
        <f>PRODUCT(AV$4:AV778)</f>
        <v>194.16484082685346</v>
      </c>
    </row>
    <row r="779" spans="5:49">
      <c r="E779">
        <f t="shared" si="406"/>
        <v>776</v>
      </c>
      <c r="F779" s="64">
        <f t="shared" si="419"/>
        <v>117</v>
      </c>
      <c r="G779" s="55">
        <f t="shared" si="409"/>
        <v>0</v>
      </c>
      <c r="H779" s="78">
        <f t="shared" si="434"/>
        <v>1</v>
      </c>
      <c r="I779" s="79">
        <f t="shared" si="420"/>
        <v>0</v>
      </c>
      <c r="J779" s="79">
        <f t="shared" si="410"/>
        <v>0</v>
      </c>
      <c r="K779" s="80">
        <f t="shared" si="411"/>
        <v>0</v>
      </c>
      <c r="L779" s="80">
        <f t="shared" si="421"/>
        <v>0</v>
      </c>
      <c r="M779" s="80">
        <f t="shared" si="407"/>
        <v>0</v>
      </c>
      <c r="N779" s="80">
        <f t="shared" si="422"/>
        <v>0</v>
      </c>
      <c r="O779" s="81">
        <f t="shared" si="412"/>
        <v>0</v>
      </c>
      <c r="P779" s="79">
        <f t="shared" si="413"/>
        <v>0</v>
      </c>
      <c r="R779">
        <f t="shared" ca="1" si="423"/>
        <v>901</v>
      </c>
      <c r="S779" s="78">
        <f t="shared" ca="1" si="424"/>
        <v>127</v>
      </c>
      <c r="T779" s="55">
        <f t="shared" ca="1" si="414"/>
        <v>0</v>
      </c>
      <c r="U779" s="78">
        <f t="shared" ca="1" si="429"/>
        <v>2.7389054743691302E-5</v>
      </c>
      <c r="V779" s="79">
        <f t="shared" ca="1" si="425"/>
        <v>0</v>
      </c>
      <c r="W779" s="79">
        <f t="shared" ca="1" si="415"/>
        <v>0</v>
      </c>
      <c r="X779" s="80">
        <f t="shared" ca="1" si="430"/>
        <v>0</v>
      </c>
      <c r="Y779" s="80">
        <f t="shared" ca="1" si="431"/>
        <v>0</v>
      </c>
      <c r="Z779" s="80">
        <f t="shared" ca="1" si="426"/>
        <v>0</v>
      </c>
      <c r="AA779" s="80">
        <f t="shared" ca="1" si="432"/>
        <v>0</v>
      </c>
      <c r="AB779" s="81">
        <f t="shared" ca="1" si="416"/>
        <v>0</v>
      </c>
      <c r="AC779" s="79">
        <f t="shared" ca="1" si="417"/>
        <v>0</v>
      </c>
      <c r="AE779" s="35"/>
      <c r="AF779" s="35"/>
      <c r="AR779" s="69">
        <f t="shared" si="427"/>
        <v>65</v>
      </c>
      <c r="AS779" s="70">
        <f t="shared" si="433"/>
        <v>776</v>
      </c>
      <c r="AT779" s="71">
        <f t="shared" si="408"/>
        <v>4.933946537099867E-3</v>
      </c>
      <c r="AU779" s="72">
        <f t="shared" si="418"/>
        <v>6.8214933659622723E-3</v>
      </c>
      <c r="AV779" s="73">
        <f t="shared" si="428"/>
        <v>1.0068214933659623</v>
      </c>
      <c r="AW779" s="74">
        <f>PRODUCT(AV$4:AV779)</f>
        <v>195.48933500045698</v>
      </c>
    </row>
    <row r="780" spans="5:49">
      <c r="E780">
        <f t="shared" si="406"/>
        <v>777</v>
      </c>
      <c r="F780" s="64">
        <f t="shared" si="419"/>
        <v>117.08</v>
      </c>
      <c r="G780" s="55">
        <f t="shared" si="409"/>
        <v>0</v>
      </c>
      <c r="H780" s="78">
        <f t="shared" si="434"/>
        <v>1</v>
      </c>
      <c r="I780" s="79">
        <f t="shared" si="420"/>
        <v>0</v>
      </c>
      <c r="J780" s="79">
        <f t="shared" si="410"/>
        <v>0</v>
      </c>
      <c r="K780" s="80">
        <f t="shared" si="411"/>
        <v>0</v>
      </c>
      <c r="L780" s="80">
        <f t="shared" si="421"/>
        <v>0</v>
      </c>
      <c r="M780" s="80">
        <f t="shared" si="407"/>
        <v>0</v>
      </c>
      <c r="N780" s="80">
        <f t="shared" si="422"/>
        <v>0</v>
      </c>
      <c r="O780" s="81">
        <f t="shared" si="412"/>
        <v>0</v>
      </c>
      <c r="P780" s="79">
        <f t="shared" si="413"/>
        <v>0</v>
      </c>
      <c r="R780">
        <f t="shared" ca="1" si="423"/>
        <v>902</v>
      </c>
      <c r="S780" s="78">
        <f t="shared" ca="1" si="424"/>
        <v>127.08</v>
      </c>
      <c r="T780" s="55">
        <f t="shared" ca="1" si="414"/>
        <v>0</v>
      </c>
      <c r="U780" s="78">
        <f t="shared" ca="1" si="429"/>
        <v>2.7389054743691302E-5</v>
      </c>
      <c r="V780" s="79">
        <f t="shared" ca="1" si="425"/>
        <v>0</v>
      </c>
      <c r="W780" s="79">
        <f t="shared" ca="1" si="415"/>
        <v>0</v>
      </c>
      <c r="X780" s="80">
        <f t="shared" ca="1" si="430"/>
        <v>0</v>
      </c>
      <c r="Y780" s="80">
        <f t="shared" ca="1" si="431"/>
        <v>0</v>
      </c>
      <c r="Z780" s="80">
        <f t="shared" ca="1" si="426"/>
        <v>0</v>
      </c>
      <c r="AA780" s="80">
        <f t="shared" ca="1" si="432"/>
        <v>0</v>
      </c>
      <c r="AB780" s="81">
        <f t="shared" ca="1" si="416"/>
        <v>0</v>
      </c>
      <c r="AC780" s="79">
        <f t="shared" ca="1" si="417"/>
        <v>0</v>
      </c>
      <c r="AE780" s="35"/>
      <c r="AF780" s="35"/>
      <c r="AR780" s="69">
        <f t="shared" si="427"/>
        <v>65</v>
      </c>
      <c r="AS780" s="70">
        <f t="shared" si="433"/>
        <v>777</v>
      </c>
      <c r="AT780" s="71">
        <f t="shared" si="408"/>
        <v>4.9002896535290281E-3</v>
      </c>
      <c r="AU780" s="72">
        <f t="shared" si="418"/>
        <v>6.8214933659622723E-3</v>
      </c>
      <c r="AV780" s="73">
        <f t="shared" si="428"/>
        <v>1.0068214933659623</v>
      </c>
      <c r="AW780" s="74">
        <f>PRODUCT(AV$4:AV780)</f>
        <v>196.82286420227896</v>
      </c>
    </row>
    <row r="781" spans="5:49">
      <c r="E781">
        <f t="shared" si="406"/>
        <v>778</v>
      </c>
      <c r="F781" s="64">
        <f t="shared" si="419"/>
        <v>117.16</v>
      </c>
      <c r="G781" s="55">
        <f t="shared" si="409"/>
        <v>0</v>
      </c>
      <c r="H781" s="78">
        <f t="shared" si="434"/>
        <v>1</v>
      </c>
      <c r="I781" s="79">
        <f t="shared" si="420"/>
        <v>0</v>
      </c>
      <c r="J781" s="79">
        <f t="shared" si="410"/>
        <v>0</v>
      </c>
      <c r="K781" s="80">
        <f t="shared" si="411"/>
        <v>0</v>
      </c>
      <c r="L781" s="80">
        <f t="shared" si="421"/>
        <v>0</v>
      </c>
      <c r="M781" s="80">
        <f t="shared" si="407"/>
        <v>0</v>
      </c>
      <c r="N781" s="80">
        <f t="shared" si="422"/>
        <v>0</v>
      </c>
      <c r="O781" s="81">
        <f t="shared" si="412"/>
        <v>0</v>
      </c>
      <c r="P781" s="79">
        <f t="shared" si="413"/>
        <v>0</v>
      </c>
      <c r="R781">
        <f t="shared" ca="1" si="423"/>
        <v>903</v>
      </c>
      <c r="S781" s="78">
        <f t="shared" ca="1" si="424"/>
        <v>127.16</v>
      </c>
      <c r="T781" s="55">
        <f t="shared" ca="1" si="414"/>
        <v>0</v>
      </c>
      <c r="U781" s="78">
        <f t="shared" ca="1" si="429"/>
        <v>2.7389054743691302E-5</v>
      </c>
      <c r="V781" s="79">
        <f t="shared" ca="1" si="425"/>
        <v>0</v>
      </c>
      <c r="W781" s="79">
        <f t="shared" ca="1" si="415"/>
        <v>0</v>
      </c>
      <c r="X781" s="80">
        <f t="shared" ca="1" si="430"/>
        <v>0</v>
      </c>
      <c r="Y781" s="80">
        <f t="shared" ca="1" si="431"/>
        <v>0</v>
      </c>
      <c r="Z781" s="80">
        <f t="shared" ca="1" si="426"/>
        <v>0</v>
      </c>
      <c r="AA781" s="80">
        <f t="shared" ca="1" si="432"/>
        <v>0</v>
      </c>
      <c r="AB781" s="81">
        <f t="shared" ca="1" si="416"/>
        <v>0</v>
      </c>
      <c r="AC781" s="79">
        <f t="shared" ca="1" si="417"/>
        <v>0</v>
      </c>
      <c r="AE781" s="35"/>
      <c r="AF781" s="35"/>
      <c r="AR781" s="69">
        <f t="shared" si="427"/>
        <v>65</v>
      </c>
      <c r="AS781" s="70">
        <f t="shared" si="433"/>
        <v>778</v>
      </c>
      <c r="AT781" s="71">
        <f t="shared" si="408"/>
        <v>4.8668623601661864E-3</v>
      </c>
      <c r="AU781" s="72">
        <f t="shared" si="418"/>
        <v>6.8214933659622723E-3</v>
      </c>
      <c r="AV781" s="73">
        <f t="shared" si="428"/>
        <v>1.0068214933659623</v>
      </c>
      <c r="AW781" s="74">
        <f>PRODUCT(AV$4:AV781)</f>
        <v>198.1654900647045</v>
      </c>
    </row>
    <row r="782" spans="5:49">
      <c r="E782">
        <f t="shared" si="406"/>
        <v>779</v>
      </c>
      <c r="F782" s="64">
        <f t="shared" si="419"/>
        <v>117.24</v>
      </c>
      <c r="G782" s="55">
        <f t="shared" si="409"/>
        <v>0</v>
      </c>
      <c r="H782" s="78">
        <f t="shared" si="434"/>
        <v>1</v>
      </c>
      <c r="I782" s="79">
        <f t="shared" si="420"/>
        <v>0</v>
      </c>
      <c r="J782" s="79">
        <f t="shared" si="410"/>
        <v>0</v>
      </c>
      <c r="K782" s="80">
        <f t="shared" si="411"/>
        <v>0</v>
      </c>
      <c r="L782" s="80">
        <f t="shared" si="421"/>
        <v>0</v>
      </c>
      <c r="M782" s="80">
        <f t="shared" si="407"/>
        <v>0</v>
      </c>
      <c r="N782" s="80">
        <f t="shared" si="422"/>
        <v>0</v>
      </c>
      <c r="O782" s="81">
        <f t="shared" si="412"/>
        <v>0</v>
      </c>
      <c r="P782" s="79">
        <f t="shared" si="413"/>
        <v>0</v>
      </c>
      <c r="R782">
        <f t="shared" ca="1" si="423"/>
        <v>904</v>
      </c>
      <c r="S782" s="78">
        <f t="shared" ca="1" si="424"/>
        <v>127.24</v>
      </c>
      <c r="T782" s="55">
        <f t="shared" ca="1" si="414"/>
        <v>0</v>
      </c>
      <c r="U782" s="78">
        <f t="shared" ca="1" si="429"/>
        <v>2.7389054743691302E-5</v>
      </c>
      <c r="V782" s="79">
        <f t="shared" ca="1" si="425"/>
        <v>0</v>
      </c>
      <c r="W782" s="79">
        <f t="shared" ca="1" si="415"/>
        <v>0</v>
      </c>
      <c r="X782" s="80">
        <f t="shared" ca="1" si="430"/>
        <v>0</v>
      </c>
      <c r="Y782" s="80">
        <f t="shared" ca="1" si="431"/>
        <v>0</v>
      </c>
      <c r="Z782" s="80">
        <f t="shared" ca="1" si="426"/>
        <v>0</v>
      </c>
      <c r="AA782" s="80">
        <f t="shared" ca="1" si="432"/>
        <v>0</v>
      </c>
      <c r="AB782" s="81">
        <f t="shared" ca="1" si="416"/>
        <v>0</v>
      </c>
      <c r="AC782" s="79">
        <f t="shared" ca="1" si="417"/>
        <v>0</v>
      </c>
      <c r="AE782" s="35"/>
      <c r="AF782" s="35"/>
      <c r="AR782" s="69">
        <f t="shared" si="427"/>
        <v>65</v>
      </c>
      <c r="AS782" s="70">
        <f t="shared" si="433"/>
        <v>779</v>
      </c>
      <c r="AT782" s="71">
        <f t="shared" si="408"/>
        <v>4.8336630908632616E-3</v>
      </c>
      <c r="AU782" s="72">
        <f t="shared" si="418"/>
        <v>6.8214933659622723E-3</v>
      </c>
      <c r="AV782" s="73">
        <f t="shared" si="428"/>
        <v>1.0068214933659623</v>
      </c>
      <c r="AW782" s="74">
        <f>PRODUCT(AV$4:AV782)</f>
        <v>199.51727464054355</v>
      </c>
    </row>
    <row r="783" spans="5:49">
      <c r="E783">
        <f t="shared" si="406"/>
        <v>780</v>
      </c>
      <c r="F783" s="64">
        <f t="shared" si="419"/>
        <v>117.32</v>
      </c>
      <c r="G783" s="55">
        <f t="shared" si="409"/>
        <v>0</v>
      </c>
      <c r="H783" s="78">
        <f t="shared" si="434"/>
        <v>1</v>
      </c>
      <c r="I783" s="79">
        <f t="shared" si="420"/>
        <v>0</v>
      </c>
      <c r="J783" s="79">
        <f t="shared" si="410"/>
        <v>0</v>
      </c>
      <c r="K783" s="80">
        <f t="shared" si="411"/>
        <v>0</v>
      </c>
      <c r="L783" s="80">
        <f t="shared" si="421"/>
        <v>0</v>
      </c>
      <c r="M783" s="80">
        <f t="shared" si="407"/>
        <v>0</v>
      </c>
      <c r="N783" s="80">
        <f t="shared" si="422"/>
        <v>0</v>
      </c>
      <c r="O783" s="81">
        <f t="shared" si="412"/>
        <v>0</v>
      </c>
      <c r="P783" s="79">
        <f t="shared" si="413"/>
        <v>0</v>
      </c>
      <c r="R783">
        <f t="shared" ca="1" si="423"/>
        <v>905</v>
      </c>
      <c r="S783" s="78">
        <f t="shared" ca="1" si="424"/>
        <v>127.32</v>
      </c>
      <c r="T783" s="55">
        <f t="shared" ca="1" si="414"/>
        <v>0</v>
      </c>
      <c r="U783" s="78">
        <f t="shared" ca="1" si="429"/>
        <v>2.7389054743691302E-5</v>
      </c>
      <c r="V783" s="79">
        <f t="shared" ca="1" si="425"/>
        <v>0</v>
      </c>
      <c r="W783" s="79">
        <f t="shared" ca="1" si="415"/>
        <v>0</v>
      </c>
      <c r="X783" s="80">
        <f t="shared" ca="1" si="430"/>
        <v>0</v>
      </c>
      <c r="Y783" s="80">
        <f t="shared" ca="1" si="431"/>
        <v>0</v>
      </c>
      <c r="Z783" s="80">
        <f t="shared" ca="1" si="426"/>
        <v>0</v>
      </c>
      <c r="AA783" s="80">
        <f t="shared" ca="1" si="432"/>
        <v>0</v>
      </c>
      <c r="AB783" s="81">
        <f t="shared" ca="1" si="416"/>
        <v>0</v>
      </c>
      <c r="AC783" s="79">
        <f t="shared" ca="1" si="417"/>
        <v>0</v>
      </c>
      <c r="AE783" s="35"/>
      <c r="AF783" s="35"/>
      <c r="AR783" s="69">
        <f t="shared" si="427"/>
        <v>65</v>
      </c>
      <c r="AS783" s="70">
        <f t="shared" si="433"/>
        <v>780</v>
      </c>
      <c r="AT783" s="71">
        <f t="shared" si="408"/>
        <v>4.8006902901556415E-3</v>
      </c>
      <c r="AU783" s="72">
        <f t="shared" si="418"/>
        <v>6.8214933659622723E-3</v>
      </c>
      <c r="AV783" s="73">
        <f t="shared" si="428"/>
        <v>1.0068214933659623</v>
      </c>
      <c r="AW783" s="74">
        <f>PRODUCT(AV$4:AV783)</f>
        <v>200.87828040589889</v>
      </c>
    </row>
    <row r="784" spans="5:49">
      <c r="E784">
        <f t="shared" ref="E784" si="435">E783+1</f>
        <v>781</v>
      </c>
      <c r="F784" s="64">
        <f t="shared" si="419"/>
        <v>117.4</v>
      </c>
      <c r="G784" s="55">
        <f t="shared" si="409"/>
        <v>0</v>
      </c>
      <c r="H784" s="78">
        <f t="shared" si="434"/>
        <v>1</v>
      </c>
      <c r="I784" s="79">
        <f t="shared" si="420"/>
        <v>0</v>
      </c>
      <c r="J784" s="79">
        <f t="shared" si="410"/>
        <v>0</v>
      </c>
      <c r="K784" s="80">
        <f t="shared" si="411"/>
        <v>0</v>
      </c>
      <c r="L784" s="80">
        <f t="shared" si="421"/>
        <v>0</v>
      </c>
      <c r="M784" s="80">
        <f t="shared" ref="M784" si="436">IF(OR(I783+O783=0,K783=0),0,-IF(MOD(E784-1,12)=0,1,0)*I784*($C$17))</f>
        <v>0</v>
      </c>
      <c r="N784" s="80">
        <f t="shared" si="422"/>
        <v>0</v>
      </c>
      <c r="O784" s="81">
        <f t="shared" si="412"/>
        <v>0</v>
      </c>
      <c r="P784" s="79">
        <f t="shared" si="413"/>
        <v>0</v>
      </c>
      <c r="R784">
        <f t="shared" ca="1" si="423"/>
        <v>906</v>
      </c>
      <c r="S784" s="78">
        <f t="shared" ca="1" si="424"/>
        <v>127.4</v>
      </c>
      <c r="T784" s="55">
        <f t="shared" ca="1" si="414"/>
        <v>0</v>
      </c>
      <c r="U784" s="78">
        <f t="shared" ca="1" si="429"/>
        <v>2.7389054743691302E-5</v>
      </c>
      <c r="V784" s="79">
        <f t="shared" ca="1" si="425"/>
        <v>0</v>
      </c>
      <c r="W784" s="79">
        <f t="shared" ca="1" si="415"/>
        <v>0</v>
      </c>
      <c r="X784" s="80">
        <f t="shared" ca="1" si="430"/>
        <v>0</v>
      </c>
      <c r="Y784" s="80">
        <f t="shared" ca="1" si="431"/>
        <v>0</v>
      </c>
      <c r="Z784" s="80">
        <f t="shared" ca="1" si="426"/>
        <v>0</v>
      </c>
      <c r="AA784" s="80">
        <f t="shared" ca="1" si="432"/>
        <v>0</v>
      </c>
      <c r="AB784" s="81">
        <f t="shared" ca="1" si="416"/>
        <v>0</v>
      </c>
      <c r="AC784" s="79">
        <f t="shared" ca="1" si="417"/>
        <v>0</v>
      </c>
      <c r="AE784" s="35"/>
      <c r="AF784" s="35"/>
      <c r="AR784" s="69">
        <f t="shared" si="427"/>
        <v>66</v>
      </c>
      <c r="AS784" s="70">
        <f t="shared" si="433"/>
        <v>781</v>
      </c>
      <c r="AT784" s="71">
        <f t="shared" si="408"/>
        <v>4.7679424131893055E-3</v>
      </c>
      <c r="AU784" s="72">
        <f t="shared" si="418"/>
        <v>6.8214933659622723E-3</v>
      </c>
      <c r="AV784" s="73">
        <f t="shared" si="428"/>
        <v>1.0068214933659623</v>
      </c>
      <c r="AW784" s="74">
        <f>PRODUCT(AV$4:AV784)</f>
        <v>202.24857026305364</v>
      </c>
    </row>
    <row r="785" spans="44:49">
      <c r="AR785" s="69">
        <f t="shared" si="427"/>
        <v>66</v>
      </c>
      <c r="AS785" s="70">
        <f t="shared" si="433"/>
        <v>782</v>
      </c>
      <c r="AT785" s="71">
        <f t="shared" si="408"/>
        <v>4.7354179256484446E-3</v>
      </c>
      <c r="AU785" s="72">
        <f t="shared" si="418"/>
        <v>6.8214933659622723E-3</v>
      </c>
      <c r="AV785" s="73">
        <f t="shared" si="428"/>
        <v>1.0068214933659623</v>
      </c>
      <c r="AW785" s="74">
        <f>PRODUCT(AV$4:AV785)</f>
        <v>203.62820754337841</v>
      </c>
    </row>
    <row r="786" spans="44:49">
      <c r="AR786" s="69">
        <f t="shared" si="427"/>
        <v>66</v>
      </c>
      <c r="AS786" s="70">
        <f t="shared" si="433"/>
        <v>783</v>
      </c>
      <c r="AT786" s="71">
        <f t="shared" si="408"/>
        <v>4.7031153036835747E-3</v>
      </c>
      <c r="AU786" s="72">
        <f t="shared" si="418"/>
        <v>6.8214933659622723E-3</v>
      </c>
      <c r="AV786" s="73">
        <f t="shared" si="428"/>
        <v>1.0068214933659623</v>
      </c>
      <c r="AW786" s="74">
        <f>PRODUCT(AV$4:AV786)</f>
        <v>205.01725601025836</v>
      </c>
    </row>
    <row r="787" spans="44:49">
      <c r="AR787" s="69">
        <f t="shared" si="427"/>
        <v>66</v>
      </c>
      <c r="AS787" s="70">
        <f t="shared" si="433"/>
        <v>784</v>
      </c>
      <c r="AT787" s="71">
        <f t="shared" si="408"/>
        <v>4.6710330338401414E-3</v>
      </c>
      <c r="AU787" s="72">
        <f t="shared" si="418"/>
        <v>6.8214933659622723E-3</v>
      </c>
      <c r="AV787" s="73">
        <f t="shared" si="428"/>
        <v>1.0068214933659623</v>
      </c>
      <c r="AW787" s="74">
        <f>PRODUCT(AV$4:AV787)</f>
        <v>206.41577986204013</v>
      </c>
    </row>
    <row r="788" spans="44:49">
      <c r="AR788" s="69">
        <f t="shared" si="427"/>
        <v>66</v>
      </c>
      <c r="AS788" s="70">
        <f t="shared" si="433"/>
        <v>785</v>
      </c>
      <c r="AT788" s="71">
        <f t="shared" si="408"/>
        <v>4.6391696129876106E-3</v>
      </c>
      <c r="AU788" s="72">
        <f t="shared" si="418"/>
        <v>6.8214933659622723E-3</v>
      </c>
      <c r="AV788" s="73">
        <f t="shared" si="428"/>
        <v>1.0068214933659623</v>
      </c>
      <c r="AW788" s="74">
        <f>PRODUCT(AV$4:AV788)</f>
        <v>207.82384373499897</v>
      </c>
    </row>
    <row r="789" spans="44:49">
      <c r="AR789" s="69">
        <f t="shared" si="427"/>
        <v>66</v>
      </c>
      <c r="AS789" s="70">
        <f t="shared" si="433"/>
        <v>786</v>
      </c>
      <c r="AT789" s="71">
        <f t="shared" si="408"/>
        <v>4.6075235482490422E-3</v>
      </c>
      <c r="AU789" s="72">
        <f t="shared" si="418"/>
        <v>6.8214933659622723E-3</v>
      </c>
      <c r="AV789" s="73">
        <f t="shared" si="428"/>
        <v>1.0068214933659623</v>
      </c>
      <c r="AW789" s="74">
        <f>PRODUCT(AV$4:AV789)</f>
        <v>209.24151270632606</v>
      </c>
    </row>
    <row r="790" spans="44:49">
      <c r="AR790" s="69">
        <f t="shared" si="427"/>
        <v>66</v>
      </c>
      <c r="AS790" s="70">
        <f t="shared" si="433"/>
        <v>787</v>
      </c>
      <c r="AT790" s="71">
        <f t="shared" si="408"/>
        <v>4.5760933569311468E-3</v>
      </c>
      <c r="AU790" s="72">
        <f t="shared" si="418"/>
        <v>6.8214933659622723E-3</v>
      </c>
      <c r="AV790" s="73">
        <f t="shared" si="428"/>
        <v>1.0068214933659623</v>
      </c>
      <c r="AW790" s="74">
        <f>PRODUCT(AV$4:AV790)</f>
        <v>210.66885229713617</v>
      </c>
    </row>
    <row r="791" spans="44:49">
      <c r="AR791" s="69">
        <f t="shared" si="427"/>
        <v>66</v>
      </c>
      <c r="AS791" s="70">
        <f t="shared" si="433"/>
        <v>788</v>
      </c>
      <c r="AT791" s="71">
        <f t="shared" ref="AT791:AT854" si="437">(1-AU791)*AT790</f>
        <v>4.5448775664548172E-3</v>
      </c>
      <c r="AU791" s="72">
        <f t="shared" si="418"/>
        <v>6.8214933659622723E-3</v>
      </c>
      <c r="AV791" s="73">
        <f t="shared" si="428"/>
        <v>1.0068214933659623</v>
      </c>
      <c r="AW791" s="74">
        <f>PRODUCT(AV$4:AV791)</f>
        <v>212.10592847549597</v>
      </c>
    </row>
    <row r="792" spans="44:49">
      <c r="AR792" s="69">
        <f t="shared" si="427"/>
        <v>66</v>
      </c>
      <c r="AS792" s="70">
        <f t="shared" si="433"/>
        <v>789</v>
      </c>
      <c r="AT792" s="71">
        <f t="shared" si="437"/>
        <v>4.5138747142861348E-3</v>
      </c>
      <c r="AU792" s="72">
        <f t="shared" si="418"/>
        <v>6.8214933659622723E-3</v>
      </c>
      <c r="AV792" s="73">
        <f t="shared" si="428"/>
        <v>1.0068214933659623</v>
      </c>
      <c r="AW792" s="74">
        <f>PRODUCT(AV$4:AV792)</f>
        <v>213.55280765947285</v>
      </c>
    </row>
    <row r="793" spans="44:49">
      <c r="AR793" s="69">
        <f t="shared" si="427"/>
        <v>66</v>
      </c>
      <c r="AS793" s="70">
        <f t="shared" si="433"/>
        <v>790</v>
      </c>
      <c r="AT793" s="71">
        <f t="shared" si="437"/>
        <v>4.4830833478678471E-3</v>
      </c>
      <c r="AU793" s="72">
        <f t="shared" si="418"/>
        <v>6.8214933659622723E-3</v>
      </c>
      <c r="AV793" s="73">
        <f t="shared" si="428"/>
        <v>1.0068214933659623</v>
      </c>
      <c r="AW793" s="74">
        <f>PRODUCT(AV$4:AV793)</f>
        <v>215.00955672020456</v>
      </c>
    </row>
    <row r="794" spans="44:49">
      <c r="AR794" s="69">
        <f t="shared" si="427"/>
        <v>66</v>
      </c>
      <c r="AS794" s="70">
        <f t="shared" si="433"/>
        <v>791</v>
      </c>
      <c r="AT794" s="71">
        <f t="shared" si="437"/>
        <v>4.4525020245513103E-3</v>
      </c>
      <c r="AU794" s="72">
        <f t="shared" si="418"/>
        <v>6.8214933659622723E-3</v>
      </c>
      <c r="AV794" s="73">
        <f t="shared" si="428"/>
        <v>1.0068214933659623</v>
      </c>
      <c r="AW794" s="74">
        <f>PRODUCT(AV$4:AV794)</f>
        <v>216.47624298498991</v>
      </c>
    </row>
    <row r="795" spans="44:49">
      <c r="AR795" s="69">
        <f t="shared" si="427"/>
        <v>66</v>
      </c>
      <c r="AS795" s="70">
        <f t="shared" si="433"/>
        <v>792</v>
      </c>
      <c r="AT795" s="71">
        <f t="shared" si="437"/>
        <v>4.4221293115289002E-3</v>
      </c>
      <c r="AU795" s="72">
        <f t="shared" si="418"/>
        <v>6.8214933659622723E-3</v>
      </c>
      <c r="AV795" s="73">
        <f t="shared" si="428"/>
        <v>1.0068214933659623</v>
      </c>
      <c r="AW795" s="74">
        <f>PRODUCT(AV$4:AV795)</f>
        <v>217.95293424040045</v>
      </c>
    </row>
    <row r="796" spans="44:49">
      <c r="AR796" s="69">
        <f t="shared" si="427"/>
        <v>67</v>
      </c>
      <c r="AS796" s="70">
        <f t="shared" si="433"/>
        <v>793</v>
      </c>
      <c r="AT796" s="71">
        <f t="shared" si="437"/>
        <v>4.3919637857668782E-3</v>
      </c>
      <c r="AU796" s="72">
        <f t="shared" si="418"/>
        <v>6.8214933659622723E-3</v>
      </c>
      <c r="AV796" s="73">
        <f t="shared" si="428"/>
        <v>1.0068214933659623</v>
      </c>
      <c r="AW796" s="74">
        <f>PRODUCT(AV$4:AV796)</f>
        <v>219.43969873541334</v>
      </c>
    </row>
    <row r="797" spans="44:49">
      <c r="AR797" s="69">
        <f t="shared" si="427"/>
        <v>67</v>
      </c>
      <c r="AS797" s="70">
        <f t="shared" si="433"/>
        <v>794</v>
      </c>
      <c r="AT797" s="71">
        <f t="shared" si="437"/>
        <v>4.3620040339387225E-3</v>
      </c>
      <c r="AU797" s="72">
        <f t="shared" si="418"/>
        <v>6.8214933659622723E-3</v>
      </c>
      <c r="AV797" s="73">
        <f t="shared" si="428"/>
        <v>1.0068214933659623</v>
      </c>
      <c r="AW797" s="74">
        <f>PRODUCT(AV$4:AV797)</f>
        <v>220.93660518456574</v>
      </c>
    </row>
    <row r="798" spans="44:49">
      <c r="AR798" s="69">
        <f t="shared" si="427"/>
        <v>67</v>
      </c>
      <c r="AS798" s="70">
        <f t="shared" si="433"/>
        <v>795</v>
      </c>
      <c r="AT798" s="71">
        <f t="shared" si="437"/>
        <v>4.3322486523589086E-3</v>
      </c>
      <c r="AU798" s="72">
        <f t="shared" si="418"/>
        <v>6.8214933659622723E-3</v>
      </c>
      <c r="AV798" s="73">
        <f t="shared" si="428"/>
        <v>1.0068214933659623</v>
      </c>
      <c r="AW798" s="74">
        <f>PRODUCT(AV$4:AV798)</f>
        <v>222.44372277113047</v>
      </c>
    </row>
    <row r="799" spans="44:49">
      <c r="AR799" s="69">
        <f t="shared" si="427"/>
        <v>67</v>
      </c>
      <c r="AS799" s="70">
        <f t="shared" si="433"/>
        <v>796</v>
      </c>
      <c r="AT799" s="71">
        <f t="shared" si="437"/>
        <v>4.3026962469171429E-3</v>
      </c>
      <c r="AU799" s="72">
        <f t="shared" si="418"/>
        <v>6.8214933659622723E-3</v>
      </c>
      <c r="AV799" s="73">
        <f t="shared" si="428"/>
        <v>1.0068214933659623</v>
      </c>
      <c r="AW799" s="74">
        <f>PRODUCT(AV$4:AV799)</f>
        <v>223.96112115031369</v>
      </c>
    </row>
    <row r="800" spans="44:49">
      <c r="AR800" s="69">
        <f t="shared" si="427"/>
        <v>67</v>
      </c>
      <c r="AS800" s="70">
        <f t="shared" si="433"/>
        <v>797</v>
      </c>
      <c r="AT800" s="71">
        <f t="shared" si="437"/>
        <v>4.2733454330130469E-3</v>
      </c>
      <c r="AU800" s="72">
        <f t="shared" si="418"/>
        <v>6.8214933659622723E-3</v>
      </c>
      <c r="AV800" s="73">
        <f t="shared" si="428"/>
        <v>1.0068214933659623</v>
      </c>
      <c r="AW800" s="74">
        <f>PRODUCT(AV$4:AV800)</f>
        <v>225.48887045247403</v>
      </c>
    </row>
    <row r="801" spans="44:49">
      <c r="AR801" s="69">
        <f t="shared" si="427"/>
        <v>67</v>
      </c>
      <c r="AS801" s="70">
        <f t="shared" si="433"/>
        <v>798</v>
      </c>
      <c r="AT801" s="71">
        <f t="shared" si="437"/>
        <v>4.2441948354912835E-3</v>
      </c>
      <c r="AU801" s="72">
        <f t="shared" si="418"/>
        <v>6.8214933659622723E-3</v>
      </c>
      <c r="AV801" s="73">
        <f t="shared" si="428"/>
        <v>1.0068214933659623</v>
      </c>
      <c r="AW801" s="74">
        <f>PRODUCT(AV$4:AV801)</f>
        <v>227.0270412863639</v>
      </c>
    </row>
    <row r="802" spans="44:49">
      <c r="AR802" s="69">
        <f t="shared" si="427"/>
        <v>67</v>
      </c>
      <c r="AS802" s="70">
        <f t="shared" si="433"/>
        <v>799</v>
      </c>
      <c r="AT802" s="71">
        <f t="shared" si="437"/>
        <v>4.2152430885771287E-3</v>
      </c>
      <c r="AU802" s="72">
        <f t="shared" si="418"/>
        <v>6.8214933659622723E-3</v>
      </c>
      <c r="AV802" s="73">
        <f t="shared" si="428"/>
        <v>1.0068214933659623</v>
      </c>
      <c r="AW802" s="74">
        <f>PRODUCT(AV$4:AV802)</f>
        <v>228.57570474239287</v>
      </c>
    </row>
    <row r="803" spans="44:49">
      <c r="AR803" s="69">
        <f t="shared" si="427"/>
        <v>67</v>
      </c>
      <c r="AS803" s="70">
        <f t="shared" si="433"/>
        <v>800</v>
      </c>
      <c r="AT803" s="71">
        <f t="shared" si="437"/>
        <v>4.1864888358124812E-3</v>
      </c>
      <c r="AU803" s="72">
        <f t="shared" si="418"/>
        <v>6.8214933659622723E-3</v>
      </c>
      <c r="AV803" s="73">
        <f t="shared" si="428"/>
        <v>1.0068214933659623</v>
      </c>
      <c r="AW803" s="74">
        <f>PRODUCT(AV$4:AV803)</f>
        <v>230.13493239591327</v>
      </c>
    </row>
    <row r="804" spans="44:49">
      <c r="AR804" s="69">
        <f t="shared" si="427"/>
        <v>67</v>
      </c>
      <c r="AS804" s="70">
        <f t="shared" si="433"/>
        <v>801</v>
      </c>
      <c r="AT804" s="71">
        <f t="shared" si="437"/>
        <v>4.1579307299923112E-3</v>
      </c>
      <c r="AU804" s="72">
        <f t="shared" si="418"/>
        <v>6.8214933659622723E-3</v>
      </c>
      <c r="AV804" s="73">
        <f t="shared" si="428"/>
        <v>1.0068214933659623</v>
      </c>
      <c r="AW804" s="74">
        <f>PRODUCT(AV$4:AV804)</f>
        <v>231.70479631052817</v>
      </c>
    </row>
    <row r="805" spans="44:49">
      <c r="AR805" s="69">
        <f t="shared" si="427"/>
        <v>67</v>
      </c>
      <c r="AS805" s="70">
        <f t="shared" si="433"/>
        <v>802</v>
      </c>
      <c r="AT805" s="71">
        <f t="shared" si="437"/>
        <v>4.1295674331015379E-3</v>
      </c>
      <c r="AU805" s="72">
        <f t="shared" si="418"/>
        <v>6.8214933659622723E-3</v>
      </c>
      <c r="AV805" s="73">
        <f t="shared" si="428"/>
        <v>1.0068214933659623</v>
      </c>
      <c r="AW805" s="74">
        <f>PRODUCT(AV$4:AV805)</f>
        <v>233.28536904142209</v>
      </c>
    </row>
    <row r="806" spans="44:49">
      <c r="AR806" s="69">
        <f t="shared" si="427"/>
        <v>67</v>
      </c>
      <c r="AS806" s="70">
        <f t="shared" si="433"/>
        <v>803</v>
      </c>
      <c r="AT806" s="71">
        <f t="shared" si="437"/>
        <v>4.1013976162523422E-3</v>
      </c>
      <c r="AU806" s="72">
        <f t="shared" si="418"/>
        <v>6.8214933659622723E-3</v>
      </c>
      <c r="AV806" s="73">
        <f t="shared" si="428"/>
        <v>1.0068214933659623</v>
      </c>
      <c r="AW806" s="74">
        <f>PRODUCT(AV$4:AV806)</f>
        <v>234.8767236387142</v>
      </c>
    </row>
    <row r="807" spans="44:49">
      <c r="AR807" s="69">
        <f t="shared" si="427"/>
        <v>67</v>
      </c>
      <c r="AS807" s="70">
        <f t="shared" si="433"/>
        <v>804</v>
      </c>
      <c r="AT807" s="71">
        <f t="shared" si="437"/>
        <v>4.0734199596219036E-3</v>
      </c>
      <c r="AU807" s="72">
        <f t="shared" si="418"/>
        <v>6.8214933659622723E-3</v>
      </c>
      <c r="AV807" s="73">
        <f t="shared" si="428"/>
        <v>1.0068214933659623</v>
      </c>
      <c r="AW807" s="74">
        <f>PRODUCT(AV$4:AV807)</f>
        <v>236.47893365083465</v>
      </c>
    </row>
    <row r="808" spans="44:49">
      <c r="AR808" s="69">
        <f t="shared" si="427"/>
        <v>68</v>
      </c>
      <c r="AS808" s="70">
        <f t="shared" si="433"/>
        <v>805</v>
      </c>
      <c r="AT808" s="71">
        <f t="shared" si="437"/>
        <v>4.0456331523905644E-3</v>
      </c>
      <c r="AU808" s="72">
        <f t="shared" si="418"/>
        <v>6.8214933659622723E-3</v>
      </c>
      <c r="AV808" s="73">
        <f t="shared" si="428"/>
        <v>1.0068214933659623</v>
      </c>
      <c r="AW808" s="74">
        <f>PRODUCT(AV$4:AV808)</f>
        <v>238.09207312792364</v>
      </c>
    </row>
    <row r="809" spans="44:49">
      <c r="AR809" s="69">
        <f t="shared" si="427"/>
        <v>68</v>
      </c>
      <c r="AS809" s="70">
        <f t="shared" si="433"/>
        <v>806</v>
      </c>
      <c r="AT809" s="71">
        <f t="shared" si="437"/>
        <v>4.0180358926804154E-3</v>
      </c>
      <c r="AU809" s="72">
        <f t="shared" si="418"/>
        <v>6.8214933659622723E-3</v>
      </c>
      <c r="AV809" s="73">
        <f t="shared" si="428"/>
        <v>1.0068214933659623</v>
      </c>
      <c r="AW809" s="74">
        <f>PRODUCT(AV$4:AV809)</f>
        <v>239.71621662525396</v>
      </c>
    </row>
    <row r="810" spans="44:49">
      <c r="AR810" s="69">
        <f t="shared" si="427"/>
        <v>68</v>
      </c>
      <c r="AS810" s="70">
        <f t="shared" si="433"/>
        <v>807</v>
      </c>
      <c r="AT810" s="71">
        <f t="shared" si="437"/>
        <v>3.9906268874942974E-3</v>
      </c>
      <c r="AU810" s="72">
        <f t="shared" si="418"/>
        <v>6.8214933659622723E-3</v>
      </c>
      <c r="AV810" s="73">
        <f t="shared" si="428"/>
        <v>1.0068214933659623</v>
      </c>
      <c r="AW810" s="74">
        <f>PRODUCT(AV$4:AV810)</f>
        <v>241.3514392066767</v>
      </c>
    </row>
    <row r="811" spans="44:49">
      <c r="AR811" s="69">
        <f t="shared" si="427"/>
        <v>68</v>
      </c>
      <c r="AS811" s="70">
        <f t="shared" si="433"/>
        <v>808</v>
      </c>
      <c r="AT811" s="71">
        <f t="shared" si="437"/>
        <v>3.9634048526552244E-3</v>
      </c>
      <c r="AU811" s="72">
        <f t="shared" si="418"/>
        <v>6.8214933659622723E-3</v>
      </c>
      <c r="AV811" s="73">
        <f t="shared" si="428"/>
        <v>1.0068214933659623</v>
      </c>
      <c r="AW811" s="74">
        <f>PRODUCT(AV$4:AV811)</f>
        <v>242.9978164480905</v>
      </c>
    </row>
    <row r="812" spans="44:49">
      <c r="AR812" s="69">
        <f t="shared" si="427"/>
        <v>68</v>
      </c>
      <c r="AS812" s="70">
        <f t="shared" si="433"/>
        <v>809</v>
      </c>
      <c r="AT812" s="71">
        <f t="shared" si="437"/>
        <v>3.9363685127462144E-3</v>
      </c>
      <c r="AU812" s="72">
        <f t="shared" si="418"/>
        <v>6.8214933659622723E-3</v>
      </c>
      <c r="AV812" s="73">
        <f t="shared" si="428"/>
        <v>1.0068214933659623</v>
      </c>
      <c r="AW812" s="74">
        <f>PRODUCT(AV$4:AV812)</f>
        <v>244.65542444093447</v>
      </c>
    </row>
    <row r="813" spans="44:49">
      <c r="AR813" s="69">
        <f t="shared" si="427"/>
        <v>68</v>
      </c>
      <c r="AS813" s="70">
        <f t="shared" si="433"/>
        <v>810</v>
      </c>
      <c r="AT813" s="71">
        <f t="shared" si="437"/>
        <v>3.9095166010505332E-3</v>
      </c>
      <c r="AU813" s="72">
        <f t="shared" si="418"/>
        <v>6.8214933659622723E-3</v>
      </c>
      <c r="AV813" s="73">
        <f t="shared" si="428"/>
        <v>1.0068214933659623</v>
      </c>
      <c r="AW813" s="74">
        <f>PRODUCT(AV$4:AV813)</f>
        <v>246.32433979570499</v>
      </c>
    </row>
    <row r="814" spans="44:49">
      <c r="AR814" s="69">
        <f t="shared" si="427"/>
        <v>68</v>
      </c>
      <c r="AS814" s="70">
        <f t="shared" si="433"/>
        <v>811</v>
      </c>
      <c r="AT814" s="71">
        <f t="shared" si="437"/>
        <v>3.8828478594923476E-3</v>
      </c>
      <c r="AU814" s="72">
        <f t="shared" si="418"/>
        <v>6.8214933659622723E-3</v>
      </c>
      <c r="AV814" s="73">
        <f t="shared" si="428"/>
        <v>1.0068214933659623</v>
      </c>
      <c r="AW814" s="74">
        <f>PRODUCT(AV$4:AV814)</f>
        <v>248.00463964549641</v>
      </c>
    </row>
    <row r="815" spans="44:49">
      <c r="AR815" s="69">
        <f t="shared" si="427"/>
        <v>68</v>
      </c>
      <c r="AS815" s="70">
        <f t="shared" si="433"/>
        <v>812</v>
      </c>
      <c r="AT815" s="71">
        <f t="shared" si="437"/>
        <v>3.8563610385777798E-3</v>
      </c>
      <c r="AU815" s="72">
        <f t="shared" si="418"/>
        <v>6.8214933659622723E-3</v>
      </c>
      <c r="AV815" s="73">
        <f t="shared" si="428"/>
        <v>1.0068214933659623</v>
      </c>
      <c r="AW815" s="74">
        <f>PRODUCT(AV$4:AV815)</f>
        <v>249.69640164956604</v>
      </c>
    </row>
    <row r="816" spans="44:49">
      <c r="AR816" s="69">
        <f t="shared" si="427"/>
        <v>68</v>
      </c>
      <c r="AS816" s="70">
        <f t="shared" si="433"/>
        <v>813</v>
      </c>
      <c r="AT816" s="71">
        <f t="shared" si="437"/>
        <v>3.8300548973363661E-3</v>
      </c>
      <c r="AU816" s="72">
        <f t="shared" si="418"/>
        <v>6.8214933659622723E-3</v>
      </c>
      <c r="AV816" s="73">
        <f t="shared" si="428"/>
        <v>1.0068214933659623</v>
      </c>
      <c r="AW816" s="74">
        <f>PRODUCT(AV$4:AV816)</f>
        <v>251.39970399692319</v>
      </c>
    </row>
    <row r="817" spans="44:49">
      <c r="AR817" s="69">
        <f t="shared" si="427"/>
        <v>68</v>
      </c>
      <c r="AS817" s="70">
        <f t="shared" si="433"/>
        <v>814</v>
      </c>
      <c r="AT817" s="71">
        <f t="shared" si="437"/>
        <v>3.8039282032629146E-3</v>
      </c>
      <c r="AU817" s="72">
        <f t="shared" si="418"/>
        <v>6.8214933659622723E-3</v>
      </c>
      <c r="AV817" s="73">
        <f t="shared" si="428"/>
        <v>1.0068214933659623</v>
      </c>
      <c r="AW817" s="74">
        <f>PRODUCT(AV$4:AV817)</f>
        <v>253.11462540994307</v>
      </c>
    </row>
    <row r="818" spans="44:49">
      <c r="AR818" s="69">
        <f t="shared" si="427"/>
        <v>68</v>
      </c>
      <c r="AS818" s="70">
        <f t="shared" si="433"/>
        <v>815</v>
      </c>
      <c r="AT818" s="71">
        <f t="shared" si="437"/>
        <v>3.7779797322597597E-3</v>
      </c>
      <c r="AU818" s="72">
        <f t="shared" si="418"/>
        <v>6.8214933659622723E-3</v>
      </c>
      <c r="AV818" s="73">
        <f t="shared" si="428"/>
        <v>1.0068214933659623</v>
      </c>
      <c r="AW818" s="74">
        <f>PRODUCT(AV$4:AV818)</f>
        <v>254.84124514800502</v>
      </c>
    </row>
    <row r="819" spans="44:49">
      <c r="AR819" s="69">
        <f t="shared" si="427"/>
        <v>68</v>
      </c>
      <c r="AS819" s="70">
        <f t="shared" si="433"/>
        <v>816</v>
      </c>
      <c r="AT819" s="71">
        <f t="shared" si="437"/>
        <v>3.7522082685794099E-3</v>
      </c>
      <c r="AU819" s="72">
        <f t="shared" si="418"/>
        <v>6.8214933659622723E-3</v>
      </c>
      <c r="AV819" s="73">
        <f t="shared" si="428"/>
        <v>1.0068214933659623</v>
      </c>
      <c r="AW819" s="74">
        <f>PRODUCT(AV$4:AV819)</f>
        <v>256.57964301115572</v>
      </c>
    </row>
    <row r="820" spans="44:49">
      <c r="AR820" s="69">
        <f t="shared" si="427"/>
        <v>69</v>
      </c>
      <c r="AS820" s="70">
        <f t="shared" si="433"/>
        <v>817</v>
      </c>
      <c r="AT820" s="71">
        <f t="shared" si="437"/>
        <v>3.7266126047675865E-3</v>
      </c>
      <c r="AU820" s="72">
        <f t="shared" si="418"/>
        <v>6.8214933659622723E-3</v>
      </c>
      <c r="AV820" s="73">
        <f t="shared" si="428"/>
        <v>1.0068214933659623</v>
      </c>
      <c r="AW820" s="74">
        <f>PRODUCT(AV$4:AV820)</f>
        <v>258.32989934379731</v>
      </c>
    </row>
    <row r="821" spans="44:49">
      <c r="AR821" s="69">
        <f t="shared" si="427"/>
        <v>69</v>
      </c>
      <c r="AS821" s="70">
        <f t="shared" si="433"/>
        <v>818</v>
      </c>
      <c r="AT821" s="71">
        <f t="shared" si="437"/>
        <v>3.7011915416066531E-3</v>
      </c>
      <c r="AU821" s="72">
        <f t="shared" si="418"/>
        <v>6.8214933659622723E-3</v>
      </c>
      <c r="AV821" s="73">
        <f t="shared" si="428"/>
        <v>1.0068214933659623</v>
      </c>
      <c r="AW821" s="74">
        <f>PRODUCT(AV$4:AV821)</f>
        <v>260.09209503840071</v>
      </c>
    </row>
    <row r="822" spans="44:49">
      <c r="AR822" s="69">
        <f t="shared" si="427"/>
        <v>69</v>
      </c>
      <c r="AS822" s="70">
        <f t="shared" si="433"/>
        <v>819</v>
      </c>
      <c r="AT822" s="71">
        <f t="shared" si="437"/>
        <v>3.6759438880594277E-3</v>
      </c>
      <c r="AU822" s="72">
        <f t="shared" si="418"/>
        <v>6.8214933659622723E-3</v>
      </c>
      <c r="AV822" s="73">
        <f t="shared" si="428"/>
        <v>1.0068214933659623</v>
      </c>
      <c r="AW822" s="74">
        <f>PRODUCT(AV$4:AV822)</f>
        <v>261.86631153924441</v>
      </c>
    </row>
    <row r="823" spans="44:49">
      <c r="AR823" s="69">
        <f t="shared" si="427"/>
        <v>69</v>
      </c>
      <c r="AS823" s="70">
        <f t="shared" si="433"/>
        <v>820</v>
      </c>
      <c r="AT823" s="71">
        <f t="shared" si="437"/>
        <v>3.6508684612133807E-3</v>
      </c>
      <c r="AU823" s="72">
        <f t="shared" si="418"/>
        <v>6.8214933659622723E-3</v>
      </c>
      <c r="AV823" s="73">
        <f t="shared" si="428"/>
        <v>1.0068214933659623</v>
      </c>
      <c r="AW823" s="74">
        <f>PRODUCT(AV$4:AV823)</f>
        <v>263.6526308461784</v>
      </c>
    </row>
    <row r="824" spans="44:49">
      <c r="AR824" s="69">
        <f t="shared" si="427"/>
        <v>69</v>
      </c>
      <c r="AS824" s="70">
        <f t="shared" si="433"/>
        <v>821</v>
      </c>
      <c r="AT824" s="71">
        <f t="shared" si="437"/>
        <v>3.6259640862252129E-3</v>
      </c>
      <c r="AU824" s="72">
        <f t="shared" si="418"/>
        <v>6.8214933659622723E-3</v>
      </c>
      <c r="AV824" s="73">
        <f t="shared" si="428"/>
        <v>1.0068214933659623</v>
      </c>
      <c r="AW824" s="74">
        <f>PRODUCT(AV$4:AV824)</f>
        <v>265.45113551841411</v>
      </c>
    </row>
    <row r="825" spans="44:49">
      <c r="AR825" s="69">
        <f t="shared" si="427"/>
        <v>69</v>
      </c>
      <c r="AS825" s="70">
        <f t="shared" si="433"/>
        <v>822</v>
      </c>
      <c r="AT825" s="71">
        <f t="shared" si="437"/>
        <v>3.6012295962658102E-3</v>
      </c>
      <c r="AU825" s="72">
        <f t="shared" si="418"/>
        <v>6.8214933659622723E-3</v>
      </c>
      <c r="AV825" s="73">
        <f t="shared" si="428"/>
        <v>1.0068214933659623</v>
      </c>
      <c r="AW825" s="74">
        <f>PRODUCT(AV$4:AV825)</f>
        <v>267.26190867834009</v>
      </c>
    </row>
    <row r="826" spans="44:49">
      <c r="AR826" s="69">
        <f t="shared" si="427"/>
        <v>69</v>
      </c>
      <c r="AS826" s="70">
        <f t="shared" si="433"/>
        <v>823</v>
      </c>
      <c r="AT826" s="71">
        <f t="shared" si="437"/>
        <v>3.576663832465576E-3</v>
      </c>
      <c r="AU826" s="72">
        <f t="shared" si="418"/>
        <v>6.8214933659622723E-3</v>
      </c>
      <c r="AV826" s="73">
        <f t="shared" si="428"/>
        <v>1.0068214933659623</v>
      </c>
      <c r="AW826" s="74">
        <f>PRODUCT(AV$4:AV826)</f>
        <v>269.08503401536382</v>
      </c>
    </row>
    <row r="827" spans="44:49">
      <c r="AR827" s="69">
        <f t="shared" si="427"/>
        <v>69</v>
      </c>
      <c r="AS827" s="70">
        <f t="shared" si="433"/>
        <v>824</v>
      </c>
      <c r="AT827" s="71">
        <f t="shared" si="437"/>
        <v>3.5522656438601347E-3</v>
      </c>
      <c r="AU827" s="72">
        <f t="shared" si="418"/>
        <v>6.8214933659622723E-3</v>
      </c>
      <c r="AV827" s="73">
        <f t="shared" si="428"/>
        <v>1.0068214933659623</v>
      </c>
      <c r="AW827" s="74">
        <f>PRODUCT(AV$4:AV827)</f>
        <v>270.92059578977933</v>
      </c>
    </row>
    <row r="828" spans="44:49">
      <c r="AR828" s="69">
        <f t="shared" si="427"/>
        <v>69</v>
      </c>
      <c r="AS828" s="70">
        <f t="shared" si="433"/>
        <v>825</v>
      </c>
      <c r="AT828" s="71">
        <f t="shared" si="437"/>
        <v>3.5280338873364069E-3</v>
      </c>
      <c r="AU828" s="72">
        <f t="shared" si="418"/>
        <v>6.8214933659622723E-3</v>
      </c>
      <c r="AV828" s="73">
        <f t="shared" si="428"/>
        <v>1.0068214933659623</v>
      </c>
      <c r="AW828" s="74">
        <f>PRODUCT(AV$4:AV828)</f>
        <v>272.76867883666188</v>
      </c>
    </row>
    <row r="829" spans="44:49">
      <c r="AR829" s="69">
        <f t="shared" si="427"/>
        <v>69</v>
      </c>
      <c r="AS829" s="70">
        <f t="shared" si="433"/>
        <v>826</v>
      </c>
      <c r="AT829" s="71">
        <f t="shared" si="437"/>
        <v>3.5039674275790514E-3</v>
      </c>
      <c r="AU829" s="72">
        <f t="shared" si="418"/>
        <v>6.8214933659622723E-3</v>
      </c>
      <c r="AV829" s="73">
        <f t="shared" si="428"/>
        <v>1.0068214933659623</v>
      </c>
      <c r="AW829" s="74">
        <f>PRODUCT(AV$4:AV829)</f>
        <v>274.62936856978848</v>
      </c>
    </row>
    <row r="830" spans="44:49">
      <c r="AR830" s="69">
        <f t="shared" si="427"/>
        <v>69</v>
      </c>
      <c r="AS830" s="70">
        <f t="shared" si="433"/>
        <v>827</v>
      </c>
      <c r="AT830" s="71">
        <f t="shared" si="437"/>
        <v>3.480065137017273E-3</v>
      </c>
      <c r="AU830" s="72">
        <f t="shared" si="418"/>
        <v>6.8214933659622723E-3</v>
      </c>
      <c r="AV830" s="73">
        <f t="shared" si="428"/>
        <v>1.0068214933659623</v>
      </c>
      <c r="AW830" s="74">
        <f>PRODUCT(AV$4:AV830)</f>
        <v>276.50275098558569</v>
      </c>
    </row>
    <row r="831" spans="44:49">
      <c r="AR831" s="69">
        <f t="shared" si="427"/>
        <v>69</v>
      </c>
      <c r="AS831" s="70">
        <f t="shared" si="433"/>
        <v>828</v>
      </c>
      <c r="AT831" s="71">
        <f t="shared" si="437"/>
        <v>3.4563258957719931E-3</v>
      </c>
      <c r="AU831" s="72">
        <f t="shared" si="418"/>
        <v>6.8214933659622723E-3</v>
      </c>
      <c r="AV831" s="73">
        <f t="shared" si="428"/>
        <v>1.0068214933659623</v>
      </c>
      <c r="AW831" s="74">
        <f>PRODUCT(AV$4:AV831)</f>
        <v>278.38891266710419</v>
      </c>
    </row>
    <row r="832" spans="44:49">
      <c r="AR832" s="69">
        <f t="shared" si="427"/>
        <v>70</v>
      </c>
      <c r="AS832" s="70">
        <f t="shared" si="433"/>
        <v>829</v>
      </c>
      <c r="AT832" s="71">
        <f t="shared" si="437"/>
        <v>3.4327485916033811E-3</v>
      </c>
      <c r="AU832" s="72">
        <f t="shared" si="418"/>
        <v>6.8214933659622723E-3</v>
      </c>
      <c r="AV832" s="73">
        <f t="shared" si="428"/>
        <v>1.0068214933659623</v>
      </c>
      <c r="AW832" s="74">
        <f>PRODUCT(AV$4:AV832)</f>
        <v>280.28794078802031</v>
      </c>
    </row>
    <row r="833" spans="44:49">
      <c r="AR833" s="69">
        <f t="shared" si="427"/>
        <v>70</v>
      </c>
      <c r="AS833" s="70">
        <f t="shared" si="433"/>
        <v>830</v>
      </c>
      <c r="AT833" s="71">
        <f t="shared" si="437"/>
        <v>3.4093321198587424E-3</v>
      </c>
      <c r="AU833" s="72">
        <f t="shared" si="418"/>
        <v>6.8214933659622723E-3</v>
      </c>
      <c r="AV833" s="73">
        <f t="shared" si="428"/>
        <v>1.0068214933659623</v>
      </c>
      <c r="AW833" s="74">
        <f>PRODUCT(AV$4:AV833)</f>
        <v>282.19992311666499</v>
      </c>
    </row>
    <row r="834" spans="44:49">
      <c r="AR834" s="69">
        <f t="shared" si="427"/>
        <v>70</v>
      </c>
      <c r="AS834" s="70">
        <f t="shared" si="433"/>
        <v>831</v>
      </c>
      <c r="AT834" s="71">
        <f t="shared" si="437"/>
        <v>3.386075383420764E-3</v>
      </c>
      <c r="AU834" s="72">
        <f t="shared" si="418"/>
        <v>6.8214933659622723E-3</v>
      </c>
      <c r="AV834" s="73">
        <f t="shared" si="428"/>
        <v>1.0068214933659623</v>
      </c>
      <c r="AW834" s="74">
        <f>PRODUCT(AV$4:AV834)</f>
        <v>284.12494802008041</v>
      </c>
    </row>
    <row r="835" spans="44:49">
      <c r="AR835" s="69">
        <f t="shared" si="427"/>
        <v>70</v>
      </c>
      <c r="AS835" s="70">
        <f t="shared" si="433"/>
        <v>832</v>
      </c>
      <c r="AT835" s="71">
        <f t="shared" si="437"/>
        <v>3.3629772926561112E-3</v>
      </c>
      <c r="AU835" s="72">
        <f t="shared" si="418"/>
        <v>6.8214933659622723E-3</v>
      </c>
      <c r="AV835" s="73">
        <f t="shared" si="428"/>
        <v>1.0068214933659623</v>
      </c>
      <c r="AW835" s="74">
        <f>PRODUCT(AV$4:AV835)</f>
        <v>286.06310446810375</v>
      </c>
    </row>
    <row r="836" spans="44:49">
      <c r="AR836" s="69">
        <f t="shared" si="427"/>
        <v>70</v>
      </c>
      <c r="AS836" s="70">
        <f t="shared" si="433"/>
        <v>833</v>
      </c>
      <c r="AT836" s="71">
        <f t="shared" si="437"/>
        <v>3.3400367653643758E-3</v>
      </c>
      <c r="AU836" s="72">
        <f t="shared" ref="AU836:AU899" si="438">((1+$AH$21)^(1/12))-1</f>
        <v>6.8214933659622723E-3</v>
      </c>
      <c r="AV836" s="73">
        <f t="shared" si="428"/>
        <v>1.0068214933659623</v>
      </c>
      <c r="AW836" s="74">
        <f>PRODUCT(AV$4:AV836)</f>
        <v>288.01448203747947</v>
      </c>
    </row>
    <row r="837" spans="44:49">
      <c r="AR837" s="69">
        <f t="shared" ref="AR837:AR900" si="439">ROUNDDOWN((AS837-1)/12,0)+1</f>
        <v>70</v>
      </c>
      <c r="AS837" s="70">
        <f t="shared" si="433"/>
        <v>834</v>
      </c>
      <c r="AT837" s="71">
        <f t="shared" si="437"/>
        <v>3.3172527267273729E-3</v>
      </c>
      <c r="AU837" s="72">
        <f t="shared" si="438"/>
        <v>6.8214933659622723E-3</v>
      </c>
      <c r="AV837" s="73">
        <f t="shared" ref="AV837:AV900" si="440">(1+AU837)</f>
        <v>1.0068214933659623</v>
      </c>
      <c r="AW837" s="74">
        <f>PRODUCT(AV$4:AV837)</f>
        <v>289.97917091599919</v>
      </c>
    </row>
    <row r="838" spans="44:49">
      <c r="AR838" s="69">
        <f t="shared" si="439"/>
        <v>70</v>
      </c>
      <c r="AS838" s="70">
        <f t="shared" ref="AS838:AS901" si="441">AS837+1</f>
        <v>835</v>
      </c>
      <c r="AT838" s="71">
        <f t="shared" si="437"/>
        <v>3.2946241092587816E-3</v>
      </c>
      <c r="AU838" s="72">
        <f t="shared" si="438"/>
        <v>6.8214933659622723E-3</v>
      </c>
      <c r="AV838" s="73">
        <f t="shared" si="440"/>
        <v>1.0068214933659623</v>
      </c>
      <c r="AW838" s="74">
        <f>PRODUCT(AV$4:AV838)</f>
        <v>291.95726190666994</v>
      </c>
    </row>
    <row r="839" spans="44:49">
      <c r="AR839" s="69">
        <f t="shared" si="439"/>
        <v>70</v>
      </c>
      <c r="AS839" s="70">
        <f t="shared" si="441"/>
        <v>836</v>
      </c>
      <c r="AT839" s="71">
        <f t="shared" si="437"/>
        <v>3.2721498527541336E-3</v>
      </c>
      <c r="AU839" s="72">
        <f t="shared" si="438"/>
        <v>6.8214933659622723E-3</v>
      </c>
      <c r="AV839" s="73">
        <f t="shared" si="440"/>
        <v>1.0068214933659623</v>
      </c>
      <c r="AW839" s="74">
        <f>PRODUCT(AV$4:AV839)</f>
        <v>293.94884643191079</v>
      </c>
    </row>
    <row r="840" spans="44:49">
      <c r="AR840" s="69">
        <f t="shared" si="439"/>
        <v>70</v>
      </c>
      <c r="AS840" s="70">
        <f t="shared" si="441"/>
        <v>837</v>
      </c>
      <c r="AT840" s="71">
        <f t="shared" si="437"/>
        <v>3.249828904241137E-3</v>
      </c>
      <c r="AU840" s="72">
        <f t="shared" si="438"/>
        <v>6.8214933659622723E-3</v>
      </c>
      <c r="AV840" s="73">
        <f t="shared" si="440"/>
        <v>1.0068214933659623</v>
      </c>
      <c r="AW840" s="74">
        <f>PRODUCT(AV$4:AV840)</f>
        <v>295.95401653777833</v>
      </c>
    </row>
    <row r="841" spans="44:49">
      <c r="AR841" s="69">
        <f t="shared" si="439"/>
        <v>70</v>
      </c>
      <c r="AS841" s="70">
        <f t="shared" si="441"/>
        <v>838</v>
      </c>
      <c r="AT841" s="71">
        <f t="shared" si="437"/>
        <v>3.2276602179303437E-3</v>
      </c>
      <c r="AU841" s="72">
        <f t="shared" si="438"/>
        <v>6.8214933659622723E-3</v>
      </c>
      <c r="AV841" s="73">
        <f t="shared" si="440"/>
        <v>1.0068214933659623</v>
      </c>
      <c r="AW841" s="74">
        <f>PRODUCT(AV$4:AV841)</f>
        <v>297.97286489822068</v>
      </c>
    </row>
    <row r="842" spans="44:49">
      <c r="AR842" s="69">
        <f t="shared" si="439"/>
        <v>70</v>
      </c>
      <c r="AS842" s="70">
        <f t="shared" si="441"/>
        <v>839</v>
      </c>
      <c r="AT842" s="71">
        <f t="shared" si="437"/>
        <v>3.2056427551661517E-3</v>
      </c>
      <c r="AU842" s="72">
        <f t="shared" si="438"/>
        <v>6.8214933659622723E-3</v>
      </c>
      <c r="AV842" s="73">
        <f t="shared" si="440"/>
        <v>1.0068214933659623</v>
      </c>
      <c r="AW842" s="74">
        <f>PRODUCT(AV$4:AV842)</f>
        <v>300.00548481936067</v>
      </c>
    </row>
    <row r="843" spans="44:49">
      <c r="AR843" s="69">
        <f t="shared" si="439"/>
        <v>70</v>
      </c>
      <c r="AS843" s="70">
        <f t="shared" si="441"/>
        <v>840</v>
      </c>
      <c r="AT843" s="71">
        <f t="shared" si="437"/>
        <v>3.1837754843781407E-3</v>
      </c>
      <c r="AU843" s="72">
        <f t="shared" si="438"/>
        <v>6.8214933659622723E-3</v>
      </c>
      <c r="AV843" s="73">
        <f t="shared" si="440"/>
        <v>1.0068214933659623</v>
      </c>
      <c r="AW843" s="74">
        <f>PRODUCT(AV$4:AV843)</f>
        <v>302.05197024380823</v>
      </c>
    </row>
    <row r="844" spans="44:49">
      <c r="AR844" s="69">
        <f t="shared" si="439"/>
        <v>71</v>
      </c>
      <c r="AS844" s="70">
        <f t="shared" si="441"/>
        <v>841</v>
      </c>
      <c r="AT844" s="71">
        <f t="shared" si="437"/>
        <v>3.1620573810327421E-3</v>
      </c>
      <c r="AU844" s="72">
        <f t="shared" si="438"/>
        <v>6.8214933659622723E-3</v>
      </c>
      <c r="AV844" s="73">
        <f t="shared" si="440"/>
        <v>1.0068214933659623</v>
      </c>
      <c r="AW844" s="74">
        <f>PRODUCT(AV$4:AV844)</f>
        <v>304.11241575500219</v>
      </c>
    </row>
    <row r="845" spans="44:49">
      <c r="AR845" s="69">
        <f t="shared" si="439"/>
        <v>71</v>
      </c>
      <c r="AS845" s="70">
        <f t="shared" si="441"/>
        <v>842</v>
      </c>
      <c r="AT845" s="71">
        <f t="shared" si="437"/>
        <v>3.140487427585235E-3</v>
      </c>
      <c r="AU845" s="72">
        <f t="shared" si="438"/>
        <v>6.8214933659622723E-3</v>
      </c>
      <c r="AV845" s="73">
        <f t="shared" si="440"/>
        <v>1.0068214933659623</v>
      </c>
      <c r="AW845" s="74">
        <f>PRODUCT(AV$4:AV845)</f>
        <v>306.18691658158167</v>
      </c>
    </row>
    <row r="846" spans="44:49">
      <c r="AR846" s="69">
        <f t="shared" si="439"/>
        <v>71</v>
      </c>
      <c r="AS846" s="70">
        <f t="shared" si="441"/>
        <v>843</v>
      </c>
      <c r="AT846" s="71">
        <f t="shared" si="437"/>
        <v>3.1190646134320742E-3</v>
      </c>
      <c r="AU846" s="72">
        <f t="shared" si="438"/>
        <v>6.8214933659622723E-3</v>
      </c>
      <c r="AV846" s="73">
        <f t="shared" si="440"/>
        <v>1.0068214933659623</v>
      </c>
      <c r="AW846" s="74">
        <f>PRODUCT(AV$4:AV846)</f>
        <v>308.27556860178737</v>
      </c>
    </row>
    <row r="847" spans="44:49">
      <c r="AR847" s="69">
        <f t="shared" si="439"/>
        <v>71</v>
      </c>
      <c r="AS847" s="70">
        <f t="shared" si="441"/>
        <v>844</v>
      </c>
      <c r="AT847" s="71">
        <f t="shared" si="437"/>
        <v>3.0977879348635397E-3</v>
      </c>
      <c r="AU847" s="72">
        <f t="shared" si="438"/>
        <v>6.8214933659622723E-3</v>
      </c>
      <c r="AV847" s="73">
        <f t="shared" si="440"/>
        <v>1.0068214933659623</v>
      </c>
      <c r="AW847" s="74">
        <f>PRODUCT(AV$4:AV847)</f>
        <v>310.37846834789269</v>
      </c>
    </row>
    <row r="848" spans="44:49">
      <c r="AR848" s="69">
        <f t="shared" si="439"/>
        <v>71</v>
      </c>
      <c r="AS848" s="70">
        <f t="shared" si="441"/>
        <v>845</v>
      </c>
      <c r="AT848" s="71">
        <f t="shared" si="437"/>
        <v>3.07665639501671E-3</v>
      </c>
      <c r="AU848" s="72">
        <f t="shared" si="438"/>
        <v>6.8214933659622723E-3</v>
      </c>
      <c r="AV848" s="73">
        <f t="shared" si="440"/>
        <v>1.0068214933659623</v>
      </c>
      <c r="AW848" s="74">
        <f>PRODUCT(AV$4:AV848)</f>
        <v>312.49571301066538</v>
      </c>
    </row>
    <row r="849" spans="44:49">
      <c r="AR849" s="69">
        <f t="shared" si="439"/>
        <v>71</v>
      </c>
      <c r="AS849" s="70">
        <f t="shared" si="441"/>
        <v>846</v>
      </c>
      <c r="AT849" s="71">
        <f t="shared" si="437"/>
        <v>3.0556690038287581E-3</v>
      </c>
      <c r="AU849" s="72">
        <f t="shared" si="438"/>
        <v>6.8214933659622723E-3</v>
      </c>
      <c r="AV849" s="73">
        <f t="shared" si="440"/>
        <v>1.0068214933659623</v>
      </c>
      <c r="AW849" s="74">
        <f>PRODUCT(AV$4:AV849)</f>
        <v>314.6274004438593</v>
      </c>
    </row>
    <row r="850" spans="44:49">
      <c r="AR850" s="69">
        <f t="shared" si="439"/>
        <v>71</v>
      </c>
      <c r="AS850" s="70">
        <f t="shared" si="441"/>
        <v>847</v>
      </c>
      <c r="AT850" s="71">
        <f t="shared" si="437"/>
        <v>3.0348247779905637E-3</v>
      </c>
      <c r="AU850" s="72">
        <f t="shared" si="438"/>
        <v>6.8214933659622723E-3</v>
      </c>
      <c r="AV850" s="73">
        <f t="shared" si="440"/>
        <v>1.0068214933659623</v>
      </c>
      <c r="AW850" s="74">
        <f>PRODUCT(AV$4:AV850)</f>
        <v>316.77362916873705</v>
      </c>
    </row>
    <row r="851" spans="44:49">
      <c r="AR851" s="69">
        <f t="shared" si="439"/>
        <v>71</v>
      </c>
      <c r="AS851" s="70">
        <f t="shared" si="441"/>
        <v>848</v>
      </c>
      <c r="AT851" s="71">
        <f t="shared" si="437"/>
        <v>3.0141227409006431E-3</v>
      </c>
      <c r="AU851" s="72">
        <f t="shared" si="438"/>
        <v>6.8214933659622723E-3</v>
      </c>
      <c r="AV851" s="73">
        <f t="shared" si="440"/>
        <v>1.0068214933659623</v>
      </c>
      <c r="AW851" s="74">
        <f>PRODUCT(AV$4:AV851)</f>
        <v>318.9344983786234</v>
      </c>
    </row>
    <row r="852" spans="44:49">
      <c r="AR852" s="69">
        <f t="shared" si="439"/>
        <v>71</v>
      </c>
      <c r="AS852" s="70">
        <f t="shared" si="441"/>
        <v>849</v>
      </c>
      <c r="AT852" s="71">
        <f t="shared" si="437"/>
        <v>2.9935619226193933E-3</v>
      </c>
      <c r="AU852" s="72">
        <f t="shared" si="438"/>
        <v>6.8214933659622723E-3</v>
      </c>
      <c r="AV852" s="73">
        <f t="shared" si="440"/>
        <v>1.0068214933659623</v>
      </c>
      <c r="AW852" s="74">
        <f>PRODUCT(AV$4:AV852)</f>
        <v>321.11010794348971</v>
      </c>
    </row>
    <row r="853" spans="44:49">
      <c r="AR853" s="69">
        <f t="shared" si="439"/>
        <v>71</v>
      </c>
      <c r="AS853" s="70">
        <f t="shared" si="441"/>
        <v>850</v>
      </c>
      <c r="AT853" s="71">
        <f t="shared" si="437"/>
        <v>2.9731413598236478E-3</v>
      </c>
      <c r="AU853" s="72">
        <f t="shared" si="438"/>
        <v>6.8214933659622723E-3</v>
      </c>
      <c r="AV853" s="73">
        <f t="shared" si="440"/>
        <v>1.0068214933659623</v>
      </c>
      <c r="AW853" s="74">
        <f>PRODUCT(AV$4:AV853)</f>
        <v>323.30055841456965</v>
      </c>
    </row>
    <row r="854" spans="44:49">
      <c r="AR854" s="69">
        <f t="shared" si="439"/>
        <v>71</v>
      </c>
      <c r="AS854" s="70">
        <f t="shared" si="441"/>
        <v>851</v>
      </c>
      <c r="AT854" s="71">
        <f t="shared" si="437"/>
        <v>2.9528600957615427E-3</v>
      </c>
      <c r="AU854" s="72">
        <f t="shared" si="438"/>
        <v>6.8214933659622723E-3</v>
      </c>
      <c r="AV854" s="73">
        <f t="shared" si="440"/>
        <v>1.0068214933659623</v>
      </c>
      <c r="AW854" s="74">
        <f>PRODUCT(AV$4:AV854)</f>
        <v>325.50595102900655</v>
      </c>
    </row>
    <row r="855" spans="44:49">
      <c r="AR855" s="69">
        <f t="shared" si="439"/>
        <v>71</v>
      </c>
      <c r="AS855" s="70">
        <f t="shared" si="441"/>
        <v>852</v>
      </c>
      <c r="AT855" s="71">
        <f t="shared" ref="AT855:AT918" si="442">(1-AU855)*AT854</f>
        <v>2.9327171802076904E-3</v>
      </c>
      <c r="AU855" s="72">
        <f t="shared" si="438"/>
        <v>6.8214933659622723E-3</v>
      </c>
      <c r="AV855" s="73">
        <f t="shared" si="440"/>
        <v>1.0068214933659623</v>
      </c>
      <c r="AW855" s="74">
        <f>PRODUCT(AV$4:AV855)</f>
        <v>327.72638771453217</v>
      </c>
    </row>
    <row r="856" spans="44:49">
      <c r="AR856" s="69">
        <f t="shared" si="439"/>
        <v>72</v>
      </c>
      <c r="AS856" s="70">
        <f t="shared" si="441"/>
        <v>853</v>
      </c>
      <c r="AT856" s="71">
        <f t="shared" si="442"/>
        <v>2.9127116694186599E-3</v>
      </c>
      <c r="AU856" s="72">
        <f t="shared" si="438"/>
        <v>6.8214933659622723E-3</v>
      </c>
      <c r="AV856" s="73">
        <f t="shared" si="440"/>
        <v>1.0068214933659623</v>
      </c>
      <c r="AW856" s="74">
        <f>PRODUCT(AV$4:AV856)</f>
        <v>329.96197109417761</v>
      </c>
    </row>
    <row r="857" spans="44:49">
      <c r="AR857" s="69">
        <f t="shared" si="439"/>
        <v>72</v>
      </c>
      <c r="AS857" s="70">
        <f t="shared" si="441"/>
        <v>854</v>
      </c>
      <c r="AT857" s="71">
        <f t="shared" si="442"/>
        <v>2.8928426260887595E-3</v>
      </c>
      <c r="AU857" s="72">
        <f t="shared" si="438"/>
        <v>6.8214933659622723E-3</v>
      </c>
      <c r="AV857" s="73">
        <f t="shared" si="440"/>
        <v>1.0068214933659623</v>
      </c>
      <c r="AW857" s="74">
        <f>PRODUCT(AV$4:AV857)</f>
        <v>332.21280449101636</v>
      </c>
    </row>
    <row r="858" spans="44:49">
      <c r="AR858" s="69">
        <f t="shared" si="439"/>
        <v>72</v>
      </c>
      <c r="AS858" s="70">
        <f t="shared" si="441"/>
        <v>855</v>
      </c>
      <c r="AT858" s="71">
        <f t="shared" si="442"/>
        <v>2.8731091193061223E-3</v>
      </c>
      <c r="AU858" s="72">
        <f t="shared" si="438"/>
        <v>6.8214933659622723E-3</v>
      </c>
      <c r="AV858" s="73">
        <f t="shared" si="440"/>
        <v>1.0068214933659623</v>
      </c>
      <c r="AW858" s="74">
        <f>PRODUCT(AV$4:AV858)</f>
        <v>334.47899193293955</v>
      </c>
    </row>
    <row r="859" spans="44:49">
      <c r="AR859" s="69">
        <f t="shared" si="439"/>
        <v>72</v>
      </c>
      <c r="AS859" s="70">
        <f t="shared" si="441"/>
        <v>856</v>
      </c>
      <c r="AT859" s="71">
        <f t="shared" si="442"/>
        <v>2.8535102245090898E-3</v>
      </c>
      <c r="AU859" s="72">
        <f t="shared" si="438"/>
        <v>6.8214933659622723E-3</v>
      </c>
      <c r="AV859" s="73">
        <f t="shared" si="440"/>
        <v>1.0068214933659623</v>
      </c>
      <c r="AW859" s="74">
        <f>PRODUCT(AV$4:AV859)</f>
        <v>336.76063815746386</v>
      </c>
    </row>
    <row r="860" spans="44:49">
      <c r="AR860" s="69">
        <f t="shared" si="439"/>
        <v>72</v>
      </c>
      <c r="AS860" s="70">
        <f t="shared" si="441"/>
        <v>857</v>
      </c>
      <c r="AT860" s="71">
        <f t="shared" si="442"/>
        <v>2.8340450234428955E-3</v>
      </c>
      <c r="AU860" s="72">
        <f t="shared" si="438"/>
        <v>6.8214933659622723E-3</v>
      </c>
      <c r="AV860" s="73">
        <f t="shared" si="440"/>
        <v>1.0068214933659623</v>
      </c>
      <c r="AW860" s="74">
        <f>PRODUCT(AV$4:AV860)</f>
        <v>339.05784861657224</v>
      </c>
    </row>
    <row r="861" spans="44:49">
      <c r="AR861" s="69">
        <f t="shared" si="439"/>
        <v>72</v>
      </c>
      <c r="AS861" s="70">
        <f t="shared" si="441"/>
        <v>858</v>
      </c>
      <c r="AT861" s="71">
        <f t="shared" si="442"/>
        <v>2.8147126041166413E-3</v>
      </c>
      <c r="AU861" s="72">
        <f t="shared" si="438"/>
        <v>6.8214933659622723E-3</v>
      </c>
      <c r="AV861" s="73">
        <f t="shared" si="440"/>
        <v>1.0068214933659623</v>
      </c>
      <c r="AW861" s="74">
        <f>PRODUCT(AV$4:AV861)</f>
        <v>341.37072948158766</v>
      </c>
    </row>
    <row r="862" spans="44:49">
      <c r="AR862" s="69">
        <f t="shared" si="439"/>
        <v>72</v>
      </c>
      <c r="AS862" s="70">
        <f t="shared" si="441"/>
        <v>859</v>
      </c>
      <c r="AT862" s="71">
        <f t="shared" si="442"/>
        <v>2.7955120607605693E-3</v>
      </c>
      <c r="AU862" s="72">
        <f t="shared" si="438"/>
        <v>6.8214933659622723E-3</v>
      </c>
      <c r="AV862" s="73">
        <f t="shared" si="440"/>
        <v>1.0068214933659623</v>
      </c>
      <c r="AW862" s="74">
        <f>PRODUCT(AV$4:AV862)</f>
        <v>343.69938764808001</v>
      </c>
    </row>
    <row r="863" spans="44:49">
      <c r="AR863" s="69">
        <f t="shared" si="439"/>
        <v>72</v>
      </c>
      <c r="AS863" s="70">
        <f t="shared" si="441"/>
        <v>860</v>
      </c>
      <c r="AT863" s="71">
        <f t="shared" si="442"/>
        <v>2.7764424937836234E-3</v>
      </c>
      <c r="AU863" s="72">
        <f t="shared" si="438"/>
        <v>6.8214933659622723E-3</v>
      </c>
      <c r="AV863" s="73">
        <f t="shared" si="440"/>
        <v>1.0068214933659623</v>
      </c>
      <c r="AW863" s="74">
        <f>PRODUCT(AV$4:AV863)</f>
        <v>346.04393074080667</v>
      </c>
    </row>
    <row r="864" spans="44:49">
      <c r="AR864" s="69">
        <f t="shared" si="439"/>
        <v>72</v>
      </c>
      <c r="AS864" s="70">
        <f t="shared" si="441"/>
        <v>861</v>
      </c>
      <c r="AT864" s="71">
        <f t="shared" si="442"/>
        <v>2.7575030097313027E-3</v>
      </c>
      <c r="AU864" s="72">
        <f t="shared" si="438"/>
        <v>6.8214933659622723E-3</v>
      </c>
      <c r="AV864" s="73">
        <f t="shared" si="440"/>
        <v>1.0068214933659623</v>
      </c>
      <c r="AW864" s="74">
        <f>PRODUCT(AV$4:AV864)</f>
        <v>348.40446711868657</v>
      </c>
    </row>
    <row r="865" spans="44:49">
      <c r="AR865" s="69">
        <f t="shared" si="439"/>
        <v>72</v>
      </c>
      <c r="AS865" s="70">
        <f t="shared" si="441"/>
        <v>862</v>
      </c>
      <c r="AT865" s="71">
        <f t="shared" si="442"/>
        <v>2.7386927212437995E-3</v>
      </c>
      <c r="AU865" s="72">
        <f t="shared" si="438"/>
        <v>6.8214933659622723E-3</v>
      </c>
      <c r="AV865" s="73">
        <f t="shared" si="440"/>
        <v>1.0068214933659623</v>
      </c>
      <c r="AW865" s="74">
        <f>PRODUCT(AV$4:AV865)</f>
        <v>350.78110587980831</v>
      </c>
    </row>
    <row r="866" spans="44:49">
      <c r="AR866" s="69">
        <f t="shared" si="439"/>
        <v>72</v>
      </c>
      <c r="AS866" s="70">
        <f t="shared" si="441"/>
        <v>863</v>
      </c>
      <c r="AT866" s="71">
        <f t="shared" si="442"/>
        <v>2.7200107470144257E-3</v>
      </c>
      <c r="AU866" s="72">
        <f t="shared" si="438"/>
        <v>6.8214933659622723E-3</v>
      </c>
      <c r="AV866" s="73">
        <f t="shared" si="440"/>
        <v>1.0068214933659623</v>
      </c>
      <c r="AW866" s="74">
        <f>PRODUCT(AV$4:AV866)</f>
        <v>353.17395686647234</v>
      </c>
    </row>
    <row r="867" spans="44:49">
      <c r="AR867" s="69">
        <f t="shared" si="439"/>
        <v>72</v>
      </c>
      <c r="AS867" s="70">
        <f t="shared" si="441"/>
        <v>864</v>
      </c>
      <c r="AT867" s="71">
        <f t="shared" si="442"/>
        <v>2.7014562117483208E-3</v>
      </c>
      <c r="AU867" s="72">
        <f t="shared" si="438"/>
        <v>6.8214933659622723E-3</v>
      </c>
      <c r="AV867" s="73">
        <f t="shared" si="440"/>
        <v>1.0068214933659623</v>
      </c>
      <c r="AW867" s="74">
        <f>PRODUCT(AV$4:AV867)</f>
        <v>355.58313067026762</v>
      </c>
    </row>
    <row r="868" spans="44:49">
      <c r="AR868" s="69">
        <f t="shared" si="439"/>
        <v>73</v>
      </c>
      <c r="AS868" s="70">
        <f t="shared" si="441"/>
        <v>865</v>
      </c>
      <c r="AT868" s="71">
        <f t="shared" si="442"/>
        <v>2.6830282461214419E-3</v>
      </c>
      <c r="AU868" s="72">
        <f t="shared" si="438"/>
        <v>6.8214933659622723E-3</v>
      </c>
      <c r="AV868" s="73">
        <f t="shared" si="440"/>
        <v>1.0068214933659623</v>
      </c>
      <c r="AW868" s="74">
        <f>PRODUCT(AV$4:AV868)</f>
        <v>358.00873863718294</v>
      </c>
    </row>
    <row r="869" spans="44:49">
      <c r="AR869" s="69">
        <f t="shared" si="439"/>
        <v>73</v>
      </c>
      <c r="AS869" s="70">
        <f t="shared" si="441"/>
        <v>866</v>
      </c>
      <c r="AT869" s="71">
        <f t="shared" si="442"/>
        <v>2.664725986739835E-3</v>
      </c>
      <c r="AU869" s="72">
        <f t="shared" si="438"/>
        <v>6.8214933659622723E-3</v>
      </c>
      <c r="AV869" s="73">
        <f t="shared" si="440"/>
        <v>1.0068214933659623</v>
      </c>
      <c r="AW869" s="74">
        <f>PRODUCT(AV$4:AV869)</f>
        <v>360.450892872753</v>
      </c>
    </row>
    <row r="870" spans="44:49">
      <c r="AR870" s="69">
        <f t="shared" si="439"/>
        <v>73</v>
      </c>
      <c r="AS870" s="70">
        <f t="shared" si="441"/>
        <v>867</v>
      </c>
      <c r="AT870" s="71">
        <f t="shared" si="442"/>
        <v>2.6465485760991821E-3</v>
      </c>
      <c r="AU870" s="72">
        <f t="shared" si="438"/>
        <v>6.8214933659622723E-3</v>
      </c>
      <c r="AV870" s="73">
        <f t="shared" si="440"/>
        <v>1.0068214933659623</v>
      </c>
      <c r="AW870" s="74">
        <f>PRODUCT(AV$4:AV870)</f>
        <v>362.90970624723968</v>
      </c>
    </row>
    <row r="871" spans="44:49">
      <c r="AR871" s="69">
        <f t="shared" si="439"/>
        <v>73</v>
      </c>
      <c r="AS871" s="70">
        <f t="shared" si="441"/>
        <v>868</v>
      </c>
      <c r="AT871" s="71">
        <f t="shared" si="442"/>
        <v>2.6284951625446247E-3</v>
      </c>
      <c r="AU871" s="72">
        <f t="shared" si="438"/>
        <v>6.8214933659622723E-3</v>
      </c>
      <c r="AV871" s="73">
        <f t="shared" si="440"/>
        <v>1.0068214933659623</v>
      </c>
      <c r="AW871" s="74">
        <f>PRODUCT(AV$4:AV871)</f>
        <v>365.38529240084853</v>
      </c>
    </row>
    <row r="872" spans="44:49">
      <c r="AR872" s="69">
        <f t="shared" si="439"/>
        <v>73</v>
      </c>
      <c r="AS872" s="70">
        <f t="shared" si="441"/>
        <v>869</v>
      </c>
      <c r="AT872" s="71">
        <f t="shared" si="442"/>
        <v>2.6105649002308626E-3</v>
      </c>
      <c r="AU872" s="72">
        <f t="shared" si="438"/>
        <v>6.8214933659622723E-3</v>
      </c>
      <c r="AV872" s="73">
        <f t="shared" si="440"/>
        <v>1.0068214933659623</v>
      </c>
      <c r="AW872" s="74">
        <f>PRODUCT(AV$4:AV872)</f>
        <v>367.87776574898112</v>
      </c>
    </row>
    <row r="873" spans="44:49">
      <c r="AR873" s="69">
        <f t="shared" si="439"/>
        <v>73</v>
      </c>
      <c r="AS873" s="70">
        <f t="shared" si="441"/>
        <v>870</v>
      </c>
      <c r="AT873" s="71">
        <f t="shared" si="442"/>
        <v>2.5927569490825238E-3</v>
      </c>
      <c r="AU873" s="72">
        <f t="shared" si="438"/>
        <v>6.8214933659622723E-3</v>
      </c>
      <c r="AV873" s="73">
        <f t="shared" si="440"/>
        <v>1.0068214933659623</v>
      </c>
      <c r="AW873" s="74">
        <f>PRODUCT(AV$4:AV873)</f>
        <v>370.38724148752283</v>
      </c>
    </row>
    <row r="874" spans="44:49">
      <c r="AR874" s="69">
        <f t="shared" si="439"/>
        <v>73</v>
      </c>
      <c r="AS874" s="70">
        <f t="shared" si="441"/>
        <v>871</v>
      </c>
      <c r="AT874" s="71">
        <f t="shared" si="442"/>
        <v>2.575070474754805E-3</v>
      </c>
      <c r="AU874" s="72">
        <f t="shared" si="438"/>
        <v>6.8214933659622723E-3</v>
      </c>
      <c r="AV874" s="73">
        <f t="shared" si="440"/>
        <v>1.0068214933659623</v>
      </c>
      <c r="AW874" s="74">
        <f>PRODUCT(AV$4:AV874)</f>
        <v>372.91383559816705</v>
      </c>
    </row>
    <row r="875" spans="44:49">
      <c r="AR875" s="69">
        <f t="shared" si="439"/>
        <v>73</v>
      </c>
      <c r="AS875" s="70">
        <f t="shared" si="441"/>
        <v>872</v>
      </c>
      <c r="AT875" s="71">
        <f t="shared" si="442"/>
        <v>2.5575046485943795E-3</v>
      </c>
      <c r="AU875" s="72">
        <f t="shared" si="438"/>
        <v>6.8214933659622723E-3</v>
      </c>
      <c r="AV875" s="73">
        <f t="shared" si="440"/>
        <v>1.0068214933659623</v>
      </c>
      <c r="AW875" s="74">
        <f>PRODUCT(AV$4:AV875)</f>
        <v>375.4576648537755</v>
      </c>
    </row>
    <row r="876" spans="44:49">
      <c r="AR876" s="69">
        <f t="shared" si="439"/>
        <v>73</v>
      </c>
      <c r="AS876" s="70">
        <f t="shared" si="441"/>
        <v>873</v>
      </c>
      <c r="AT876" s="71">
        <f t="shared" si="442"/>
        <v>2.5400586476005751E-3</v>
      </c>
      <c r="AU876" s="72">
        <f t="shared" si="438"/>
        <v>6.8214933659622723E-3</v>
      </c>
      <c r="AV876" s="73">
        <f t="shared" si="440"/>
        <v>1.0068214933659623</v>
      </c>
      <c r="AW876" s="74">
        <f>PRODUCT(AV$4:AV876)</f>
        <v>378.01884682377522</v>
      </c>
    </row>
    <row r="877" spans="44:49">
      <c r="AR877" s="69">
        <f t="shared" si="439"/>
        <v>73</v>
      </c>
      <c r="AS877" s="70">
        <f t="shared" si="441"/>
        <v>874</v>
      </c>
      <c r="AT877" s="71">
        <f t="shared" si="442"/>
        <v>2.5227316543868128E-3</v>
      </c>
      <c r="AU877" s="72">
        <f t="shared" si="438"/>
        <v>6.8214933659622723E-3</v>
      </c>
      <c r="AV877" s="73">
        <f t="shared" si="440"/>
        <v>1.0068214933659623</v>
      </c>
      <c r="AW877" s="74">
        <f>PRODUCT(AV$4:AV877)</f>
        <v>380.59749987959231</v>
      </c>
    </row>
    <row r="878" spans="44:49">
      <c r="AR878" s="69">
        <f t="shared" si="439"/>
        <v>73</v>
      </c>
      <c r="AS878" s="70">
        <f t="shared" si="441"/>
        <v>875</v>
      </c>
      <c r="AT878" s="71">
        <f t="shared" si="442"/>
        <v>2.5055228571423103E-3</v>
      </c>
      <c r="AU878" s="72">
        <f t="shared" si="438"/>
        <v>6.8214933659622723E-3</v>
      </c>
      <c r="AV878" s="73">
        <f t="shared" si="440"/>
        <v>1.0068214933659623</v>
      </c>
      <c r="AW878" s="74">
        <f>PRODUCT(AV$4:AV878)</f>
        <v>383.19374320012275</v>
      </c>
    </row>
    <row r="879" spans="44:49">
      <c r="AR879" s="69">
        <f t="shared" si="439"/>
        <v>73</v>
      </c>
      <c r="AS879" s="70">
        <f t="shared" si="441"/>
        <v>876</v>
      </c>
      <c r="AT879" s="71">
        <f t="shared" si="442"/>
        <v>2.488431449594047E-3</v>
      </c>
      <c r="AU879" s="72">
        <f t="shared" si="438"/>
        <v>6.8214933659622723E-3</v>
      </c>
      <c r="AV879" s="73">
        <f t="shared" si="440"/>
        <v>1.0068214933659623</v>
      </c>
      <c r="AW879" s="74">
        <f>PRODUCT(AV$4:AV879)</f>
        <v>385.80769677724066</v>
      </c>
    </row>
    <row r="880" spans="44:49">
      <c r="AR880" s="69">
        <f t="shared" si="439"/>
        <v>74</v>
      </c>
      <c r="AS880" s="70">
        <f t="shared" si="441"/>
        <v>877</v>
      </c>
      <c r="AT880" s="71">
        <f t="shared" si="442"/>
        <v>2.4714566309689892E-3</v>
      </c>
      <c r="AU880" s="72">
        <f t="shared" si="438"/>
        <v>6.8214933659622723E-3</v>
      </c>
      <c r="AV880" s="73">
        <f t="shared" si="440"/>
        <v>1.0068214933659623</v>
      </c>
      <c r="AW880" s="74">
        <f>PRODUCT(AV$4:AV880)</f>
        <v>388.43948142134377</v>
      </c>
    </row>
    <row r="881" spans="44:49">
      <c r="AR881" s="69">
        <f t="shared" si="439"/>
        <v>74</v>
      </c>
      <c r="AS881" s="70">
        <f t="shared" si="441"/>
        <v>878</v>
      </c>
      <c r="AT881" s="71">
        <f t="shared" si="442"/>
        <v>2.4545976059565707E-3</v>
      </c>
      <c r="AU881" s="72">
        <f t="shared" si="438"/>
        <v>6.8214933659622723E-3</v>
      </c>
      <c r="AV881" s="73">
        <f t="shared" si="440"/>
        <v>1.0068214933659623</v>
      </c>
      <c r="AW881" s="74">
        <f>PRODUCT(AV$4:AV881)</f>
        <v>391.08921876693728</v>
      </c>
    </row>
    <row r="882" spans="44:49">
      <c r="AR882" s="69">
        <f t="shared" si="439"/>
        <v>74</v>
      </c>
      <c r="AS882" s="70">
        <f t="shared" si="441"/>
        <v>879</v>
      </c>
      <c r="AT882" s="71">
        <f t="shared" si="442"/>
        <v>2.4378535846714313E-3</v>
      </c>
      <c r="AU882" s="72">
        <f t="shared" si="438"/>
        <v>6.8214933659622723E-3</v>
      </c>
      <c r="AV882" s="73">
        <f t="shared" si="440"/>
        <v>1.0068214933659623</v>
      </c>
      <c r="AW882" s="74">
        <f>PRODUCT(AV$4:AV882)</f>
        <v>393.75703127825528</v>
      </c>
    </row>
    <row r="883" spans="44:49">
      <c r="AR883" s="69">
        <f t="shared" si="439"/>
        <v>74</v>
      </c>
      <c r="AS883" s="70">
        <f t="shared" si="441"/>
        <v>880</v>
      </c>
      <c r="AT883" s="71">
        <f t="shared" si="442"/>
        <v>2.421223782616408E-3</v>
      </c>
      <c r="AU883" s="72">
        <f t="shared" si="438"/>
        <v>6.8214933659622723E-3</v>
      </c>
      <c r="AV883" s="73">
        <f t="shared" si="440"/>
        <v>1.0068214933659623</v>
      </c>
      <c r="AW883" s="74">
        <f>PRODUCT(AV$4:AV883)</f>
        <v>396.4430422549209</v>
      </c>
    </row>
    <row r="884" spans="44:49">
      <c r="AR884" s="69">
        <f t="shared" si="439"/>
        <v>74</v>
      </c>
      <c r="AS884" s="70">
        <f t="shared" si="441"/>
        <v>881</v>
      </c>
      <c r="AT884" s="71">
        <f t="shared" si="442"/>
        <v>2.4047074206457802E-3</v>
      </c>
      <c r="AU884" s="72">
        <f t="shared" si="438"/>
        <v>6.8214933659622723E-3</v>
      </c>
      <c r="AV884" s="73">
        <f t="shared" si="440"/>
        <v>1.0068214933659623</v>
      </c>
      <c r="AW884" s="74">
        <f>PRODUCT(AV$4:AV884)</f>
        <v>399.14737583764474</v>
      </c>
    </row>
    <row r="885" spans="44:49">
      <c r="AR885" s="69">
        <f t="shared" si="439"/>
        <v>74</v>
      </c>
      <c r="AS885" s="70">
        <f t="shared" si="441"/>
        <v>882</v>
      </c>
      <c r="AT885" s="71">
        <f t="shared" si="442"/>
        <v>2.3883037249287646E-3</v>
      </c>
      <c r="AU885" s="72">
        <f t="shared" si="438"/>
        <v>6.8214933659622723E-3</v>
      </c>
      <c r="AV885" s="73">
        <f t="shared" si="440"/>
        <v>1.0068214933659623</v>
      </c>
      <c r="AW885" s="74">
        <f>PRODUCT(AV$4:AV885)</f>
        <v>401.87015701396251</v>
      </c>
    </row>
    <row r="886" spans="44:49">
      <c r="AR886" s="69">
        <f t="shared" si="439"/>
        <v>74</v>
      </c>
      <c r="AS886" s="70">
        <f t="shared" si="441"/>
        <v>883</v>
      </c>
      <c r="AT886" s="71">
        <f t="shared" si="442"/>
        <v>2.3720119269132599E-3</v>
      </c>
      <c r="AU886" s="72">
        <f t="shared" si="438"/>
        <v>6.8214933659622723E-3</v>
      </c>
      <c r="AV886" s="73">
        <f t="shared" si="440"/>
        <v>1.0068214933659623</v>
      </c>
      <c r="AW886" s="74">
        <f>PRODUCT(AV$4:AV886)</f>
        <v>404.61151162401148</v>
      </c>
    </row>
    <row r="887" spans="44:49">
      <c r="AR887" s="69">
        <f t="shared" si="439"/>
        <v>74</v>
      </c>
      <c r="AS887" s="70">
        <f t="shared" si="441"/>
        <v>884</v>
      </c>
      <c r="AT887" s="71">
        <f t="shared" si="442"/>
        <v>2.3558312632898379E-3</v>
      </c>
      <c r="AU887" s="72">
        <f t="shared" si="438"/>
        <v>6.8214933659622723E-3</v>
      </c>
      <c r="AV887" s="73">
        <f t="shared" si="440"/>
        <v>1.0068214933659623</v>
      </c>
      <c r="AW887" s="74">
        <f>PRODUCT(AV$4:AV887)</f>
        <v>407.37156636634666</v>
      </c>
    </row>
    <row r="888" spans="44:49">
      <c r="AR888" s="69">
        <f t="shared" si="439"/>
        <v>74</v>
      </c>
      <c r="AS888" s="70">
        <f t="shared" si="441"/>
        <v>885</v>
      </c>
      <c r="AT888" s="71">
        <f t="shared" si="442"/>
        <v>2.3397609759559799E-3</v>
      </c>
      <c r="AU888" s="72">
        <f t="shared" si="438"/>
        <v>6.8214933659622723E-3</v>
      </c>
      <c r="AV888" s="73">
        <f t="shared" si="440"/>
        <v>1.0068214933659623</v>
      </c>
      <c r="AW888" s="74">
        <f>PRODUCT(AV$4:AV888)</f>
        <v>410.15044880379634</v>
      </c>
    </row>
    <row r="889" spans="44:49">
      <c r="AR889" s="69">
        <f t="shared" si="439"/>
        <v>74</v>
      </c>
      <c r="AS889" s="70">
        <f t="shared" si="441"/>
        <v>886</v>
      </c>
      <c r="AT889" s="71">
        <f t="shared" si="442"/>
        <v>2.3238003119805586E-3</v>
      </c>
      <c r="AU889" s="72">
        <f t="shared" si="438"/>
        <v>6.8214933659622723E-3</v>
      </c>
      <c r="AV889" s="73">
        <f t="shared" si="440"/>
        <v>1.0068214933659623</v>
      </c>
      <c r="AW889" s="74">
        <f>PRODUCT(AV$4:AV889)</f>
        <v>412.9482873693579</v>
      </c>
    </row>
    <row r="890" spans="44:49">
      <c r="AR890" s="69">
        <f t="shared" si="439"/>
        <v>74</v>
      </c>
      <c r="AS890" s="70">
        <f t="shared" si="441"/>
        <v>887</v>
      </c>
      <c r="AT890" s="71">
        <f t="shared" si="442"/>
        <v>2.307948523568562E-3</v>
      </c>
      <c r="AU890" s="72">
        <f t="shared" si="438"/>
        <v>6.8214933659622723E-3</v>
      </c>
      <c r="AV890" s="73">
        <f t="shared" si="440"/>
        <v>1.0068214933659623</v>
      </c>
      <c r="AW890" s="74">
        <f>PRODUCT(AV$4:AV890)</f>
        <v>415.76521137213348</v>
      </c>
    </row>
    <row r="891" spans="44:49">
      <c r="AR891" s="69">
        <f t="shared" si="439"/>
        <v>74</v>
      </c>
      <c r="AS891" s="70">
        <f t="shared" si="441"/>
        <v>888</v>
      </c>
      <c r="AT891" s="71">
        <f t="shared" si="442"/>
        <v>2.2922048680260568E-3</v>
      </c>
      <c r="AU891" s="72">
        <f t="shared" si="438"/>
        <v>6.8214933659622723E-3</v>
      </c>
      <c r="AV891" s="73">
        <f t="shared" si="440"/>
        <v>1.0068214933659623</v>
      </c>
      <c r="AW891" s="74">
        <f>PRODUCT(AV$4:AV891)</f>
        <v>418.60135100330638</v>
      </c>
    </row>
    <row r="892" spans="44:49">
      <c r="AR892" s="69">
        <f t="shared" si="439"/>
        <v>75</v>
      </c>
      <c r="AS892" s="70">
        <f t="shared" si="441"/>
        <v>889</v>
      </c>
      <c r="AT892" s="71">
        <f t="shared" si="442"/>
        <v>2.2765686077253905E-3</v>
      </c>
      <c r="AU892" s="72">
        <f t="shared" si="438"/>
        <v>6.8214933659622723E-3</v>
      </c>
      <c r="AV892" s="73">
        <f t="shared" si="440"/>
        <v>1.0068214933659623</v>
      </c>
      <c r="AW892" s="74">
        <f>PRODUCT(AV$4:AV892)</f>
        <v>421.45683734215828</v>
      </c>
    </row>
    <row r="893" spans="44:49">
      <c r="AR893" s="69">
        <f t="shared" si="439"/>
        <v>75</v>
      </c>
      <c r="AS893" s="70">
        <f t="shared" si="441"/>
        <v>890</v>
      </c>
      <c r="AT893" s="71">
        <f t="shared" si="442"/>
        <v>2.2610390100706338E-3</v>
      </c>
      <c r="AU893" s="72">
        <f t="shared" si="438"/>
        <v>6.8214933659622723E-3</v>
      </c>
      <c r="AV893" s="73">
        <f t="shared" si="440"/>
        <v>1.0068214933659623</v>
      </c>
      <c r="AW893" s="74">
        <f>PRODUCT(AV$4:AV893)</f>
        <v>424.33180236212723</v>
      </c>
    </row>
    <row r="894" spans="44:49">
      <c r="AR894" s="69">
        <f t="shared" si="439"/>
        <v>75</v>
      </c>
      <c r="AS894" s="70">
        <f t="shared" si="441"/>
        <v>891</v>
      </c>
      <c r="AT894" s="71">
        <f t="shared" si="442"/>
        <v>2.2456153474632551E-3</v>
      </c>
      <c r="AU894" s="72">
        <f t="shared" si="438"/>
        <v>6.8214933659622723E-3</v>
      </c>
      <c r="AV894" s="73">
        <f t="shared" si="440"/>
        <v>1.0068214933659623</v>
      </c>
      <c r="AW894" s="74">
        <f>PRODUCT(AV$4:AV894)</f>
        <v>427.22637893690728</v>
      </c>
    </row>
    <row r="895" spans="44:49">
      <c r="AR895" s="69">
        <f t="shared" si="439"/>
        <v>75</v>
      </c>
      <c r="AS895" s="70">
        <f t="shared" si="441"/>
        <v>892</v>
      </c>
      <c r="AT895" s="71">
        <f t="shared" si="442"/>
        <v>2.2302968972680312E-3</v>
      </c>
      <c r="AU895" s="72">
        <f t="shared" si="438"/>
        <v>6.8214933659622723E-3</v>
      </c>
      <c r="AV895" s="73">
        <f t="shared" si="440"/>
        <v>1.0068214933659623</v>
      </c>
      <c r="AW895" s="74">
        <f>PRODUCT(AV$4:AV895)</f>
        <v>430.14070084658948</v>
      </c>
    </row>
    <row r="896" spans="44:49">
      <c r="AR896" s="69">
        <f t="shared" si="439"/>
        <v>75</v>
      </c>
      <c r="AS896" s="70">
        <f t="shared" si="441"/>
        <v>893</v>
      </c>
      <c r="AT896" s="71">
        <f t="shared" si="442"/>
        <v>2.2150829417791913E-3</v>
      </c>
      <c r="AU896" s="72">
        <f t="shared" si="438"/>
        <v>6.8214933659622723E-3</v>
      </c>
      <c r="AV896" s="73">
        <f t="shared" si="440"/>
        <v>1.0068214933659623</v>
      </c>
      <c r="AW896" s="74">
        <f>PRODUCT(AV$4:AV896)</f>
        <v>433.07490278384483</v>
      </c>
    </row>
    <row r="897" spans="44:49">
      <c r="AR897" s="69">
        <f t="shared" si="439"/>
        <v>75</v>
      </c>
      <c r="AS897" s="70">
        <f t="shared" si="441"/>
        <v>894</v>
      </c>
      <c r="AT897" s="71">
        <f t="shared" si="442"/>
        <v>2.1999727681867882E-3</v>
      </c>
      <c r="AU897" s="72">
        <f t="shared" si="438"/>
        <v>6.8214933659622723E-3</v>
      </c>
      <c r="AV897" s="73">
        <f t="shared" si="440"/>
        <v>1.0068214933659623</v>
      </c>
      <c r="AW897" s="74">
        <f>PRODUCT(AV$4:AV897)</f>
        <v>436.02912036014959</v>
      </c>
    </row>
    <row r="898" spans="44:49">
      <c r="AR898" s="69">
        <f t="shared" si="439"/>
        <v>75</v>
      </c>
      <c r="AS898" s="70">
        <f t="shared" si="441"/>
        <v>895</v>
      </c>
      <c r="AT898" s="71">
        <f t="shared" si="442"/>
        <v>2.1849656685433041E-3</v>
      </c>
      <c r="AU898" s="72">
        <f t="shared" si="438"/>
        <v>6.8214933659622723E-3</v>
      </c>
      <c r="AV898" s="73">
        <f t="shared" si="440"/>
        <v>1.0068214933659623</v>
      </c>
      <c r="AW898" s="74">
        <f>PRODUCT(AV$4:AV898)</f>
        <v>439.0034901120527</v>
      </c>
    </row>
    <row r="899" spans="44:49">
      <c r="AR899" s="69">
        <f t="shared" si="439"/>
        <v>75</v>
      </c>
      <c r="AS899" s="70">
        <f t="shared" si="441"/>
        <v>896</v>
      </c>
      <c r="AT899" s="71">
        <f t="shared" si="442"/>
        <v>2.1700609397304806E-3</v>
      </c>
      <c r="AU899" s="72">
        <f t="shared" si="438"/>
        <v>6.8214933659622723E-3</v>
      </c>
      <c r="AV899" s="73">
        <f t="shared" si="440"/>
        <v>1.0068214933659623</v>
      </c>
      <c r="AW899" s="74">
        <f>PRODUCT(AV$4:AV899)</f>
        <v>441.99814950748635</v>
      </c>
    </row>
    <row r="900" spans="44:49">
      <c r="AR900" s="69">
        <f t="shared" si="439"/>
        <v>75</v>
      </c>
      <c r="AS900" s="70">
        <f t="shared" si="441"/>
        <v>897</v>
      </c>
      <c r="AT900" s="71">
        <f t="shared" si="442"/>
        <v>2.1552578834263753E-3</v>
      </c>
      <c r="AU900" s="72">
        <f t="shared" ref="AU900:AU963" si="443">((1+$AH$21)^(1/12))-1</f>
        <v>6.8214933659622723E-3</v>
      </c>
      <c r="AV900" s="73">
        <f t="shared" si="440"/>
        <v>1.0068214933659623</v>
      </c>
      <c r="AW900" s="74">
        <f>PRODUCT(AV$4:AV900)</f>
        <v>445.01323695211926</v>
      </c>
    </row>
    <row r="901" spans="44:49">
      <c r="AR901" s="69">
        <f t="shared" ref="AR901:AR964" si="444">ROUNDDOWN((AS901-1)/12,0)+1</f>
        <v>75</v>
      </c>
      <c r="AS901" s="70">
        <f t="shared" si="441"/>
        <v>898</v>
      </c>
      <c r="AT901" s="71">
        <f t="shared" si="442"/>
        <v>2.1405558060726445E-3</v>
      </c>
      <c r="AU901" s="72">
        <f t="shared" si="443"/>
        <v>6.8214933659622723E-3</v>
      </c>
      <c r="AV901" s="73">
        <f t="shared" ref="AV901:AV964" si="445">(1+AU901)</f>
        <v>1.0068214933659623</v>
      </c>
      <c r="AW901" s="74">
        <f>PRODUCT(AV$4:AV901)</f>
        <v>448.04889179575355</v>
      </c>
    </row>
    <row r="902" spans="44:49">
      <c r="AR902" s="69">
        <f t="shared" si="444"/>
        <v>75</v>
      </c>
      <c r="AS902" s="70">
        <f t="shared" ref="AS902:AS965" si="446">AS901+1</f>
        <v>899</v>
      </c>
      <c r="AT902" s="71">
        <f t="shared" si="442"/>
        <v>2.1259540188420479E-3</v>
      </c>
      <c r="AU902" s="72">
        <f t="shared" si="443"/>
        <v>6.8214933659622723E-3</v>
      </c>
      <c r="AV902" s="73">
        <f t="shared" si="445"/>
        <v>1.0068214933659623</v>
      </c>
      <c r="AW902" s="74">
        <f>PRODUCT(AV$4:AV902)</f>
        <v>451.10525433876501</v>
      </c>
    </row>
    <row r="903" spans="44:49">
      <c r="AR903" s="69">
        <f t="shared" si="444"/>
        <v>75</v>
      </c>
      <c r="AS903" s="70">
        <f t="shared" si="446"/>
        <v>900</v>
      </c>
      <c r="AT903" s="71">
        <f t="shared" si="442"/>
        <v>2.1114518376061761E-3</v>
      </c>
      <c r="AU903" s="72">
        <f t="shared" si="443"/>
        <v>6.8214933659622723E-3</v>
      </c>
      <c r="AV903" s="73">
        <f t="shared" si="445"/>
        <v>1.0068214933659623</v>
      </c>
      <c r="AW903" s="74">
        <f>PRODUCT(AV$4:AV903)</f>
        <v>454.18246583858763</v>
      </c>
    </row>
    <row r="904" spans="44:49">
      <c r="AR904" s="69">
        <f t="shared" si="444"/>
        <v>76</v>
      </c>
      <c r="AS904" s="70">
        <f t="shared" si="446"/>
        <v>901</v>
      </c>
      <c r="AT904" s="71">
        <f t="shared" si="442"/>
        <v>2.0970485829033968E-3</v>
      </c>
      <c r="AU904" s="72">
        <f t="shared" si="443"/>
        <v>6.8214933659622723E-3</v>
      </c>
      <c r="AV904" s="73">
        <f t="shared" si="445"/>
        <v>1.0068214933659623</v>
      </c>
      <c r="AW904" s="74">
        <f>PRODUCT(AV$4:AV904)</f>
        <v>457.28066851624192</v>
      </c>
    </row>
    <row r="905" spans="44:49">
      <c r="AR905" s="69">
        <f t="shared" si="444"/>
        <v>76</v>
      </c>
      <c r="AS905" s="70">
        <f t="shared" si="446"/>
        <v>902</v>
      </c>
      <c r="AT905" s="71">
        <f t="shared" si="442"/>
        <v>2.0827435799070206E-3</v>
      </c>
      <c r="AU905" s="72">
        <f t="shared" si="443"/>
        <v>6.8214933659622723E-3</v>
      </c>
      <c r="AV905" s="73">
        <f t="shared" si="445"/>
        <v>1.0068214933659623</v>
      </c>
      <c r="AW905" s="74">
        <f>PRODUCT(AV$4:AV905)</f>
        <v>460.40000556290823</v>
      </c>
    </row>
    <row r="906" spans="44:49">
      <c r="AR906" s="69">
        <f t="shared" si="444"/>
        <v>76</v>
      </c>
      <c r="AS906" s="70">
        <f t="shared" si="446"/>
        <v>903</v>
      </c>
      <c r="AT906" s="71">
        <f t="shared" si="442"/>
        <v>2.0685361583936842E-3</v>
      </c>
      <c r="AU906" s="72">
        <f t="shared" si="443"/>
        <v>6.8214933659622723E-3</v>
      </c>
      <c r="AV906" s="73">
        <f t="shared" si="445"/>
        <v>1.0068214933659623</v>
      </c>
      <c r="AW906" s="74">
        <f>PRODUCT(AV$4:AV906)</f>
        <v>463.54062114654459</v>
      </c>
    </row>
    <row r="907" spans="44:49">
      <c r="AR907" s="69">
        <f t="shared" si="444"/>
        <v>76</v>
      </c>
      <c r="AS907" s="70">
        <f t="shared" si="446"/>
        <v>904</v>
      </c>
      <c r="AT907" s="71">
        <f t="shared" si="442"/>
        <v>2.0544256527119486E-3</v>
      </c>
      <c r="AU907" s="72">
        <f t="shared" si="443"/>
        <v>6.8214933659622723E-3</v>
      </c>
      <c r="AV907" s="73">
        <f t="shared" si="445"/>
        <v>1.0068214933659623</v>
      </c>
      <c r="AW907" s="74">
        <f>PRODUCT(AV$4:AV907)</f>
        <v>466.70266041854978</v>
      </c>
    </row>
    <row r="908" spans="44:49">
      <c r="AR908" s="69">
        <f t="shared" si="444"/>
        <v>76</v>
      </c>
      <c r="AS908" s="70">
        <f t="shared" si="446"/>
        <v>905</v>
      </c>
      <c r="AT908" s="71">
        <f t="shared" si="442"/>
        <v>2.0404114017511113E-3</v>
      </c>
      <c r="AU908" s="72">
        <f t="shared" si="443"/>
        <v>6.8214933659622723E-3</v>
      </c>
      <c r="AV908" s="73">
        <f t="shared" si="445"/>
        <v>1.0068214933659623</v>
      </c>
      <c r="AW908" s="74">
        <f>PRODUCT(AV$4:AV908)</f>
        <v>469.88626952047184</v>
      </c>
    </row>
    <row r="909" spans="44:49">
      <c r="AR909" s="69">
        <f t="shared" si="444"/>
        <v>76</v>
      </c>
      <c r="AS909" s="70">
        <f t="shared" si="446"/>
        <v>906</v>
      </c>
      <c r="AT909" s="71">
        <f t="shared" si="442"/>
        <v>2.0264927489102324E-3</v>
      </c>
      <c r="AU909" s="72">
        <f t="shared" si="443"/>
        <v>6.8214933659622723E-3</v>
      </c>
      <c r="AV909" s="73">
        <f t="shared" si="445"/>
        <v>1.0068214933659623</v>
      </c>
      <c r="AW909" s="74">
        <f>PRODUCT(AV$4:AV909)</f>
        <v>473.09159559076249</v>
      </c>
    </row>
    <row r="910" spans="44:49">
      <c r="AR910" s="69">
        <f t="shared" si="444"/>
        <v>76</v>
      </c>
      <c r="AS910" s="70">
        <f t="shared" si="446"/>
        <v>907</v>
      </c>
      <c r="AT910" s="71">
        <f t="shared" si="442"/>
        <v>2.0126690420673708E-3</v>
      </c>
      <c r="AU910" s="72">
        <f t="shared" si="443"/>
        <v>6.8214933659622723E-3</v>
      </c>
      <c r="AV910" s="73">
        <f t="shared" si="445"/>
        <v>1.0068214933659623</v>
      </c>
      <c r="AW910" s="74">
        <f>PRODUCT(AV$4:AV910)</f>
        <v>476.31878677157738</v>
      </c>
    </row>
    <row r="911" spans="44:49">
      <c r="AR911" s="69">
        <f t="shared" si="444"/>
        <v>76</v>
      </c>
      <c r="AS911" s="70">
        <f t="shared" si="446"/>
        <v>908</v>
      </c>
      <c r="AT911" s="71">
        <f t="shared" si="442"/>
        <v>1.9989396335490304E-3</v>
      </c>
      <c r="AU911" s="72">
        <f t="shared" si="443"/>
        <v>6.8214933659622723E-3</v>
      </c>
      <c r="AV911" s="73">
        <f t="shared" si="445"/>
        <v>1.0068214933659623</v>
      </c>
      <c r="AW911" s="74">
        <f>PRODUCT(AV$4:AV911)</f>
        <v>479.56799221562289</v>
      </c>
    </row>
    <row r="912" spans="44:49">
      <c r="AR912" s="69">
        <f t="shared" si="444"/>
        <v>76</v>
      </c>
      <c r="AS912" s="70">
        <f t="shared" si="446"/>
        <v>909</v>
      </c>
      <c r="AT912" s="71">
        <f t="shared" si="442"/>
        <v>1.9853038800998167E-3</v>
      </c>
      <c r="AU912" s="72">
        <f t="shared" si="443"/>
        <v>6.8214933659622723E-3</v>
      </c>
      <c r="AV912" s="73">
        <f t="shared" si="445"/>
        <v>1.0068214933659623</v>
      </c>
      <c r="AW912" s="74">
        <f>PRODUCT(AV$4:AV912)</f>
        <v>482.8393620930496</v>
      </c>
    </row>
    <row r="913" spans="44:49">
      <c r="AR913" s="69">
        <f t="shared" si="444"/>
        <v>76</v>
      </c>
      <c r="AS913" s="70">
        <f t="shared" si="446"/>
        <v>910</v>
      </c>
      <c r="AT913" s="71">
        <f t="shared" si="442"/>
        <v>1.9717611428522967E-3</v>
      </c>
      <c r="AU913" s="72">
        <f t="shared" si="443"/>
        <v>6.8214933659622723E-3</v>
      </c>
      <c r="AV913" s="73">
        <f t="shared" si="445"/>
        <v>1.0068214933659623</v>
      </c>
      <c r="AW913" s="74">
        <f>PRODUCT(AV$4:AV913)</f>
        <v>486.13304759839281</v>
      </c>
    </row>
    <row r="914" spans="44:49">
      <c r="AR914" s="69">
        <f t="shared" si="444"/>
        <v>76</v>
      </c>
      <c r="AS914" s="70">
        <f t="shared" si="446"/>
        <v>911</v>
      </c>
      <c r="AT914" s="71">
        <f t="shared" si="442"/>
        <v>1.9583107872970674E-3</v>
      </c>
      <c r="AU914" s="72">
        <f t="shared" si="443"/>
        <v>6.8214933659622723E-3</v>
      </c>
      <c r="AV914" s="73">
        <f t="shared" si="445"/>
        <v>1.0068214933659623</v>
      </c>
      <c r="AW914" s="74">
        <f>PRODUCT(AV$4:AV914)</f>
        <v>489.44920095756027</v>
      </c>
    </row>
    <row r="915" spans="44:49">
      <c r="AR915" s="69">
        <f t="shared" si="444"/>
        <v>76</v>
      </c>
      <c r="AS915" s="70">
        <f t="shared" si="446"/>
        <v>912</v>
      </c>
      <c r="AT915" s="71">
        <f t="shared" si="442"/>
        <v>1.944952183253028E-3</v>
      </c>
      <c r="AU915" s="72">
        <f t="shared" si="443"/>
        <v>6.8214933659622723E-3</v>
      </c>
      <c r="AV915" s="73">
        <f t="shared" si="445"/>
        <v>1.0068214933659623</v>
      </c>
      <c r="AW915" s="74">
        <f>PRODUCT(AV$4:AV915)</f>
        <v>492.7879754348678</v>
      </c>
    </row>
    <row r="916" spans="44:49">
      <c r="AR916" s="69">
        <f t="shared" si="444"/>
        <v>77</v>
      </c>
      <c r="AS916" s="70">
        <f t="shared" si="446"/>
        <v>913</v>
      </c>
      <c r="AT916" s="71">
        <f t="shared" si="442"/>
        <v>1.9316847048378536E-3</v>
      </c>
      <c r="AU916" s="72">
        <f t="shared" si="443"/>
        <v>6.8214933659622723E-3</v>
      </c>
      <c r="AV916" s="73">
        <f t="shared" si="445"/>
        <v>1.0068214933659623</v>
      </c>
      <c r="AW916" s="74">
        <f>PRODUCT(AV$4:AV916)</f>
        <v>496.14952534012275</v>
      </c>
    </row>
    <row r="917" spans="44:49">
      <c r="AR917" s="69">
        <f t="shared" si="444"/>
        <v>77</v>
      </c>
      <c r="AS917" s="70">
        <f t="shared" si="446"/>
        <v>914</v>
      </c>
      <c r="AT917" s="71">
        <f t="shared" si="442"/>
        <v>1.9185077304386714E-3</v>
      </c>
      <c r="AU917" s="72">
        <f t="shared" si="443"/>
        <v>6.8214933659622723E-3</v>
      </c>
      <c r="AV917" s="73">
        <f t="shared" si="445"/>
        <v>1.0068214933659623</v>
      </c>
      <c r="AW917" s="74">
        <f>PRODUCT(AV$4:AV917)</f>
        <v>499.53400603575574</v>
      </c>
    </row>
    <row r="918" spans="44:49">
      <c r="AR918" s="69">
        <f t="shared" si="444"/>
        <v>77</v>
      </c>
      <c r="AS918" s="70">
        <f t="shared" si="446"/>
        <v>915</v>
      </c>
      <c r="AT918" s="71">
        <f t="shared" si="442"/>
        <v>1.9054206426829367E-3</v>
      </c>
      <c r="AU918" s="72">
        <f t="shared" si="443"/>
        <v>6.8214933659622723E-3</v>
      </c>
      <c r="AV918" s="73">
        <f t="shared" si="445"/>
        <v>1.0068214933659623</v>
      </c>
      <c r="AW918" s="74">
        <f>PRODUCT(AV$4:AV918)</f>
        <v>502.94157394400122</v>
      </c>
    </row>
    <row r="919" spans="44:49">
      <c r="AR919" s="69">
        <f t="shared" si="444"/>
        <v>77</v>
      </c>
      <c r="AS919" s="70">
        <f t="shared" si="446"/>
        <v>916</v>
      </c>
      <c r="AT919" s="71">
        <f t="shared" ref="AT919:AT982" si="447">(1-AU919)*AT918</f>
        <v>1.8924228284095076E-3</v>
      </c>
      <c r="AU919" s="72">
        <f t="shared" si="443"/>
        <v>6.8214933659622723E-3</v>
      </c>
      <c r="AV919" s="73">
        <f t="shared" si="445"/>
        <v>1.0068214933659623</v>
      </c>
      <c r="AW919" s="74">
        <f>PRODUCT(AV$4:AV919)</f>
        <v>506.37238655412688</v>
      </c>
    </row>
    <row r="920" spans="44:49">
      <c r="AR920" s="69">
        <f t="shared" si="444"/>
        <v>77</v>
      </c>
      <c r="AS920" s="70">
        <f t="shared" si="446"/>
        <v>917</v>
      </c>
      <c r="AT920" s="71">
        <f t="shared" si="447"/>
        <v>1.8795136786399166E-3</v>
      </c>
      <c r="AU920" s="72">
        <f t="shared" si="443"/>
        <v>6.8214933659622723E-3</v>
      </c>
      <c r="AV920" s="73">
        <f t="shared" si="445"/>
        <v>1.0068214933659623</v>
      </c>
      <c r="AW920" s="74">
        <f>PRODUCT(AV$4:AV920)</f>
        <v>509.82660242971235</v>
      </c>
    </row>
    <row r="921" spans="44:49">
      <c r="AR921" s="69">
        <f t="shared" si="444"/>
        <v>77</v>
      </c>
      <c r="AS921" s="70">
        <f t="shared" si="446"/>
        <v>918</v>
      </c>
      <c r="AT921" s="71">
        <f t="shared" si="447"/>
        <v>1.8666925885498389E-3</v>
      </c>
      <c r="AU921" s="72">
        <f t="shared" si="443"/>
        <v>6.8214933659622723E-3</v>
      </c>
      <c r="AV921" s="73">
        <f t="shared" si="445"/>
        <v>1.0068214933659623</v>
      </c>
      <c r="AW921" s="74">
        <f>PRODUCT(AV$4:AV921)</f>
        <v>513.30438121597774</v>
      </c>
    </row>
    <row r="922" spans="44:49">
      <c r="AR922" s="69">
        <f t="shared" si="444"/>
        <v>77</v>
      </c>
      <c r="AS922" s="70">
        <f t="shared" si="446"/>
        <v>919</v>
      </c>
      <c r="AT922" s="71">
        <f t="shared" si="447"/>
        <v>1.8539589574407553E-3</v>
      </c>
      <c r="AU922" s="72">
        <f t="shared" si="443"/>
        <v>6.8214933659622723E-3</v>
      </c>
      <c r="AV922" s="73">
        <f t="shared" si="445"/>
        <v>1.0068214933659623</v>
      </c>
      <c r="AW922" s="74">
        <f>PRODUCT(AV$4:AV922)</f>
        <v>516.80588364716186</v>
      </c>
    </row>
    <row r="923" spans="44:49">
      <c r="AR923" s="69">
        <f t="shared" si="444"/>
        <v>77</v>
      </c>
      <c r="AS923" s="70">
        <f t="shared" si="446"/>
        <v>920</v>
      </c>
      <c r="AT923" s="71">
        <f t="shared" si="447"/>
        <v>1.8413121887118069E-3</v>
      </c>
      <c r="AU923" s="72">
        <f t="shared" si="443"/>
        <v>6.8214933659622723E-3</v>
      </c>
      <c r="AV923" s="73">
        <f t="shared" si="445"/>
        <v>1.0068214933659623</v>
      </c>
      <c r="AW923" s="74">
        <f>PRODUCT(AV$4:AV923)</f>
        <v>520.3312715539513</v>
      </c>
    </row>
    <row r="924" spans="44:49">
      <c r="AR924" s="69">
        <f t="shared" si="444"/>
        <v>77</v>
      </c>
      <c r="AS924" s="70">
        <f t="shared" si="446"/>
        <v>921</v>
      </c>
      <c r="AT924" s="71">
        <f t="shared" si="447"/>
        <v>1.8287516898318438E-3</v>
      </c>
      <c r="AU924" s="72">
        <f t="shared" si="443"/>
        <v>6.8214933659622723E-3</v>
      </c>
      <c r="AV924" s="73">
        <f t="shared" si="445"/>
        <v>1.0068214933659623</v>
      </c>
      <c r="AW924" s="74">
        <f>PRODUCT(AV$4:AV924)</f>
        <v>523.88070787095933</v>
      </c>
    </row>
    <row r="925" spans="44:49">
      <c r="AR925" s="69">
        <f t="shared" si="444"/>
        <v>77</v>
      </c>
      <c r="AS925" s="70">
        <f t="shared" si="446"/>
        <v>922</v>
      </c>
      <c r="AT925" s="71">
        <f t="shared" si="447"/>
        <v>1.8162768723116636E-3</v>
      </c>
      <c r="AU925" s="72">
        <f t="shared" si="443"/>
        <v>6.8214933659622723E-3</v>
      </c>
      <c r="AV925" s="73">
        <f t="shared" si="445"/>
        <v>1.0068214933659623</v>
      </c>
      <c r="AW925" s="74">
        <f>PRODUCT(AV$4:AV925)</f>
        <v>527.45435664425668</v>
      </c>
    </row>
    <row r="926" spans="44:49">
      <c r="AR926" s="69">
        <f t="shared" si="444"/>
        <v>77</v>
      </c>
      <c r="AS926" s="70">
        <f t="shared" si="446"/>
        <v>923</v>
      </c>
      <c r="AT926" s="71">
        <f t="shared" si="447"/>
        <v>1.8038871516764389E-3</v>
      </c>
      <c r="AU926" s="72">
        <f t="shared" si="443"/>
        <v>6.8214933659622723E-3</v>
      </c>
      <c r="AV926" s="73">
        <f t="shared" si="445"/>
        <v>1.0068214933659623</v>
      </c>
      <c r="AW926" s="74">
        <f>PRODUCT(AV$4:AV926)</f>
        <v>531.05238303895339</v>
      </c>
    </row>
    <row r="927" spans="44:49">
      <c r="AR927" s="69">
        <f t="shared" si="444"/>
        <v>77</v>
      </c>
      <c r="AS927" s="70">
        <f t="shared" si="446"/>
        <v>924</v>
      </c>
      <c r="AT927" s="71">
        <f t="shared" si="447"/>
        <v>1.7915819474383335E-3</v>
      </c>
      <c r="AU927" s="72">
        <f t="shared" si="443"/>
        <v>6.8214933659622723E-3</v>
      </c>
      <c r="AV927" s="73">
        <f t="shared" si="445"/>
        <v>1.0068214933659623</v>
      </c>
      <c r="AW927" s="74">
        <f>PRODUCT(AV$4:AV927)</f>
        <v>534.67495334683213</v>
      </c>
    </row>
    <row r="928" spans="44:49">
      <c r="AR928" s="69">
        <f t="shared" si="444"/>
        <v>78</v>
      </c>
      <c r="AS928" s="70">
        <f t="shared" si="446"/>
        <v>925</v>
      </c>
      <c r="AT928" s="71">
        <f t="shared" si="447"/>
        <v>1.7793606830693051E-3</v>
      </c>
      <c r="AU928" s="72">
        <f t="shared" si="443"/>
        <v>6.8214933659622723E-3</v>
      </c>
      <c r="AV928" s="73">
        <f t="shared" si="445"/>
        <v>1.0068214933659623</v>
      </c>
      <c r="AW928" s="74">
        <f>PRODUCT(AV$4:AV928)</f>
        <v>538.32223499403369</v>
      </c>
    </row>
    <row r="929" spans="44:49">
      <c r="AR929" s="69">
        <f t="shared" si="444"/>
        <v>78</v>
      </c>
      <c r="AS929" s="70">
        <f t="shared" si="446"/>
        <v>926</v>
      </c>
      <c r="AT929" s="71">
        <f t="shared" si="447"/>
        <v>1.7672227859740937E-3</v>
      </c>
      <c r="AU929" s="72">
        <f t="shared" si="443"/>
        <v>6.8214933659622723E-3</v>
      </c>
      <c r="AV929" s="73">
        <f t="shared" si="445"/>
        <v>1.0068214933659623</v>
      </c>
      <c r="AW929" s="74">
        <f>PRODUCT(AV$4:AV929)</f>
        <v>541.99439654879552</v>
      </c>
    </row>
    <row r="930" spans="44:49">
      <c r="AR930" s="69">
        <f t="shared" si="444"/>
        <v>78</v>
      </c>
      <c r="AS930" s="70">
        <f t="shared" si="446"/>
        <v>927</v>
      </c>
      <c r="AT930" s="71">
        <f t="shared" si="447"/>
        <v>1.7551676874633941E-3</v>
      </c>
      <c r="AU930" s="72">
        <f t="shared" si="443"/>
        <v>6.8214933659622723E-3</v>
      </c>
      <c r="AV930" s="73">
        <f t="shared" si="445"/>
        <v>1.0068214933659623</v>
      </c>
      <c r="AW930" s="74">
        <f>PRODUCT(AV$4:AV930)</f>
        <v>545.69160772924181</v>
      </c>
    </row>
    <row r="931" spans="44:49">
      <c r="AR931" s="69">
        <f t="shared" si="444"/>
        <v>78</v>
      </c>
      <c r="AS931" s="70">
        <f t="shared" si="446"/>
        <v>928</v>
      </c>
      <c r="AT931" s="71">
        <f t="shared" si="447"/>
        <v>1.7431948227272112E-3</v>
      </c>
      <c r="AU931" s="72">
        <f t="shared" si="443"/>
        <v>6.8214933659622723E-3</v>
      </c>
      <c r="AV931" s="73">
        <f t="shared" si="445"/>
        <v>1.0068214933659623</v>
      </c>
      <c r="AW931" s="74">
        <f>PRODUCT(AV$4:AV931)</f>
        <v>549.41403941122815</v>
      </c>
    </row>
    <row r="932" spans="44:49">
      <c r="AR932" s="69">
        <f t="shared" si="444"/>
        <v>78</v>
      </c>
      <c r="AS932" s="70">
        <f t="shared" si="446"/>
        <v>929</v>
      </c>
      <c r="AT932" s="71">
        <f t="shared" si="447"/>
        <v>1.7313036308083977E-3</v>
      </c>
      <c r="AU932" s="72">
        <f t="shared" si="443"/>
        <v>6.8214933659622723E-3</v>
      </c>
      <c r="AV932" s="73">
        <f t="shared" si="445"/>
        <v>1.0068214933659623</v>
      </c>
      <c r="AW932" s="74">
        <f>PRODUCT(AV$4:AV932)</f>
        <v>553.16186363623842</v>
      </c>
    </row>
    <row r="933" spans="44:49">
      <c r="AR933" s="69">
        <f t="shared" si="444"/>
        <v>78</v>
      </c>
      <c r="AS933" s="70">
        <f t="shared" si="446"/>
        <v>930</v>
      </c>
      <c r="AT933" s="71">
        <f t="shared" si="447"/>
        <v>1.7194935545763719E-3</v>
      </c>
      <c r="AU933" s="72">
        <f t="shared" si="443"/>
        <v>6.8214933659622723E-3</v>
      </c>
      <c r="AV933" s="73">
        <f t="shared" si="445"/>
        <v>1.0068214933659623</v>
      </c>
      <c r="AW933" s="74">
        <f>PRODUCT(AV$4:AV933)</f>
        <v>556.93525361933632</v>
      </c>
    </row>
    <row r="934" spans="44:49">
      <c r="AR934" s="69">
        <f t="shared" si="444"/>
        <v>78</v>
      </c>
      <c r="AS934" s="70">
        <f t="shared" si="446"/>
        <v>931</v>
      </c>
      <c r="AT934" s="71">
        <f t="shared" si="447"/>
        <v>1.7077640407010142E-3</v>
      </c>
      <c r="AU934" s="72">
        <f t="shared" si="443"/>
        <v>6.8214933659622723E-3</v>
      </c>
      <c r="AV934" s="73">
        <f t="shared" si="445"/>
        <v>1.0068214933659623</v>
      </c>
      <c r="AW934" s="74">
        <f>PRODUCT(AV$4:AV934)</f>
        <v>560.73438375717114</v>
      </c>
    </row>
    <row r="935" spans="44:49">
      <c r="AR935" s="69">
        <f t="shared" si="444"/>
        <v>78</v>
      </c>
      <c r="AS935" s="70">
        <f t="shared" si="446"/>
        <v>932</v>
      </c>
      <c r="AT935" s="71">
        <f t="shared" si="447"/>
        <v>1.6961145396267433E-3</v>
      </c>
      <c r="AU935" s="72">
        <f t="shared" si="443"/>
        <v>6.8214933659622723E-3</v>
      </c>
      <c r="AV935" s="73">
        <f t="shared" si="445"/>
        <v>1.0068214933659623</v>
      </c>
      <c r="AW935" s="74">
        <f>PRODUCT(AV$4:AV935)</f>
        <v>564.55942963603763</v>
      </c>
    </row>
    <row r="936" spans="44:49">
      <c r="AR936" s="69">
        <f t="shared" si="444"/>
        <v>78</v>
      </c>
      <c r="AS936" s="70">
        <f t="shared" si="446"/>
        <v>933</v>
      </c>
      <c r="AT936" s="71">
        <f t="shared" si="447"/>
        <v>1.6845445055467673E-3</v>
      </c>
      <c r="AU936" s="72">
        <f t="shared" si="443"/>
        <v>6.8214933659622723E-3</v>
      </c>
      <c r="AV936" s="73">
        <f t="shared" si="445"/>
        <v>1.0068214933659623</v>
      </c>
      <c r="AW936" s="74">
        <f>PRODUCT(AV$4:AV936)</f>
        <v>568.41056803999129</v>
      </c>
    </row>
    <row r="937" spans="44:49">
      <c r="AR937" s="69">
        <f t="shared" si="444"/>
        <v>78</v>
      </c>
      <c r="AS937" s="70">
        <f t="shared" si="446"/>
        <v>934</v>
      </c>
      <c r="AT937" s="71">
        <f t="shared" si="447"/>
        <v>1.6730533963775118E-3</v>
      </c>
      <c r="AU937" s="72">
        <f t="shared" si="443"/>
        <v>6.8214933659622723E-3</v>
      </c>
      <c r="AV937" s="73">
        <f t="shared" si="445"/>
        <v>1.0068214933659623</v>
      </c>
      <c r="AW937" s="74">
        <f>PRODUCT(AV$4:AV937)</f>
        <v>572.28797695901892</v>
      </c>
    </row>
    <row r="938" spans="44:49">
      <c r="AR938" s="69">
        <f t="shared" si="444"/>
        <v>78</v>
      </c>
      <c r="AS938" s="70">
        <f t="shared" si="446"/>
        <v>935</v>
      </c>
      <c r="AT938" s="71">
        <f t="shared" si="447"/>
        <v>1.661640673733222E-3</v>
      </c>
      <c r="AU938" s="72">
        <f t="shared" si="443"/>
        <v>6.8214933659622723E-3</v>
      </c>
      <c r="AV938" s="73">
        <f t="shared" si="445"/>
        <v>1.0068214933659623</v>
      </c>
      <c r="AW938" s="74">
        <f>PRODUCT(AV$4:AV938)</f>
        <v>576.1918355972648</v>
      </c>
    </row>
    <row r="939" spans="44:49">
      <c r="AR939" s="69">
        <f t="shared" si="444"/>
        <v>78</v>
      </c>
      <c r="AS939" s="70">
        <f t="shared" si="446"/>
        <v>936</v>
      </c>
      <c r="AT939" s="71">
        <f t="shared" si="447"/>
        <v>1.6503058029007378E-3</v>
      </c>
      <c r="AU939" s="72">
        <f t="shared" si="443"/>
        <v>6.8214933659622723E-3</v>
      </c>
      <c r="AV939" s="73">
        <f t="shared" si="445"/>
        <v>1.0068214933659623</v>
      </c>
      <c r="AW939" s="74">
        <f>PRODUCT(AV$4:AV939)</f>
        <v>580.12232438131321</v>
      </c>
    </row>
    <row r="940" spans="44:49">
      <c r="AR940" s="69">
        <f t="shared" si="444"/>
        <v>79</v>
      </c>
      <c r="AS940" s="70">
        <f t="shared" si="446"/>
        <v>937</v>
      </c>
      <c r="AT940" s="71">
        <f t="shared" si="447"/>
        <v>1.6390482528144414E-3</v>
      </c>
      <c r="AU940" s="72">
        <f t="shared" si="443"/>
        <v>6.8214933659622723E-3</v>
      </c>
      <c r="AV940" s="73">
        <f t="shared" si="445"/>
        <v>1.0068214933659623</v>
      </c>
      <c r="AW940" s="74">
        <f>PRODUCT(AV$4:AV940)</f>
        <v>584.0796249685269</v>
      </c>
    </row>
    <row r="941" spans="44:49">
      <c r="AR941" s="69">
        <f t="shared" si="444"/>
        <v>79</v>
      </c>
      <c r="AS941" s="70">
        <f t="shared" si="446"/>
        <v>938</v>
      </c>
      <c r="AT941" s="71">
        <f t="shared" si="447"/>
        <v>1.6278674960313756E-3</v>
      </c>
      <c r="AU941" s="72">
        <f t="shared" si="443"/>
        <v>6.8214933659622723E-3</v>
      </c>
      <c r="AV941" s="73">
        <f t="shared" si="445"/>
        <v>1.0068214933659623</v>
      </c>
      <c r="AW941" s="74">
        <f>PRODUCT(AV$4:AV941)</f>
        <v>588.06392025544346</v>
      </c>
    </row>
    <row r="942" spans="44:49">
      <c r="AR942" s="69">
        <f t="shared" si="444"/>
        <v>79</v>
      </c>
      <c r="AS942" s="70">
        <f t="shared" si="446"/>
        <v>939</v>
      </c>
      <c r="AT942" s="71">
        <f t="shared" si="447"/>
        <v>1.6167630087065318E-3</v>
      </c>
      <c r="AU942" s="72">
        <f t="shared" si="443"/>
        <v>6.8214933659622723E-3</v>
      </c>
      <c r="AV942" s="73">
        <f t="shared" si="445"/>
        <v>1.0068214933659623</v>
      </c>
      <c r="AW942" s="74">
        <f>PRODUCT(AV$4:AV942)</f>
        <v>592.07539438622769</v>
      </c>
    </row>
    <row r="943" spans="44:49">
      <c r="AR943" s="69">
        <f t="shared" si="444"/>
        <v>79</v>
      </c>
      <c r="AS943" s="70">
        <f t="shared" si="446"/>
        <v>940</v>
      </c>
      <c r="AT943" s="71">
        <f t="shared" si="447"/>
        <v>1.6057342705683071E-3</v>
      </c>
      <c r="AU943" s="72">
        <f t="shared" si="443"/>
        <v>6.8214933659622723E-3</v>
      </c>
      <c r="AV943" s="73">
        <f t="shared" si="445"/>
        <v>1.0068214933659623</v>
      </c>
      <c r="AW943" s="74">
        <f>PRODUCT(AV$4:AV943)</f>
        <v>596.11423276118285</v>
      </c>
    </row>
    <row r="944" spans="44:49">
      <c r="AR944" s="69">
        <f t="shared" si="444"/>
        <v>79</v>
      </c>
      <c r="AS944" s="70">
        <f t="shared" si="446"/>
        <v>941</v>
      </c>
      <c r="AT944" s="71">
        <f t="shared" si="447"/>
        <v>1.5947807648941271E-3</v>
      </c>
      <c r="AU944" s="72">
        <f t="shared" si="443"/>
        <v>6.8214933659622723E-3</v>
      </c>
      <c r="AV944" s="73">
        <f t="shared" si="445"/>
        <v>1.0068214933659623</v>
      </c>
      <c r="AW944" s="74">
        <f>PRODUCT(AV$4:AV944)</f>
        <v>600.18062204531896</v>
      </c>
    </row>
    <row r="945" spans="44:49">
      <c r="AR945" s="69">
        <f t="shared" si="444"/>
        <v>79</v>
      </c>
      <c r="AS945" s="70">
        <f t="shared" si="446"/>
        <v>942</v>
      </c>
      <c r="AT945" s="71">
        <f t="shared" si="447"/>
        <v>1.5839019784862375E-3</v>
      </c>
      <c r="AU945" s="72">
        <f t="shared" si="443"/>
        <v>6.8214933659622723E-3</v>
      </c>
      <c r="AV945" s="73">
        <f t="shared" si="445"/>
        <v>1.0068214933659623</v>
      </c>
      <c r="AW945" s="74">
        <f>PRODUCT(AV$4:AV945)</f>
        <v>604.27475017698021</v>
      </c>
    </row>
    <row r="946" spans="44:49">
      <c r="AR946" s="69">
        <f t="shared" si="444"/>
        <v>79</v>
      </c>
      <c r="AS946" s="70">
        <f t="shared" si="446"/>
        <v>943</v>
      </c>
      <c r="AT946" s="71">
        <f t="shared" si="447"/>
        <v>1.5730974016476592E-3</v>
      </c>
      <c r="AU946" s="72">
        <f t="shared" si="443"/>
        <v>6.8214933659622723E-3</v>
      </c>
      <c r="AV946" s="73">
        <f t="shared" si="445"/>
        <v>1.0068214933659623</v>
      </c>
      <c r="AW946" s="74">
        <f>PRODUCT(AV$4:AV946)</f>
        <v>608.396806376531</v>
      </c>
    </row>
    <row r="947" spans="44:49">
      <c r="AR947" s="69">
        <f t="shared" si="444"/>
        <v>79</v>
      </c>
      <c r="AS947" s="70">
        <f t="shared" si="446"/>
        <v>944</v>
      </c>
      <c r="AT947" s="71">
        <f t="shared" si="447"/>
        <v>1.5623665281583072E-3</v>
      </c>
      <c r="AU947" s="72">
        <f t="shared" si="443"/>
        <v>6.8214933659622723E-3</v>
      </c>
      <c r="AV947" s="73">
        <f t="shared" si="445"/>
        <v>1.0068214933659623</v>
      </c>
      <c r="AW947" s="74">
        <f>PRODUCT(AV$4:AV947)</f>
        <v>612.54698115510109</v>
      </c>
    </row>
    <row r="948" spans="44:49">
      <c r="AR948" s="69">
        <f t="shared" si="444"/>
        <v>79</v>
      </c>
      <c r="AS948" s="70">
        <f t="shared" si="446"/>
        <v>945</v>
      </c>
      <c r="AT948" s="71">
        <f t="shared" si="447"/>
        <v>1.5517088552512738E-3</v>
      </c>
      <c r="AU948" s="72">
        <f t="shared" si="443"/>
        <v>6.8214933659622723E-3</v>
      </c>
      <c r="AV948" s="73">
        <f t="shared" si="445"/>
        <v>1.0068214933659623</v>
      </c>
      <c r="AW948" s="74">
        <f>PRODUCT(AV$4:AV948)</f>
        <v>616.72546632339083</v>
      </c>
    </row>
    <row r="949" spans="44:49">
      <c r="AR949" s="69">
        <f t="shared" si="444"/>
        <v>79</v>
      </c>
      <c r="AS949" s="70">
        <f t="shared" si="446"/>
        <v>946</v>
      </c>
      <c r="AT949" s="71">
        <f t="shared" si="447"/>
        <v>1.5411238835892724E-3</v>
      </c>
      <c r="AU949" s="72">
        <f t="shared" si="443"/>
        <v>6.8214933659622723E-3</v>
      </c>
      <c r="AV949" s="73">
        <f t="shared" si="445"/>
        <v>1.0068214933659623</v>
      </c>
      <c r="AW949" s="74">
        <f>PRODUCT(AV$4:AV949)</f>
        <v>620.93245500053581</v>
      </c>
    </row>
    <row r="950" spans="44:49">
      <c r="AR950" s="69">
        <f t="shared" si="444"/>
        <v>79</v>
      </c>
      <c r="AS950" s="70">
        <f t="shared" si="446"/>
        <v>947</v>
      </c>
      <c r="AT950" s="71">
        <f t="shared" si="447"/>
        <v>1.5306111172412422E-3</v>
      </c>
      <c r="AU950" s="72">
        <f t="shared" si="443"/>
        <v>6.8214933659622723E-3</v>
      </c>
      <c r="AV950" s="73">
        <f t="shared" si="445"/>
        <v>1.0068214933659623</v>
      </c>
      <c r="AW950" s="74">
        <f>PRODUCT(AV$4:AV950)</f>
        <v>625.16814162303262</v>
      </c>
    </row>
    <row r="951" spans="44:49">
      <c r="AR951" s="69">
        <f t="shared" si="444"/>
        <v>79</v>
      </c>
      <c r="AS951" s="70">
        <f t="shared" si="446"/>
        <v>948</v>
      </c>
      <c r="AT951" s="71">
        <f t="shared" si="447"/>
        <v>1.5201700636591129E-3</v>
      </c>
      <c r="AU951" s="72">
        <f t="shared" si="443"/>
        <v>6.8214933659622723E-3</v>
      </c>
      <c r="AV951" s="73">
        <f t="shared" si="445"/>
        <v>1.0068214933659623</v>
      </c>
      <c r="AW951" s="74">
        <f>PRODUCT(AV$4:AV951)</f>
        <v>629.43272195372515</v>
      </c>
    </row>
    <row r="952" spans="44:49">
      <c r="AR952" s="69">
        <f t="shared" si="444"/>
        <v>80</v>
      </c>
      <c r="AS952" s="70">
        <f t="shared" si="446"/>
        <v>949</v>
      </c>
      <c r="AT952" s="71">
        <f t="shared" si="447"/>
        <v>1.5098002336547277E-3</v>
      </c>
      <c r="AU952" s="72">
        <f t="shared" si="443"/>
        <v>6.8214933659622723E-3</v>
      </c>
      <c r="AV952" s="73">
        <f t="shared" si="445"/>
        <v>1.0068214933659623</v>
      </c>
      <c r="AW952" s="74">
        <f>PRODUCT(AV$4:AV952)</f>
        <v>633.72639309085207</v>
      </c>
    </row>
    <row r="953" spans="44:49">
      <c r="AR953" s="69">
        <f t="shared" si="444"/>
        <v>80</v>
      </c>
      <c r="AS953" s="70">
        <f t="shared" si="446"/>
        <v>950</v>
      </c>
      <c r="AT953" s="71">
        <f t="shared" si="447"/>
        <v>1.4995011413769237E-3</v>
      </c>
      <c r="AU953" s="72">
        <f t="shared" si="443"/>
        <v>6.8214933659622723E-3</v>
      </c>
      <c r="AV953" s="73">
        <f t="shared" si="445"/>
        <v>1.0068214933659623</v>
      </c>
      <c r="AW953" s="74">
        <f>PRODUCT(AV$4:AV953)</f>
        <v>638.0493534771565</v>
      </c>
    </row>
    <row r="954" spans="44:49">
      <c r="AR954" s="69">
        <f t="shared" si="444"/>
        <v>80</v>
      </c>
      <c r="AS954" s="70">
        <f t="shared" si="446"/>
        <v>951</v>
      </c>
      <c r="AT954" s="71">
        <f t="shared" si="447"/>
        <v>1.4892723042887683E-3</v>
      </c>
      <c r="AU954" s="72">
        <f t="shared" si="443"/>
        <v>6.8214933659622723E-3</v>
      </c>
      <c r="AV954" s="73">
        <f t="shared" si="445"/>
        <v>1.0068214933659623</v>
      </c>
      <c r="AW954" s="74">
        <f>PRODUCT(AV$4:AV954)</f>
        <v>642.40180290905744</v>
      </c>
    </row>
    <row r="955" spans="44:49">
      <c r="AR955" s="69">
        <f t="shared" si="444"/>
        <v>80</v>
      </c>
      <c r="AS955" s="70">
        <f t="shared" si="446"/>
        <v>952</v>
      </c>
      <c r="AT955" s="71">
        <f t="shared" si="447"/>
        <v>1.479113243144951E-3</v>
      </c>
      <c r="AU955" s="72">
        <f t="shared" si="443"/>
        <v>6.8214933659622723E-3</v>
      </c>
      <c r="AV955" s="73">
        <f t="shared" si="445"/>
        <v>1.0068214933659623</v>
      </c>
      <c r="AW955" s="74">
        <f>PRODUCT(AV$4:AV955)</f>
        <v>646.78394254588375</v>
      </c>
    </row>
    <row r="956" spans="44:49">
      <c r="AR956" s="69">
        <f t="shared" si="444"/>
        <v>80</v>
      </c>
      <c r="AS956" s="70">
        <f t="shared" si="446"/>
        <v>953</v>
      </c>
      <c r="AT956" s="71">
        <f t="shared" si="447"/>
        <v>1.4690234819693308E-3</v>
      </c>
      <c r="AU956" s="72">
        <f t="shared" si="443"/>
        <v>6.8214933659622723E-3</v>
      </c>
      <c r="AV956" s="73">
        <f t="shared" si="445"/>
        <v>1.0068214933659623</v>
      </c>
      <c r="AW956" s="74">
        <f>PRODUCT(AV$4:AV956)</f>
        <v>651.19597491917136</v>
      </c>
    </row>
    <row r="957" spans="44:49">
      <c r="AR957" s="69">
        <f t="shared" si="444"/>
        <v>80</v>
      </c>
      <c r="AS957" s="70">
        <f t="shared" si="446"/>
        <v>954</v>
      </c>
      <c r="AT957" s="71">
        <f t="shared" si="447"/>
        <v>1.4590025480326343E-3</v>
      </c>
      <c r="AU957" s="72">
        <f t="shared" si="443"/>
        <v>6.8214933659622723E-3</v>
      </c>
      <c r="AV957" s="73">
        <f t="shared" si="445"/>
        <v>1.0068214933659623</v>
      </c>
      <c r="AW957" s="74">
        <f>PRODUCT(AV$4:AV957)</f>
        <v>655.6381039420238</v>
      </c>
    </row>
    <row r="958" spans="44:49">
      <c r="AR958" s="69">
        <f t="shared" si="444"/>
        <v>80</v>
      </c>
      <c r="AS958" s="70">
        <f t="shared" si="446"/>
        <v>955</v>
      </c>
      <c r="AT958" s="71">
        <f t="shared" si="447"/>
        <v>1.4490499718303076E-3</v>
      </c>
      <c r="AU958" s="72">
        <f t="shared" si="443"/>
        <v>6.8214933659622723E-3</v>
      </c>
      <c r="AV958" s="73">
        <f t="shared" si="445"/>
        <v>1.0068214933659623</v>
      </c>
      <c r="AW958" s="74">
        <f>PRODUCT(AV$4:AV958)</f>
        <v>660.11053491853636</v>
      </c>
    </row>
    <row r="959" spans="44:49">
      <c r="AR959" s="69">
        <f t="shared" si="444"/>
        <v>80</v>
      </c>
      <c r="AS959" s="70">
        <f t="shared" si="446"/>
        <v>956</v>
      </c>
      <c r="AT959" s="71">
        <f t="shared" si="447"/>
        <v>1.4391652870605193E-3</v>
      </c>
      <c r="AU959" s="72">
        <f t="shared" si="443"/>
        <v>6.8214933659622723E-3</v>
      </c>
      <c r="AV959" s="73">
        <f t="shared" si="445"/>
        <v>1.0068214933659623</v>
      </c>
      <c r="AW959" s="74">
        <f>PRODUCT(AV$4:AV959)</f>
        <v>664.61347455328496</v>
      </c>
    </row>
    <row r="960" spans="44:49">
      <c r="AR960" s="69">
        <f t="shared" si="444"/>
        <v>80</v>
      </c>
      <c r="AS960" s="70">
        <f t="shared" si="446"/>
        <v>957</v>
      </c>
      <c r="AT960" s="71">
        <f t="shared" si="447"/>
        <v>1.4293480306023128E-3</v>
      </c>
      <c r="AU960" s="72">
        <f t="shared" si="443"/>
        <v>6.8214933659622723E-3</v>
      </c>
      <c r="AV960" s="73">
        <f t="shared" si="445"/>
        <v>1.0068214933659623</v>
      </c>
      <c r="AW960" s="74">
        <f>PRODUCT(AV$4:AV960)</f>
        <v>669.14713096087928</v>
      </c>
    </row>
    <row r="961" spans="44:49">
      <c r="AR961" s="69">
        <f t="shared" si="444"/>
        <v>80</v>
      </c>
      <c r="AS961" s="70">
        <f t="shared" si="446"/>
        <v>958</v>
      </c>
      <c r="AT961" s="71">
        <f t="shared" si="447"/>
        <v>1.4195977424939078E-3</v>
      </c>
      <c r="AU961" s="72">
        <f t="shared" si="443"/>
        <v>6.8214933659622723E-3</v>
      </c>
      <c r="AV961" s="73">
        <f t="shared" si="445"/>
        <v>1.0068214933659623</v>
      </c>
      <c r="AW961" s="74">
        <f>PRODUCT(AV$4:AV961)</f>
        <v>673.71171367558156</v>
      </c>
    </row>
    <row r="962" spans="44:49">
      <c r="AR962" s="69">
        <f t="shared" si="444"/>
        <v>80</v>
      </c>
      <c r="AS962" s="70">
        <f t="shared" si="446"/>
        <v>959</v>
      </c>
      <c r="AT962" s="71">
        <f t="shared" si="447"/>
        <v>1.4099139659111506E-3</v>
      </c>
      <c r="AU962" s="72">
        <f t="shared" si="443"/>
        <v>6.8214933659622723E-3</v>
      </c>
      <c r="AV962" s="73">
        <f t="shared" si="445"/>
        <v>1.0068214933659623</v>
      </c>
      <c r="AW962" s="74">
        <f>PRODUCT(AV$4:AV962)</f>
        <v>678.30743366099057</v>
      </c>
    </row>
    <row r="963" spans="44:49">
      <c r="AR963" s="69">
        <f t="shared" si="444"/>
        <v>80</v>
      </c>
      <c r="AS963" s="70">
        <f t="shared" si="446"/>
        <v>960</v>
      </c>
      <c r="AT963" s="71">
        <f t="shared" si="447"/>
        <v>1.4002962471461101E-3</v>
      </c>
      <c r="AU963" s="72">
        <f t="shared" si="443"/>
        <v>6.8214933659622723E-3</v>
      </c>
      <c r="AV963" s="73">
        <f t="shared" si="445"/>
        <v>1.0068214933659623</v>
      </c>
      <c r="AW963" s="74">
        <f>PRODUCT(AV$4:AV963)</f>
        <v>682.93450331979193</v>
      </c>
    </row>
    <row r="964" spans="44:49">
      <c r="AR964" s="69">
        <f t="shared" si="444"/>
        <v>81</v>
      </c>
      <c r="AS964" s="70">
        <f t="shared" si="446"/>
        <v>961</v>
      </c>
      <c r="AT964" s="71">
        <f t="shared" si="447"/>
        <v>1.390744135585821E-3</v>
      </c>
      <c r="AU964" s="72">
        <f t="shared" ref="AU964:AU1027" si="448">((1+$AH$21)^(1/12))-1</f>
        <v>6.8214933659622723E-3</v>
      </c>
      <c r="AV964" s="73">
        <f t="shared" si="445"/>
        <v>1.0068214933659623</v>
      </c>
      <c r="AW964" s="74">
        <f>PRODUCT(AV$4:AV964)</f>
        <v>687.59313650357467</v>
      </c>
    </row>
    <row r="965" spans="44:49">
      <c r="AR965" s="69">
        <f t="shared" ref="AR965:AR1028" si="449">ROUNDDOWN((AS965-1)/12,0)+1</f>
        <v>81</v>
      </c>
      <c r="AS965" s="70">
        <f t="shared" si="446"/>
        <v>962</v>
      </c>
      <c r="AT965" s="71">
        <f t="shared" si="447"/>
        <v>1.3812571836911713E-3</v>
      </c>
      <c r="AU965" s="72">
        <f t="shared" si="448"/>
        <v>6.8214933659622723E-3</v>
      </c>
      <c r="AV965" s="73">
        <f t="shared" ref="AV965:AV1028" si="450">(1+AU965)</f>
        <v>1.0068214933659623</v>
      </c>
      <c r="AW965" s="74">
        <f>PRODUCT(AV$4:AV965)</f>
        <v>692.28354852271502</v>
      </c>
    </row>
    <row r="966" spans="44:49">
      <c r="AR966" s="69">
        <f t="shared" si="449"/>
        <v>81</v>
      </c>
      <c r="AS966" s="70">
        <f t="shared" ref="AS966:AS1029" si="451">AS965+1</f>
        <v>963</v>
      </c>
      <c r="AT966" s="71">
        <f t="shared" si="447"/>
        <v>1.3718349469759342E-3</v>
      </c>
      <c r="AU966" s="72">
        <f t="shared" si="448"/>
        <v>6.8214933659622723E-3</v>
      </c>
      <c r="AV966" s="73">
        <f t="shared" si="450"/>
        <v>1.0068214933659623</v>
      </c>
      <c r="AW966" s="74">
        <f>PRODUCT(AV$4:AV966)</f>
        <v>697.00595615632756</v>
      </c>
    </row>
    <row r="967" spans="44:49">
      <c r="AR967" s="69">
        <f t="shared" si="449"/>
        <v>81</v>
      </c>
      <c r="AS967" s="70">
        <f t="shared" si="451"/>
        <v>964</v>
      </c>
      <c r="AT967" s="71">
        <f t="shared" si="447"/>
        <v>1.3624769839859427E-3</v>
      </c>
      <c r="AU967" s="72">
        <f t="shared" si="448"/>
        <v>6.8214933659622723E-3</v>
      </c>
      <c r="AV967" s="73">
        <f t="shared" si="450"/>
        <v>1.0068214933659623</v>
      </c>
      <c r="AW967" s="74">
        <f>PRODUCT(AV$4:AV967)</f>
        <v>701.76057766228416</v>
      </c>
    </row>
    <row r="968" spans="44:49">
      <c r="AR968" s="69">
        <f t="shared" si="449"/>
        <v>81</v>
      </c>
      <c r="AS968" s="70">
        <f t="shared" si="451"/>
        <v>965</v>
      </c>
      <c r="AT968" s="71">
        <f t="shared" si="447"/>
        <v>1.3531828562784063E-3</v>
      </c>
      <c r="AU968" s="72">
        <f t="shared" si="448"/>
        <v>6.8214933659622723E-3</v>
      </c>
      <c r="AV968" s="73">
        <f t="shared" si="450"/>
        <v>1.0068214933659623</v>
      </c>
      <c r="AW968" s="74">
        <f>PRODUCT(AV$4:AV968)</f>
        <v>706.54763278730127</v>
      </c>
    </row>
    <row r="969" spans="44:49">
      <c r="AR969" s="69">
        <f t="shared" si="449"/>
        <v>81</v>
      </c>
      <c r="AS969" s="70">
        <f t="shared" si="451"/>
        <v>966</v>
      </c>
      <c r="AT969" s="71">
        <f t="shared" si="447"/>
        <v>1.3439521284013692E-3</v>
      </c>
      <c r="AU969" s="72">
        <f t="shared" si="448"/>
        <v>6.8214933659622723E-3</v>
      </c>
      <c r="AV969" s="73">
        <f t="shared" si="450"/>
        <v>1.0068214933659623</v>
      </c>
      <c r="AW969" s="74">
        <f>PRODUCT(AV$4:AV969)</f>
        <v>711.36734277709616</v>
      </c>
    </row>
    <row r="970" spans="44:49">
      <c r="AR970" s="69">
        <f t="shared" si="449"/>
        <v>81</v>
      </c>
      <c r="AS970" s="70">
        <f t="shared" si="451"/>
        <v>967</v>
      </c>
      <c r="AT970" s="71">
        <f t="shared" si="447"/>
        <v>1.3347843678733083E-3</v>
      </c>
      <c r="AU970" s="72">
        <f t="shared" si="448"/>
        <v>6.8214933659622723E-3</v>
      </c>
      <c r="AV970" s="73">
        <f t="shared" si="450"/>
        <v>1.0068214933659623</v>
      </c>
      <c r="AW970" s="74">
        <f>PRODUCT(AV$4:AV970)</f>
        <v>716.2199303866123</v>
      </c>
    </row>
    <row r="971" spans="44:49">
      <c r="AR971" s="69">
        <f t="shared" si="449"/>
        <v>81</v>
      </c>
      <c r="AS971" s="70">
        <f t="shared" si="451"/>
        <v>968</v>
      </c>
      <c r="AT971" s="71">
        <f t="shared" si="447"/>
        <v>1.3256791451628704E-3</v>
      </c>
      <c r="AU971" s="72">
        <f t="shared" si="448"/>
        <v>6.8214933659622723E-3</v>
      </c>
      <c r="AV971" s="73">
        <f t="shared" si="450"/>
        <v>1.0068214933659623</v>
      </c>
      <c r="AW971" s="74">
        <f>PRODUCT(AV$4:AV971)</f>
        <v>721.10561989031453</v>
      </c>
    </row>
    <row r="972" spans="44:49">
      <c r="AR972" s="69">
        <f t="shared" si="449"/>
        <v>81</v>
      </c>
      <c r="AS972" s="70">
        <f t="shared" si="451"/>
        <v>969</v>
      </c>
      <c r="AT972" s="71">
        <f t="shared" si="447"/>
        <v>1.3166360336687474E-3</v>
      </c>
      <c r="AU972" s="72">
        <f t="shared" si="448"/>
        <v>6.8214933659622723E-3</v>
      </c>
      <c r="AV972" s="73">
        <f t="shared" si="450"/>
        <v>1.0068214933659623</v>
      </c>
      <c r="AW972" s="74">
        <f>PRODUCT(AV$4:AV972)</f>
        <v>726.02463709255437</v>
      </c>
    </row>
    <row r="973" spans="44:49">
      <c r="AR973" s="69">
        <f t="shared" si="449"/>
        <v>81</v>
      </c>
      <c r="AS973" s="70">
        <f t="shared" si="451"/>
        <v>970</v>
      </c>
      <c r="AT973" s="71">
        <f t="shared" si="447"/>
        <v>1.3076546096996893E-3</v>
      </c>
      <c r="AU973" s="72">
        <f t="shared" si="448"/>
        <v>6.8214933659622723E-3</v>
      </c>
      <c r="AV973" s="73">
        <f t="shared" si="450"/>
        <v>1.0068214933659623</v>
      </c>
      <c r="AW973" s="74">
        <f>PRODUCT(AV$4:AV973)</f>
        <v>730.97720933800645</v>
      </c>
    </row>
    <row r="974" spans="44:49">
      <c r="AR974" s="69">
        <f t="shared" si="449"/>
        <v>81</v>
      </c>
      <c r="AS974" s="70">
        <f t="shared" si="451"/>
        <v>971</v>
      </c>
      <c r="AT974" s="71">
        <f t="shared" si="447"/>
        <v>1.2987344524546529E-3</v>
      </c>
      <c r="AU974" s="72">
        <f t="shared" si="448"/>
        <v>6.8214933659622723E-3</v>
      </c>
      <c r="AV974" s="73">
        <f t="shared" si="450"/>
        <v>1.0068214933659623</v>
      </c>
      <c r="AW974" s="74">
        <f>PRODUCT(AV$4:AV974)</f>
        <v>735.96356552217526</v>
      </c>
    </row>
    <row r="975" spans="44:49">
      <c r="AR975" s="69">
        <f t="shared" si="449"/>
        <v>81</v>
      </c>
      <c r="AS975" s="70">
        <f t="shared" si="451"/>
        <v>972</v>
      </c>
      <c r="AT975" s="71">
        <f t="shared" si="447"/>
        <v>1.2898751440030868E-3</v>
      </c>
      <c r="AU975" s="72">
        <f t="shared" si="448"/>
        <v>6.8214933659622723E-3</v>
      </c>
      <c r="AV975" s="73">
        <f t="shared" si="450"/>
        <v>1.0068214933659623</v>
      </c>
      <c r="AW975" s="74">
        <f>PRODUCT(AV$4:AV975)</f>
        <v>740.98393610197468</v>
      </c>
    </row>
    <row r="976" spans="44:49">
      <c r="AR976" s="69">
        <f t="shared" si="449"/>
        <v>82</v>
      </c>
      <c r="AS976" s="70">
        <f t="shared" si="451"/>
        <v>973</v>
      </c>
      <c r="AT976" s="71">
        <f t="shared" si="447"/>
        <v>1.2810762692653502E-3</v>
      </c>
      <c r="AU976" s="72">
        <f t="shared" si="448"/>
        <v>6.8214933659622723E-3</v>
      </c>
      <c r="AV976" s="73">
        <f t="shared" si="450"/>
        <v>1.0068214933659623</v>
      </c>
      <c r="AW976" s="74">
        <f>PRODUCT(AV$4:AV976)</f>
        <v>746.03855310637891</v>
      </c>
    </row>
    <row r="977" spans="44:49">
      <c r="AR977" s="69">
        <f t="shared" si="449"/>
        <v>82</v>
      </c>
      <c r="AS977" s="70">
        <f t="shared" si="451"/>
        <v>974</v>
      </c>
      <c r="AT977" s="71">
        <f t="shared" si="447"/>
        <v>1.2723374159932649E-3</v>
      </c>
      <c r="AU977" s="72">
        <f t="shared" si="448"/>
        <v>6.8214933659622723E-3</v>
      </c>
      <c r="AV977" s="73">
        <f t="shared" si="450"/>
        <v>1.0068214933659623</v>
      </c>
      <c r="AW977" s="74">
        <f>PRODUCT(AV$4:AV977)</f>
        <v>751.12765014714614</v>
      </c>
    </row>
    <row r="978" spans="44:49">
      <c r="AR978" s="69">
        <f t="shared" si="449"/>
        <v>82</v>
      </c>
      <c r="AS978" s="70">
        <f t="shared" si="451"/>
        <v>975</v>
      </c>
      <c r="AT978" s="71">
        <f t="shared" si="447"/>
        <v>1.2636581747508013E-3</v>
      </c>
      <c r="AU978" s="72">
        <f t="shared" si="448"/>
        <v>6.8214933659622723E-3</v>
      </c>
      <c r="AV978" s="73">
        <f t="shared" si="450"/>
        <v>1.0068214933659623</v>
      </c>
      <c r="AW978" s="74">
        <f>PRODUCT(AV$4:AV978)</f>
        <v>756.25146242961569</v>
      </c>
    </row>
    <row r="979" spans="44:49">
      <c r="AR979" s="69">
        <f t="shared" si="449"/>
        <v>82</v>
      </c>
      <c r="AS979" s="70">
        <f t="shared" si="451"/>
        <v>976</v>
      </c>
      <c r="AT979" s="71">
        <f t="shared" si="447"/>
        <v>1.2550381388948947E-3</v>
      </c>
      <c r="AU979" s="72">
        <f t="shared" si="448"/>
        <v>6.8214933659622723E-3</v>
      </c>
      <c r="AV979" s="73">
        <f t="shared" si="450"/>
        <v>1.0068214933659623</v>
      </c>
      <c r="AW979" s="74">
        <f>PRODUCT(AV$4:AV979)</f>
        <v>761.41022676357852</v>
      </c>
    </row>
    <row r="980" spans="44:49">
      <c r="AR980" s="69">
        <f t="shared" si="449"/>
        <v>82</v>
      </c>
      <c r="AS980" s="70">
        <f t="shared" si="451"/>
        <v>977</v>
      </c>
      <c r="AT980" s="71">
        <f t="shared" si="447"/>
        <v>1.2464769045563936E-3</v>
      </c>
      <c r="AU980" s="72">
        <f t="shared" si="448"/>
        <v>6.8214933659622723E-3</v>
      </c>
      <c r="AV980" s="73">
        <f t="shared" si="450"/>
        <v>1.0068214933659623</v>
      </c>
      <c r="AW980" s="74">
        <f>PRODUCT(AV$4:AV980)</f>
        <v>766.60418157422214</v>
      </c>
    </row>
    <row r="981" spans="44:49">
      <c r="AR981" s="69">
        <f t="shared" si="449"/>
        <v>82</v>
      </c>
      <c r="AS981" s="70">
        <f t="shared" si="451"/>
        <v>978</v>
      </c>
      <c r="AT981" s="71">
        <f t="shared" si="447"/>
        <v>1.237974070621137E-3</v>
      </c>
      <c r="AU981" s="72">
        <f t="shared" si="448"/>
        <v>6.8214933659622723E-3</v>
      </c>
      <c r="AV981" s="73">
        <f t="shared" si="450"/>
        <v>1.0068214933659623</v>
      </c>
      <c r="AW981" s="74">
        <f>PRODUCT(AV$4:AV981)</f>
        <v>771.83356691314964</v>
      </c>
    </row>
    <row r="982" spans="44:49">
      <c r="AR982" s="69">
        <f t="shared" si="449"/>
        <v>82</v>
      </c>
      <c r="AS982" s="70">
        <f t="shared" si="451"/>
        <v>979</v>
      </c>
      <c r="AT982" s="71">
        <f t="shared" si="447"/>
        <v>1.2295292387111616E-3</v>
      </c>
      <c r="AU982" s="72">
        <f t="shared" si="448"/>
        <v>6.8214933659622723E-3</v>
      </c>
      <c r="AV982" s="73">
        <f t="shared" si="450"/>
        <v>1.0068214933659623</v>
      </c>
      <c r="AW982" s="74">
        <f>PRODUCT(AV$4:AV982)</f>
        <v>777.09862446947466</v>
      </c>
    </row>
    <row r="983" spans="44:49">
      <c r="AR983" s="69">
        <f t="shared" si="449"/>
        <v>82</v>
      </c>
      <c r="AS983" s="70">
        <f t="shared" si="451"/>
        <v>980</v>
      </c>
      <c r="AT983" s="71">
        <f t="shared" ref="AT983:AT1046" si="452">(1-AU983)*AT982</f>
        <v>1.2211420131660368E-3</v>
      </c>
      <c r="AU983" s="72">
        <f t="shared" si="448"/>
        <v>6.8214933659622723E-3</v>
      </c>
      <c r="AV983" s="73">
        <f t="shared" si="450"/>
        <v>1.0068214933659623</v>
      </c>
      <c r="AW983" s="74">
        <f>PRODUCT(AV$4:AV983)</f>
        <v>782.39959758099155</v>
      </c>
    </row>
    <row r="984" spans="44:49">
      <c r="AR984" s="69">
        <f t="shared" si="449"/>
        <v>82</v>
      </c>
      <c r="AS984" s="70">
        <f t="shared" si="451"/>
        <v>981</v>
      </c>
      <c r="AT984" s="71">
        <f t="shared" si="452"/>
        <v>1.2128120010243269E-3</v>
      </c>
      <c r="AU984" s="72">
        <f t="shared" si="448"/>
        <v>6.8214933659622723E-3</v>
      </c>
      <c r="AV984" s="73">
        <f t="shared" si="450"/>
        <v>1.0068214933659623</v>
      </c>
      <c r="AW984" s="74">
        <f>PRODUCT(AV$4:AV984)</f>
        <v>787.73673124542188</v>
      </c>
    </row>
    <row r="985" spans="44:49">
      <c r="AR985" s="69">
        <f t="shared" si="449"/>
        <v>82</v>
      </c>
      <c r="AS985" s="70">
        <f t="shared" si="451"/>
        <v>982</v>
      </c>
      <c r="AT985" s="71">
        <f t="shared" si="452"/>
        <v>1.2045388120051799E-3</v>
      </c>
      <c r="AU985" s="72">
        <f t="shared" si="448"/>
        <v>6.8214933659622723E-3</v>
      </c>
      <c r="AV985" s="73">
        <f t="shared" si="450"/>
        <v>1.0068214933659623</v>
      </c>
      <c r="AW985" s="74">
        <f>PRODUCT(AV$4:AV985)</f>
        <v>793.11027213173736</v>
      </c>
    </row>
    <row r="986" spans="44:49">
      <c r="AR986" s="69">
        <f t="shared" si="449"/>
        <v>82</v>
      </c>
      <c r="AS986" s="70">
        <f t="shared" si="451"/>
        <v>983</v>
      </c>
      <c r="AT986" s="71">
        <f t="shared" si="452"/>
        <v>1.1963220584900426E-3</v>
      </c>
      <c r="AU986" s="72">
        <f t="shared" si="448"/>
        <v>6.8214933659622723E-3</v>
      </c>
      <c r="AV986" s="73">
        <f t="shared" si="450"/>
        <v>1.0068214933659623</v>
      </c>
      <c r="AW986" s="74">
        <f>PRODUCT(AV$4:AV986)</f>
        <v>798.52046859156053</v>
      </c>
    </row>
    <row r="987" spans="44:49">
      <c r="AR987" s="69">
        <f t="shared" si="449"/>
        <v>82</v>
      </c>
      <c r="AS987" s="70">
        <f t="shared" si="451"/>
        <v>984</v>
      </c>
      <c r="AT987" s="71">
        <f t="shared" si="452"/>
        <v>1.1881613555044983E-3</v>
      </c>
      <c r="AU987" s="72">
        <f t="shared" si="448"/>
        <v>6.8214933659622723E-3</v>
      </c>
      <c r="AV987" s="73">
        <f t="shared" si="450"/>
        <v>1.0068214933659623</v>
      </c>
      <c r="AW987" s="74">
        <f>PRODUCT(AV$4:AV987)</f>
        <v>803.967570670643</v>
      </c>
    </row>
    <row r="988" spans="44:49">
      <c r="AR988" s="69">
        <f t="shared" si="449"/>
        <v>83</v>
      </c>
      <c r="AS988" s="70">
        <f t="shared" si="451"/>
        <v>985</v>
      </c>
      <c r="AT988" s="71">
        <f t="shared" si="452"/>
        <v>1.1800563207002316E-3</v>
      </c>
      <c r="AU988" s="72">
        <f t="shared" si="448"/>
        <v>6.8214933659622723E-3</v>
      </c>
      <c r="AV988" s="73">
        <f t="shared" si="450"/>
        <v>1.0068214933659623</v>
      </c>
      <c r="AW988" s="74">
        <f>PRODUCT(AV$4:AV988)</f>
        <v>809.45183012042162</v>
      </c>
    </row>
    <row r="989" spans="44:49">
      <c r="AR989" s="69">
        <f t="shared" si="449"/>
        <v>83</v>
      </c>
      <c r="AS989" s="70">
        <f t="shared" si="451"/>
        <v>986</v>
      </c>
      <c r="AT989" s="71">
        <f t="shared" si="452"/>
        <v>1.1720065743371132E-3</v>
      </c>
      <c r="AU989" s="72">
        <f t="shared" si="448"/>
        <v>6.8214933659622723E-3</v>
      </c>
      <c r="AV989" s="73">
        <f t="shared" si="450"/>
        <v>1.0068214933659623</v>
      </c>
      <c r="AW989" s="74">
        <f>PRODUCT(AV$4:AV989)</f>
        <v>814.97350040965409</v>
      </c>
    </row>
    <row r="990" spans="44:49">
      <c r="AR990" s="69">
        <f t="shared" si="449"/>
        <v>83</v>
      </c>
      <c r="AS990" s="70">
        <f t="shared" si="451"/>
        <v>987</v>
      </c>
      <c r="AT990" s="71">
        <f t="shared" si="452"/>
        <v>1.1640117392654084E-3</v>
      </c>
      <c r="AU990" s="72">
        <f t="shared" si="448"/>
        <v>6.8214933659622723E-3</v>
      </c>
      <c r="AV990" s="73">
        <f t="shared" si="450"/>
        <v>1.0068214933659623</v>
      </c>
      <c r="AW990" s="74">
        <f>PRODUCT(AV$4:AV990)</f>
        <v>820.53283673613362</v>
      </c>
    </row>
    <row r="991" spans="44:49">
      <c r="AR991" s="69">
        <f t="shared" si="449"/>
        <v>83</v>
      </c>
      <c r="AS991" s="70">
        <f t="shared" si="451"/>
        <v>988</v>
      </c>
      <c r="AT991" s="71">
        <f t="shared" si="452"/>
        <v>1.1560714409081072E-3</v>
      </c>
      <c r="AU991" s="72">
        <f t="shared" si="448"/>
        <v>6.8214933659622723E-3</v>
      </c>
      <c r="AV991" s="73">
        <f t="shared" si="450"/>
        <v>1.0068214933659623</v>
      </c>
      <c r="AW991" s="74">
        <f>PRODUCT(AV$4:AV991)</f>
        <v>826.13009603848332</v>
      </c>
    </row>
    <row r="992" spans="44:49">
      <c r="AR992" s="69">
        <f t="shared" si="449"/>
        <v>83</v>
      </c>
      <c r="AS992" s="70">
        <f t="shared" si="451"/>
        <v>989</v>
      </c>
      <c r="AT992" s="71">
        <f t="shared" si="452"/>
        <v>1.1481853072433741E-3</v>
      </c>
      <c r="AU992" s="72">
        <f t="shared" si="448"/>
        <v>6.8214933659622723E-3</v>
      </c>
      <c r="AV992" s="73">
        <f t="shared" si="450"/>
        <v>1.0068214933659623</v>
      </c>
      <c r="AW992" s="74">
        <f>PRODUCT(AV$4:AV992)</f>
        <v>831.76553700803163</v>
      </c>
    </row>
    <row r="993" spans="44:49">
      <c r="AR993" s="69">
        <f t="shared" si="449"/>
        <v>83</v>
      </c>
      <c r="AS993" s="70">
        <f t="shared" si="451"/>
        <v>990</v>
      </c>
      <c r="AT993" s="71">
        <f t="shared" si="452"/>
        <v>1.1403529687871181E-3</v>
      </c>
      <c r="AU993" s="72">
        <f t="shared" si="448"/>
        <v>6.8214933659622723E-3</v>
      </c>
      <c r="AV993" s="73">
        <f t="shared" si="450"/>
        <v>1.0068214933659623</v>
      </c>
      <c r="AW993" s="74">
        <f>PRODUCT(AV$4:AV993)</f>
        <v>837.43942010076796</v>
      </c>
    </row>
    <row r="994" spans="44:49">
      <c r="AR994" s="69">
        <f t="shared" si="449"/>
        <v>83</v>
      </c>
      <c r="AS994" s="70">
        <f t="shared" si="451"/>
        <v>991</v>
      </c>
      <c r="AT994" s="71">
        <f t="shared" si="452"/>
        <v>1.1325740585756813E-3</v>
      </c>
      <c r="AU994" s="72">
        <f t="shared" si="448"/>
        <v>6.8214933659622723E-3</v>
      </c>
      <c r="AV994" s="73">
        <f t="shared" si="450"/>
        <v>1.0068214933659623</v>
      </c>
      <c r="AW994" s="74">
        <f>PRODUCT(AV$4:AV994)</f>
        <v>843.15200754938064</v>
      </c>
    </row>
    <row r="995" spans="44:49">
      <c r="AR995" s="69">
        <f t="shared" si="449"/>
        <v>83</v>
      </c>
      <c r="AS995" s="70">
        <f t="shared" si="451"/>
        <v>992</v>
      </c>
      <c r="AT995" s="71">
        <f t="shared" si="452"/>
        <v>1.1248482121486464E-3</v>
      </c>
      <c r="AU995" s="72">
        <f t="shared" si="448"/>
        <v>6.8214933659622723E-3</v>
      </c>
      <c r="AV995" s="73">
        <f t="shared" si="450"/>
        <v>1.0068214933659623</v>
      </c>
      <c r="AW995" s="74">
        <f>PRODUCT(AV$4:AV995)</f>
        <v>848.90356337537651</v>
      </c>
    </row>
    <row r="996" spans="44:49">
      <c r="AR996" s="69">
        <f t="shared" si="449"/>
        <v>83</v>
      </c>
      <c r="AS996" s="70">
        <f t="shared" si="451"/>
        <v>993</v>
      </c>
      <c r="AT996" s="71">
        <f t="shared" si="452"/>
        <v>1.1171750675317599E-3</v>
      </c>
      <c r="AU996" s="72">
        <f t="shared" si="448"/>
        <v>6.8214933659622723E-3</v>
      </c>
      <c r="AV996" s="73">
        <f t="shared" si="450"/>
        <v>1.0068214933659623</v>
      </c>
      <c r="AW996" s="74">
        <f>PRODUCT(AV$4:AV996)</f>
        <v>854.69435340128337</v>
      </c>
    </row>
    <row r="997" spans="44:49">
      <c r="AR997" s="69">
        <f t="shared" si="449"/>
        <v>83</v>
      </c>
      <c r="AS997" s="70">
        <f t="shared" si="451"/>
        <v>994</v>
      </c>
      <c r="AT997" s="71">
        <f t="shared" si="452"/>
        <v>1.1095542652199736E-3</v>
      </c>
      <c r="AU997" s="72">
        <f t="shared" si="448"/>
        <v>6.8214933659622723E-3</v>
      </c>
      <c r="AV997" s="73">
        <f t="shared" si="450"/>
        <v>1.0068214933659623</v>
      </c>
      <c r="AW997" s="74">
        <f>PRODUCT(AV$4:AV997)</f>
        <v>860.52464526293568</v>
      </c>
    </row>
    <row r="998" spans="44:49">
      <c r="AR998" s="69">
        <f t="shared" si="449"/>
        <v>83</v>
      </c>
      <c r="AS998" s="70">
        <f t="shared" si="451"/>
        <v>995</v>
      </c>
      <c r="AT998" s="71">
        <f t="shared" si="452"/>
        <v>1.1019854481606004E-3</v>
      </c>
      <c r="AU998" s="72">
        <f t="shared" si="448"/>
        <v>6.8214933659622723E-3</v>
      </c>
      <c r="AV998" s="73">
        <f t="shared" si="450"/>
        <v>1.0068214933659623</v>
      </c>
      <c r="AW998" s="74">
        <f>PRODUCT(AV$4:AV998)</f>
        <v>866.3947084218438</v>
      </c>
    </row>
    <row r="999" spans="44:49">
      <c r="AR999" s="69">
        <f t="shared" si="449"/>
        <v>83</v>
      </c>
      <c r="AS999" s="70">
        <f t="shared" si="451"/>
        <v>996</v>
      </c>
      <c r="AT999" s="71">
        <f t="shared" si="452"/>
        <v>1.0944682617365859E-3</v>
      </c>
      <c r="AU999" s="72">
        <f t="shared" si="448"/>
        <v>6.8214933659622723E-3</v>
      </c>
      <c r="AV999" s="73">
        <f t="shared" si="450"/>
        <v>1.0068214933659623</v>
      </c>
      <c r="AW999" s="74">
        <f>PRODUCT(AV$4:AV999)</f>
        <v>872.30481417764827</v>
      </c>
    </row>
    <row r="1000" spans="44:49">
      <c r="AR1000" s="69">
        <f t="shared" si="449"/>
        <v>84</v>
      </c>
      <c r="AS1000" s="70">
        <f t="shared" si="451"/>
        <v>997</v>
      </c>
      <c r="AT1000" s="71">
        <f t="shared" si="452"/>
        <v>1.0870023537498934E-3</v>
      </c>
      <c r="AU1000" s="72">
        <f t="shared" si="448"/>
        <v>6.8214933659622723E-3</v>
      </c>
      <c r="AV1000" s="73">
        <f t="shared" si="450"/>
        <v>1.0068214933659623</v>
      </c>
      <c r="AW1000" s="74">
        <f>PRODUCT(AV$4:AV1000)</f>
        <v>878.25523568065807</v>
      </c>
    </row>
    <row r="1001" spans="44:49">
      <c r="AR1001" s="69">
        <f t="shared" si="449"/>
        <v>84</v>
      </c>
      <c r="AS1001" s="70">
        <f t="shared" si="451"/>
        <v>998</v>
      </c>
      <c r="AT1001" s="71">
        <f t="shared" si="452"/>
        <v>1.0795873744050032E-3</v>
      </c>
      <c r="AU1001" s="72">
        <f t="shared" si="448"/>
        <v>6.8214933659622723E-3</v>
      </c>
      <c r="AV1001" s="73">
        <f t="shared" si="450"/>
        <v>1.0068214933659623</v>
      </c>
      <c r="AW1001" s="74">
        <f>PRODUCT(AV$4:AV1001)</f>
        <v>884.24624794447527</v>
      </c>
    </row>
    <row r="1002" spans="44:49">
      <c r="AR1002" s="69">
        <f t="shared" si="449"/>
        <v>84</v>
      </c>
      <c r="AS1002" s="70">
        <f t="shared" si="451"/>
        <v>999</v>
      </c>
      <c r="AT1002" s="71">
        <f t="shared" si="452"/>
        <v>1.0722229762925228E-3</v>
      </c>
      <c r="AU1002" s="72">
        <f t="shared" si="448"/>
        <v>6.8214933659622723E-3</v>
      </c>
      <c r="AV1002" s="73">
        <f t="shared" si="450"/>
        <v>1.0068214933659623</v>
      </c>
      <c r="AW1002" s="74">
        <f>PRODUCT(AV$4:AV1002)</f>
        <v>890.27812785870549</v>
      </c>
    </row>
    <row r="1003" spans="44:49">
      <c r="AR1003" s="69">
        <f t="shared" si="449"/>
        <v>84</v>
      </c>
      <c r="AS1003" s="70">
        <f t="shared" si="451"/>
        <v>1000</v>
      </c>
      <c r="AT1003" s="71">
        <f t="shared" si="452"/>
        <v>1.0649088143729109E-3</v>
      </c>
      <c r="AU1003" s="72">
        <f t="shared" si="448"/>
        <v>6.8214933659622723E-3</v>
      </c>
      <c r="AV1003" s="73">
        <f t="shared" si="450"/>
        <v>1.0068214933659623</v>
      </c>
      <c r="AW1003" s="74">
        <f>PRODUCT(AV$4:AV1003)</f>
        <v>896.35115420175498</v>
      </c>
    </row>
    <row r="1004" spans="44:49">
      <c r="AR1004" s="69">
        <f t="shared" si="449"/>
        <v>84</v>
      </c>
      <c r="AS1004" s="70">
        <f t="shared" si="451"/>
        <v>1001</v>
      </c>
      <c r="AT1004" s="71">
        <f t="shared" si="452"/>
        <v>1.0576445459603114E-3</v>
      </c>
      <c r="AU1004" s="72">
        <f t="shared" si="448"/>
        <v>6.8214933659622723E-3</v>
      </c>
      <c r="AV1004" s="73">
        <f t="shared" si="450"/>
        <v>1.0068214933659623</v>
      </c>
      <c r="AW1004" s="74">
        <f>PRODUCT(AV$4:AV1004)</f>
        <v>902.46560765371487</v>
      </c>
    </row>
    <row r="1005" spans="44:49">
      <c r="AR1005" s="69">
        <f t="shared" si="449"/>
        <v>84</v>
      </c>
      <c r="AS1005" s="70">
        <f t="shared" si="451"/>
        <v>1002</v>
      </c>
      <c r="AT1005" s="71">
        <f t="shared" si="452"/>
        <v>1.0504298307064969E-3</v>
      </c>
      <c r="AU1005" s="72">
        <f t="shared" si="448"/>
        <v>6.8214933659622723E-3</v>
      </c>
      <c r="AV1005" s="73">
        <f t="shared" si="450"/>
        <v>1.0068214933659623</v>
      </c>
      <c r="AW1005" s="74">
        <f>PRODUCT(AV$4:AV1005)</f>
        <v>908.62177080933384</v>
      </c>
    </row>
    <row r="1006" spans="44:49">
      <c r="AR1006" s="69">
        <f t="shared" si="449"/>
        <v>84</v>
      </c>
      <c r="AS1006" s="70">
        <f t="shared" si="451"/>
        <v>1003</v>
      </c>
      <c r="AT1006" s="71">
        <f t="shared" si="452"/>
        <v>1.0432643305849237E-3</v>
      </c>
      <c r="AU1006" s="72">
        <f t="shared" si="448"/>
        <v>6.8214933659622723E-3</v>
      </c>
      <c r="AV1006" s="73">
        <f t="shared" si="450"/>
        <v>1.0068214933659623</v>
      </c>
      <c r="AW1006" s="74">
        <f>PRODUCT(AV$4:AV1006)</f>
        <v>914.81992819107859</v>
      </c>
    </row>
    <row r="1007" spans="44:49">
      <c r="AR1007" s="69">
        <f t="shared" si="449"/>
        <v>84</v>
      </c>
      <c r="AS1007" s="70">
        <f t="shared" si="451"/>
        <v>1004</v>
      </c>
      <c r="AT1007" s="71">
        <f t="shared" si="452"/>
        <v>1.0361477098748935E-3</v>
      </c>
      <c r="AU1007" s="72">
        <f t="shared" si="448"/>
        <v>6.8214933659622723E-3</v>
      </c>
      <c r="AV1007" s="73">
        <f t="shared" si="450"/>
        <v>1.0068214933659623</v>
      </c>
      <c r="AW1007" s="74">
        <f>PRODUCT(AV$4:AV1007)</f>
        <v>921.06036626228411</v>
      </c>
    </row>
    <row r="1008" spans="44:49">
      <c r="AR1008" s="69">
        <f t="shared" si="449"/>
        <v>84</v>
      </c>
      <c r="AS1008" s="70">
        <f t="shared" si="451"/>
        <v>1005</v>
      </c>
      <c r="AT1008" s="71">
        <f t="shared" si="452"/>
        <v>1.0290796351458248E-3</v>
      </c>
      <c r="AU1008" s="72">
        <f t="shared" si="448"/>
        <v>6.8214933659622723E-3</v>
      </c>
      <c r="AV1008" s="73">
        <f t="shared" si="450"/>
        <v>1.0068214933659623</v>
      </c>
      <c r="AW1008" s="74">
        <f>PRODUCT(AV$4:AV1008)</f>
        <v>927.34337344039307</v>
      </c>
    </row>
    <row r="1009" spans="44:49">
      <c r="AR1009" s="69">
        <f t="shared" si="449"/>
        <v>84</v>
      </c>
      <c r="AS1009" s="70">
        <f t="shared" si="451"/>
        <v>1006</v>
      </c>
      <c r="AT1009" s="71">
        <f t="shared" si="452"/>
        <v>1.0220597752416307E-3</v>
      </c>
      <c r="AU1009" s="72">
        <f t="shared" si="448"/>
        <v>6.8214933659622723E-3</v>
      </c>
      <c r="AV1009" s="73">
        <f t="shared" si="450"/>
        <v>1.0068214933659623</v>
      </c>
      <c r="AW1009" s="74">
        <f>PRODUCT(AV$4:AV1009)</f>
        <v>933.66924011028573</v>
      </c>
    </row>
    <row r="1010" spans="44:49">
      <c r="AR1010" s="69">
        <f t="shared" si="449"/>
        <v>84</v>
      </c>
      <c r="AS1010" s="70">
        <f t="shared" si="451"/>
        <v>1007</v>
      </c>
      <c r="AT1010" s="71">
        <f t="shared" si="452"/>
        <v>1.0150878012652031E-3</v>
      </c>
      <c r="AU1010" s="72">
        <f t="shared" si="448"/>
        <v>6.8214933659622723E-3</v>
      </c>
      <c r="AV1010" s="73">
        <f t="shared" si="450"/>
        <v>1.0068214933659623</v>
      </c>
      <c r="AW1010" s="74">
        <f>PRODUCT(AV$4:AV1010)</f>
        <v>940.03825863770112</v>
      </c>
    </row>
    <row r="1011" spans="44:49">
      <c r="AR1011" s="69">
        <f t="shared" si="449"/>
        <v>84</v>
      </c>
      <c r="AS1011" s="70">
        <f t="shared" si="451"/>
        <v>1008</v>
      </c>
      <c r="AT1011" s="71">
        <f t="shared" si="452"/>
        <v>1.0081633865630032E-3</v>
      </c>
      <c r="AU1011" s="72">
        <f t="shared" si="448"/>
        <v>6.8214933659622723E-3</v>
      </c>
      <c r="AV1011" s="73">
        <f t="shared" si="450"/>
        <v>1.0068214933659623</v>
      </c>
      <c r="AW1011" s="74">
        <f>PRODUCT(AV$4:AV1011)</f>
        <v>946.45072338274895</v>
      </c>
    </row>
    <row r="1012" spans="44:49">
      <c r="AR1012" s="69">
        <f t="shared" si="449"/>
        <v>85</v>
      </c>
      <c r="AS1012" s="70">
        <f t="shared" si="451"/>
        <v>1009</v>
      </c>
      <c r="AT1012" s="71">
        <f t="shared" si="452"/>
        <v>1.0012862067097577E-3</v>
      </c>
      <c r="AU1012" s="72">
        <f t="shared" si="448"/>
        <v>6.8214933659622723E-3</v>
      </c>
      <c r="AV1012" s="73">
        <f t="shared" si="450"/>
        <v>1.0068214933659623</v>
      </c>
      <c r="AW1012" s="74">
        <f>PRODUCT(AV$4:AV1012)</f>
        <v>952.90693071351461</v>
      </c>
    </row>
    <row r="1013" spans="44:49">
      <c r="AR1013" s="69">
        <f t="shared" si="449"/>
        <v>85</v>
      </c>
      <c r="AS1013" s="70">
        <f t="shared" si="451"/>
        <v>1010</v>
      </c>
      <c r="AT1013" s="71">
        <f t="shared" si="452"/>
        <v>9.9445593949325749E-4</v>
      </c>
      <c r="AU1013" s="72">
        <f t="shared" si="448"/>
        <v>6.8214933659622723E-3</v>
      </c>
      <c r="AV1013" s="73">
        <f t="shared" si="450"/>
        <v>1.0068214933659623</v>
      </c>
      <c r="AW1013" s="74">
        <f>PRODUCT(AV$4:AV1013)</f>
        <v>959.40717901975631</v>
      </c>
    </row>
    <row r="1014" spans="44:49">
      <c r="AR1014" s="69">
        <f t="shared" si="449"/>
        <v>85</v>
      </c>
      <c r="AS1014" s="70">
        <f t="shared" si="451"/>
        <v>1011</v>
      </c>
      <c r="AT1014" s="71">
        <f t="shared" si="452"/>
        <v>9.8767226489926245E-4</v>
      </c>
      <c r="AU1014" s="72">
        <f t="shared" si="448"/>
        <v>6.8214933659622723E-3</v>
      </c>
      <c r="AV1014" s="73">
        <f t="shared" si="450"/>
        <v>1.0068214933659623</v>
      </c>
      <c r="AW1014" s="74">
        <f>PRODUCT(AV$4:AV1014)</f>
        <v>965.95176872669617</v>
      </c>
    </row>
    <row r="1015" spans="44:49">
      <c r="AR1015" s="69">
        <f t="shared" si="449"/>
        <v>85</v>
      </c>
      <c r="AS1015" s="70">
        <f t="shared" si="451"/>
        <v>1012</v>
      </c>
      <c r="AT1015" s="71">
        <f t="shared" si="452"/>
        <v>9.8093486509650716E-4</v>
      </c>
      <c r="AU1015" s="72">
        <f t="shared" si="448"/>
        <v>6.8214933659622723E-3</v>
      </c>
      <c r="AV1015" s="73">
        <f t="shared" si="450"/>
        <v>1.0068214933659623</v>
      </c>
      <c r="AW1015" s="74">
        <f>PRODUCT(AV$4:AV1015)</f>
        <v>972.54100230890481</v>
      </c>
    </row>
    <row r="1016" spans="44:49">
      <c r="AR1016" s="69">
        <f t="shared" si="449"/>
        <v>85</v>
      </c>
      <c r="AS1016" s="70">
        <f t="shared" si="451"/>
        <v>1013</v>
      </c>
      <c r="AT1016" s="71">
        <f t="shared" si="452"/>
        <v>9.7424342442181027E-4</v>
      </c>
      <c r="AU1016" s="72">
        <f t="shared" si="448"/>
        <v>6.8214933659622723E-3</v>
      </c>
      <c r="AV1016" s="73">
        <f t="shared" si="450"/>
        <v>1.0068214933659623</v>
      </c>
      <c r="AW1016" s="74">
        <f>PRODUCT(AV$4:AV1016)</f>
        <v>979.17518430428129</v>
      </c>
    </row>
    <row r="1017" spans="44:49">
      <c r="AR1017" s="69">
        <f t="shared" si="449"/>
        <v>85</v>
      </c>
      <c r="AS1017" s="70">
        <f t="shared" si="451"/>
        <v>1014</v>
      </c>
      <c r="AT1017" s="71">
        <f t="shared" si="452"/>
        <v>9.6759762936528455E-4</v>
      </c>
      <c r="AU1017" s="72">
        <f t="shared" si="448"/>
        <v>6.8214933659622723E-3</v>
      </c>
      <c r="AV1017" s="73">
        <f t="shared" si="450"/>
        <v>1.0068214933659623</v>
      </c>
      <c r="AW1017" s="74">
        <f>PRODUCT(AV$4:AV1017)</f>
        <v>985.85462132812779</v>
      </c>
    </row>
    <row r="1018" spans="44:49">
      <c r="AR1018" s="69">
        <f t="shared" si="449"/>
        <v>85</v>
      </c>
      <c r="AS1018" s="70">
        <f t="shared" si="451"/>
        <v>1015</v>
      </c>
      <c r="AT1018" s="71">
        <f t="shared" si="452"/>
        <v>9.6099716855564839E-4</v>
      </c>
      <c r="AU1018" s="72">
        <f t="shared" si="448"/>
        <v>6.8214933659622723E-3</v>
      </c>
      <c r="AV1018" s="73">
        <f t="shared" si="450"/>
        <v>1.0068214933659623</v>
      </c>
      <c r="AW1018" s="74">
        <f>PRODUCT(AV$4:AV1018)</f>
        <v>992.5796220873209</v>
      </c>
    </row>
    <row r="1019" spans="44:49">
      <c r="AR1019" s="69">
        <f t="shared" si="449"/>
        <v>85</v>
      </c>
      <c r="AS1019" s="70">
        <f t="shared" si="451"/>
        <v>1016</v>
      </c>
      <c r="AT1019" s="71">
        <f t="shared" si="452"/>
        <v>9.5444173274563749E-4</v>
      </c>
      <c r="AU1019" s="72">
        <f t="shared" si="448"/>
        <v>6.8214933659622723E-3</v>
      </c>
      <c r="AV1019" s="73">
        <f t="shared" si="450"/>
        <v>1.0068214933659623</v>
      </c>
      <c r="AW1019" s="74">
        <f>PRODUCT(AV$4:AV1019)</f>
        <v>999.35049739457895</v>
      </c>
    </row>
    <row r="1020" spans="44:49">
      <c r="AR1020" s="69">
        <f t="shared" si="449"/>
        <v>85</v>
      </c>
      <c r="AS1020" s="70">
        <f t="shared" si="451"/>
        <v>1017</v>
      </c>
      <c r="AT1020" s="71">
        <f t="shared" si="452"/>
        <v>9.4793101479751559E-4</v>
      </c>
      <c r="AU1020" s="72">
        <f t="shared" si="448"/>
        <v>6.8214933659622723E-3</v>
      </c>
      <c r="AV1020" s="73">
        <f t="shared" si="450"/>
        <v>1.0068214933659623</v>
      </c>
      <c r="AW1020" s="74">
        <f>PRODUCT(AV$4:AV1020)</f>
        <v>1006.1675601828272</v>
      </c>
    </row>
    <row r="1021" spans="44:49">
      <c r="AR1021" s="69">
        <f t="shared" si="449"/>
        <v>85</v>
      </c>
      <c r="AS1021" s="70">
        <f t="shared" si="451"/>
        <v>1018</v>
      </c>
      <c r="AT1021" s="71">
        <f t="shared" si="452"/>
        <v>9.4146470966868442E-4</v>
      </c>
      <c r="AU1021" s="72">
        <f t="shared" si="448"/>
        <v>6.8214933659622723E-3</v>
      </c>
      <c r="AV1021" s="73">
        <f t="shared" si="450"/>
        <v>1.0068214933659623</v>
      </c>
      <c r="AW1021" s="74">
        <f>PRODUCT(AV$4:AV1021)</f>
        <v>1013.0311255196608</v>
      </c>
    </row>
    <row r="1022" spans="44:49">
      <c r="AR1022" s="69">
        <f t="shared" si="449"/>
        <v>85</v>
      </c>
      <c r="AS1022" s="70">
        <f t="shared" si="451"/>
        <v>1019</v>
      </c>
      <c r="AT1022" s="71">
        <f t="shared" si="452"/>
        <v>9.3504251439739195E-4</v>
      </c>
      <c r="AU1022" s="72">
        <f t="shared" si="448"/>
        <v>6.8214933659622723E-3</v>
      </c>
      <c r="AV1022" s="73">
        <f t="shared" si="450"/>
        <v>1.0068214933659623</v>
      </c>
      <c r="AW1022" s="74">
        <f>PRODUCT(AV$4:AV1022)</f>
        <v>1019.9415106219064</v>
      </c>
    </row>
    <row r="1023" spans="44:49">
      <c r="AR1023" s="69">
        <f t="shared" si="449"/>
        <v>85</v>
      </c>
      <c r="AS1023" s="70">
        <f t="shared" si="451"/>
        <v>1020</v>
      </c>
      <c r="AT1023" s="71">
        <f t="shared" si="452"/>
        <v>9.2866412808853744E-4</v>
      </c>
      <c r="AU1023" s="72">
        <f t="shared" si="448"/>
        <v>6.8214933659622723E-3</v>
      </c>
      <c r="AV1023" s="73">
        <f t="shared" si="450"/>
        <v>1.0068214933659623</v>
      </c>
      <c r="AW1023" s="74">
        <f>PRODUCT(AV$4:AV1023)</f>
        <v>1026.8990348702832</v>
      </c>
    </row>
    <row r="1024" spans="44:49">
      <c r="AR1024" s="69">
        <f t="shared" si="449"/>
        <v>86</v>
      </c>
      <c r="AS1024" s="70">
        <f t="shared" si="451"/>
        <v>1021</v>
      </c>
      <c r="AT1024" s="71">
        <f t="shared" si="452"/>
        <v>9.2232925189957439E-4</v>
      </c>
      <c r="AU1024" s="72">
        <f t="shared" si="448"/>
        <v>6.8214933659622723E-3</v>
      </c>
      <c r="AV1024" s="73">
        <f t="shared" si="450"/>
        <v>1.0068214933659623</v>
      </c>
      <c r="AW1024" s="74">
        <f>PRODUCT(AV$4:AV1024)</f>
        <v>1033.9040198241639</v>
      </c>
    </row>
    <row r="1025" spans="44:49">
      <c r="AR1025" s="69">
        <f t="shared" si="449"/>
        <v>86</v>
      </c>
      <c r="AS1025" s="70">
        <f t="shared" si="451"/>
        <v>1022</v>
      </c>
      <c r="AT1025" s="71">
        <f t="shared" si="452"/>
        <v>9.1603758902650853E-4</v>
      </c>
      <c r="AU1025" s="72">
        <f t="shared" si="448"/>
        <v>6.8214933659622723E-3</v>
      </c>
      <c r="AV1025" s="73">
        <f t="shared" si="450"/>
        <v>1.0068214933659623</v>
      </c>
      <c r="AW1025" s="74">
        <f>PRODUCT(AV$4:AV1025)</f>
        <v>1040.9567892364362</v>
      </c>
    </row>
    <row r="1026" spans="44:49">
      <c r="AR1026" s="69">
        <f t="shared" si="449"/>
        <v>86</v>
      </c>
      <c r="AS1026" s="70">
        <f t="shared" si="451"/>
        <v>1023</v>
      </c>
      <c r="AT1026" s="71">
        <f t="shared" si="452"/>
        <v>9.0978884468999213E-4</v>
      </c>
      <c r="AU1026" s="72">
        <f t="shared" si="448"/>
        <v>6.8214933659622723E-3</v>
      </c>
      <c r="AV1026" s="73">
        <f t="shared" si="450"/>
        <v>1.0068214933659623</v>
      </c>
      <c r="AW1026" s="74">
        <f>PRODUCT(AV$4:AV1026)</f>
        <v>1048.0576690684659</v>
      </c>
    </row>
    <row r="1027" spans="44:49">
      <c r="AR1027" s="69">
        <f t="shared" si="449"/>
        <v>86</v>
      </c>
      <c r="AS1027" s="70">
        <f t="shared" si="451"/>
        <v>1024</v>
      </c>
      <c r="AT1027" s="71">
        <f t="shared" si="452"/>
        <v>9.0358272612151285E-4</v>
      </c>
      <c r="AU1027" s="72">
        <f t="shared" si="448"/>
        <v>6.8214933659622723E-3</v>
      </c>
      <c r="AV1027" s="73">
        <f t="shared" si="450"/>
        <v>1.0068214933659623</v>
      </c>
      <c r="AW1027" s="74">
        <f>PRODUCT(AV$4:AV1027)</f>
        <v>1055.2069875051623</v>
      </c>
    </row>
    <row r="1028" spans="44:49">
      <c r="AR1028" s="69">
        <f t="shared" si="449"/>
        <v>86</v>
      </c>
      <c r="AS1028" s="70">
        <f t="shared" si="451"/>
        <v>1025</v>
      </c>
      <c r="AT1028" s="71">
        <f t="shared" si="452"/>
        <v>8.9741894254967685E-4</v>
      </c>
      <c r="AU1028" s="72">
        <f t="shared" ref="AU1028:AU1091" si="453">((1+$AH$21)^(1/12))-1</f>
        <v>6.8214933659622723E-3</v>
      </c>
      <c r="AV1028" s="73">
        <f t="shared" si="450"/>
        <v>1.0068214933659623</v>
      </c>
      <c r="AW1028" s="74">
        <f>PRODUCT(AV$4:AV1028)</f>
        <v>1062.4050749701457</v>
      </c>
    </row>
    <row r="1029" spans="44:49">
      <c r="AR1029" s="69">
        <f t="shared" ref="AR1029:AR1092" si="454">ROUNDDOWN((AS1029-1)/12,0)+1</f>
        <v>86</v>
      </c>
      <c r="AS1029" s="70">
        <f t="shared" si="451"/>
        <v>1026</v>
      </c>
      <c r="AT1029" s="71">
        <f t="shared" si="452"/>
        <v>8.9129720518658538E-4</v>
      </c>
      <c r="AU1029" s="72">
        <f t="shared" si="453"/>
        <v>6.8214933659622723E-3</v>
      </c>
      <c r="AV1029" s="73">
        <f t="shared" ref="AV1029:AV1092" si="455">(1+AU1029)</f>
        <v>1.0068214933659623</v>
      </c>
      <c r="AW1029" s="74">
        <f>PRODUCT(AV$4:AV1029)</f>
        <v>1069.6522641410193</v>
      </c>
    </row>
    <row r="1030" spans="44:49">
      <c r="AR1030" s="69">
        <f t="shared" si="454"/>
        <v>86</v>
      </c>
      <c r="AS1030" s="70">
        <f t="shared" ref="AS1030:AS1093" si="456">AS1029+1</f>
        <v>1027</v>
      </c>
      <c r="AT1030" s="71">
        <f t="shared" si="452"/>
        <v>8.8521722721430433E-4</v>
      </c>
      <c r="AU1030" s="72">
        <f t="shared" si="453"/>
        <v>6.8214933659622723E-3</v>
      </c>
      <c r="AV1030" s="73">
        <f t="shared" si="455"/>
        <v>1.0068214933659623</v>
      </c>
      <c r="AW1030" s="74">
        <f>PRODUCT(AV$4:AV1030)</f>
        <v>1076.9488899647438</v>
      </c>
    </row>
    <row r="1031" spans="44:49">
      <c r="AR1031" s="69">
        <f t="shared" si="454"/>
        <v>86</v>
      </c>
      <c r="AS1031" s="70">
        <f t="shared" si="456"/>
        <v>1028</v>
      </c>
      <c r="AT1031" s="71">
        <f t="shared" si="452"/>
        <v>8.7917872377142646E-4</v>
      </c>
      <c r="AU1031" s="72">
        <f t="shared" si="453"/>
        <v>6.8214933659622723E-3</v>
      </c>
      <c r="AV1031" s="73">
        <f t="shared" si="455"/>
        <v>1.0068214933659623</v>
      </c>
      <c r="AW1031" s="74">
        <f>PRODUCT(AV$4:AV1031)</f>
        <v>1084.2952896731188</v>
      </c>
    </row>
    <row r="1032" spans="44:49">
      <c r="AR1032" s="69">
        <f t="shared" si="454"/>
        <v>86</v>
      </c>
      <c r="AS1032" s="70">
        <f t="shared" si="456"/>
        <v>1029</v>
      </c>
      <c r="AT1032" s="71">
        <f t="shared" si="452"/>
        <v>8.7318141193972452E-4</v>
      </c>
      <c r="AU1032" s="72">
        <f t="shared" si="453"/>
        <v>6.8214933659622723E-3</v>
      </c>
      <c r="AV1032" s="73">
        <f t="shared" si="455"/>
        <v>1.0068214933659623</v>
      </c>
      <c r="AW1032" s="74">
        <f>PRODUCT(AV$4:AV1032)</f>
        <v>1091.6918027983681</v>
      </c>
    </row>
    <row r="1033" spans="44:49">
      <c r="AR1033" s="69">
        <f t="shared" si="454"/>
        <v>86</v>
      </c>
      <c r="AS1033" s="70">
        <f t="shared" si="456"/>
        <v>1030</v>
      </c>
      <c r="AT1033" s="71">
        <f t="shared" si="452"/>
        <v>8.672250107308961E-4</v>
      </c>
      <c r="AU1033" s="72">
        <f t="shared" si="453"/>
        <v>6.8214933659622723E-3</v>
      </c>
      <c r="AV1033" s="73">
        <f t="shared" si="455"/>
        <v>1.0068214933659623</v>
      </c>
      <c r="AW1033" s="74">
        <f>PRODUCT(AV$4:AV1033)</f>
        <v>1099.1387711888326</v>
      </c>
    </row>
    <row r="1034" spans="44:49">
      <c r="AR1034" s="69">
        <f t="shared" si="454"/>
        <v>86</v>
      </c>
      <c r="AS1034" s="70">
        <f t="shared" si="456"/>
        <v>1031</v>
      </c>
      <c r="AT1034" s="71">
        <f t="shared" si="452"/>
        <v>8.6130924107339875E-4</v>
      </c>
      <c r="AU1034" s="72">
        <f t="shared" si="453"/>
        <v>6.8214933659622723E-3</v>
      </c>
      <c r="AV1034" s="73">
        <f t="shared" si="455"/>
        <v>1.0068214933659623</v>
      </c>
      <c r="AW1034" s="74">
        <f>PRODUCT(AV$4:AV1034)</f>
        <v>1106.6365390247693</v>
      </c>
    </row>
    <row r="1035" spans="44:49">
      <c r="AR1035" s="69">
        <f t="shared" si="454"/>
        <v>86</v>
      </c>
      <c r="AS1035" s="70">
        <f t="shared" si="456"/>
        <v>1032</v>
      </c>
      <c r="AT1035" s="71">
        <f t="shared" si="452"/>
        <v>8.5543382579937458E-4</v>
      </c>
      <c r="AU1035" s="72">
        <f t="shared" si="453"/>
        <v>6.8214933659622723E-3</v>
      </c>
      <c r="AV1035" s="73">
        <f t="shared" si="455"/>
        <v>1.0068214933659623</v>
      </c>
      <c r="AW1035" s="74">
        <f>PRODUCT(AV$4:AV1035)</f>
        <v>1114.1854528342583</v>
      </c>
    </row>
    <row r="1036" spans="44:49">
      <c r="AR1036" s="69">
        <f t="shared" si="454"/>
        <v>87</v>
      </c>
      <c r="AS1036" s="70">
        <f t="shared" si="456"/>
        <v>1033</v>
      </c>
      <c r="AT1036" s="71">
        <f t="shared" si="452"/>
        <v>8.4959848963166444E-4</v>
      </c>
      <c r="AU1036" s="72">
        <f t="shared" si="453"/>
        <v>6.8214933659622723E-3</v>
      </c>
      <c r="AV1036" s="73">
        <f t="shared" si="455"/>
        <v>1.0068214933659623</v>
      </c>
      <c r="AW1036" s="74">
        <f>PRODUCT(AV$4:AV1036)</f>
        <v>1121.7858615092189</v>
      </c>
    </row>
    <row r="1037" spans="44:49">
      <c r="AR1037" s="69">
        <f t="shared" si="454"/>
        <v>87</v>
      </c>
      <c r="AS1037" s="70">
        <f t="shared" si="456"/>
        <v>1034</v>
      </c>
      <c r="AT1037" s="71">
        <f t="shared" si="452"/>
        <v>8.438029591709105E-4</v>
      </c>
      <c r="AU1037" s="72">
        <f t="shared" si="453"/>
        <v>6.8214933659622723E-3</v>
      </c>
      <c r="AV1037" s="73">
        <f t="shared" si="455"/>
        <v>1.0068214933659623</v>
      </c>
      <c r="AW1037" s="74">
        <f>PRODUCT(AV$4:AV1037)</f>
        <v>1129.4381163215344</v>
      </c>
    </row>
    <row r="1038" spans="44:49">
      <c r="AR1038" s="69">
        <f t="shared" si="454"/>
        <v>87</v>
      </c>
      <c r="AS1038" s="70">
        <f t="shared" si="456"/>
        <v>1035</v>
      </c>
      <c r="AT1038" s="71">
        <f t="shared" si="452"/>
        <v>8.3804696288274679E-4</v>
      </c>
      <c r="AU1038" s="72">
        <f t="shared" si="453"/>
        <v>6.8214933659622723E-3</v>
      </c>
      <c r="AV1038" s="73">
        <f t="shared" si="455"/>
        <v>1.0068214933659623</v>
      </c>
      <c r="AW1038" s="74">
        <f>PRODUCT(AV$4:AV1038)</f>
        <v>1137.1425709392865</v>
      </c>
    </row>
    <row r="1039" spans="44:49">
      <c r="AR1039" s="69">
        <f t="shared" si="454"/>
        <v>87</v>
      </c>
      <c r="AS1039" s="70">
        <f t="shared" si="456"/>
        <v>1036</v>
      </c>
      <c r="AT1039" s="71">
        <f t="shared" si="452"/>
        <v>8.3233023108507734E-4</v>
      </c>
      <c r="AU1039" s="72">
        <f t="shared" si="453"/>
        <v>6.8214933659622723E-3</v>
      </c>
      <c r="AV1039" s="73">
        <f t="shared" si="455"/>
        <v>1.0068214933659623</v>
      </c>
      <c r="AW1039" s="74">
        <f>PRODUCT(AV$4:AV1039)</f>
        <v>1144.8995814431021</v>
      </c>
    </row>
    <row r="1040" spans="44:49">
      <c r="AR1040" s="69">
        <f t="shared" si="454"/>
        <v>87</v>
      </c>
      <c r="AS1040" s="70">
        <f t="shared" si="456"/>
        <v>1037</v>
      </c>
      <c r="AT1040" s="71">
        <f t="shared" si="452"/>
        <v>8.2665249593544059E-4</v>
      </c>
      <c r="AU1040" s="72">
        <f t="shared" si="453"/>
        <v>6.8214933659622723E-3</v>
      </c>
      <c r="AV1040" s="73">
        <f t="shared" si="455"/>
        <v>1.0068214933659623</v>
      </c>
      <c r="AW1040" s="74">
        <f>PRODUCT(AV$4:AV1040)</f>
        <v>1152.7095063426091</v>
      </c>
    </row>
    <row r="1041" spans="44:49">
      <c r="AR1041" s="69">
        <f t="shared" si="454"/>
        <v>87</v>
      </c>
      <c r="AS1041" s="70">
        <f t="shared" si="456"/>
        <v>1038</v>
      </c>
      <c r="AT1041" s="71">
        <f t="shared" si="452"/>
        <v>8.2101349141846082E-4</v>
      </c>
      <c r="AU1041" s="72">
        <f t="shared" si="453"/>
        <v>6.8214933659622723E-3</v>
      </c>
      <c r="AV1041" s="73">
        <f t="shared" si="455"/>
        <v>1.0068214933659623</v>
      </c>
      <c r="AW1041" s="74">
        <f>PRODUCT(AV$4:AV1041)</f>
        <v>1160.5727065930068</v>
      </c>
    </row>
    <row r="1042" spans="44:49">
      <c r="AR1042" s="69">
        <f t="shared" si="454"/>
        <v>87</v>
      </c>
      <c r="AS1042" s="70">
        <f t="shared" si="456"/>
        <v>1039</v>
      </c>
      <c r="AT1042" s="71">
        <f t="shared" si="452"/>
        <v>8.154129533333843E-4</v>
      </c>
      <c r="AU1042" s="72">
        <f t="shared" si="453"/>
        <v>6.8214933659622723E-3</v>
      </c>
      <c r="AV1042" s="73">
        <f t="shared" si="455"/>
        <v>1.0068214933659623</v>
      </c>
      <c r="AW1042" s="74">
        <f>PRODUCT(AV$4:AV1042)</f>
        <v>1168.4895456117479</v>
      </c>
    </row>
    <row r="1043" spans="44:49">
      <c r="AR1043" s="69">
        <f t="shared" si="454"/>
        <v>87</v>
      </c>
      <c r="AS1043" s="70">
        <f t="shared" si="456"/>
        <v>1040</v>
      </c>
      <c r="AT1043" s="71">
        <f t="shared" si="452"/>
        <v>8.0985061928170088E-4</v>
      </c>
      <c r="AU1043" s="72">
        <f t="shared" si="453"/>
        <v>6.8214933659622723E-3</v>
      </c>
      <c r="AV1043" s="73">
        <f t="shared" si="455"/>
        <v>1.0068214933659623</v>
      </c>
      <c r="AW1043" s="74">
        <f>PRODUCT(AV$4:AV1043)</f>
        <v>1176.4603892953346</v>
      </c>
    </row>
    <row r="1044" spans="44:49">
      <c r="AR1044" s="69">
        <f t="shared" si="454"/>
        <v>87</v>
      </c>
      <c r="AS1044" s="70">
        <f t="shared" si="456"/>
        <v>1041</v>
      </c>
      <c r="AT1044" s="71">
        <f t="shared" si="452"/>
        <v>8.0432622865485033E-4</v>
      </c>
      <c r="AU1044" s="72">
        <f t="shared" si="453"/>
        <v>6.8214933659622723E-3</v>
      </c>
      <c r="AV1044" s="73">
        <f t="shared" si="455"/>
        <v>1.0068214933659623</v>
      </c>
      <c r="AW1044" s="74">
        <f>PRODUCT(AV$4:AV1044)</f>
        <v>1184.4856060362301</v>
      </c>
    </row>
    <row r="1045" spans="44:49">
      <c r="AR1045" s="69">
        <f t="shared" si="454"/>
        <v>87</v>
      </c>
      <c r="AS1045" s="70">
        <f t="shared" si="456"/>
        <v>1042</v>
      </c>
      <c r="AT1045" s="71">
        <f t="shared" si="452"/>
        <v>7.9883952262201183E-4</v>
      </c>
      <c r="AU1045" s="72">
        <f t="shared" si="453"/>
        <v>6.8214933659622723E-3</v>
      </c>
      <c r="AV1045" s="73">
        <f t="shared" si="455"/>
        <v>1.0068214933659623</v>
      </c>
      <c r="AW1045" s="74">
        <f>PRODUCT(AV$4:AV1045)</f>
        <v>1192.5655667398842</v>
      </c>
    </row>
    <row r="1046" spans="44:49">
      <c r="AR1046" s="69">
        <f t="shared" si="454"/>
        <v>87</v>
      </c>
      <c r="AS1046" s="70">
        <f t="shared" si="456"/>
        <v>1043</v>
      </c>
      <c r="AT1046" s="71">
        <f t="shared" si="452"/>
        <v>7.9339024411797729E-4</v>
      </c>
      <c r="AU1046" s="72">
        <f t="shared" si="453"/>
        <v>6.8214933659622723E-3</v>
      </c>
      <c r="AV1046" s="73">
        <f t="shared" si="455"/>
        <v>1.0068214933659623</v>
      </c>
      <c r="AW1046" s="74">
        <f>PRODUCT(AV$4:AV1046)</f>
        <v>1200.7006448418754</v>
      </c>
    </row>
    <row r="1047" spans="44:49">
      <c r="AR1047" s="69">
        <f t="shared" si="454"/>
        <v>87</v>
      </c>
      <c r="AS1047" s="70">
        <f t="shared" si="456"/>
        <v>1044</v>
      </c>
      <c r="AT1047" s="71">
        <f t="shared" ref="AT1047:AT1110" si="457">(1-AU1047)*AT1046</f>
        <v>7.8797813783110736E-4</v>
      </c>
      <c r="AU1047" s="72">
        <f t="shared" si="453"/>
        <v>6.8214933659622723E-3</v>
      </c>
      <c r="AV1047" s="73">
        <f t="shared" si="455"/>
        <v>1.0068214933659623</v>
      </c>
      <c r="AW1047" s="74">
        <f>PRODUCT(AV$4:AV1047)</f>
        <v>1208.8912163251709</v>
      </c>
    </row>
    <row r="1048" spans="44:49">
      <c r="AR1048" s="69">
        <f t="shared" si="454"/>
        <v>88</v>
      </c>
      <c r="AS1048" s="70">
        <f t="shared" si="456"/>
        <v>1045</v>
      </c>
      <c r="AT1048" s="71">
        <f t="shared" si="457"/>
        <v>7.8260295019136914E-4</v>
      </c>
      <c r="AU1048" s="72">
        <f t="shared" si="453"/>
        <v>6.8214933659622723E-3</v>
      </c>
      <c r="AV1048" s="73">
        <f t="shared" si="455"/>
        <v>1.0068214933659623</v>
      </c>
      <c r="AW1048" s="74">
        <f>PRODUCT(AV$4:AV1048)</f>
        <v>1217.1376597375031</v>
      </c>
    </row>
    <row r="1049" spans="44:49">
      <c r="AR1049" s="69">
        <f t="shared" si="454"/>
        <v>88</v>
      </c>
      <c r="AS1049" s="70">
        <f t="shared" si="456"/>
        <v>1046</v>
      </c>
      <c r="AT1049" s="71">
        <f t="shared" si="457"/>
        <v>7.7726442935845618E-4</v>
      </c>
      <c r="AU1049" s="72">
        <f t="shared" si="453"/>
        <v>6.8214933659622723E-3</v>
      </c>
      <c r="AV1049" s="73">
        <f t="shared" si="455"/>
        <v>1.0068214933659623</v>
      </c>
      <c r="AW1049" s="74">
        <f>PRODUCT(AV$4:AV1049)</f>
        <v>1225.4403562088653</v>
      </c>
    </row>
    <row r="1050" spans="44:49">
      <c r="AR1050" s="69">
        <f t="shared" si="454"/>
        <v>88</v>
      </c>
      <c r="AS1050" s="70">
        <f t="shared" si="456"/>
        <v>1047</v>
      </c>
      <c r="AT1050" s="71">
        <f t="shared" si="457"/>
        <v>7.7196232520998899E-4</v>
      </c>
      <c r="AU1050" s="72">
        <f t="shared" si="453"/>
        <v>6.8214933659622723E-3</v>
      </c>
      <c r="AV1050" s="73">
        <f t="shared" si="455"/>
        <v>1.0068214933659623</v>
      </c>
      <c r="AW1050" s="74">
        <f>PRODUCT(AV$4:AV1050)</f>
        <v>1233.7996894691264</v>
      </c>
    </row>
    <row r="1051" spans="44:49">
      <c r="AR1051" s="69">
        <f t="shared" si="454"/>
        <v>88</v>
      </c>
      <c r="AS1051" s="70">
        <f t="shared" si="456"/>
        <v>1048</v>
      </c>
      <c r="AT1051" s="71">
        <f t="shared" si="457"/>
        <v>7.6669638932979625E-4</v>
      </c>
      <c r="AU1051" s="72">
        <f t="shared" si="453"/>
        <v>6.8214933659622723E-3</v>
      </c>
      <c r="AV1051" s="73">
        <f t="shared" si="455"/>
        <v>1.0068214933659623</v>
      </c>
      <c r="AW1051" s="74">
        <f>PRODUCT(AV$4:AV1051)</f>
        <v>1242.2160458657663</v>
      </c>
    </row>
    <row r="1052" spans="44:49">
      <c r="AR1052" s="69">
        <f t="shared" si="454"/>
        <v>88</v>
      </c>
      <c r="AS1052" s="70">
        <f t="shared" si="456"/>
        <v>1049</v>
      </c>
      <c r="AT1052" s="71">
        <f t="shared" si="457"/>
        <v>7.6146637499627582E-4</v>
      </c>
      <c r="AU1052" s="72">
        <f t="shared" si="453"/>
        <v>6.8214933659622723E-3</v>
      </c>
      <c r="AV1052" s="73">
        <f t="shared" si="455"/>
        <v>1.0068214933659623</v>
      </c>
      <c r="AW1052" s="74">
        <f>PRODUCT(AV$4:AV1052)</f>
        <v>1250.6898143817316</v>
      </c>
    </row>
    <row r="1053" spans="44:49">
      <c r="AR1053" s="69">
        <f t="shared" si="454"/>
        <v>88</v>
      </c>
      <c r="AS1053" s="70">
        <f t="shared" si="456"/>
        <v>1050</v>
      </c>
      <c r="AT1053" s="71">
        <f t="shared" si="457"/>
        <v>7.5627203717083542E-4</v>
      </c>
      <c r="AU1053" s="72">
        <f t="shared" si="453"/>
        <v>6.8214933659622723E-3</v>
      </c>
      <c r="AV1053" s="73">
        <f t="shared" si="455"/>
        <v>1.0068214933659623</v>
      </c>
      <c r="AW1053" s="74">
        <f>PRODUCT(AV$4:AV1053)</f>
        <v>1259.2213866534132</v>
      </c>
    </row>
    <row r="1054" spans="44:49">
      <c r="AR1054" s="69">
        <f t="shared" si="454"/>
        <v>88</v>
      </c>
      <c r="AS1054" s="70">
        <f t="shared" si="456"/>
        <v>1051</v>
      </c>
      <c r="AT1054" s="71">
        <f t="shared" si="457"/>
        <v>7.5111313248641179E-4</v>
      </c>
      <c r="AU1054" s="72">
        <f t="shared" si="453"/>
        <v>6.8214933659622723E-3</v>
      </c>
      <c r="AV1054" s="73">
        <f t="shared" si="455"/>
        <v>1.0068214933659623</v>
      </c>
      <c r="AW1054" s="74">
        <f>PRODUCT(AV$4:AV1054)</f>
        <v>1267.8111569887474</v>
      </c>
    </row>
    <row r="1055" spans="44:49">
      <c r="AR1055" s="69">
        <f t="shared" si="454"/>
        <v>88</v>
      </c>
      <c r="AS1055" s="70">
        <f t="shared" si="456"/>
        <v>1052</v>
      </c>
      <c r="AT1055" s="71">
        <f t="shared" si="457"/>
        <v>7.4598941923606857E-4</v>
      </c>
      <c r="AU1055" s="72">
        <f t="shared" si="453"/>
        <v>6.8214933659622723E-3</v>
      </c>
      <c r="AV1055" s="73">
        <f t="shared" si="455"/>
        <v>1.0068214933659623</v>
      </c>
      <c r="AW1055" s="74">
        <f>PRODUCT(AV$4:AV1055)</f>
        <v>1276.459522385439</v>
      </c>
    </row>
    <row r="1056" spans="44:49">
      <c r="AR1056" s="69">
        <f t="shared" si="454"/>
        <v>88</v>
      </c>
      <c r="AS1056" s="70">
        <f t="shared" si="456"/>
        <v>1053</v>
      </c>
      <c r="AT1056" s="71">
        <f t="shared" si="457"/>
        <v>7.4090065736167167E-4</v>
      </c>
      <c r="AU1056" s="72">
        <f t="shared" si="453"/>
        <v>6.8214933659622723E-3</v>
      </c>
      <c r="AV1056" s="73">
        <f t="shared" si="455"/>
        <v>1.0068214933659623</v>
      </c>
      <c r="AW1056" s="74">
        <f>PRODUCT(AV$4:AV1056)</f>
        <v>1285.1668825493107</v>
      </c>
    </row>
    <row r="1057" spans="44:49">
      <c r="AR1057" s="69">
        <f t="shared" si="454"/>
        <v>88</v>
      </c>
      <c r="AS1057" s="70">
        <f t="shared" si="456"/>
        <v>1054</v>
      </c>
      <c r="AT1057" s="71">
        <f t="shared" si="457"/>
        <v>7.3584660844264193E-4</v>
      </c>
      <c r="AU1057" s="72">
        <f t="shared" si="453"/>
        <v>6.8214933659622723E-3</v>
      </c>
      <c r="AV1057" s="73">
        <f t="shared" si="455"/>
        <v>1.0068214933659623</v>
      </c>
      <c r="AW1057" s="74">
        <f>PRODUCT(AV$4:AV1057)</f>
        <v>1293.9336399127753</v>
      </c>
    </row>
    <row r="1058" spans="44:49">
      <c r="AR1058" s="69">
        <f t="shared" si="454"/>
        <v>88</v>
      </c>
      <c r="AS1058" s="70">
        <f t="shared" si="456"/>
        <v>1055</v>
      </c>
      <c r="AT1058" s="71">
        <f t="shared" si="457"/>
        <v>7.3082703568478464E-4</v>
      </c>
      <c r="AU1058" s="72">
        <f t="shared" si="453"/>
        <v>6.8214933659622723E-3</v>
      </c>
      <c r="AV1058" s="73">
        <f t="shared" si="455"/>
        <v>1.0068214933659623</v>
      </c>
      <c r="AW1058" s="74">
        <f>PRODUCT(AV$4:AV1058)</f>
        <v>1302.7601996534358</v>
      </c>
    </row>
    <row r="1059" spans="44:49">
      <c r="AR1059" s="69">
        <f t="shared" si="454"/>
        <v>88</v>
      </c>
      <c r="AS1059" s="70">
        <f t="shared" si="456"/>
        <v>1056</v>
      </c>
      <c r="AT1059" s="71">
        <f t="shared" si="457"/>
        <v>7.25841703909195E-4</v>
      </c>
      <c r="AU1059" s="72">
        <f t="shared" si="453"/>
        <v>6.8214933659622723E-3</v>
      </c>
      <c r="AV1059" s="73">
        <f t="shared" si="455"/>
        <v>1.0068214933659623</v>
      </c>
      <c r="AW1059" s="74">
        <f>PRODUCT(AV$4:AV1059)</f>
        <v>1311.6469697128114</v>
      </c>
    </row>
    <row r="1060" spans="44:49">
      <c r="AR1060" s="69">
        <f t="shared" si="454"/>
        <v>89</v>
      </c>
      <c r="AS1060" s="70">
        <f t="shared" si="456"/>
        <v>1057</v>
      </c>
      <c r="AT1060" s="71">
        <f t="shared" si="457"/>
        <v>7.2089037954123966E-4</v>
      </c>
      <c r="AU1060" s="72">
        <f t="shared" si="453"/>
        <v>6.8214933659622723E-3</v>
      </c>
      <c r="AV1060" s="73">
        <f t="shared" si="455"/>
        <v>1.0068214933659623</v>
      </c>
      <c r="AW1060" s="74">
        <f>PRODUCT(AV$4:AV1060)</f>
        <v>1320.5943608151917</v>
      </c>
    </row>
    <row r="1061" spans="44:49">
      <c r="AR1061" s="69">
        <f t="shared" si="454"/>
        <v>89</v>
      </c>
      <c r="AS1061" s="70">
        <f t="shared" si="456"/>
        <v>1058</v>
      </c>
      <c r="AT1061" s="71">
        <f t="shared" si="457"/>
        <v>7.1597283059961312E-4</v>
      </c>
      <c r="AU1061" s="72">
        <f t="shared" si="453"/>
        <v>6.8214933659622723E-3</v>
      </c>
      <c r="AV1061" s="73">
        <f t="shared" si="455"/>
        <v>1.0068214933659623</v>
      </c>
      <c r="AW1061" s="74">
        <f>PRODUCT(AV$4:AV1061)</f>
        <v>1329.6027864866198</v>
      </c>
    </row>
    <row r="1062" spans="44:49">
      <c r="AR1062" s="69">
        <f t="shared" si="454"/>
        <v>89</v>
      </c>
      <c r="AS1062" s="70">
        <f t="shared" si="456"/>
        <v>1059</v>
      </c>
      <c r="AT1062" s="71">
        <f t="shared" si="457"/>
        <v>7.1108882668546858E-4</v>
      </c>
      <c r="AU1062" s="72">
        <f t="shared" si="453"/>
        <v>6.8214933659622723E-3</v>
      </c>
      <c r="AV1062" s="73">
        <f t="shared" si="455"/>
        <v>1.0068214933659623</v>
      </c>
      <c r="AW1062" s="74">
        <f>PRODUCT(AV$4:AV1062)</f>
        <v>1338.6726630740034</v>
      </c>
    </row>
    <row r="1063" spans="44:49">
      <c r="AR1063" s="69">
        <f t="shared" si="454"/>
        <v>89</v>
      </c>
      <c r="AS1063" s="70">
        <f t="shared" si="456"/>
        <v>1060</v>
      </c>
      <c r="AT1063" s="71">
        <f t="shared" si="457"/>
        <v>7.062381389716238E-4</v>
      </c>
      <c r="AU1063" s="72">
        <f t="shared" si="453"/>
        <v>6.8214933659622723E-3</v>
      </c>
      <c r="AV1063" s="73">
        <f t="shared" si="455"/>
        <v>1.0068214933659623</v>
      </c>
      <c r="AW1063" s="74">
        <f>PRODUCT(AV$4:AV1063)</f>
        <v>1347.8044097643578</v>
      </c>
    </row>
    <row r="1064" spans="44:49">
      <c r="AR1064" s="69">
        <f t="shared" si="454"/>
        <v>89</v>
      </c>
      <c r="AS1064" s="70">
        <f t="shared" si="456"/>
        <v>1061</v>
      </c>
      <c r="AT1064" s="71">
        <f t="shared" si="457"/>
        <v>7.014205401918393E-4</v>
      </c>
      <c r="AU1064" s="72">
        <f t="shared" si="453"/>
        <v>6.8214933659622723E-3</v>
      </c>
      <c r="AV1064" s="73">
        <f t="shared" si="455"/>
        <v>1.0068214933659623</v>
      </c>
      <c r="AW1064" s="74">
        <f>PRODUCT(AV$4:AV1064)</f>
        <v>1356.9984486041801</v>
      </c>
    </row>
    <row r="1065" spans="44:49">
      <c r="AR1065" s="69">
        <f t="shared" si="454"/>
        <v>89</v>
      </c>
      <c r="AS1065" s="70">
        <f t="shared" si="456"/>
        <v>1062</v>
      </c>
      <c r="AT1065" s="71">
        <f t="shared" si="457"/>
        <v>6.96635804630171E-4</v>
      </c>
      <c r="AU1065" s="72">
        <f t="shared" si="453"/>
        <v>6.8214933659622723E-3</v>
      </c>
      <c r="AV1065" s="73">
        <f t="shared" si="455"/>
        <v>1.0068214933659623</v>
      </c>
      <c r="AW1065" s="74">
        <f>PRODUCT(AV$4:AV1065)</f>
        <v>1366.2552045189545</v>
      </c>
    </row>
    <row r="1066" spans="44:49">
      <c r="AR1066" s="69">
        <f t="shared" si="454"/>
        <v>89</v>
      </c>
      <c r="AS1066" s="70">
        <f t="shared" si="456"/>
        <v>1063</v>
      </c>
      <c r="AT1066" s="71">
        <f t="shared" si="457"/>
        <v>6.9188370811039456E-4</v>
      </c>
      <c r="AU1066" s="72">
        <f t="shared" si="453"/>
        <v>6.8214933659622723E-3</v>
      </c>
      <c r="AV1066" s="73">
        <f t="shared" si="455"/>
        <v>1.0068214933659623</v>
      </c>
      <c r="AW1066" s="74">
        <f>PRODUCT(AV$4:AV1066)</f>
        <v>1375.575105332792</v>
      </c>
    </row>
    <row r="1067" spans="44:49">
      <c r="AR1067" s="69">
        <f t="shared" si="454"/>
        <v>89</v>
      </c>
      <c r="AS1067" s="70">
        <f t="shared" si="456"/>
        <v>1064</v>
      </c>
      <c r="AT1067" s="71">
        <f t="shared" si="457"/>
        <v>6.8716402798550214E-4</v>
      </c>
      <c r="AU1067" s="72">
        <f t="shared" si="453"/>
        <v>6.8214933659622723E-3</v>
      </c>
      <c r="AV1067" s="73">
        <f t="shared" si="455"/>
        <v>1.0068214933659623</v>
      </c>
      <c r="AW1067" s="74">
        <f>PRODUCT(AV$4:AV1067)</f>
        <v>1384.9585817882025</v>
      </c>
    </row>
    <row r="1068" spans="44:49">
      <c r="AR1068" s="69">
        <f t="shared" si="454"/>
        <v>89</v>
      </c>
      <c r="AS1068" s="70">
        <f t="shared" si="456"/>
        <v>1065</v>
      </c>
      <c r="AT1068" s="71">
        <f t="shared" si="457"/>
        <v>6.8247654312727113E-4</v>
      </c>
      <c r="AU1068" s="72">
        <f t="shared" si="453"/>
        <v>6.8214933659622723E-3</v>
      </c>
      <c r="AV1068" s="73">
        <f t="shared" si="455"/>
        <v>1.0068214933659623</v>
      </c>
      <c r="AW1068" s="74">
        <f>PRODUCT(AV$4:AV1068)</f>
        <v>1394.4060675660032</v>
      </c>
    </row>
    <row r="1069" spans="44:49">
      <c r="AR1069" s="69">
        <f t="shared" si="454"/>
        <v>89</v>
      </c>
      <c r="AS1069" s="70">
        <f t="shared" si="456"/>
        <v>1066</v>
      </c>
      <c r="AT1069" s="71">
        <f t="shared" si="457"/>
        <v>6.7782103391590361E-4</v>
      </c>
      <c r="AU1069" s="72">
        <f t="shared" si="453"/>
        <v>6.8214933659622723E-3</v>
      </c>
      <c r="AV1069" s="73">
        <f t="shared" si="455"/>
        <v>1.0068214933659623</v>
      </c>
      <c r="AW1069" s="74">
        <f>PRODUCT(AV$4:AV1069)</f>
        <v>1403.9179993053622</v>
      </c>
    </row>
    <row r="1070" spans="44:49">
      <c r="AR1070" s="69">
        <f t="shared" si="454"/>
        <v>89</v>
      </c>
      <c r="AS1070" s="70">
        <f t="shared" si="456"/>
        <v>1067</v>
      </c>
      <c r="AT1070" s="71">
        <f t="shared" si="457"/>
        <v>6.731972822297366E-4</v>
      </c>
      <c r="AU1070" s="72">
        <f t="shared" si="453"/>
        <v>6.8214933659622723E-3</v>
      </c>
      <c r="AV1070" s="73">
        <f t="shared" si="455"/>
        <v>1.0068214933659623</v>
      </c>
      <c r="AW1070" s="74">
        <f>PRODUCT(AV$4:AV1070)</f>
        <v>1413.4948166239787</v>
      </c>
    </row>
    <row r="1071" spans="44:49">
      <c r="AR1071" s="69">
        <f t="shared" si="454"/>
        <v>89</v>
      </c>
      <c r="AS1071" s="70">
        <f t="shared" si="456"/>
        <v>1068</v>
      </c>
      <c r="AT1071" s="71">
        <f t="shared" si="457"/>
        <v>6.6860507143502257E-4</v>
      </c>
      <c r="AU1071" s="72">
        <f t="shared" si="453"/>
        <v>6.8214933659622723E-3</v>
      </c>
      <c r="AV1071" s="73">
        <f t="shared" si="455"/>
        <v>1.0068214933659623</v>
      </c>
      <c r="AW1071" s="74">
        <f>PRODUCT(AV$4:AV1071)</f>
        <v>1423.1369621384013</v>
      </c>
    </row>
    <row r="1072" spans="44:49">
      <c r="AR1072" s="69">
        <f t="shared" si="454"/>
        <v>90</v>
      </c>
      <c r="AS1072" s="70">
        <f t="shared" si="456"/>
        <v>1069</v>
      </c>
      <c r="AT1072" s="71">
        <f t="shared" si="457"/>
        <v>6.6404418637577985E-4</v>
      </c>
      <c r="AU1072" s="72">
        <f t="shared" si="453"/>
        <v>6.8214933659622723E-3</v>
      </c>
      <c r="AV1072" s="73">
        <f t="shared" si="455"/>
        <v>1.0068214933659623</v>
      </c>
      <c r="AW1072" s="74">
        <f>PRODUCT(AV$4:AV1072)</f>
        <v>1432.8448814844842</v>
      </c>
    </row>
    <row r="1073" spans="44:49">
      <c r="AR1073" s="69">
        <f t="shared" si="454"/>
        <v>90</v>
      </c>
      <c r="AS1073" s="70">
        <f t="shared" si="456"/>
        <v>1070</v>
      </c>
      <c r="AT1073" s="71">
        <f t="shared" si="457"/>
        <v>6.5951441336371168E-4</v>
      </c>
      <c r="AU1073" s="72">
        <f t="shared" si="453"/>
        <v>6.8214933659622723E-3</v>
      </c>
      <c r="AV1073" s="73">
        <f t="shared" si="455"/>
        <v>1.0068214933659623</v>
      </c>
      <c r="AW1073" s="74">
        <f>PRODUCT(AV$4:AV1073)</f>
        <v>1442.6190233379837</v>
      </c>
    </row>
    <row r="1074" spans="44:49">
      <c r="AR1074" s="69">
        <f t="shared" si="454"/>
        <v>90</v>
      </c>
      <c r="AS1074" s="70">
        <f t="shared" si="456"/>
        <v>1071</v>
      </c>
      <c r="AT1074" s="71">
        <f t="shared" si="457"/>
        <v>6.5501554016819457E-4</v>
      </c>
      <c r="AU1074" s="72">
        <f t="shared" si="453"/>
        <v>6.8214933659622723E-3</v>
      </c>
      <c r="AV1074" s="73">
        <f t="shared" si="455"/>
        <v>1.0068214933659623</v>
      </c>
      <c r="AW1074" s="74">
        <f>PRODUCT(AV$4:AV1074)</f>
        <v>1452.4598394352947</v>
      </c>
    </row>
    <row r="1075" spans="44:49">
      <c r="AR1075" s="69">
        <f t="shared" si="454"/>
        <v>90</v>
      </c>
      <c r="AS1075" s="70">
        <f t="shared" si="456"/>
        <v>1072</v>
      </c>
      <c r="AT1075" s="71">
        <f t="shared" si="457"/>
        <v>6.50547356006335E-4</v>
      </c>
      <c r="AU1075" s="72">
        <f t="shared" si="453"/>
        <v>6.8214933659622723E-3</v>
      </c>
      <c r="AV1075" s="73">
        <f t="shared" si="455"/>
        <v>1.0068214933659623</v>
      </c>
      <c r="AW1075" s="74">
        <f>PRODUCT(AV$4:AV1075)</f>
        <v>1462.3677845943291</v>
      </c>
    </row>
    <row r="1076" spans="44:49">
      <c r="AR1076" s="69">
        <f t="shared" si="454"/>
        <v>90</v>
      </c>
      <c r="AS1076" s="70">
        <f t="shared" si="456"/>
        <v>1073</v>
      </c>
      <c r="AT1076" s="71">
        <f t="shared" si="457"/>
        <v>6.461096515330935E-4</v>
      </c>
      <c r="AU1076" s="72">
        <f t="shared" si="453"/>
        <v>6.8214933659622723E-3</v>
      </c>
      <c r="AV1076" s="73">
        <f t="shared" si="455"/>
        <v>1.0068214933659623</v>
      </c>
      <c r="AW1076" s="74">
        <f>PRODUCT(AV$4:AV1076)</f>
        <v>1472.3433167355363</v>
      </c>
    </row>
    <row r="1077" spans="44:49">
      <c r="AR1077" s="69">
        <f t="shared" si="454"/>
        <v>90</v>
      </c>
      <c r="AS1077" s="70">
        <f t="shared" si="456"/>
        <v>1074</v>
      </c>
      <c r="AT1077" s="71">
        <f t="shared" si="457"/>
        <v>6.4170221883147634E-4</v>
      </c>
      <c r="AU1077" s="72">
        <f t="shared" si="453"/>
        <v>6.8214933659622723E-3</v>
      </c>
      <c r="AV1077" s="73">
        <f t="shared" si="455"/>
        <v>1.0068214933659623</v>
      </c>
      <c r="AW1077" s="74">
        <f>PRODUCT(AV$4:AV1077)</f>
        <v>1482.3868969030666</v>
      </c>
    </row>
    <row r="1078" spans="44:49">
      <c r="AR1078" s="69">
        <f t="shared" si="454"/>
        <v>90</v>
      </c>
      <c r="AS1078" s="70">
        <f t="shared" si="456"/>
        <v>1075</v>
      </c>
      <c r="AT1078" s="71">
        <f t="shared" si="457"/>
        <v>6.3732485140279417E-4</v>
      </c>
      <c r="AU1078" s="72">
        <f t="shared" si="453"/>
        <v>6.8214933659622723E-3</v>
      </c>
      <c r="AV1078" s="73">
        <f t="shared" si="455"/>
        <v>1.0068214933659623</v>
      </c>
      <c r="AW1078" s="74">
        <f>PRODUCT(AV$4:AV1078)</f>
        <v>1492.4989892860804</v>
      </c>
    </row>
    <row r="1079" spans="44:49">
      <c r="AR1079" s="69">
        <f t="shared" si="454"/>
        <v>90</v>
      </c>
      <c r="AS1079" s="70">
        <f t="shared" si="456"/>
        <v>1076</v>
      </c>
      <c r="AT1079" s="71">
        <f t="shared" si="457"/>
        <v>6.3297734415698715E-4</v>
      </c>
      <c r="AU1079" s="72">
        <f t="shared" si="453"/>
        <v>6.8214933659622723E-3</v>
      </c>
      <c r="AV1079" s="73">
        <f t="shared" si="455"/>
        <v>1.0068214933659623</v>
      </c>
      <c r="AW1079" s="74">
        <f>PRODUCT(AV$4:AV1079)</f>
        <v>1502.6800612402008</v>
      </c>
    </row>
    <row r="1080" spans="44:49">
      <c r="AR1080" s="69">
        <f t="shared" si="454"/>
        <v>90</v>
      </c>
      <c r="AS1080" s="70">
        <f t="shared" si="456"/>
        <v>1077</v>
      </c>
      <c r="AT1080" s="71">
        <f t="shared" si="457"/>
        <v>6.2865949340301587E-4</v>
      </c>
      <c r="AU1080" s="72">
        <f t="shared" si="453"/>
        <v>6.8214933659622723E-3</v>
      </c>
      <c r="AV1080" s="73">
        <f t="shared" si="455"/>
        <v>1.0068214933659623</v>
      </c>
      <c r="AW1080" s="74">
        <f>PRODUCT(AV$4:AV1080)</f>
        <v>1512.9305833091146</v>
      </c>
    </row>
    <row r="1081" spans="44:49">
      <c r="AR1081" s="69">
        <f t="shared" si="454"/>
        <v>90</v>
      </c>
      <c r="AS1081" s="70">
        <f t="shared" si="456"/>
        <v>1078</v>
      </c>
      <c r="AT1081" s="71">
        <f t="shared" si="457"/>
        <v>6.2437109683931801E-4</v>
      </c>
      <c r="AU1081" s="72">
        <f t="shared" si="453"/>
        <v>6.8214933659622723E-3</v>
      </c>
      <c r="AV1081" s="73">
        <f t="shared" si="455"/>
        <v>1.0068214933659623</v>
      </c>
      <c r="AW1081" s="74">
        <f>PRODUCT(AV$4:AV1081)</f>
        <v>1523.2510292463191</v>
      </c>
    </row>
    <row r="1082" spans="44:49">
      <c r="AR1082" s="69">
        <f t="shared" si="454"/>
        <v>90</v>
      </c>
      <c r="AS1082" s="70">
        <f t="shared" si="456"/>
        <v>1079</v>
      </c>
      <c r="AT1082" s="71">
        <f t="shared" si="457"/>
        <v>6.2011195354432999E-4</v>
      </c>
      <c r="AU1082" s="72">
        <f t="shared" si="453"/>
        <v>6.8214933659622723E-3</v>
      </c>
      <c r="AV1082" s="73">
        <f t="shared" si="455"/>
        <v>1.0068214933659623</v>
      </c>
      <c r="AW1082" s="74">
        <f>PRODUCT(AV$4:AV1082)</f>
        <v>1533.6418760370182</v>
      </c>
    </row>
    <row r="1083" spans="44:49">
      <c r="AR1083" s="69">
        <f t="shared" si="454"/>
        <v>90</v>
      </c>
      <c r="AS1083" s="70">
        <f t="shared" si="456"/>
        <v>1080</v>
      </c>
      <c r="AT1083" s="71">
        <f t="shared" si="457"/>
        <v>6.1588186396707343E-4</v>
      </c>
      <c r="AU1083" s="72">
        <f t="shared" si="453"/>
        <v>6.8214933659622723E-3</v>
      </c>
      <c r="AV1083" s="73">
        <f t="shared" si="455"/>
        <v>1.0068214933659623</v>
      </c>
      <c r="AW1083" s="74">
        <f>PRODUCT(AV$4:AV1083)</f>
        <v>1544.1036039201665</v>
      </c>
    </row>
    <row r="1084" spans="44:49">
      <c r="AR1084" s="69">
        <f t="shared" si="454"/>
        <v>91</v>
      </c>
      <c r="AS1084" s="70">
        <f t="shared" si="456"/>
        <v>1081</v>
      </c>
      <c r="AT1084" s="71">
        <f t="shared" si="457"/>
        <v>6.116806299178056E-4</v>
      </c>
      <c r="AU1084" s="72">
        <f t="shared" si="453"/>
        <v>6.8214933659622723E-3</v>
      </c>
      <c r="AV1084" s="73">
        <f t="shared" si="455"/>
        <v>1.0068214933659623</v>
      </c>
      <c r="AW1084" s="74">
        <f>PRODUCT(AV$4:AV1084)</f>
        <v>1554.6366964106664</v>
      </c>
    </row>
    <row r="1085" spans="44:49">
      <c r="AR1085" s="69">
        <f t="shared" si="454"/>
        <v>91</v>
      </c>
      <c r="AS1085" s="70">
        <f t="shared" si="456"/>
        <v>1082</v>
      </c>
      <c r="AT1085" s="71">
        <f t="shared" si="457"/>
        <v>6.0750805455873371E-4</v>
      </c>
      <c r="AU1085" s="72">
        <f t="shared" si="453"/>
        <v>6.8214933659622723E-3</v>
      </c>
      <c r="AV1085" s="73">
        <f t="shared" si="455"/>
        <v>1.0068214933659623</v>
      </c>
      <c r="AW1085" s="74">
        <f>PRODUCT(AV$4:AV1085)</f>
        <v>1565.2416403217132</v>
      </c>
    </row>
    <row r="1086" spans="44:49">
      <c r="AR1086" s="69">
        <f t="shared" si="454"/>
        <v>91</v>
      </c>
      <c r="AS1086" s="70">
        <f t="shared" si="456"/>
        <v>1083</v>
      </c>
      <c r="AT1086" s="71">
        <f t="shared" si="457"/>
        <v>6.0336394239479262E-4</v>
      </c>
      <c r="AU1086" s="72">
        <f t="shared" si="453"/>
        <v>6.8214933659622723E-3</v>
      </c>
      <c r="AV1086" s="73">
        <f t="shared" si="455"/>
        <v>1.0068214933659623</v>
      </c>
      <c r="AW1086" s="74">
        <f>PRODUCT(AV$4:AV1086)</f>
        <v>1575.9189257872956</v>
      </c>
    </row>
    <row r="1087" spans="44:49">
      <c r="AR1087" s="69">
        <f t="shared" si="454"/>
        <v>91</v>
      </c>
      <c r="AS1087" s="70">
        <f t="shared" si="456"/>
        <v>1084</v>
      </c>
      <c r="AT1087" s="71">
        <f t="shared" si="457"/>
        <v>5.9924809926448566E-4</v>
      </c>
      <c r="AU1087" s="72">
        <f t="shared" si="453"/>
        <v>6.8214933659622723E-3</v>
      </c>
      <c r="AV1087" s="73">
        <f t="shared" si="455"/>
        <v>1.0068214933659623</v>
      </c>
      <c r="AW1087" s="74">
        <f>PRODUCT(AV$4:AV1087)</f>
        <v>1586.669046284848</v>
      </c>
    </row>
    <row r="1088" spans="44:49">
      <c r="AR1088" s="69">
        <f t="shared" si="454"/>
        <v>91</v>
      </c>
      <c r="AS1088" s="70">
        <f t="shared" si="456"/>
        <v>1085</v>
      </c>
      <c r="AT1088" s="71">
        <f t="shared" si="457"/>
        <v>5.9516033233078752E-4</v>
      </c>
      <c r="AU1088" s="72">
        <f t="shared" si="453"/>
        <v>6.8214933659622723E-3</v>
      </c>
      <c r="AV1088" s="73">
        <f t="shared" si="455"/>
        <v>1.0068214933659623</v>
      </c>
      <c r="AW1088" s="74">
        <f>PRODUCT(AV$4:AV1088)</f>
        <v>1597.4924986580579</v>
      </c>
    </row>
    <row r="1089" spans="44:49">
      <c r="AR1089" s="69">
        <f t="shared" si="454"/>
        <v>91</v>
      </c>
      <c r="AS1089" s="70">
        <f t="shared" si="456"/>
        <v>1086</v>
      </c>
      <c r="AT1089" s="71">
        <f t="shared" si="457"/>
        <v>5.9110045007210914E-4</v>
      </c>
      <c r="AU1089" s="72">
        <f t="shared" si="453"/>
        <v>6.8214933659622723E-3</v>
      </c>
      <c r="AV1089" s="73">
        <f t="shared" si="455"/>
        <v>1.0068214933659623</v>
      </c>
      <c r="AW1089" s="74">
        <f>PRODUCT(AV$4:AV1089)</f>
        <v>1608.3897831398283</v>
      </c>
    </row>
    <row r="1090" spans="44:49">
      <c r="AR1090" s="69">
        <f t="shared" si="454"/>
        <v>91</v>
      </c>
      <c r="AS1090" s="70">
        <f t="shared" si="456"/>
        <v>1087</v>
      </c>
      <c r="AT1090" s="71">
        <f t="shared" si="457"/>
        <v>5.8706826227332496E-4</v>
      </c>
      <c r="AU1090" s="72">
        <f t="shared" si="453"/>
        <v>6.8214933659622723E-3</v>
      </c>
      <c r="AV1090" s="73">
        <f t="shared" si="455"/>
        <v>1.0068214933659623</v>
      </c>
      <c r="AW1090" s="74">
        <f>PRODUCT(AV$4:AV1090)</f>
        <v>1619.3614033753981</v>
      </c>
    </row>
    <row r="1091" spans="44:49">
      <c r="AR1091" s="69">
        <f t="shared" si="454"/>
        <v>91</v>
      </c>
      <c r="AS1091" s="70">
        <f t="shared" si="456"/>
        <v>1088</v>
      </c>
      <c r="AT1091" s="71">
        <f t="shared" si="457"/>
        <v>5.8306358001686048E-4</v>
      </c>
      <c r="AU1091" s="72">
        <f t="shared" si="453"/>
        <v>6.8214933659622723E-3</v>
      </c>
      <c r="AV1091" s="73">
        <f t="shared" si="455"/>
        <v>1.0068214933659623</v>
      </c>
      <c r="AW1091" s="74">
        <f>PRODUCT(AV$4:AV1091)</f>
        <v>1630.4078664456188</v>
      </c>
    </row>
    <row r="1092" spans="44:49">
      <c r="AR1092" s="69">
        <f t="shared" si="454"/>
        <v>91</v>
      </c>
      <c r="AS1092" s="70">
        <f t="shared" si="456"/>
        <v>1089</v>
      </c>
      <c r="AT1092" s="71">
        <f t="shared" si="457"/>
        <v>5.7908621567384123E-4</v>
      </c>
      <c r="AU1092" s="72">
        <f t="shared" ref="AU1092:AU1155" si="458">((1+$AH$21)^(1/12))-1</f>
        <v>6.8214933659622723E-3</v>
      </c>
      <c r="AV1092" s="73">
        <f t="shared" si="455"/>
        <v>1.0068214933659623</v>
      </c>
      <c r="AW1092" s="74">
        <f>PRODUCT(AV$4:AV1092)</f>
        <v>1641.5296828903902</v>
      </c>
    </row>
    <row r="1093" spans="44:49">
      <c r="AR1093" s="69">
        <f t="shared" ref="AR1093:AR1156" si="459">ROUNDDOWN((AS1093-1)/12,0)+1</f>
        <v>91</v>
      </c>
      <c r="AS1093" s="70">
        <f t="shared" si="456"/>
        <v>1090</v>
      </c>
      <c r="AT1093" s="71">
        <f t="shared" si="457"/>
        <v>5.7513598289530188E-4</v>
      </c>
      <c r="AU1093" s="72">
        <f t="shared" si="458"/>
        <v>6.8214933659622723E-3</v>
      </c>
      <c r="AV1093" s="73">
        <f t="shared" ref="AV1093:AV1156" si="460">(1+AU1093)</f>
        <v>1.0068214933659623</v>
      </c>
      <c r="AW1093" s="74">
        <f>PRODUCT(AV$4:AV1093)</f>
        <v>1652.7273667322572</v>
      </c>
    </row>
    <row r="1094" spans="44:49">
      <c r="AR1094" s="69">
        <f t="shared" si="459"/>
        <v>91</v>
      </c>
      <c r="AS1094" s="70">
        <f t="shared" ref="AS1094:AS1157" si="461">AS1093+1</f>
        <v>1091</v>
      </c>
      <c r="AT1094" s="71">
        <f t="shared" si="457"/>
        <v>5.7121269660345534E-4</v>
      </c>
      <c r="AU1094" s="72">
        <f t="shared" si="458"/>
        <v>6.8214933659622723E-3</v>
      </c>
      <c r="AV1094" s="73">
        <f t="shared" si="460"/>
        <v>1.0068214933659623</v>
      </c>
      <c r="AW1094" s="74">
        <f>PRODUCT(AV$4:AV1094)</f>
        <v>1664.0014355001656</v>
      </c>
    </row>
    <row r="1095" spans="44:49">
      <c r="AR1095" s="69">
        <f t="shared" si="459"/>
        <v>91</v>
      </c>
      <c r="AS1095" s="70">
        <f t="shared" si="461"/>
        <v>1092</v>
      </c>
      <c r="AT1095" s="71">
        <f t="shared" si="457"/>
        <v>5.6731617298302146E-4</v>
      </c>
      <c r="AU1095" s="72">
        <f t="shared" si="458"/>
        <v>6.8214933659622723E-3</v>
      </c>
      <c r="AV1095" s="73">
        <f t="shared" si="460"/>
        <v>1.0068214933659623</v>
      </c>
      <c r="AW1095" s="74">
        <f>PRODUCT(AV$4:AV1095)</f>
        <v>1675.3524102533818</v>
      </c>
    </row>
    <row r="1096" spans="44:49">
      <c r="AR1096" s="69">
        <f t="shared" si="459"/>
        <v>92</v>
      </c>
      <c r="AS1096" s="70">
        <f t="shared" si="461"/>
        <v>1093</v>
      </c>
      <c r="AT1096" s="71">
        <f t="shared" si="457"/>
        <v>5.6344622947261463E-4</v>
      </c>
      <c r="AU1096" s="72">
        <f t="shared" si="458"/>
        <v>6.8214933659622723E-3</v>
      </c>
      <c r="AV1096" s="73">
        <f t="shared" si="460"/>
        <v>1.0068214933659623</v>
      </c>
      <c r="AW1096" s="74">
        <f>PRODUCT(AV$4:AV1096)</f>
        <v>1686.7808156055742</v>
      </c>
    </row>
    <row r="1097" spans="44:49">
      <c r="AR1097" s="69">
        <f t="shared" si="459"/>
        <v>92</v>
      </c>
      <c r="AS1097" s="70">
        <f t="shared" si="461"/>
        <v>1094</v>
      </c>
      <c r="AT1097" s="71">
        <f t="shared" si="457"/>
        <v>5.5960268475619074E-4</v>
      </c>
      <c r="AU1097" s="72">
        <f t="shared" si="458"/>
        <v>6.8214933659622723E-3</v>
      </c>
      <c r="AV1097" s="73">
        <f t="shared" si="460"/>
        <v>1.0068214933659623</v>
      </c>
      <c r="AW1097" s="74">
        <f>PRODUCT(AV$4:AV1097)</f>
        <v>1698.28717974906</v>
      </c>
    </row>
    <row r="1098" spans="44:49">
      <c r="AR1098" s="69">
        <f t="shared" si="459"/>
        <v>92</v>
      </c>
      <c r="AS1098" s="70">
        <f t="shared" si="461"/>
        <v>1095</v>
      </c>
      <c r="AT1098" s="71">
        <f t="shared" si="457"/>
        <v>5.5578535875455172E-4</v>
      </c>
      <c r="AU1098" s="72">
        <f t="shared" si="458"/>
        <v>6.8214933659622723E-3</v>
      </c>
      <c r="AV1098" s="73">
        <f t="shared" si="460"/>
        <v>1.0068214933659623</v>
      </c>
      <c r="AW1098" s="74">
        <f>PRODUCT(AV$4:AV1098)</f>
        <v>1709.8720344792171</v>
      </c>
    </row>
    <row r="1099" spans="44:49">
      <c r="AR1099" s="69">
        <f t="shared" si="459"/>
        <v>92</v>
      </c>
      <c r="AS1099" s="70">
        <f t="shared" si="461"/>
        <v>1096</v>
      </c>
      <c r="AT1099" s="71">
        <f t="shared" si="457"/>
        <v>5.5199407261690857E-4</v>
      </c>
      <c r="AU1099" s="72">
        <f t="shared" si="458"/>
        <v>6.8214933659622723E-3</v>
      </c>
      <c r="AV1099" s="73">
        <f t="shared" si="460"/>
        <v>1.0068214933659623</v>
      </c>
      <c r="AW1099" s="74">
        <f>PRODUCT(AV$4:AV1099)</f>
        <v>1721.5359152190615</v>
      </c>
    </row>
    <row r="1100" spans="44:49">
      <c r="AR1100" s="69">
        <f t="shared" si="459"/>
        <v>92</v>
      </c>
      <c r="AS1100" s="70">
        <f t="shared" si="461"/>
        <v>1097</v>
      </c>
      <c r="AT1100" s="71">
        <f t="shared" si="457"/>
        <v>5.4822864871250179E-4</v>
      </c>
      <c r="AU1100" s="72">
        <f t="shared" si="458"/>
        <v>6.8214933659622723E-3</v>
      </c>
      <c r="AV1100" s="73">
        <f t="shared" si="460"/>
        <v>1.0068214933659623</v>
      </c>
      <c r="AW1100" s="74">
        <f>PRODUCT(AV$4:AV1100)</f>
        <v>1733.2793610439942</v>
      </c>
    </row>
    <row r="1101" spans="44:49">
      <c r="AR1101" s="69">
        <f t="shared" si="459"/>
        <v>92</v>
      </c>
      <c r="AS1101" s="70">
        <f t="shared" si="461"/>
        <v>1098</v>
      </c>
      <c r="AT1101" s="71">
        <f t="shared" si="457"/>
        <v>5.4448891062227895E-4</v>
      </c>
      <c r="AU1101" s="72">
        <f t="shared" si="458"/>
        <v>6.8214933659622723E-3</v>
      </c>
      <c r="AV1101" s="73">
        <f t="shared" si="460"/>
        <v>1.0068214933659623</v>
      </c>
      <c r="AW1101" s="74">
        <f>PRODUCT(AV$4:AV1101)</f>
        <v>1745.1029147067152</v>
      </c>
    </row>
    <row r="1102" spans="44:49">
      <c r="AR1102" s="69">
        <f t="shared" si="459"/>
        <v>92</v>
      </c>
      <c r="AS1102" s="70">
        <f t="shared" si="461"/>
        <v>1099</v>
      </c>
      <c r="AT1102" s="71">
        <f t="shared" si="457"/>
        <v>5.4077468313062905E-4</v>
      </c>
      <c r="AU1102" s="72">
        <f t="shared" si="458"/>
        <v>6.8214933659622723E-3</v>
      </c>
      <c r="AV1102" s="73">
        <f t="shared" si="460"/>
        <v>1.0068214933659623</v>
      </c>
      <c r="AW1102" s="74">
        <f>PRODUCT(AV$4:AV1102)</f>
        <v>1757.0071226623086</v>
      </c>
    </row>
    <row r="1103" spans="44:49">
      <c r="AR1103" s="69">
        <f t="shared" si="459"/>
        <v>92</v>
      </c>
      <c r="AS1103" s="70">
        <f t="shared" si="461"/>
        <v>1100</v>
      </c>
      <c r="AT1103" s="71">
        <f t="shared" si="457"/>
        <v>5.3708579221717313E-4</v>
      </c>
      <c r="AU1103" s="72">
        <f t="shared" si="458"/>
        <v>6.8214933659622723E-3</v>
      </c>
      <c r="AV1103" s="73">
        <f t="shared" si="460"/>
        <v>1.0068214933659623</v>
      </c>
      <c r="AW1103" s="74">
        <f>PRODUCT(AV$4:AV1103)</f>
        <v>1768.992535093498</v>
      </c>
    </row>
    <row r="1104" spans="44:49">
      <c r="AR1104" s="69">
        <f t="shared" si="459"/>
        <v>92</v>
      </c>
      <c r="AS1104" s="70">
        <f t="shared" si="461"/>
        <v>1101</v>
      </c>
      <c r="AT1104" s="71">
        <f t="shared" si="457"/>
        <v>5.3342206504861111E-4</v>
      </c>
      <c r="AU1104" s="72">
        <f t="shared" si="458"/>
        <v>6.8214933659622723E-3</v>
      </c>
      <c r="AV1104" s="73">
        <f t="shared" si="460"/>
        <v>1.0068214933659623</v>
      </c>
      <c r="AW1104" s="74">
        <f>PRODUCT(AV$4:AV1104)</f>
        <v>1781.059705936075</v>
      </c>
    </row>
    <row r="1105" spans="44:49">
      <c r="AR1105" s="69">
        <f t="shared" si="459"/>
        <v>92</v>
      </c>
      <c r="AS1105" s="70">
        <f t="shared" si="461"/>
        <v>1102</v>
      </c>
      <c r="AT1105" s="71">
        <f t="shared" si="457"/>
        <v>5.297833299706241E-4</v>
      </c>
      <c r="AU1105" s="72">
        <f t="shared" si="458"/>
        <v>6.8214933659622723E-3</v>
      </c>
      <c r="AV1105" s="73">
        <f t="shared" si="460"/>
        <v>1.0068214933659623</v>
      </c>
      <c r="AW1105" s="74">
        <f>PRODUCT(AV$4:AV1105)</f>
        <v>1793.2091929045007</v>
      </c>
    </row>
    <row r="1106" spans="44:49">
      <c r="AR1106" s="69">
        <f t="shared" si="459"/>
        <v>92</v>
      </c>
      <c r="AS1106" s="70">
        <f t="shared" si="461"/>
        <v>1103</v>
      </c>
      <c r="AT1106" s="71">
        <f t="shared" si="457"/>
        <v>5.2616941649983207E-4</v>
      </c>
      <c r="AU1106" s="72">
        <f t="shared" si="458"/>
        <v>6.8214933659622723E-3</v>
      </c>
      <c r="AV1106" s="73">
        <f t="shared" si="460"/>
        <v>1.0068214933659623</v>
      </c>
      <c r="AW1106" s="74">
        <f>PRODUCT(AV$4:AV1106)</f>
        <v>1805.4415575176813</v>
      </c>
    </row>
    <row r="1107" spans="44:49">
      <c r="AR1107" s="69">
        <f t="shared" si="459"/>
        <v>92</v>
      </c>
      <c r="AS1107" s="70">
        <f t="shared" si="461"/>
        <v>1104</v>
      </c>
      <c r="AT1107" s="71">
        <f t="shared" si="457"/>
        <v>5.2258015531580625E-4</v>
      </c>
      <c r="AU1107" s="72">
        <f t="shared" si="458"/>
        <v>6.8214933659622723E-3</v>
      </c>
      <c r="AV1107" s="73">
        <f t="shared" si="460"/>
        <v>1.0068214933659623</v>
      </c>
      <c r="AW1107" s="74">
        <f>PRODUCT(AV$4:AV1107)</f>
        <v>1817.7573651249209</v>
      </c>
    </row>
    <row r="1108" spans="44:49">
      <c r="AR1108" s="69">
        <f t="shared" si="459"/>
        <v>93</v>
      </c>
      <c r="AS1108" s="70">
        <f t="shared" si="461"/>
        <v>1105</v>
      </c>
      <c r="AT1108" s="71">
        <f t="shared" si="457"/>
        <v>5.190153782531359E-4</v>
      </c>
      <c r="AU1108" s="72">
        <f t="shared" si="458"/>
        <v>6.8214933659622723E-3</v>
      </c>
      <c r="AV1108" s="73">
        <f t="shared" si="460"/>
        <v>1.0068214933659623</v>
      </c>
      <c r="AW1108" s="74">
        <f>PRODUCT(AV$4:AV1108)</f>
        <v>1830.1571849320496</v>
      </c>
    </row>
    <row r="1109" spans="44:49">
      <c r="AR1109" s="69">
        <f t="shared" si="459"/>
        <v>93</v>
      </c>
      <c r="AS1109" s="70">
        <f t="shared" si="461"/>
        <v>1106</v>
      </c>
      <c r="AT1109" s="71">
        <f t="shared" si="457"/>
        <v>5.1547491829354974E-4</v>
      </c>
      <c r="AU1109" s="72">
        <f t="shared" si="458"/>
        <v>6.8214933659622723E-3</v>
      </c>
      <c r="AV1109" s="73">
        <f t="shared" si="460"/>
        <v>1.0068214933659623</v>
      </c>
      <c r="AW1109" s="74">
        <f>PRODUCT(AV$4:AV1109)</f>
        <v>1842.6415900277318</v>
      </c>
    </row>
    <row r="1110" spans="44:49">
      <c r="AR1110" s="69">
        <f t="shared" si="459"/>
        <v>93</v>
      </c>
      <c r="AS1110" s="70">
        <f t="shared" si="461"/>
        <v>1107</v>
      </c>
      <c r="AT1110" s="71">
        <f t="shared" si="457"/>
        <v>5.1195860955809038E-4</v>
      </c>
      <c r="AU1110" s="72">
        <f t="shared" si="458"/>
        <v>6.8214933659622723E-3</v>
      </c>
      <c r="AV1110" s="73">
        <f t="shared" si="460"/>
        <v>1.0068214933659623</v>
      </c>
      <c r="AW1110" s="74">
        <f>PRODUCT(AV$4:AV1110)</f>
        <v>1855.2111574099522</v>
      </c>
    </row>
    <row r="1111" spans="44:49">
      <c r="AR1111" s="69">
        <f t="shared" si="459"/>
        <v>93</v>
      </c>
      <c r="AS1111" s="70">
        <f t="shared" si="461"/>
        <v>1108</v>
      </c>
      <c r="AT1111" s="71">
        <f t="shared" ref="AT1111:AT1174" si="462">(1-AU1111)*AT1110</f>
        <v>5.0846628729934258E-4</v>
      </c>
      <c r="AU1111" s="72">
        <f t="shared" si="458"/>
        <v>6.8214933659622723E-3</v>
      </c>
      <c r="AV1111" s="73">
        <f t="shared" si="460"/>
        <v>1.0068214933659623</v>
      </c>
      <c r="AW1111" s="74">
        <f>PRODUCT(AV$4:AV1111)</f>
        <v>1867.8664680126833</v>
      </c>
    </row>
    <row r="1112" spans="44:49">
      <c r="AR1112" s="69">
        <f t="shared" si="459"/>
        <v>93</v>
      </c>
      <c r="AS1112" s="70">
        <f t="shared" si="461"/>
        <v>1109</v>
      </c>
      <c r="AT1112" s="71">
        <f t="shared" si="462"/>
        <v>5.0499778789371466E-4</v>
      </c>
      <c r="AU1112" s="72">
        <f t="shared" si="458"/>
        <v>6.8214933659622723E-3</v>
      </c>
      <c r="AV1112" s="73">
        <f t="shared" si="460"/>
        <v>1.0068214933659623</v>
      </c>
      <c r="AW1112" s="74">
        <f>PRODUCT(AV$4:AV1112)</f>
        <v>1880.6081067327352</v>
      </c>
    </row>
    <row r="1113" spans="44:49">
      <c r="AR1113" s="69">
        <f t="shared" si="459"/>
        <v>93</v>
      </c>
      <c r="AS1113" s="70">
        <f t="shared" si="461"/>
        <v>1110</v>
      </c>
      <c r="AT1113" s="71">
        <f t="shared" si="462"/>
        <v>5.0155294883377202E-4</v>
      </c>
      <c r="AU1113" s="72">
        <f t="shared" si="458"/>
        <v>6.8214933659622723E-3</v>
      </c>
      <c r="AV1113" s="73">
        <f t="shared" si="460"/>
        <v>1.0068214933659623</v>
      </c>
      <c r="AW1113" s="74">
        <f>PRODUCT(AV$4:AV1113)</f>
        <v>1893.4366624567874</v>
      </c>
    </row>
    <row r="1114" spans="44:49">
      <c r="AR1114" s="69">
        <f t="shared" si="459"/>
        <v>93</v>
      </c>
      <c r="AS1114" s="70">
        <f t="shared" si="461"/>
        <v>1111</v>
      </c>
      <c r="AT1114" s="71">
        <f t="shared" si="462"/>
        <v>4.9813160872062368E-4</v>
      </c>
      <c r="AU1114" s="72">
        <f t="shared" si="458"/>
        <v>6.8214933659622723E-3</v>
      </c>
      <c r="AV1114" s="73">
        <f t="shared" si="460"/>
        <v>1.0068214933659623</v>
      </c>
      <c r="AW1114" s="74">
        <f>PRODUCT(AV$4:AV1114)</f>
        <v>1906.3527280886062</v>
      </c>
    </row>
    <row r="1115" spans="44:49">
      <c r="AR1115" s="69">
        <f t="shared" si="459"/>
        <v>93</v>
      </c>
      <c r="AS1115" s="70">
        <f t="shared" si="461"/>
        <v>1112</v>
      </c>
      <c r="AT1115" s="71">
        <f t="shared" si="462"/>
        <v>4.947336072563598E-4</v>
      </c>
      <c r="AU1115" s="72">
        <f t="shared" si="458"/>
        <v>6.8214933659622723E-3</v>
      </c>
      <c r="AV1115" s="73">
        <f t="shared" si="460"/>
        <v>1.0068214933659623</v>
      </c>
      <c r="AW1115" s="74">
        <f>PRODUCT(AV$4:AV1115)</f>
        <v>1919.3569005764468</v>
      </c>
    </row>
    <row r="1116" spans="44:49">
      <c r="AR1116" s="69">
        <f t="shared" si="459"/>
        <v>93</v>
      </c>
      <c r="AS1116" s="70">
        <f t="shared" si="461"/>
        <v>1113</v>
      </c>
      <c r="AT1116" s="71">
        <f t="shared" si="462"/>
        <v>4.9135878523654192E-4</v>
      </c>
      <c r="AU1116" s="72">
        <f t="shared" si="458"/>
        <v>6.8214933659622723E-3</v>
      </c>
      <c r="AV1116" s="73">
        <f t="shared" si="460"/>
        <v>1.0068214933659623</v>
      </c>
      <c r="AW1116" s="74">
        <f>PRODUCT(AV$4:AV1116)</f>
        <v>1932.449780940643</v>
      </c>
    </row>
    <row r="1117" spans="44:49">
      <c r="AR1117" s="69">
        <f t="shared" si="459"/>
        <v>93</v>
      </c>
      <c r="AS1117" s="70">
        <f t="shared" si="461"/>
        <v>1114</v>
      </c>
      <c r="AT1117" s="71">
        <f t="shared" si="462"/>
        <v>4.8800698454274359E-4</v>
      </c>
      <c r="AU1117" s="72">
        <f t="shared" si="458"/>
        <v>6.8214933659622723E-3</v>
      </c>
      <c r="AV1117" s="73">
        <f t="shared" si="460"/>
        <v>1.0068214933659623</v>
      </c>
      <c r="AW1117" s="74">
        <f>PRODUCT(AV$4:AV1117)</f>
        <v>1945.6319743013848</v>
      </c>
    </row>
    <row r="1118" spans="44:49">
      <c r="AR1118" s="69">
        <f t="shared" si="459"/>
        <v>93</v>
      </c>
      <c r="AS1118" s="70">
        <f t="shared" si="461"/>
        <v>1115</v>
      </c>
      <c r="AT1118" s="71">
        <f t="shared" si="462"/>
        <v>4.8467804813514203E-4</v>
      </c>
      <c r="AU1118" s="72">
        <f t="shared" si="458"/>
        <v>6.8214933659622723E-3</v>
      </c>
      <c r="AV1118" s="73">
        <f t="shared" si="460"/>
        <v>1.0068214933659623</v>
      </c>
      <c r="AW1118" s="74">
        <f>PRODUCT(AV$4:AV1118)</f>
        <v>1958.9040899066858</v>
      </c>
    </row>
    <row r="1119" spans="44:49">
      <c r="AR1119" s="69">
        <f t="shared" si="459"/>
        <v>93</v>
      </c>
      <c r="AS1119" s="70">
        <f t="shared" si="461"/>
        <v>1116</v>
      </c>
      <c r="AT1119" s="71">
        <f t="shared" si="462"/>
        <v>4.813718200451606E-4</v>
      </c>
      <c r="AU1119" s="72">
        <f t="shared" si="458"/>
        <v>6.8214933659622723E-3</v>
      </c>
      <c r="AV1119" s="73">
        <f t="shared" si="460"/>
        <v>1.0068214933659623</v>
      </c>
      <c r="AW1119" s="74">
        <f>PRODUCT(AV$4:AV1119)</f>
        <v>1972.2667411605407</v>
      </c>
    </row>
    <row r="1120" spans="44:49">
      <c r="AR1120" s="69">
        <f t="shared" si="459"/>
        <v>94</v>
      </c>
      <c r="AS1120" s="70">
        <f t="shared" si="461"/>
        <v>1117</v>
      </c>
      <c r="AT1120" s="71">
        <f t="shared" si="462"/>
        <v>4.7808814536816135E-4</v>
      </c>
      <c r="AU1120" s="72">
        <f t="shared" si="458"/>
        <v>6.8214933659622723E-3</v>
      </c>
      <c r="AV1120" s="73">
        <f t="shared" si="460"/>
        <v>1.0068214933659623</v>
      </c>
      <c r="AW1120" s="74">
        <f>PRODUCT(AV$4:AV1120)</f>
        <v>1985.7205456512754</v>
      </c>
    </row>
    <row r="1121" spans="44:49">
      <c r="AR1121" s="69">
        <f t="shared" si="459"/>
        <v>94</v>
      </c>
      <c r="AS1121" s="70">
        <f t="shared" si="461"/>
        <v>1118</v>
      </c>
      <c r="AT1121" s="71">
        <f t="shared" si="462"/>
        <v>4.7482687025618723E-4</v>
      </c>
      <c r="AU1121" s="72">
        <f t="shared" si="458"/>
        <v>6.8214933659622723E-3</v>
      </c>
      <c r="AV1121" s="73">
        <f t="shared" si="460"/>
        <v>1.0068214933659623</v>
      </c>
      <c r="AW1121" s="74">
        <f>PRODUCT(AV$4:AV1121)</f>
        <v>1999.2661251800905</v>
      </c>
    </row>
    <row r="1122" spans="44:49">
      <c r="AR1122" s="69">
        <f t="shared" si="459"/>
        <v>94</v>
      </c>
      <c r="AS1122" s="70">
        <f t="shared" si="461"/>
        <v>1119</v>
      </c>
      <c r="AT1122" s="71">
        <f t="shared" si="462"/>
        <v>4.7158784191075404E-4</v>
      </c>
      <c r="AU1122" s="72">
        <f t="shared" si="458"/>
        <v>6.8214933659622723E-3</v>
      </c>
      <c r="AV1122" s="73">
        <f t="shared" si="460"/>
        <v>1.0068214933659623</v>
      </c>
      <c r="AW1122" s="74">
        <f>PRODUCT(AV$4:AV1122)</f>
        <v>2012.9041057897996</v>
      </c>
    </row>
    <row r="1123" spans="44:49">
      <c r="AR1123" s="69">
        <f t="shared" si="459"/>
        <v>94</v>
      </c>
      <c r="AS1123" s="70">
        <f t="shared" si="461"/>
        <v>1120</v>
      </c>
      <c r="AT1123" s="71">
        <f t="shared" si="462"/>
        <v>4.6837090857569137E-4</v>
      </c>
      <c r="AU1123" s="72">
        <f t="shared" si="458"/>
        <v>6.8214933659622723E-3</v>
      </c>
      <c r="AV1123" s="73">
        <f t="shared" si="460"/>
        <v>1.0068214933659623</v>
      </c>
      <c r="AW1123" s="74">
        <f>PRODUCT(AV$4:AV1123)</f>
        <v>2026.6351177937629</v>
      </c>
    </row>
    <row r="1124" spans="44:49">
      <c r="AR1124" s="69">
        <f t="shared" si="459"/>
        <v>94</v>
      </c>
      <c r="AS1124" s="70">
        <f t="shared" si="461"/>
        <v>1121</v>
      </c>
      <c r="AT1124" s="71">
        <f t="shared" si="462"/>
        <v>4.6517591953003259E-4</v>
      </c>
      <c r="AU1124" s="72">
        <f t="shared" si="458"/>
        <v>6.8214933659622723E-3</v>
      </c>
      <c r="AV1124" s="73">
        <f t="shared" si="460"/>
        <v>1.0068214933659623</v>
      </c>
      <c r="AW1124" s="74">
        <f>PRODUCT(AV$4:AV1124)</f>
        <v>2040.4597958050192</v>
      </c>
    </row>
    <row r="1125" spans="44:49">
      <c r="AR1125" s="69">
        <f t="shared" si="459"/>
        <v>94</v>
      </c>
      <c r="AS1125" s="70">
        <f t="shared" si="461"/>
        <v>1122</v>
      </c>
      <c r="AT1125" s="71">
        <f t="shared" si="462"/>
        <v>4.6200272508095306E-4</v>
      </c>
      <c r="AU1125" s="72">
        <f t="shared" si="458"/>
        <v>6.8214933659622723E-3</v>
      </c>
      <c r="AV1125" s="73">
        <f t="shared" si="460"/>
        <v>1.0068214933659623</v>
      </c>
      <c r="AW1125" s="74">
        <f>PRODUCT(AV$4:AV1125)</f>
        <v>2054.3787787656161</v>
      </c>
    </row>
    <row r="1126" spans="44:49">
      <c r="AR1126" s="69">
        <f t="shared" si="459"/>
        <v>94</v>
      </c>
      <c r="AS1126" s="70">
        <f t="shared" si="461"/>
        <v>1123</v>
      </c>
      <c r="AT1126" s="71">
        <f t="shared" si="462"/>
        <v>4.5885117655675682E-4</v>
      </c>
      <c r="AU1126" s="72">
        <f t="shared" si="458"/>
        <v>6.8214933659622723E-3</v>
      </c>
      <c r="AV1126" s="73">
        <f t="shared" si="460"/>
        <v>1.0068214933659623</v>
      </c>
      <c r="AW1126" s="74">
        <f>PRODUCT(AV$4:AV1126)</f>
        <v>2068.3927099761395</v>
      </c>
    </row>
    <row r="1127" spans="44:49">
      <c r="AR1127" s="69">
        <f t="shared" si="459"/>
        <v>94</v>
      </c>
      <c r="AS1127" s="70">
        <f t="shared" si="461"/>
        <v>1124</v>
      </c>
      <c r="AT1127" s="71">
        <f t="shared" si="462"/>
        <v>4.5572112629991093E-4</v>
      </c>
      <c r="AU1127" s="72">
        <f t="shared" si="458"/>
        <v>6.8214933659622723E-3</v>
      </c>
      <c r="AV1127" s="73">
        <f t="shared" si="460"/>
        <v>1.0068214933659623</v>
      </c>
      <c r="AW1127" s="74">
        <f>PRODUCT(AV$4:AV1127)</f>
        <v>2082.5022371254463</v>
      </c>
    </row>
    <row r="1128" spans="44:49">
      <c r="AR1128" s="69">
        <f t="shared" si="459"/>
        <v>94</v>
      </c>
      <c r="AS1128" s="70">
        <f t="shared" si="461"/>
        <v>1125</v>
      </c>
      <c r="AT1128" s="71">
        <f t="shared" si="462"/>
        <v>4.5261242766012722E-4</v>
      </c>
      <c r="AU1128" s="72">
        <f t="shared" si="458"/>
        <v>6.8214933659622723E-3</v>
      </c>
      <c r="AV1128" s="73">
        <f t="shared" si="460"/>
        <v>1.0068214933659623</v>
      </c>
      <c r="AW1128" s="74">
        <f>PRODUCT(AV$4:AV1128)</f>
        <v>2096.7080123205992</v>
      </c>
    </row>
    <row r="1129" spans="44:49">
      <c r="AR1129" s="69">
        <f t="shared" si="459"/>
        <v>94</v>
      </c>
      <c r="AS1129" s="70">
        <f t="shared" si="461"/>
        <v>1126</v>
      </c>
      <c r="AT1129" s="71">
        <f t="shared" si="462"/>
        <v>4.4952493498749159E-4</v>
      </c>
      <c r="AU1129" s="72">
        <f t="shared" si="458"/>
        <v>6.8214933659622723E-3</v>
      </c>
      <c r="AV1129" s="73">
        <f t="shared" si="460"/>
        <v>1.0068214933659623</v>
      </c>
      <c r="AW1129" s="74">
        <f>PRODUCT(AV$4:AV1129)</f>
        <v>2111.0106921170041</v>
      </c>
    </row>
    <row r="1130" spans="44:49">
      <c r="AR1130" s="69">
        <f t="shared" si="459"/>
        <v>94</v>
      </c>
      <c r="AS1130" s="70">
        <f t="shared" si="461"/>
        <v>1127</v>
      </c>
      <c r="AT1130" s="71">
        <f t="shared" si="462"/>
        <v>4.4645850362563978E-4</v>
      </c>
      <c r="AU1130" s="72">
        <f t="shared" si="458"/>
        <v>6.8214933659622723E-3</v>
      </c>
      <c r="AV1130" s="73">
        <f t="shared" si="460"/>
        <v>1.0068214933659623</v>
      </c>
      <c r="AW1130" s="74">
        <f>PRODUCT(AV$4:AV1130)</f>
        <v>2125.4109375487556</v>
      </c>
    </row>
    <row r="1131" spans="44:49">
      <c r="AR1131" s="69">
        <f t="shared" si="459"/>
        <v>94</v>
      </c>
      <c r="AS1131" s="70">
        <f t="shared" si="461"/>
        <v>1128</v>
      </c>
      <c r="AT1131" s="71">
        <f t="shared" si="462"/>
        <v>4.4341298990498005E-4</v>
      </c>
      <c r="AU1131" s="72">
        <f t="shared" si="458"/>
        <v>6.8214933659622723E-3</v>
      </c>
      <c r="AV1131" s="73">
        <f t="shared" si="460"/>
        <v>1.0068214933659623</v>
      </c>
      <c r="AW1131" s="74">
        <f>PRODUCT(AV$4:AV1131)</f>
        <v>2139.9094141591881</v>
      </c>
    </row>
    <row r="1132" spans="44:49">
      <c r="AR1132" s="69">
        <f t="shared" si="459"/>
        <v>95</v>
      </c>
      <c r="AS1132" s="70">
        <f t="shared" si="461"/>
        <v>1129</v>
      </c>
      <c r="AT1132" s="71">
        <f t="shared" si="462"/>
        <v>4.4038825113596174E-4</v>
      </c>
      <c r="AU1132" s="72">
        <f t="shared" si="458"/>
        <v>6.8214933659622723E-3</v>
      </c>
      <c r="AV1132" s="73">
        <f t="shared" si="460"/>
        <v>1.0068214933659623</v>
      </c>
      <c r="AW1132" s="74">
        <f>PRODUCT(AV$4:AV1132)</f>
        <v>2154.5067920316351</v>
      </c>
    </row>
    <row r="1133" spans="44:49">
      <c r="AR1133" s="69">
        <f t="shared" si="459"/>
        <v>95</v>
      </c>
      <c r="AS1133" s="70">
        <f t="shared" si="461"/>
        <v>1130</v>
      </c>
      <c r="AT1133" s="71">
        <f t="shared" si="462"/>
        <v>4.3738414560239003E-4</v>
      </c>
      <c r="AU1133" s="72">
        <f t="shared" si="458"/>
        <v>6.8214933659622723E-3</v>
      </c>
      <c r="AV1133" s="73">
        <f t="shared" si="460"/>
        <v>1.0068214933659623</v>
      </c>
      <c r="AW1133" s="74">
        <f>PRODUCT(AV$4:AV1133)</f>
        <v>2169.2037458203995</v>
      </c>
    </row>
    <row r="1134" spans="44:49">
      <c r="AR1134" s="69">
        <f t="shared" si="459"/>
        <v>95</v>
      </c>
      <c r="AS1134" s="70">
        <f t="shared" si="461"/>
        <v>1131</v>
      </c>
      <c r="AT1134" s="71">
        <f t="shared" si="462"/>
        <v>4.3440053255478623E-4</v>
      </c>
      <c r="AU1134" s="72">
        <f t="shared" si="458"/>
        <v>6.8214933659622723E-3</v>
      </c>
      <c r="AV1134" s="73">
        <f t="shared" si="460"/>
        <v>1.0068214933659623</v>
      </c>
      <c r="AW1134" s="74">
        <f>PRODUCT(AV$4:AV1134)</f>
        <v>2184.0009547819341</v>
      </c>
    </row>
    <row r="1135" spans="44:49">
      <c r="AR1135" s="69">
        <f t="shared" si="459"/>
        <v>95</v>
      </c>
      <c r="AS1135" s="70">
        <f t="shared" si="461"/>
        <v>1132</v>
      </c>
      <c r="AT1135" s="71">
        <f t="shared" si="462"/>
        <v>4.3143727220379326E-4</v>
      </c>
      <c r="AU1135" s="72">
        <f t="shared" si="458"/>
        <v>6.8214933659622723E-3</v>
      </c>
      <c r="AV1135" s="73">
        <f t="shared" si="460"/>
        <v>1.0068214933659623</v>
      </c>
      <c r="AW1135" s="74">
        <f>PRODUCT(AV$4:AV1135)</f>
        <v>2198.8991028062342</v>
      </c>
    </row>
    <row r="1136" spans="44:49">
      <c r="AR1136" s="69">
        <f t="shared" si="459"/>
        <v>95</v>
      </c>
      <c r="AS1136" s="70">
        <f t="shared" si="461"/>
        <v>1133</v>
      </c>
      <c r="AT1136" s="71">
        <f t="shared" si="462"/>
        <v>4.2849422571362625E-4</v>
      </c>
      <c r="AU1136" s="72">
        <f t="shared" si="458"/>
        <v>6.8214933659622723E-3</v>
      </c>
      <c r="AV1136" s="73">
        <f t="shared" si="460"/>
        <v>1.0068214933659623</v>
      </c>
      <c r="AW1136" s="74">
        <f>PRODUCT(AV$4:AV1136)</f>
        <v>2213.8988784484472</v>
      </c>
    </row>
    <row r="1137" spans="44:49">
      <c r="AR1137" s="69">
        <f t="shared" si="459"/>
        <v>95</v>
      </c>
      <c r="AS1137" s="70">
        <f t="shared" si="461"/>
        <v>1134</v>
      </c>
      <c r="AT1137" s="71">
        <f t="shared" si="462"/>
        <v>4.2557125519556761E-4</v>
      </c>
      <c r="AU1137" s="72">
        <f t="shared" si="458"/>
        <v>6.8214933659622723E-3</v>
      </c>
      <c r="AV1137" s="73">
        <f t="shared" si="460"/>
        <v>1.0068214933659623</v>
      </c>
      <c r="AW1137" s="74">
        <f>PRODUCT(AV$4:AV1137)</f>
        <v>2229.0009749606947</v>
      </c>
    </row>
    <row r="1138" spans="44:49">
      <c r="AR1138" s="69">
        <f t="shared" si="459"/>
        <v>95</v>
      </c>
      <c r="AS1138" s="70">
        <f t="shared" si="461"/>
        <v>1135</v>
      </c>
      <c r="AT1138" s="71">
        <f t="shared" si="462"/>
        <v>4.2266822370150682E-4</v>
      </c>
      <c r="AU1138" s="72">
        <f t="shared" si="458"/>
        <v>6.8214933659622723E-3</v>
      </c>
      <c r="AV1138" s="73">
        <f t="shared" si="460"/>
        <v>1.0068214933659623</v>
      </c>
      <c r="AW1138" s="74">
        <f>PRODUCT(AV$4:AV1138)</f>
        <v>2244.2060903241127</v>
      </c>
    </row>
    <row r="1139" spans="44:49">
      <c r="AR1139" s="69">
        <f t="shared" si="459"/>
        <v>95</v>
      </c>
      <c r="AS1139" s="70">
        <f t="shared" si="461"/>
        <v>1136</v>
      </c>
      <c r="AT1139" s="71">
        <f t="shared" si="462"/>
        <v>4.1978499521752393E-4</v>
      </c>
      <c r="AU1139" s="72">
        <f t="shared" si="458"/>
        <v>6.8214933659622723E-3</v>
      </c>
      <c r="AV1139" s="73">
        <f t="shared" si="460"/>
        <v>1.0068214933659623</v>
      </c>
      <c r="AW1139" s="74">
        <f>PRODUCT(AV$4:AV1139)</f>
        <v>2259.5149272811109</v>
      </c>
    </row>
    <row r="1140" spans="44:49">
      <c r="AR1140" s="69">
        <f t="shared" si="459"/>
        <v>95</v>
      </c>
      <c r="AS1140" s="70">
        <f t="shared" si="461"/>
        <v>1137</v>
      </c>
      <c r="AT1140" s="71">
        <f t="shared" si="462"/>
        <v>4.1692143465751707E-4</v>
      </c>
      <c r="AU1140" s="72">
        <f t="shared" si="458"/>
        <v>6.8214933659622723E-3</v>
      </c>
      <c r="AV1140" s="73">
        <f t="shared" si="460"/>
        <v>1.0068214933659623</v>
      </c>
      <c r="AW1140" s="74">
        <f>PRODUCT(AV$4:AV1140)</f>
        <v>2274.9281933678517</v>
      </c>
    </row>
    <row r="1141" spans="44:49">
      <c r="AR1141" s="69">
        <f t="shared" si="459"/>
        <v>95</v>
      </c>
      <c r="AS1141" s="70">
        <f t="shared" si="461"/>
        <v>1138</v>
      </c>
      <c r="AT1141" s="71">
        <f t="shared" si="462"/>
        <v>4.1407740785687333E-4</v>
      </c>
      <c r="AU1141" s="72">
        <f t="shared" si="458"/>
        <v>6.8214933659622723E-3</v>
      </c>
      <c r="AV1141" s="73">
        <f t="shared" si="460"/>
        <v>1.0068214933659623</v>
      </c>
      <c r="AW1141" s="74">
        <f>PRODUCT(AV$4:AV1141)</f>
        <v>2290.4466009469511</v>
      </c>
    </row>
    <row r="1142" spans="44:49">
      <c r="AR1142" s="69">
        <f t="shared" si="459"/>
        <v>95</v>
      </c>
      <c r="AS1142" s="70">
        <f t="shared" si="461"/>
        <v>1139</v>
      </c>
      <c r="AT1142" s="71">
        <f t="shared" si="462"/>
        <v>4.1125278156618284E-4</v>
      </c>
      <c r="AU1142" s="72">
        <f t="shared" si="458"/>
        <v>6.8214933659622723E-3</v>
      </c>
      <c r="AV1142" s="73">
        <f t="shared" si="460"/>
        <v>1.0068214933659623</v>
      </c>
      <c r="AW1142" s="74">
        <f>PRODUCT(AV$4:AV1142)</f>
        <v>2306.0708672404016</v>
      </c>
    </row>
    <row r="1143" spans="44:49">
      <c r="AR1143" s="69">
        <f t="shared" si="459"/>
        <v>95</v>
      </c>
      <c r="AS1143" s="70">
        <f t="shared" si="461"/>
        <v>1140</v>
      </c>
      <c r="AT1143" s="71">
        <f t="shared" si="462"/>
        <v>4.0844742344499558E-4</v>
      </c>
      <c r="AU1143" s="72">
        <f t="shared" si="458"/>
        <v>6.8214933659622723E-3</v>
      </c>
      <c r="AV1143" s="73">
        <f t="shared" si="460"/>
        <v>1.0068214933659623</v>
      </c>
      <c r="AW1143" s="74">
        <f>PRODUCT(AV$4:AV1143)</f>
        <v>2321.8017143627208</v>
      </c>
    </row>
    <row r="1144" spans="44:49">
      <c r="AR1144" s="69">
        <f t="shared" si="459"/>
        <v>96</v>
      </c>
      <c r="AS1144" s="70">
        <f t="shared" si="461"/>
        <v>1141</v>
      </c>
      <c r="AT1144" s="71">
        <f t="shared" si="462"/>
        <v>4.0566120205562118E-4</v>
      </c>
      <c r="AU1144" s="72">
        <f t="shared" si="458"/>
        <v>6.8214933659622723E-3</v>
      </c>
      <c r="AV1144" s="73">
        <f t="shared" si="460"/>
        <v>1.0068214933659623</v>
      </c>
      <c r="AW1144" s="74">
        <f>PRODUCT(AV$4:AV1144)</f>
        <v>2337.639869354326</v>
      </c>
    </row>
    <row r="1145" spans="44:49">
      <c r="AR1145" s="69">
        <f t="shared" si="459"/>
        <v>96</v>
      </c>
      <c r="AS1145" s="70">
        <f t="shared" si="461"/>
        <v>1142</v>
      </c>
      <c r="AT1145" s="71">
        <f t="shared" si="462"/>
        <v>4.0289398685697047E-4</v>
      </c>
      <c r="AU1145" s="72">
        <f t="shared" si="458"/>
        <v>6.8214933659622723E-3</v>
      </c>
      <c r="AV1145" s="73">
        <f t="shared" si="460"/>
        <v>1.0068214933659623</v>
      </c>
      <c r="AW1145" s="74">
        <f>PRODUCT(AV$4:AV1145)</f>
        <v>2353.5860642151356</v>
      </c>
    </row>
    <row r="1146" spans="44:49">
      <c r="AR1146" s="69">
        <f t="shared" si="459"/>
        <v>96</v>
      </c>
      <c r="AS1146" s="70">
        <f t="shared" si="461"/>
        <v>1143</v>
      </c>
      <c r="AT1146" s="71">
        <f t="shared" si="462"/>
        <v>4.0014564819843956E-4</v>
      </c>
      <c r="AU1146" s="72">
        <f t="shared" si="458"/>
        <v>6.8214933659622723E-3</v>
      </c>
      <c r="AV1146" s="73">
        <f t="shared" si="460"/>
        <v>1.0068214933659623</v>
      </c>
      <c r="AW1146" s="74">
        <f>PRODUCT(AV$4:AV1146)</f>
        <v>2369.6410359384004</v>
      </c>
    </row>
    <row r="1147" spans="44:49">
      <c r="AR1147" s="69">
        <f t="shared" si="459"/>
        <v>96</v>
      </c>
      <c r="AS1147" s="70">
        <f t="shared" si="461"/>
        <v>1144</v>
      </c>
      <c r="AT1147" s="71">
        <f t="shared" si="462"/>
        <v>3.974160573138352E-4</v>
      </c>
      <c r="AU1147" s="72">
        <f t="shared" si="458"/>
        <v>6.8214933659622723E-3</v>
      </c>
      <c r="AV1147" s="73">
        <f t="shared" si="460"/>
        <v>1.0068214933659623</v>
      </c>
      <c r="AW1147" s="74">
        <f>PRODUCT(AV$4:AV1147)</f>
        <v>2385.8055265447661</v>
      </c>
    </row>
    <row r="1148" spans="44:49">
      <c r="AR1148" s="69">
        <f t="shared" si="459"/>
        <v>96</v>
      </c>
      <c r="AS1148" s="70">
        <f t="shared" si="461"/>
        <v>1145</v>
      </c>
      <c r="AT1148" s="71">
        <f t="shared" si="462"/>
        <v>3.94705086315342E-4</v>
      </c>
      <c r="AU1148" s="72">
        <f t="shared" si="458"/>
        <v>6.8214933659622723E-3</v>
      </c>
      <c r="AV1148" s="73">
        <f t="shared" si="460"/>
        <v>1.0068214933659623</v>
      </c>
      <c r="AW1148" s="74">
        <f>PRODUCT(AV$4:AV1148)</f>
        <v>2402.0802831165674</v>
      </c>
    </row>
    <row r="1149" spans="44:49">
      <c r="AR1149" s="69">
        <f t="shared" si="459"/>
        <v>96</v>
      </c>
      <c r="AS1149" s="70">
        <f t="shared" si="461"/>
        <v>1146</v>
      </c>
      <c r="AT1149" s="71">
        <f t="shared" si="462"/>
        <v>3.920126081875303E-4</v>
      </c>
      <c r="AU1149" s="72">
        <f t="shared" si="458"/>
        <v>6.8214933659622723E-3</v>
      </c>
      <c r="AV1149" s="73">
        <f t="shared" si="460"/>
        <v>1.0068214933659623</v>
      </c>
      <c r="AW1149" s="74">
        <f>PRODUCT(AV$4:AV1149)</f>
        <v>2418.466057832356</v>
      </c>
    </row>
    <row r="1150" spans="44:49">
      <c r="AR1150" s="69">
        <f t="shared" si="459"/>
        <v>96</v>
      </c>
      <c r="AS1150" s="70">
        <f t="shared" si="461"/>
        <v>1147</v>
      </c>
      <c r="AT1150" s="71">
        <f t="shared" si="462"/>
        <v>3.8933849678140549E-4</v>
      </c>
      <c r="AU1150" s="72">
        <f t="shared" si="458"/>
        <v>6.8214933659622723E-3</v>
      </c>
      <c r="AV1150" s="73">
        <f t="shared" si="460"/>
        <v>1.0068214933659623</v>
      </c>
      <c r="AW1150" s="74">
        <f>PRODUCT(AV$4:AV1150)</f>
        <v>2434.9636080016644</v>
      </c>
    </row>
    <row r="1151" spans="44:49">
      <c r="AR1151" s="69">
        <f t="shared" si="459"/>
        <v>96</v>
      </c>
      <c r="AS1151" s="70">
        <f t="shared" si="461"/>
        <v>1148</v>
      </c>
      <c r="AT1151" s="71">
        <f t="shared" si="462"/>
        <v>3.8668262680849742E-4</v>
      </c>
      <c r="AU1151" s="72">
        <f t="shared" si="458"/>
        <v>6.8214933659622723E-3</v>
      </c>
      <c r="AV1151" s="73">
        <f t="shared" si="460"/>
        <v>1.0068214933659623</v>
      </c>
      <c r="AW1151" s="74">
        <f>PRODUCT(AV$4:AV1151)</f>
        <v>2451.5736961000075</v>
      </c>
    </row>
    <row r="1152" spans="44:49">
      <c r="AR1152" s="69">
        <f t="shared" si="459"/>
        <v>96</v>
      </c>
      <c r="AS1152" s="70">
        <f t="shared" si="461"/>
        <v>1149</v>
      </c>
      <c r="AT1152" s="71">
        <f t="shared" si="462"/>
        <v>3.8404487383499037E-4</v>
      </c>
      <c r="AU1152" s="72">
        <f t="shared" si="458"/>
        <v>6.8214933659622723E-3</v>
      </c>
      <c r="AV1152" s="73">
        <f t="shared" si="460"/>
        <v>1.0068214933659623</v>
      </c>
      <c r="AW1152" s="74">
        <f>PRODUCT(AV$4:AV1152)</f>
        <v>2468.2970898041212</v>
      </c>
    </row>
    <row r="1153" spans="44:49">
      <c r="AR1153" s="69">
        <f t="shared" si="459"/>
        <v>96</v>
      </c>
      <c r="AS1153" s="70">
        <f t="shared" si="461"/>
        <v>1150</v>
      </c>
      <c r="AT1153" s="71">
        <f t="shared" si="462"/>
        <v>3.8142511427589318E-4</v>
      </c>
      <c r="AU1153" s="72">
        <f t="shared" si="458"/>
        <v>6.8214933659622723E-3</v>
      </c>
      <c r="AV1153" s="73">
        <f t="shared" si="460"/>
        <v>1.0068214933659623</v>
      </c>
      <c r="AW1153" s="74">
        <f>PRODUCT(AV$4:AV1153)</f>
        <v>2485.1345620274442</v>
      </c>
    </row>
    <row r="1154" spans="44:49">
      <c r="AR1154" s="69">
        <f t="shared" si="459"/>
        <v>96</v>
      </c>
      <c r="AS1154" s="70">
        <f t="shared" si="461"/>
        <v>1151</v>
      </c>
      <c r="AT1154" s="71">
        <f t="shared" si="462"/>
        <v>3.788232253892488E-4</v>
      </c>
      <c r="AU1154" s="72">
        <f t="shared" si="458"/>
        <v>6.8214933659622723E-3</v>
      </c>
      <c r="AV1154" s="73">
        <f t="shared" si="460"/>
        <v>1.0068214933659623</v>
      </c>
      <c r="AW1154" s="74">
        <f>PRODUCT(AV$4:AV1154)</f>
        <v>2502.086890955838</v>
      </c>
    </row>
    <row r="1155" spans="44:49">
      <c r="AR1155" s="69">
        <f t="shared" si="459"/>
        <v>96</v>
      </c>
      <c r="AS1155" s="70">
        <f t="shared" si="461"/>
        <v>1152</v>
      </c>
      <c r="AT1155" s="71">
        <f t="shared" si="462"/>
        <v>3.7623908527038358E-4</v>
      </c>
      <c r="AU1155" s="72">
        <f t="shared" si="458"/>
        <v>6.8214933659622723E-3</v>
      </c>
      <c r="AV1155" s="73">
        <f t="shared" si="460"/>
        <v>1.0068214933659623</v>
      </c>
      <c r="AW1155" s="74">
        <f>PRODUCT(AV$4:AV1155)</f>
        <v>2519.1548600835545</v>
      </c>
    </row>
    <row r="1156" spans="44:49">
      <c r="AR1156" s="69">
        <f t="shared" si="459"/>
        <v>97</v>
      </c>
      <c r="AS1156" s="70">
        <f t="shared" si="461"/>
        <v>1153</v>
      </c>
      <c r="AT1156" s="71">
        <f t="shared" si="462"/>
        <v>3.7367257284619596E-4</v>
      </c>
      <c r="AU1156" s="72">
        <f t="shared" ref="AU1156:AU1219" si="463">((1+$AH$21)^(1/12))-1</f>
        <v>6.8214933659622723E-3</v>
      </c>
      <c r="AV1156" s="73">
        <f t="shared" si="460"/>
        <v>1.0068214933659623</v>
      </c>
      <c r="AW1156" s="74">
        <f>PRODUCT(AV$4:AV1156)</f>
        <v>2536.3392582494462</v>
      </c>
    </row>
    <row r="1157" spans="44:49">
      <c r="AR1157" s="69">
        <f t="shared" ref="AR1157:AR1220" si="464">ROUNDDOWN((AS1157-1)/12,0)+1</f>
        <v>97</v>
      </c>
      <c r="AS1157" s="70">
        <f t="shared" si="461"/>
        <v>1154</v>
      </c>
      <c r="AT1157" s="71">
        <f t="shared" si="462"/>
        <v>3.7112356786948359E-4</v>
      </c>
      <c r="AU1157" s="72">
        <f t="shared" si="463"/>
        <v>6.8214933659622723E-3</v>
      </c>
      <c r="AV1157" s="73">
        <f t="shared" ref="AV1157:AV1220" si="465">(1+AU1157)</f>
        <v>1.0068214933659623</v>
      </c>
      <c r="AW1157" s="74">
        <f>PRODUCT(AV$4:AV1157)</f>
        <v>2553.6408796734245</v>
      </c>
    </row>
    <row r="1158" spans="44:49">
      <c r="AR1158" s="69">
        <f t="shared" si="464"/>
        <v>97</v>
      </c>
      <c r="AS1158" s="70">
        <f t="shared" ref="AS1158:AS1221" si="466">AS1157+1</f>
        <v>1155</v>
      </c>
      <c r="AT1158" s="71">
        <f t="shared" si="462"/>
        <v>3.6859195091330966E-4</v>
      </c>
      <c r="AU1158" s="72">
        <f t="shared" si="463"/>
        <v>6.8214933659622723E-3</v>
      </c>
      <c r="AV1158" s="73">
        <f t="shared" si="465"/>
        <v>1.0068214933659623</v>
      </c>
      <c r="AW1158" s="74">
        <f>PRODUCT(AV$4:AV1158)</f>
        <v>2571.060523993167</v>
      </c>
    </row>
    <row r="1159" spans="44:49">
      <c r="AR1159" s="69">
        <f t="shared" si="464"/>
        <v>97</v>
      </c>
      <c r="AS1159" s="70">
        <f t="shared" si="466"/>
        <v>1156</v>
      </c>
      <c r="AT1159" s="71">
        <f t="shared" si="462"/>
        <v>3.6607760336540741E-4</v>
      </c>
      <c r="AU1159" s="72">
        <f t="shared" si="463"/>
        <v>6.8214933659622723E-3</v>
      </c>
      <c r="AV1159" s="73">
        <f t="shared" si="465"/>
        <v>1.0068214933659623</v>
      </c>
      <c r="AW1159" s="74">
        <f>PRODUCT(AV$4:AV1159)</f>
        <v>2588.5989963010738</v>
      </c>
    </row>
    <row r="1160" spans="44:49">
      <c r="AR1160" s="69">
        <f t="shared" si="464"/>
        <v>97</v>
      </c>
      <c r="AS1160" s="70">
        <f t="shared" si="466"/>
        <v>1157</v>
      </c>
      <c r="AT1160" s="71">
        <f t="shared" si="462"/>
        <v>3.6358040742262294E-4</v>
      </c>
      <c r="AU1160" s="72">
        <f t="shared" si="463"/>
        <v>6.8214933659622723E-3</v>
      </c>
      <c r="AV1160" s="73">
        <f t="shared" si="465"/>
        <v>1.0068214933659623</v>
      </c>
      <c r="AW1160" s="74">
        <f>PRODUCT(AV$4:AV1160)</f>
        <v>2606.2571071814782</v>
      </c>
    </row>
    <row r="1161" spans="44:49">
      <c r="AR1161" s="69">
        <f t="shared" si="464"/>
        <v>97</v>
      </c>
      <c r="AS1161" s="70">
        <f t="shared" si="466"/>
        <v>1158</v>
      </c>
      <c r="AT1161" s="71">
        <f t="shared" si="462"/>
        <v>3.6110024608539565E-4</v>
      </c>
      <c r="AU1161" s="72">
        <f t="shared" si="463"/>
        <v>6.8214933659622723E-3</v>
      </c>
      <c r="AV1161" s="73">
        <f t="shared" si="465"/>
        <v>1.0068214933659623</v>
      </c>
      <c r="AW1161" s="74">
        <f>PRODUCT(AV$4:AV1161)</f>
        <v>2624.0356727481085</v>
      </c>
    </row>
    <row r="1162" spans="44:49">
      <c r="AR1162" s="69">
        <f t="shared" si="464"/>
        <v>97</v>
      </c>
      <c r="AS1162" s="70">
        <f t="shared" si="466"/>
        <v>1159</v>
      </c>
      <c r="AT1162" s="71">
        <f t="shared" si="462"/>
        <v>3.5863700315227681E-4</v>
      </c>
      <c r="AU1162" s="72">
        <f t="shared" si="463"/>
        <v>6.8214933659622723E-3</v>
      </c>
      <c r="AV1162" s="73">
        <f t="shared" si="465"/>
        <v>1.0068214933659623</v>
      </c>
      <c r="AW1162" s="74">
        <f>PRODUCT(AV$4:AV1162)</f>
        <v>2641.9355146818079</v>
      </c>
    </row>
    <row r="1163" spans="44:49">
      <c r="AR1163" s="69">
        <f t="shared" si="464"/>
        <v>97</v>
      </c>
      <c r="AS1163" s="70">
        <f t="shared" si="466"/>
        <v>1160</v>
      </c>
      <c r="AT1163" s="71">
        <f t="shared" si="462"/>
        <v>3.5619056321448497E-4</v>
      </c>
      <c r="AU1163" s="72">
        <f t="shared" si="463"/>
        <v>6.8214933659622723E-3</v>
      </c>
      <c r="AV1163" s="73">
        <f t="shared" si="465"/>
        <v>1.0068214933659623</v>
      </c>
      <c r="AW1163" s="74">
        <f>PRODUCT(AV$4:AV1163)</f>
        <v>2659.9574602685102</v>
      </c>
    </row>
    <row r="1164" spans="44:49">
      <c r="AR1164" s="69">
        <f t="shared" si="464"/>
        <v>97</v>
      </c>
      <c r="AS1164" s="70">
        <f t="shared" si="466"/>
        <v>1161</v>
      </c>
      <c r="AT1164" s="71">
        <f t="shared" si="462"/>
        <v>3.5376081165049898E-4</v>
      </c>
      <c r="AU1164" s="72">
        <f t="shared" si="463"/>
        <v>6.8214933659622723E-3</v>
      </c>
      <c r="AV1164" s="73">
        <f t="shared" si="465"/>
        <v>1.0068214933659623</v>
      </c>
      <c r="AW1164" s="74">
        <f>PRODUCT(AV$4:AV1164)</f>
        <v>2678.1023424374739</v>
      </c>
    </row>
    <row r="1165" spans="44:49">
      <c r="AR1165" s="69">
        <f t="shared" si="464"/>
        <v>97</v>
      </c>
      <c r="AS1165" s="70">
        <f t="shared" si="466"/>
        <v>1162</v>
      </c>
      <c r="AT1165" s="71">
        <f t="shared" si="462"/>
        <v>3.5134763462068766E-4</v>
      </c>
      <c r="AU1165" s="72">
        <f t="shared" si="463"/>
        <v>6.8214933659622723E-3</v>
      </c>
      <c r="AV1165" s="73">
        <f t="shared" si="465"/>
        <v>1.0068214933659623</v>
      </c>
      <c r="AW1165" s="74">
        <f>PRODUCT(AV$4:AV1165)</f>
        <v>2696.3709997997794</v>
      </c>
    </row>
    <row r="1166" spans="44:49">
      <c r="AR1166" s="69">
        <f t="shared" si="464"/>
        <v>97</v>
      </c>
      <c r="AS1166" s="70">
        <f t="shared" si="466"/>
        <v>1163</v>
      </c>
      <c r="AT1166" s="71">
        <f t="shared" si="462"/>
        <v>3.489509190619761E-4</v>
      </c>
      <c r="AU1166" s="72">
        <f t="shared" si="463"/>
        <v>6.8214933659622723E-3</v>
      </c>
      <c r="AV1166" s="73">
        <f t="shared" si="465"/>
        <v>1.0068214933659623</v>
      </c>
      <c r="AW1166" s="74">
        <f>PRODUCT(AV$4:AV1166)</f>
        <v>2714.7642766870867</v>
      </c>
    </row>
    <row r="1167" spans="44:49">
      <c r="AR1167" s="69">
        <f t="shared" si="464"/>
        <v>97</v>
      </c>
      <c r="AS1167" s="70">
        <f t="shared" si="466"/>
        <v>1164</v>
      </c>
      <c r="AT1167" s="71">
        <f t="shared" si="462"/>
        <v>3.4657055268254837E-4</v>
      </c>
      <c r="AU1167" s="72">
        <f t="shared" si="463"/>
        <v>6.8214933659622723E-3</v>
      </c>
      <c r="AV1167" s="73">
        <f t="shared" si="465"/>
        <v>1.0068214933659623</v>
      </c>
      <c r="AW1167" s="74">
        <f>PRODUCT(AV$4:AV1167)</f>
        <v>2733.2830231906592</v>
      </c>
    </row>
    <row r="1168" spans="44:49">
      <c r="AR1168" s="69">
        <f t="shared" si="464"/>
        <v>98</v>
      </c>
      <c r="AS1168" s="70">
        <f t="shared" si="466"/>
        <v>1165</v>
      </c>
      <c r="AT1168" s="71">
        <f t="shared" si="462"/>
        <v>3.4420642395658648E-4</v>
      </c>
      <c r="AU1168" s="72">
        <f t="shared" si="463"/>
        <v>6.8214933659622723E-3</v>
      </c>
      <c r="AV1168" s="73">
        <f t="shared" si="465"/>
        <v>1.0068214933659623</v>
      </c>
      <c r="AW1168" s="74">
        <f>PRODUCT(AV$4:AV1168)</f>
        <v>2751.9280952006516</v>
      </c>
    </row>
    <row r="1169" spans="44:49">
      <c r="AR1169" s="69">
        <f t="shared" si="464"/>
        <v>98</v>
      </c>
      <c r="AS1169" s="70">
        <f t="shared" si="466"/>
        <v>1166</v>
      </c>
      <c r="AT1169" s="71">
        <f t="shared" si="462"/>
        <v>3.4185842211904502E-4</v>
      </c>
      <c r="AU1169" s="72">
        <f t="shared" si="463"/>
        <v>6.8214933659622723E-3</v>
      </c>
      <c r="AV1169" s="73">
        <f t="shared" si="465"/>
        <v>1.0068214933659623</v>
      </c>
      <c r="AW1169" s="74">
        <f>PRODUCT(AV$4:AV1169)</f>
        <v>2770.7003544456679</v>
      </c>
    </row>
    <row r="1170" spans="44:49">
      <c r="AR1170" s="69">
        <f t="shared" si="464"/>
        <v>98</v>
      </c>
      <c r="AS1170" s="70">
        <f t="shared" si="466"/>
        <v>1167</v>
      </c>
      <c r="AT1170" s="71">
        <f t="shared" si="462"/>
        <v>3.3952643716046163E-4</v>
      </c>
      <c r="AU1170" s="72">
        <f t="shared" si="463"/>
        <v>6.8214933659622723E-3</v>
      </c>
      <c r="AV1170" s="73">
        <f t="shared" si="465"/>
        <v>1.0068214933659623</v>
      </c>
      <c r="AW1170" s="74">
        <f>PRODUCT(AV$4:AV1170)</f>
        <v>2789.6006685325883</v>
      </c>
    </row>
    <row r="1171" spans="44:49">
      <c r="AR1171" s="69">
        <f t="shared" si="464"/>
        <v>98</v>
      </c>
      <c r="AS1171" s="70">
        <f t="shared" si="466"/>
        <v>1168</v>
      </c>
      <c r="AT1171" s="71">
        <f t="shared" si="462"/>
        <v>3.3721035982180273E-4</v>
      </c>
      <c r="AU1171" s="72">
        <f t="shared" si="463"/>
        <v>6.8214933659622723E-3</v>
      </c>
      <c r="AV1171" s="73">
        <f t="shared" si="465"/>
        <v>1.0068214933659623</v>
      </c>
      <c r="AW1171" s="74">
        <f>PRODUCT(AV$4:AV1171)</f>
        <v>2808.6299109866673</v>
      </c>
    </row>
    <row r="1172" spans="44:49">
      <c r="AR1172" s="69">
        <f t="shared" si="464"/>
        <v>98</v>
      </c>
      <c r="AS1172" s="70">
        <f t="shared" si="466"/>
        <v>1169</v>
      </c>
      <c r="AT1172" s="71">
        <f t="shared" si="462"/>
        <v>3.3491008158934455E-4</v>
      </c>
      <c r="AU1172" s="72">
        <f t="shared" si="463"/>
        <v>6.8214933659622723E-3</v>
      </c>
      <c r="AV1172" s="73">
        <f t="shared" si="465"/>
        <v>1.0068214933659623</v>
      </c>
      <c r="AW1172" s="74">
        <f>PRODUCT(AV$4:AV1172)</f>
        <v>2827.7889612919062</v>
      </c>
    </row>
    <row r="1173" spans="44:49">
      <c r="AR1173" s="69">
        <f t="shared" si="464"/>
        <v>98</v>
      </c>
      <c r="AS1173" s="70">
        <f t="shared" si="466"/>
        <v>1170</v>
      </c>
      <c r="AT1173" s="71">
        <f t="shared" si="462"/>
        <v>3.3262549468958896E-4</v>
      </c>
      <c r="AU1173" s="72">
        <f t="shared" si="463"/>
        <v>6.8214933659622723E-3</v>
      </c>
      <c r="AV1173" s="73">
        <f t="shared" si="465"/>
        <v>1.0068214933659623</v>
      </c>
      <c r="AW1173" s="74">
        <f>PRODUCT(AV$4:AV1173)</f>
        <v>2847.0787049317</v>
      </c>
    </row>
    <row r="1174" spans="44:49">
      <c r="AR1174" s="69">
        <f t="shared" si="464"/>
        <v>98</v>
      </c>
      <c r="AS1174" s="70">
        <f t="shared" si="466"/>
        <v>1171</v>
      </c>
      <c r="AT1174" s="71">
        <f t="shared" si="462"/>
        <v>3.30356492084214E-4</v>
      </c>
      <c r="AU1174" s="72">
        <f t="shared" si="463"/>
        <v>6.8214933659622723E-3</v>
      </c>
      <c r="AV1174" s="73">
        <f t="shared" si="465"/>
        <v>1.0068214933659623</v>
      </c>
      <c r="AW1174" s="74">
        <f>PRODUCT(AV$4:AV1174)</f>
        <v>2866.5000334297642</v>
      </c>
    </row>
    <row r="1175" spans="44:49">
      <c r="AR1175" s="69">
        <f t="shared" si="464"/>
        <v>98</v>
      </c>
      <c r="AS1175" s="70">
        <f t="shared" si="466"/>
        <v>1172</v>
      </c>
      <c r="AT1175" s="71">
        <f t="shared" ref="AT1175:AT1238" si="467">(1-AU1175)*AT1174</f>
        <v>3.2810296746505895E-4</v>
      </c>
      <c r="AU1175" s="72">
        <f t="shared" si="463"/>
        <v>6.8214933659622723E-3</v>
      </c>
      <c r="AV1175" s="73">
        <f t="shared" si="465"/>
        <v>1.0068214933659623</v>
      </c>
      <c r="AW1175" s="74">
        <f>PRODUCT(AV$4:AV1175)</f>
        <v>2886.053844391336</v>
      </c>
    </row>
    <row r="1176" spans="44:49">
      <c r="AR1176" s="69">
        <f t="shared" si="464"/>
        <v>98</v>
      </c>
      <c r="AS1176" s="70">
        <f t="shared" si="466"/>
        <v>1173</v>
      </c>
      <c r="AT1176" s="71">
        <f t="shared" si="467"/>
        <v>3.2586481524914351E-4</v>
      </c>
      <c r="AU1176" s="72">
        <f t="shared" si="463"/>
        <v>6.8214933659622723E-3</v>
      </c>
      <c r="AV1176" s="73">
        <f t="shared" si="465"/>
        <v>1.0068214933659623</v>
      </c>
      <c r="AW1176" s="74">
        <f>PRODUCT(AV$4:AV1176)</f>
        <v>2905.7410415446616</v>
      </c>
    </row>
    <row r="1177" spans="44:49">
      <c r="AR1177" s="69">
        <f t="shared" si="464"/>
        <v>98</v>
      </c>
      <c r="AS1177" s="70">
        <f t="shared" si="466"/>
        <v>1174</v>
      </c>
      <c r="AT1177" s="71">
        <f t="shared" si="467"/>
        <v>3.2364193057372095E-4</v>
      </c>
      <c r="AU1177" s="72">
        <f t="shared" si="463"/>
        <v>6.8214933659622723E-3</v>
      </c>
      <c r="AV1177" s="73">
        <f t="shared" si="465"/>
        <v>1.0068214933659623</v>
      </c>
      <c r="AW1177" s="74">
        <f>PRODUCT(AV$4:AV1177)</f>
        <v>2925.5625347827627</v>
      </c>
    </row>
    <row r="1178" spans="44:49">
      <c r="AR1178" s="69">
        <f t="shared" si="464"/>
        <v>98</v>
      </c>
      <c r="AS1178" s="70">
        <f t="shared" si="466"/>
        <v>1175</v>
      </c>
      <c r="AT1178" s="71">
        <f t="shared" si="467"/>
        <v>3.2143420929136511E-4</v>
      </c>
      <c r="AU1178" s="72">
        <f t="shared" si="463"/>
        <v>6.8214933659622723E-3</v>
      </c>
      <c r="AV1178" s="73">
        <f t="shared" si="465"/>
        <v>1.0068214933659623</v>
      </c>
      <c r="AW1178" s="74">
        <f>PRODUCT(AV$4:AV1178)</f>
        <v>2945.5192402054909</v>
      </c>
    </row>
    <row r="1179" spans="44:49">
      <c r="AR1179" s="69">
        <f t="shared" si="464"/>
        <v>98</v>
      </c>
      <c r="AS1179" s="70">
        <f t="shared" si="466"/>
        <v>1176</v>
      </c>
      <c r="AT1179" s="71">
        <f t="shared" si="467"/>
        <v>3.1924154796509073E-4</v>
      </c>
      <c r="AU1179" s="72">
        <f t="shared" si="463"/>
        <v>6.8214933659622723E-3</v>
      </c>
      <c r="AV1179" s="73">
        <f t="shared" si="465"/>
        <v>1.0068214933659623</v>
      </c>
      <c r="AW1179" s="74">
        <f>PRODUCT(AV$4:AV1179)</f>
        <v>2965.6120801618667</v>
      </c>
    </row>
    <row r="1180" spans="44:49">
      <c r="AR1180" s="69">
        <f t="shared" si="464"/>
        <v>99</v>
      </c>
      <c r="AS1180" s="70">
        <f t="shared" si="466"/>
        <v>1177</v>
      </c>
      <c r="AT1180" s="71">
        <f t="shared" si="467"/>
        <v>3.1706384386350736E-4</v>
      </c>
      <c r="AU1180" s="72">
        <f t="shared" si="463"/>
        <v>6.8214933659622723E-3</v>
      </c>
      <c r="AV1180" s="73">
        <f t="shared" si="465"/>
        <v>1.0068214933659623</v>
      </c>
      <c r="AW1180" s="74">
        <f>PRODUCT(AV$4:AV1180)</f>
        <v>2985.8419832927084</v>
      </c>
    </row>
    <row r="1181" spans="44:49">
      <c r="AR1181" s="69">
        <f t="shared" si="464"/>
        <v>99</v>
      </c>
      <c r="AS1181" s="70">
        <f t="shared" si="466"/>
        <v>1178</v>
      </c>
      <c r="AT1181" s="71">
        <f t="shared" si="467"/>
        <v>3.1490099495600594E-4</v>
      </c>
      <c r="AU1181" s="72">
        <f t="shared" si="463"/>
        <v>6.8214933659622723E-3</v>
      </c>
      <c r="AV1181" s="73">
        <f t="shared" si="465"/>
        <v>1.0068214933659623</v>
      </c>
      <c r="AW1181" s="74">
        <f>PRODUCT(AV$4:AV1181)</f>
        <v>3006.2098845735513</v>
      </c>
    </row>
    <row r="1182" spans="44:49">
      <c r="AR1182" s="69">
        <f t="shared" si="464"/>
        <v>99</v>
      </c>
      <c r="AS1182" s="70">
        <f t="shared" si="466"/>
        <v>1179</v>
      </c>
      <c r="AT1182" s="71">
        <f t="shared" si="467"/>
        <v>3.1275289990797861E-4</v>
      </c>
      <c r="AU1182" s="72">
        <f t="shared" si="463"/>
        <v>6.8214933659622723E-3</v>
      </c>
      <c r="AV1182" s="73">
        <f t="shared" si="465"/>
        <v>1.0068214933659623</v>
      </c>
      <c r="AW1182" s="74">
        <f>PRODUCT(AV$4:AV1182)</f>
        <v>3026.71672535786</v>
      </c>
    </row>
    <row r="1183" spans="44:49">
      <c r="AR1183" s="69">
        <f t="shared" si="464"/>
        <v>99</v>
      </c>
      <c r="AS1183" s="70">
        <f t="shared" si="466"/>
        <v>1180</v>
      </c>
      <c r="AT1183" s="71">
        <f t="shared" si="467"/>
        <v>3.1061945807607088E-4</v>
      </c>
      <c r="AU1183" s="72">
        <f t="shared" si="463"/>
        <v>6.8214933659622723E-3</v>
      </c>
      <c r="AV1183" s="73">
        <f t="shared" si="465"/>
        <v>1.0068214933659623</v>
      </c>
      <c r="AW1183" s="74">
        <f>PRODUCT(AV$4:AV1183)</f>
        <v>3047.3634534205357</v>
      </c>
    </row>
    <row r="1184" spans="44:49">
      <c r="AR1184" s="69">
        <f t="shared" si="464"/>
        <v>99</v>
      </c>
      <c r="AS1184" s="70">
        <f t="shared" si="466"/>
        <v>1181</v>
      </c>
      <c r="AT1184" s="71">
        <f t="shared" si="467"/>
        <v>3.0850056950346616E-4</v>
      </c>
      <c r="AU1184" s="72">
        <f t="shared" si="463"/>
        <v>6.8214933659622723E-3</v>
      </c>
      <c r="AV1184" s="73">
        <f t="shared" si="465"/>
        <v>1.0068214933659623</v>
      </c>
      <c r="AW1184" s="74">
        <f>PRODUCT(AV$4:AV1184)</f>
        <v>3068.1510230017198</v>
      </c>
    </row>
    <row r="1185" spans="44:49">
      <c r="AR1185" s="69">
        <f t="shared" si="464"/>
        <v>99</v>
      </c>
      <c r="AS1185" s="70">
        <f t="shared" si="466"/>
        <v>1182</v>
      </c>
      <c r="AT1185" s="71">
        <f t="shared" si="467"/>
        <v>3.0639613491520267E-4</v>
      </c>
      <c r="AU1185" s="72">
        <f t="shared" si="463"/>
        <v>6.8214933659622723E-3</v>
      </c>
      <c r="AV1185" s="73">
        <f t="shared" si="465"/>
        <v>1.0068214933659623</v>
      </c>
      <c r="AW1185" s="74">
        <f>PRODUCT(AV$4:AV1185)</f>
        <v>3089.0803948508965</v>
      </c>
    </row>
    <row r="1186" spans="44:49">
      <c r="AR1186" s="69">
        <f t="shared" si="464"/>
        <v>99</v>
      </c>
      <c r="AS1186" s="70">
        <f t="shared" si="466"/>
        <v>1183</v>
      </c>
      <c r="AT1186" s="71">
        <f t="shared" si="467"/>
        <v>3.0430605571352213E-4</v>
      </c>
      <c r="AU1186" s="72">
        <f t="shared" si="463"/>
        <v>6.8214933659622723E-3</v>
      </c>
      <c r="AV1186" s="73">
        <f t="shared" si="465"/>
        <v>1.0068214933659623</v>
      </c>
      <c r="AW1186" s="74">
        <f>PRODUCT(AV$4:AV1186)</f>
        <v>3110.152536271296</v>
      </c>
    </row>
    <row r="1187" spans="44:49">
      <c r="AR1187" s="69">
        <f t="shared" si="464"/>
        <v>99</v>
      </c>
      <c r="AS1187" s="70">
        <f t="shared" si="466"/>
        <v>1184</v>
      </c>
      <c r="AT1187" s="71">
        <f t="shared" si="467"/>
        <v>3.0223023397325018E-4</v>
      </c>
      <c r="AU1187" s="72">
        <f t="shared" si="463"/>
        <v>6.8214933659622723E-3</v>
      </c>
      <c r="AV1187" s="73">
        <f t="shared" si="465"/>
        <v>1.0068214933659623</v>
      </c>
      <c r="AW1187" s="74">
        <f>PRODUCT(AV$4:AV1187)</f>
        <v>3131.3684211646014</v>
      </c>
    </row>
    <row r="1188" spans="44:49">
      <c r="AR1188" s="69">
        <f t="shared" si="464"/>
        <v>99</v>
      </c>
      <c r="AS1188" s="70">
        <f t="shared" si="466"/>
        <v>1185</v>
      </c>
      <c r="AT1188" s="71">
        <f t="shared" si="467"/>
        <v>3.0016857243720844E-4</v>
      </c>
      <c r="AU1188" s="72">
        <f t="shared" si="463"/>
        <v>6.8214933659622723E-3</v>
      </c>
      <c r="AV1188" s="73">
        <f t="shared" si="465"/>
        <v>1.0068214933659623</v>
      </c>
      <c r="AW1188" s="74">
        <f>PRODUCT(AV$4:AV1188)</f>
        <v>3152.7290300759596</v>
      </c>
    </row>
    <row r="1189" spans="44:49">
      <c r="AR1189" s="69">
        <f t="shared" si="464"/>
        <v>99</v>
      </c>
      <c r="AS1189" s="70">
        <f t="shared" si="466"/>
        <v>1186</v>
      </c>
      <c r="AT1189" s="71">
        <f t="shared" si="467"/>
        <v>2.9812097451165765E-4</v>
      </c>
      <c r="AU1189" s="72">
        <f t="shared" si="463"/>
        <v>6.8214933659622723E-3</v>
      </c>
      <c r="AV1189" s="73">
        <f t="shared" si="465"/>
        <v>1.0068214933659623</v>
      </c>
      <c r="AW1189" s="74">
        <f>PRODUCT(AV$4:AV1189)</f>
        <v>3174.2353502392994</v>
      </c>
    </row>
    <row r="1190" spans="44:49">
      <c r="AR1190" s="69">
        <f t="shared" si="464"/>
        <v>99</v>
      </c>
      <c r="AS1190" s="70">
        <f t="shared" si="466"/>
        <v>1187</v>
      </c>
      <c r="AT1190" s="71">
        <f t="shared" si="467"/>
        <v>2.9608734426177219E-4</v>
      </c>
      <c r="AU1190" s="72">
        <f t="shared" si="463"/>
        <v>6.8214933659622723E-3</v>
      </c>
      <c r="AV1190" s="73">
        <f t="shared" si="465"/>
        <v>1.0068214933659623</v>
      </c>
      <c r="AW1190" s="74">
        <f>PRODUCT(AV$4:AV1190)</f>
        <v>3195.8883756229598</v>
      </c>
    </row>
    <row r="1191" spans="44:49">
      <c r="AR1191" s="69">
        <f t="shared" si="464"/>
        <v>99</v>
      </c>
      <c r="AS1191" s="70">
        <f t="shared" si="466"/>
        <v>1188</v>
      </c>
      <c r="AT1191" s="71">
        <f t="shared" si="467"/>
        <v>2.9406758640714513E-4</v>
      </c>
      <c r="AU1191" s="72">
        <f t="shared" si="463"/>
        <v>6.8214933659622723E-3</v>
      </c>
      <c r="AV1191" s="73">
        <f t="shared" si="465"/>
        <v>1.0068214933659623</v>
      </c>
      <c r="AW1191" s="74">
        <f>PRODUCT(AV$4:AV1191)</f>
        <v>3217.6891069756275</v>
      </c>
    </row>
    <row r="1192" spans="44:49">
      <c r="AR1192" s="69">
        <f t="shared" si="464"/>
        <v>100</v>
      </c>
      <c r="AS1192" s="70">
        <f t="shared" si="466"/>
        <v>1189</v>
      </c>
      <c r="AT1192" s="71">
        <f t="shared" si="467"/>
        <v>2.9206160631732424E-4</v>
      </c>
      <c r="AU1192" s="72">
        <f t="shared" si="463"/>
        <v>6.8214933659622723E-3</v>
      </c>
      <c r="AV1192" s="73">
        <f t="shared" si="465"/>
        <v>1.0068214933659623</v>
      </c>
      <c r="AW1192" s="74">
        <f>PRODUCT(AV$4:AV1192)</f>
        <v>3239.6385518725906</v>
      </c>
    </row>
    <row r="1193" spans="44:49">
      <c r="AR1193" s="69">
        <f t="shared" si="464"/>
        <v>100</v>
      </c>
      <c r="AS1193" s="70">
        <f t="shared" si="466"/>
        <v>1190</v>
      </c>
      <c r="AT1193" s="71">
        <f t="shared" si="467"/>
        <v>2.9006931000737833E-4</v>
      </c>
      <c r="AU1193" s="72">
        <f t="shared" si="463"/>
        <v>6.8214933659622723E-3</v>
      </c>
      <c r="AV1193" s="73">
        <f t="shared" si="465"/>
        <v>1.0068214933659623</v>
      </c>
      <c r="AW1193" s="74">
        <f>PRODUCT(AV$4:AV1193)</f>
        <v>3261.7377247623049</v>
      </c>
    </row>
    <row r="1194" spans="44:49">
      <c r="AR1194" s="69">
        <f t="shared" si="464"/>
        <v>100</v>
      </c>
      <c r="AS1194" s="70">
        <f t="shared" si="466"/>
        <v>1191</v>
      </c>
      <c r="AT1194" s="71">
        <f t="shared" si="467"/>
        <v>2.8809060413349373E-4</v>
      </c>
      <c r="AU1194" s="72">
        <f t="shared" si="463"/>
        <v>6.8214933659622723E-3</v>
      </c>
      <c r="AV1194" s="73">
        <f t="shared" si="465"/>
        <v>1.0068214933659623</v>
      </c>
      <c r="AW1194" s="74">
        <f>PRODUCT(AV$4:AV1194)</f>
        <v>3283.9876470132799</v>
      </c>
    </row>
    <row r="1195" spans="44:49">
      <c r="AR1195" s="69">
        <f t="shared" si="464"/>
        <v>100</v>
      </c>
      <c r="AS1195" s="70">
        <f t="shared" si="466"/>
        <v>1192</v>
      </c>
      <c r="AT1195" s="71">
        <f t="shared" si="467"/>
        <v>2.8612539598860104E-4</v>
      </c>
      <c r="AU1195" s="72">
        <f t="shared" si="463"/>
        <v>6.8214933659622723E-3</v>
      </c>
      <c r="AV1195" s="73">
        <f t="shared" si="465"/>
        <v>1.0068214933659623</v>
      </c>
      <c r="AW1195" s="74">
        <f>PRODUCT(AV$4:AV1195)</f>
        <v>3306.3893469612831</v>
      </c>
    </row>
    <row r="1196" spans="44:49">
      <c r="AR1196" s="69">
        <f t="shared" si="464"/>
        <v>100</v>
      </c>
      <c r="AS1196" s="70">
        <f t="shared" si="466"/>
        <v>1193</v>
      </c>
      <c r="AT1196" s="71">
        <f t="shared" si="467"/>
        <v>2.8417359349803146E-4</v>
      </c>
      <c r="AU1196" s="72">
        <f t="shared" si="463"/>
        <v>6.8214933659622723E-3</v>
      </c>
      <c r="AV1196" s="73">
        <f t="shared" si="465"/>
        <v>1.0068214933659623</v>
      </c>
      <c r="AW1196" s="74">
        <f>PRODUCT(AV$4:AV1196)</f>
        <v>3328.943859956868</v>
      </c>
    </row>
    <row r="1197" spans="44:49">
      <c r="AR1197" s="69">
        <f t="shared" si="464"/>
        <v>100</v>
      </c>
      <c r="AS1197" s="70">
        <f t="shared" si="466"/>
        <v>1194</v>
      </c>
      <c r="AT1197" s="71">
        <f t="shared" si="467"/>
        <v>2.8223510521520296E-4</v>
      </c>
      <c r="AU1197" s="72">
        <f t="shared" si="463"/>
        <v>6.8214933659622723E-3</v>
      </c>
      <c r="AV1197" s="73">
        <f t="shared" si="465"/>
        <v>1.0068214933659623</v>
      </c>
      <c r="AW1197" s="74">
        <f>PRODUCT(AV$4:AV1197)</f>
        <v>3351.6522284132247</v>
      </c>
    </row>
    <row r="1198" spans="44:49">
      <c r="AR1198" s="69">
        <f t="shared" si="464"/>
        <v>100</v>
      </c>
      <c r="AS1198" s="70">
        <f t="shared" si="466"/>
        <v>1195</v>
      </c>
      <c r="AT1198" s="71">
        <f t="shared" si="467"/>
        <v>2.803098403173358E-4</v>
      </c>
      <c r="AU1198" s="72">
        <f t="shared" si="463"/>
        <v>6.8214933659622723E-3</v>
      </c>
      <c r="AV1198" s="73">
        <f t="shared" si="465"/>
        <v>1.0068214933659623</v>
      </c>
      <c r="AW1198" s="74">
        <f>PRODUCT(AV$4:AV1198)</f>
        <v>3374.5155018543583</v>
      </c>
    </row>
    <row r="1199" spans="44:49">
      <c r="AR1199" s="69">
        <f t="shared" si="464"/>
        <v>100</v>
      </c>
      <c r="AS1199" s="70">
        <f t="shared" si="466"/>
        <v>1196</v>
      </c>
      <c r="AT1199" s="71">
        <f t="shared" si="467"/>
        <v>2.7839770860119714E-4</v>
      </c>
      <c r="AU1199" s="72">
        <f t="shared" si="463"/>
        <v>6.8214933659622723E-3</v>
      </c>
      <c r="AV1199" s="73">
        <f t="shared" si="465"/>
        <v>1.0068214933659623</v>
      </c>
      <c r="AW1199" s="74">
        <f>PRODUCT(AV$4:AV1199)</f>
        <v>3397.5347369635947</v>
      </c>
    </row>
    <row r="1200" spans="44:49">
      <c r="AR1200" s="69">
        <f t="shared" si="464"/>
        <v>100</v>
      </c>
      <c r="AS1200" s="70">
        <f t="shared" si="466"/>
        <v>1197</v>
      </c>
      <c r="AT1200" s="71">
        <f t="shared" si="467"/>
        <v>2.7649862047887495E-4</v>
      </c>
      <c r="AU1200" s="72">
        <f t="shared" si="463"/>
        <v>6.8214933659622723E-3</v>
      </c>
      <c r="AV1200" s="73">
        <f t="shared" si="465"/>
        <v>1.0068214933659623</v>
      </c>
      <c r="AW1200" s="74">
        <f>PRODUCT(AV$4:AV1200)</f>
        <v>3420.7109976324182</v>
      </c>
    </row>
    <row r="1201" spans="44:49">
      <c r="AR1201" s="69">
        <f t="shared" si="464"/>
        <v>100</v>
      </c>
      <c r="AS1201" s="70">
        <f t="shared" si="466"/>
        <v>1198</v>
      </c>
      <c r="AT1201" s="71">
        <f t="shared" si="467"/>
        <v>2.7461248697358058E-4</v>
      </c>
      <c r="AU1201" s="72">
        <f t="shared" si="463"/>
        <v>6.8214933659622723E-3</v>
      </c>
      <c r="AV1201" s="73">
        <f t="shared" si="465"/>
        <v>1.0068214933659623</v>
      </c>
      <c r="AW1201" s="74">
        <f>PRODUCT(AV$4:AV1201)</f>
        <v>3444.0453550096418</v>
      </c>
    </row>
    <row r="1202" spans="44:49">
      <c r="AR1202" s="69">
        <f t="shared" si="464"/>
        <v>100</v>
      </c>
      <c r="AS1202" s="70">
        <f t="shared" si="466"/>
        <v>1199</v>
      </c>
      <c r="AT1202" s="71">
        <f t="shared" si="467"/>
        <v>2.7273921971547989E-4</v>
      </c>
      <c r="AU1202" s="72">
        <f t="shared" si="463"/>
        <v>6.8214933659622723E-3</v>
      </c>
      <c r="AV1202" s="73">
        <f t="shared" si="465"/>
        <v>1.0068214933659623</v>
      </c>
      <c r="AW1202" s="74">
        <f>PRODUCT(AV$4:AV1202)</f>
        <v>3467.5388875509134</v>
      </c>
    </row>
    <row r="1203" spans="44:49">
      <c r="AR1203" s="69">
        <f t="shared" si="464"/>
        <v>100</v>
      </c>
      <c r="AS1203" s="70">
        <f t="shared" si="466"/>
        <v>1200</v>
      </c>
      <c r="AT1203" s="71">
        <f t="shared" si="467"/>
        <v>2.70878730937553E-4</v>
      </c>
      <c r="AU1203" s="72">
        <f t="shared" si="463"/>
        <v>6.8214933659622723E-3</v>
      </c>
      <c r="AV1203" s="73">
        <f t="shared" si="465"/>
        <v>1.0068214933659623</v>
      </c>
      <c r="AW1203" s="74">
        <f>PRODUCT(AV$4:AV1203)</f>
        <v>3491.1926810685582</v>
      </c>
    </row>
    <row r="1204" spans="44:49">
      <c r="AR1204" s="69">
        <f t="shared" si="464"/>
        <v>101</v>
      </c>
      <c r="AS1204" s="70">
        <f t="shared" si="466"/>
        <v>1201</v>
      </c>
      <c r="AT1204" s="71">
        <f t="shared" si="467"/>
        <v>2.690309334714822E-4</v>
      </c>
      <c r="AU1204" s="72">
        <f t="shared" si="463"/>
        <v>6.8214933659622723E-3</v>
      </c>
      <c r="AV1204" s="73">
        <f t="shared" si="465"/>
        <v>1.0068214933659623</v>
      </c>
      <c r="AW1204" s="74">
        <f>PRODUCT(AV$4:AV1204)</f>
        <v>3515.0078287817632</v>
      </c>
    </row>
    <row r="1205" spans="44:49">
      <c r="AR1205" s="69">
        <f t="shared" si="464"/>
        <v>101</v>
      </c>
      <c r="AS1205" s="70">
        <f t="shared" si="466"/>
        <v>1202</v>
      </c>
      <c r="AT1205" s="71">
        <f t="shared" si="467"/>
        <v>2.6719574074356785E-4</v>
      </c>
      <c r="AU1205" s="72">
        <f t="shared" si="463"/>
        <v>6.8214933659622723E-3</v>
      </c>
      <c r="AV1205" s="73">
        <f t="shared" si="465"/>
        <v>1.0068214933659623</v>
      </c>
      <c r="AW1205" s="74">
        <f>PRODUCT(AV$4:AV1205)</f>
        <v>3538.9854313671035</v>
      </c>
    </row>
    <row r="1206" spans="44:49">
      <c r="AR1206" s="69">
        <f t="shared" si="464"/>
        <v>101</v>
      </c>
      <c r="AS1206" s="70">
        <f t="shared" si="466"/>
        <v>1203</v>
      </c>
      <c r="AT1206" s="71">
        <f t="shared" si="467"/>
        <v>2.6537306677067222E-4</v>
      </c>
      <c r="AU1206" s="72">
        <f t="shared" si="463"/>
        <v>6.8214933659622723E-3</v>
      </c>
      <c r="AV1206" s="73">
        <f t="shared" si="465"/>
        <v>1.0068214933659623</v>
      </c>
      <c r="AW1206" s="74">
        <f>PRODUCT(AV$4:AV1206)</f>
        <v>3563.1265970094114</v>
      </c>
    </row>
    <row r="1207" spans="44:49">
      <c r="AR1207" s="69">
        <f t="shared" si="464"/>
        <v>101</v>
      </c>
      <c r="AS1207" s="70">
        <f t="shared" si="466"/>
        <v>1204</v>
      </c>
      <c r="AT1207" s="71">
        <f t="shared" si="467"/>
        <v>2.6356282615619105E-4</v>
      </c>
      <c r="AU1207" s="72">
        <f t="shared" si="463"/>
        <v>6.8214933659622723E-3</v>
      </c>
      <c r="AV1207" s="73">
        <f t="shared" si="465"/>
        <v>1.0068214933659623</v>
      </c>
      <c r="AW1207" s="74">
        <f>PRODUCT(AV$4:AV1207)</f>
        <v>3587.4324414529947</v>
      </c>
    </row>
    <row r="1208" spans="44:49">
      <c r="AR1208" s="69">
        <f t="shared" si="464"/>
        <v>101</v>
      </c>
      <c r="AS1208" s="70">
        <f t="shared" si="466"/>
        <v>1205</v>
      </c>
      <c r="AT1208" s="71">
        <f t="shared" si="467"/>
        <v>2.6176493408605232E-4</v>
      </c>
      <c r="AU1208" s="72">
        <f t="shared" si="463"/>
        <v>6.8214933659622723E-3</v>
      </c>
      <c r="AV1208" s="73">
        <f t="shared" si="465"/>
        <v>1.0068214933659623</v>
      </c>
      <c r="AW1208" s="74">
        <f>PRODUCT(AV$4:AV1208)</f>
        <v>3611.9040880532043</v>
      </c>
    </row>
    <row r="1209" spans="44:49">
      <c r="AR1209" s="69">
        <f t="shared" si="464"/>
        <v>101</v>
      </c>
      <c r="AS1209" s="70">
        <f t="shared" si="466"/>
        <v>1206</v>
      </c>
      <c r="AT1209" s="71">
        <f t="shared" si="467"/>
        <v>2.5997930632474278E-4</v>
      </c>
      <c r="AU1209" s="72">
        <f t="shared" si="463"/>
        <v>6.8214933659622723E-3</v>
      </c>
      <c r="AV1209" s="73">
        <f t="shared" si="465"/>
        <v>1.0068214933659623</v>
      </c>
      <c r="AW1209" s="74">
        <f>PRODUCT(AV$4:AV1209)</f>
        <v>3636.5426678283511</v>
      </c>
    </row>
    <row r="1210" spans="44:49">
      <c r="AR1210" s="69">
        <f t="shared" si="464"/>
        <v>101</v>
      </c>
      <c r="AS1210" s="70">
        <f t="shared" si="466"/>
        <v>1207</v>
      </c>
      <c r="AT1210" s="71">
        <f t="shared" si="467"/>
        <v>2.5820585921136109E-4</v>
      </c>
      <c r="AU1210" s="72">
        <f t="shared" si="463"/>
        <v>6.8214933659622723E-3</v>
      </c>
      <c r="AV1210" s="73">
        <f t="shared" si="465"/>
        <v>1.0068214933659623</v>
      </c>
      <c r="AW1210" s="74">
        <f>PRODUCT(AV$4:AV1210)</f>
        <v>3661.3493195119809</v>
      </c>
    </row>
    <row r="1211" spans="44:49">
      <c r="AR1211" s="69">
        <f t="shared" si="464"/>
        <v>101</v>
      </c>
      <c r="AS1211" s="70">
        <f t="shared" si="466"/>
        <v>1208</v>
      </c>
      <c r="AT1211" s="71">
        <f t="shared" si="467"/>
        <v>2.5644450965569822E-4</v>
      </c>
      <c r="AU1211" s="72">
        <f t="shared" si="463"/>
        <v>6.8214933659622723E-3</v>
      </c>
      <c r="AV1211" s="73">
        <f t="shared" si="465"/>
        <v>1.0068214933659623</v>
      </c>
      <c r="AW1211" s="74">
        <f>PRODUCT(AV$4:AV1211)</f>
        <v>3686.3251896055021</v>
      </c>
    </row>
    <row r="1212" spans="44:49">
      <c r="AR1212" s="69">
        <f t="shared" si="464"/>
        <v>101</v>
      </c>
      <c r="AS1212" s="70">
        <f t="shared" si="466"/>
        <v>1209</v>
      </c>
      <c r="AT1212" s="71">
        <f t="shared" si="467"/>
        <v>2.546951751343444E-4</v>
      </c>
      <c r="AU1212" s="72">
        <f t="shared" si="463"/>
        <v>6.8214933659622723E-3</v>
      </c>
      <c r="AV1212" s="73">
        <f t="shared" si="465"/>
        <v>1.0068214933659623</v>
      </c>
      <c r="AW1212" s="74">
        <f>PRODUCT(AV$4:AV1212)</f>
        <v>3711.4714324311758</v>
      </c>
    </row>
    <row r="1213" spans="44:49">
      <c r="AR1213" s="69">
        <f t="shared" si="464"/>
        <v>101</v>
      </c>
      <c r="AS1213" s="70">
        <f t="shared" si="466"/>
        <v>1210</v>
      </c>
      <c r="AT1213" s="71">
        <f t="shared" si="467"/>
        <v>2.5295777368682288E-4</v>
      </c>
      <c r="AU1213" s="72">
        <f t="shared" si="463"/>
        <v>6.8214933659622723E-3</v>
      </c>
      <c r="AV1213" s="73">
        <f t="shared" si="465"/>
        <v>1.0068214933659623</v>
      </c>
      <c r="AW1213" s="74">
        <f>PRODUCT(AV$4:AV1213)</f>
        <v>3736.7892101854636</v>
      </c>
    </row>
    <row r="1214" spans="44:49">
      <c r="AR1214" s="69">
        <f t="shared" si="464"/>
        <v>101</v>
      </c>
      <c r="AS1214" s="70">
        <f t="shared" si="466"/>
        <v>1211</v>
      </c>
      <c r="AT1214" s="71">
        <f t="shared" si="467"/>
        <v>2.5123222391174965E-4</v>
      </c>
      <c r="AU1214" s="72">
        <f t="shared" si="463"/>
        <v>6.8214933659622723E-3</v>
      </c>
      <c r="AV1214" s="73">
        <f t="shared" si="465"/>
        <v>1.0068214933659623</v>
      </c>
      <c r="AW1214" s="74">
        <f>PRODUCT(AV$4:AV1214)</f>
        <v>3762.2796929927431</v>
      </c>
    </row>
    <row r="1215" spans="44:49">
      <c r="AR1215" s="69">
        <f t="shared" si="464"/>
        <v>101</v>
      </c>
      <c r="AS1215" s="70">
        <f t="shared" si="466"/>
        <v>1212</v>
      </c>
      <c r="AT1215" s="71">
        <f t="shared" si="467"/>
        <v>2.4951844496301972E-4</v>
      </c>
      <c r="AU1215" s="72">
        <f t="shared" si="463"/>
        <v>6.8214933659622723E-3</v>
      </c>
      <c r="AV1215" s="73">
        <f t="shared" si="465"/>
        <v>1.0068214933659623</v>
      </c>
      <c r="AW1215" s="74">
        <f>PRODUCT(AV$4:AV1215)</f>
        <v>3787.9440589593878</v>
      </c>
    </row>
    <row r="1216" spans="44:49">
      <c r="AR1216" s="69">
        <f t="shared" si="464"/>
        <v>102</v>
      </c>
      <c r="AS1216" s="70">
        <f t="shared" si="466"/>
        <v>1213</v>
      </c>
      <c r="AT1216" s="71">
        <f t="shared" si="467"/>
        <v>2.4781635654601926E-4</v>
      </c>
      <c r="AU1216" s="72">
        <f t="shared" si="463"/>
        <v>6.8214933659622723E-3</v>
      </c>
      <c r="AV1216" s="73">
        <f t="shared" si="465"/>
        <v>1.0068214933659623</v>
      </c>
      <c r="AW1216" s="74">
        <f>PRODUCT(AV$4:AV1216)</f>
        <v>3813.7834942282157</v>
      </c>
    </row>
    <row r="1217" spans="44:49">
      <c r="AR1217" s="69">
        <f t="shared" si="464"/>
        <v>102</v>
      </c>
      <c r="AS1217" s="70">
        <f t="shared" si="466"/>
        <v>1214</v>
      </c>
      <c r="AT1217" s="71">
        <f t="shared" si="467"/>
        <v>2.4612587891386365E-4</v>
      </c>
      <c r="AU1217" s="72">
        <f t="shared" si="463"/>
        <v>6.8214933659622723E-3</v>
      </c>
      <c r="AV1217" s="73">
        <f t="shared" si="465"/>
        <v>1.0068214933659623</v>
      </c>
      <c r="AW1217" s="74">
        <f>PRODUCT(AV$4:AV1217)</f>
        <v>3839.7991930333096</v>
      </c>
    </row>
    <row r="1218" spans="44:49">
      <c r="AR1218" s="69">
        <f t="shared" si="464"/>
        <v>102</v>
      </c>
      <c r="AS1218" s="70">
        <f t="shared" si="466"/>
        <v>1215</v>
      </c>
      <c r="AT1218" s="71">
        <f t="shared" si="467"/>
        <v>2.444469328636611E-4</v>
      </c>
      <c r="AU1218" s="72">
        <f t="shared" si="463"/>
        <v>6.8214933659622723E-3</v>
      </c>
      <c r="AV1218" s="73">
        <f t="shared" si="465"/>
        <v>1.0068214933659623</v>
      </c>
      <c r="AW1218" s="74">
        <f>PRODUCT(AV$4:AV1218)</f>
        <v>3865.9923577552136</v>
      </c>
    </row>
    <row r="1219" spans="44:49">
      <c r="AR1219" s="69">
        <f t="shared" si="464"/>
        <v>102</v>
      </c>
      <c r="AS1219" s="70">
        <f t="shared" si="466"/>
        <v>1216</v>
      </c>
      <c r="AT1219" s="71">
        <f t="shared" si="467"/>
        <v>2.4277943973280181E-4</v>
      </c>
      <c r="AU1219" s="72">
        <f t="shared" si="463"/>
        <v>6.8214933659622723E-3</v>
      </c>
      <c r="AV1219" s="73">
        <f t="shared" si="465"/>
        <v>1.0068214933659623</v>
      </c>
      <c r="AW1219" s="74">
        <f>PRODUCT(AV$4:AV1219)</f>
        <v>3892.3641989765015</v>
      </c>
    </row>
    <row r="1220" spans="44:49">
      <c r="AR1220" s="69">
        <f t="shared" si="464"/>
        <v>102</v>
      </c>
      <c r="AS1220" s="70">
        <f t="shared" si="466"/>
        <v>1217</v>
      </c>
      <c r="AT1220" s="71">
        <f t="shared" si="467"/>
        <v>2.4112332139527247E-4</v>
      </c>
      <c r="AU1220" s="72">
        <f t="shared" ref="AU1220:AU1283" si="468">((1+$AH$21)^(1/12))-1</f>
        <v>6.8214933659622723E-3</v>
      </c>
      <c r="AV1220" s="73">
        <f t="shared" si="465"/>
        <v>1.0068214933659623</v>
      </c>
      <c r="AW1220" s="74">
        <f>PRODUCT(AV$4:AV1220)</f>
        <v>3918.9159355377287</v>
      </c>
    </row>
    <row r="1221" spans="44:49">
      <c r="AR1221" s="69">
        <f t="shared" ref="AR1221:AR1284" si="469">ROUNDDOWN((AS1221-1)/12,0)+1</f>
        <v>102</v>
      </c>
      <c r="AS1221" s="70">
        <f t="shared" si="466"/>
        <v>1218</v>
      </c>
      <c r="AT1221" s="71">
        <f t="shared" si="467"/>
        <v>2.3947850025799584E-4</v>
      </c>
      <c r="AU1221" s="72">
        <f t="shared" si="468"/>
        <v>6.8214933659622723E-3</v>
      </c>
      <c r="AV1221" s="73">
        <f t="shared" ref="AV1221:AV1284" si="470">(1+AU1221)</f>
        <v>1.0068214933659623</v>
      </c>
      <c r="AW1221" s="74">
        <f>PRODUCT(AV$4:AV1221)</f>
        <v>3945.6487945937633</v>
      </c>
    </row>
    <row r="1222" spans="44:49">
      <c r="AR1222" s="69">
        <f t="shared" si="469"/>
        <v>102</v>
      </c>
      <c r="AS1222" s="70">
        <f t="shared" ref="AS1222:AS1285" si="471">AS1221+1</f>
        <v>1219</v>
      </c>
      <c r="AT1222" s="71">
        <f t="shared" si="467"/>
        <v>2.3784489925719531E-4</v>
      </c>
      <c r="AU1222" s="72">
        <f t="shared" si="468"/>
        <v>6.8214933659622723E-3</v>
      </c>
      <c r="AV1222" s="73">
        <f t="shared" si="470"/>
        <v>1.0068214933659623</v>
      </c>
      <c r="AW1222" s="74">
        <f>PRODUCT(AV$4:AV1222)</f>
        <v>3972.5640116705017</v>
      </c>
    </row>
    <row r="1223" spans="44:49">
      <c r="AR1223" s="69">
        <f t="shared" si="469"/>
        <v>102</v>
      </c>
      <c r="AS1223" s="70">
        <f t="shared" si="471"/>
        <v>1220</v>
      </c>
      <c r="AT1223" s="71">
        <f t="shared" si="467"/>
        <v>2.3622244185478439E-4</v>
      </c>
      <c r="AU1223" s="72">
        <f t="shared" si="468"/>
        <v>6.8214933659622723E-3</v>
      </c>
      <c r="AV1223" s="73">
        <f t="shared" si="470"/>
        <v>1.0068214933659623</v>
      </c>
      <c r="AW1223" s="74">
        <f>PRODUCT(AV$4:AV1223)</f>
        <v>3999.6628307219726</v>
      </c>
    </row>
    <row r="1224" spans="44:49">
      <c r="AR1224" s="69">
        <f t="shared" si="469"/>
        <v>102</v>
      </c>
      <c r="AS1224" s="70">
        <f t="shared" si="471"/>
        <v>1221</v>
      </c>
      <c r="AT1224" s="71">
        <f t="shared" si="467"/>
        <v>2.3461105203478056E-4</v>
      </c>
      <c r="AU1224" s="72">
        <f t="shared" si="468"/>
        <v>6.8214933659622723E-3</v>
      </c>
      <c r="AV1224" s="73">
        <f t="shared" si="470"/>
        <v>1.0068214933659623</v>
      </c>
      <c r="AW1224" s="74">
        <f>PRODUCT(AV$4:AV1224)</f>
        <v>4026.9465041878284</v>
      </c>
    </row>
    <row r="1225" spans="44:49">
      <c r="AR1225" s="69">
        <f t="shared" si="469"/>
        <v>102</v>
      </c>
      <c r="AS1225" s="70">
        <f t="shared" si="471"/>
        <v>1222</v>
      </c>
      <c r="AT1225" s="71">
        <f t="shared" si="467"/>
        <v>2.3301065429974388E-4</v>
      </c>
      <c r="AU1225" s="72">
        <f t="shared" si="468"/>
        <v>6.8214933659622723E-3</v>
      </c>
      <c r="AV1225" s="73">
        <f t="shared" si="470"/>
        <v>1.0068214933659623</v>
      </c>
      <c r="AW1225" s="74">
        <f>PRODUCT(AV$4:AV1225)</f>
        <v>4054.4162930512307</v>
      </c>
    </row>
    <row r="1226" spans="44:49">
      <c r="AR1226" s="69">
        <f t="shared" si="469"/>
        <v>102</v>
      </c>
      <c r="AS1226" s="70">
        <f t="shared" si="471"/>
        <v>1223</v>
      </c>
      <c r="AT1226" s="71">
        <f t="shared" si="467"/>
        <v>2.3142117366723965E-4</v>
      </c>
      <c r="AU1226" s="72">
        <f t="shared" si="468"/>
        <v>6.8214933659622723E-3</v>
      </c>
      <c r="AV1226" s="73">
        <f t="shared" si="470"/>
        <v>1.0068214933659623</v>
      </c>
      <c r="AW1226" s="74">
        <f>PRODUCT(AV$4:AV1226)</f>
        <v>4082.073466897129</v>
      </c>
    </row>
    <row r="1227" spans="44:49">
      <c r="AR1227" s="69">
        <f t="shared" si="469"/>
        <v>102</v>
      </c>
      <c r="AS1227" s="70">
        <f t="shared" si="471"/>
        <v>1224</v>
      </c>
      <c r="AT1227" s="71">
        <f t="shared" si="467"/>
        <v>2.2984253566632538E-4</v>
      </c>
      <c r="AU1227" s="72">
        <f t="shared" si="468"/>
        <v>6.8214933659622723E-3</v>
      </c>
      <c r="AV1227" s="73">
        <f t="shared" si="470"/>
        <v>1.0068214933659623</v>
      </c>
      <c r="AW1227" s="74">
        <f>PRODUCT(AV$4:AV1227)</f>
        <v>4109.919303970938</v>
      </c>
    </row>
    <row r="1228" spans="44:49">
      <c r="AR1228" s="69">
        <f t="shared" si="469"/>
        <v>103</v>
      </c>
      <c r="AS1228" s="70">
        <f t="shared" si="471"/>
        <v>1225</v>
      </c>
      <c r="AT1228" s="71">
        <f t="shared" si="467"/>
        <v>2.2827466633406159E-4</v>
      </c>
      <c r="AU1228" s="72">
        <f t="shared" si="468"/>
        <v>6.8214933659622723E-3</v>
      </c>
      <c r="AV1228" s="73">
        <f t="shared" si="470"/>
        <v>1.0068214933659623</v>
      </c>
      <c r="AW1228" s="74">
        <f>PRODUCT(AV$4:AV1228)</f>
        <v>4137.9550912376162</v>
      </c>
    </row>
    <row r="1229" spans="44:49">
      <c r="AR1229" s="69">
        <f t="shared" si="469"/>
        <v>103</v>
      </c>
      <c r="AS1229" s="70">
        <f t="shared" si="471"/>
        <v>1226</v>
      </c>
      <c r="AT1229" s="71">
        <f t="shared" si="467"/>
        <v>2.2671749221204654E-4</v>
      </c>
      <c r="AU1229" s="72">
        <f t="shared" si="468"/>
        <v>6.8214933659622723E-3</v>
      </c>
      <c r="AV1229" s="73">
        <f t="shared" si="470"/>
        <v>1.0068214933659623</v>
      </c>
      <c r="AW1229" s="74">
        <f>PRODUCT(AV$4:AV1229)</f>
        <v>4166.1821244411431</v>
      </c>
    </row>
    <row r="1230" spans="44:49">
      <c r="AR1230" s="69">
        <f t="shared" si="469"/>
        <v>103</v>
      </c>
      <c r="AS1230" s="70">
        <f t="shared" si="471"/>
        <v>1227</v>
      </c>
      <c r="AT1230" s="71">
        <f t="shared" si="467"/>
        <v>2.2517094034297445E-4</v>
      </c>
      <c r="AU1230" s="72">
        <f t="shared" si="468"/>
        <v>6.8214933659622723E-3</v>
      </c>
      <c r="AV1230" s="73">
        <f t="shared" si="470"/>
        <v>1.0068214933659623</v>
      </c>
      <c r="AW1230" s="74">
        <f>PRODUCT(AV$4:AV1230)</f>
        <v>4194.6017081644086</v>
      </c>
    </row>
    <row r="1231" spans="44:49">
      <c r="AR1231" s="69">
        <f t="shared" si="469"/>
        <v>103</v>
      </c>
      <c r="AS1231" s="70">
        <f t="shared" si="471"/>
        <v>1228</v>
      </c>
      <c r="AT1231" s="71">
        <f t="shared" si="467"/>
        <v>2.2363493826721737E-4</v>
      </c>
      <c r="AU1231" s="72">
        <f t="shared" si="468"/>
        <v>6.8214933659622723E-3</v>
      </c>
      <c r="AV1231" s="73">
        <f t="shared" si="470"/>
        <v>1.0068214933659623</v>
      </c>
      <c r="AW1231" s="74">
        <f>PRODUCT(AV$4:AV1231)</f>
        <v>4223.2151558895057</v>
      </c>
    </row>
    <row r="1232" spans="44:49">
      <c r="AR1232" s="69">
        <f t="shared" si="469"/>
        <v>103</v>
      </c>
      <c r="AS1232" s="70">
        <f t="shared" si="471"/>
        <v>1229</v>
      </c>
      <c r="AT1232" s="71">
        <f t="shared" si="467"/>
        <v>2.2210941401943016E-4</v>
      </c>
      <c r="AU1232" s="72">
        <f t="shared" si="468"/>
        <v>6.8214933659622723E-3</v>
      </c>
      <c r="AV1232" s="73">
        <f t="shared" si="470"/>
        <v>1.0068214933659623</v>
      </c>
      <c r="AW1232" s="74">
        <f>PRODUCT(AV$4:AV1232)</f>
        <v>4252.023790058437</v>
      </c>
    </row>
    <row r="1233" spans="44:49">
      <c r="AR1233" s="69">
        <f t="shared" si="469"/>
        <v>103</v>
      </c>
      <c r="AS1233" s="70">
        <f t="shared" si="471"/>
        <v>1230</v>
      </c>
      <c r="AT1233" s="71">
        <f t="shared" si="467"/>
        <v>2.2059429612517886E-4</v>
      </c>
      <c r="AU1233" s="72">
        <f t="shared" si="468"/>
        <v>6.8214933659622723E-3</v>
      </c>
      <c r="AV1233" s="73">
        <f t="shared" si="470"/>
        <v>1.0068214933659623</v>
      </c>
      <c r="AW1233" s="74">
        <f>PRODUCT(AV$4:AV1233)</f>
        <v>4281.0289421342341</v>
      </c>
    </row>
    <row r="1234" spans="44:49">
      <c r="AR1234" s="69">
        <f t="shared" si="469"/>
        <v>103</v>
      </c>
      <c r="AS1234" s="70">
        <f t="shared" si="471"/>
        <v>1231</v>
      </c>
      <c r="AT1234" s="71">
        <f t="shared" si="467"/>
        <v>2.1908951359759184E-4</v>
      </c>
      <c r="AU1234" s="72">
        <f t="shared" si="468"/>
        <v>6.8214933659622723E-3</v>
      </c>
      <c r="AV1234" s="73">
        <f t="shared" si="470"/>
        <v>1.0068214933659623</v>
      </c>
      <c r="AW1234" s="74">
        <f>PRODUCT(AV$4:AV1234)</f>
        <v>4310.2319526624951</v>
      </c>
    </row>
    <row r="1235" spans="44:49">
      <c r="AR1235" s="69">
        <f t="shared" si="469"/>
        <v>103</v>
      </c>
      <c r="AS1235" s="70">
        <f t="shared" si="471"/>
        <v>1232</v>
      </c>
      <c r="AT1235" s="71">
        <f t="shared" si="467"/>
        <v>2.1759499593403396E-4</v>
      </c>
      <c r="AU1235" s="72">
        <f t="shared" si="468"/>
        <v>6.8214933659622723E-3</v>
      </c>
      <c r="AV1235" s="73">
        <f t="shared" si="470"/>
        <v>1.0068214933659623</v>
      </c>
      <c r="AW1235" s="74">
        <f>PRODUCT(AV$4:AV1235)</f>
        <v>4339.6341713333413</v>
      </c>
    </row>
    <row r="1236" spans="44:49">
      <c r="AR1236" s="69">
        <f t="shared" si="469"/>
        <v>103</v>
      </c>
      <c r="AS1236" s="70">
        <f t="shared" si="471"/>
        <v>1233</v>
      </c>
      <c r="AT1236" s="71">
        <f t="shared" si="467"/>
        <v>2.1611067311280336E-4</v>
      </c>
      <c r="AU1236" s="72">
        <f t="shared" si="468"/>
        <v>6.8214933659622723E-3</v>
      </c>
      <c r="AV1236" s="73">
        <f t="shared" si="470"/>
        <v>1.0068214933659623</v>
      </c>
      <c r="AW1236" s="74">
        <f>PRODUCT(AV$4:AV1236)</f>
        <v>4369.236957043795</v>
      </c>
    </row>
    <row r="1237" spans="44:49">
      <c r="AR1237" s="69">
        <f t="shared" si="469"/>
        <v>103</v>
      </c>
      <c r="AS1237" s="70">
        <f t="shared" si="471"/>
        <v>1234</v>
      </c>
      <c r="AT1237" s="71">
        <f t="shared" si="467"/>
        <v>2.1463647558985074E-4</v>
      </c>
      <c r="AU1237" s="72">
        <f t="shared" si="468"/>
        <v>6.8214933659622723E-3</v>
      </c>
      <c r="AV1237" s="73">
        <f t="shared" si="470"/>
        <v>1.0068214933659623</v>
      </c>
      <c r="AW1237" s="74">
        <f>PRODUCT(AV$4:AV1237)</f>
        <v>4399.0416779605866</v>
      </c>
    </row>
    <row r="1238" spans="44:49">
      <c r="AR1238" s="69">
        <f t="shared" si="469"/>
        <v>103</v>
      </c>
      <c r="AS1238" s="70">
        <f t="shared" si="471"/>
        <v>1235</v>
      </c>
      <c r="AT1238" s="71">
        <f t="shared" si="467"/>
        <v>2.1317233429552106E-4</v>
      </c>
      <c r="AU1238" s="72">
        <f t="shared" si="468"/>
        <v>6.8214933659622723E-3</v>
      </c>
      <c r="AV1238" s="73">
        <f t="shared" si="470"/>
        <v>1.0068214933659623</v>
      </c>
      <c r="AW1238" s="74">
        <f>PRODUCT(AV$4:AV1238)</f>
        <v>4429.0497115833859</v>
      </c>
    </row>
    <row r="1239" spans="44:49">
      <c r="AR1239" s="69">
        <f t="shared" si="469"/>
        <v>103</v>
      </c>
      <c r="AS1239" s="70">
        <f t="shared" si="471"/>
        <v>1236</v>
      </c>
      <c r="AT1239" s="71">
        <f t="shared" ref="AT1239:AT1302" si="472">(1-AU1239)*AT1238</f>
        <v>2.1171818063131747E-4</v>
      </c>
      <c r="AU1239" s="72">
        <f t="shared" si="468"/>
        <v>6.8214933659622723E-3</v>
      </c>
      <c r="AV1239" s="73">
        <f t="shared" si="470"/>
        <v>1.0068214933659623</v>
      </c>
      <c r="AW1239" s="74">
        <f>PRODUCT(AV$4:AV1239)</f>
        <v>4459.2624448084689</v>
      </c>
    </row>
    <row r="1240" spans="44:49">
      <c r="AR1240" s="69">
        <f t="shared" si="469"/>
        <v>104</v>
      </c>
      <c r="AS1240" s="70">
        <f t="shared" si="471"/>
        <v>1237</v>
      </c>
      <c r="AT1240" s="71">
        <f t="shared" si="472"/>
        <v>2.1027394646668733E-4</v>
      </c>
      <c r="AU1240" s="72">
        <f t="shared" si="468"/>
        <v>6.8214933659622723E-3</v>
      </c>
      <c r="AV1240" s="73">
        <f t="shared" si="470"/>
        <v>1.0068214933659623</v>
      </c>
      <c r="AW1240" s="74">
        <f>PRODUCT(AV$4:AV1240)</f>
        <v>4489.6812739928146</v>
      </c>
    </row>
    <row r="1241" spans="44:49">
      <c r="AR1241" s="69">
        <f t="shared" si="469"/>
        <v>104</v>
      </c>
      <c r="AS1241" s="70">
        <f t="shared" si="471"/>
        <v>1238</v>
      </c>
      <c r="AT1241" s="71">
        <f t="shared" si="472"/>
        <v>2.0883956413583012E-4</v>
      </c>
      <c r="AU1241" s="72">
        <f t="shared" si="468"/>
        <v>6.8214933659622723E-3</v>
      </c>
      <c r="AV1241" s="73">
        <f t="shared" si="470"/>
        <v>1.0068214933659623</v>
      </c>
      <c r="AW1241" s="74">
        <f>PRODUCT(AV$4:AV1241)</f>
        <v>4520.3076050186419</v>
      </c>
    </row>
    <row r="1242" spans="44:49">
      <c r="AR1242" s="69">
        <f t="shared" si="469"/>
        <v>104</v>
      </c>
      <c r="AS1242" s="70">
        <f t="shared" si="471"/>
        <v>1239</v>
      </c>
      <c r="AT1242" s="71">
        <f t="shared" si="472"/>
        <v>2.0741496643452711E-4</v>
      </c>
      <c r="AU1242" s="72">
        <f t="shared" si="468"/>
        <v>6.8214933659622723E-3</v>
      </c>
      <c r="AV1242" s="73">
        <f t="shared" si="470"/>
        <v>1.0068214933659623</v>
      </c>
      <c r="AW1242" s="74">
        <f>PRODUCT(AV$4:AV1242)</f>
        <v>4551.1428533583858</v>
      </c>
    </row>
    <row r="1243" spans="44:49">
      <c r="AR1243" s="69">
        <f t="shared" si="469"/>
        <v>104</v>
      </c>
      <c r="AS1243" s="70">
        <f t="shared" si="471"/>
        <v>1240</v>
      </c>
      <c r="AT1243" s="71">
        <f t="shared" si="472"/>
        <v>2.0600008661699271E-4</v>
      </c>
      <c r="AU1243" s="72">
        <f t="shared" si="468"/>
        <v>6.8214933659622723E-3</v>
      </c>
      <c r="AV1243" s="73">
        <f t="shared" si="470"/>
        <v>1.0068214933659623</v>
      </c>
      <c r="AW1243" s="74">
        <f>PRODUCT(AV$4:AV1243)</f>
        <v>4582.1884441401162</v>
      </c>
    </row>
    <row r="1244" spans="44:49">
      <c r="AR1244" s="69">
        <f t="shared" si="469"/>
        <v>104</v>
      </c>
      <c r="AS1244" s="70">
        <f t="shared" si="471"/>
        <v>1241</v>
      </c>
      <c r="AT1244" s="71">
        <f t="shared" si="472"/>
        <v>2.0459485839274724E-4</v>
      </c>
      <c r="AU1244" s="72">
        <f t="shared" si="468"/>
        <v>6.8214933659622723E-3</v>
      </c>
      <c r="AV1244" s="73">
        <f t="shared" si="470"/>
        <v>1.0068214933659623</v>
      </c>
      <c r="AW1244" s="74">
        <f>PRODUCT(AV$4:AV1244)</f>
        <v>4613.4458122134074</v>
      </c>
    </row>
    <row r="1245" spans="44:49">
      <c r="AR1245" s="69">
        <f t="shared" si="469"/>
        <v>104</v>
      </c>
      <c r="AS1245" s="70">
        <f t="shared" si="471"/>
        <v>1242</v>
      </c>
      <c r="AT1245" s="71">
        <f t="shared" si="472"/>
        <v>2.0319921592351113E-4</v>
      </c>
      <c r="AU1245" s="72">
        <f t="shared" si="468"/>
        <v>6.8214933659622723E-3</v>
      </c>
      <c r="AV1245" s="73">
        <f t="shared" si="470"/>
        <v>1.0068214933659623</v>
      </c>
      <c r="AW1245" s="74">
        <f>PRODUCT(AV$4:AV1245)</f>
        <v>4644.9164022156474</v>
      </c>
    </row>
    <row r="1246" spans="44:49">
      <c r="AR1246" s="69">
        <f t="shared" si="469"/>
        <v>104</v>
      </c>
      <c r="AS1246" s="70">
        <f t="shared" si="471"/>
        <v>1243</v>
      </c>
      <c r="AT1246" s="71">
        <f t="shared" si="472"/>
        <v>2.0181309382012017E-4</v>
      </c>
      <c r="AU1246" s="72">
        <f t="shared" si="468"/>
        <v>6.8214933659622723E-3</v>
      </c>
      <c r="AV1246" s="73">
        <f t="shared" si="470"/>
        <v>1.0068214933659623</v>
      </c>
      <c r="AW1246" s="74">
        <f>PRODUCT(AV$4:AV1246)</f>
        <v>4676.6016686388111</v>
      </c>
    </row>
    <row r="1247" spans="44:49">
      <c r="AR1247" s="69">
        <f t="shared" si="469"/>
        <v>104</v>
      </c>
      <c r="AS1247" s="70">
        <f t="shared" si="471"/>
        <v>1244</v>
      </c>
      <c r="AT1247" s="71">
        <f t="shared" si="472"/>
        <v>2.0043642713946189E-4</v>
      </c>
      <c r="AU1247" s="72">
        <f t="shared" si="468"/>
        <v>6.8214933659622723E-3</v>
      </c>
      <c r="AV1247" s="73">
        <f t="shared" si="470"/>
        <v>1.0068214933659623</v>
      </c>
      <c r="AW1247" s="74">
        <f>PRODUCT(AV$4:AV1247)</f>
        <v>4708.5030758966786</v>
      </c>
    </row>
    <row r="1248" spans="44:49">
      <c r="AR1248" s="69">
        <f t="shared" si="469"/>
        <v>104</v>
      </c>
      <c r="AS1248" s="70">
        <f t="shared" si="471"/>
        <v>1245</v>
      </c>
      <c r="AT1248" s="71">
        <f t="shared" si="472"/>
        <v>1.9906915138143288E-4</v>
      </c>
      <c r="AU1248" s="72">
        <f t="shared" si="468"/>
        <v>6.8214933659622723E-3</v>
      </c>
      <c r="AV1248" s="73">
        <f t="shared" si="470"/>
        <v>1.0068214933659623</v>
      </c>
      <c r="AW1248" s="74">
        <f>PRODUCT(AV$4:AV1248)</f>
        <v>4740.6220983925205</v>
      </c>
    </row>
    <row r="1249" spans="44:49">
      <c r="AR1249" s="69">
        <f t="shared" si="469"/>
        <v>104</v>
      </c>
      <c r="AS1249" s="70">
        <f t="shared" si="471"/>
        <v>1246</v>
      </c>
      <c r="AT1249" s="71">
        <f t="shared" si="472"/>
        <v>1.977112024859167E-4</v>
      </c>
      <c r="AU1249" s="72">
        <f t="shared" si="468"/>
        <v>6.8214933659622723E-3</v>
      </c>
      <c r="AV1249" s="73">
        <f t="shared" si="470"/>
        <v>1.0068214933659623</v>
      </c>
      <c r="AW1249" s="74">
        <f>PRODUCT(AV$4:AV1249)</f>
        <v>4772.9602205872388</v>
      </c>
    </row>
    <row r="1250" spans="44:49">
      <c r="AR1250" s="69">
        <f t="shared" si="469"/>
        <v>104</v>
      </c>
      <c r="AS1250" s="70">
        <f t="shared" si="471"/>
        <v>1247</v>
      </c>
      <c r="AT1250" s="71">
        <f t="shared" si="472"/>
        <v>1.9636251682978259E-4</v>
      </c>
      <c r="AU1250" s="72">
        <f t="shared" si="468"/>
        <v>6.8214933659622723E-3</v>
      </c>
      <c r="AV1250" s="73">
        <f t="shared" si="470"/>
        <v>1.0068214933659623</v>
      </c>
      <c r="AW1250" s="74">
        <f>PRODUCT(AV$4:AV1250)</f>
        <v>4805.5189370679764</v>
      </c>
    </row>
    <row r="1251" spans="44:49">
      <c r="AR1251" s="69">
        <f t="shared" si="469"/>
        <v>104</v>
      </c>
      <c r="AS1251" s="70">
        <f t="shared" si="471"/>
        <v>1248</v>
      </c>
      <c r="AT1251" s="71">
        <f t="shared" si="472"/>
        <v>1.9502303122390457E-4</v>
      </c>
      <c r="AU1251" s="72">
        <f t="shared" si="468"/>
        <v>6.8214933659622723E-3</v>
      </c>
      <c r="AV1251" s="73">
        <f t="shared" si="470"/>
        <v>1.0068214933659623</v>
      </c>
      <c r="AW1251" s="74">
        <f>PRODUCT(AV$4:AV1251)</f>
        <v>4838.2997526171912</v>
      </c>
    </row>
    <row r="1252" spans="44:49">
      <c r="AR1252" s="69">
        <f t="shared" si="469"/>
        <v>105</v>
      </c>
      <c r="AS1252" s="70">
        <f t="shared" si="471"/>
        <v>1249</v>
      </c>
      <c r="AT1252" s="71">
        <f t="shared" si="472"/>
        <v>1.9369268291020086E-4</v>
      </c>
      <c r="AU1252" s="72">
        <f t="shared" si="468"/>
        <v>6.8214933659622723E-3</v>
      </c>
      <c r="AV1252" s="73">
        <f t="shared" si="470"/>
        <v>1.0068214933659623</v>
      </c>
      <c r="AW1252" s="74">
        <f>PRODUCT(AV$4:AV1252)</f>
        <v>4871.3041822822061</v>
      </c>
    </row>
    <row r="1253" spans="44:49">
      <c r="AR1253" s="69">
        <f t="shared" si="469"/>
        <v>105</v>
      </c>
      <c r="AS1253" s="70">
        <f t="shared" si="471"/>
        <v>1250</v>
      </c>
      <c r="AT1253" s="71">
        <f t="shared" si="472"/>
        <v>1.9237140955869348E-4</v>
      </c>
      <c r="AU1253" s="72">
        <f t="shared" si="468"/>
        <v>6.8214933659622723E-3</v>
      </c>
      <c r="AV1253" s="73">
        <f t="shared" si="470"/>
        <v>1.0068214933659623</v>
      </c>
      <c r="AW1253" s="74">
        <f>PRODUCT(AV$4:AV1253)</f>
        <v>4904.5337514452285</v>
      </c>
    </row>
    <row r="1254" spans="44:49">
      <c r="AR1254" s="69">
        <f t="shared" si="469"/>
        <v>105</v>
      </c>
      <c r="AS1254" s="70">
        <f t="shared" si="471"/>
        <v>1251</v>
      </c>
      <c r="AT1254" s="71">
        <f t="shared" si="472"/>
        <v>1.9105914926458804E-4</v>
      </c>
      <c r="AU1254" s="72">
        <f t="shared" si="468"/>
        <v>6.8214933659622723E-3</v>
      </c>
      <c r="AV1254" s="73">
        <f t="shared" si="470"/>
        <v>1.0068214933659623</v>
      </c>
      <c r="AW1254" s="74">
        <f>PRODUCT(AV$4:AV1254)</f>
        <v>4937.9899958938504</v>
      </c>
    </row>
    <row r="1255" spans="44:49">
      <c r="AR1255" s="69">
        <f t="shared" si="469"/>
        <v>105</v>
      </c>
      <c r="AS1255" s="70">
        <f t="shared" si="471"/>
        <v>1252</v>
      </c>
      <c r="AT1255" s="71">
        <f t="shared" si="472"/>
        <v>1.8975584054537324E-4</v>
      </c>
      <c r="AU1255" s="72">
        <f t="shared" si="468"/>
        <v>6.8214933659622723E-3</v>
      </c>
      <c r="AV1255" s="73">
        <f t="shared" si="470"/>
        <v>1.0068214933659623</v>
      </c>
      <c r="AW1255" s="74">
        <f>PRODUCT(AV$4:AV1255)</f>
        <v>4971.6744618920284</v>
      </c>
    </row>
    <row r="1256" spans="44:49">
      <c r="AR1256" s="69">
        <f t="shared" si="469"/>
        <v>105</v>
      </c>
      <c r="AS1256" s="70">
        <f t="shared" si="471"/>
        <v>1253</v>
      </c>
      <c r="AT1256" s="71">
        <f t="shared" si="472"/>
        <v>1.8846142233794037E-4</v>
      </c>
      <c r="AU1256" s="72">
        <f t="shared" si="468"/>
        <v>6.8214933659622723E-3</v>
      </c>
      <c r="AV1256" s="73">
        <f t="shared" si="470"/>
        <v>1.0068214933659623</v>
      </c>
      <c r="AW1256" s="74">
        <f>PRODUCT(AV$4:AV1256)</f>
        <v>5005.5887062515485</v>
      </c>
    </row>
    <row r="1257" spans="44:49">
      <c r="AR1257" s="69">
        <f t="shared" si="469"/>
        <v>105</v>
      </c>
      <c r="AS1257" s="70">
        <f t="shared" si="471"/>
        <v>1254</v>
      </c>
      <c r="AT1257" s="71">
        <f t="shared" si="472"/>
        <v>1.8717583399572229E-4</v>
      </c>
      <c r="AU1257" s="72">
        <f t="shared" si="468"/>
        <v>6.8214933659622723E-3</v>
      </c>
      <c r="AV1257" s="73">
        <f t="shared" si="470"/>
        <v>1.0068214933659623</v>
      </c>
      <c r="AW1257" s="74">
        <f>PRODUCT(AV$4:AV1257)</f>
        <v>5039.734296403979</v>
      </c>
    </row>
    <row r="1258" spans="44:49">
      <c r="AR1258" s="69">
        <f t="shared" si="469"/>
        <v>105</v>
      </c>
      <c r="AS1258" s="70">
        <f t="shared" si="471"/>
        <v>1255</v>
      </c>
      <c r="AT1258" s="71">
        <f t="shared" si="472"/>
        <v>1.8589901528585201E-4</v>
      </c>
      <c r="AU1258" s="72">
        <f t="shared" si="468"/>
        <v>6.8214933659622723E-3</v>
      </c>
      <c r="AV1258" s="73">
        <f t="shared" si="470"/>
        <v>1.0068214933659623</v>
      </c>
      <c r="AW1258" s="74">
        <f>PRODUCT(AV$4:AV1258)</f>
        <v>5074.1128104731115</v>
      </c>
    </row>
    <row r="1259" spans="44:49">
      <c r="AR1259" s="69">
        <f t="shared" si="469"/>
        <v>105</v>
      </c>
      <c r="AS1259" s="70">
        <f t="shared" si="471"/>
        <v>1256</v>
      </c>
      <c r="AT1259" s="71">
        <f t="shared" si="472"/>
        <v>1.8463090638634066E-4</v>
      </c>
      <c r="AU1259" s="72">
        <f t="shared" si="468"/>
        <v>6.8214933659622723E-3</v>
      </c>
      <c r="AV1259" s="73">
        <f t="shared" si="470"/>
        <v>1.0068214933659623</v>
      </c>
      <c r="AW1259" s="74">
        <f>PRODUCT(AV$4:AV1259)</f>
        <v>5108.7258373478981</v>
      </c>
    </row>
    <row r="1260" spans="44:49">
      <c r="AR1260" s="69">
        <f t="shared" si="469"/>
        <v>105</v>
      </c>
      <c r="AS1260" s="70">
        <f t="shared" si="471"/>
        <v>1257</v>
      </c>
      <c r="AT1260" s="71">
        <f t="shared" si="472"/>
        <v>1.8337144788327462E-4</v>
      </c>
      <c r="AU1260" s="72">
        <f t="shared" si="468"/>
        <v>6.8214933659622723E-3</v>
      </c>
      <c r="AV1260" s="73">
        <f t="shared" si="470"/>
        <v>1.0068214933659623</v>
      </c>
      <c r="AW1260" s="74">
        <f>PRODUCT(AV$4:AV1260)</f>
        <v>5143.5749767558864</v>
      </c>
    </row>
    <row r="1261" spans="44:49">
      <c r="AR1261" s="69">
        <f t="shared" si="469"/>
        <v>105</v>
      </c>
      <c r="AS1261" s="70">
        <f t="shared" si="471"/>
        <v>1258</v>
      </c>
      <c r="AT1261" s="71">
        <f t="shared" si="472"/>
        <v>1.8212058076803197E-4</v>
      </c>
      <c r="AU1261" s="72">
        <f t="shared" si="468"/>
        <v>6.8214933659622723E-3</v>
      </c>
      <c r="AV1261" s="73">
        <f t="shared" si="470"/>
        <v>1.0068214933659623</v>
      </c>
      <c r="AW1261" s="74">
        <f>PRODUCT(AV$4:AV1261)</f>
        <v>5178.6618393371564</v>
      </c>
    </row>
    <row r="1262" spans="44:49">
      <c r="AR1262" s="69">
        <f t="shared" si="469"/>
        <v>105</v>
      </c>
      <c r="AS1262" s="70">
        <f t="shared" si="471"/>
        <v>1259</v>
      </c>
      <c r="AT1262" s="71">
        <f t="shared" si="472"/>
        <v>1.8087824643451763E-4</v>
      </c>
      <c r="AU1262" s="72">
        <f t="shared" si="468"/>
        <v>6.8214933659622723E-3</v>
      </c>
      <c r="AV1262" s="73">
        <f t="shared" si="470"/>
        <v>1.0068214933659623</v>
      </c>
      <c r="AW1262" s="74">
        <f>PRODUCT(AV$4:AV1262)</f>
        <v>5213.9880467187568</v>
      </c>
    </row>
    <row r="1263" spans="44:49">
      <c r="AR1263" s="69">
        <f t="shared" si="469"/>
        <v>105</v>
      </c>
      <c r="AS1263" s="70">
        <f t="shared" si="471"/>
        <v>1260</v>
      </c>
      <c r="AT1263" s="71">
        <f t="shared" si="472"/>
        <v>1.7964438667641768E-4</v>
      </c>
      <c r="AU1263" s="72">
        <f t="shared" si="468"/>
        <v>6.8214933659622723E-3</v>
      </c>
      <c r="AV1263" s="73">
        <f t="shared" si="470"/>
        <v>1.0068214933659623</v>
      </c>
      <c r="AW1263" s="74">
        <f>PRODUCT(AV$4:AV1263)</f>
        <v>5249.5552315896557</v>
      </c>
    </row>
    <row r="1264" spans="44:49">
      <c r="AR1264" s="69">
        <f t="shared" si="469"/>
        <v>106</v>
      </c>
      <c r="AS1264" s="70">
        <f t="shared" si="471"/>
        <v>1261</v>
      </c>
      <c r="AT1264" s="71">
        <f t="shared" si="472"/>
        <v>1.7841894368447213E-4</v>
      </c>
      <c r="AU1264" s="72">
        <f t="shared" si="468"/>
        <v>6.8214933659622723E-3</v>
      </c>
      <c r="AV1264" s="73">
        <f t="shared" si="470"/>
        <v>1.0068214933659623</v>
      </c>
      <c r="AW1264" s="74">
        <f>PRODUCT(AV$4:AV1264)</f>
        <v>5285.3650377761969</v>
      </c>
    </row>
    <row r="1265" spans="44:49">
      <c r="AR1265" s="69">
        <f t="shared" si="469"/>
        <v>106</v>
      </c>
      <c r="AS1265" s="70">
        <f t="shared" si="471"/>
        <v>1262</v>
      </c>
      <c r="AT1265" s="71">
        <f t="shared" si="472"/>
        <v>1.772018600437665E-4</v>
      </c>
      <c r="AU1265" s="72">
        <f t="shared" si="468"/>
        <v>6.8214933659622723E-3</v>
      </c>
      <c r="AV1265" s="73">
        <f t="shared" si="470"/>
        <v>1.0068214933659623</v>
      </c>
      <c r="AW1265" s="74">
        <f>PRODUCT(AV$4:AV1265)</f>
        <v>5321.4191203180762</v>
      </c>
    </row>
    <row r="1266" spans="44:49">
      <c r="AR1266" s="69">
        <f t="shared" si="469"/>
        <v>106</v>
      </c>
      <c r="AS1266" s="70">
        <f t="shared" si="471"/>
        <v>1263</v>
      </c>
      <c r="AT1266" s="71">
        <f t="shared" si="472"/>
        <v>1.7599307873104178E-4</v>
      </c>
      <c r="AU1266" s="72">
        <f t="shared" si="468"/>
        <v>6.8214933659622723E-3</v>
      </c>
      <c r="AV1266" s="73">
        <f t="shared" si="470"/>
        <v>1.0068214933659623</v>
      </c>
      <c r="AW1266" s="74">
        <f>PRODUCT(AV$4:AV1266)</f>
        <v>5357.719145544831</v>
      </c>
    </row>
    <row r="1267" spans="44:49">
      <c r="AR1267" s="69">
        <f t="shared" si="469"/>
        <v>106</v>
      </c>
      <c r="AS1267" s="70">
        <f t="shared" si="471"/>
        <v>1264</v>
      </c>
      <c r="AT1267" s="71">
        <f t="shared" si="472"/>
        <v>1.747925431120227E-4</v>
      </c>
      <c r="AU1267" s="72">
        <f t="shared" si="468"/>
        <v>6.8214933659622723E-3</v>
      </c>
      <c r="AV1267" s="73">
        <f t="shared" si="470"/>
        <v>1.0068214933659623</v>
      </c>
      <c r="AW1267" s="74">
        <f>PRODUCT(AV$4:AV1267)</f>
        <v>5394.2667911528542</v>
      </c>
    </row>
    <row r="1268" spans="44:49">
      <c r="AR1268" s="69">
        <f t="shared" si="469"/>
        <v>106</v>
      </c>
      <c r="AS1268" s="70">
        <f t="shared" si="471"/>
        <v>1265</v>
      </c>
      <c r="AT1268" s="71">
        <f t="shared" si="472"/>
        <v>1.7360019693876436E-4</v>
      </c>
      <c r="AU1268" s="72">
        <f t="shared" si="468"/>
        <v>6.8214933659622723E-3</v>
      </c>
      <c r="AV1268" s="73">
        <f t="shared" si="470"/>
        <v>1.0068214933659623</v>
      </c>
      <c r="AW1268" s="74">
        <f>PRODUCT(AV$4:AV1268)</f>
        <v>5431.0637462829336</v>
      </c>
    </row>
    <row r="1269" spans="44:49">
      <c r="AR1269" s="69">
        <f t="shared" si="469"/>
        <v>106</v>
      </c>
      <c r="AS1269" s="70">
        <f t="shared" si="471"/>
        <v>1266</v>
      </c>
      <c r="AT1269" s="71">
        <f t="shared" si="472"/>
        <v>1.7241598434701683E-4</v>
      </c>
      <c r="AU1269" s="72">
        <f t="shared" si="468"/>
        <v>6.8214933659622723E-3</v>
      </c>
      <c r="AV1269" s="73">
        <f t="shared" si="470"/>
        <v>1.0068214933659623</v>
      </c>
      <c r="AW1269" s="74">
        <f>PRODUCT(AV$4:AV1269)</f>
        <v>5468.1117115983207</v>
      </c>
    </row>
    <row r="1270" spans="44:49">
      <c r="AR1270" s="69">
        <f t="shared" si="469"/>
        <v>106</v>
      </c>
      <c r="AS1270" s="70">
        <f t="shared" si="471"/>
        <v>1267</v>
      </c>
      <c r="AT1270" s="71">
        <f t="shared" si="472"/>
        <v>1.7123984985360779E-4</v>
      </c>
      <c r="AU1270" s="72">
        <f t="shared" si="468"/>
        <v>6.8214933659622723E-3</v>
      </c>
      <c r="AV1270" s="73">
        <f t="shared" si="470"/>
        <v>1.0068214933659623</v>
      </c>
      <c r="AW1270" s="74">
        <f>PRODUCT(AV$4:AV1270)</f>
        <v>5505.4123993633293</v>
      </c>
    </row>
    <row r="1271" spans="44:49">
      <c r="AR1271" s="69">
        <f t="shared" si="469"/>
        <v>106</v>
      </c>
      <c r="AS1271" s="70">
        <f t="shared" si="471"/>
        <v>1268</v>
      </c>
      <c r="AT1271" s="71">
        <f t="shared" si="472"/>
        <v>1.7007173835384304E-4</v>
      </c>
      <c r="AU1271" s="72">
        <f t="shared" si="468"/>
        <v>6.8214933659622723E-3</v>
      </c>
      <c r="AV1271" s="73">
        <f t="shared" si="470"/>
        <v>1.0068214933659623</v>
      </c>
      <c r="AW1271" s="74">
        <f>PRODUCT(AV$4:AV1271)</f>
        <v>5542.9675335224729</v>
      </c>
    </row>
    <row r="1272" spans="44:49">
      <c r="AR1272" s="69">
        <f t="shared" si="469"/>
        <v>106</v>
      </c>
      <c r="AS1272" s="70">
        <f t="shared" si="471"/>
        <v>1269</v>
      </c>
      <c r="AT1272" s="71">
        <f t="shared" si="472"/>
        <v>1.6891159511892462E-4</v>
      </c>
      <c r="AU1272" s="72">
        <f t="shared" si="468"/>
        <v>6.8214933659622723E-3</v>
      </c>
      <c r="AV1272" s="73">
        <f t="shared" si="470"/>
        <v>1.0068214933659623</v>
      </c>
      <c r="AW1272" s="74">
        <f>PRODUCT(AV$4:AV1272)</f>
        <v>5580.7788497801403</v>
      </c>
    </row>
    <row r="1273" spans="44:49">
      <c r="AR1273" s="69">
        <f t="shared" si="469"/>
        <v>106</v>
      </c>
      <c r="AS1273" s="70">
        <f t="shared" si="471"/>
        <v>1270</v>
      </c>
      <c r="AT1273" s="71">
        <f t="shared" si="472"/>
        <v>1.6775936579338678E-4</v>
      </c>
      <c r="AU1273" s="72">
        <f t="shared" si="468"/>
        <v>6.8214933659622723E-3</v>
      </c>
      <c r="AV1273" s="73">
        <f t="shared" si="470"/>
        <v>1.0068214933659623</v>
      </c>
      <c r="AW1273" s="74">
        <f>PRODUCT(AV$4:AV1273)</f>
        <v>5618.848095680818</v>
      </c>
    </row>
    <row r="1274" spans="44:49">
      <c r="AR1274" s="69">
        <f t="shared" si="469"/>
        <v>106</v>
      </c>
      <c r="AS1274" s="70">
        <f t="shared" si="471"/>
        <v>1271</v>
      </c>
      <c r="AT1274" s="71">
        <f t="shared" si="472"/>
        <v>1.6661499639254916E-4</v>
      </c>
      <c r="AU1274" s="72">
        <f t="shared" si="468"/>
        <v>6.8214933659622723E-3</v>
      </c>
      <c r="AV1274" s="73">
        <f t="shared" si="470"/>
        <v>1.0068214933659623</v>
      </c>
      <c r="AW1274" s="74">
        <f>PRODUCT(AV$4:AV1274)</f>
        <v>5657.1770306898543</v>
      </c>
    </row>
    <row r="1275" spans="44:49">
      <c r="AR1275" s="69">
        <f t="shared" si="469"/>
        <v>106</v>
      </c>
      <c r="AS1275" s="70">
        <f t="shared" si="471"/>
        <v>1272</v>
      </c>
      <c r="AT1275" s="71">
        <f t="shared" si="472"/>
        <v>1.6547843329998757E-4</v>
      </c>
      <c r="AU1275" s="72">
        <f t="shared" si="468"/>
        <v>6.8214933659622723E-3</v>
      </c>
      <c r="AV1275" s="73">
        <f t="shared" si="470"/>
        <v>1.0068214933659623</v>
      </c>
      <c r="AW1275" s="74">
        <f>PRODUCT(AV$4:AV1275)</f>
        <v>5695.7674262747796</v>
      </c>
    </row>
    <row r="1276" spans="44:49">
      <c r="AR1276" s="69">
        <f t="shared" si="469"/>
        <v>107</v>
      </c>
      <c r="AS1276" s="70">
        <f t="shared" si="471"/>
        <v>1273</v>
      </c>
      <c r="AT1276" s="71">
        <f t="shared" si="472"/>
        <v>1.6434962326502186E-4</v>
      </c>
      <c r="AU1276" s="72">
        <f t="shared" si="468"/>
        <v>6.8214933659622723E-3</v>
      </c>
      <c r="AV1276" s="73">
        <f t="shared" si="470"/>
        <v>1.0068214933659623</v>
      </c>
      <c r="AW1276" s="74">
        <f>PRODUCT(AV$4:AV1276)</f>
        <v>5734.6210659871767</v>
      </c>
    </row>
    <row r="1277" spans="44:49">
      <c r="AR1277" s="69">
        <f t="shared" si="469"/>
        <v>107</v>
      </c>
      <c r="AS1277" s="70">
        <f t="shared" si="471"/>
        <v>1274</v>
      </c>
      <c r="AT1277" s="71">
        <f t="shared" si="472"/>
        <v>1.6322851340022112E-4</v>
      </c>
      <c r="AU1277" s="72">
        <f t="shared" si="468"/>
        <v>6.8214933659622723E-3</v>
      </c>
      <c r="AV1277" s="73">
        <f t="shared" si="470"/>
        <v>1.0068214933659623</v>
      </c>
      <c r="AW1277" s="74">
        <f>PRODUCT(AV$4:AV1277)</f>
        <v>5773.7397455451155</v>
      </c>
    </row>
    <row r="1278" spans="44:49">
      <c r="AR1278" s="69">
        <f t="shared" si="469"/>
        <v>107</v>
      </c>
      <c r="AS1278" s="70">
        <f t="shared" si="471"/>
        <v>1275</v>
      </c>
      <c r="AT1278" s="71">
        <f t="shared" si="472"/>
        <v>1.6211505117892563E-4</v>
      </c>
      <c r="AU1278" s="72">
        <f t="shared" si="468"/>
        <v>6.8214933659622723E-3</v>
      </c>
      <c r="AV1278" s="73">
        <f t="shared" si="470"/>
        <v>1.0068214933659623</v>
      </c>
      <c r="AW1278" s="74">
        <f>PRODUCT(AV$4:AV1278)</f>
        <v>5813.1252729161442</v>
      </c>
    </row>
    <row r="1279" spans="44:49">
      <c r="AR1279" s="69">
        <f t="shared" si="469"/>
        <v>107</v>
      </c>
      <c r="AS1279" s="70">
        <f t="shared" si="471"/>
        <v>1276</v>
      </c>
      <c r="AT1279" s="71">
        <f t="shared" si="472"/>
        <v>1.6100918443278595E-4</v>
      </c>
      <c r="AU1279" s="72">
        <f t="shared" si="468"/>
        <v>6.8214933659622723E-3</v>
      </c>
      <c r="AV1279" s="73">
        <f t="shared" si="470"/>
        <v>1.0068214933659623</v>
      </c>
      <c r="AW1279" s="74">
        <f>PRODUCT(AV$4:AV1279)</f>
        <v>5852.7794684008495</v>
      </c>
    </row>
    <row r="1280" spans="44:49">
      <c r="AR1280" s="69">
        <f t="shared" si="469"/>
        <v>107</v>
      </c>
      <c r="AS1280" s="70">
        <f t="shared" si="471"/>
        <v>1277</v>
      </c>
      <c r="AT1280" s="71">
        <f t="shared" si="472"/>
        <v>1.599108613493187E-4</v>
      </c>
      <c r="AU1280" s="72">
        <f t="shared" si="468"/>
        <v>6.8214933659622723E-3</v>
      </c>
      <c r="AV1280" s="73">
        <f t="shared" si="470"/>
        <v>1.0068214933659623</v>
      </c>
      <c r="AW1280" s="74">
        <f>PRODUCT(AV$4:AV1280)</f>
        <v>5892.7041647169863</v>
      </c>
    </row>
    <row r="1281" spans="44:49">
      <c r="AR1281" s="69">
        <f t="shared" si="469"/>
        <v>107</v>
      </c>
      <c r="AS1281" s="70">
        <f t="shared" si="471"/>
        <v>1278</v>
      </c>
      <c r="AT1281" s="71">
        <f t="shared" si="472"/>
        <v>1.5882003046947902E-4</v>
      </c>
      <c r="AU1281" s="72">
        <f t="shared" si="468"/>
        <v>6.8214933659622723E-3</v>
      </c>
      <c r="AV1281" s="73">
        <f t="shared" si="470"/>
        <v>1.0068214933659623</v>
      </c>
      <c r="AW1281" s="74">
        <f>PRODUCT(AV$4:AV1281)</f>
        <v>5932.9012070841818</v>
      </c>
    </row>
    <row r="1282" spans="44:49">
      <c r="AR1282" s="69">
        <f t="shared" si="469"/>
        <v>107</v>
      </c>
      <c r="AS1282" s="70">
        <f t="shared" si="471"/>
        <v>1279</v>
      </c>
      <c r="AT1282" s="71">
        <f t="shared" si="472"/>
        <v>1.5773664068524955E-4</v>
      </c>
      <c r="AU1282" s="72">
        <f t="shared" si="468"/>
        <v>6.8214933659622723E-3</v>
      </c>
      <c r="AV1282" s="73">
        <f t="shared" si="470"/>
        <v>1.0068214933659623</v>
      </c>
      <c r="AW1282" s="74">
        <f>PRODUCT(AV$4:AV1282)</f>
        <v>5973.3724533092163</v>
      </c>
    </row>
    <row r="1283" spans="44:49">
      <c r="AR1283" s="69">
        <f t="shared" si="469"/>
        <v>107</v>
      </c>
      <c r="AS1283" s="70">
        <f t="shared" si="471"/>
        <v>1280</v>
      </c>
      <c r="AT1283" s="71">
        <f t="shared" si="472"/>
        <v>1.5666064123724595E-4</v>
      </c>
      <c r="AU1283" s="72">
        <f t="shared" si="468"/>
        <v>6.8214933659622723E-3</v>
      </c>
      <c r="AV1283" s="73">
        <f t="shared" si="470"/>
        <v>1.0068214933659623</v>
      </c>
      <c r="AW1283" s="74">
        <f>PRODUCT(AV$4:AV1283)</f>
        <v>6014.1197738718865</v>
      </c>
    </row>
    <row r="1284" spans="44:49">
      <c r="AR1284" s="69">
        <f t="shared" si="469"/>
        <v>107</v>
      </c>
      <c r="AS1284" s="70">
        <f t="shared" si="471"/>
        <v>1281</v>
      </c>
      <c r="AT1284" s="71">
        <f t="shared" si="472"/>
        <v>1.5559198171233868E-4</v>
      </c>
      <c r="AU1284" s="72">
        <f t="shared" ref="AU1284:AU1347" si="473">((1+$AH$21)^(1/12))-1</f>
        <v>6.8214933659622723E-3</v>
      </c>
      <c r="AV1284" s="73">
        <f t="shared" si="470"/>
        <v>1.0068214933659623</v>
      </c>
      <c r="AW1284" s="74">
        <f>PRODUCT(AV$4:AV1284)</f>
        <v>6055.1450520114558</v>
      </c>
    </row>
    <row r="1285" spans="44:49">
      <c r="AR1285" s="69">
        <f t="shared" ref="AR1285:AR1348" si="474">ROUNDDOWN((AS1285-1)/12,0)+1</f>
        <v>107</v>
      </c>
      <c r="AS1285" s="70">
        <f t="shared" si="471"/>
        <v>1282</v>
      </c>
      <c r="AT1285" s="71">
        <f t="shared" si="472"/>
        <v>1.5453061204129105E-4</v>
      </c>
      <c r="AU1285" s="72">
        <f t="shared" si="473"/>
        <v>6.8214933659622723E-3</v>
      </c>
      <c r="AV1285" s="73">
        <f t="shared" ref="AV1285:AV1348" si="475">(1+AU1285)</f>
        <v>1.0068214933659623</v>
      </c>
      <c r="AW1285" s="74">
        <f>PRODUCT(AV$4:AV1285)</f>
        <v>6096.4501838136912</v>
      </c>
    </row>
    <row r="1286" spans="44:49">
      <c r="AR1286" s="69">
        <f t="shared" si="474"/>
        <v>107</v>
      </c>
      <c r="AS1286" s="70">
        <f t="shared" ref="AS1286:AS1349" si="476">AS1285+1</f>
        <v>1283</v>
      </c>
      <c r="AT1286" s="71">
        <f t="shared" si="472"/>
        <v>1.5347648249641329E-4</v>
      </c>
      <c r="AU1286" s="72">
        <f t="shared" si="473"/>
        <v>6.8214933659622723E-3</v>
      </c>
      <c r="AV1286" s="73">
        <f t="shared" si="475"/>
        <v>1.0068214933659623</v>
      </c>
      <c r="AW1286" s="74">
        <f>PRODUCT(AV$4:AV1286)</f>
        <v>6138.0370782984955</v>
      </c>
    </row>
    <row r="1287" spans="44:49">
      <c r="AR1287" s="69">
        <f t="shared" si="474"/>
        <v>107</v>
      </c>
      <c r="AS1287" s="70">
        <f t="shared" si="476"/>
        <v>1284</v>
      </c>
      <c r="AT1287" s="71">
        <f t="shared" si="472"/>
        <v>1.5242954368923278E-4</v>
      </c>
      <c r="AU1287" s="72">
        <f t="shared" si="473"/>
        <v>6.8214933659622723E-3</v>
      </c>
      <c r="AV1287" s="73">
        <f t="shared" si="475"/>
        <v>1.0068214933659623</v>
      </c>
      <c r="AW1287" s="74">
        <f>PRODUCT(AV$4:AV1287)</f>
        <v>6179.907657508139</v>
      </c>
    </row>
    <row r="1288" spans="44:49">
      <c r="AR1288" s="69">
        <f t="shared" si="474"/>
        <v>108</v>
      </c>
      <c r="AS1288" s="70">
        <f t="shared" si="476"/>
        <v>1285</v>
      </c>
      <c r="AT1288" s="71">
        <f t="shared" si="472"/>
        <v>1.5138974656818004E-4</v>
      </c>
      <c r="AU1288" s="72">
        <f t="shared" si="473"/>
        <v>6.8214933659622723E-3</v>
      </c>
      <c r="AV1288" s="73">
        <f t="shared" si="475"/>
        <v>1.0068214933659623</v>
      </c>
      <c r="AW1288" s="74">
        <f>PRODUCT(AV$4:AV1288)</f>
        <v>6222.0638565960899</v>
      </c>
    </row>
    <row r="1289" spans="44:49">
      <c r="AR1289" s="69">
        <f t="shared" si="474"/>
        <v>108</v>
      </c>
      <c r="AS1289" s="70">
        <f t="shared" si="476"/>
        <v>1286</v>
      </c>
      <c r="AT1289" s="71">
        <f t="shared" si="472"/>
        <v>1.5035704241629047E-4</v>
      </c>
      <c r="AU1289" s="72">
        <f t="shared" si="473"/>
        <v>6.8214933659622723E-3</v>
      </c>
      <c r="AV1289" s="73">
        <f t="shared" si="475"/>
        <v>1.0068214933659623</v>
      </c>
      <c r="AW1289" s="74">
        <f>PRODUCT(AV$4:AV1289)</f>
        <v>6264.5076239164537</v>
      </c>
    </row>
    <row r="1290" spans="44:49">
      <c r="AR1290" s="69">
        <f t="shared" si="474"/>
        <v>108</v>
      </c>
      <c r="AS1290" s="70">
        <f t="shared" si="476"/>
        <v>1287</v>
      </c>
      <c r="AT1290" s="71">
        <f t="shared" si="472"/>
        <v>1.4933138284892205E-4</v>
      </c>
      <c r="AU1290" s="72">
        <f t="shared" si="473"/>
        <v>6.8214933659622723E-3</v>
      </c>
      <c r="AV1290" s="73">
        <f t="shared" si="475"/>
        <v>1.0068214933659623</v>
      </c>
      <c r="AW1290" s="74">
        <f>PRODUCT(AV$4:AV1290)</f>
        <v>6307.2409211140202</v>
      </c>
    </row>
    <row r="1291" spans="44:49">
      <c r="AR1291" s="69">
        <f t="shared" si="474"/>
        <v>108</v>
      </c>
      <c r="AS1291" s="70">
        <f t="shared" si="476"/>
        <v>1288</v>
      </c>
      <c r="AT1291" s="71">
        <f t="shared" si="472"/>
        <v>1.4831271981148816E-4</v>
      </c>
      <c r="AU1291" s="72">
        <f t="shared" si="473"/>
        <v>6.8214933659622723E-3</v>
      </c>
      <c r="AV1291" s="73">
        <f t="shared" si="475"/>
        <v>1.0068214933659623</v>
      </c>
      <c r="AW1291" s="74">
        <f>PRODUCT(AV$4:AV1291)</f>
        <v>6350.2657232149249</v>
      </c>
    </row>
    <row r="1292" spans="44:49">
      <c r="AR1292" s="69">
        <f t="shared" si="474"/>
        <v>108</v>
      </c>
      <c r="AS1292" s="70">
        <f t="shared" si="476"/>
        <v>1289</v>
      </c>
      <c r="AT1292" s="71">
        <f t="shared" si="472"/>
        <v>1.4730100557720628E-4</v>
      </c>
      <c r="AU1292" s="72">
        <f t="shared" si="473"/>
        <v>6.8214933659622723E-3</v>
      </c>
      <c r="AV1292" s="73">
        <f t="shared" si="475"/>
        <v>1.0068214933659623</v>
      </c>
      <c r="AW1292" s="74">
        <f>PRODUCT(AV$4:AV1292)</f>
        <v>6393.5840187179328</v>
      </c>
    </row>
    <row r="1293" spans="44:49">
      <c r="AR1293" s="69">
        <f t="shared" si="474"/>
        <v>108</v>
      </c>
      <c r="AS1293" s="70">
        <f t="shared" si="476"/>
        <v>1290</v>
      </c>
      <c r="AT1293" s="71">
        <f t="shared" si="472"/>
        <v>1.4629619274486179E-4</v>
      </c>
      <c r="AU1293" s="72">
        <f t="shared" si="473"/>
        <v>6.8214933659622723E-3</v>
      </c>
      <c r="AV1293" s="73">
        <f t="shared" si="475"/>
        <v>1.0068214933659623</v>
      </c>
      <c r="AW1293" s="74">
        <f>PRODUCT(AV$4:AV1293)</f>
        <v>6437.1978096863395</v>
      </c>
    </row>
    <row r="1294" spans="44:49">
      <c r="AR1294" s="69">
        <f t="shared" si="474"/>
        <v>108</v>
      </c>
      <c r="AS1294" s="70">
        <f t="shared" si="476"/>
        <v>1291</v>
      </c>
      <c r="AT1294" s="71">
        <f t="shared" si="472"/>
        <v>1.4529823423658719E-4</v>
      </c>
      <c r="AU1294" s="72">
        <f t="shared" si="473"/>
        <v>6.8214933659622723E-3</v>
      </c>
      <c r="AV1294" s="73">
        <f t="shared" si="475"/>
        <v>1.0068214933659623</v>
      </c>
      <c r="AW1294" s="74">
        <f>PRODUCT(AV$4:AV1294)</f>
        <v>6481.109111840502</v>
      </c>
    </row>
    <row r="1295" spans="44:49">
      <c r="AR1295" s="69">
        <f t="shared" si="474"/>
        <v>108</v>
      </c>
      <c r="AS1295" s="70">
        <f t="shared" si="476"/>
        <v>1292</v>
      </c>
      <c r="AT1295" s="71">
        <f t="shared" si="472"/>
        <v>1.4430708329565627E-4</v>
      </c>
      <c r="AU1295" s="72">
        <f t="shared" si="473"/>
        <v>6.8214933659622723E-3</v>
      </c>
      <c r="AV1295" s="73">
        <f t="shared" si="475"/>
        <v>1.0068214933659623</v>
      </c>
      <c r="AW1295" s="74">
        <f>PRODUCT(AV$4:AV1295)</f>
        <v>6525.3199546509995</v>
      </c>
    </row>
    <row r="1296" spans="44:49">
      <c r="AR1296" s="69">
        <f t="shared" si="474"/>
        <v>108</v>
      </c>
      <c r="AS1296" s="70">
        <f t="shared" si="476"/>
        <v>1293</v>
      </c>
      <c r="AT1296" s="71">
        <f t="shared" si="472"/>
        <v>1.433226934842936E-4</v>
      </c>
      <c r="AU1296" s="72">
        <f t="shared" si="473"/>
        <v>6.8214933659622723E-3</v>
      </c>
      <c r="AV1296" s="73">
        <f t="shared" si="475"/>
        <v>1.0068214933659623</v>
      </c>
      <c r="AW1296" s="74">
        <f>PRODUCT(AV$4:AV1296)</f>
        <v>6569.8323814324322</v>
      </c>
    </row>
    <row r="1297" spans="44:49">
      <c r="AR1297" s="69">
        <f t="shared" si="474"/>
        <v>108</v>
      </c>
      <c r="AS1297" s="70">
        <f t="shared" si="476"/>
        <v>1294</v>
      </c>
      <c r="AT1297" s="71">
        <f t="shared" si="472"/>
        <v>1.4234501868149864E-4</v>
      </c>
      <c r="AU1297" s="72">
        <f t="shared" si="473"/>
        <v>6.8214933659622723E-3</v>
      </c>
      <c r="AV1297" s="73">
        <f t="shared" si="475"/>
        <v>1.0068214933659623</v>
      </c>
      <c r="AW1297" s="74">
        <f>PRODUCT(AV$4:AV1297)</f>
        <v>6614.6484494378574</v>
      </c>
    </row>
    <row r="1298" spans="44:49">
      <c r="AR1298" s="69">
        <f t="shared" si="474"/>
        <v>108</v>
      </c>
      <c r="AS1298" s="70">
        <f t="shared" si="476"/>
        <v>1295</v>
      </c>
      <c r="AT1298" s="71">
        <f t="shared" si="472"/>
        <v>1.4137401308088503E-4</v>
      </c>
      <c r="AU1298" s="72">
        <f t="shared" si="473"/>
        <v>6.8214933659622723E-3</v>
      </c>
      <c r="AV1298" s="73">
        <f t="shared" si="475"/>
        <v>1.0068214933659623</v>
      </c>
      <c r="AW1298" s="74">
        <f>PRODUCT(AV$4:AV1298)</f>
        <v>6659.7702299538705</v>
      </c>
    </row>
    <row r="1299" spans="44:49">
      <c r="AR1299" s="69">
        <f t="shared" si="474"/>
        <v>108</v>
      </c>
      <c r="AS1299" s="70">
        <f t="shared" si="476"/>
        <v>1296</v>
      </c>
      <c r="AT1299" s="71">
        <f t="shared" si="472"/>
        <v>1.404096311885343E-4</v>
      </c>
      <c r="AU1299" s="72">
        <f t="shared" si="473"/>
        <v>6.8214933659622723E-3</v>
      </c>
      <c r="AV1299" s="73">
        <f t="shared" si="475"/>
        <v>1.0068214933659623</v>
      </c>
      <c r="AW1299" s="74">
        <f>PRODUCT(AV$4:AV1299)</f>
        <v>6705.1998083963335</v>
      </c>
    </row>
    <row r="1300" spans="44:49">
      <c r="AR1300" s="69">
        <f t="shared" si="474"/>
        <v>109</v>
      </c>
      <c r="AS1300" s="70">
        <f t="shared" si="476"/>
        <v>1297</v>
      </c>
      <c r="AT1300" s="71">
        <f t="shared" si="472"/>
        <v>1.394518278208645E-4</v>
      </c>
      <c r="AU1300" s="72">
        <f t="shared" si="473"/>
        <v>6.8214933659622723E-3</v>
      </c>
      <c r="AV1300" s="73">
        <f t="shared" si="475"/>
        <v>1.0068214933659623</v>
      </c>
      <c r="AW1300" s="74">
        <f>PRODUCT(AV$4:AV1300)</f>
        <v>6750.9392844067606</v>
      </c>
    </row>
    <row r="1301" spans="44:49">
      <c r="AR1301" s="69">
        <f t="shared" si="474"/>
        <v>109</v>
      </c>
      <c r="AS1301" s="70">
        <f t="shared" si="476"/>
        <v>1298</v>
      </c>
      <c r="AT1301" s="71">
        <f t="shared" si="472"/>
        <v>1.3850055810251316E-4</v>
      </c>
      <c r="AU1301" s="72">
        <f t="shared" si="473"/>
        <v>6.8214933659622723E-3</v>
      </c>
      <c r="AV1301" s="73">
        <f t="shared" si="475"/>
        <v>1.0068214933659623</v>
      </c>
      <c r="AW1301" s="74">
        <f>PRODUCT(AV$4:AV1301)</f>
        <v>6796.9907719493558</v>
      </c>
    </row>
    <row r="1302" spans="44:49">
      <c r="AR1302" s="69">
        <f t="shared" si="474"/>
        <v>109</v>
      </c>
      <c r="AS1302" s="70">
        <f t="shared" si="476"/>
        <v>1299</v>
      </c>
      <c r="AT1302" s="71">
        <f t="shared" si="472"/>
        <v>1.3755577746423479E-4</v>
      </c>
      <c r="AU1302" s="72">
        <f t="shared" si="473"/>
        <v>6.8214933659622723E-3</v>
      </c>
      <c r="AV1302" s="73">
        <f t="shared" si="475"/>
        <v>1.0068214933659623</v>
      </c>
      <c r="AW1302" s="74">
        <f>PRODUCT(AV$4:AV1302)</f>
        <v>6843.3563994087153</v>
      </c>
    </row>
    <row r="1303" spans="44:49">
      <c r="AR1303" s="69">
        <f t="shared" si="474"/>
        <v>109</v>
      </c>
      <c r="AS1303" s="70">
        <f t="shared" si="476"/>
        <v>1300</v>
      </c>
      <c r="AT1303" s="71">
        <f t="shared" ref="AT1303:AT1366" si="477">(1-AU1303)*AT1302</f>
        <v>1.3661744164081272E-4</v>
      </c>
      <c r="AU1303" s="72">
        <f t="shared" si="473"/>
        <v>6.8214933659622723E-3</v>
      </c>
      <c r="AV1303" s="73">
        <f t="shared" si="475"/>
        <v>1.0068214933659623</v>
      </c>
      <c r="AW1303" s="74">
        <f>PRODUCT(AV$4:AV1303)</f>
        <v>6890.0383096881969</v>
      </c>
    </row>
    <row r="1304" spans="44:49">
      <c r="AR1304" s="69">
        <f t="shared" si="474"/>
        <v>109</v>
      </c>
      <c r="AS1304" s="70">
        <f t="shared" si="476"/>
        <v>1301</v>
      </c>
      <c r="AT1304" s="71">
        <f t="shared" si="477"/>
        <v>1.3568550666898517E-4</v>
      </c>
      <c r="AU1304" s="72">
        <f t="shared" si="473"/>
        <v>6.8214933659622723E-3</v>
      </c>
      <c r="AV1304" s="73">
        <f t="shared" si="475"/>
        <v>1.0068214933659623</v>
      </c>
      <c r="AW1304" s="74">
        <f>PRODUCT(AV$4:AV1304)</f>
        <v>6937.038660308961</v>
      </c>
    </row>
    <row r="1305" spans="44:49">
      <c r="AR1305" s="69">
        <f t="shared" si="474"/>
        <v>109</v>
      </c>
      <c r="AS1305" s="70">
        <f t="shared" si="476"/>
        <v>1302</v>
      </c>
      <c r="AT1305" s="71">
        <f t="shared" si="477"/>
        <v>1.3475992888538547E-4</v>
      </c>
      <c r="AU1305" s="72">
        <f t="shared" si="473"/>
        <v>6.8214933659622723E-3</v>
      </c>
      <c r="AV1305" s="73">
        <f t="shared" si="475"/>
        <v>1.0068214933659623</v>
      </c>
      <c r="AW1305" s="74">
        <f>PRODUCT(AV$4:AV1305)</f>
        <v>6984.359623509682</v>
      </c>
    </row>
    <row r="1306" spans="44:49">
      <c r="AR1306" s="69">
        <f t="shared" si="474"/>
        <v>109</v>
      </c>
      <c r="AS1306" s="70">
        <f t="shared" si="476"/>
        <v>1303</v>
      </c>
      <c r="AT1306" s="71">
        <f t="shared" si="477"/>
        <v>1.3384066492449627E-4</v>
      </c>
      <c r="AU1306" s="72">
        <f t="shared" si="473"/>
        <v>6.8214933659622723E-3</v>
      </c>
      <c r="AV1306" s="73">
        <f t="shared" si="475"/>
        <v>1.0068214933659623</v>
      </c>
      <c r="AW1306" s="74">
        <f>PRODUCT(AV$4:AV1306)</f>
        <v>7032.003386346948</v>
      </c>
    </row>
    <row r="1307" spans="44:49">
      <c r="AR1307" s="69">
        <f t="shared" si="474"/>
        <v>109</v>
      </c>
      <c r="AS1307" s="70">
        <f t="shared" si="476"/>
        <v>1304</v>
      </c>
      <c r="AT1307" s="71">
        <f t="shared" si="477"/>
        <v>1.3292767171661784E-4</v>
      </c>
      <c r="AU1307" s="72">
        <f t="shared" si="473"/>
        <v>6.8214933659622723E-3</v>
      </c>
      <c r="AV1307" s="73">
        <f t="shared" si="475"/>
        <v>1.0068214933659623</v>
      </c>
      <c r="AW1307" s="74">
        <f>PRODUCT(AV$4:AV1307)</f>
        <v>7079.9721507963377</v>
      </c>
    </row>
    <row r="1308" spans="44:49">
      <c r="AR1308" s="69">
        <f t="shared" si="474"/>
        <v>109</v>
      </c>
      <c r="AS1308" s="70">
        <f t="shared" si="476"/>
        <v>1305</v>
      </c>
      <c r="AT1308" s="71">
        <f t="shared" si="477"/>
        <v>1.3202090648585011E-4</v>
      </c>
      <c r="AU1308" s="72">
        <f t="shared" si="473"/>
        <v>6.8214933659622723E-3</v>
      </c>
      <c r="AV1308" s="73">
        <f t="shared" si="475"/>
        <v>1.0068214933659623</v>
      </c>
      <c r="AW1308" s="74">
        <f>PRODUCT(AV$4:AV1308)</f>
        <v>7128.2681338541925</v>
      </c>
    </row>
    <row r="1309" spans="44:49">
      <c r="AR1309" s="69">
        <f t="shared" si="474"/>
        <v>109</v>
      </c>
      <c r="AS1309" s="70">
        <f t="shared" si="476"/>
        <v>1306</v>
      </c>
      <c r="AT1309" s="71">
        <f t="shared" si="477"/>
        <v>1.3112032674808855E-4</v>
      </c>
      <c r="AU1309" s="72">
        <f t="shared" si="473"/>
        <v>6.8214933659622723E-3</v>
      </c>
      <c r="AV1309" s="73">
        <f t="shared" si="475"/>
        <v>1.0068214933659623</v>
      </c>
      <c r="AW1309" s="74">
        <f>PRODUCT(AV$4:AV1309)</f>
        <v>7176.8935676400788</v>
      </c>
    </row>
    <row r="1310" spans="44:49">
      <c r="AR1310" s="69">
        <f t="shared" si="474"/>
        <v>109</v>
      </c>
      <c r="AS1310" s="70">
        <f t="shared" si="476"/>
        <v>1307</v>
      </c>
      <c r="AT1310" s="71">
        <f t="shared" si="477"/>
        <v>1.3022589030903367E-4</v>
      </c>
      <c r="AU1310" s="72">
        <f t="shared" si="473"/>
        <v>6.8214933659622723E-3</v>
      </c>
      <c r="AV1310" s="73">
        <f t="shared" si="475"/>
        <v>1.0068214933659623</v>
      </c>
      <c r="AW1310" s="74">
        <f>PRODUCT(AV$4:AV1310)</f>
        <v>7225.8506994999525</v>
      </c>
    </row>
    <row r="1311" spans="44:49">
      <c r="AR1311" s="69">
        <f t="shared" si="474"/>
        <v>109</v>
      </c>
      <c r="AS1311" s="70">
        <f t="shared" si="476"/>
        <v>1308</v>
      </c>
      <c r="AT1311" s="71">
        <f t="shared" si="477"/>
        <v>1.2933755526221407E-4</v>
      </c>
      <c r="AU1311" s="72">
        <f t="shared" si="473"/>
        <v>6.8214933659622723E-3</v>
      </c>
      <c r="AV1311" s="73">
        <f t="shared" si="475"/>
        <v>1.0068214933659623</v>
      </c>
      <c r="AW1311" s="74">
        <f>PRODUCT(AV$4:AV1311)</f>
        <v>7275.1417921100256</v>
      </c>
    </row>
    <row r="1312" spans="44:49">
      <c r="AR1312" s="69">
        <f t="shared" si="474"/>
        <v>110</v>
      </c>
      <c r="AS1312" s="70">
        <f t="shared" si="476"/>
        <v>1309</v>
      </c>
      <c r="AT1312" s="71">
        <f t="shared" si="477"/>
        <v>1.284552799870231E-4</v>
      </c>
      <c r="AU1312" s="72">
        <f t="shared" si="473"/>
        <v>6.8214933659622723E-3</v>
      </c>
      <c r="AV1312" s="73">
        <f t="shared" si="475"/>
        <v>1.0068214933659623</v>
      </c>
      <c r="AW1312" s="74">
        <f>PRODUCT(AV$4:AV1312)</f>
        <v>7324.769123581339</v>
      </c>
    </row>
    <row r="1313" spans="44:49">
      <c r="AR1313" s="69">
        <f t="shared" si="474"/>
        <v>110</v>
      </c>
      <c r="AS1313" s="70">
        <f t="shared" si="476"/>
        <v>1310</v>
      </c>
      <c r="AT1313" s="71">
        <f t="shared" si="477"/>
        <v>1.275790231467688E-4</v>
      </c>
      <c r="AU1313" s="72">
        <f t="shared" si="473"/>
        <v>6.8214933659622723E-3</v>
      </c>
      <c r="AV1313" s="73">
        <f t="shared" si="475"/>
        <v>1.0068214933659623</v>
      </c>
      <c r="AW1313" s="74">
        <f>PRODUCT(AV$4:AV1313)</f>
        <v>7374.7349875650543</v>
      </c>
    </row>
    <row r="1314" spans="44:49">
      <c r="AR1314" s="69">
        <f t="shared" si="474"/>
        <v>110</v>
      </c>
      <c r="AS1314" s="70">
        <f t="shared" si="476"/>
        <v>1311</v>
      </c>
      <c r="AT1314" s="71">
        <f t="shared" si="477"/>
        <v>1.2670874368673717E-4</v>
      </c>
      <c r="AU1314" s="72">
        <f t="shared" si="473"/>
        <v>6.8214933659622723E-3</v>
      </c>
      <c r="AV1314" s="73">
        <f t="shared" si="475"/>
        <v>1.0068214933659623</v>
      </c>
      <c r="AW1314" s="74">
        <f>PRODUCT(AV$4:AV1314)</f>
        <v>7425.0416933584593</v>
      </c>
    </row>
    <row r="1315" spans="44:49">
      <c r="AR1315" s="69">
        <f t="shared" si="474"/>
        <v>110</v>
      </c>
      <c r="AS1315" s="70">
        <f t="shared" si="476"/>
        <v>1312</v>
      </c>
      <c r="AT1315" s="71">
        <f t="shared" si="477"/>
        <v>1.2584440083226867E-4</v>
      </c>
      <c r="AU1315" s="72">
        <f t="shared" si="473"/>
        <v>6.8214933659622723E-3</v>
      </c>
      <c r="AV1315" s="73">
        <f t="shared" si="475"/>
        <v>1.0068214933659623</v>
      </c>
      <c r="AW1315" s="74">
        <f>PRODUCT(AV$4:AV1315)</f>
        <v>7475.6915660116974</v>
      </c>
    </row>
    <row r="1316" spans="44:49">
      <c r="AR1316" s="69">
        <f t="shared" si="474"/>
        <v>110</v>
      </c>
      <c r="AS1316" s="70">
        <f t="shared" si="476"/>
        <v>1313</v>
      </c>
      <c r="AT1316" s="71">
        <f t="shared" si="477"/>
        <v>1.2498595408684787E-4</v>
      </c>
      <c r="AU1316" s="72">
        <f t="shared" si="473"/>
        <v>6.8214933659622723E-3</v>
      </c>
      <c r="AV1316" s="73">
        <f t="shared" si="475"/>
        <v>1.0068214933659623</v>
      </c>
      <c r="AW1316" s="74">
        <f>PRODUCT(AV$4:AV1316)</f>
        <v>7526.6869464352267</v>
      </c>
    </row>
    <row r="1317" spans="44:49">
      <c r="AR1317" s="69">
        <f t="shared" si="474"/>
        <v>110</v>
      </c>
      <c r="AS1317" s="70">
        <f t="shared" si="476"/>
        <v>1314</v>
      </c>
      <c r="AT1317" s="71">
        <f t="shared" si="477"/>
        <v>1.2413336323020596E-4</v>
      </c>
      <c r="AU1317" s="72">
        <f t="shared" si="473"/>
        <v>6.8214933659622723E-3</v>
      </c>
      <c r="AV1317" s="73">
        <f t="shared" si="475"/>
        <v>1.0068214933659623</v>
      </c>
      <c r="AW1317" s="74">
        <f>PRODUCT(AV$4:AV1317)</f>
        <v>7578.030191508009</v>
      </c>
    </row>
    <row r="1318" spans="44:49">
      <c r="AR1318" s="69">
        <f t="shared" si="474"/>
        <v>110</v>
      </c>
      <c r="AS1318" s="70">
        <f t="shared" si="476"/>
        <v>1315</v>
      </c>
      <c r="AT1318" s="71">
        <f t="shared" si="477"/>
        <v>1.2328658831643654E-4</v>
      </c>
      <c r="AU1318" s="72">
        <f t="shared" si="473"/>
        <v>6.8214933659622723E-3</v>
      </c>
      <c r="AV1318" s="73">
        <f t="shared" si="475"/>
        <v>1.0068214933659623</v>
      </c>
      <c r="AW1318" s="74">
        <f>PRODUCT(AV$4:AV1318)</f>
        <v>7629.7236741864426</v>
      </c>
    </row>
    <row r="1319" spans="44:49">
      <c r="AR1319" s="69">
        <f t="shared" si="474"/>
        <v>110</v>
      </c>
      <c r="AS1319" s="70">
        <f t="shared" si="476"/>
        <v>1316</v>
      </c>
      <c r="AT1319" s="71">
        <f t="shared" si="477"/>
        <v>1.2244558967212384E-4</v>
      </c>
      <c r="AU1319" s="72">
        <f t="shared" si="473"/>
        <v>6.8214933659622723E-3</v>
      </c>
      <c r="AV1319" s="73">
        <f t="shared" si="475"/>
        <v>1.0068214933659623</v>
      </c>
      <c r="AW1319" s="74">
        <f>PRODUCT(AV$4:AV1319)</f>
        <v>7681.7697836140305</v>
      </c>
    </row>
    <row r="1320" spans="44:49">
      <c r="AR1320" s="69">
        <f t="shared" si="474"/>
        <v>110</v>
      </c>
      <c r="AS1320" s="70">
        <f t="shared" si="476"/>
        <v>1317</v>
      </c>
      <c r="AT1320" s="71">
        <f t="shared" si="477"/>
        <v>1.2161032789448412E-4</v>
      </c>
      <c r="AU1320" s="72">
        <f t="shared" si="473"/>
        <v>6.8214933659622723E-3</v>
      </c>
      <c r="AV1320" s="73">
        <f t="shared" si="475"/>
        <v>1.0068214933659623</v>
      </c>
      <c r="AW1320" s="74">
        <f>PRODUCT(AV$4:AV1320)</f>
        <v>7734.1709252318033</v>
      </c>
    </row>
    <row r="1321" spans="44:49">
      <c r="AR1321" s="69">
        <f t="shared" si="474"/>
        <v>110</v>
      </c>
      <c r="AS1321" s="70">
        <f t="shared" si="476"/>
        <v>1318</v>
      </c>
      <c r="AT1321" s="71">
        <f t="shared" si="477"/>
        <v>1.207807638495194E-4</v>
      </c>
      <c r="AU1321" s="72">
        <f t="shared" si="473"/>
        <v>6.8214933659622723E-3</v>
      </c>
      <c r="AV1321" s="73">
        <f t="shared" si="475"/>
        <v>1.0068214933659623</v>
      </c>
      <c r="AW1321" s="74">
        <f>PRODUCT(AV$4:AV1321)</f>
        <v>7786.92952088949</v>
      </c>
    </row>
    <row r="1322" spans="44:49">
      <c r="AR1322" s="69">
        <f t="shared" si="474"/>
        <v>110</v>
      </c>
      <c r="AS1322" s="70">
        <f t="shared" si="476"/>
        <v>1319</v>
      </c>
      <c r="AT1322" s="71">
        <f t="shared" si="477"/>
        <v>1.1995685867018404E-4</v>
      </c>
      <c r="AU1322" s="72">
        <f t="shared" si="473"/>
        <v>6.8214933659622723E-3</v>
      </c>
      <c r="AV1322" s="73">
        <f t="shared" si="475"/>
        <v>1.0068214933659623</v>
      </c>
      <c r="AW1322" s="74">
        <f>PRODUCT(AV$4:AV1322)</f>
        <v>7840.0480089574539</v>
      </c>
    </row>
    <row r="1323" spans="44:49">
      <c r="AR1323" s="69">
        <f t="shared" si="474"/>
        <v>110</v>
      </c>
      <c r="AS1323" s="70">
        <f t="shared" si="476"/>
        <v>1320</v>
      </c>
      <c r="AT1323" s="71">
        <f t="shared" si="477"/>
        <v>1.1913857375456371E-4</v>
      </c>
      <c r="AU1323" s="72">
        <f t="shared" si="473"/>
        <v>6.8214933659622723E-3</v>
      </c>
      <c r="AV1323" s="73">
        <f t="shared" si="475"/>
        <v>1.0068214933659623</v>
      </c>
      <c r="AW1323" s="74">
        <f>PRODUCT(AV$4:AV1323)</f>
        <v>7893.5288444393827</v>
      </c>
    </row>
    <row r="1324" spans="44:49">
      <c r="AR1324" s="69">
        <f t="shared" si="474"/>
        <v>111</v>
      </c>
      <c r="AS1324" s="70">
        <f t="shared" si="476"/>
        <v>1321</v>
      </c>
      <c r="AT1324" s="71">
        <f t="shared" si="477"/>
        <v>1.1832587076406674E-4</v>
      </c>
      <c r="AU1324" s="72">
        <f t="shared" si="473"/>
        <v>6.8214933659622723E-3</v>
      </c>
      <c r="AV1324" s="73">
        <f t="shared" si="475"/>
        <v>1.0068214933659623</v>
      </c>
      <c r="AW1324" s="74">
        <f>PRODUCT(AV$4:AV1324)</f>
        <v>7947.3744990857576</v>
      </c>
    </row>
    <row r="1325" spans="44:49">
      <c r="AR1325" s="69">
        <f t="shared" si="474"/>
        <v>111</v>
      </c>
      <c r="AS1325" s="70">
        <f t="shared" si="476"/>
        <v>1322</v>
      </c>
      <c r="AT1325" s="71">
        <f t="shared" si="477"/>
        <v>1.1751871162162795E-4</v>
      </c>
      <c r="AU1325" s="72">
        <f t="shared" si="473"/>
        <v>6.8214933659622723E-3</v>
      </c>
      <c r="AV1325" s="73">
        <f t="shared" si="475"/>
        <v>1.0068214933659623</v>
      </c>
      <c r="AW1325" s="74">
        <f>PRODUCT(AV$4:AV1325)</f>
        <v>8001.5874615080893</v>
      </c>
    </row>
    <row r="1326" spans="44:49">
      <c r="AR1326" s="69">
        <f t="shared" si="474"/>
        <v>111</v>
      </c>
      <c r="AS1326" s="70">
        <f t="shared" si="476"/>
        <v>1323</v>
      </c>
      <c r="AT1326" s="71">
        <f t="shared" si="477"/>
        <v>1.1671705850992458E-4</v>
      </c>
      <c r="AU1326" s="72">
        <f t="shared" si="473"/>
        <v>6.8214933659622723E-3</v>
      </c>
      <c r="AV1326" s="73">
        <f t="shared" si="475"/>
        <v>1.0068214933659623</v>
      </c>
      <c r="AW1326" s="74">
        <f>PRODUCT(AV$4:AV1326)</f>
        <v>8056.1702372939335</v>
      </c>
    </row>
    <row r="1327" spans="44:49">
      <c r="AR1327" s="69">
        <f t="shared" si="474"/>
        <v>111</v>
      </c>
      <c r="AS1327" s="70">
        <f t="shared" si="476"/>
        <v>1324</v>
      </c>
      <c r="AT1327" s="71">
        <f t="shared" si="477"/>
        <v>1.159208738696045E-4</v>
      </c>
      <c r="AU1327" s="72">
        <f t="shared" si="473"/>
        <v>6.8214933659622723E-3</v>
      </c>
      <c r="AV1327" s="73">
        <f t="shared" si="475"/>
        <v>1.0068214933659623</v>
      </c>
      <c r="AW1327" s="74">
        <f>PRODUCT(AV$4:AV1327)</f>
        <v>8111.1253491226971</v>
      </c>
    </row>
    <row r="1328" spans="44:49">
      <c r="AR1328" s="69">
        <f t="shared" si="474"/>
        <v>111</v>
      </c>
      <c r="AS1328" s="70">
        <f t="shared" si="476"/>
        <v>1325</v>
      </c>
      <c r="AT1328" s="71">
        <f t="shared" si="477"/>
        <v>1.1513012039752644E-4</v>
      </c>
      <c r="AU1328" s="72">
        <f t="shared" si="473"/>
        <v>6.8214933659622723E-3</v>
      </c>
      <c r="AV1328" s="73">
        <f t="shared" si="475"/>
        <v>1.0068214933659623</v>
      </c>
      <c r="AW1328" s="74">
        <f>PRODUCT(AV$4:AV1328)</f>
        <v>8166.4553368822262</v>
      </c>
    </row>
    <row r="1329" spans="44:49">
      <c r="AR1329" s="69">
        <f t="shared" si="474"/>
        <v>111</v>
      </c>
      <c r="AS1329" s="70">
        <f t="shared" si="476"/>
        <v>1326</v>
      </c>
      <c r="AT1329" s="71">
        <f t="shared" si="477"/>
        <v>1.1434476104501228E-4</v>
      </c>
      <c r="AU1329" s="72">
        <f t="shared" si="473"/>
        <v>6.8214933659622723E-3</v>
      </c>
      <c r="AV1329" s="73">
        <f t="shared" si="475"/>
        <v>1.0068214933659623</v>
      </c>
      <c r="AW1329" s="74">
        <f>PRODUCT(AV$4:AV1329)</f>
        <v>8222.1627577861964</v>
      </c>
    </row>
    <row r="1330" spans="44:49">
      <c r="AR1330" s="69">
        <f t="shared" si="474"/>
        <v>111</v>
      </c>
      <c r="AS1330" s="70">
        <f t="shared" si="476"/>
        <v>1327</v>
      </c>
      <c r="AT1330" s="71">
        <f t="shared" si="477"/>
        <v>1.1356475901611118E-4</v>
      </c>
      <c r="AU1330" s="72">
        <f t="shared" si="473"/>
        <v>6.8214933659622723E-3</v>
      </c>
      <c r="AV1330" s="73">
        <f t="shared" si="475"/>
        <v>1.0068214933659623</v>
      </c>
      <c r="AW1330" s="74">
        <f>PRODUCT(AV$4:AV1330)</f>
        <v>8278.2501864922979</v>
      </c>
    </row>
    <row r="1331" spans="44:49">
      <c r="AR1331" s="69">
        <f t="shared" si="474"/>
        <v>111</v>
      </c>
      <c r="AS1331" s="70">
        <f t="shared" si="476"/>
        <v>1328</v>
      </c>
      <c r="AT1331" s="71">
        <f t="shared" si="477"/>
        <v>1.1279007776587567E-4</v>
      </c>
      <c r="AU1331" s="72">
        <f t="shared" si="473"/>
        <v>6.8214933659622723E-3</v>
      </c>
      <c r="AV1331" s="73">
        <f t="shared" si="475"/>
        <v>1.0068214933659623</v>
      </c>
      <c r="AW1331" s="74">
        <f>PRODUCT(AV$4:AV1331)</f>
        <v>8334.7202152212303</v>
      </c>
    </row>
    <row r="1332" spans="44:49">
      <c r="AR1332" s="69">
        <f t="shared" si="474"/>
        <v>111</v>
      </c>
      <c r="AS1332" s="70">
        <f t="shared" si="476"/>
        <v>1329</v>
      </c>
      <c r="AT1332" s="71">
        <f t="shared" si="477"/>
        <v>1.1202068099864939E-4</v>
      </c>
      <c r="AU1332" s="72">
        <f t="shared" si="473"/>
        <v>6.8214933659622723E-3</v>
      </c>
      <c r="AV1332" s="73">
        <f t="shared" si="475"/>
        <v>1.0068214933659623</v>
      </c>
      <c r="AW1332" s="74">
        <f>PRODUCT(AV$4:AV1332)</f>
        <v>8391.5754538765141</v>
      </c>
    </row>
    <row r="1333" spans="44:49">
      <c r="AR1333" s="69">
        <f t="shared" si="474"/>
        <v>111</v>
      </c>
      <c r="AS1333" s="70">
        <f t="shared" si="476"/>
        <v>1330</v>
      </c>
      <c r="AT1333" s="71">
        <f t="shared" si="477"/>
        <v>1.1125653266636652E-4</v>
      </c>
      <c r="AU1333" s="72">
        <f t="shared" si="473"/>
        <v>6.8214933659622723E-3</v>
      </c>
      <c r="AV1333" s="73">
        <f t="shared" si="475"/>
        <v>1.0068214933659623</v>
      </c>
      <c r="AW1333" s="74">
        <f>PRODUCT(AV$4:AV1333)</f>
        <v>8448.8185301651047</v>
      </c>
    </row>
    <row r="1334" spans="44:49">
      <c r="AR1334" s="69">
        <f t="shared" si="474"/>
        <v>111</v>
      </c>
      <c r="AS1334" s="70">
        <f t="shared" si="476"/>
        <v>1331</v>
      </c>
      <c r="AT1334" s="71">
        <f t="shared" si="477"/>
        <v>1.1049759696686294E-4</v>
      </c>
      <c r="AU1334" s="72">
        <f t="shared" si="473"/>
        <v>6.8214933659622723E-3</v>
      </c>
      <c r="AV1334" s="73">
        <f t="shared" si="475"/>
        <v>1.0068214933659623</v>
      </c>
      <c r="AW1334" s="74">
        <f>PRODUCT(AV$4:AV1334)</f>
        <v>8506.4520897188449</v>
      </c>
    </row>
    <row r="1335" spans="44:49">
      <c r="AR1335" s="69">
        <f t="shared" si="474"/>
        <v>111</v>
      </c>
      <c r="AS1335" s="70">
        <f t="shared" si="476"/>
        <v>1332</v>
      </c>
      <c r="AT1335" s="71">
        <f t="shared" si="477"/>
        <v>1.0974383834219872E-4</v>
      </c>
      <c r="AU1335" s="72">
        <f t="shared" si="473"/>
        <v>6.8214933659622723E-3</v>
      </c>
      <c r="AV1335" s="73">
        <f t="shared" si="475"/>
        <v>1.0068214933659623</v>
      </c>
      <c r="AW1335" s="74">
        <f>PRODUCT(AV$4:AV1335)</f>
        <v>8564.4787962167375</v>
      </c>
    </row>
    <row r="1336" spans="44:49">
      <c r="AR1336" s="69">
        <f t="shared" si="474"/>
        <v>112</v>
      </c>
      <c r="AS1336" s="70">
        <f t="shared" si="476"/>
        <v>1333</v>
      </c>
      <c r="AT1336" s="71">
        <f t="shared" si="477"/>
        <v>1.0899522147699218E-4</v>
      </c>
      <c r="AU1336" s="72">
        <f t="shared" si="473"/>
        <v>6.8214933659622723E-3</v>
      </c>
      <c r="AV1336" s="73">
        <f t="shared" si="475"/>
        <v>1.0068214933659623</v>
      </c>
      <c r="AW1336" s="74">
        <f>PRODUCT(AV$4:AV1336)</f>
        <v>8622.9013315080538</v>
      </c>
    </row>
    <row r="1337" spans="44:49">
      <c r="AR1337" s="69">
        <f t="shared" si="474"/>
        <v>112</v>
      </c>
      <c r="AS1337" s="70">
        <f t="shared" si="476"/>
        <v>1334</v>
      </c>
      <c r="AT1337" s="71">
        <f t="shared" si="477"/>
        <v>1.0825171129676529E-4</v>
      </c>
      <c r="AU1337" s="72">
        <f t="shared" si="473"/>
        <v>6.8214933659622723E-3</v>
      </c>
      <c r="AV1337" s="73">
        <f t="shared" si="475"/>
        <v>1.0068214933659623</v>
      </c>
      <c r="AW1337" s="74">
        <f>PRODUCT(AV$4:AV1337)</f>
        <v>8681.7223957362839</v>
      </c>
    </row>
    <row r="1338" spans="44:49">
      <c r="AR1338" s="69">
        <f t="shared" si="474"/>
        <v>112</v>
      </c>
      <c r="AS1338" s="70">
        <f t="shared" si="476"/>
        <v>1335</v>
      </c>
      <c r="AT1338" s="71">
        <f t="shared" si="477"/>
        <v>1.0751327296630035E-4</v>
      </c>
      <c r="AU1338" s="72">
        <f t="shared" si="473"/>
        <v>6.8214933659622723E-3</v>
      </c>
      <c r="AV1338" s="73">
        <f t="shared" si="475"/>
        <v>1.0068214933659623</v>
      </c>
      <c r="AW1338" s="74">
        <f>PRODUCT(AV$4:AV1338)</f>
        <v>8740.9447074639247</v>
      </c>
    </row>
    <row r="1339" spans="44:49">
      <c r="AR1339" s="69">
        <f t="shared" si="474"/>
        <v>112</v>
      </c>
      <c r="AS1339" s="70">
        <f t="shared" si="476"/>
        <v>1336</v>
      </c>
      <c r="AT1339" s="71">
        <f t="shared" si="477"/>
        <v>1.0677987188800784E-4</v>
      </c>
      <c r="AU1339" s="72">
        <f t="shared" si="473"/>
        <v>6.8214933659622723E-3</v>
      </c>
      <c r="AV1339" s="73">
        <f t="shared" si="475"/>
        <v>1.0068214933659623</v>
      </c>
      <c r="AW1339" s="74">
        <f>PRODUCT(AV$4:AV1339)</f>
        <v>8800.5710037981335</v>
      </c>
    </row>
    <row r="1340" spans="44:49">
      <c r="AR1340" s="69">
        <f t="shared" si="474"/>
        <v>112</v>
      </c>
      <c r="AS1340" s="70">
        <f t="shared" si="476"/>
        <v>1337</v>
      </c>
      <c r="AT1340" s="71">
        <f t="shared" si="477"/>
        <v>1.0605147370030549E-4</v>
      </c>
      <c r="AU1340" s="72">
        <f t="shared" si="473"/>
        <v>6.8214933659622723E-3</v>
      </c>
      <c r="AV1340" s="73">
        <f t="shared" si="475"/>
        <v>1.0068214933659623</v>
      </c>
      <c r="AW1340" s="74">
        <f>PRODUCT(AV$4:AV1340)</f>
        <v>8860.6040405172225</v>
      </c>
    </row>
    <row r="1341" spans="44:49">
      <c r="AR1341" s="69">
        <f t="shared" si="474"/>
        <v>112</v>
      </c>
      <c r="AS1341" s="70">
        <f t="shared" si="476"/>
        <v>1338</v>
      </c>
      <c r="AT1341" s="71">
        <f t="shared" si="477"/>
        <v>1.0532804427600833E-4</v>
      </c>
      <c r="AU1341" s="72">
        <f t="shared" si="473"/>
        <v>6.8214933659622723E-3</v>
      </c>
      <c r="AV1341" s="73">
        <f t="shared" si="475"/>
        <v>1.0068214933659623</v>
      </c>
      <c r="AW1341" s="74">
        <f>PRODUCT(AV$4:AV1341)</f>
        <v>8921.0465921980285</v>
      </c>
    </row>
    <row r="1342" spans="44:49">
      <c r="AR1342" s="69">
        <f t="shared" si="474"/>
        <v>112</v>
      </c>
      <c r="AS1342" s="70">
        <f t="shared" si="476"/>
        <v>1339</v>
      </c>
      <c r="AT1342" s="71">
        <f t="shared" si="477"/>
        <v>1.0460954972072977E-4</v>
      </c>
      <c r="AU1342" s="72">
        <f t="shared" si="473"/>
        <v>6.8214933659622723E-3</v>
      </c>
      <c r="AV1342" s="73">
        <f t="shared" si="475"/>
        <v>1.0068214933659623</v>
      </c>
      <c r="AW1342" s="74">
        <f>PRODUCT(AV$4:AV1342)</f>
        <v>8981.9014523441474</v>
      </c>
    </row>
    <row r="1343" spans="44:49">
      <c r="AR1343" s="69">
        <f t="shared" si="474"/>
        <v>112</v>
      </c>
      <c r="AS1343" s="70">
        <f t="shared" si="476"/>
        <v>1340</v>
      </c>
      <c r="AT1343" s="71">
        <f t="shared" si="477"/>
        <v>1.0389595637129351E-4</v>
      </c>
      <c r="AU1343" s="72">
        <f t="shared" si="473"/>
        <v>6.8214933659622723E-3</v>
      </c>
      <c r="AV1343" s="73">
        <f t="shared" si="475"/>
        <v>1.0068214933659623</v>
      </c>
      <c r="AW1343" s="74">
        <f>PRODUCT(AV$4:AV1343)</f>
        <v>9043.1714335150391</v>
      </c>
    </row>
    <row r="1344" spans="44:49">
      <c r="AR1344" s="69">
        <f t="shared" si="474"/>
        <v>112</v>
      </c>
      <c r="AS1344" s="70">
        <f t="shared" si="476"/>
        <v>1341</v>
      </c>
      <c r="AT1344" s="71">
        <f t="shared" si="477"/>
        <v>1.0318723079415642E-4</v>
      </c>
      <c r="AU1344" s="72">
        <f t="shared" si="473"/>
        <v>6.8214933659622723E-3</v>
      </c>
      <c r="AV1344" s="73">
        <f t="shared" si="475"/>
        <v>1.0068214933659623</v>
      </c>
      <c r="AW1344" s="74">
        <f>PRODUCT(AV$4:AV1344)</f>
        <v>9104.8593674560216</v>
      </c>
    </row>
    <row r="1345" spans="44:49">
      <c r="AR1345" s="69">
        <f t="shared" si="474"/>
        <v>112</v>
      </c>
      <c r="AS1345" s="70">
        <f t="shared" si="476"/>
        <v>1342</v>
      </c>
      <c r="AT1345" s="71">
        <f t="shared" si="477"/>
        <v>1.0248333978384207E-4</v>
      </c>
      <c r="AU1345" s="72">
        <f t="shared" si="473"/>
        <v>6.8214933659622723E-3</v>
      </c>
      <c r="AV1345" s="73">
        <f t="shared" si="475"/>
        <v>1.0068214933659623</v>
      </c>
      <c r="AW1345" s="74">
        <f>PRODUCT(AV$4:AV1345)</f>
        <v>9166.9681052291417</v>
      </c>
    </row>
    <row r="1346" spans="44:49">
      <c r="AR1346" s="69">
        <f t="shared" si="474"/>
        <v>112</v>
      </c>
      <c r="AS1346" s="70">
        <f t="shared" si="476"/>
        <v>1343</v>
      </c>
      <c r="AT1346" s="71">
        <f t="shared" si="477"/>
        <v>1.0178425036138493E-4</v>
      </c>
      <c r="AU1346" s="72">
        <f t="shared" si="473"/>
        <v>6.8214933659622723E-3</v>
      </c>
      <c r="AV1346" s="73">
        <f t="shared" si="475"/>
        <v>1.0068214933659623</v>
      </c>
      <c r="AW1346" s="74">
        <f>PRODUCT(AV$4:AV1346)</f>
        <v>9229.5005173449499</v>
      </c>
    </row>
    <row r="1347" spans="44:49">
      <c r="AR1347" s="69">
        <f t="shared" si="474"/>
        <v>112</v>
      </c>
      <c r="AS1347" s="70">
        <f t="shared" si="476"/>
        <v>1344</v>
      </c>
      <c r="AT1347" s="71">
        <f t="shared" si="477"/>
        <v>1.010899297727853E-4</v>
      </c>
      <c r="AU1347" s="72">
        <f t="shared" si="473"/>
        <v>6.8214933659622723E-3</v>
      </c>
      <c r="AV1347" s="73">
        <f t="shared" si="475"/>
        <v>1.0068214933659623</v>
      </c>
      <c r="AW1347" s="74">
        <f>PRODUCT(AV$4:AV1347)</f>
        <v>9292.4594938951632</v>
      </c>
    </row>
    <row r="1348" spans="44:49">
      <c r="AR1348" s="69">
        <f t="shared" si="474"/>
        <v>113</v>
      </c>
      <c r="AS1348" s="70">
        <f t="shared" si="476"/>
        <v>1345</v>
      </c>
      <c r="AT1348" s="71">
        <f t="shared" si="477"/>
        <v>1.0040034548747465E-4</v>
      </c>
      <c r="AU1348" s="72">
        <f t="shared" ref="AU1348:AU1411" si="478">((1+$AH$21)^(1/12))-1</f>
        <v>6.8214933659622723E-3</v>
      </c>
      <c r="AV1348" s="73">
        <f t="shared" si="475"/>
        <v>1.0068214933659623</v>
      </c>
      <c r="AW1348" s="74">
        <f>PRODUCT(AV$4:AV1348)</f>
        <v>9355.847944686242</v>
      </c>
    </row>
    <row r="1349" spans="44:49">
      <c r="AR1349" s="69">
        <f t="shared" ref="AR1349:AR1412" si="479">ROUNDDOWN((AS1349-1)/12,0)+1</f>
        <v>113</v>
      </c>
      <c r="AS1349" s="70">
        <f t="shared" si="476"/>
        <v>1346</v>
      </c>
      <c r="AT1349" s="71">
        <f t="shared" si="477"/>
        <v>9.9715465196791519E-5</v>
      </c>
      <c r="AU1349" s="72">
        <f t="shared" si="478"/>
        <v>6.8214933659622723E-3</v>
      </c>
      <c r="AV1349" s="73">
        <f t="shared" ref="AV1349:AV1412" si="480">(1+AU1349)</f>
        <v>1.0068214933659623</v>
      </c>
      <c r="AW1349" s="74">
        <f>PRODUCT(AV$4:AV1349)</f>
        <v>9419.6687993738706</v>
      </c>
    </row>
    <row r="1350" spans="44:49">
      <c r="AR1350" s="69">
        <f t="shared" si="479"/>
        <v>113</v>
      </c>
      <c r="AS1350" s="70">
        <f t="shared" ref="AS1350:AS1413" si="481">AS1349+1</f>
        <v>1347</v>
      </c>
      <c r="AT1350" s="71">
        <f t="shared" si="477"/>
        <v>9.9035256812467765E-5</v>
      </c>
      <c r="AU1350" s="72">
        <f t="shared" si="478"/>
        <v>6.8214933659622723E-3</v>
      </c>
      <c r="AV1350" s="73">
        <f t="shared" si="480"/>
        <v>1.0068214933659623</v>
      </c>
      <c r="AW1350" s="74">
        <f>PRODUCT(AV$4:AV1350)</f>
        <v>9483.9250075983618</v>
      </c>
    </row>
    <row r="1351" spans="44:49">
      <c r="AR1351" s="69">
        <f t="shared" si="479"/>
        <v>113</v>
      </c>
      <c r="AS1351" s="70">
        <f t="shared" si="481"/>
        <v>1348</v>
      </c>
      <c r="AT1351" s="71">
        <f t="shared" si="477"/>
        <v>9.8359688465125144E-5</v>
      </c>
      <c r="AU1351" s="72">
        <f t="shared" si="478"/>
        <v>6.8214933659622723E-3</v>
      </c>
      <c r="AV1351" s="73">
        <f t="shared" si="480"/>
        <v>1.0068214933659623</v>
      </c>
      <c r="AW1351" s="74">
        <f>PRODUCT(AV$4:AV1351)</f>
        <v>9548.6195391209785</v>
      </c>
    </row>
    <row r="1352" spans="44:49">
      <c r="AR1352" s="69">
        <f t="shared" si="479"/>
        <v>113</v>
      </c>
      <c r="AS1352" s="70">
        <f t="shared" si="481"/>
        <v>1349</v>
      </c>
      <c r="AT1352" s="71">
        <f t="shared" si="477"/>
        <v>9.7688728502782178E-5</v>
      </c>
      <c r="AU1352" s="72">
        <f t="shared" si="478"/>
        <v>6.8214933659622723E-3</v>
      </c>
      <c r="AV1352" s="73">
        <f t="shared" si="480"/>
        <v>1.0068214933659623</v>
      </c>
      <c r="AW1352" s="74">
        <f>PRODUCT(AV$4:AV1352)</f>
        <v>9613.7553839611901</v>
      </c>
    </row>
    <row r="1353" spans="44:49">
      <c r="AR1353" s="69">
        <f t="shared" si="479"/>
        <v>113</v>
      </c>
      <c r="AS1353" s="70">
        <f t="shared" si="481"/>
        <v>1350</v>
      </c>
      <c r="AT1353" s="71">
        <f t="shared" si="477"/>
        <v>9.7022345489371155E-5</v>
      </c>
      <c r="AU1353" s="72">
        <f t="shared" si="478"/>
        <v>6.8214933659622723E-3</v>
      </c>
      <c r="AV1353" s="73">
        <f t="shared" si="480"/>
        <v>1.0068214933659623</v>
      </c>
      <c r="AW1353" s="74">
        <f>PRODUCT(AV$4:AV1353)</f>
        <v>9679.3355525348652</v>
      </c>
    </row>
    <row r="1354" spans="44:49">
      <c r="AR1354" s="69">
        <f t="shared" si="479"/>
        <v>113</v>
      </c>
      <c r="AS1354" s="70">
        <f t="shared" si="481"/>
        <v>1351</v>
      </c>
      <c r="AT1354" s="71">
        <f t="shared" si="477"/>
        <v>9.636050820326531E-5</v>
      </c>
      <c r="AU1354" s="72">
        <f t="shared" si="478"/>
        <v>6.8214933659622723E-3</v>
      </c>
      <c r="AV1354" s="73">
        <f t="shared" si="480"/>
        <v>1.0068214933659623</v>
      </c>
      <c r="AW1354" s="74">
        <f>PRODUCT(AV$4:AV1354)</f>
        <v>9745.3630757934043</v>
      </c>
    </row>
    <row r="1355" spans="44:49">
      <c r="AR1355" s="69">
        <f t="shared" si="479"/>
        <v>113</v>
      </c>
      <c r="AS1355" s="70">
        <f t="shared" si="481"/>
        <v>1352</v>
      </c>
      <c r="AT1355" s="71">
        <f t="shared" si="477"/>
        <v>9.5703185635815979E-5</v>
      </c>
      <c r="AU1355" s="72">
        <f t="shared" si="478"/>
        <v>6.8214933659622723E-3</v>
      </c>
      <c r="AV1355" s="73">
        <f t="shared" si="480"/>
        <v>1.0068214933659623</v>
      </c>
      <c r="AW1355" s="74">
        <f>PRODUCT(AV$4:AV1355)</f>
        <v>9811.8410053638236</v>
      </c>
    </row>
    <row r="1356" spans="44:49">
      <c r="AR1356" s="69">
        <f t="shared" si="479"/>
        <v>113</v>
      </c>
      <c r="AS1356" s="70">
        <f t="shared" si="481"/>
        <v>1353</v>
      </c>
      <c r="AT1356" s="71">
        <f t="shared" si="477"/>
        <v>9.5050346989899805E-5</v>
      </c>
      <c r="AU1356" s="72">
        <f t="shared" si="478"/>
        <v>6.8214933659622723E-3</v>
      </c>
      <c r="AV1356" s="73">
        <f t="shared" si="480"/>
        <v>1.0068214933659623</v>
      </c>
      <c r="AW1356" s="74">
        <f>PRODUCT(AV$4:AV1356)</f>
        <v>9878.7724136897887</v>
      </c>
    </row>
    <row r="1357" spans="44:49">
      <c r="AR1357" s="69">
        <f t="shared" si="479"/>
        <v>113</v>
      </c>
      <c r="AS1357" s="70">
        <f t="shared" si="481"/>
        <v>1354</v>
      </c>
      <c r="AT1357" s="71">
        <f t="shared" si="477"/>
        <v>9.4401961678475791E-5</v>
      </c>
      <c r="AU1357" s="72">
        <f t="shared" si="478"/>
        <v>6.8214933659622723E-3</v>
      </c>
      <c r="AV1357" s="73">
        <f t="shared" si="480"/>
        <v>1.0068214933659623</v>
      </c>
      <c r="AW1357" s="74">
        <f>PRODUCT(AV$4:AV1357)</f>
        <v>9946.1603941736248</v>
      </c>
    </row>
    <row r="1358" spans="44:49">
      <c r="AR1358" s="69">
        <f t="shared" si="479"/>
        <v>113</v>
      </c>
      <c r="AS1358" s="70">
        <f t="shared" si="481"/>
        <v>1355</v>
      </c>
      <c r="AT1358" s="71">
        <f t="shared" si="477"/>
        <v>9.3757999323152241E-5</v>
      </c>
      <c r="AU1358" s="72">
        <f t="shared" si="478"/>
        <v>6.8214933659622723E-3</v>
      </c>
      <c r="AV1358" s="73">
        <f t="shared" si="480"/>
        <v>1.0068214933659623</v>
      </c>
      <c r="AW1358" s="74">
        <f>PRODUCT(AV$4:AV1358)</f>
        <v>10014.008061319277</v>
      </c>
    </row>
    <row r="1359" spans="44:49">
      <c r="AR1359" s="69">
        <f t="shared" si="479"/>
        <v>113</v>
      </c>
      <c r="AS1359" s="70">
        <f t="shared" si="481"/>
        <v>1356</v>
      </c>
      <c r="AT1359" s="71">
        <f t="shared" si="477"/>
        <v>9.3118429752763458E-5</v>
      </c>
      <c r="AU1359" s="72">
        <f t="shared" si="478"/>
        <v>6.8214933659622723E-3</v>
      </c>
      <c r="AV1359" s="73">
        <f t="shared" si="480"/>
        <v>1.0068214933659623</v>
      </c>
      <c r="AW1359" s="74">
        <f>PRODUCT(AV$4:AV1359)</f>
        <v>10082.318550876258</v>
      </c>
    </row>
    <row r="1360" spans="44:49">
      <c r="AR1360" s="69">
        <f t="shared" si="479"/>
        <v>114</v>
      </c>
      <c r="AS1360" s="70">
        <f t="shared" si="481"/>
        <v>1357</v>
      </c>
      <c r="AT1360" s="71">
        <f t="shared" si="477"/>
        <v>9.2483223001956164E-5</v>
      </c>
      <c r="AU1360" s="72">
        <f t="shared" si="478"/>
        <v>6.8214933659622723E-3</v>
      </c>
      <c r="AV1360" s="73">
        <f t="shared" si="480"/>
        <v>1.0068214933659623</v>
      </c>
      <c r="AW1360" s="74">
        <f>PRODUCT(AV$4:AV1360)</f>
        <v>10151.095019984579</v>
      </c>
    </row>
    <row r="1361" spans="44:49">
      <c r="AR1361" s="69">
        <f t="shared" si="479"/>
        <v>114</v>
      </c>
      <c r="AS1361" s="70">
        <f t="shared" si="481"/>
        <v>1358</v>
      </c>
      <c r="AT1361" s="71">
        <f t="shared" si="477"/>
        <v>9.1852349309785511E-5</v>
      </c>
      <c r="AU1361" s="72">
        <f t="shared" si="478"/>
        <v>6.8214933659622723E-3</v>
      </c>
      <c r="AV1361" s="73">
        <f t="shared" si="480"/>
        <v>1.0068214933659623</v>
      </c>
      <c r="AW1361" s="74">
        <f>PRODUCT(AV$4:AV1361)</f>
        <v>10220.340647320656</v>
      </c>
    </row>
    <row r="1362" spans="44:49">
      <c r="AR1362" s="69">
        <f t="shared" si="479"/>
        <v>114</v>
      </c>
      <c r="AS1362" s="70">
        <f t="shared" si="481"/>
        <v>1359</v>
      </c>
      <c r="AT1362" s="71">
        <f t="shared" si="477"/>
        <v>9.1225779118320758E-5</v>
      </c>
      <c r="AU1362" s="72">
        <f t="shared" si="478"/>
        <v>6.8214933659622723E-3</v>
      </c>
      <c r="AV1362" s="73">
        <f t="shared" si="480"/>
        <v>1.0068214933659623</v>
      </c>
      <c r="AW1362" s="74">
        <f>PRODUCT(AV$4:AV1362)</f>
        <v>10290.058633244229</v>
      </c>
    </row>
    <row r="1363" spans="44:49">
      <c r="AR1363" s="69">
        <f t="shared" si="479"/>
        <v>114</v>
      </c>
      <c r="AS1363" s="70">
        <f t="shared" si="481"/>
        <v>1360</v>
      </c>
      <c r="AT1363" s="71">
        <f t="shared" si="477"/>
        <v>9.0603483071260388E-5</v>
      </c>
      <c r="AU1363" s="72">
        <f t="shared" si="478"/>
        <v>6.8214933659622723E-3</v>
      </c>
      <c r="AV1363" s="73">
        <f t="shared" si="480"/>
        <v>1.0068214933659623</v>
      </c>
      <c r="AW1363" s="74">
        <f>PRODUCT(AV$4:AV1363)</f>
        <v>10360.252199946268</v>
      </c>
    </row>
    <row r="1364" spans="44:49">
      <c r="AR1364" s="69">
        <f t="shared" si="479"/>
        <v>114</v>
      </c>
      <c r="AS1364" s="70">
        <f t="shared" si="481"/>
        <v>1361</v>
      </c>
      <c r="AT1364" s="71">
        <f t="shared" si="477"/>
        <v>8.9985432012556709E-5</v>
      </c>
      <c r="AU1364" s="72">
        <f t="shared" si="478"/>
        <v>6.8214933659622723E-3</v>
      </c>
      <c r="AV1364" s="73">
        <f t="shared" si="480"/>
        <v>1.0068214933659623</v>
      </c>
      <c r="AW1364" s="74">
        <f>PRODUCT(AV$4:AV1364)</f>
        <v>10430.924591597897</v>
      </c>
    </row>
    <row r="1365" spans="44:49">
      <c r="AR1365" s="69">
        <f t="shared" si="479"/>
        <v>114</v>
      </c>
      <c r="AS1365" s="70">
        <f t="shared" si="481"/>
        <v>1362</v>
      </c>
      <c r="AT1365" s="71">
        <f t="shared" si="477"/>
        <v>8.9371596985049809E-5</v>
      </c>
      <c r="AU1365" s="72">
        <f t="shared" si="478"/>
        <v>6.8214933659622723E-3</v>
      </c>
      <c r="AV1365" s="73">
        <f t="shared" si="480"/>
        <v>1.0068214933659623</v>
      </c>
      <c r="AW1365" s="74">
        <f>PRODUCT(AV$4:AV1365)</f>
        <v>10502.079074500334</v>
      </c>
    </row>
    <row r="1366" spans="44:49">
      <c r="AR1366" s="69">
        <f t="shared" si="479"/>
        <v>114</v>
      </c>
      <c r="AS1366" s="70">
        <f t="shared" si="481"/>
        <v>1363</v>
      </c>
      <c r="AT1366" s="71">
        <f t="shared" si="477"/>
        <v>8.876194922911084E-5</v>
      </c>
      <c r="AU1366" s="72">
        <f t="shared" si="478"/>
        <v>6.8214933659622723E-3</v>
      </c>
      <c r="AV1366" s="73">
        <f t="shared" si="480"/>
        <v>1.0068214933659623</v>
      </c>
      <c r="AW1366" s="74">
        <f>PRODUCT(AV$4:AV1366)</f>
        <v>10573.71893723585</v>
      </c>
    </row>
    <row r="1367" spans="44:49">
      <c r="AR1367" s="69">
        <f t="shared" si="479"/>
        <v>114</v>
      </c>
      <c r="AS1367" s="70">
        <f t="shared" si="481"/>
        <v>1364</v>
      </c>
      <c r="AT1367" s="71">
        <f t="shared" ref="AT1367:AT1430" si="482">(1-AU1367)*AT1366</f>
        <v>8.8156460181294574E-5</v>
      </c>
      <c r="AU1367" s="72">
        <f t="shared" si="478"/>
        <v>6.8214933659622723E-3</v>
      </c>
      <c r="AV1367" s="73">
        <f t="shared" si="480"/>
        <v>1.0068214933659623</v>
      </c>
      <c r="AW1367" s="74">
        <f>PRODUCT(AV$4:AV1367)</f>
        <v>10645.847490819753</v>
      </c>
    </row>
    <row r="1368" spans="44:49">
      <c r="AR1368" s="69">
        <f t="shared" si="479"/>
        <v>114</v>
      </c>
      <c r="AS1368" s="70">
        <f t="shared" si="481"/>
        <v>1365</v>
      </c>
      <c r="AT1368" s="71">
        <f t="shared" si="482"/>
        <v>8.7555101473001156E-5</v>
      </c>
      <c r="AU1368" s="72">
        <f t="shared" si="478"/>
        <v>6.8214933659622723E-3</v>
      </c>
      <c r="AV1368" s="73">
        <f t="shared" si="480"/>
        <v>1.0068214933659623</v>
      </c>
      <c r="AW1368" s="74">
        <f>PRODUCT(AV$4:AV1368)</f>
        <v>10718.468068853426</v>
      </c>
    </row>
    <row r="1369" spans="44:49">
      <c r="AR1369" s="69">
        <f t="shared" si="479"/>
        <v>114</v>
      </c>
      <c r="AS1369" s="70">
        <f t="shared" si="481"/>
        <v>1366</v>
      </c>
      <c r="AT1369" s="71">
        <f t="shared" si="482"/>
        <v>8.6957844929146926E-5</v>
      </c>
      <c r="AU1369" s="72">
        <f t="shared" si="478"/>
        <v>6.8214933659622723E-3</v>
      </c>
      <c r="AV1369" s="73">
        <f t="shared" si="480"/>
        <v>1.0068214933659623</v>
      </c>
      <c r="AW1369" s="74">
        <f>PRODUCT(AV$4:AV1369)</f>
        <v>10791.584027678389</v>
      </c>
    </row>
    <row r="1370" spans="44:49">
      <c r="AR1370" s="69">
        <f t="shared" si="479"/>
        <v>114</v>
      </c>
      <c r="AS1370" s="70">
        <f t="shared" si="481"/>
        <v>1367</v>
      </c>
      <c r="AT1370" s="71">
        <f t="shared" si="482"/>
        <v>8.6364662566844368E-5</v>
      </c>
      <c r="AU1370" s="72">
        <f t="shared" si="478"/>
        <v>6.8214933659622723E-3</v>
      </c>
      <c r="AV1370" s="73">
        <f t="shared" si="480"/>
        <v>1.0068214933659623</v>
      </c>
      <c r="AW1370" s="74">
        <f>PRODUCT(AV$4:AV1370)</f>
        <v>10865.198746531421</v>
      </c>
    </row>
    <row r="1371" spans="44:49">
      <c r="AR1371" s="69">
        <f t="shared" si="479"/>
        <v>114</v>
      </c>
      <c r="AS1371" s="70">
        <f t="shared" si="481"/>
        <v>1368</v>
      </c>
      <c r="AT1371" s="71">
        <f t="shared" si="482"/>
        <v>8.5775526594091071E-5</v>
      </c>
      <c r="AU1371" s="72">
        <f t="shared" si="478"/>
        <v>6.8214933659622723E-3</v>
      </c>
      <c r="AV1371" s="73">
        <f t="shared" si="480"/>
        <v>1.0068214933659623</v>
      </c>
      <c r="AW1371" s="74">
        <f>PRODUCT(AV$4:AV1371)</f>
        <v>10939.315627700747</v>
      </c>
    </row>
    <row r="1372" spans="44:49">
      <c r="AR1372" s="69">
        <f t="shared" si="479"/>
        <v>115</v>
      </c>
      <c r="AS1372" s="70">
        <f t="shared" si="481"/>
        <v>1369</v>
      </c>
      <c r="AT1372" s="71">
        <f t="shared" si="482"/>
        <v>8.5190409408467552E-5</v>
      </c>
      <c r="AU1372" s="72">
        <f t="shared" si="478"/>
        <v>6.8214933659622723E-3</v>
      </c>
      <c r="AV1372" s="73">
        <f t="shared" si="480"/>
        <v>1.0068214933659623</v>
      </c>
      <c r="AW1372" s="74">
        <f>PRODUCT(AV$4:AV1372)</f>
        <v>11013.938096683276</v>
      </c>
    </row>
    <row r="1373" spans="44:49">
      <c r="AR1373" s="69">
        <f t="shared" si="479"/>
        <v>115</v>
      </c>
      <c r="AS1373" s="70">
        <f t="shared" si="481"/>
        <v>1370</v>
      </c>
      <c r="AT1373" s="71">
        <f t="shared" si="482"/>
        <v>8.4609283595844077E-5</v>
      </c>
      <c r="AU1373" s="72">
        <f t="shared" si="478"/>
        <v>6.8214933659622723E-3</v>
      </c>
      <c r="AV1373" s="73">
        <f t="shared" si="480"/>
        <v>1.0068214933659623</v>
      </c>
      <c r="AW1373" s="74">
        <f>PRODUCT(AV$4:AV1373)</f>
        <v>11089.069602342921</v>
      </c>
    </row>
    <row r="1374" spans="44:49">
      <c r="AR1374" s="69">
        <f t="shared" si="479"/>
        <v>115</v>
      </c>
      <c r="AS1374" s="70">
        <f t="shared" si="481"/>
        <v>1371</v>
      </c>
      <c r="AT1374" s="71">
        <f t="shared" si="482"/>
        <v>8.4032121929096212E-5</v>
      </c>
      <c r="AU1374" s="72">
        <f t="shared" si="478"/>
        <v>6.8214933659622723E-3</v>
      </c>
      <c r="AV1374" s="73">
        <f t="shared" si="480"/>
        <v>1.0068214933659623</v>
      </c>
      <c r="AW1374" s="74">
        <f>PRODUCT(AV$4:AV1374)</f>
        <v>11164.713617069998</v>
      </c>
    </row>
    <row r="1375" spans="44:49">
      <c r="AR1375" s="69">
        <f t="shared" si="479"/>
        <v>115</v>
      </c>
      <c r="AS1375" s="70">
        <f t="shared" si="481"/>
        <v>1372</v>
      </c>
      <c r="AT1375" s="71">
        <f t="shared" si="482"/>
        <v>8.3458897366829146E-5</v>
      </c>
      <c r="AU1375" s="72">
        <f t="shared" si="478"/>
        <v>6.8214933659622723E-3</v>
      </c>
      <c r="AV1375" s="73">
        <f t="shared" si="480"/>
        <v>1.0068214933659623</v>
      </c>
      <c r="AW1375" s="74">
        <f>PRODUCT(AV$4:AV1375)</f>
        <v>11240.873636941709</v>
      </c>
    </row>
    <row r="1376" spans="44:49">
      <c r="AR1376" s="69">
        <f t="shared" si="479"/>
        <v>115</v>
      </c>
      <c r="AS1376" s="70">
        <f t="shared" si="481"/>
        <v>1373</v>
      </c>
      <c r="AT1376" s="71">
        <f t="shared" si="482"/>
        <v>8.2889583052110795E-5</v>
      </c>
      <c r="AU1376" s="72">
        <f t="shared" si="478"/>
        <v>6.8214933659622723E-3</v>
      </c>
      <c r="AV1376" s="73">
        <f t="shared" si="480"/>
        <v>1.0068214933659623</v>
      </c>
      <c r="AW1376" s="74">
        <f>PRODUCT(AV$4:AV1376)</f>
        <v>11317.553181883728</v>
      </c>
    </row>
    <row r="1377" spans="44:49">
      <c r="AR1377" s="69">
        <f t="shared" si="479"/>
        <v>115</v>
      </c>
      <c r="AS1377" s="70">
        <f t="shared" si="481"/>
        <v>1374</v>
      </c>
      <c r="AT1377" s="71">
        <f t="shared" si="482"/>
        <v>8.2324152311213439E-5</v>
      </c>
      <c r="AU1377" s="72">
        <f t="shared" si="478"/>
        <v>6.8214933659622723E-3</v>
      </c>
      <c r="AV1377" s="73">
        <f t="shared" si="480"/>
        <v>1.0068214933659623</v>
      </c>
      <c r="AW1377" s="74">
        <f>PRODUCT(AV$4:AV1377)</f>
        <v>11394.755795832873</v>
      </c>
    </row>
    <row r="1378" spans="44:49">
      <c r="AR1378" s="69">
        <f t="shared" si="479"/>
        <v>115</v>
      </c>
      <c r="AS1378" s="70">
        <f t="shared" si="481"/>
        <v>1375</v>
      </c>
      <c r="AT1378" s="71">
        <f t="shared" si="482"/>
        <v>8.1762578652364029E-5</v>
      </c>
      <c r="AU1378" s="72">
        <f t="shared" si="478"/>
        <v>6.8214933659622723E-3</v>
      </c>
      <c r="AV1378" s="73">
        <f t="shared" si="480"/>
        <v>1.0068214933659623</v>
      </c>
      <c r="AW1378" s="74">
        <f>PRODUCT(AV$4:AV1378)</f>
        <v>11472.485046900907</v>
      </c>
    </row>
    <row r="1379" spans="44:49">
      <c r="AR1379" s="69">
        <f t="shared" si="479"/>
        <v>115</v>
      </c>
      <c r="AS1379" s="70">
        <f t="shared" si="481"/>
        <v>1376</v>
      </c>
      <c r="AT1379" s="71">
        <f t="shared" si="482"/>
        <v>8.1204835764502964E-5</v>
      </c>
      <c r="AU1379" s="72">
        <f t="shared" si="478"/>
        <v>6.8214933659622723E-3</v>
      </c>
      <c r="AV1379" s="73">
        <f t="shared" si="480"/>
        <v>1.0068214933659623</v>
      </c>
      <c r="AW1379" s="74">
        <f>PRODUCT(AV$4:AV1379)</f>
        <v>11550.744527539442</v>
      </c>
    </row>
    <row r="1380" spans="44:49">
      <c r="AR1380" s="69">
        <f t="shared" si="479"/>
        <v>115</v>
      </c>
      <c r="AS1380" s="70">
        <f t="shared" si="481"/>
        <v>1377</v>
      </c>
      <c r="AT1380" s="71">
        <f t="shared" si="482"/>
        <v>8.0650897516051356E-5</v>
      </c>
      <c r="AU1380" s="72">
        <f t="shared" si="478"/>
        <v>6.8214933659622723E-3</v>
      </c>
      <c r="AV1380" s="73">
        <f t="shared" si="480"/>
        <v>1.0068214933659623</v>
      </c>
      <c r="AW1380" s="74">
        <f>PRODUCT(AV$4:AV1380)</f>
        <v>11629.537854705977</v>
      </c>
    </row>
    <row r="1381" spans="44:49">
      <c r="AR1381" s="69">
        <f t="shared" si="479"/>
        <v>115</v>
      </c>
      <c r="AS1381" s="70">
        <f t="shared" si="481"/>
        <v>1378</v>
      </c>
      <c r="AT1381" s="71">
        <f t="shared" si="482"/>
        <v>8.0100737953686706E-5</v>
      </c>
      <c r="AU1381" s="72">
        <f t="shared" si="478"/>
        <v>6.8214933659622723E-3</v>
      </c>
      <c r="AV1381" s="73">
        <f t="shared" si="480"/>
        <v>1.0068214933659623</v>
      </c>
      <c r="AW1381" s="74">
        <f>PRODUCT(AV$4:AV1381)</f>
        <v>11708.868670031061</v>
      </c>
    </row>
    <row r="1382" spans="44:49">
      <c r="AR1382" s="69">
        <f t="shared" si="479"/>
        <v>115</v>
      </c>
      <c r="AS1382" s="70">
        <f t="shared" si="481"/>
        <v>1379</v>
      </c>
      <c r="AT1382" s="71">
        <f t="shared" si="482"/>
        <v>7.9554331301126945E-5</v>
      </c>
      <c r="AU1382" s="72">
        <f t="shared" si="478"/>
        <v>6.8214933659622723E-3</v>
      </c>
      <c r="AV1382" s="73">
        <f t="shared" si="480"/>
        <v>1.0068214933659623</v>
      </c>
      <c r="AW1382" s="74">
        <f>PRODUCT(AV$4:AV1382)</f>
        <v>11788.740639986601</v>
      </c>
    </row>
    <row r="1383" spans="44:49">
      <c r="AR1383" s="69">
        <f t="shared" si="479"/>
        <v>115</v>
      </c>
      <c r="AS1383" s="70">
        <f t="shared" si="481"/>
        <v>1380</v>
      </c>
      <c r="AT1383" s="71">
        <f t="shared" si="482"/>
        <v>7.901165195792274E-5</v>
      </c>
      <c r="AU1383" s="72">
        <f t="shared" si="478"/>
        <v>6.8214933659622723E-3</v>
      </c>
      <c r="AV1383" s="73">
        <f t="shared" si="480"/>
        <v>1.0068214933659623</v>
      </c>
      <c r="AW1383" s="74">
        <f>PRODUCT(AV$4:AV1383)</f>
        <v>11869.15745605532</v>
      </c>
    </row>
    <row r="1384" spans="44:49">
      <c r="AR1384" s="69">
        <f t="shared" si="479"/>
        <v>116</v>
      </c>
      <c r="AS1384" s="70">
        <f t="shared" si="481"/>
        <v>1381</v>
      </c>
      <c r="AT1384" s="71">
        <f t="shared" si="482"/>
        <v>7.8472674498258045E-5</v>
      </c>
      <c r="AU1384" s="72">
        <f t="shared" si="478"/>
        <v>6.8214933659622723E-3</v>
      </c>
      <c r="AV1384" s="73">
        <f t="shared" si="480"/>
        <v>1.0068214933659623</v>
      </c>
      <c r="AW1384" s="74">
        <f>PRODUCT(AV$4:AV1384)</f>
        <v>11950.122834901364</v>
      </c>
    </row>
    <row r="1385" spans="44:49">
      <c r="AR1385" s="69">
        <f t="shared" si="479"/>
        <v>116</v>
      </c>
      <c r="AS1385" s="70">
        <f t="shared" si="481"/>
        <v>1382</v>
      </c>
      <c r="AT1385" s="71">
        <f t="shared" si="482"/>
        <v>7.7937373669758855E-5</v>
      </c>
      <c r="AU1385" s="72">
        <f t="shared" si="478"/>
        <v>6.8214933659622723E-3</v>
      </c>
      <c r="AV1385" s="73">
        <f t="shared" si="480"/>
        <v>1.0068214933659623</v>
      </c>
      <c r="AW1385" s="74">
        <f>PRODUCT(AV$4:AV1385)</f>
        <v>12031.640518542077</v>
      </c>
    </row>
    <row r="1386" spans="44:49">
      <c r="AR1386" s="69">
        <f t="shared" si="479"/>
        <v>116</v>
      </c>
      <c r="AS1386" s="70">
        <f t="shared" si="481"/>
        <v>1383</v>
      </c>
      <c r="AT1386" s="71">
        <f t="shared" si="482"/>
        <v>7.7405724392310074E-5</v>
      </c>
      <c r="AU1386" s="72">
        <f t="shared" si="478"/>
        <v>6.8214933659622723E-3</v>
      </c>
      <c r="AV1386" s="73">
        <f t="shared" si="480"/>
        <v>1.0068214933659623</v>
      </c>
      <c r="AW1386" s="74">
        <f>PRODUCT(AV$4:AV1386)</f>
        <v>12113.714274520955</v>
      </c>
    </row>
    <row r="1387" spans="44:49">
      <c r="AR1387" s="69">
        <f t="shared" si="479"/>
        <v>116</v>
      </c>
      <c r="AS1387" s="70">
        <f t="shared" si="481"/>
        <v>1384</v>
      </c>
      <c r="AT1387" s="71">
        <f t="shared" si="482"/>
        <v>7.6877701756880432E-5</v>
      </c>
      <c r="AU1387" s="72">
        <f t="shared" si="478"/>
        <v>6.8214933659622723E-3</v>
      </c>
      <c r="AV1387" s="73">
        <f t="shared" si="480"/>
        <v>1.0068214933659623</v>
      </c>
      <c r="AW1387" s="74">
        <f>PRODUCT(AV$4:AV1387)</f>
        <v>12196.347896081763</v>
      </c>
    </row>
    <row r="1388" spans="44:49">
      <c r="AR1388" s="69">
        <f t="shared" si="479"/>
        <v>116</v>
      </c>
      <c r="AS1388" s="70">
        <f t="shared" si="481"/>
        <v>1385</v>
      </c>
      <c r="AT1388" s="71">
        <f t="shared" si="482"/>
        <v>7.6353281024355444E-5</v>
      </c>
      <c r="AU1388" s="72">
        <f t="shared" si="478"/>
        <v>6.8214933659622723E-3</v>
      </c>
      <c r="AV1388" s="73">
        <f t="shared" si="480"/>
        <v>1.0068214933659623</v>
      </c>
      <c r="AW1388" s="74">
        <f>PRODUCT(AV$4:AV1388)</f>
        <v>12279.545202343852</v>
      </c>
    </row>
    <row r="1389" spans="44:49">
      <c r="AR1389" s="69">
        <f t="shared" si="479"/>
        <v>116</v>
      </c>
      <c r="AS1389" s="70">
        <f t="shared" si="481"/>
        <v>1386</v>
      </c>
      <c r="AT1389" s="71">
        <f t="shared" si="482"/>
        <v>7.5832437624378347E-5</v>
      </c>
      <c r="AU1389" s="72">
        <f t="shared" si="478"/>
        <v>6.8214933659622723E-3</v>
      </c>
      <c r="AV1389" s="73">
        <f t="shared" si="480"/>
        <v>1.0068214933659623</v>
      </c>
      <c r="AW1389" s="74">
        <f>PRODUCT(AV$4:AV1389)</f>
        <v>12363.310038478674</v>
      </c>
    </row>
    <row r="1390" spans="44:49">
      <c r="AR1390" s="69">
        <f t="shared" si="479"/>
        <v>116</v>
      </c>
      <c r="AS1390" s="70">
        <f t="shared" si="481"/>
        <v>1387</v>
      </c>
      <c r="AT1390" s="71">
        <f t="shared" si="482"/>
        <v>7.5315147154198908E-5</v>
      </c>
      <c r="AU1390" s="72">
        <f t="shared" si="478"/>
        <v>6.8214933659622723E-3</v>
      </c>
      <c r="AV1390" s="73">
        <f t="shared" si="480"/>
        <v>1.0068214933659623</v>
      </c>
      <c r="AW1390" s="74">
        <f>PRODUCT(AV$4:AV1390)</f>
        <v>12447.646275887491</v>
      </c>
    </row>
    <row r="1391" spans="44:49">
      <c r="AR1391" s="69">
        <f t="shared" si="479"/>
        <v>116</v>
      </c>
      <c r="AS1391" s="70">
        <f t="shared" si="481"/>
        <v>1388</v>
      </c>
      <c r="AT1391" s="71">
        <f t="shared" si="482"/>
        <v>7.4801385377530063E-5</v>
      </c>
      <c r="AU1391" s="72">
        <f t="shared" si="478"/>
        <v>6.8214933659622723E-3</v>
      </c>
      <c r="AV1391" s="73">
        <f t="shared" si="480"/>
        <v>1.0068214933659623</v>
      </c>
      <c r="AW1391" s="74">
        <f>PRODUCT(AV$4:AV1391)</f>
        <v>12532.557812380302</v>
      </c>
    </row>
    <row r="1392" spans="44:49">
      <c r="AR1392" s="69">
        <f t="shared" si="479"/>
        <v>116</v>
      </c>
      <c r="AS1392" s="70">
        <f t="shared" si="481"/>
        <v>1389</v>
      </c>
      <c r="AT1392" s="71">
        <f t="shared" si="482"/>
        <v>7.4291128223412449E-5</v>
      </c>
      <c r="AU1392" s="72">
        <f t="shared" si="478"/>
        <v>6.8214933659622723E-3</v>
      </c>
      <c r="AV1392" s="73">
        <f t="shared" si="480"/>
        <v>1.0068214933659623</v>
      </c>
      <c r="AW1392" s="74">
        <f>PRODUCT(AV$4:AV1392)</f>
        <v>12618.048572355994</v>
      </c>
    </row>
    <row r="1393" spans="44:49">
      <c r="AR1393" s="69">
        <f t="shared" si="479"/>
        <v>116</v>
      </c>
      <c r="AS1393" s="70">
        <f t="shared" si="481"/>
        <v>1390</v>
      </c>
      <c r="AT1393" s="71">
        <f t="shared" si="482"/>
        <v>7.3784351785086586E-5</v>
      </c>
      <c r="AU1393" s="72">
        <f t="shared" si="478"/>
        <v>6.8214933659622723E-3</v>
      </c>
      <c r="AV1393" s="73">
        <f t="shared" si="480"/>
        <v>1.0068214933659623</v>
      </c>
      <c r="AW1393" s="74">
        <f>PRODUCT(AV$4:AV1393)</f>
        <v>12704.122506983711</v>
      </c>
    </row>
    <row r="1394" spans="44:49">
      <c r="AR1394" s="69">
        <f t="shared" si="479"/>
        <v>116</v>
      </c>
      <c r="AS1394" s="70">
        <f t="shared" si="481"/>
        <v>1391</v>
      </c>
      <c r="AT1394" s="71">
        <f t="shared" si="482"/>
        <v>7.3281032318872789E-5</v>
      </c>
      <c r="AU1394" s="72">
        <f t="shared" si="478"/>
        <v>6.8214933659622723E-3</v>
      </c>
      <c r="AV1394" s="73">
        <f t="shared" si="480"/>
        <v>1.0068214933659623</v>
      </c>
      <c r="AW1394" s="74">
        <f>PRODUCT(AV$4:AV1394)</f>
        <v>12790.783594385472</v>
      </c>
    </row>
    <row r="1395" spans="44:49">
      <c r="AR1395" s="69">
        <f t="shared" si="479"/>
        <v>116</v>
      </c>
      <c r="AS1395" s="70">
        <f t="shared" si="481"/>
        <v>1392</v>
      </c>
      <c r="AT1395" s="71">
        <f t="shared" si="482"/>
        <v>7.2781146243058726E-5</v>
      </c>
      <c r="AU1395" s="72">
        <f t="shared" si="478"/>
        <v>6.8214933659622723E-3</v>
      </c>
      <c r="AV1395" s="73">
        <f t="shared" si="480"/>
        <v>1.0068214933659623</v>
      </c>
      <c r="AW1395" s="74">
        <f>PRODUCT(AV$4:AV1395)</f>
        <v>12878.035839820031</v>
      </c>
    </row>
    <row r="1396" spans="44:49">
      <c r="AR1396" s="69">
        <f t="shared" si="479"/>
        <v>117</v>
      </c>
      <c r="AS1396" s="70">
        <f t="shared" si="481"/>
        <v>1393</v>
      </c>
      <c r="AT1396" s="71">
        <f t="shared" si="482"/>
        <v>7.2284670136794568E-5</v>
      </c>
      <c r="AU1396" s="72">
        <f t="shared" si="478"/>
        <v>6.8214933659622723E-3</v>
      </c>
      <c r="AV1396" s="73">
        <f t="shared" si="480"/>
        <v>1.0068214933659623</v>
      </c>
      <c r="AW1396" s="74">
        <f>PRODUCT(AV$4:AV1396)</f>
        <v>12965.883275867987</v>
      </c>
    </row>
    <row r="1397" spans="44:49">
      <c r="AR1397" s="69">
        <f t="shared" si="479"/>
        <v>117</v>
      </c>
      <c r="AS1397" s="70">
        <f t="shared" si="481"/>
        <v>1394</v>
      </c>
      <c r="AT1397" s="71">
        <f t="shared" si="482"/>
        <v>7.1791580738995647E-5</v>
      </c>
      <c r="AU1397" s="72">
        <f t="shared" si="478"/>
        <v>6.8214933659622723E-3</v>
      </c>
      <c r="AV1397" s="73">
        <f t="shared" si="480"/>
        <v>1.0068214933659623</v>
      </c>
      <c r="AW1397" s="74">
        <f>PRODUCT(AV$4:AV1397)</f>
        <v>13054.329962618162</v>
      </c>
    </row>
    <row r="1398" spans="44:49">
      <c r="AR1398" s="69">
        <f t="shared" si="479"/>
        <v>117</v>
      </c>
      <c r="AS1398" s="70">
        <f t="shared" si="481"/>
        <v>1395</v>
      </c>
      <c r="AT1398" s="71">
        <f t="shared" si="482"/>
        <v>7.1301854947252642E-5</v>
      </c>
      <c r="AU1398" s="72">
        <f t="shared" si="478"/>
        <v>6.8214933659622723E-3</v>
      </c>
      <c r="AV1398" s="73">
        <f t="shared" si="480"/>
        <v>1.0068214933659623</v>
      </c>
      <c r="AW1398" s="74">
        <f>PRODUCT(AV$4:AV1398)</f>
        <v>13143.379987855244</v>
      </c>
    </row>
    <row r="1399" spans="44:49">
      <c r="AR1399" s="69">
        <f t="shared" si="479"/>
        <v>117</v>
      </c>
      <c r="AS1399" s="70">
        <f t="shared" si="481"/>
        <v>1396</v>
      </c>
      <c r="AT1399" s="71">
        <f t="shared" si="482"/>
        <v>7.0815469816749149E-5</v>
      </c>
      <c r="AU1399" s="72">
        <f t="shared" si="478"/>
        <v>6.8214933659622723E-3</v>
      </c>
      <c r="AV1399" s="73">
        <f t="shared" si="480"/>
        <v>1.0068214933659623</v>
      </c>
      <c r="AW1399" s="74">
        <f>PRODUCT(AV$4:AV1399)</f>
        <v>13233.03746724872</v>
      </c>
    </row>
    <row r="1400" spans="44:49">
      <c r="AR1400" s="69">
        <f t="shared" si="479"/>
        <v>117</v>
      </c>
      <c r="AS1400" s="70">
        <f t="shared" si="481"/>
        <v>1397</v>
      </c>
      <c r="AT1400" s="71">
        <f t="shared" si="482"/>
        <v>7.0332402559186699E-5</v>
      </c>
      <c r="AU1400" s="72">
        <f t="shared" si="478"/>
        <v>6.8214933659622723E-3</v>
      </c>
      <c r="AV1400" s="73">
        <f t="shared" si="480"/>
        <v>1.0068214933659623</v>
      </c>
      <c r="AW1400" s="74">
        <f>PRODUCT(AV$4:AV1400)</f>
        <v>13323.306544543088</v>
      </c>
    </row>
    <row r="1401" spans="44:49">
      <c r="AR1401" s="69">
        <f t="shared" si="479"/>
        <v>117</v>
      </c>
      <c r="AS1401" s="70">
        <f t="shared" si="481"/>
        <v>1398</v>
      </c>
      <c r="AT1401" s="71">
        <f t="shared" si="482"/>
        <v>6.9852630541717019E-5</v>
      </c>
      <c r="AU1401" s="72">
        <f t="shared" si="478"/>
        <v>6.8214933659622723E-3</v>
      </c>
      <c r="AV1401" s="73">
        <f t="shared" si="480"/>
        <v>1.0068214933659623</v>
      </c>
      <c r="AW1401" s="74">
        <f>PRODUCT(AV$4:AV1401)</f>
        <v>13414.191391749369</v>
      </c>
    </row>
    <row r="1402" spans="44:49">
      <c r="AR1402" s="69">
        <f t="shared" si="479"/>
        <v>117</v>
      </c>
      <c r="AS1402" s="70">
        <f t="shared" si="481"/>
        <v>1399</v>
      </c>
      <c r="AT1402" s="71">
        <f t="shared" si="482"/>
        <v>6.9376131285881683E-5</v>
      </c>
      <c r="AU1402" s="72">
        <f t="shared" si="478"/>
        <v>6.8214933659622723E-3</v>
      </c>
      <c r="AV1402" s="73">
        <f t="shared" si="480"/>
        <v>1.0068214933659623</v>
      </c>
      <c r="AW1402" s="74">
        <f>PRODUCT(AV$4:AV1402)</f>
        <v>13505.696209337935</v>
      </c>
    </row>
    <row r="1403" spans="44:49">
      <c r="AR1403" s="69">
        <f t="shared" si="479"/>
        <v>117</v>
      </c>
      <c r="AS1403" s="70">
        <f t="shared" si="481"/>
        <v>1400</v>
      </c>
      <c r="AT1403" s="71">
        <f t="shared" si="482"/>
        <v>6.8902882466558918E-5</v>
      </c>
      <c r="AU1403" s="72">
        <f t="shared" si="478"/>
        <v>6.8214933659622723E-3</v>
      </c>
      <c r="AV1403" s="73">
        <f t="shared" si="480"/>
        <v>1.0068214933659623</v>
      </c>
      <c r="AW1403" s="74">
        <f>PRODUCT(AV$4:AV1403)</f>
        <v>13597.825226432637</v>
      </c>
    </row>
    <row r="1404" spans="44:49">
      <c r="AR1404" s="69">
        <f t="shared" si="479"/>
        <v>117</v>
      </c>
      <c r="AS1404" s="70">
        <f t="shared" si="481"/>
        <v>1401</v>
      </c>
      <c r="AT1404" s="71">
        <f t="shared" si="482"/>
        <v>6.8432861910917609E-5</v>
      </c>
      <c r="AU1404" s="72">
        <f t="shared" si="478"/>
        <v>6.8214933659622723E-3</v>
      </c>
      <c r="AV1404" s="73">
        <f t="shared" si="480"/>
        <v>1.0068214933659623</v>
      </c>
      <c r="AW1404" s="74">
        <f>PRODUCT(AV$4:AV1404)</f>
        <v>13690.58270100626</v>
      </c>
    </row>
    <row r="1405" spans="44:49">
      <c r="AR1405" s="69">
        <f t="shared" si="479"/>
        <v>117</v>
      </c>
      <c r="AS1405" s="70">
        <f t="shared" si="481"/>
        <v>1402</v>
      </c>
      <c r="AT1405" s="71">
        <f t="shared" si="482"/>
        <v>6.7966047597378478E-5</v>
      </c>
      <c r="AU1405" s="72">
        <f t="shared" si="478"/>
        <v>6.8214933659622723E-3</v>
      </c>
      <c r="AV1405" s="73">
        <f t="shared" si="480"/>
        <v>1.0068214933659623</v>
      </c>
      <c r="AW1405" s="74">
        <f>PRODUCT(AV$4:AV1405)</f>
        <v>13783.972920077333</v>
      </c>
    </row>
    <row r="1406" spans="44:49">
      <c r="AR1406" s="69">
        <f t="shared" si="479"/>
        <v>117</v>
      </c>
      <c r="AS1406" s="70">
        <f t="shared" si="481"/>
        <v>1403</v>
      </c>
      <c r="AT1406" s="71">
        <f t="shared" si="482"/>
        <v>6.7502417654582284E-5</v>
      </c>
      <c r="AU1406" s="72">
        <f t="shared" si="478"/>
        <v>6.8214933659622723E-3</v>
      </c>
      <c r="AV1406" s="73">
        <f t="shared" si="480"/>
        <v>1.0068214933659623</v>
      </c>
      <c r="AW1406" s="74">
        <f>PRODUCT(AV$4:AV1406)</f>
        <v>13878.000199908243</v>
      </c>
    </row>
    <row r="1407" spans="44:49">
      <c r="AR1407" s="69">
        <f t="shared" si="479"/>
        <v>117</v>
      </c>
      <c r="AS1407" s="70">
        <f t="shared" si="481"/>
        <v>1404</v>
      </c>
      <c r="AT1407" s="71">
        <f t="shared" si="482"/>
        <v>6.7041950360365135E-5</v>
      </c>
      <c r="AU1407" s="72">
        <f t="shared" si="478"/>
        <v>6.8214933659622723E-3</v>
      </c>
      <c r="AV1407" s="73">
        <f t="shared" si="480"/>
        <v>1.0068214933659623</v>
      </c>
      <c r="AW1407" s="74">
        <f>PRODUCT(AV$4:AV1407)</f>
        <v>13972.668886204741</v>
      </c>
    </row>
    <row r="1408" spans="44:49">
      <c r="AR1408" s="69">
        <f t="shared" si="479"/>
        <v>118</v>
      </c>
      <c r="AS1408" s="70">
        <f t="shared" si="481"/>
        <v>1405</v>
      </c>
      <c r="AT1408" s="71">
        <f t="shared" si="482"/>
        <v>6.658462414074073E-5</v>
      </c>
      <c r="AU1408" s="72">
        <f t="shared" si="478"/>
        <v>6.8214933659622723E-3</v>
      </c>
      <c r="AV1408" s="73">
        <f t="shared" si="480"/>
        <v>1.0068214933659623</v>
      </c>
      <c r="AW1408" s="74">
        <f>PRODUCT(AV$4:AV1408)</f>
        <v>14067.983354316775</v>
      </c>
    </row>
    <row r="1409" spans="44:49">
      <c r="AR1409" s="69">
        <f t="shared" si="479"/>
        <v>118</v>
      </c>
      <c r="AS1409" s="70">
        <f t="shared" si="481"/>
        <v>1406</v>
      </c>
      <c r="AT1409" s="71">
        <f t="shared" si="482"/>
        <v>6.6130417568889573E-5</v>
      </c>
      <c r="AU1409" s="72">
        <f t="shared" si="478"/>
        <v>6.8214933659622723E-3</v>
      </c>
      <c r="AV1409" s="73">
        <f t="shared" si="480"/>
        <v>1.0068214933659623</v>
      </c>
      <c r="AW1409" s="74">
        <f>PRODUCT(AV$4:AV1409)</f>
        <v>14163.948009440715</v>
      </c>
    </row>
    <row r="1410" spans="44:49">
      <c r="AR1410" s="69">
        <f t="shared" si="479"/>
        <v>118</v>
      </c>
      <c r="AS1410" s="70">
        <f t="shared" si="481"/>
        <v>1407</v>
      </c>
      <c r="AT1410" s="71">
        <f t="shared" si="482"/>
        <v>6.5679309364155081E-5</v>
      </c>
      <c r="AU1410" s="72">
        <f t="shared" si="478"/>
        <v>6.8214933659622723E-3</v>
      </c>
      <c r="AV1410" s="73">
        <f t="shared" si="480"/>
        <v>1.0068214933659623</v>
      </c>
      <c r="AW1410" s="74">
        <f>PRODUCT(AV$4:AV1410)</f>
        <v>14260.56728682295</v>
      </c>
    </row>
    <row r="1411" spans="44:49">
      <c r="AR1411" s="69">
        <f t="shared" si="479"/>
        <v>118</v>
      </c>
      <c r="AS1411" s="70">
        <f t="shared" si="481"/>
        <v>1408</v>
      </c>
      <c r="AT1411" s="71">
        <f t="shared" si="482"/>
        <v>6.5231278391046516E-5</v>
      </c>
      <c r="AU1411" s="72">
        <f t="shared" si="478"/>
        <v>6.8214933659622723E-3</v>
      </c>
      <c r="AV1411" s="73">
        <f t="shared" si="480"/>
        <v>1.0068214933659623</v>
      </c>
      <c r="AW1411" s="74">
        <f>PRODUCT(AV$4:AV1411)</f>
        <v>14357.845651964872</v>
      </c>
    </row>
    <row r="1412" spans="44:49">
      <c r="AR1412" s="69">
        <f t="shared" si="479"/>
        <v>118</v>
      </c>
      <c r="AS1412" s="70">
        <f t="shared" si="481"/>
        <v>1409</v>
      </c>
      <c r="AT1412" s="71">
        <f t="shared" si="482"/>
        <v>6.478630365824876E-5</v>
      </c>
      <c r="AU1412" s="72">
        <f t="shared" ref="AU1412:AU1475" si="483">((1+$AH$21)^(1/12))-1</f>
        <v>6.8214933659622723E-3</v>
      </c>
      <c r="AV1412" s="73">
        <f t="shared" si="480"/>
        <v>1.0068214933659623</v>
      </c>
      <c r="AW1412" s="74">
        <f>PRODUCT(AV$4:AV1412)</f>
        <v>14455.787600829261</v>
      </c>
    </row>
    <row r="1413" spans="44:49">
      <c r="AR1413" s="69">
        <f t="shared" ref="AR1413:AR1476" si="484">ROUNDDOWN((AS1413-1)/12,0)+1</f>
        <v>118</v>
      </c>
      <c r="AS1413" s="70">
        <f t="shared" si="481"/>
        <v>1410</v>
      </c>
      <c r="AT1413" s="71">
        <f t="shared" si="482"/>
        <v>6.4344364317638793E-5</v>
      </c>
      <c r="AU1413" s="72">
        <f t="shared" si="483"/>
        <v>6.8214933659622723E-3</v>
      </c>
      <c r="AV1413" s="73">
        <f t="shared" ref="AV1413:AV1476" si="485">(1+AU1413)</f>
        <v>1.0068214933659623</v>
      </c>
      <c r="AW1413" s="74">
        <f>PRODUCT(AV$4:AV1413)</f>
        <v>14554.397660048076</v>
      </c>
    </row>
    <row r="1414" spans="44:49">
      <c r="AR1414" s="69">
        <f t="shared" si="484"/>
        <v>118</v>
      </c>
      <c r="AS1414" s="70">
        <f t="shared" ref="AS1414:AS1477" si="486">AS1413+1</f>
        <v>1411</v>
      </c>
      <c r="AT1414" s="71">
        <f t="shared" si="482"/>
        <v>6.3905439663308966E-5</v>
      </c>
      <c r="AU1414" s="72">
        <f t="shared" si="483"/>
        <v>6.8214933659622723E-3</v>
      </c>
      <c r="AV1414" s="73">
        <f t="shared" si="485"/>
        <v>1.0068214933659623</v>
      </c>
      <c r="AW1414" s="74">
        <f>PRODUCT(AV$4:AV1414)</f>
        <v>14653.680387131672</v>
      </c>
    </row>
    <row r="1415" spans="44:49">
      <c r="AR1415" s="69">
        <f t="shared" si="484"/>
        <v>118</v>
      </c>
      <c r="AS1415" s="70">
        <f t="shared" si="486"/>
        <v>1412</v>
      </c>
      <c r="AT1415" s="71">
        <f t="shared" si="482"/>
        <v>6.3469509130596797E-5</v>
      </c>
      <c r="AU1415" s="72">
        <f t="shared" si="483"/>
        <v>6.8214933659622723E-3</v>
      </c>
      <c r="AV1415" s="73">
        <f t="shared" si="485"/>
        <v>1.0068214933659623</v>
      </c>
      <c r="AW1415" s="74">
        <f>PRODUCT(AV$4:AV1415)</f>
        <v>14753.640370679421</v>
      </c>
    </row>
    <row r="1416" spans="44:49">
      <c r="AR1416" s="69">
        <f t="shared" si="484"/>
        <v>118</v>
      </c>
      <c r="AS1416" s="70">
        <f t="shared" si="486"/>
        <v>1413</v>
      </c>
      <c r="AT1416" s="71">
        <f t="shared" si="482"/>
        <v>6.3036552295121553E-5</v>
      </c>
      <c r="AU1416" s="72">
        <f t="shared" si="483"/>
        <v>6.8214933659622723E-3</v>
      </c>
      <c r="AV1416" s="73">
        <f t="shared" si="485"/>
        <v>1.0068214933659623</v>
      </c>
      <c r="AW1416" s="74">
        <f>PRODUCT(AV$4:AV1416)</f>
        <v>14854.282230591803</v>
      </c>
    </row>
    <row r="1417" spans="44:49">
      <c r="AR1417" s="69">
        <f t="shared" si="484"/>
        <v>118</v>
      </c>
      <c r="AS1417" s="70">
        <f t="shared" si="486"/>
        <v>1414</v>
      </c>
      <c r="AT1417" s="71">
        <f t="shared" si="482"/>
        <v>6.2606548871827251E-5</v>
      </c>
      <c r="AU1417" s="72">
        <f t="shared" si="483"/>
        <v>6.8214933659622723E-3</v>
      </c>
      <c r="AV1417" s="73">
        <f t="shared" si="485"/>
        <v>1.0068214933659623</v>
      </c>
      <c r="AW1417" s="74">
        <f>PRODUCT(AV$4:AV1417)</f>
        <v>14955.610618283918</v>
      </c>
    </row>
    <row r="1418" spans="44:49">
      <c r="AR1418" s="69">
        <f t="shared" si="484"/>
        <v>118</v>
      </c>
      <c r="AS1418" s="70">
        <f t="shared" si="486"/>
        <v>1415</v>
      </c>
      <c r="AT1418" s="71">
        <f t="shared" si="482"/>
        <v>6.2179478714032284E-5</v>
      </c>
      <c r="AU1418" s="72">
        <f t="shared" si="483"/>
        <v>6.8214933659622723E-3</v>
      </c>
      <c r="AV1418" s="73">
        <f t="shared" si="485"/>
        <v>1.0068214933659623</v>
      </c>
      <c r="AW1418" s="74">
        <f>PRODUCT(AV$4:AV1418)</f>
        <v>15057.630216900456</v>
      </c>
    </row>
    <row r="1419" spans="44:49">
      <c r="AR1419" s="69">
        <f t="shared" si="484"/>
        <v>118</v>
      </c>
      <c r="AS1419" s="70">
        <f t="shared" si="486"/>
        <v>1416</v>
      </c>
      <c r="AT1419" s="71">
        <f t="shared" si="482"/>
        <v>6.1755321812485522E-5</v>
      </c>
      <c r="AU1419" s="72">
        <f t="shared" si="483"/>
        <v>6.8214933659622723E-3</v>
      </c>
      <c r="AV1419" s="73">
        <f t="shared" si="485"/>
        <v>1.0068214933659623</v>
      </c>
      <c r="AW1419" s="74">
        <f>PRODUCT(AV$4:AV1419)</f>
        <v>15160.345741532155</v>
      </c>
    </row>
    <row r="1420" spans="44:49">
      <c r="AR1420" s="69">
        <f t="shared" si="484"/>
        <v>119</v>
      </c>
      <c r="AS1420" s="70">
        <f t="shared" si="486"/>
        <v>1417</v>
      </c>
      <c r="AT1420" s="71">
        <f t="shared" si="482"/>
        <v>6.1334058294428793E-5</v>
      </c>
      <c r="AU1420" s="72">
        <f t="shared" si="483"/>
        <v>6.8214933659622723E-3</v>
      </c>
      <c r="AV1420" s="73">
        <f t="shared" si="485"/>
        <v>1.0068214933659623</v>
      </c>
      <c r="AW1420" s="74">
        <f>PRODUCT(AV$4:AV1420)</f>
        <v>15263.761939433711</v>
      </c>
    </row>
    <row r="1421" spans="44:49">
      <c r="AR1421" s="69">
        <f t="shared" si="484"/>
        <v>119</v>
      </c>
      <c r="AS1421" s="70">
        <f t="shared" si="486"/>
        <v>1418</v>
      </c>
      <c r="AT1421" s="71">
        <f t="shared" si="482"/>
        <v>6.0915668422665805E-5</v>
      </c>
      <c r="AU1421" s="72">
        <f t="shared" si="483"/>
        <v>6.8214933659622723E-3</v>
      </c>
      <c r="AV1421" s="73">
        <f t="shared" si="485"/>
        <v>1.0068214933659623</v>
      </c>
      <c r="AW1421" s="74">
        <f>PRODUCT(AV$4:AV1421)</f>
        <v>15367.883590243186</v>
      </c>
    </row>
    <row r="1422" spans="44:49">
      <c r="AR1422" s="69">
        <f t="shared" si="484"/>
        <v>119</v>
      </c>
      <c r="AS1422" s="70">
        <f t="shared" si="486"/>
        <v>1419</v>
      </c>
      <c r="AT1422" s="71">
        <f t="shared" si="482"/>
        <v>6.0500132594637432E-5</v>
      </c>
      <c r="AU1422" s="72">
        <f t="shared" si="483"/>
        <v>6.8214933659622723E-3</v>
      </c>
      <c r="AV1422" s="73">
        <f t="shared" si="485"/>
        <v>1.0068214933659623</v>
      </c>
      <c r="AW1422" s="74">
        <f>PRODUCT(AV$4:AV1422)</f>
        <v>15472.715506202911</v>
      </c>
    </row>
    <row r="1423" spans="44:49">
      <c r="AR1423" s="69">
        <f t="shared" si="484"/>
        <v>119</v>
      </c>
      <c r="AS1423" s="70">
        <f t="shared" si="486"/>
        <v>1420</v>
      </c>
      <c r="AT1423" s="71">
        <f t="shared" si="482"/>
        <v>6.0087431341503276E-5</v>
      </c>
      <c r="AU1423" s="72">
        <f t="shared" si="483"/>
        <v>6.8214933659622723E-3</v>
      </c>
      <c r="AV1423" s="73">
        <f t="shared" si="485"/>
        <v>1.0068214933659623</v>
      </c>
      <c r="AW1423" s="74">
        <f>PRODUCT(AV$4:AV1423)</f>
        <v>15578.262532381896</v>
      </c>
    </row>
    <row r="1424" spans="44:49">
      <c r="AR1424" s="69">
        <f t="shared" si="484"/>
        <v>119</v>
      </c>
      <c r="AS1424" s="70">
        <f t="shared" si="486"/>
        <v>1421</v>
      </c>
      <c r="AT1424" s="71">
        <f t="shared" si="482"/>
        <v>5.9677545327229497E-5</v>
      </c>
      <c r="AU1424" s="72">
        <f t="shared" si="483"/>
        <v>6.8214933659622723E-3</v>
      </c>
      <c r="AV1424" s="73">
        <f t="shared" si="485"/>
        <v>1.0068214933659623</v>
      </c>
      <c r="AW1424" s="74">
        <f>PRODUCT(AV$4:AV1424)</f>
        <v>15684.529546899757</v>
      </c>
    </row>
    <row r="1425" spans="44:49">
      <c r="AR1425" s="69">
        <f t="shared" si="484"/>
        <v>119</v>
      </c>
      <c r="AS1425" s="70">
        <f t="shared" si="486"/>
        <v>1422</v>
      </c>
      <c r="AT1425" s="71">
        <f t="shared" si="482"/>
        <v>5.9270455347682886E-5</v>
      </c>
      <c r="AU1425" s="72">
        <f t="shared" si="483"/>
        <v>6.8214933659622723E-3</v>
      </c>
      <c r="AV1425" s="73">
        <f t="shared" si="485"/>
        <v>1.0068214933659623</v>
      </c>
      <c r="AW1425" s="74">
        <f>PRODUCT(AV$4:AV1425)</f>
        <v>15791.521461152173</v>
      </c>
    </row>
    <row r="1426" spans="44:49">
      <c r="AR1426" s="69">
        <f t="shared" si="484"/>
        <v>119</v>
      </c>
      <c r="AS1426" s="70">
        <f t="shared" si="486"/>
        <v>1423</v>
      </c>
      <c r="AT1426" s="71">
        <f t="shared" si="482"/>
        <v>5.8866142329731106E-5</v>
      </c>
      <c r="AU1426" s="72">
        <f t="shared" si="483"/>
        <v>6.8214933659622723E-3</v>
      </c>
      <c r="AV1426" s="73">
        <f t="shared" si="485"/>
        <v>1.0068214933659623</v>
      </c>
      <c r="AW1426" s="74">
        <f>PRODUCT(AV$4:AV1426)</f>
        <v>15899.243220037873</v>
      </c>
    </row>
    <row r="1427" spans="44:49">
      <c r="AR1427" s="69">
        <f t="shared" si="484"/>
        <v>119</v>
      </c>
      <c r="AS1427" s="70">
        <f t="shared" si="486"/>
        <v>1424</v>
      </c>
      <c r="AT1427" s="71">
        <f t="shared" si="482"/>
        <v>5.8464587330349057E-5</v>
      </c>
      <c r="AU1427" s="72">
        <f t="shared" si="483"/>
        <v>6.8214933659622723E-3</v>
      </c>
      <c r="AV1427" s="73">
        <f t="shared" si="485"/>
        <v>1.0068214933659623</v>
      </c>
      <c r="AW1427" s="74">
        <f>PRODUCT(AV$4:AV1427)</f>
        <v>16007.699802187182</v>
      </c>
    </row>
    <row r="1428" spans="44:49">
      <c r="AR1428" s="69">
        <f t="shared" si="484"/>
        <v>119</v>
      </c>
      <c r="AS1428" s="70">
        <f t="shared" si="486"/>
        <v>1425</v>
      </c>
      <c r="AT1428" s="71">
        <f t="shared" si="482"/>
        <v>5.8065771535731361E-5</v>
      </c>
      <c r="AU1428" s="72">
        <f t="shared" si="483"/>
        <v>6.8214933659622723E-3</v>
      </c>
      <c r="AV1428" s="73">
        <f t="shared" si="485"/>
        <v>1.0068214933659623</v>
      </c>
      <c r="AW1428" s="74">
        <f>PRODUCT(AV$4:AV1428)</f>
        <v>16116.896220192119</v>
      </c>
    </row>
    <row r="1429" spans="44:49">
      <c r="AR1429" s="69">
        <f t="shared" si="484"/>
        <v>119</v>
      </c>
      <c r="AS1429" s="70">
        <f t="shared" si="486"/>
        <v>1426</v>
      </c>
      <c r="AT1429" s="71">
        <f t="shared" si="482"/>
        <v>5.766967626041089E-5</v>
      </c>
      <c r="AU1429" s="72">
        <f t="shared" si="483"/>
        <v>6.8214933659622723E-3</v>
      </c>
      <c r="AV1429" s="73">
        <f t="shared" si="485"/>
        <v>1.0068214933659623</v>
      </c>
      <c r="AW1429" s="74">
        <f>PRODUCT(AV$4:AV1429)</f>
        <v>16226.837520838062</v>
      </c>
    </row>
    <row r="1430" spans="44:49">
      <c r="AR1430" s="69">
        <f t="shared" si="484"/>
        <v>119</v>
      </c>
      <c r="AS1430" s="70">
        <f t="shared" si="486"/>
        <v>1427</v>
      </c>
      <c r="AT1430" s="71">
        <f t="shared" si="482"/>
        <v>5.7276282946383308E-5</v>
      </c>
      <c r="AU1430" s="72">
        <f t="shared" si="483"/>
        <v>6.8214933659622723E-3</v>
      </c>
      <c r="AV1430" s="73">
        <f t="shared" si="485"/>
        <v>1.0068214933659623</v>
      </c>
      <c r="AW1430" s="74">
        <f>PRODUCT(AV$4:AV1430)</f>
        <v>16337.528785337006</v>
      </c>
    </row>
    <row r="1431" spans="44:49">
      <c r="AR1431" s="69">
        <f t="shared" si="484"/>
        <v>119</v>
      </c>
      <c r="AS1431" s="70">
        <f t="shared" si="486"/>
        <v>1428</v>
      </c>
      <c r="AT1431" s="71">
        <f t="shared" ref="AT1431:AT1494" si="487">(1-AU1431)*AT1430</f>
        <v>5.6885573162237576E-5</v>
      </c>
      <c r="AU1431" s="72">
        <f t="shared" si="483"/>
        <v>6.8214933659622723E-3</v>
      </c>
      <c r="AV1431" s="73">
        <f t="shared" si="485"/>
        <v>1.0068214933659623</v>
      </c>
      <c r="AW1431" s="74">
        <f>PRODUCT(AV$4:AV1431)</f>
        <v>16448.975129562401</v>
      </c>
    </row>
    <row r="1432" spans="44:49">
      <c r="AR1432" s="69">
        <f t="shared" si="484"/>
        <v>120</v>
      </c>
      <c r="AS1432" s="70">
        <f t="shared" si="486"/>
        <v>1429</v>
      </c>
      <c r="AT1432" s="71">
        <f t="shared" si="487"/>
        <v>5.6497528602292409E-5</v>
      </c>
      <c r="AU1432" s="72">
        <f t="shared" si="483"/>
        <v>6.8214933659622723E-3</v>
      </c>
      <c r="AV1432" s="73">
        <f t="shared" si="485"/>
        <v>1.0068214933659623</v>
      </c>
      <c r="AW1432" s="74">
        <f>PRODUCT(AV$4:AV1432)</f>
        <v>16561.181704285591</v>
      </c>
    </row>
    <row r="1433" spans="44:49">
      <c r="AR1433" s="69">
        <f t="shared" si="484"/>
        <v>120</v>
      </c>
      <c r="AS1433" s="70">
        <f t="shared" si="486"/>
        <v>1430</v>
      </c>
      <c r="AT1433" s="71">
        <f t="shared" si="487"/>
        <v>5.6112131085738605E-5</v>
      </c>
      <c r="AU1433" s="72">
        <f t="shared" si="483"/>
        <v>6.8214933659622723E-3</v>
      </c>
      <c r="AV1433" s="73">
        <f t="shared" si="485"/>
        <v>1.0068214933659623</v>
      </c>
      <c r="AW1433" s="74">
        <f>PRODUCT(AV$4:AV1433)</f>
        <v>16674.153695413872</v>
      </c>
    </row>
    <row r="1434" spans="44:49">
      <c r="AR1434" s="69">
        <f t="shared" si="484"/>
        <v>120</v>
      </c>
      <c r="AS1434" s="70">
        <f t="shared" si="486"/>
        <v>1431</v>
      </c>
      <c r="AT1434" s="71">
        <f t="shared" si="487"/>
        <v>5.5729362555787233E-5</v>
      </c>
      <c r="AU1434" s="72">
        <f t="shared" si="483"/>
        <v>6.8214933659622723E-3</v>
      </c>
      <c r="AV1434" s="73">
        <f t="shared" si="485"/>
        <v>1.0068214933659623</v>
      </c>
      <c r="AW1434" s="74">
        <f>PRODUCT(AV$4:AV1434)</f>
        <v>16787.896324230172</v>
      </c>
    </row>
    <row r="1435" spans="44:49">
      <c r="AR1435" s="69">
        <f t="shared" si="484"/>
        <v>120</v>
      </c>
      <c r="AS1435" s="70">
        <f t="shared" si="486"/>
        <v>1432</v>
      </c>
      <c r="AT1435" s="71">
        <f t="shared" si="487"/>
        <v>5.5349205078823621E-5</v>
      </c>
      <c r="AU1435" s="72">
        <f t="shared" si="483"/>
        <v>6.8214933659622723E-3</v>
      </c>
      <c r="AV1435" s="73">
        <f t="shared" si="485"/>
        <v>1.0068214933659623</v>
      </c>
      <c r="AW1435" s="74">
        <f>PRODUCT(AV$4:AV1435)</f>
        <v>16902.414847634373</v>
      </c>
    </row>
    <row r="1436" spans="44:49">
      <c r="AR1436" s="69">
        <f t="shared" si="484"/>
        <v>120</v>
      </c>
      <c r="AS1436" s="70">
        <f t="shared" si="486"/>
        <v>1433</v>
      </c>
      <c r="AT1436" s="71">
        <f t="shared" si="487"/>
        <v>5.4971640843567143E-5</v>
      </c>
      <c r="AU1436" s="72">
        <f t="shared" si="483"/>
        <v>6.8214933659622723E-3</v>
      </c>
      <c r="AV1436" s="73">
        <f t="shared" si="485"/>
        <v>1.0068214933659623</v>
      </c>
      <c r="AW1436" s="74">
        <f>PRODUCT(AV$4:AV1436)</f>
        <v>17017.714558386251</v>
      </c>
    </row>
    <row r="1437" spans="44:49">
      <c r="AR1437" s="69">
        <f t="shared" si="484"/>
        <v>120</v>
      </c>
      <c r="AS1437" s="70">
        <f t="shared" si="486"/>
        <v>1434</v>
      </c>
      <c r="AT1437" s="71">
        <f t="shared" si="487"/>
        <v>5.4596652160236686E-5</v>
      </c>
      <c r="AU1437" s="72">
        <f t="shared" si="483"/>
        <v>6.8214933659622723E-3</v>
      </c>
      <c r="AV1437" s="73">
        <f t="shared" si="485"/>
        <v>1.0068214933659623</v>
      </c>
      <c r="AW1437" s="74">
        <f>PRODUCT(AV$4:AV1437)</f>
        <v>17133.800785350122</v>
      </c>
    </row>
    <row r="1438" spans="44:49">
      <c r="AR1438" s="69">
        <f t="shared" si="484"/>
        <v>120</v>
      </c>
      <c r="AS1438" s="70">
        <f t="shared" si="486"/>
        <v>1435</v>
      </c>
      <c r="AT1438" s="71">
        <f t="shared" si="487"/>
        <v>5.422422145972188E-5</v>
      </c>
      <c r="AU1438" s="72">
        <f t="shared" si="483"/>
        <v>6.8214933659622723E-3</v>
      </c>
      <c r="AV1438" s="73">
        <f t="shared" si="485"/>
        <v>1.0068214933659623</v>
      </c>
      <c r="AW1438" s="74">
        <f>PRODUCT(AV$4:AV1438)</f>
        <v>17250.678893741107</v>
      </c>
    </row>
    <row r="1439" spans="44:49">
      <c r="AR1439" s="69">
        <f t="shared" si="484"/>
        <v>120</v>
      </c>
      <c r="AS1439" s="70">
        <f t="shared" si="486"/>
        <v>1436</v>
      </c>
      <c r="AT1439" s="71">
        <f t="shared" si="487"/>
        <v>5.3854331292759918E-5</v>
      </c>
      <c r="AU1439" s="72">
        <f t="shared" si="483"/>
        <v>6.8214933659622723E-3</v>
      </c>
      <c r="AV1439" s="73">
        <f t="shared" si="485"/>
        <v>1.0068214933659623</v>
      </c>
      <c r="AW1439" s="74">
        <f>PRODUCT(AV$4:AV1439)</f>
        <v>17368.354285373109</v>
      </c>
    </row>
    <row r="1440" spans="44:49">
      <c r="AR1440" s="69">
        <f t="shared" si="484"/>
        <v>120</v>
      </c>
      <c r="AS1440" s="70">
        <f t="shared" si="486"/>
        <v>1437</v>
      </c>
      <c r="AT1440" s="71">
        <f t="shared" si="487"/>
        <v>5.3486964329118019E-5</v>
      </c>
      <c r="AU1440" s="72">
        <f t="shared" si="483"/>
        <v>6.8214933659622723E-3</v>
      </c>
      <c r="AV1440" s="73">
        <f t="shared" si="485"/>
        <v>1.0068214933659623</v>
      </c>
      <c r="AW1440" s="74">
        <f>PRODUCT(AV$4:AV1440)</f>
        <v>17486.832398908464</v>
      </c>
    </row>
    <row r="1441" spans="44:49">
      <c r="AR1441" s="69">
        <f t="shared" si="484"/>
        <v>120</v>
      </c>
      <c r="AS1441" s="70">
        <f t="shared" si="486"/>
        <v>1438</v>
      </c>
      <c r="AT1441" s="71">
        <f t="shared" si="487"/>
        <v>5.3122103356781478E-5</v>
      </c>
      <c r="AU1441" s="72">
        <f t="shared" si="483"/>
        <v>6.8214933659622723E-3</v>
      </c>
      <c r="AV1441" s="73">
        <f t="shared" si="485"/>
        <v>1.0068214933659623</v>
      </c>
      <c r="AW1441" s="74">
        <f>PRODUCT(AV$4:AV1441)</f>
        <v>17606.118710109313</v>
      </c>
    </row>
    <row r="1442" spans="44:49">
      <c r="AR1442" s="69">
        <f t="shared" si="484"/>
        <v>120</v>
      </c>
      <c r="AS1442" s="70">
        <f t="shared" si="486"/>
        <v>1439</v>
      </c>
      <c r="AT1442" s="71">
        <f t="shared" si="487"/>
        <v>5.2759731281147231E-5</v>
      </c>
      <c r="AU1442" s="72">
        <f t="shared" si="483"/>
        <v>6.8214933659622723E-3</v>
      </c>
      <c r="AV1442" s="73">
        <f t="shared" si="485"/>
        <v>1.0068214933659623</v>
      </c>
      <c r="AW1442" s="74">
        <f>PRODUCT(AV$4:AV1442)</f>
        <v>17726.218732090667</v>
      </c>
    </row>
    <row r="1443" spans="44:49">
      <c r="AR1443" s="69">
        <f t="shared" si="484"/>
        <v>120</v>
      </c>
      <c r="AS1443" s="70">
        <f t="shared" si="486"/>
        <v>1440</v>
      </c>
      <c r="AT1443" s="71">
        <f t="shared" si="487"/>
        <v>5.2399831124222936E-5</v>
      </c>
      <c r="AU1443" s="72">
        <f t="shared" si="483"/>
        <v>6.8214933659622723E-3</v>
      </c>
      <c r="AV1443" s="73">
        <f t="shared" si="485"/>
        <v>1.0068214933659623</v>
      </c>
      <c r="AW1443" s="74">
        <f>PRODUCT(AV$4:AV1443)</f>
        <v>17847.138015575219</v>
      </c>
    </row>
    <row r="1444" spans="44:49">
      <c r="AR1444" s="69">
        <f t="shared" si="484"/>
        <v>121</v>
      </c>
      <c r="AS1444" s="70">
        <f t="shared" si="486"/>
        <v>1441</v>
      </c>
      <c r="AT1444" s="71">
        <f t="shared" si="487"/>
        <v>5.2042386023831506E-5</v>
      </c>
      <c r="AU1444" s="72">
        <f t="shared" si="483"/>
        <v>6.8214933659622723E-3</v>
      </c>
      <c r="AV1444" s="73">
        <f t="shared" si="485"/>
        <v>1.0068214933659623</v>
      </c>
      <c r="AW1444" s="74">
        <f>PRODUCT(AV$4:AV1444)</f>
        <v>17968.882149149878</v>
      </c>
    </row>
    <row r="1445" spans="44:49">
      <c r="AR1445" s="69">
        <f t="shared" si="484"/>
        <v>121</v>
      </c>
      <c r="AS1445" s="70">
        <f t="shared" si="486"/>
        <v>1442</v>
      </c>
      <c r="AT1445" s="71">
        <f t="shared" si="487"/>
        <v>5.1687379232821092E-5</v>
      </c>
      <c r="AU1445" s="72">
        <f t="shared" si="483"/>
        <v>6.8214933659622723E-3</v>
      </c>
      <c r="AV1445" s="73">
        <f t="shared" si="485"/>
        <v>1.0068214933659623</v>
      </c>
      <c r="AW1445" s="74">
        <f>PRODUCT(AV$4:AV1445)</f>
        <v>18091.456759524062</v>
      </c>
    </row>
    <row r="1446" spans="44:49">
      <c r="AR1446" s="69">
        <f t="shared" si="484"/>
        <v>121</v>
      </c>
      <c r="AS1446" s="70">
        <f t="shared" si="486"/>
        <v>1443</v>
      </c>
      <c r="AT1446" s="71">
        <f t="shared" si="487"/>
        <v>5.1334794118280425E-5</v>
      </c>
      <c r="AU1446" s="72">
        <f t="shared" si="483"/>
        <v>6.8214933659622723E-3</v>
      </c>
      <c r="AV1446" s="73">
        <f t="shared" si="485"/>
        <v>1.0068214933659623</v>
      </c>
      <c r="AW1446" s="74">
        <f>PRODUCT(AV$4:AV1446)</f>
        <v>18214.867511789747</v>
      </c>
    </row>
    <row r="1447" spans="44:49">
      <c r="AR1447" s="69">
        <f t="shared" si="484"/>
        <v>121</v>
      </c>
      <c r="AS1447" s="70">
        <f t="shared" si="486"/>
        <v>1444</v>
      </c>
      <c r="AT1447" s="71">
        <f t="shared" si="487"/>
        <v>5.0984614160759533E-5</v>
      </c>
      <c r="AU1447" s="72">
        <f t="shared" si="483"/>
        <v>6.8214933659622723E-3</v>
      </c>
      <c r="AV1447" s="73">
        <f t="shared" si="485"/>
        <v>1.0068214933659623</v>
      </c>
      <c r="AW1447" s="74">
        <f>PRODUCT(AV$4:AV1447)</f>
        <v>18339.120109683303</v>
      </c>
    </row>
    <row r="1448" spans="44:49">
      <c r="AR1448" s="69">
        <f t="shared" si="484"/>
        <v>121</v>
      </c>
      <c r="AS1448" s="70">
        <f t="shared" si="486"/>
        <v>1445</v>
      </c>
      <c r="AT1448" s="71">
        <f t="shared" si="487"/>
        <v>5.0636822953495762E-5</v>
      </c>
      <c r="AU1448" s="72">
        <f t="shared" si="483"/>
        <v>6.8214933659622723E-3</v>
      </c>
      <c r="AV1448" s="73">
        <f t="shared" si="485"/>
        <v>1.0068214933659623</v>
      </c>
      <c r="AW1448" s="74">
        <f>PRODUCT(AV$4:AV1448)</f>
        <v>18464.220295849093</v>
      </c>
    </row>
    <row r="1449" spans="44:49">
      <c r="AR1449" s="69">
        <f t="shared" si="484"/>
        <v>121</v>
      </c>
      <c r="AS1449" s="70">
        <f t="shared" si="486"/>
        <v>1446</v>
      </c>
      <c r="AT1449" s="71">
        <f t="shared" si="487"/>
        <v>5.0291404201645086E-5</v>
      </c>
      <c r="AU1449" s="72">
        <f t="shared" si="483"/>
        <v>6.8214933659622723E-3</v>
      </c>
      <c r="AV1449" s="73">
        <f t="shared" si="485"/>
        <v>1.0068214933659623</v>
      </c>
      <c r="AW1449" s="74">
        <f>PRODUCT(AV$4:AV1449)</f>
        <v>18590.173852104894</v>
      </c>
    </row>
    <row r="1450" spans="44:49">
      <c r="AR1450" s="69">
        <f t="shared" si="484"/>
        <v>121</v>
      </c>
      <c r="AS1450" s="70">
        <f t="shared" si="486"/>
        <v>1447</v>
      </c>
      <c r="AT1450" s="71">
        <f t="shared" si="487"/>
        <v>4.9948341721518639E-5</v>
      </c>
      <c r="AU1450" s="72">
        <f t="shared" si="483"/>
        <v>6.8214933659622723E-3</v>
      </c>
      <c r="AV1450" s="73">
        <f t="shared" si="485"/>
        <v>1.0068214933659623</v>
      </c>
      <c r="AW1450" s="74">
        <f>PRODUCT(AV$4:AV1450)</f>
        <v>18716.986599709111</v>
      </c>
    </row>
    <row r="1451" spans="44:49">
      <c r="AR1451" s="69">
        <f t="shared" si="484"/>
        <v>121</v>
      </c>
      <c r="AS1451" s="70">
        <f t="shared" si="486"/>
        <v>1448</v>
      </c>
      <c r="AT1451" s="71">
        <f t="shared" si="487"/>
        <v>4.9607619439824481E-5</v>
      </c>
      <c r="AU1451" s="72">
        <f t="shared" si="483"/>
        <v>6.8214933659622723E-3</v>
      </c>
      <c r="AV1451" s="73">
        <f t="shared" si="485"/>
        <v>1.0068214933659623</v>
      </c>
      <c r="AW1451" s="74">
        <f>PRODUCT(AV$4:AV1451)</f>
        <v>18844.66439962983</v>
      </c>
    </row>
    <row r="1452" spans="44:49">
      <c r="AR1452" s="69">
        <f t="shared" si="484"/>
        <v>121</v>
      </c>
      <c r="AS1452" s="70">
        <f t="shared" si="486"/>
        <v>1449</v>
      </c>
      <c r="AT1452" s="71">
        <f t="shared" si="487"/>
        <v>4.9269221392914539E-5</v>
      </c>
      <c r="AU1452" s="72">
        <f t="shared" si="483"/>
        <v>6.8214933659622723E-3</v>
      </c>
      <c r="AV1452" s="73">
        <f t="shared" si="485"/>
        <v>1.0068214933659623</v>
      </c>
      <c r="AW1452" s="74">
        <f>PRODUCT(AV$4:AV1452)</f>
        <v>18973.21315281569</v>
      </c>
    </row>
    <row r="1453" spans="44:49">
      <c r="AR1453" s="69">
        <f t="shared" si="484"/>
        <v>121</v>
      </c>
      <c r="AS1453" s="70">
        <f t="shared" si="486"/>
        <v>1450</v>
      </c>
      <c r="AT1453" s="71">
        <f t="shared" si="487"/>
        <v>4.8933131726036648E-5</v>
      </c>
      <c r="AU1453" s="72">
        <f t="shared" si="483"/>
        <v>6.8214933659622723E-3</v>
      </c>
      <c r="AV1453" s="73">
        <f t="shared" si="485"/>
        <v>1.0068214933659623</v>
      </c>
      <c r="AW1453" s="74">
        <f>PRODUCT(AV$4:AV1453)</f>
        <v>19102.638800468609</v>
      </c>
    </row>
    <row r="1454" spans="44:49">
      <c r="AR1454" s="69">
        <f t="shared" si="484"/>
        <v>121</v>
      </c>
      <c r="AS1454" s="70">
        <f t="shared" si="486"/>
        <v>1451</v>
      </c>
      <c r="AT1454" s="71">
        <f t="shared" si="487"/>
        <v>4.859933469259173E-5</v>
      </c>
      <c r="AU1454" s="72">
        <f t="shared" si="483"/>
        <v>6.8214933659622723E-3</v>
      </c>
      <c r="AV1454" s="73">
        <f t="shared" si="485"/>
        <v>1.0068214933659623</v>
      </c>
      <c r="AW1454" s="74">
        <f>PRODUCT(AV$4:AV1454)</f>
        <v>19232.947324318378</v>
      </c>
    </row>
    <row r="1455" spans="44:49">
      <c r="AR1455" s="69">
        <f t="shared" si="484"/>
        <v>121</v>
      </c>
      <c r="AS1455" s="70">
        <f t="shared" si="486"/>
        <v>1452</v>
      </c>
      <c r="AT1455" s="71">
        <f t="shared" si="487"/>
        <v>4.8267814653396036E-5</v>
      </c>
      <c r="AU1455" s="72">
        <f t="shared" si="483"/>
        <v>6.8214933659622723E-3</v>
      </c>
      <c r="AV1455" s="73">
        <f t="shared" si="485"/>
        <v>1.0068214933659623</v>
      </c>
      <c r="AW1455" s="74">
        <f>PRODUCT(AV$4:AV1455)</f>
        <v>19364.144746899117</v>
      </c>
    </row>
    <row r="1456" spans="44:49">
      <c r="AR1456" s="69">
        <f t="shared" si="484"/>
        <v>122</v>
      </c>
      <c r="AS1456" s="70">
        <f t="shared" si="486"/>
        <v>1453</v>
      </c>
      <c r="AT1456" s="71">
        <f t="shared" si="487"/>
        <v>4.7938556075948398E-5</v>
      </c>
      <c r="AU1456" s="72">
        <f t="shared" si="483"/>
        <v>6.8214933659622723E-3</v>
      </c>
      <c r="AV1456" s="73">
        <f t="shared" si="485"/>
        <v>1.0068214933659623</v>
      </c>
      <c r="AW1456" s="74">
        <f>PRODUCT(AV$4:AV1456)</f>
        <v>19496.237131827624</v>
      </c>
    </row>
    <row r="1457" spans="44:49">
      <c r="AR1457" s="69">
        <f t="shared" si="484"/>
        <v>122</v>
      </c>
      <c r="AS1457" s="70">
        <f t="shared" si="486"/>
        <v>1454</v>
      </c>
      <c r="AT1457" s="71">
        <f t="shared" si="487"/>
        <v>4.7611543533702505E-5</v>
      </c>
      <c r="AU1457" s="72">
        <f t="shared" si="483"/>
        <v>6.8214933659622723E-3</v>
      </c>
      <c r="AV1457" s="73">
        <f t="shared" si="485"/>
        <v>1.0068214933659623</v>
      </c>
      <c r="AW1457" s="74">
        <f>PRODUCT(AV$4:AV1457)</f>
        <v>19629.230584083612</v>
      </c>
    </row>
    <row r="1458" spans="44:49">
      <c r="AR1458" s="69">
        <f t="shared" si="484"/>
        <v>122</v>
      </c>
      <c r="AS1458" s="70">
        <f t="shared" si="486"/>
        <v>1455</v>
      </c>
      <c r="AT1458" s="71">
        <f t="shared" si="487"/>
        <v>4.7286761705344131E-5</v>
      </c>
      <c r="AU1458" s="72">
        <f t="shared" si="483"/>
        <v>6.8214933659622723E-3</v>
      </c>
      <c r="AV1458" s="73">
        <f t="shared" si="485"/>
        <v>1.0068214933659623</v>
      </c>
      <c r="AW1458" s="74">
        <f>PRODUCT(AV$4:AV1458)</f>
        <v>19763.131250291881</v>
      </c>
    </row>
    <row r="1459" spans="44:49">
      <c r="AR1459" s="69">
        <f t="shared" si="484"/>
        <v>122</v>
      </c>
      <c r="AS1459" s="70">
        <f t="shared" si="486"/>
        <v>1456</v>
      </c>
      <c r="AT1459" s="71">
        <f t="shared" si="487"/>
        <v>4.696419537407329E-5</v>
      </c>
      <c r="AU1459" s="72">
        <f t="shared" si="483"/>
        <v>6.8214933659622723E-3</v>
      </c>
      <c r="AV1459" s="73">
        <f t="shared" si="485"/>
        <v>1.0068214933659623</v>
      </c>
      <c r="AW1459" s="74">
        <f>PRODUCT(AV$4:AV1459)</f>
        <v>19897.945319006387</v>
      </c>
    </row>
    <row r="1460" spans="44:49">
      <c r="AR1460" s="69">
        <f t="shared" si="484"/>
        <v>122</v>
      </c>
      <c r="AS1460" s="70">
        <f t="shared" si="486"/>
        <v>1457</v>
      </c>
      <c r="AT1460" s="71">
        <f t="shared" si="487"/>
        <v>4.6643829426891292E-5</v>
      </c>
      <c r="AU1460" s="72">
        <f t="shared" si="483"/>
        <v>6.8214933659622723E-3</v>
      </c>
      <c r="AV1460" s="73">
        <f t="shared" si="485"/>
        <v>1.0068214933659623</v>
      </c>
      <c r="AW1460" s="74">
        <f>PRODUCT(AV$4:AV1460)</f>
        <v>20033.679020996267</v>
      </c>
    </row>
    <row r="1461" spans="44:49">
      <c r="AR1461" s="69">
        <f t="shared" si="484"/>
        <v>122</v>
      </c>
      <c r="AS1461" s="70">
        <f t="shared" si="486"/>
        <v>1458</v>
      </c>
      <c r="AT1461" s="71">
        <f t="shared" si="487"/>
        <v>4.6325648853892674E-5</v>
      </c>
      <c r="AU1461" s="72">
        <f t="shared" si="483"/>
        <v>6.8214933659622723E-3</v>
      </c>
      <c r="AV1461" s="73">
        <f t="shared" si="485"/>
        <v>1.0068214933659623</v>
      </c>
      <c r="AW1461" s="74">
        <f>PRODUCT(AV$4:AV1461)</f>
        <v>20170.33862953381</v>
      </c>
    </row>
    <row r="1462" spans="44:49">
      <c r="AR1462" s="69">
        <f t="shared" si="484"/>
        <v>122</v>
      </c>
      <c r="AS1462" s="70">
        <f t="shared" si="486"/>
        <v>1459</v>
      </c>
      <c r="AT1462" s="71">
        <f t="shared" si="487"/>
        <v>4.600963874756195E-5</v>
      </c>
      <c r="AU1462" s="72">
        <f t="shared" si="483"/>
        <v>6.8214933659622723E-3</v>
      </c>
      <c r="AV1462" s="73">
        <f t="shared" si="485"/>
        <v>1.0068214933659623</v>
      </c>
      <c r="AW1462" s="74">
        <f>PRODUCT(AV$4:AV1462)</f>
        <v>20307.930460684387</v>
      </c>
    </row>
    <row r="1463" spans="44:49">
      <c r="AR1463" s="69">
        <f t="shared" si="484"/>
        <v>122</v>
      </c>
      <c r="AS1463" s="70">
        <f t="shared" si="486"/>
        <v>1460</v>
      </c>
      <c r="AT1463" s="71">
        <f t="shared" si="487"/>
        <v>4.5695784302075137E-5</v>
      </c>
      <c r="AU1463" s="72">
        <f t="shared" si="483"/>
        <v>6.8214933659622723E-3</v>
      </c>
      <c r="AV1463" s="73">
        <f t="shared" si="485"/>
        <v>1.0068214933659623</v>
      </c>
      <c r="AW1463" s="74">
        <f>PRODUCT(AV$4:AV1463)</f>
        <v>20446.460873598367</v>
      </c>
    </row>
    <row r="1464" spans="44:49">
      <c r="AR1464" s="69">
        <f t="shared" si="484"/>
        <v>122</v>
      </c>
      <c r="AS1464" s="70">
        <f t="shared" si="486"/>
        <v>1461</v>
      </c>
      <c r="AT1464" s="71">
        <f t="shared" si="487"/>
        <v>4.5384070812606089E-5</v>
      </c>
      <c r="AU1464" s="72">
        <f t="shared" si="483"/>
        <v>6.8214933659622723E-3</v>
      </c>
      <c r="AV1464" s="73">
        <f t="shared" si="485"/>
        <v>1.0068214933659623</v>
      </c>
      <c r="AW1464" s="74">
        <f>PRODUCT(AV$4:AV1464)</f>
        <v>20585.936270805025</v>
      </c>
    </row>
    <row r="1465" spans="44:49">
      <c r="AR1465" s="69">
        <f t="shared" si="484"/>
        <v>122</v>
      </c>
      <c r="AS1465" s="70">
        <f t="shared" si="486"/>
        <v>1462</v>
      </c>
      <c r="AT1465" s="71">
        <f t="shared" si="487"/>
        <v>4.5074483674637535E-5</v>
      </c>
      <c r="AU1465" s="72">
        <f t="shared" si="483"/>
        <v>6.8214933659622723E-3</v>
      </c>
      <c r="AV1465" s="73">
        <f t="shared" si="485"/>
        <v>1.0068214933659623</v>
      </c>
      <c r="AW1465" s="74">
        <f>PRODUCT(AV$4:AV1465)</f>
        <v>20726.363098508442</v>
      </c>
    </row>
    <row r="1466" spans="44:49">
      <c r="AR1466" s="69">
        <f t="shared" si="484"/>
        <v>122</v>
      </c>
      <c r="AS1466" s="70">
        <f t="shared" si="486"/>
        <v>1463</v>
      </c>
      <c r="AT1466" s="71">
        <f t="shared" si="487"/>
        <v>4.476700838327682E-5</v>
      </c>
      <c r="AU1466" s="72">
        <f t="shared" si="483"/>
        <v>6.8214933659622723E-3</v>
      </c>
      <c r="AV1466" s="73">
        <f t="shared" si="485"/>
        <v>1.0068214933659623</v>
      </c>
      <c r="AW1466" s="74">
        <f>PRODUCT(AV$4:AV1466)</f>
        <v>20867.747846885442</v>
      </c>
    </row>
    <row r="1467" spans="44:49">
      <c r="AR1467" s="69">
        <f t="shared" si="484"/>
        <v>122</v>
      </c>
      <c r="AS1467" s="70">
        <f t="shared" si="486"/>
        <v>1464</v>
      </c>
      <c r="AT1467" s="71">
        <f t="shared" si="487"/>
        <v>4.4461630532576319E-5</v>
      </c>
      <c r="AU1467" s="72">
        <f t="shared" si="483"/>
        <v>6.8214933659622723E-3</v>
      </c>
      <c r="AV1467" s="73">
        <f t="shared" si="485"/>
        <v>1.0068214933659623</v>
      </c>
      <c r="AW1467" s="74">
        <f>PRODUCT(AV$4:AV1467)</f>
        <v>21010.097050385546</v>
      </c>
    </row>
    <row r="1468" spans="44:49">
      <c r="AR1468" s="69">
        <f t="shared" si="484"/>
        <v>123</v>
      </c>
      <c r="AS1468" s="70">
        <f t="shared" si="486"/>
        <v>1465</v>
      </c>
      <c r="AT1468" s="71">
        <f t="shared" si="487"/>
        <v>4.4158335814858485E-5</v>
      </c>
      <c r="AU1468" s="72">
        <f t="shared" si="483"/>
        <v>6.8214933659622723E-3</v>
      </c>
      <c r="AV1468" s="73">
        <f t="shared" si="485"/>
        <v>1.0068214933659623</v>
      </c>
      <c r="AW1468" s="74">
        <f>PRODUCT(AV$4:AV1468)</f>
        <v>21153.417288032975</v>
      </c>
    </row>
    <row r="1469" spans="44:49">
      <c r="AR1469" s="69">
        <f t="shared" si="484"/>
        <v>123</v>
      </c>
      <c r="AS1469" s="70">
        <f t="shared" si="486"/>
        <v>1466</v>
      </c>
      <c r="AT1469" s="71">
        <f t="shared" si="487"/>
        <v>4.3857110020045493E-5</v>
      </c>
      <c r="AU1469" s="72">
        <f t="shared" si="483"/>
        <v>6.8214933659622723E-3</v>
      </c>
      <c r="AV1469" s="73">
        <f t="shared" si="485"/>
        <v>1.0068214933659623</v>
      </c>
      <c r="AW1469" s="74">
        <f>PRODUCT(AV$4:AV1469)</f>
        <v>21297.715183730725</v>
      </c>
    </row>
    <row r="1470" spans="44:49">
      <c r="AR1470" s="69">
        <f t="shared" si="484"/>
        <v>123</v>
      </c>
      <c r="AS1470" s="70">
        <f t="shared" si="486"/>
        <v>1467</v>
      </c>
      <c r="AT1470" s="71">
        <f t="shared" si="487"/>
        <v>4.3557939034993477E-5</v>
      </c>
      <c r="AU1470" s="72">
        <f t="shared" si="483"/>
        <v>6.8214933659622723E-3</v>
      </c>
      <c r="AV1470" s="73">
        <f t="shared" si="485"/>
        <v>1.0068214933659623</v>
      </c>
      <c r="AW1470" s="74">
        <f>PRODUCT(AV$4:AV1470)</f>
        <v>21442.997406566697</v>
      </c>
    </row>
    <row r="1471" spans="44:49">
      <c r="AR1471" s="69">
        <f t="shared" si="484"/>
        <v>123</v>
      </c>
      <c r="AS1471" s="70">
        <f t="shared" si="486"/>
        <v>1468</v>
      </c>
      <c r="AT1471" s="71">
        <f t="shared" si="487"/>
        <v>4.3260808842831277E-5</v>
      </c>
      <c r="AU1471" s="72">
        <f t="shared" si="483"/>
        <v>6.8214933659622723E-3</v>
      </c>
      <c r="AV1471" s="73">
        <f t="shared" si="485"/>
        <v>1.0068214933659623</v>
      </c>
      <c r="AW1471" s="74">
        <f>PRODUCT(AV$4:AV1471)</f>
        <v>21589.27067112194</v>
      </c>
    </row>
    <row r="1472" spans="44:49">
      <c r="AR1472" s="69">
        <f t="shared" si="484"/>
        <v>123</v>
      </c>
      <c r="AS1472" s="70">
        <f t="shared" si="486"/>
        <v>1469</v>
      </c>
      <c r="AT1472" s="71">
        <f t="shared" si="487"/>
        <v>4.2965705522303739E-5</v>
      </c>
      <c r="AU1472" s="72">
        <f t="shared" si="483"/>
        <v>6.8214933659622723E-3</v>
      </c>
      <c r="AV1472" s="73">
        <f t="shared" si="485"/>
        <v>1.0068214933659623</v>
      </c>
      <c r="AW1472" s="74">
        <f>PRODUCT(AV$4:AV1472)</f>
        <v>21736.541737780961</v>
      </c>
    </row>
    <row r="1473" spans="44:49">
      <c r="AR1473" s="69">
        <f t="shared" si="484"/>
        <v>123</v>
      </c>
      <c r="AS1473" s="70">
        <f t="shared" si="486"/>
        <v>1470</v>
      </c>
      <c r="AT1473" s="71">
        <f t="shared" si="487"/>
        <v>4.2672615247119453E-5</v>
      </c>
      <c r="AU1473" s="72">
        <f t="shared" si="483"/>
        <v>6.8214933659622723E-3</v>
      </c>
      <c r="AV1473" s="73">
        <f t="shared" si="485"/>
        <v>1.0068214933659623</v>
      </c>
      <c r="AW1473" s="74">
        <f>PRODUCT(AV$4:AV1473)</f>
        <v>21884.817413044195</v>
      </c>
    </row>
    <row r="1474" spans="44:49">
      <c r="AR1474" s="69">
        <f t="shared" si="484"/>
        <v>123</v>
      </c>
      <c r="AS1474" s="70">
        <f t="shared" si="486"/>
        <v>1471</v>
      </c>
      <c r="AT1474" s="71">
        <f t="shared" si="487"/>
        <v>4.238152428530297E-5</v>
      </c>
      <c r="AU1474" s="72">
        <f t="shared" si="483"/>
        <v>6.8214933659622723E-3</v>
      </c>
      <c r="AV1474" s="73">
        <f t="shared" si="485"/>
        <v>1.0068214933659623</v>
      </c>
      <c r="AW1474" s="74">
        <f>PRODUCT(AV$4:AV1474)</f>
        <v>22034.10454984257</v>
      </c>
    </row>
    <row r="1475" spans="44:49">
      <c r="AR1475" s="69">
        <f t="shared" si="484"/>
        <v>123</v>
      </c>
      <c r="AS1475" s="70">
        <f t="shared" si="486"/>
        <v>1472</v>
      </c>
      <c r="AT1475" s="71">
        <f t="shared" si="487"/>
        <v>4.2092418998551407E-5</v>
      </c>
      <c r="AU1475" s="72">
        <f t="shared" si="483"/>
        <v>6.8214933659622723E-3</v>
      </c>
      <c r="AV1475" s="73">
        <f t="shared" si="485"/>
        <v>1.0068214933659623</v>
      </c>
      <c r="AW1475" s="74">
        <f>PRODUCT(AV$4:AV1475)</f>
        <v>22184.410047854239</v>
      </c>
    </row>
    <row r="1476" spans="44:49">
      <c r="AR1476" s="69">
        <f t="shared" si="484"/>
        <v>123</v>
      </c>
      <c r="AS1476" s="70">
        <f t="shared" si="486"/>
        <v>1473</v>
      </c>
      <c r="AT1476" s="71">
        <f t="shared" si="487"/>
        <v>4.1805285841595487E-5</v>
      </c>
      <c r="AU1476" s="72">
        <f t="shared" ref="AU1476:AU1539" si="488">((1+$AH$21)^(1/12))-1</f>
        <v>6.8214933659622723E-3</v>
      </c>
      <c r="AV1476" s="73">
        <f t="shared" si="485"/>
        <v>1.0068214933659623</v>
      </c>
      <c r="AW1476" s="74">
        <f>PRODUCT(AV$4:AV1476)</f>
        <v>22335.740853823463</v>
      </c>
    </row>
    <row r="1477" spans="44:49">
      <c r="AR1477" s="69">
        <f t="shared" ref="AR1477:AR1540" si="489">ROUNDDOWN((AS1477-1)/12,0)+1</f>
        <v>123</v>
      </c>
      <c r="AS1477" s="70">
        <f t="shared" si="486"/>
        <v>1474</v>
      </c>
      <c r="AT1477" s="71">
        <f t="shared" si="487"/>
        <v>4.152011136156489E-5</v>
      </c>
      <c r="AU1477" s="72">
        <f t="shared" si="488"/>
        <v>6.8214933659622723E-3</v>
      </c>
      <c r="AV1477" s="73">
        <f t="shared" ref="AV1477:AV1540" si="490">(1+AU1477)</f>
        <v>1.0068214933659623</v>
      </c>
      <c r="AW1477" s="74">
        <f>PRODUCT(AV$4:AV1477)</f>
        <v>22488.103961881672</v>
      </c>
    </row>
    <row r="1478" spans="44:49">
      <c r="AR1478" s="69">
        <f t="shared" si="489"/>
        <v>123</v>
      </c>
      <c r="AS1478" s="70">
        <f t="shared" ref="AS1478:AS1541" si="491">AS1477+1</f>
        <v>1475</v>
      </c>
      <c r="AT1478" s="71">
        <f t="shared" si="487"/>
        <v>4.1236882197357961E-5</v>
      </c>
      <c r="AU1478" s="72">
        <f t="shared" si="488"/>
        <v>6.8214933659622723E-3</v>
      </c>
      <c r="AV1478" s="73">
        <f t="shared" si="490"/>
        <v>1.0068214933659623</v>
      </c>
      <c r="AW1478" s="74">
        <f>PRODUCT(AV$4:AV1478)</f>
        <v>22641.506413870717</v>
      </c>
    </row>
    <row r="1479" spans="44:49">
      <c r="AR1479" s="69">
        <f t="shared" si="489"/>
        <v>123</v>
      </c>
      <c r="AS1479" s="70">
        <f t="shared" si="491"/>
        <v>1476</v>
      </c>
      <c r="AT1479" s="71">
        <f t="shared" si="487"/>
        <v>4.0955585079015716E-5</v>
      </c>
      <c r="AU1479" s="72">
        <f t="shared" si="488"/>
        <v>6.8214933659622723E-3</v>
      </c>
      <c r="AV1479" s="73">
        <f t="shared" si="490"/>
        <v>1.0068214933659623</v>
      </c>
      <c r="AW1479" s="74">
        <f>PRODUCT(AV$4:AV1479)</f>
        <v>22795.955299668327</v>
      </c>
    </row>
    <row r="1480" spans="44:49">
      <c r="AR1480" s="69">
        <f t="shared" si="489"/>
        <v>124</v>
      </c>
      <c r="AS1480" s="70">
        <f t="shared" si="491"/>
        <v>1477</v>
      </c>
      <c r="AT1480" s="71">
        <f t="shared" si="487"/>
        <v>4.0676206827100105E-5</v>
      </c>
      <c r="AU1480" s="72">
        <f t="shared" si="488"/>
        <v>6.8214933659622723E-3</v>
      </c>
      <c r="AV1480" s="73">
        <f t="shared" si="490"/>
        <v>1.0068214933659623</v>
      </c>
      <c r="AW1480" s="74">
        <f>PRODUCT(AV$4:AV1480)</f>
        <v>22951.457757515785</v>
      </c>
    </row>
    <row r="1481" spans="44:49">
      <c r="AR1481" s="69">
        <f t="shared" si="489"/>
        <v>124</v>
      </c>
      <c r="AS1481" s="70">
        <f t="shared" si="491"/>
        <v>1478</v>
      </c>
      <c r="AT1481" s="71">
        <f t="shared" si="487"/>
        <v>4.0398734352076532E-5</v>
      </c>
      <c r="AU1481" s="72">
        <f t="shared" si="488"/>
        <v>6.8214933659622723E-3</v>
      </c>
      <c r="AV1481" s="73">
        <f t="shared" si="490"/>
        <v>1.0068214933659623</v>
      </c>
      <c r="AW1481" s="74">
        <f>PRODUCT(AV$4:AV1481)</f>
        <v>23108.020974347844</v>
      </c>
    </row>
    <row r="1482" spans="44:49">
      <c r="AR1482" s="69">
        <f t="shared" si="489"/>
        <v>124</v>
      </c>
      <c r="AS1482" s="70">
        <f t="shared" si="491"/>
        <v>1479</v>
      </c>
      <c r="AT1482" s="71">
        <f t="shared" si="487"/>
        <v>4.0123154653700567E-5</v>
      </c>
      <c r="AU1482" s="72">
        <f t="shared" si="488"/>
        <v>6.8214933659622723E-3</v>
      </c>
      <c r="AV1482" s="73">
        <f t="shared" si="490"/>
        <v>1.0068214933659623</v>
      </c>
      <c r="AW1482" s="74">
        <f>PRODUCT(AV$4:AV1482)</f>
        <v>23265.652186124877</v>
      </c>
    </row>
    <row r="1483" spans="44:49">
      <c r="AR1483" s="69">
        <f t="shared" si="489"/>
        <v>124</v>
      </c>
      <c r="AS1483" s="70">
        <f t="shared" si="491"/>
        <v>1480</v>
      </c>
      <c r="AT1483" s="71">
        <f t="shared" si="487"/>
        <v>3.9849454820408872E-5</v>
      </c>
      <c r="AU1483" s="72">
        <f t="shared" si="488"/>
        <v>6.8214933659622723E-3</v>
      </c>
      <c r="AV1483" s="73">
        <f t="shared" si="490"/>
        <v>1.0068214933659623</v>
      </c>
      <c r="AW1483" s="74">
        <f>PRODUCT(AV$4:AV1483)</f>
        <v>23424.358678167315</v>
      </c>
    </row>
    <row r="1484" spans="44:49">
      <c r="AR1484" s="69">
        <f t="shared" si="489"/>
        <v>124</v>
      </c>
      <c r="AS1484" s="70">
        <f t="shared" si="491"/>
        <v>1481</v>
      </c>
      <c r="AT1484" s="71">
        <f t="shared" si="487"/>
        <v>3.957762202871424E-5</v>
      </c>
      <c r="AU1484" s="72">
        <f t="shared" si="488"/>
        <v>6.8214933659622723E-3</v>
      </c>
      <c r="AV1484" s="73">
        <f t="shared" si="490"/>
        <v>1.0068214933659623</v>
      </c>
      <c r="AW1484" s="74">
        <f>PRODUCT(AV$4:AV1484)</f>
        <v>23584.147785492354</v>
      </c>
    </row>
    <row r="1485" spans="44:49">
      <c r="AR1485" s="69">
        <f t="shared" si="489"/>
        <v>124</v>
      </c>
      <c r="AS1485" s="70">
        <f t="shared" si="491"/>
        <v>1482</v>
      </c>
      <c r="AT1485" s="71">
        <f t="shared" si="487"/>
        <v>3.93076435426048E-5</v>
      </c>
      <c r="AU1485" s="72">
        <f t="shared" si="488"/>
        <v>6.8214933659622723E-3</v>
      </c>
      <c r="AV1485" s="73">
        <f t="shared" si="490"/>
        <v>1.0068214933659623</v>
      </c>
      <c r="AW1485" s="74">
        <f>PRODUCT(AV$4:AV1485)</f>
        <v>23745.026893152964</v>
      </c>
    </row>
    <row r="1486" spans="44:49">
      <c r="AR1486" s="69">
        <f t="shared" si="489"/>
        <v>124</v>
      </c>
      <c r="AS1486" s="70">
        <f t="shared" si="491"/>
        <v>1483</v>
      </c>
      <c r="AT1486" s="71">
        <f t="shared" si="487"/>
        <v>3.9039506712947314E-5</v>
      </c>
      <c r="AU1486" s="72">
        <f t="shared" si="488"/>
        <v>6.8214933659622723E-3</v>
      </c>
      <c r="AV1486" s="73">
        <f t="shared" si="490"/>
        <v>1.0068214933659623</v>
      </c>
      <c r="AW1486" s="74">
        <f>PRODUCT(AV$4:AV1486)</f>
        <v>23907.003436579202</v>
      </c>
    </row>
    <row r="1487" spans="44:49">
      <c r="AR1487" s="69">
        <f t="shared" si="489"/>
        <v>124</v>
      </c>
      <c r="AS1487" s="70">
        <f t="shared" si="491"/>
        <v>1484</v>
      </c>
      <c r="AT1487" s="71">
        <f t="shared" si="487"/>
        <v>3.8773198976894507E-5</v>
      </c>
      <c r="AU1487" s="72">
        <f t="shared" si="488"/>
        <v>6.8214933659622723E-3</v>
      </c>
      <c r="AV1487" s="73">
        <f t="shared" si="490"/>
        <v>1.0068214933659623</v>
      </c>
      <c r="AW1487" s="74">
        <f>PRODUCT(AV$4:AV1487)</f>
        <v>24070.084901921862</v>
      </c>
    </row>
    <row r="1488" spans="44:49">
      <c r="AR1488" s="69">
        <f t="shared" si="489"/>
        <v>124</v>
      </c>
      <c r="AS1488" s="70">
        <f t="shared" si="491"/>
        <v>1485</v>
      </c>
      <c r="AT1488" s="71">
        <f t="shared" si="487"/>
        <v>3.8508707857296485E-5</v>
      </c>
      <c r="AU1488" s="72">
        <f t="shared" si="488"/>
        <v>6.8214933659622723E-3</v>
      </c>
      <c r="AV1488" s="73">
        <f t="shared" si="490"/>
        <v>1.0068214933659623</v>
      </c>
      <c r="AW1488" s="74">
        <f>PRODUCT(AV$4:AV1488)</f>
        <v>24234.278826398469</v>
      </c>
    </row>
    <row r="1489" spans="44:49">
      <c r="AR1489" s="69">
        <f t="shared" si="489"/>
        <v>124</v>
      </c>
      <c r="AS1489" s="70">
        <f t="shared" si="491"/>
        <v>1486</v>
      </c>
      <c r="AT1489" s="71">
        <f t="shared" si="487"/>
        <v>3.8246020962116157E-5</v>
      </c>
      <c r="AU1489" s="72">
        <f t="shared" si="488"/>
        <v>6.8214933659622723E-3</v>
      </c>
      <c r="AV1489" s="73">
        <f t="shared" si="490"/>
        <v>1.0068214933659623</v>
      </c>
      <c r="AW1489" s="74">
        <f>PRODUCT(AV$4:AV1489)</f>
        <v>24399.592798641628</v>
      </c>
    </row>
    <row r="1490" spans="44:49">
      <c r="AR1490" s="69">
        <f t="shared" si="489"/>
        <v>124</v>
      </c>
      <c r="AS1490" s="70">
        <f t="shared" si="491"/>
        <v>1487</v>
      </c>
      <c r="AT1490" s="71">
        <f t="shared" si="487"/>
        <v>3.7985125983848628E-5</v>
      </c>
      <c r="AU1490" s="72">
        <f t="shared" si="488"/>
        <v>6.8214933659622723E-3</v>
      </c>
      <c r="AV1490" s="73">
        <f t="shared" si="490"/>
        <v>1.0068214933659623</v>
      </c>
      <c r="AW1490" s="74">
        <f>PRODUCT(AV$4:AV1490)</f>
        <v>24566.034459049744</v>
      </c>
    </row>
    <row r="1491" spans="44:49">
      <c r="AR1491" s="69">
        <f t="shared" si="489"/>
        <v>124</v>
      </c>
      <c r="AS1491" s="70">
        <f t="shared" si="491"/>
        <v>1488</v>
      </c>
      <c r="AT1491" s="71">
        <f t="shared" si="487"/>
        <v>3.7726010698944563E-5</v>
      </c>
      <c r="AU1491" s="72">
        <f t="shared" si="488"/>
        <v>6.8214933659622723E-3</v>
      </c>
      <c r="AV1491" s="73">
        <f t="shared" si="490"/>
        <v>1.0068214933659623</v>
      </c>
      <c r="AW1491" s="74">
        <f>PRODUCT(AV$4:AV1491)</f>
        <v>24733.611500140152</v>
      </c>
    </row>
    <row r="1492" spans="44:49">
      <c r="AR1492" s="69">
        <f t="shared" si="489"/>
        <v>125</v>
      </c>
      <c r="AS1492" s="70">
        <f t="shared" si="491"/>
        <v>1489</v>
      </c>
      <c r="AT1492" s="71">
        <f t="shared" si="487"/>
        <v>3.7468662967237492E-5</v>
      </c>
      <c r="AU1492" s="72">
        <f t="shared" si="488"/>
        <v>6.8214933659622723E-3</v>
      </c>
      <c r="AV1492" s="73">
        <f t="shared" si="490"/>
        <v>1.0068214933659623</v>
      </c>
      <c r="AW1492" s="74">
        <f>PRODUCT(AV$4:AV1492)</f>
        <v>24902.331666904647</v>
      </c>
    </row>
    <row r="1493" spans="44:49">
      <c r="AR1493" s="69">
        <f t="shared" si="489"/>
        <v>125</v>
      </c>
      <c r="AS1493" s="70">
        <f t="shared" si="491"/>
        <v>1490</v>
      </c>
      <c r="AT1493" s="71">
        <f t="shared" si="487"/>
        <v>3.7213070731375005E-5</v>
      </c>
      <c r="AU1493" s="72">
        <f t="shared" si="488"/>
        <v>6.8214933659622723E-3</v>
      </c>
      <c r="AV1493" s="73">
        <f t="shared" si="490"/>
        <v>1.0068214933659623</v>
      </c>
      <c r="AW1493" s="74">
        <f>PRODUCT(AV$4:AV1493)</f>
        <v>25072.20275716743</v>
      </c>
    </row>
    <row r="1494" spans="44:49">
      <c r="AR1494" s="69">
        <f t="shared" si="489"/>
        <v>125</v>
      </c>
      <c r="AS1494" s="70">
        <f t="shared" si="491"/>
        <v>1491</v>
      </c>
      <c r="AT1494" s="71">
        <f t="shared" si="487"/>
        <v>3.6959222016253848E-5</v>
      </c>
      <c r="AU1494" s="72">
        <f t="shared" si="488"/>
        <v>6.8214933659622723E-3</v>
      </c>
      <c r="AV1494" s="73">
        <f t="shared" si="490"/>
        <v>1.0068214933659623</v>
      </c>
      <c r="AW1494" s="74">
        <f>PRODUCT(AV$4:AV1494)</f>
        <v>25243.23262194551</v>
      </c>
    </row>
    <row r="1495" spans="44:49">
      <c r="AR1495" s="69">
        <f t="shared" si="489"/>
        <v>125</v>
      </c>
      <c r="AS1495" s="70">
        <f t="shared" si="491"/>
        <v>1492</v>
      </c>
      <c r="AT1495" s="71">
        <f t="shared" ref="AT1495:AT1558" si="492">(1-AU1495)*AT1494</f>
        <v>3.6707104928458845E-5</v>
      </c>
      <c r="AU1495" s="72">
        <f t="shared" si="488"/>
        <v>6.8214933659622723E-3</v>
      </c>
      <c r="AV1495" s="73">
        <f t="shared" si="490"/>
        <v>1.0068214933659623</v>
      </c>
      <c r="AW1495" s="74">
        <f>PRODUCT(AV$4:AV1495)</f>
        <v>25415.429165811554</v>
      </c>
    </row>
    <row r="1496" spans="44:49">
      <c r="AR1496" s="69">
        <f t="shared" si="489"/>
        <v>125</v>
      </c>
      <c r="AS1496" s="70">
        <f t="shared" si="491"/>
        <v>1493</v>
      </c>
      <c r="AT1496" s="71">
        <f t="shared" si="492"/>
        <v>3.6456707655705679E-5</v>
      </c>
      <c r="AU1496" s="72">
        <f t="shared" si="488"/>
        <v>6.8214933659622723E-3</v>
      </c>
      <c r="AV1496" s="73">
        <f t="shared" si="490"/>
        <v>1.0068214933659623</v>
      </c>
      <c r="AW1496" s="74">
        <f>PRODUCT(AV$4:AV1496)</f>
        <v>25588.800347259221</v>
      </c>
    </row>
    <row r="1497" spans="44:49">
      <c r="AR1497" s="69">
        <f t="shared" si="489"/>
        <v>125</v>
      </c>
      <c r="AS1497" s="70">
        <f t="shared" si="491"/>
        <v>1494</v>
      </c>
      <c r="AT1497" s="71">
        <f t="shared" si="492"/>
        <v>3.6208018466287455E-5</v>
      </c>
      <c r="AU1497" s="72">
        <f t="shared" si="488"/>
        <v>6.8214933659622723E-3</v>
      </c>
      <c r="AV1497" s="73">
        <f t="shared" si="490"/>
        <v>1.0068214933659623</v>
      </c>
      <c r="AW1497" s="74">
        <f>PRODUCT(AV$4:AV1497)</f>
        <v>25763.354179070982</v>
      </c>
    </row>
    <row r="1498" spans="44:49">
      <c r="AR1498" s="69">
        <f t="shared" si="489"/>
        <v>125</v>
      </c>
      <c r="AS1498" s="70">
        <f t="shared" si="491"/>
        <v>1495</v>
      </c>
      <c r="AT1498" s="71">
        <f t="shared" si="492"/>
        <v>3.5961025708525034E-5</v>
      </c>
      <c r="AU1498" s="72">
        <f t="shared" si="488"/>
        <v>6.8214933659622723E-3</v>
      </c>
      <c r="AV1498" s="73">
        <f t="shared" si="490"/>
        <v>1.0068214933659623</v>
      </c>
      <c r="AW1498" s="74">
        <f>PRODUCT(AV$4:AV1498)</f>
        <v>25939.098728688452</v>
      </c>
    </row>
    <row r="1499" spans="44:49">
      <c r="AR1499" s="69">
        <f t="shared" si="489"/>
        <v>125</v>
      </c>
      <c r="AS1499" s="70">
        <f t="shared" si="491"/>
        <v>1496</v>
      </c>
      <c r="AT1499" s="71">
        <f t="shared" si="492"/>
        <v>3.5715717810221133E-5</v>
      </c>
      <c r="AU1499" s="72">
        <f t="shared" si="488"/>
        <v>6.8214933659622723E-3</v>
      </c>
      <c r="AV1499" s="73">
        <f t="shared" si="490"/>
        <v>1.0068214933659623</v>
      </c>
      <c r="AW1499" s="74">
        <f>PRODUCT(AV$4:AV1499)</f>
        <v>26116.042118585239</v>
      </c>
    </row>
    <row r="1500" spans="44:49">
      <c r="AR1500" s="69">
        <f t="shared" si="489"/>
        <v>125</v>
      </c>
      <c r="AS1500" s="70">
        <f t="shared" si="491"/>
        <v>1497</v>
      </c>
      <c r="AT1500" s="71">
        <f t="shared" si="492"/>
        <v>3.5472083278118127E-5</v>
      </c>
      <c r="AU1500" s="72">
        <f t="shared" si="488"/>
        <v>6.8214933659622723E-3</v>
      </c>
      <c r="AV1500" s="73">
        <f t="shared" si="490"/>
        <v>1.0068214933659623</v>
      </c>
      <c r="AW1500" s="74">
        <f>PRODUCT(AV$4:AV1500)</f>
        <v>26294.19252664236</v>
      </c>
    </row>
    <row r="1501" spans="44:49">
      <c r="AR1501" s="69">
        <f t="shared" si="489"/>
        <v>125</v>
      </c>
      <c r="AS1501" s="70">
        <f t="shared" si="491"/>
        <v>1498</v>
      </c>
      <c r="AT1501" s="71">
        <f t="shared" si="492"/>
        <v>3.5230110697359583E-5</v>
      </c>
      <c r="AU1501" s="72">
        <f t="shared" si="488"/>
        <v>6.8214933659622723E-3</v>
      </c>
      <c r="AV1501" s="73">
        <f t="shared" si="490"/>
        <v>1.0068214933659623</v>
      </c>
      <c r="AW1501" s="74">
        <f>PRODUCT(AV$4:AV1501)</f>
        <v>26473.558186526185</v>
      </c>
    </row>
    <row r="1502" spans="44:49">
      <c r="AR1502" s="69">
        <f t="shared" si="489"/>
        <v>125</v>
      </c>
      <c r="AS1502" s="70">
        <f t="shared" si="491"/>
        <v>1499</v>
      </c>
      <c r="AT1502" s="71">
        <f t="shared" si="492"/>
        <v>3.4989788730955426E-5</v>
      </c>
      <c r="AU1502" s="72">
        <f t="shared" si="488"/>
        <v>6.8214933659622723E-3</v>
      </c>
      <c r="AV1502" s="73">
        <f t="shared" si="490"/>
        <v>1.0068214933659623</v>
      </c>
      <c r="AW1502" s="74">
        <f>PRODUCT(AV$4:AV1502)</f>
        <v>26654.147388068988</v>
      </c>
    </row>
    <row r="1503" spans="44:49">
      <c r="AR1503" s="69">
        <f t="shared" si="489"/>
        <v>125</v>
      </c>
      <c r="AS1503" s="70">
        <f t="shared" si="491"/>
        <v>1500</v>
      </c>
      <c r="AT1503" s="71">
        <f t="shared" si="492"/>
        <v>3.475110611925079E-5</v>
      </c>
      <c r="AU1503" s="72">
        <f t="shared" si="488"/>
        <v>6.8214933659622723E-3</v>
      </c>
      <c r="AV1503" s="73">
        <f t="shared" si="490"/>
        <v>1.0068214933659623</v>
      </c>
      <c r="AW1503" s="74">
        <f>PRODUCT(AV$4:AV1503)</f>
        <v>26835.968477652081</v>
      </c>
    </row>
    <row r="1504" spans="44:49">
      <c r="AR1504" s="69">
        <f t="shared" si="489"/>
        <v>126</v>
      </c>
      <c r="AS1504" s="70">
        <f t="shared" si="491"/>
        <v>1501</v>
      </c>
      <c r="AT1504" s="71">
        <f t="shared" si="492"/>
        <v>3.4514051679398467E-5</v>
      </c>
      <c r="AU1504" s="72">
        <f t="shared" si="488"/>
        <v>6.8214933659622723E-3</v>
      </c>
      <c r="AV1504" s="73">
        <f t="shared" si="490"/>
        <v>1.0068214933659623</v>
      </c>
      <c r="AW1504" s="74">
        <f>PRODUCT(AV$4:AV1504)</f>
        <v>27019.029858591559</v>
      </c>
    </row>
    <row r="1505" spans="44:49">
      <c r="AR1505" s="69">
        <f t="shared" si="489"/>
        <v>126</v>
      </c>
      <c r="AS1505" s="70">
        <f t="shared" si="491"/>
        <v>1502</v>
      </c>
      <c r="AT1505" s="71">
        <f t="shared" si="492"/>
        <v>3.4278614304834973E-5</v>
      </c>
      <c r="AU1505" s="72">
        <f t="shared" si="488"/>
        <v>6.8214933659622723E-3</v>
      </c>
      <c r="AV1505" s="73">
        <f t="shared" si="490"/>
        <v>1.0068214933659623</v>
      </c>
      <c r="AW1505" s="74">
        <f>PRODUCT(AV$4:AV1505)</f>
        <v>27203.339991526678</v>
      </c>
    </row>
    <row r="1506" spans="44:49">
      <c r="AR1506" s="69">
        <f t="shared" si="489"/>
        <v>126</v>
      </c>
      <c r="AS1506" s="70">
        <f t="shared" si="491"/>
        <v>1503</v>
      </c>
      <c r="AT1506" s="71">
        <f t="shared" si="492"/>
        <v>3.404478296476016E-5</v>
      </c>
      <c r="AU1506" s="72">
        <f t="shared" si="488"/>
        <v>6.8214933659622723E-3</v>
      </c>
      <c r="AV1506" s="73">
        <f t="shared" si="490"/>
        <v>1.0068214933659623</v>
      </c>
      <c r="AW1506" s="74">
        <f>PRODUCT(AV$4:AV1506)</f>
        <v>27388.907394810893</v>
      </c>
    </row>
    <row r="1507" spans="44:49">
      <c r="AR1507" s="69">
        <f t="shared" si="489"/>
        <v>126</v>
      </c>
      <c r="AS1507" s="70">
        <f t="shared" si="491"/>
        <v>1504</v>
      </c>
      <c r="AT1507" s="71">
        <f t="shared" si="492"/>
        <v>3.3812546703620424E-5</v>
      </c>
      <c r="AU1507" s="72">
        <f t="shared" si="488"/>
        <v>6.8214933659622723E-3</v>
      </c>
      <c r="AV1507" s="73">
        <f t="shared" si="490"/>
        <v>1.0068214933659623</v>
      </c>
      <c r="AW1507" s="74">
        <f>PRODUCT(AV$4:AV1507)</f>
        <v>27575.740644905549</v>
      </c>
    </row>
    <row r="1508" spans="44:49">
      <c r="AR1508" s="69">
        <f t="shared" si="489"/>
        <v>126</v>
      </c>
      <c r="AS1508" s="70">
        <f t="shared" si="491"/>
        <v>1505</v>
      </c>
      <c r="AT1508" s="71">
        <f t="shared" si="492"/>
        <v>3.3581894640595387E-5</v>
      </c>
      <c r="AU1508" s="72">
        <f t="shared" si="488"/>
        <v>6.8214933659622723E-3</v>
      </c>
      <c r="AV1508" s="73">
        <f t="shared" si="490"/>
        <v>1.0068214933659623</v>
      </c>
      <c r="AW1508" s="74">
        <f>PRODUCT(AV$4:AV1508)</f>
        <v>27763.84837677627</v>
      </c>
    </row>
    <row r="1509" spans="44:49">
      <c r="AR1509" s="69">
        <f t="shared" si="489"/>
        <v>126</v>
      </c>
      <c r="AS1509" s="70">
        <f t="shared" si="491"/>
        <v>1506</v>
      </c>
      <c r="AT1509" s="71">
        <f t="shared" si="492"/>
        <v>3.3352815969088123E-5</v>
      </c>
      <c r="AU1509" s="72">
        <f t="shared" si="488"/>
        <v>6.8214933659622723E-3</v>
      </c>
      <c r="AV1509" s="73">
        <f t="shared" si="490"/>
        <v>1.0068214933659623</v>
      </c>
      <c r="AW1509" s="74">
        <f>PRODUCT(AV$4:AV1509)</f>
        <v>27953.239284292031</v>
      </c>
    </row>
    <row r="1510" spans="44:49">
      <c r="AR1510" s="69">
        <f t="shared" si="489"/>
        <v>126</v>
      </c>
      <c r="AS1510" s="70">
        <f t="shared" si="491"/>
        <v>1507</v>
      </c>
      <c r="AT1510" s="71">
        <f t="shared" si="492"/>
        <v>3.3125299956218825E-5</v>
      </c>
      <c r="AU1510" s="72">
        <f t="shared" si="488"/>
        <v>6.8214933659622723E-3</v>
      </c>
      <c r="AV1510" s="73">
        <f t="shared" si="490"/>
        <v>1.0068214933659623</v>
      </c>
      <c r="AW1510" s="74">
        <f>PRODUCT(AV$4:AV1510)</f>
        <v>28143.922120626983</v>
      </c>
    </row>
    <row r="1511" spans="44:49">
      <c r="AR1511" s="69">
        <f t="shared" si="489"/>
        <v>126</v>
      </c>
      <c r="AS1511" s="70">
        <f t="shared" si="491"/>
        <v>1508</v>
      </c>
      <c r="AT1511" s="71">
        <f t="shared" si="492"/>
        <v>3.2899335942321966E-5</v>
      </c>
      <c r="AU1511" s="72">
        <f t="shared" si="488"/>
        <v>6.8214933659622723E-3</v>
      </c>
      <c r="AV1511" s="73">
        <f t="shared" si="490"/>
        <v>1.0068214933659623</v>
      </c>
      <c r="AW1511" s="74">
        <f>PRODUCT(AV$4:AV1511)</f>
        <v>28335.905698664999</v>
      </c>
    </row>
    <row r="1512" spans="44:49">
      <c r="AR1512" s="69">
        <f t="shared" si="489"/>
        <v>126</v>
      </c>
      <c r="AS1512" s="70">
        <f t="shared" si="491"/>
        <v>1509</v>
      </c>
      <c r="AT1512" s="71">
        <f t="shared" si="492"/>
        <v>3.2674913340446851E-5</v>
      </c>
      <c r="AU1512" s="72">
        <f t="shared" si="488"/>
        <v>6.8214933659622723E-3</v>
      </c>
      <c r="AV1512" s="73">
        <f t="shared" si="490"/>
        <v>1.0068214933659623</v>
      </c>
      <c r="AW1512" s="74">
        <f>PRODUCT(AV$4:AV1512)</f>
        <v>28529.198891406973</v>
      </c>
    </row>
    <row r="1513" spans="44:49">
      <c r="AR1513" s="69">
        <f t="shared" si="489"/>
        <v>126</v>
      </c>
      <c r="AS1513" s="70">
        <f t="shared" si="491"/>
        <v>1510</v>
      </c>
      <c r="AT1513" s="71">
        <f t="shared" si="492"/>
        <v>3.24520216358616E-5</v>
      </c>
      <c r="AU1513" s="72">
        <f t="shared" si="488"/>
        <v>6.8214933659622723E-3</v>
      </c>
      <c r="AV1513" s="73">
        <f t="shared" si="490"/>
        <v>1.0068214933659623</v>
      </c>
      <c r="AW1513" s="74">
        <f>PRODUCT(AV$4:AV1513)</f>
        <v>28723.810632380926</v>
      </c>
    </row>
    <row r="1514" spans="44:49">
      <c r="AR1514" s="69">
        <f t="shared" si="489"/>
        <v>126</v>
      </c>
      <c r="AS1514" s="70">
        <f t="shared" si="491"/>
        <v>1511</v>
      </c>
      <c r="AT1514" s="71">
        <f t="shared" si="492"/>
        <v>3.2230650385560507E-5</v>
      </c>
      <c r="AU1514" s="72">
        <f t="shared" si="488"/>
        <v>6.8214933659622723E-3</v>
      </c>
      <c r="AV1514" s="73">
        <f t="shared" si="490"/>
        <v>1.0068214933659623</v>
      </c>
      <c r="AW1514" s="74">
        <f>PRODUCT(AV$4:AV1514)</f>
        <v>28919.749916054869</v>
      </c>
    </row>
    <row r="1515" spans="44:49">
      <c r="AR1515" s="69">
        <f t="shared" si="489"/>
        <v>126</v>
      </c>
      <c r="AS1515" s="70">
        <f t="shared" si="491"/>
        <v>1512</v>
      </c>
      <c r="AT1515" s="71">
        <f t="shared" si="492"/>
        <v>3.2010789217774758E-5</v>
      </c>
      <c r="AU1515" s="72">
        <f t="shared" si="488"/>
        <v>6.8214933659622723E-3</v>
      </c>
      <c r="AV1515" s="73">
        <f t="shared" si="490"/>
        <v>1.0068214933659623</v>
      </c>
      <c r="AW1515" s="74">
        <f>PRODUCT(AV$4:AV1515)</f>
        <v>29117.025798252525</v>
      </c>
    </row>
    <row r="1516" spans="44:49">
      <c r="AR1516" s="69">
        <f t="shared" si="489"/>
        <v>127</v>
      </c>
      <c r="AS1516" s="70">
        <f t="shared" si="491"/>
        <v>1513</v>
      </c>
      <c r="AT1516" s="71">
        <f t="shared" si="492"/>
        <v>3.1792427831486489E-5</v>
      </c>
      <c r="AU1516" s="72">
        <f t="shared" si="488"/>
        <v>6.8214933659622723E-3</v>
      </c>
      <c r="AV1516" s="73">
        <f t="shared" si="490"/>
        <v>1.0068214933659623</v>
      </c>
      <c r="AW1516" s="74">
        <f>PRODUCT(AV$4:AV1516)</f>
        <v>29315.647396571858</v>
      </c>
    </row>
    <row r="1517" spans="44:49">
      <c r="AR1517" s="69">
        <f t="shared" si="489"/>
        <v>127</v>
      </c>
      <c r="AS1517" s="70">
        <f t="shared" si="491"/>
        <v>1514</v>
      </c>
      <c r="AT1517" s="71">
        <f t="shared" si="492"/>
        <v>3.1575555995946171E-5</v>
      </c>
      <c r="AU1517" s="72">
        <f t="shared" si="488"/>
        <v>6.8214933659622723E-3</v>
      </c>
      <c r="AV1517" s="73">
        <f t="shared" si="490"/>
        <v>1.0068214933659623</v>
      </c>
      <c r="AW1517" s="74">
        <f>PRODUCT(AV$4:AV1517)</f>
        <v>29515.623890806462</v>
      </c>
    </row>
    <row r="1518" spans="44:49">
      <c r="AR1518" s="69">
        <f t="shared" si="489"/>
        <v>127</v>
      </c>
      <c r="AS1518" s="70">
        <f t="shared" si="491"/>
        <v>1515</v>
      </c>
      <c r="AT1518" s="71">
        <f t="shared" si="492"/>
        <v>3.1360163550193257E-5</v>
      </c>
      <c r="AU1518" s="72">
        <f t="shared" si="488"/>
        <v>6.8214933659622723E-3</v>
      </c>
      <c r="AV1518" s="73">
        <f t="shared" si="490"/>
        <v>1.0068214933659623</v>
      </c>
      <c r="AW1518" s="74">
        <f>PRODUCT(AV$4:AV1518)</f>
        <v>29716.964523369836</v>
      </c>
    </row>
    <row r="1519" spans="44:49">
      <c r="AR1519" s="69">
        <f t="shared" si="489"/>
        <v>127</v>
      </c>
      <c r="AS1519" s="70">
        <f t="shared" si="491"/>
        <v>1516</v>
      </c>
      <c r="AT1519" s="71">
        <f t="shared" si="492"/>
        <v>3.1146240402580123E-5</v>
      </c>
      <c r="AU1519" s="72">
        <f t="shared" si="488"/>
        <v>6.8214933659622723E-3</v>
      </c>
      <c r="AV1519" s="73">
        <f t="shared" si="490"/>
        <v>1.0068214933659623</v>
      </c>
      <c r="AW1519" s="74">
        <f>PRODUCT(AV$4:AV1519)</f>
        <v>29919.678599722538</v>
      </c>
    </row>
    <row r="1520" spans="44:49">
      <c r="AR1520" s="69">
        <f t="shared" si="489"/>
        <v>127</v>
      </c>
      <c r="AS1520" s="70">
        <f t="shared" si="491"/>
        <v>1517</v>
      </c>
      <c r="AT1520" s="71">
        <f t="shared" si="492"/>
        <v>3.0933776530299254E-5</v>
      </c>
      <c r="AU1520" s="72">
        <f t="shared" si="488"/>
        <v>6.8214933659622723E-3</v>
      </c>
      <c r="AV1520" s="73">
        <f t="shared" si="490"/>
        <v>1.0068214933659623</v>
      </c>
      <c r="AW1520" s="74">
        <f>PRODUCT(AV$4:AV1520)</f>
        <v>30123.775488802268</v>
      </c>
    </row>
    <row r="1521" spans="44:49">
      <c r="AR1521" s="69">
        <f t="shared" si="489"/>
        <v>127</v>
      </c>
      <c r="AS1521" s="70">
        <f t="shared" si="491"/>
        <v>1518</v>
      </c>
      <c r="AT1521" s="71">
        <f t="shared" si="492"/>
        <v>3.0722761978913656E-5</v>
      </c>
      <c r="AU1521" s="72">
        <f t="shared" si="488"/>
        <v>6.8214933659622723E-3</v>
      </c>
      <c r="AV1521" s="73">
        <f t="shared" si="490"/>
        <v>1.0068214933659623</v>
      </c>
      <c r="AW1521" s="74">
        <f>PRODUCT(AV$4:AV1521)</f>
        <v>30329.264623456871</v>
      </c>
    </row>
    <row r="1522" spans="44:49">
      <c r="AR1522" s="69">
        <f t="shared" si="489"/>
        <v>127</v>
      </c>
      <c r="AS1522" s="70">
        <f t="shared" si="491"/>
        <v>1519</v>
      </c>
      <c r="AT1522" s="71">
        <f t="shared" si="492"/>
        <v>3.051318686189046E-5</v>
      </c>
      <c r="AU1522" s="72">
        <f t="shared" si="488"/>
        <v>6.8214933659622723E-3</v>
      </c>
      <c r="AV1522" s="73">
        <f t="shared" si="490"/>
        <v>1.0068214933659623</v>
      </c>
      <c r="AW1522" s="74">
        <f>PRODUCT(AV$4:AV1522)</f>
        <v>30536.155500880297</v>
      </c>
    </row>
    <row r="1523" spans="44:49">
      <c r="AR1523" s="69">
        <f t="shared" si="489"/>
        <v>127</v>
      </c>
      <c r="AS1523" s="70">
        <f t="shared" si="491"/>
        <v>1520</v>
      </c>
      <c r="AT1523" s="71">
        <f t="shared" si="492"/>
        <v>3.0305041360137709E-5</v>
      </c>
      <c r="AU1523" s="72">
        <f t="shared" si="488"/>
        <v>6.8214933659622723E-3</v>
      </c>
      <c r="AV1523" s="73">
        <f t="shared" si="490"/>
        <v>1.0068214933659623</v>
      </c>
      <c r="AW1523" s="74">
        <f>PRODUCT(AV$4:AV1523)</f>
        <v>30744.457683051543</v>
      </c>
    </row>
    <row r="1524" spans="44:49">
      <c r="AR1524" s="69">
        <f t="shared" si="489"/>
        <v>127</v>
      </c>
      <c r="AS1524" s="70">
        <f t="shared" si="491"/>
        <v>1521</v>
      </c>
      <c r="AT1524" s="71">
        <f t="shared" si="492"/>
        <v>3.0098315721544315E-5</v>
      </c>
      <c r="AU1524" s="72">
        <f t="shared" si="488"/>
        <v>6.8214933659622723E-3</v>
      </c>
      <c r="AV1524" s="73">
        <f t="shared" si="490"/>
        <v>1.0068214933659623</v>
      </c>
      <c r="AW1524" s="74">
        <f>PRODUCT(AV$4:AV1524)</f>
        <v>30954.180797176588</v>
      </c>
    </row>
    <row r="1525" spans="44:49">
      <c r="AR1525" s="69">
        <f t="shared" si="489"/>
        <v>127</v>
      </c>
      <c r="AS1525" s="70">
        <f t="shared" si="491"/>
        <v>1522</v>
      </c>
      <c r="AT1525" s="71">
        <f t="shared" si="492"/>
        <v>2.9893000260523164E-5</v>
      </c>
      <c r="AU1525" s="72">
        <f t="shared" si="488"/>
        <v>6.8214933659622723E-3</v>
      </c>
      <c r="AV1525" s="73">
        <f t="shared" si="490"/>
        <v>1.0068214933659623</v>
      </c>
      <c r="AW1525" s="74">
        <f>PRODUCT(AV$4:AV1525)</f>
        <v>31165.334536133327</v>
      </c>
    </row>
    <row r="1526" spans="44:49">
      <c r="AR1526" s="69">
        <f t="shared" si="489"/>
        <v>127</v>
      </c>
      <c r="AS1526" s="70">
        <f t="shared" si="491"/>
        <v>1523</v>
      </c>
      <c r="AT1526" s="71">
        <f t="shared" si="492"/>
        <v>2.9689085357557295E-5</v>
      </c>
      <c r="AU1526" s="72">
        <f t="shared" si="488"/>
        <v>6.8214933659622723E-3</v>
      </c>
      <c r="AV1526" s="73">
        <f t="shared" si="490"/>
        <v>1.0068214933659623</v>
      </c>
      <c r="AW1526" s="74">
        <f>PRODUCT(AV$4:AV1526)</f>
        <v>31377.928658919554</v>
      </c>
    </row>
    <row r="1527" spans="44:49">
      <c r="AR1527" s="69">
        <f t="shared" si="489"/>
        <v>127</v>
      </c>
      <c r="AS1527" s="70">
        <f t="shared" si="491"/>
        <v>1524</v>
      </c>
      <c r="AT1527" s="71">
        <f t="shared" si="492"/>
        <v>2.9486561458749229E-5</v>
      </c>
      <c r="AU1527" s="72">
        <f t="shared" si="488"/>
        <v>6.8214933659622723E-3</v>
      </c>
      <c r="AV1527" s="73">
        <f t="shared" si="490"/>
        <v>1.0068214933659623</v>
      </c>
      <c r="AW1527" s="74">
        <f>PRODUCT(AV$4:AV1527)</f>
        <v>31591.972991104012</v>
      </c>
    </row>
    <row r="1528" spans="44:49">
      <c r="AR1528" s="69">
        <f t="shared" si="489"/>
        <v>128</v>
      </c>
      <c r="AS1528" s="70">
        <f t="shared" si="491"/>
        <v>1525</v>
      </c>
      <c r="AT1528" s="71">
        <f t="shared" si="492"/>
        <v>2.9285419075373333E-5</v>
      </c>
      <c r="AU1528" s="72">
        <f t="shared" si="488"/>
        <v>6.8214933659622723E-3</v>
      </c>
      <c r="AV1528" s="73">
        <f t="shared" si="490"/>
        <v>1.0068214933659623</v>
      </c>
      <c r="AW1528" s="74">
        <f>PRODUCT(AV$4:AV1528)</f>
        <v>31807.477425280489</v>
      </c>
    </row>
    <row r="1529" spans="44:49">
      <c r="AR1529" s="69">
        <f t="shared" si="489"/>
        <v>128</v>
      </c>
      <c r="AS1529" s="70">
        <f t="shared" si="491"/>
        <v>1526</v>
      </c>
      <c r="AT1529" s="71">
        <f t="shared" si="492"/>
        <v>2.9085648783431248E-5</v>
      </c>
      <c r="AU1529" s="72">
        <f t="shared" si="488"/>
        <v>6.8214933659622723E-3</v>
      </c>
      <c r="AV1529" s="73">
        <f t="shared" si="490"/>
        <v>1.0068214933659623</v>
      </c>
      <c r="AW1529" s="74">
        <f>PRODUCT(AV$4:AV1529)</f>
        <v>32024.451921525033</v>
      </c>
    </row>
    <row r="1530" spans="44:49">
      <c r="AR1530" s="69">
        <f t="shared" si="489"/>
        <v>128</v>
      </c>
      <c r="AS1530" s="70">
        <f t="shared" si="491"/>
        <v>1527</v>
      </c>
      <c r="AT1530" s="71">
        <f t="shared" si="492"/>
        <v>2.8887241223210365E-5</v>
      </c>
      <c r="AU1530" s="72">
        <f t="shared" si="488"/>
        <v>6.8214933659622723E-3</v>
      </c>
      <c r="AV1530" s="73">
        <f t="shared" si="490"/>
        <v>1.0068214933659623</v>
      </c>
      <c r="AW1530" s="74">
        <f>PRODUCT(AV$4:AV1530)</f>
        <v>32242.906507856293</v>
      </c>
    </row>
    <row r="1531" spans="44:49">
      <c r="AR1531" s="69">
        <f t="shared" si="489"/>
        <v>128</v>
      </c>
      <c r="AS1531" s="70">
        <f t="shared" si="491"/>
        <v>1528</v>
      </c>
      <c r="AT1531" s="71">
        <f t="shared" si="492"/>
        <v>2.8690187098845285E-5</v>
      </c>
      <c r="AU1531" s="72">
        <f t="shared" si="488"/>
        <v>6.8214933659622723E-3</v>
      </c>
      <c r="AV1531" s="73">
        <f t="shared" si="490"/>
        <v>1.0068214933659623</v>
      </c>
      <c r="AW1531" s="74">
        <f>PRODUCT(AV$4:AV1531)</f>
        <v>32462.851280698975</v>
      </c>
    </row>
    <row r="1532" spans="44:49">
      <c r="AR1532" s="69">
        <f t="shared" si="489"/>
        <v>128</v>
      </c>
      <c r="AS1532" s="70">
        <f t="shared" si="491"/>
        <v>1529</v>
      </c>
      <c r="AT1532" s="71">
        <f t="shared" si="492"/>
        <v>2.8494477177882296E-5</v>
      </c>
      <c r="AU1532" s="72">
        <f t="shared" si="488"/>
        <v>6.8214933659622723E-3</v>
      </c>
      <c r="AV1532" s="73">
        <f t="shared" si="490"/>
        <v>1.0068214933659623</v>
      </c>
      <c r="AW1532" s="74">
        <f>PRODUCT(AV$4:AV1532)</f>
        <v>32684.296405350484</v>
      </c>
    </row>
    <row r="1533" spans="44:49">
      <c r="AR1533" s="69">
        <f t="shared" si="489"/>
        <v>128</v>
      </c>
      <c r="AS1533" s="70">
        <f t="shared" si="491"/>
        <v>1530</v>
      </c>
      <c r="AT1533" s="71">
        <f t="shared" si="492"/>
        <v>2.830010229084681E-5</v>
      </c>
      <c r="AU1533" s="72">
        <f t="shared" si="488"/>
        <v>6.8214933659622723E-3</v>
      </c>
      <c r="AV1533" s="73">
        <f t="shared" si="490"/>
        <v>1.0068214933659623</v>
      </c>
      <c r="AW1533" s="74">
        <f>PRODUCT(AV$4:AV1533)</f>
        <v>32907.252116450727</v>
      </c>
    </row>
    <row r="1534" spans="44:49">
      <c r="AR1534" s="69">
        <f t="shared" si="489"/>
        <v>128</v>
      </c>
      <c r="AS1534" s="70">
        <f t="shared" si="491"/>
        <v>1531</v>
      </c>
      <c r="AT1534" s="71">
        <f t="shared" si="492"/>
        <v>2.8107053330813744E-5</v>
      </c>
      <c r="AU1534" s="72">
        <f t="shared" si="488"/>
        <v>6.8214933659622723E-3</v>
      </c>
      <c r="AV1534" s="73">
        <f t="shared" si="490"/>
        <v>1.0068214933659623</v>
      </c>
      <c r="AW1534" s="74">
        <f>PRODUCT(AV$4:AV1534)</f>
        <v>33131.728718455146</v>
      </c>
    </row>
    <row r="1535" spans="44:49">
      <c r="AR1535" s="69">
        <f t="shared" si="489"/>
        <v>128</v>
      </c>
      <c r="AS1535" s="70">
        <f t="shared" si="491"/>
        <v>1532</v>
      </c>
      <c r="AT1535" s="71">
        <f t="shared" si="492"/>
        <v>2.7915321252980851E-5</v>
      </c>
      <c r="AU1535" s="72">
        <f t="shared" si="488"/>
        <v>6.8214933659622723E-3</v>
      </c>
      <c r="AV1535" s="73">
        <f t="shared" si="490"/>
        <v>1.0068214933659623</v>
      </c>
      <c r="AW1535" s="74">
        <f>PRODUCT(AV$4:AV1535)</f>
        <v>33357.73658611095</v>
      </c>
    </row>
    <row r="1536" spans="44:49">
      <c r="AR1536" s="69">
        <f t="shared" si="489"/>
        <v>128</v>
      </c>
      <c r="AS1536" s="70">
        <f t="shared" si="491"/>
        <v>1533</v>
      </c>
      <c r="AT1536" s="71">
        <f t="shared" si="492"/>
        <v>2.7724897074244936E-5</v>
      </c>
      <c r="AU1536" s="72">
        <f t="shared" si="488"/>
        <v>6.8214933659622723E-3</v>
      </c>
      <c r="AV1536" s="73">
        <f t="shared" si="490"/>
        <v>1.0068214933659623</v>
      </c>
      <c r="AW1536" s="74">
        <f>PRODUCT(AV$4:AV1536)</f>
        <v>33585.286164936624</v>
      </c>
    </row>
    <row r="1537" spans="44:49">
      <c r="AR1537" s="69">
        <f t="shared" si="489"/>
        <v>128</v>
      </c>
      <c r="AS1537" s="70">
        <f t="shared" si="491"/>
        <v>1534</v>
      </c>
      <c r="AT1537" s="71">
        <f t="shared" si="492"/>
        <v>2.7535771872780986E-5</v>
      </c>
      <c r="AU1537" s="72">
        <f t="shared" si="488"/>
        <v>6.8214933659622723E-3</v>
      </c>
      <c r="AV1537" s="73">
        <f t="shared" si="490"/>
        <v>1.0068214933659623</v>
      </c>
      <c r="AW1537" s="74">
        <f>PRODUCT(AV$4:AV1537)</f>
        <v>33814.38797170468</v>
      </c>
    </row>
    <row r="1538" spans="44:49">
      <c r="AR1538" s="69">
        <f t="shared" si="489"/>
        <v>128</v>
      </c>
      <c r="AS1538" s="70">
        <f t="shared" si="491"/>
        <v>1535</v>
      </c>
      <c r="AT1538" s="71">
        <f t="shared" si="492"/>
        <v>2.7347936787624158E-5</v>
      </c>
      <c r="AU1538" s="72">
        <f t="shared" si="488"/>
        <v>6.8214933659622723E-3</v>
      </c>
      <c r="AV1538" s="73">
        <f t="shared" si="490"/>
        <v>1.0068214933659623</v>
      </c>
      <c r="AW1538" s="74">
        <f>PRODUCT(AV$4:AV1538)</f>
        <v>34045.052594927736</v>
      </c>
    </row>
    <row r="1539" spans="44:49">
      <c r="AR1539" s="69">
        <f t="shared" si="489"/>
        <v>128</v>
      </c>
      <c r="AS1539" s="70">
        <f t="shared" si="491"/>
        <v>1536</v>
      </c>
      <c r="AT1539" s="71">
        <f t="shared" si="492"/>
        <v>2.7161383018254625E-5</v>
      </c>
      <c r="AU1539" s="72">
        <f t="shared" si="488"/>
        <v>6.8214933659622723E-3</v>
      </c>
      <c r="AV1539" s="73">
        <f t="shared" si="490"/>
        <v>1.0068214933659623</v>
      </c>
      <c r="AW1539" s="74">
        <f>PRODUCT(AV$4:AV1539)</f>
        <v>34277.290695347874</v>
      </c>
    </row>
    <row r="1540" spans="44:49">
      <c r="AR1540" s="69">
        <f t="shared" si="489"/>
        <v>129</v>
      </c>
      <c r="AS1540" s="70">
        <f t="shared" si="491"/>
        <v>1537</v>
      </c>
      <c r="AT1540" s="71">
        <f t="shared" si="492"/>
        <v>2.697610182418524E-5</v>
      </c>
      <c r="AU1540" s="72">
        <f t="shared" ref="AU1540:AU1603" si="493">((1+$AH$21)^(1/12))-1</f>
        <v>6.8214933659622723E-3</v>
      </c>
      <c r="AV1540" s="73">
        <f t="shared" si="490"/>
        <v>1.0068214933659623</v>
      </c>
      <c r="AW1540" s="74">
        <f>PRODUCT(AV$4:AV1540)</f>
        <v>34511.113006429347</v>
      </c>
    </row>
    <row r="1541" spans="44:49">
      <c r="AR1541" s="69">
        <f t="shared" ref="AR1541:AR1604" si="494">ROUNDDOWN((AS1541-1)/12,0)+1</f>
        <v>129</v>
      </c>
      <c r="AS1541" s="70">
        <f t="shared" si="491"/>
        <v>1538</v>
      </c>
      <c r="AT1541" s="71">
        <f t="shared" si="492"/>
        <v>2.6792084524552037E-5</v>
      </c>
      <c r="AU1541" s="72">
        <f t="shared" si="493"/>
        <v>6.8214933659622723E-3</v>
      </c>
      <c r="AV1541" s="73">
        <f t="shared" ref="AV1541:AV1604" si="495">(1+AU1541)</f>
        <v>1.0068214933659623</v>
      </c>
      <c r="AW1541" s="74">
        <f>PRODUCT(AV$4:AV1541)</f>
        <v>34746.53033485468</v>
      </c>
    </row>
    <row r="1542" spans="44:49">
      <c r="AR1542" s="69">
        <f t="shared" si="494"/>
        <v>129</v>
      </c>
      <c r="AS1542" s="70">
        <f t="shared" ref="AS1542:AS1605" si="496">AS1541+1</f>
        <v>1539</v>
      </c>
      <c r="AT1542" s="71">
        <f t="shared" si="492"/>
        <v>2.6609322497707506E-5</v>
      </c>
      <c r="AU1542" s="72">
        <f t="shared" si="493"/>
        <v>6.8214933659622723E-3</v>
      </c>
      <c r="AV1542" s="73">
        <f t="shared" si="495"/>
        <v>1.0068214933659623</v>
      </c>
      <c r="AW1542" s="74">
        <f>PRODUCT(AV$4:AV1542)</f>
        <v>34983.553561024099</v>
      </c>
    </row>
    <row r="1543" spans="44:49">
      <c r="AR1543" s="69">
        <f t="shared" si="494"/>
        <v>129</v>
      </c>
      <c r="AS1543" s="70">
        <f t="shared" si="496"/>
        <v>1540</v>
      </c>
      <c r="AT1543" s="71">
        <f t="shared" si="492"/>
        <v>2.6427807180816645E-5</v>
      </c>
      <c r="AU1543" s="72">
        <f t="shared" si="493"/>
        <v>6.8214933659622723E-3</v>
      </c>
      <c r="AV1543" s="73">
        <f t="shared" si="495"/>
        <v>1.0068214933659623</v>
      </c>
      <c r="AW1543" s="74">
        <f>PRODUCT(AV$4:AV1543)</f>
        <v>35222.193639558413</v>
      </c>
    </row>
    <row r="1544" spans="44:49">
      <c r="AR1544" s="69">
        <f t="shared" si="494"/>
        <v>129</v>
      </c>
      <c r="AS1544" s="70">
        <f t="shared" si="496"/>
        <v>1541</v>
      </c>
      <c r="AT1544" s="71">
        <f t="shared" si="492"/>
        <v>2.6247530069455774E-5</v>
      </c>
      <c r="AU1544" s="72">
        <f t="shared" si="493"/>
        <v>6.8214933659622723E-3</v>
      </c>
      <c r="AV1544" s="73">
        <f t="shared" si="495"/>
        <v>1.0068214933659623</v>
      </c>
      <c r="AW1544" s="74">
        <f>PRODUCT(AV$4:AV1544)</f>
        <v>35462.461599805298</v>
      </c>
    </row>
    <row r="1545" spans="44:49">
      <c r="AR1545" s="69">
        <f t="shared" si="494"/>
        <v>129</v>
      </c>
      <c r="AS1545" s="70">
        <f t="shared" si="496"/>
        <v>1542</v>
      </c>
      <c r="AT1545" s="71">
        <f t="shared" si="492"/>
        <v>2.6068482717214086E-5</v>
      </c>
      <c r="AU1545" s="72">
        <f t="shared" si="493"/>
        <v>6.8214933659622723E-3</v>
      </c>
      <c r="AV1545" s="73">
        <f t="shared" si="495"/>
        <v>1.0068214933659623</v>
      </c>
      <c r="AW1545" s="74">
        <f>PRODUCT(AV$4:AV1545)</f>
        <v>35704.368546349062</v>
      </c>
    </row>
    <row r="1546" spans="44:49">
      <c r="AR1546" s="69">
        <f t="shared" si="494"/>
        <v>129</v>
      </c>
      <c r="AS1546" s="70">
        <f t="shared" si="496"/>
        <v>1543</v>
      </c>
      <c r="AT1546" s="71">
        <f t="shared" si="492"/>
        <v>2.589065673529791E-5</v>
      </c>
      <c r="AU1546" s="72">
        <f t="shared" si="493"/>
        <v>6.8214933659622723E-3</v>
      </c>
      <c r="AV1546" s="73">
        <f t="shared" si="495"/>
        <v>1.0068214933659623</v>
      </c>
      <c r="AW1546" s="74">
        <f>PRODUCT(AV$4:AV1546)</f>
        <v>35947.925659523855</v>
      </c>
    </row>
    <row r="1547" spans="44:49">
      <c r="AR1547" s="69">
        <f t="shared" si="494"/>
        <v>129</v>
      </c>
      <c r="AS1547" s="70">
        <f t="shared" si="496"/>
        <v>1544</v>
      </c>
      <c r="AT1547" s="71">
        <f t="shared" si="492"/>
        <v>2.5714043792137669E-5</v>
      </c>
      <c r="AU1547" s="72">
        <f t="shared" si="493"/>
        <v>6.8214933659622723E-3</v>
      </c>
      <c r="AV1547" s="73">
        <f t="shared" si="495"/>
        <v>1.0068214933659623</v>
      </c>
      <c r="AW1547" s="74">
        <f>PRODUCT(AV$4:AV1547)</f>
        <v>36193.144195930399</v>
      </c>
    </row>
    <row r="1548" spans="44:49">
      <c r="AR1548" s="69">
        <f t="shared" si="494"/>
        <v>129</v>
      </c>
      <c r="AS1548" s="70">
        <f t="shared" si="496"/>
        <v>1545</v>
      </c>
      <c r="AT1548" s="71">
        <f t="shared" si="492"/>
        <v>2.5538635612997539E-5</v>
      </c>
      <c r="AU1548" s="72">
        <f t="shared" si="493"/>
        <v>6.8214933659622723E-3</v>
      </c>
      <c r="AV1548" s="73">
        <f t="shared" si="495"/>
        <v>1.0068214933659623</v>
      </c>
      <c r="AW1548" s="74">
        <f>PRODUCT(AV$4:AV1548)</f>
        <v>36440.035488956251</v>
      </c>
    </row>
    <row r="1549" spans="44:49">
      <c r="AR1549" s="69">
        <f t="shared" si="494"/>
        <v>129</v>
      </c>
      <c r="AS1549" s="70">
        <f t="shared" si="496"/>
        <v>1546</v>
      </c>
      <c r="AT1549" s="71">
        <f t="shared" si="492"/>
        <v>2.5364423979587749E-5</v>
      </c>
      <c r="AU1549" s="72">
        <f t="shared" si="493"/>
        <v>6.8214933659622723E-3</v>
      </c>
      <c r="AV1549" s="73">
        <f t="shared" si="495"/>
        <v>1.0068214933659623</v>
      </c>
      <c r="AW1549" s="74">
        <f>PRODUCT(AV$4:AV1549)</f>
        <v>36688.610949299597</v>
      </c>
    </row>
    <row r="1550" spans="44:49">
      <c r="AR1550" s="69">
        <f t="shared" si="494"/>
        <v>129</v>
      </c>
      <c r="AS1550" s="70">
        <f t="shared" si="496"/>
        <v>1547</v>
      </c>
      <c r="AT1550" s="71">
        <f t="shared" si="492"/>
        <v>2.5191400729679538E-5</v>
      </c>
      <c r="AU1550" s="72">
        <f t="shared" si="493"/>
        <v>6.8214933659622723E-3</v>
      </c>
      <c r="AV1550" s="73">
        <f t="shared" si="495"/>
        <v>1.0068214933659623</v>
      </c>
      <c r="AW1550" s="74">
        <f>PRODUCT(AV$4:AV1550)</f>
        <v>36938.882065496611</v>
      </c>
    </row>
    <row r="1551" spans="44:49">
      <c r="AR1551" s="69">
        <f t="shared" si="494"/>
        <v>129</v>
      </c>
      <c r="AS1551" s="70">
        <f t="shared" si="496"/>
        <v>1548</v>
      </c>
      <c r="AT1551" s="71">
        <f t="shared" si="492"/>
        <v>2.5019557756722731E-5</v>
      </c>
      <c r="AU1551" s="72">
        <f t="shared" si="493"/>
        <v>6.8214933659622723E-3</v>
      </c>
      <c r="AV1551" s="73">
        <f t="shared" si="495"/>
        <v>1.0068214933659623</v>
      </c>
      <c r="AW1551" s="74">
        <f>PRODUCT(AV$4:AV1551)</f>
        <v>37190.860404452462</v>
      </c>
    </row>
    <row r="1552" spans="44:49">
      <c r="AR1552" s="69">
        <f t="shared" si="494"/>
        <v>130</v>
      </c>
      <c r="AS1552" s="70">
        <f t="shared" si="496"/>
        <v>1549</v>
      </c>
      <c r="AT1552" s="71">
        <f t="shared" si="492"/>
        <v>2.4848887009465935E-5</v>
      </c>
      <c r="AU1552" s="72">
        <f t="shared" si="493"/>
        <v>6.8214933659622723E-3</v>
      </c>
      <c r="AV1552" s="73">
        <f t="shared" si="495"/>
        <v>1.0068214933659623</v>
      </c>
      <c r="AW1552" s="74">
        <f>PRODUCT(AV$4:AV1552)</f>
        <v>37444.557611975863</v>
      </c>
    </row>
    <row r="1553" spans="44:49">
      <c r="AR1553" s="69">
        <f t="shared" si="494"/>
        <v>130</v>
      </c>
      <c r="AS1553" s="70">
        <f t="shared" si="496"/>
        <v>1550</v>
      </c>
      <c r="AT1553" s="71">
        <f t="shared" si="492"/>
        <v>2.4679380491579316E-5</v>
      </c>
      <c r="AU1553" s="72">
        <f t="shared" si="493"/>
        <v>6.8214933659622723E-3</v>
      </c>
      <c r="AV1553" s="73">
        <f t="shared" si="495"/>
        <v>1.0068214933659623</v>
      </c>
      <c r="AW1553" s="74">
        <f>PRODUCT(AV$4:AV1553)</f>
        <v>37699.98541331735</v>
      </c>
    </row>
    <row r="1554" spans="44:49">
      <c r="AR1554" s="69">
        <f t="shared" si="494"/>
        <v>130</v>
      </c>
      <c r="AS1554" s="70">
        <f t="shared" si="496"/>
        <v>1551</v>
      </c>
      <c r="AT1554" s="71">
        <f t="shared" si="492"/>
        <v>2.4511030261279949E-5</v>
      </c>
      <c r="AU1554" s="72">
        <f t="shared" si="493"/>
        <v>6.8214933659622723E-3</v>
      </c>
      <c r="AV1554" s="73">
        <f t="shared" si="495"/>
        <v>1.0068214933659623</v>
      </c>
      <c r="AW1554" s="74">
        <f>PRODUCT(AV$4:AV1554)</f>
        <v>37957.155613711169</v>
      </c>
    </row>
    <row r="1555" spans="44:49">
      <c r="AR1555" s="69">
        <f t="shared" si="494"/>
        <v>130</v>
      </c>
      <c r="AS1555" s="70">
        <f t="shared" si="496"/>
        <v>1552</v>
      </c>
      <c r="AT1555" s="71">
        <f t="shared" si="492"/>
        <v>2.4343828430959727E-5</v>
      </c>
      <c r="AU1555" s="72">
        <f t="shared" si="493"/>
        <v>6.8214933659622723E-3</v>
      </c>
      <c r="AV1555" s="73">
        <f t="shared" si="495"/>
        <v>1.0068214933659623</v>
      </c>
      <c r="AW1555" s="74">
        <f>PRODUCT(AV$4:AV1555)</f>
        <v>38216.080098920895</v>
      </c>
    </row>
    <row r="1556" spans="44:49">
      <c r="AR1556" s="69">
        <f t="shared" si="494"/>
        <v>130</v>
      </c>
      <c r="AS1556" s="70">
        <f t="shared" si="496"/>
        <v>1553</v>
      </c>
      <c r="AT1556" s="71">
        <f t="shared" si="492"/>
        <v>2.4177767166815811E-5</v>
      </c>
      <c r="AU1556" s="72">
        <f t="shared" si="493"/>
        <v>6.8214933659622723E-3</v>
      </c>
      <c r="AV1556" s="73">
        <f t="shared" si="495"/>
        <v>1.0068214933659623</v>
      </c>
      <c r="AW1556" s="74">
        <f>PRODUCT(AV$4:AV1556)</f>
        <v>38476.770835788768</v>
      </c>
    </row>
    <row r="1557" spans="44:49">
      <c r="AR1557" s="69">
        <f t="shared" si="494"/>
        <v>130</v>
      </c>
      <c r="AS1557" s="70">
        <f t="shared" si="496"/>
        <v>1554</v>
      </c>
      <c r="AT1557" s="71">
        <f t="shared" si="492"/>
        <v>2.4012838688483598E-5</v>
      </c>
      <c r="AU1557" s="72">
        <f t="shared" si="493"/>
        <v>6.8214933659622723E-3</v>
      </c>
      <c r="AV1557" s="73">
        <f t="shared" si="495"/>
        <v>1.0068214933659623</v>
      </c>
      <c r="AW1557" s="74">
        <f>PRODUCT(AV$4:AV1557)</f>
        <v>38739.239872788748</v>
      </c>
    </row>
    <row r="1558" spans="44:49">
      <c r="AR1558" s="69">
        <f t="shared" si="494"/>
        <v>130</v>
      </c>
      <c r="AS1558" s="70">
        <f t="shared" si="496"/>
        <v>1555</v>
      </c>
      <c r="AT1558" s="71">
        <f t="shared" si="492"/>
        <v>2.3849035268672184E-5</v>
      </c>
      <c r="AU1558" s="72">
        <f t="shared" si="493"/>
        <v>6.8214933659622723E-3</v>
      </c>
      <c r="AV1558" s="73">
        <f t="shared" si="495"/>
        <v>1.0068214933659623</v>
      </c>
      <c r="AW1558" s="74">
        <f>PRODUCT(AV$4:AV1558)</f>
        <v>39003.499340583396</v>
      </c>
    </row>
    <row r="1559" spans="44:49">
      <c r="AR1559" s="69">
        <f t="shared" si="494"/>
        <v>130</v>
      </c>
      <c r="AS1559" s="70">
        <f t="shared" si="496"/>
        <v>1556</v>
      </c>
      <c r="AT1559" s="71">
        <f t="shared" ref="AT1559:AT1614" si="497">(1-AU1559)*AT1558</f>
        <v>2.3686349232802335E-5</v>
      </c>
      <c r="AU1559" s="72">
        <f t="shared" si="493"/>
        <v>6.8214933659622723E-3</v>
      </c>
      <c r="AV1559" s="73">
        <f t="shared" si="495"/>
        <v>1.0068214933659623</v>
      </c>
      <c r="AW1559" s="74">
        <f>PRODUCT(AV$4:AV1559)</f>
        <v>39269.561452584501</v>
      </c>
    </row>
    <row r="1560" spans="44:49">
      <c r="AR1560" s="69">
        <f t="shared" si="494"/>
        <v>130</v>
      </c>
      <c r="AS1560" s="70">
        <f t="shared" si="496"/>
        <v>1557</v>
      </c>
      <c r="AT1560" s="71">
        <f t="shared" si="497"/>
        <v>2.3524772958646908E-5</v>
      </c>
      <c r="AU1560" s="72">
        <f t="shared" si="493"/>
        <v>6.8214933659622723E-3</v>
      </c>
      <c r="AV1560" s="73">
        <f t="shared" si="495"/>
        <v>1.0068214933659623</v>
      </c>
      <c r="AW1560" s="74">
        <f>PRODUCT(AV$4:AV1560)</f>
        <v>39537.438505517552</v>
      </c>
    </row>
    <row r="1561" spans="44:49">
      <c r="AR1561" s="69">
        <f t="shared" si="494"/>
        <v>130</v>
      </c>
      <c r="AS1561" s="70">
        <f t="shared" si="496"/>
        <v>1558</v>
      </c>
      <c r="AT1561" s="71">
        <f t="shared" si="497"/>
        <v>2.3364298875973729E-5</v>
      </c>
      <c r="AU1561" s="72">
        <f t="shared" si="493"/>
        <v>6.8214933659622723E-3</v>
      </c>
      <c r="AV1561" s="73">
        <f t="shared" si="495"/>
        <v>1.0068214933659623</v>
      </c>
      <c r="AW1561" s="74">
        <f>PRODUCT(AV$4:AV1561)</f>
        <v>39807.142879990082</v>
      </c>
    </row>
    <row r="1562" spans="44:49">
      <c r="AR1562" s="69">
        <f t="shared" si="494"/>
        <v>130</v>
      </c>
      <c r="AS1562" s="70">
        <f t="shared" si="496"/>
        <v>1559</v>
      </c>
      <c r="AT1562" s="71">
        <f t="shared" si="497"/>
        <v>2.3204919466190916E-5</v>
      </c>
      <c r="AU1562" s="72">
        <f t="shared" si="493"/>
        <v>6.8214933659622723E-3</v>
      </c>
      <c r="AV1562" s="73">
        <f t="shared" si="495"/>
        <v>1.0068214933659623</v>
      </c>
      <c r="AW1562" s="74">
        <f>PRODUCT(AV$4:AV1562)</f>
        <v>40078.687041063844</v>
      </c>
    </row>
    <row r="1563" spans="44:49">
      <c r="AR1563" s="69">
        <f t="shared" si="494"/>
        <v>130</v>
      </c>
      <c r="AS1563" s="70">
        <f t="shared" si="496"/>
        <v>1560</v>
      </c>
      <c r="AT1563" s="71">
        <f t="shared" si="497"/>
        <v>2.3046627261994607E-5</v>
      </c>
      <c r="AU1563" s="72">
        <f t="shared" si="493"/>
        <v>6.8214933659622723E-3</v>
      </c>
      <c r="AV1563" s="73">
        <f t="shared" si="495"/>
        <v>1.0068214933659623</v>
      </c>
      <c r="AW1563" s="74">
        <f>PRODUCT(AV$4:AV1563)</f>
        <v>40352.083538830942</v>
      </c>
    </row>
    <row r="1564" spans="44:49">
      <c r="AR1564" s="69">
        <f t="shared" si="494"/>
        <v>131</v>
      </c>
      <c r="AS1564" s="70">
        <f t="shared" si="496"/>
        <v>1561</v>
      </c>
      <c r="AT1564" s="71">
        <f t="shared" si="497"/>
        <v>2.2889414847019106E-5</v>
      </c>
      <c r="AU1564" s="72">
        <f t="shared" si="493"/>
        <v>6.8214933659622723E-3</v>
      </c>
      <c r="AV1564" s="73">
        <f t="shared" si="495"/>
        <v>1.0068214933659623</v>
      </c>
      <c r="AW1564" s="74">
        <f>PRODUCT(AV$4:AV1564)</f>
        <v>40627.345008993834</v>
      </c>
    </row>
    <row r="1565" spans="44:49">
      <c r="AR1565" s="69">
        <f t="shared" si="494"/>
        <v>131</v>
      </c>
      <c r="AS1565" s="70">
        <f t="shared" si="496"/>
        <v>1562</v>
      </c>
      <c r="AT1565" s="71">
        <f t="shared" si="497"/>
        <v>2.2733274855489406E-5</v>
      </c>
      <c r="AU1565" s="72">
        <f t="shared" si="493"/>
        <v>6.8214933659622723E-3</v>
      </c>
      <c r="AV1565" s="73">
        <f t="shared" si="495"/>
        <v>1.0068214933659623</v>
      </c>
      <c r="AW1565" s="74">
        <f>PRODUCT(AV$4:AV1565)</f>
        <v>40904.484173449346</v>
      </c>
    </row>
    <row r="1566" spans="44:49">
      <c r="AR1566" s="69">
        <f t="shared" si="494"/>
        <v>131</v>
      </c>
      <c r="AS1566" s="70">
        <f t="shared" si="496"/>
        <v>1563</v>
      </c>
      <c r="AT1566" s="71">
        <f t="shared" si="497"/>
        <v>2.2578199971876087E-5</v>
      </c>
      <c r="AU1566" s="72">
        <f t="shared" si="493"/>
        <v>6.8214933659622723E-3</v>
      </c>
      <c r="AV1566" s="73">
        <f t="shared" si="495"/>
        <v>1.0068214933659623</v>
      </c>
      <c r="AW1566" s="74">
        <f>PRODUCT(AV$4:AV1566)</f>
        <v>41183.513840876636</v>
      </c>
    </row>
    <row r="1567" spans="44:49">
      <c r="AR1567" s="69">
        <f t="shared" si="494"/>
        <v>131</v>
      </c>
      <c r="AS1567" s="70">
        <f t="shared" si="496"/>
        <v>1564</v>
      </c>
      <c r="AT1567" s="71">
        <f t="shared" si="497"/>
        <v>2.2424182930552566E-5</v>
      </c>
      <c r="AU1567" s="72">
        <f t="shared" si="493"/>
        <v>6.8214933659622723E-3</v>
      </c>
      <c r="AV1567" s="73">
        <f t="shared" si="495"/>
        <v>1.0068214933659623</v>
      </c>
      <c r="AW1567" s="74">
        <f>PRODUCT(AV$4:AV1567)</f>
        <v>41464.446907329191</v>
      </c>
    </row>
    <row r="1568" spans="44:49">
      <c r="AR1568" s="69">
        <f t="shared" si="494"/>
        <v>131</v>
      </c>
      <c r="AS1568" s="70">
        <f t="shared" si="496"/>
        <v>1565</v>
      </c>
      <c r="AT1568" s="71">
        <f t="shared" si="497"/>
        <v>2.2271216515454678E-5</v>
      </c>
      <c r="AU1568" s="72">
        <f t="shared" si="493"/>
        <v>6.8214933659622723E-3</v>
      </c>
      <c r="AV1568" s="73">
        <f t="shared" si="495"/>
        <v>1.0068214933659623</v>
      </c>
      <c r="AW1568" s="74">
        <f>PRODUCT(AV$4:AV1568)</f>
        <v>41747.296356830833</v>
      </c>
    </row>
    <row r="1569" spans="44:49">
      <c r="AR1569" s="69">
        <f t="shared" si="494"/>
        <v>131</v>
      </c>
      <c r="AS1569" s="70">
        <f t="shared" si="496"/>
        <v>1566</v>
      </c>
      <c r="AT1569" s="71">
        <f t="shared" si="497"/>
        <v>2.2119293559742595E-5</v>
      </c>
      <c r="AU1569" s="72">
        <f t="shared" si="493"/>
        <v>6.8214933659622723E-3</v>
      </c>
      <c r="AV1569" s="73">
        <f t="shared" si="495"/>
        <v>1.0068214933659623</v>
      </c>
      <c r="AW1569" s="74">
        <f>PRODUCT(AV$4:AV1569)</f>
        <v>42032.075261975813</v>
      </c>
    </row>
    <row r="1570" spans="44:49">
      <c r="AR1570" s="69">
        <f t="shared" si="494"/>
        <v>131</v>
      </c>
      <c r="AS1570" s="70">
        <f t="shared" si="496"/>
        <v>1567</v>
      </c>
      <c r="AT1570" s="71">
        <f t="shared" si="497"/>
        <v>2.1968406945465038E-5</v>
      </c>
      <c r="AU1570" s="72">
        <f t="shared" si="493"/>
        <v>6.8214933659622723E-3</v>
      </c>
      <c r="AV1570" s="73">
        <f t="shared" si="495"/>
        <v>1.0068214933659623</v>
      </c>
      <c r="AW1570" s="74">
        <f>PRODUCT(AV$4:AV1570)</f>
        <v>42318.796784533006</v>
      </c>
    </row>
    <row r="1571" spans="44:49">
      <c r="AR1571" s="69">
        <f t="shared" si="494"/>
        <v>131</v>
      </c>
      <c r="AS1571" s="70">
        <f t="shared" si="496"/>
        <v>1568</v>
      </c>
      <c r="AT1571" s="71">
        <f t="shared" si="497"/>
        <v>2.1818549603225788E-5</v>
      </c>
      <c r="AU1571" s="72">
        <f t="shared" si="493"/>
        <v>6.8214933659622723E-3</v>
      </c>
      <c r="AV1571" s="73">
        <f t="shared" si="495"/>
        <v>1.0068214933659623</v>
      </c>
      <c r="AW1571" s="74">
        <f>PRODUCT(AV$4:AV1571)</f>
        <v>42607.474176054202</v>
      </c>
    </row>
    <row r="1572" spans="44:49">
      <c r="AR1572" s="69">
        <f t="shared" si="494"/>
        <v>131</v>
      </c>
      <c r="AS1572" s="70">
        <f t="shared" si="496"/>
        <v>1569</v>
      </c>
      <c r="AT1572" s="71">
        <f t="shared" si="497"/>
        <v>2.1669714511852464E-5</v>
      </c>
      <c r="AU1572" s="72">
        <f t="shared" si="493"/>
        <v>6.8214933659622723E-3</v>
      </c>
      <c r="AV1572" s="73">
        <f t="shared" si="495"/>
        <v>1.0068214933659623</v>
      </c>
      <c r="AW1572" s="74">
        <f>PRODUCT(AV$4:AV1572)</f>
        <v>42898.120778486562</v>
      </c>
    </row>
    <row r="1573" spans="44:49">
      <c r="AR1573" s="69">
        <f t="shared" si="494"/>
        <v>131</v>
      </c>
      <c r="AS1573" s="70">
        <f t="shared" si="496"/>
        <v>1570</v>
      </c>
      <c r="AT1573" s="71">
        <f t="shared" si="497"/>
        <v>2.1521894698067565E-5</v>
      </c>
      <c r="AU1573" s="72">
        <f t="shared" si="493"/>
        <v>6.8214933659622723E-3</v>
      </c>
      <c r="AV1573" s="73">
        <f t="shared" si="495"/>
        <v>1.0068214933659623</v>
      </c>
      <c r="AW1573" s="74">
        <f>PRODUCT(AV$4:AV1573)</f>
        <v>43190.750024789253</v>
      </c>
    </row>
    <row r="1574" spans="44:49">
      <c r="AR1574" s="69">
        <f t="shared" si="494"/>
        <v>131</v>
      </c>
      <c r="AS1574" s="70">
        <f t="shared" si="496"/>
        <v>1571</v>
      </c>
      <c r="AT1574" s="71">
        <f t="shared" si="497"/>
        <v>2.1375083236161759E-5</v>
      </c>
      <c r="AU1574" s="72">
        <f t="shared" si="493"/>
        <v>6.8214933659622723E-3</v>
      </c>
      <c r="AV1574" s="73">
        <f t="shared" si="495"/>
        <v>1.0068214933659623</v>
      </c>
      <c r="AW1574" s="74">
        <f>PRODUCT(AV$4:AV1574)</f>
        <v>43485.375439554286</v>
      </c>
    </row>
    <row r="1575" spans="44:49">
      <c r="AR1575" s="69">
        <f t="shared" si="494"/>
        <v>131</v>
      </c>
      <c r="AS1575" s="70">
        <f t="shared" si="496"/>
        <v>1572</v>
      </c>
      <c r="AT1575" s="71">
        <f t="shared" si="497"/>
        <v>2.1229273247669391E-5</v>
      </c>
      <c r="AU1575" s="72">
        <f t="shared" si="493"/>
        <v>6.8214933659622723E-3</v>
      </c>
      <c r="AV1575" s="73">
        <f t="shared" si="495"/>
        <v>1.0068214933659623</v>
      </c>
      <c r="AW1575" s="74">
        <f>PRODUCT(AV$4:AV1575)</f>
        <v>43782.010639631582</v>
      </c>
    </row>
    <row r="1576" spans="44:49">
      <c r="AR1576" s="69">
        <f t="shared" si="494"/>
        <v>132</v>
      </c>
      <c r="AS1576" s="70">
        <f t="shared" si="496"/>
        <v>1573</v>
      </c>
      <c r="AT1576" s="71">
        <f t="shared" si="497"/>
        <v>2.1084457901046212E-5</v>
      </c>
      <c r="AU1576" s="72">
        <f t="shared" si="493"/>
        <v>6.8214933659622723E-3</v>
      </c>
      <c r="AV1576" s="73">
        <f t="shared" si="495"/>
        <v>1.0068214933659623</v>
      </c>
      <c r="AW1576" s="74">
        <f>PRODUCT(AV$4:AV1576)</f>
        <v>44080.66933475832</v>
      </c>
    </row>
    <row r="1577" spans="44:49">
      <c r="AR1577" s="69">
        <f t="shared" si="494"/>
        <v>132</v>
      </c>
      <c r="AS1577" s="70">
        <f t="shared" si="496"/>
        <v>1574</v>
      </c>
      <c r="AT1577" s="71">
        <f t="shared" si="497"/>
        <v>2.0940630411349316E-5</v>
      </c>
      <c r="AU1577" s="72">
        <f t="shared" si="493"/>
        <v>6.8214933659622723E-3</v>
      </c>
      <c r="AV1577" s="73">
        <f t="shared" si="495"/>
        <v>1.0068214933659623</v>
      </c>
      <c r="AW1577" s="74">
        <f>PRODUCT(AV$4:AV1577)</f>
        <v>44381.365328192551</v>
      </c>
    </row>
    <row r="1578" spans="44:49">
      <c r="AR1578" s="69">
        <f t="shared" si="494"/>
        <v>132</v>
      </c>
      <c r="AS1578" s="70">
        <f t="shared" si="496"/>
        <v>1575</v>
      </c>
      <c r="AT1578" s="71">
        <f t="shared" si="497"/>
        <v>2.0797784039919228E-5</v>
      </c>
      <c r="AU1578" s="72">
        <f t="shared" si="493"/>
        <v>6.8214933659622723E-3</v>
      </c>
      <c r="AV1578" s="73">
        <f t="shared" si="495"/>
        <v>1.0068214933659623</v>
      </c>
      <c r="AW1578" s="74">
        <f>PRODUCT(AV$4:AV1578)</f>
        <v>44684.112517351161</v>
      </c>
    </row>
    <row r="1579" spans="44:49">
      <c r="AR1579" s="69">
        <f t="shared" si="494"/>
        <v>132</v>
      </c>
      <c r="AS1579" s="70">
        <f t="shared" si="496"/>
        <v>1576</v>
      </c>
      <c r="AT1579" s="71">
        <f t="shared" si="497"/>
        <v>2.0655912094064204E-5</v>
      </c>
      <c r="AU1579" s="72">
        <f t="shared" si="493"/>
        <v>6.8214933659622723E-3</v>
      </c>
      <c r="AV1579" s="73">
        <f t="shared" si="495"/>
        <v>1.0068214933659623</v>
      </c>
      <c r="AW1579" s="74">
        <f>PRODUCT(AV$4:AV1579)</f>
        <v>44988.924894452182</v>
      </c>
    </row>
    <row r="1580" spans="44:49">
      <c r="AR1580" s="69">
        <f t="shared" si="494"/>
        <v>132</v>
      </c>
      <c r="AS1580" s="70">
        <f t="shared" si="496"/>
        <v>1577</v>
      </c>
      <c r="AT1580" s="71">
        <f t="shared" si="497"/>
        <v>2.0515007926746644E-5</v>
      </c>
      <c r="AU1580" s="72">
        <f t="shared" si="493"/>
        <v>6.8214933659622723E-3</v>
      </c>
      <c r="AV1580" s="73">
        <f t="shared" si="495"/>
        <v>1.0068214933659623</v>
      </c>
      <c r="AW1580" s="74">
        <f>PRODUCT(AV$4:AV1580)</f>
        <v>45295.816547161463</v>
      </c>
    </row>
    <row r="1581" spans="44:49">
      <c r="AR1581" s="69">
        <f t="shared" si="494"/>
        <v>132</v>
      </c>
      <c r="AS1581" s="70">
        <f t="shared" si="496"/>
        <v>1578</v>
      </c>
      <c r="AT1581" s="71">
        <f t="shared" si="497"/>
        <v>2.0375064936271679E-5</v>
      </c>
      <c r="AU1581" s="72">
        <f t="shared" si="493"/>
        <v>6.8214933659622723E-3</v>
      </c>
      <c r="AV1581" s="73">
        <f t="shared" si="495"/>
        <v>1.0068214933659623</v>
      </c>
      <c r="AW1581" s="74">
        <f>PRODUCT(AV$4:AV1581)</f>
        <v>45604.801659243771</v>
      </c>
    </row>
    <row r="1582" spans="44:49">
      <c r="AR1582" s="69">
        <f t="shared" si="494"/>
        <v>132</v>
      </c>
      <c r="AS1582" s="70">
        <f t="shared" si="496"/>
        <v>1579</v>
      </c>
      <c r="AT1582" s="71">
        <f t="shared" si="497"/>
        <v>2.0236076565977853E-5</v>
      </c>
      <c r="AU1582" s="72">
        <f t="shared" si="493"/>
        <v>6.8214933659622723E-3</v>
      </c>
      <c r="AV1582" s="73">
        <f t="shared" si="495"/>
        <v>1.0068214933659623</v>
      </c>
      <c r="AW1582" s="74">
        <f>PRODUCT(AV$4:AV1582)</f>
        <v>45915.894511218328</v>
      </c>
    </row>
    <row r="1583" spans="44:49">
      <c r="AR1583" s="69">
        <f t="shared" si="494"/>
        <v>132</v>
      </c>
      <c r="AS1583" s="70">
        <f t="shared" si="496"/>
        <v>1580</v>
      </c>
      <c r="AT1583" s="71">
        <f t="shared" si="497"/>
        <v>2.0098036303929931E-5</v>
      </c>
      <c r="AU1583" s="72">
        <f t="shared" si="493"/>
        <v>6.8214933659622723E-3</v>
      </c>
      <c r="AV1583" s="73">
        <f t="shared" si="495"/>
        <v>1.0068214933659623</v>
      </c>
      <c r="AW1583" s="74">
        <f>PRODUCT(AV$4:AV1583)</f>
        <v>46229.10948101883</v>
      </c>
    </row>
    <row r="1584" spans="44:49">
      <c r="AR1584" s="69">
        <f t="shared" si="494"/>
        <v>132</v>
      </c>
      <c r="AS1584" s="70">
        <f t="shared" si="496"/>
        <v>1581</v>
      </c>
      <c r="AT1584" s="71">
        <f t="shared" si="497"/>
        <v>1.9960937682613805E-5</v>
      </c>
      <c r="AU1584" s="72">
        <f t="shared" si="493"/>
        <v>6.8214933659622723E-3</v>
      </c>
      <c r="AV1584" s="73">
        <f t="shared" si="495"/>
        <v>1.0068214933659623</v>
      </c>
      <c r="AW1584" s="74">
        <f>PRODUCT(AV$4:AV1584)</f>
        <v>46544.461044657946</v>
      </c>
    </row>
    <row r="1585" spans="44:49">
      <c r="AR1585" s="69">
        <f t="shared" si="494"/>
        <v>132</v>
      </c>
      <c r="AS1585" s="70">
        <f t="shared" si="496"/>
        <v>1582</v>
      </c>
      <c r="AT1585" s="71">
        <f t="shared" si="497"/>
        <v>1.9824774278633469E-5</v>
      </c>
      <c r="AU1585" s="72">
        <f t="shared" si="493"/>
        <v>6.8214933659622723E-3</v>
      </c>
      <c r="AV1585" s="73">
        <f t="shared" si="495"/>
        <v>1.0068214933659623</v>
      </c>
      <c r="AW1585" s="74">
        <f>PRODUCT(AV$4:AV1585)</f>
        <v>46861.963776896373</v>
      </c>
    </row>
    <row r="1586" spans="44:49">
      <c r="AR1586" s="69">
        <f t="shared" si="494"/>
        <v>132</v>
      </c>
      <c r="AS1586" s="70">
        <f t="shared" si="496"/>
        <v>1583</v>
      </c>
      <c r="AT1586" s="71">
        <f t="shared" si="497"/>
        <v>1.9689539712410073E-5</v>
      </c>
      <c r="AU1586" s="72">
        <f t="shared" si="493"/>
        <v>6.8214933659622723E-3</v>
      </c>
      <c r="AV1586" s="73">
        <f t="shared" si="495"/>
        <v>1.0068214933659623</v>
      </c>
      <c r="AW1586" s="74">
        <f>PRODUCT(AV$4:AV1586)</f>
        <v>47181.632351916436</v>
      </c>
    </row>
    <row r="1587" spans="44:49">
      <c r="AR1587" s="69">
        <f t="shared" si="494"/>
        <v>132</v>
      </c>
      <c r="AS1587" s="70">
        <f t="shared" si="496"/>
        <v>1584</v>
      </c>
      <c r="AT1587" s="71">
        <f t="shared" si="497"/>
        <v>1.9555227647883015E-5</v>
      </c>
      <c r="AU1587" s="72">
        <f t="shared" si="493"/>
        <v>6.8214933659622723E-3</v>
      </c>
      <c r="AV1587" s="73">
        <f t="shared" si="495"/>
        <v>1.0068214933659623</v>
      </c>
      <c r="AW1587" s="74">
        <f>PRODUCT(AV$4:AV1587)</f>
        <v>47503.481544000308</v>
      </c>
    </row>
    <row r="1588" spans="44:49">
      <c r="AR1588" s="69">
        <f t="shared" si="494"/>
        <v>133</v>
      </c>
      <c r="AS1588" s="70">
        <f t="shared" si="496"/>
        <v>1585</v>
      </c>
      <c r="AT1588" s="71">
        <f t="shared" si="497"/>
        <v>1.9421831792213099E-5</v>
      </c>
      <c r="AU1588" s="72">
        <f t="shared" si="493"/>
        <v>6.8214933659622723E-3</v>
      </c>
      <c r="AV1588" s="73">
        <f t="shared" si="495"/>
        <v>1.0068214933659623</v>
      </c>
      <c r="AW1588" s="74">
        <f>PRODUCT(AV$4:AV1588)</f>
        <v>47827.526228212817</v>
      </c>
    </row>
    <row r="1589" spans="44:49">
      <c r="AR1589" s="69">
        <f t="shared" si="494"/>
        <v>133</v>
      </c>
      <c r="AS1589" s="70">
        <f t="shared" si="496"/>
        <v>1586</v>
      </c>
      <c r="AT1589" s="71">
        <f t="shared" si="497"/>
        <v>1.9289345895487682E-5</v>
      </c>
      <c r="AU1589" s="72">
        <f t="shared" si="493"/>
        <v>6.8214933659622723E-3</v>
      </c>
      <c r="AV1589" s="73">
        <f t="shared" si="495"/>
        <v>1.0068214933659623</v>
      </c>
      <c r="AW1589" s="74">
        <f>PRODUCT(AV$4:AV1589)</f>
        <v>48153.781381088957</v>
      </c>
    </row>
    <row r="1590" spans="44:49">
      <c r="AR1590" s="69">
        <f t="shared" si="494"/>
        <v>133</v>
      </c>
      <c r="AS1590" s="70">
        <f t="shared" si="496"/>
        <v>1587</v>
      </c>
      <c r="AT1590" s="71">
        <f t="shared" si="497"/>
        <v>1.9157763750427861E-5</v>
      </c>
      <c r="AU1590" s="72">
        <f t="shared" si="493"/>
        <v>6.8214933659622723E-3</v>
      </c>
      <c r="AV1590" s="73">
        <f t="shared" si="495"/>
        <v>1.0068214933659623</v>
      </c>
      <c r="AW1590" s="74">
        <f>PRODUCT(AV$4:AV1590)</f>
        <v>48482.262081326051</v>
      </c>
    </row>
    <row r="1591" spans="44:49">
      <c r="AR1591" s="69">
        <f t="shared" si="494"/>
        <v>133</v>
      </c>
      <c r="AS1591" s="70">
        <f t="shared" si="496"/>
        <v>1588</v>
      </c>
      <c r="AT1591" s="71">
        <f t="shared" si="497"/>
        <v>1.9027079192097645E-5</v>
      </c>
      <c r="AU1591" s="72">
        <f t="shared" si="493"/>
        <v>6.8214933659622723E-3</v>
      </c>
      <c r="AV1591" s="73">
        <f t="shared" si="495"/>
        <v>1.0068214933659623</v>
      </c>
      <c r="AW1591" s="74">
        <f>PRODUCT(AV$4:AV1591)</f>
        <v>48812.983510480663</v>
      </c>
    </row>
    <row r="1592" spans="44:49">
      <c r="AR1592" s="69">
        <f t="shared" si="494"/>
        <v>133</v>
      </c>
      <c r="AS1592" s="70">
        <f t="shared" si="496"/>
        <v>1589</v>
      </c>
      <c r="AT1592" s="71">
        <f t="shared" si="497"/>
        <v>1.8897286097615114E-5</v>
      </c>
      <c r="AU1592" s="72">
        <f t="shared" si="493"/>
        <v>6.8214933659622723E-3</v>
      </c>
      <c r="AV1592" s="73">
        <f t="shared" si="495"/>
        <v>1.0068214933659623</v>
      </c>
      <c r="AW1592" s="74">
        <f>PRODUCT(AV$4:AV1592)</f>
        <v>49145.960953670234</v>
      </c>
    </row>
    <row r="1593" spans="44:49">
      <c r="AR1593" s="69">
        <f t="shared" si="494"/>
        <v>133</v>
      </c>
      <c r="AS1593" s="70">
        <f t="shared" si="496"/>
        <v>1590</v>
      </c>
      <c r="AT1593" s="71">
        <f t="shared" si="497"/>
        <v>1.8768378385865542E-5</v>
      </c>
      <c r="AU1593" s="72">
        <f t="shared" si="493"/>
        <v>6.8214933659622723E-3</v>
      </c>
      <c r="AV1593" s="73">
        <f t="shared" si="495"/>
        <v>1.0068214933659623</v>
      </c>
      <c r="AW1593" s="74">
        <f>PRODUCT(AV$4:AV1593)</f>
        <v>49481.209800279539</v>
      </c>
    </row>
    <row r="1594" spans="44:49">
      <c r="AR1594" s="69">
        <f t="shared" si="494"/>
        <v>133</v>
      </c>
      <c r="AS1594" s="70">
        <f t="shared" si="496"/>
        <v>1591</v>
      </c>
      <c r="AT1594" s="71">
        <f t="shared" si="497"/>
        <v>1.8640350017216492E-5</v>
      </c>
      <c r="AU1594" s="72">
        <f t="shared" si="493"/>
        <v>6.8214933659622723E-3</v>
      </c>
      <c r="AV1594" s="73">
        <f t="shared" si="495"/>
        <v>1.0068214933659623</v>
      </c>
      <c r="AW1594" s="74">
        <f>PRODUCT(AV$4:AV1594)</f>
        <v>49818.745544671932</v>
      </c>
    </row>
    <row r="1595" spans="44:49">
      <c r="AR1595" s="69">
        <f t="shared" si="494"/>
        <v>133</v>
      </c>
      <c r="AS1595" s="70">
        <f t="shared" si="496"/>
        <v>1592</v>
      </c>
      <c r="AT1595" s="71">
        <f t="shared" si="497"/>
        <v>1.8513194993234836E-5</v>
      </c>
      <c r="AU1595" s="72">
        <f t="shared" si="493"/>
        <v>6.8214933659622723E-3</v>
      </c>
      <c r="AV1595" s="73">
        <f t="shared" si="495"/>
        <v>1.0068214933659623</v>
      </c>
      <c r="AW1595" s="74">
        <f>PRODUCT(AV$4:AV1595)</f>
        <v>50158.583786905474</v>
      </c>
    </row>
    <row r="1596" spans="44:49">
      <c r="AR1596" s="69">
        <f t="shared" si="494"/>
        <v>133</v>
      </c>
      <c r="AS1596" s="70">
        <f t="shared" si="496"/>
        <v>1593</v>
      </c>
      <c r="AT1596" s="71">
        <f t="shared" si="497"/>
        <v>1.8386907356405719E-5</v>
      </c>
      <c r="AU1596" s="72">
        <f t="shared" si="493"/>
        <v>6.8214933659622723E-3</v>
      </c>
      <c r="AV1596" s="73">
        <f t="shared" si="495"/>
        <v>1.0068214933659623</v>
      </c>
      <c r="AW1596" s="74">
        <f>PRODUCT(AV$4:AV1596)</f>
        <v>50500.740233453915</v>
      </c>
    </row>
    <row r="1597" spans="44:49">
      <c r="AR1597" s="69">
        <f t="shared" si="494"/>
        <v>133</v>
      </c>
      <c r="AS1597" s="70">
        <f t="shared" si="496"/>
        <v>1594</v>
      </c>
      <c r="AT1597" s="71">
        <f t="shared" si="497"/>
        <v>1.8261481189853435E-5</v>
      </c>
      <c r="AU1597" s="72">
        <f t="shared" si="493"/>
        <v>6.8214933659622723E-3</v>
      </c>
      <c r="AV1597" s="73">
        <f t="shared" si="495"/>
        <v>1.0068214933659623</v>
      </c>
      <c r="AW1597" s="74">
        <f>PRODUCT(AV$4:AV1597)</f>
        <v>50845.230697932602</v>
      </c>
    </row>
    <row r="1598" spans="44:49">
      <c r="AR1598" s="69">
        <f t="shared" si="494"/>
        <v>133</v>
      </c>
      <c r="AS1598" s="70">
        <f t="shared" si="496"/>
        <v>1595</v>
      </c>
      <c r="AT1598" s="71">
        <f t="shared" si="497"/>
        <v>1.8136910617064207E-5</v>
      </c>
      <c r="AU1598" s="72">
        <f t="shared" si="493"/>
        <v>6.8214933659622723E-3</v>
      </c>
      <c r="AV1598" s="73">
        <f t="shared" si="495"/>
        <v>1.0068214933659623</v>
      </c>
      <c r="AW1598" s="74">
        <f>PRODUCT(AV$4:AV1598)</f>
        <v>51192.071101829373</v>
      </c>
    </row>
    <row r="1599" spans="44:49">
      <c r="AR1599" s="69">
        <f t="shared" si="494"/>
        <v>133</v>
      </c>
      <c r="AS1599" s="70">
        <f t="shared" si="496"/>
        <v>1596</v>
      </c>
      <c r="AT1599" s="71">
        <f t="shared" si="497"/>
        <v>1.8013189801610852E-5</v>
      </c>
      <c r="AU1599" s="72">
        <f t="shared" si="493"/>
        <v>6.8214933659622723E-3</v>
      </c>
      <c r="AV1599" s="73">
        <f t="shared" si="495"/>
        <v>1.0068214933659623</v>
      </c>
      <c r="AW1599" s="74">
        <f>PRODUCT(AV$4:AV1599)</f>
        <v>51541.277475240371</v>
      </c>
    </row>
    <row r="1600" spans="44:49">
      <c r="AR1600" s="69">
        <f t="shared" si="494"/>
        <v>134</v>
      </c>
      <c r="AS1600" s="70">
        <f t="shared" si="496"/>
        <v>1597</v>
      </c>
      <c r="AT1600" s="71">
        <f t="shared" si="497"/>
        <v>1.7890312946879345E-5</v>
      </c>
      <c r="AU1600" s="72">
        <f t="shared" si="493"/>
        <v>6.8214933659622723E-3</v>
      </c>
      <c r="AV1600" s="73">
        <f t="shared" si="495"/>
        <v>1.0068214933659623</v>
      </c>
      <c r="AW1600" s="74">
        <f>PRODUCT(AV$4:AV1600)</f>
        <v>51892.865957610942</v>
      </c>
    </row>
    <row r="1601" spans="44:49">
      <c r="AR1601" s="69">
        <f t="shared" si="494"/>
        <v>134</v>
      </c>
      <c r="AS1601" s="70">
        <f t="shared" si="496"/>
        <v>1598</v>
      </c>
      <c r="AT1601" s="71">
        <f t="shared" si="497"/>
        <v>1.7768274295797217E-5</v>
      </c>
      <c r="AU1601" s="72">
        <f t="shared" si="493"/>
        <v>6.8214933659622723E-3</v>
      </c>
      <c r="AV1601" s="73">
        <f t="shared" si="495"/>
        <v>1.0068214933659623</v>
      </c>
      <c r="AW1601" s="74">
        <f>PRODUCT(AV$4:AV1601)</f>
        <v>52246.852798481552</v>
      </c>
    </row>
    <row r="1602" spans="44:49">
      <c r="AR1602" s="69">
        <f t="shared" si="494"/>
        <v>134</v>
      </c>
      <c r="AS1602" s="70">
        <f t="shared" si="496"/>
        <v>1599</v>
      </c>
      <c r="AT1602" s="71">
        <f t="shared" si="497"/>
        <v>1.7647068130563839E-5</v>
      </c>
      <c r="AU1602" s="72">
        <f t="shared" si="493"/>
        <v>6.8214933659622723E-3</v>
      </c>
      <c r="AV1602" s="73">
        <f t="shared" si="495"/>
        <v>1.0068214933659623</v>
      </c>
      <c r="AW1602" s="74">
        <f>PRODUCT(AV$4:AV1602)</f>
        <v>52603.254358238803</v>
      </c>
    </row>
    <row r="1603" spans="44:49">
      <c r="AR1603" s="69">
        <f t="shared" si="494"/>
        <v>134</v>
      </c>
      <c r="AS1603" s="70">
        <f t="shared" si="496"/>
        <v>1600</v>
      </c>
      <c r="AT1603" s="71">
        <f t="shared" si="497"/>
        <v>1.7526688772382514E-5</v>
      </c>
      <c r="AU1603" s="72">
        <f t="shared" si="493"/>
        <v>6.8214933659622723E-3</v>
      </c>
      <c r="AV1603" s="73">
        <f t="shared" si="495"/>
        <v>1.0068214933659623</v>
      </c>
      <c r="AW1603" s="74">
        <f>PRODUCT(AV$4:AV1603)</f>
        <v>52962.087108871558</v>
      </c>
    </row>
    <row r="1604" spans="44:49">
      <c r="AR1604" s="69">
        <f t="shared" si="494"/>
        <v>134</v>
      </c>
      <c r="AS1604" s="70">
        <f t="shared" si="496"/>
        <v>1601</v>
      </c>
      <c r="AT1604" s="71">
        <f t="shared" si="497"/>
        <v>1.7407130581194422E-5</v>
      </c>
      <c r="AU1604" s="72">
        <f t="shared" ref="AU1604:AU1667" si="498">((1+$AH$21)^(1/12))-1</f>
        <v>6.8214933659622723E-3</v>
      </c>
      <c r="AV1604" s="73">
        <f t="shared" si="495"/>
        <v>1.0068214933659623</v>
      </c>
      <c r="AW1604" s="74">
        <f>PRODUCT(AV$4:AV1604)</f>
        <v>53323.36763473224</v>
      </c>
    </row>
    <row r="1605" spans="44:49">
      <c r="AR1605" s="69">
        <f t="shared" ref="AR1605:AR1668" si="499">ROUNDDOWN((AS1605-1)/12,0)+1</f>
        <v>134</v>
      </c>
      <c r="AS1605" s="70">
        <f t="shared" si="496"/>
        <v>1602</v>
      </c>
      <c r="AT1605" s="71">
        <f t="shared" si="497"/>
        <v>1.7288387955414363E-5</v>
      </c>
      <c r="AU1605" s="72">
        <f t="shared" si="498"/>
        <v>6.8214933659622723E-3</v>
      </c>
      <c r="AV1605" s="73">
        <f t="shared" ref="AV1605:AV1668" si="500">(1+AU1605)</f>
        <v>1.0068214933659623</v>
      </c>
      <c r="AW1605" s="74">
        <f>PRODUCT(AV$4:AV1605)</f>
        <v>53687.112633303332</v>
      </c>
    </row>
    <row r="1606" spans="44:49">
      <c r="AR1606" s="69">
        <f t="shared" si="499"/>
        <v>134</v>
      </c>
      <c r="AS1606" s="70">
        <f t="shared" ref="AS1606:AS1669" si="501">AS1605+1</f>
        <v>1603</v>
      </c>
      <c r="AT1606" s="71">
        <f t="shared" si="497"/>
        <v>1.7170455331668322E-5</v>
      </c>
      <c r="AU1606" s="72">
        <f t="shared" si="498"/>
        <v>6.8214933659622723E-3</v>
      </c>
      <c r="AV1606" s="73">
        <f t="shared" si="500"/>
        <v>1.0068214933659623</v>
      </c>
      <c r="AW1606" s="74">
        <f>PRODUCT(AV$4:AV1606)</f>
        <v>54053.338915969078</v>
      </c>
    </row>
    <row r="1607" spans="44:49">
      <c r="AR1607" s="69">
        <f t="shared" si="499"/>
        <v>134</v>
      </c>
      <c r="AS1607" s="70">
        <f t="shared" si="501"/>
        <v>1604</v>
      </c>
      <c r="AT1607" s="71">
        <f t="shared" si="497"/>
        <v>1.7053327184532794E-5</v>
      </c>
      <c r="AU1607" s="72">
        <f t="shared" si="498"/>
        <v>6.8214933659622723E-3</v>
      </c>
      <c r="AV1607" s="73">
        <f t="shared" si="500"/>
        <v>1.0068214933659623</v>
      </c>
      <c r="AW1607" s="74">
        <f>PRODUCT(AV$4:AV1607)</f>
        <v>54422.06340879247</v>
      </c>
    </row>
    <row r="1608" spans="44:49">
      <c r="AR1608" s="69">
        <f t="shared" si="499"/>
        <v>134</v>
      </c>
      <c r="AS1608" s="70">
        <f t="shared" si="501"/>
        <v>1605</v>
      </c>
      <c r="AT1608" s="71">
        <f t="shared" si="497"/>
        <v>1.6936998026275919E-5</v>
      </c>
      <c r="AU1608" s="72">
        <f t="shared" si="498"/>
        <v>6.8214933659622723E-3</v>
      </c>
      <c r="AV1608" s="73">
        <f t="shared" si="500"/>
        <v>1.0068214933659623</v>
      </c>
      <c r="AW1608" s="74">
        <f>PRODUCT(AV$4:AV1608)</f>
        <v>54793.303153297529</v>
      </c>
    </row>
    <row r="1609" spans="44:49">
      <c r="AR1609" s="69">
        <f t="shared" si="499"/>
        <v>134</v>
      </c>
      <c r="AS1609" s="70">
        <f t="shared" si="501"/>
        <v>1606</v>
      </c>
      <c r="AT1609" s="71">
        <f t="shared" si="497"/>
        <v>1.6821462406600363E-5</v>
      </c>
      <c r="AU1609" s="72">
        <f t="shared" si="498"/>
        <v>6.8214933659622723E-3</v>
      </c>
      <c r="AV1609" s="73">
        <f t="shared" si="500"/>
        <v>1.0068214933659623</v>
      </c>
      <c r="AW1609" s="74">
        <f>PRODUCT(AV$4:AV1609)</f>
        <v>55167.075307256906</v>
      </c>
    </row>
    <row r="1610" spans="44:49">
      <c r="AR1610" s="69">
        <f t="shared" si="499"/>
        <v>134</v>
      </c>
      <c r="AS1610" s="70">
        <f t="shared" si="501"/>
        <v>1607</v>
      </c>
      <c r="AT1610" s="71">
        <f t="shared" si="497"/>
        <v>1.6706714912387955E-5</v>
      </c>
      <c r="AU1610" s="72">
        <f t="shared" si="498"/>
        <v>6.8214933659622723E-3</v>
      </c>
      <c r="AV1610" s="73">
        <f t="shared" si="500"/>
        <v>1.0068214933659623</v>
      </c>
      <c r="AW1610" s="74">
        <f>PRODUCT(AV$4:AV1610)</f>
        <v>55543.397145484902</v>
      </c>
    </row>
    <row r="1611" spans="44:49">
      <c r="AR1611" s="69">
        <f t="shared" si="499"/>
        <v>134</v>
      </c>
      <c r="AS1611" s="70">
        <f t="shared" si="501"/>
        <v>1608</v>
      </c>
      <c r="AT1611" s="71">
        <f t="shared" si="497"/>
        <v>1.6592750167446079E-5</v>
      </c>
      <c r="AU1611" s="72">
        <f t="shared" si="498"/>
        <v>6.8214933659622723E-3</v>
      </c>
      <c r="AV1611" s="73">
        <f t="shared" si="500"/>
        <v>1.0068214933659623</v>
      </c>
      <c r="AW1611" s="74">
        <f>PRODUCT(AV$4:AV1611)</f>
        <v>55922.286060635837</v>
      </c>
    </row>
    <row r="1612" spans="44:49">
      <c r="AR1612" s="69">
        <f t="shared" si="499"/>
        <v>135</v>
      </c>
      <c r="AS1612" s="70">
        <f t="shared" si="501"/>
        <v>1609</v>
      </c>
      <c r="AT1612" s="71">
        <f t="shared" si="497"/>
        <v>1.6479562832255776E-5</v>
      </c>
      <c r="AU1612" s="72">
        <f t="shared" si="498"/>
        <v>6.8214933659622723E-3</v>
      </c>
      <c r="AV1612" s="73">
        <f t="shared" si="500"/>
        <v>1.0068214933659623</v>
      </c>
      <c r="AW1612" s="74">
        <f>PRODUCT(AV$4:AV1612)</f>
        <v>56303.759564007909</v>
      </c>
    </row>
    <row r="1613" spans="44:49">
      <c r="AR1613" s="69">
        <f t="shared" si="499"/>
        <v>135</v>
      </c>
      <c r="AS1613" s="70">
        <f t="shared" si="501"/>
        <v>1610</v>
      </c>
      <c r="AT1613" s="71">
        <f t="shared" si="497"/>
        <v>1.6367147603721584E-5</v>
      </c>
      <c r="AU1613" s="72">
        <f t="shared" si="498"/>
        <v>6.8214933659622723E-3</v>
      </c>
      <c r="AV1613" s="73">
        <f t="shared" si="500"/>
        <v>1.0068214933659623</v>
      </c>
      <c r="AW1613" s="74">
        <f>PRODUCT(AV$4:AV1613)</f>
        <v>56687.835286352522</v>
      </c>
    </row>
    <row r="1614" spans="44:49">
      <c r="AR1614" s="69">
        <f t="shared" si="499"/>
        <v>135</v>
      </c>
      <c r="AS1614" s="70">
        <f t="shared" si="501"/>
        <v>1611</v>
      </c>
      <c r="AT1614" s="71">
        <f t="shared" si="497"/>
        <v>1.6255499214923071E-5</v>
      </c>
      <c r="AU1614" s="72">
        <f t="shared" si="498"/>
        <v>6.8214933659622723E-3</v>
      </c>
      <c r="AV1614" s="73">
        <f t="shared" si="500"/>
        <v>1.0068214933659623</v>
      </c>
      <c r="AW1614" s="74">
        <f>PRODUCT(AV$4:AV1614)</f>
        <v>57074.530978689138</v>
      </c>
    </row>
    <row r="1615" spans="44:49">
      <c r="AR1615" s="69">
        <f t="shared" si="499"/>
        <v>135</v>
      </c>
      <c r="AS1615" s="70">
        <f t="shared" si="501"/>
        <v>1612</v>
      </c>
      <c r="AT1615" s="71">
        <f t="shared" ref="AT1615:AT1678" si="502">(1-AU1615)*AT1614</f>
        <v>1.6144612434868068E-5</v>
      </c>
      <c r="AU1615" s="72">
        <f t="shared" si="498"/>
        <v>6.8214933659622723E-3</v>
      </c>
      <c r="AV1615" s="73">
        <f t="shared" si="500"/>
        <v>1.0068214933659623</v>
      </c>
      <c r="AW1615" s="74">
        <f>PRODUCT(AV$4:AV1615)</f>
        <v>57463.864513125671</v>
      </c>
    </row>
    <row r="1616" spans="44:49">
      <c r="AR1616" s="69">
        <f t="shared" si="499"/>
        <v>135</v>
      </c>
      <c r="AS1616" s="70">
        <f t="shared" si="501"/>
        <v>1613</v>
      </c>
      <c r="AT1616" s="71">
        <f t="shared" si="502"/>
        <v>1.6034482068247584E-5</v>
      </c>
      <c r="AU1616" s="72">
        <f t="shared" si="498"/>
        <v>6.8214933659622723E-3</v>
      </c>
      <c r="AV1616" s="73">
        <f t="shared" si="500"/>
        <v>1.0068214933659623</v>
      </c>
      <c r="AW1616" s="74">
        <f>PRODUCT(AV$4:AV1616)</f>
        <v>57855.853883684511</v>
      </c>
    </row>
    <row r="1617" spans="44:49">
      <c r="AR1617" s="69">
        <f t="shared" si="499"/>
        <v>135</v>
      </c>
      <c r="AS1617" s="70">
        <f t="shared" si="501"/>
        <v>1614</v>
      </c>
      <c r="AT1617" s="71">
        <f t="shared" si="502"/>
        <v>1.5925102955192393E-5</v>
      </c>
      <c r="AU1617" s="72">
        <f t="shared" si="498"/>
        <v>6.8214933659622723E-3</v>
      </c>
      <c r="AV1617" s="73">
        <f t="shared" si="500"/>
        <v>1.0068214933659623</v>
      </c>
      <c r="AW1617" s="74">
        <f>PRODUCT(AV$4:AV1617)</f>
        <v>58250.517207134144</v>
      </c>
    </row>
    <row r="1618" spans="44:49">
      <c r="AR1618" s="69">
        <f t="shared" si="499"/>
        <v>135</v>
      </c>
      <c r="AS1618" s="70">
        <f t="shared" si="501"/>
        <v>1615</v>
      </c>
      <c r="AT1618" s="71">
        <f t="shared" si="502"/>
        <v>1.5816469971031281E-5</v>
      </c>
      <c r="AU1618" s="72">
        <f t="shared" si="498"/>
        <v>6.8214933659622723E-3</v>
      </c>
      <c r="AV1618" s="73">
        <f t="shared" si="500"/>
        <v>1.0068214933659623</v>
      </c>
      <c r="AW1618" s="74">
        <f>PRODUCT(AV$4:AV1618)</f>
        <v>58647.872723826484</v>
      </c>
    </row>
    <row r="1619" spans="44:49">
      <c r="AR1619" s="69">
        <f t="shared" si="499"/>
        <v>135</v>
      </c>
      <c r="AS1619" s="70">
        <f t="shared" si="501"/>
        <v>1616</v>
      </c>
      <c r="AT1619" s="71">
        <f t="shared" si="502"/>
        <v>1.5708578026050949E-5</v>
      </c>
      <c r="AU1619" s="72">
        <f t="shared" si="498"/>
        <v>6.8214933659622723E-3</v>
      </c>
      <c r="AV1619" s="73">
        <f t="shared" si="500"/>
        <v>1.0068214933659623</v>
      </c>
      <c r="AW1619" s="74">
        <f>PRODUCT(AV$4:AV1619)</f>
        <v>59047.938798539864</v>
      </c>
    </row>
    <row r="1620" spans="44:49">
      <c r="AR1620" s="69">
        <f t="shared" si="499"/>
        <v>135</v>
      </c>
      <c r="AS1620" s="70">
        <f t="shared" si="501"/>
        <v>1617</v>
      </c>
      <c r="AT1620" s="71">
        <f t="shared" si="502"/>
        <v>1.5601422065257542E-5</v>
      </c>
      <c r="AU1620" s="72">
        <f t="shared" si="498"/>
        <v>6.8214933659622723E-3</v>
      </c>
      <c r="AV1620" s="73">
        <f t="shared" si="500"/>
        <v>1.0068214933659623</v>
      </c>
      <c r="AW1620" s="74">
        <f>PRODUCT(AV$4:AV1620)</f>
        <v>59450.733921327854</v>
      </c>
    </row>
    <row r="1621" spans="44:49">
      <c r="AR1621" s="69">
        <f t="shared" si="499"/>
        <v>135</v>
      </c>
      <c r="AS1621" s="70">
        <f t="shared" si="501"/>
        <v>1618</v>
      </c>
      <c r="AT1621" s="71">
        <f t="shared" si="502"/>
        <v>1.5494997068139811E-5</v>
      </c>
      <c r="AU1621" s="72">
        <f t="shared" si="498"/>
        <v>6.8214933659622723E-3</v>
      </c>
      <c r="AV1621" s="73">
        <f t="shared" si="500"/>
        <v>1.0068214933659623</v>
      </c>
      <c r="AW1621" s="74">
        <f>PRODUCT(AV$4:AV1621)</f>
        <v>59856.276708373778</v>
      </c>
    </row>
    <row r="1622" spans="44:49">
      <c r="AR1622" s="69">
        <f t="shared" si="499"/>
        <v>135</v>
      </c>
      <c r="AS1622" s="70">
        <f t="shared" si="501"/>
        <v>1619</v>
      </c>
      <c r="AT1622" s="71">
        <f t="shared" si="502"/>
        <v>1.5389298048433889E-5</v>
      </c>
      <c r="AU1622" s="72">
        <f t="shared" si="498"/>
        <v>6.8214933659622723E-3</v>
      </c>
      <c r="AV1622" s="73">
        <f t="shared" si="500"/>
        <v>1.0068214933659623</v>
      </c>
      <c r="AW1622" s="74">
        <f>PRODUCT(AV$4:AV1622)</f>
        <v>60264.585902851155</v>
      </c>
    </row>
    <row r="1623" spans="44:49">
      <c r="AR1623" s="69">
        <f t="shared" si="499"/>
        <v>135</v>
      </c>
      <c r="AS1623" s="70">
        <f t="shared" si="501"/>
        <v>1620</v>
      </c>
      <c r="AT1623" s="71">
        <f t="shared" si="502"/>
        <v>1.5284320053889683E-5</v>
      </c>
      <c r="AU1623" s="72">
        <f t="shared" si="498"/>
        <v>6.8214933659622723E-3</v>
      </c>
      <c r="AV1623" s="73">
        <f t="shared" si="500"/>
        <v>1.0068214933659623</v>
      </c>
      <c r="AW1623" s="74">
        <f>PRODUCT(AV$4:AV1623)</f>
        <v>60675.680375789918</v>
      </c>
    </row>
    <row r="1624" spans="44:49">
      <c r="AR1624" s="69">
        <f t="shared" si="499"/>
        <v>136</v>
      </c>
      <c r="AS1624" s="70">
        <f t="shared" si="501"/>
        <v>1621</v>
      </c>
      <c r="AT1624" s="71">
        <f t="shared" si="502"/>
        <v>1.5180058166038829E-5</v>
      </c>
      <c r="AU1624" s="72">
        <f t="shared" si="498"/>
        <v>6.8214933659622723E-3</v>
      </c>
      <c r="AV1624" s="73">
        <f t="shared" si="500"/>
        <v>1.0068214933659623</v>
      </c>
      <c r="AW1624" s="74">
        <f>PRODUCT(AV$4:AV1624)</f>
        <v>61089.579126948614</v>
      </c>
    </row>
    <row r="1625" spans="44:49">
      <c r="AR1625" s="69">
        <f t="shared" si="499"/>
        <v>136</v>
      </c>
      <c r="AS1625" s="70">
        <f t="shared" si="501"/>
        <v>1622</v>
      </c>
      <c r="AT1625" s="71">
        <f t="shared" si="502"/>
        <v>1.5076507499964275E-5</v>
      </c>
      <c r="AU1625" s="72">
        <f t="shared" si="498"/>
        <v>6.8214933659622723E-3</v>
      </c>
      <c r="AV1625" s="73">
        <f t="shared" si="500"/>
        <v>1.0068214933659623</v>
      </c>
      <c r="AW1625" s="74">
        <f>PRODUCT(AV$4:AV1625)</f>
        <v>61506.30128569252</v>
      </c>
    </row>
    <row r="1626" spans="44:49">
      <c r="AR1626" s="69">
        <f t="shared" si="499"/>
        <v>136</v>
      </c>
      <c r="AS1626" s="70">
        <f t="shared" si="501"/>
        <v>1623</v>
      </c>
      <c r="AT1626" s="71">
        <f t="shared" si="502"/>
        <v>1.4973663204071388E-5</v>
      </c>
      <c r="AU1626" s="72">
        <f t="shared" si="498"/>
        <v>6.8214933659622723E-3</v>
      </c>
      <c r="AV1626" s="73">
        <f t="shared" si="500"/>
        <v>1.0068214933659623</v>
      </c>
      <c r="AW1626" s="74">
        <f>PRODUCT(AV$4:AV1626)</f>
        <v>61925.866111877745</v>
      </c>
    </row>
    <row r="1627" spans="44:49">
      <c r="AR1627" s="69">
        <f t="shared" si="499"/>
        <v>136</v>
      </c>
      <c r="AS1627" s="70">
        <f t="shared" si="501"/>
        <v>1624</v>
      </c>
      <c r="AT1627" s="71">
        <f t="shared" si="502"/>
        <v>1.4871520459860661E-5</v>
      </c>
      <c r="AU1627" s="72">
        <f t="shared" si="498"/>
        <v>6.8214933659622723E-3</v>
      </c>
      <c r="AV1627" s="73">
        <f t="shared" si="500"/>
        <v>1.0068214933659623</v>
      </c>
      <c r="AW1627" s="74">
        <f>PRODUCT(AV$4:AV1627)</f>
        <v>62348.292996741387</v>
      </c>
    </row>
    <row r="1628" spans="44:49">
      <c r="AR1628" s="69">
        <f t="shared" si="499"/>
        <v>136</v>
      </c>
      <c r="AS1628" s="70">
        <f t="shared" si="501"/>
        <v>1625</v>
      </c>
      <c r="AT1628" s="71">
        <f t="shared" si="502"/>
        <v>1.477007448170195E-5</v>
      </c>
      <c r="AU1628" s="72">
        <f t="shared" si="498"/>
        <v>6.8214933659622723E-3</v>
      </c>
      <c r="AV1628" s="73">
        <f t="shared" si="500"/>
        <v>1.0068214933659623</v>
      </c>
      <c r="AW1628" s="74">
        <f>PRODUCT(AV$4:AV1628)</f>
        <v>62773.601463797728</v>
      </c>
    </row>
    <row r="1629" spans="44:49">
      <c r="AR1629" s="69">
        <f t="shared" si="499"/>
        <v>136</v>
      </c>
      <c r="AS1629" s="70">
        <f t="shared" si="501"/>
        <v>1626</v>
      </c>
      <c r="AT1629" s="71">
        <f t="shared" si="502"/>
        <v>1.4669320516610251E-5</v>
      </c>
      <c r="AU1629" s="72">
        <f t="shared" si="498"/>
        <v>6.8214933659622723E-3</v>
      </c>
      <c r="AV1629" s="73">
        <f t="shared" si="500"/>
        <v>1.0068214933659623</v>
      </c>
      <c r="AW1629" s="74">
        <f>PRODUCT(AV$4:AV1629)</f>
        <v>63201.811169740584</v>
      </c>
    </row>
    <row r="1630" spans="44:49">
      <c r="AR1630" s="69">
        <f t="shared" si="499"/>
        <v>136</v>
      </c>
      <c r="AS1630" s="70">
        <f t="shared" si="501"/>
        <v>1627</v>
      </c>
      <c r="AT1630" s="71">
        <f t="shared" si="502"/>
        <v>1.456925384402302E-5</v>
      </c>
      <c r="AU1630" s="72">
        <f t="shared" si="498"/>
        <v>6.8214933659622723E-3</v>
      </c>
      <c r="AV1630" s="73">
        <f t="shared" si="500"/>
        <v>1.0068214933659623</v>
      </c>
      <c r="AW1630" s="74">
        <f>PRODUCT(AV$4:AV1630)</f>
        <v>63632.94190535177</v>
      </c>
    </row>
    <row r="1631" spans="44:49">
      <c r="AR1631" s="69">
        <f t="shared" si="499"/>
        <v>136</v>
      </c>
      <c r="AS1631" s="70">
        <f t="shared" si="501"/>
        <v>1628</v>
      </c>
      <c r="AT1631" s="71">
        <f t="shared" si="502"/>
        <v>1.4469869775578996E-5</v>
      </c>
      <c r="AU1631" s="72">
        <f t="shared" si="498"/>
        <v>6.8214933659622723E-3</v>
      </c>
      <c r="AV1631" s="73">
        <f t="shared" si="500"/>
        <v>1.0068214933659623</v>
      </c>
      <c r="AW1631" s="74">
        <f>PRODUCT(AV$4:AV1631)</f>
        <v>64067.013596415789</v>
      </c>
    </row>
    <row r="1632" spans="44:49">
      <c r="AR1632" s="69">
        <f t="shared" si="499"/>
        <v>136</v>
      </c>
      <c r="AS1632" s="70">
        <f t="shared" si="501"/>
        <v>1629</v>
      </c>
      <c r="AT1632" s="71">
        <f t="shared" si="502"/>
        <v>1.4371163654898547E-5</v>
      </c>
      <c r="AU1632" s="72">
        <f t="shared" si="498"/>
        <v>6.8214933659622723E-3</v>
      </c>
      <c r="AV1632" s="73">
        <f t="shared" si="500"/>
        <v>1.0068214933659623</v>
      </c>
      <c r="AW1632" s="74">
        <f>PRODUCT(AV$4:AV1632)</f>
        <v>64504.046304640753</v>
      </c>
    </row>
    <row r="1633" spans="44:49">
      <c r="AR1633" s="69">
        <f t="shared" si="499"/>
        <v>136</v>
      </c>
      <c r="AS1633" s="70">
        <f t="shared" si="501"/>
        <v>1630</v>
      </c>
      <c r="AT1633" s="71">
        <f t="shared" si="502"/>
        <v>1.4273130857365498E-5</v>
      </c>
      <c r="AU1633" s="72">
        <f t="shared" si="498"/>
        <v>6.8214933659622723E-3</v>
      </c>
      <c r="AV1633" s="73">
        <f t="shared" si="500"/>
        <v>1.0068214933659623</v>
      </c>
      <c r="AW1633" s="74">
        <f>PRODUCT(AV$4:AV1633)</f>
        <v>64944.060228585586</v>
      </c>
    </row>
    <row r="1634" spans="44:49">
      <c r="AR1634" s="69">
        <f t="shared" si="499"/>
        <v>136</v>
      </c>
      <c r="AS1634" s="70">
        <f t="shared" si="501"/>
        <v>1631</v>
      </c>
      <c r="AT1634" s="71">
        <f t="shared" si="502"/>
        <v>1.4175766789910468E-5</v>
      </c>
      <c r="AU1634" s="72">
        <f t="shared" si="498"/>
        <v>6.8214933659622723E-3</v>
      </c>
      <c r="AV1634" s="73">
        <f t="shared" si="500"/>
        <v>1.0068214933659623</v>
      </c>
      <c r="AW1634" s="74">
        <f>PRODUCT(AV$4:AV1634)</f>
        <v>65387.075704593539</v>
      </c>
    </row>
    <row r="1635" spans="44:49">
      <c r="AR1635" s="69">
        <f t="shared" si="499"/>
        <v>136</v>
      </c>
      <c r="AS1635" s="70">
        <f t="shared" si="501"/>
        <v>1632</v>
      </c>
      <c r="AT1635" s="71">
        <f t="shared" si="502"/>
        <v>1.4079066890795666E-5</v>
      </c>
      <c r="AU1635" s="72">
        <f t="shared" si="498"/>
        <v>6.8214933659622723E-3</v>
      </c>
      <c r="AV1635" s="73">
        <f t="shared" si="500"/>
        <v>1.0068214933659623</v>
      </c>
      <c r="AW1635" s="74">
        <f>PRODUCT(AV$4:AV1635)</f>
        <v>65833.113207732094</v>
      </c>
    </row>
    <row r="1636" spans="44:49">
      <c r="AR1636" s="69">
        <f t="shared" si="499"/>
        <v>137</v>
      </c>
      <c r="AS1636" s="70">
        <f t="shared" si="501"/>
        <v>1633</v>
      </c>
      <c r="AT1636" s="71">
        <f t="shared" si="502"/>
        <v>1.3983026629401165E-5</v>
      </c>
      <c r="AU1636" s="72">
        <f t="shared" si="498"/>
        <v>6.8214933659622723E-3</v>
      </c>
      <c r="AV1636" s="73">
        <f t="shared" si="500"/>
        <v>1.0068214933659623</v>
      </c>
      <c r="AW1636" s="74">
        <f>PRODUCT(AV$4:AV1636)</f>
        <v>66282.193352739283</v>
      </c>
    </row>
    <row r="1637" spans="44:49">
      <c r="AR1637" s="69">
        <f t="shared" si="499"/>
        <v>137</v>
      </c>
      <c r="AS1637" s="70">
        <f t="shared" si="501"/>
        <v>1634</v>
      </c>
      <c r="AT1637" s="71">
        <f t="shared" si="502"/>
        <v>1.388764150601263E-5</v>
      </c>
      <c r="AU1637" s="72">
        <f t="shared" si="498"/>
        <v>6.8214933659622723E-3</v>
      </c>
      <c r="AV1637" s="73">
        <f t="shared" si="500"/>
        <v>1.0068214933659623</v>
      </c>
      <c r="AW1637" s="74">
        <f>PRODUCT(AV$4:AV1637)</f>
        <v>66734.336894976426</v>
      </c>
    </row>
    <row r="1638" spans="44:49">
      <c r="AR1638" s="69">
        <f t="shared" si="499"/>
        <v>137</v>
      </c>
      <c r="AS1638" s="70">
        <f t="shared" si="501"/>
        <v>1635</v>
      </c>
      <c r="AT1638" s="71">
        <f t="shared" si="502"/>
        <v>1.3792907051610502E-5</v>
      </c>
      <c r="AU1638" s="72">
        <f t="shared" si="498"/>
        <v>6.8214933659622723E-3</v>
      </c>
      <c r="AV1638" s="73">
        <f t="shared" si="500"/>
        <v>1.0068214933659623</v>
      </c>
      <c r="AW1638" s="74">
        <f>PRODUCT(AV$4:AV1638)</f>
        <v>67189.564731387392</v>
      </c>
    </row>
    <row r="1639" spans="44:49">
      <c r="AR1639" s="69">
        <f t="shared" si="499"/>
        <v>137</v>
      </c>
      <c r="AS1639" s="70">
        <f t="shared" si="501"/>
        <v>1636</v>
      </c>
      <c r="AT1639" s="71">
        <f t="shared" si="502"/>
        <v>1.3698818827660607E-5</v>
      </c>
      <c r="AU1639" s="72">
        <f t="shared" si="498"/>
        <v>6.8214933659622723E-3</v>
      </c>
      <c r="AV1639" s="73">
        <f t="shared" si="500"/>
        <v>1.0068214933659623</v>
      </c>
      <c r="AW1639" s="74">
        <f>PRODUCT(AV$4:AV1639)</f>
        <v>67647.897901464443</v>
      </c>
    </row>
    <row r="1640" spans="44:49">
      <c r="AR1640" s="69">
        <f t="shared" si="499"/>
        <v>137</v>
      </c>
      <c r="AS1640" s="70">
        <f t="shared" si="501"/>
        <v>1637</v>
      </c>
      <c r="AT1640" s="71">
        <f t="shared" si="502"/>
        <v>1.3605372425906201E-5</v>
      </c>
      <c r="AU1640" s="72">
        <f t="shared" si="498"/>
        <v>6.8214933659622723E-3</v>
      </c>
      <c r="AV1640" s="73">
        <f t="shared" si="500"/>
        <v>1.0068214933659623</v>
      </c>
      <c r="AW1640" s="74">
        <f>PRODUCT(AV$4:AV1640)</f>
        <v>68109.357588220577</v>
      </c>
    </row>
    <row r="1641" spans="44:49">
      <c r="AR1641" s="69">
        <f t="shared" si="499"/>
        <v>137</v>
      </c>
      <c r="AS1641" s="70">
        <f t="shared" si="501"/>
        <v>1638</v>
      </c>
      <c r="AT1641" s="71">
        <f t="shared" si="502"/>
        <v>1.3512563468161436E-5</v>
      </c>
      <c r="AU1641" s="72">
        <f t="shared" si="498"/>
        <v>6.8214933659622723E-3</v>
      </c>
      <c r="AV1641" s="73">
        <f t="shared" si="500"/>
        <v>1.0068214933659623</v>
      </c>
      <c r="AW1641" s="74">
        <f>PRODUCT(AV$4:AV1641)</f>
        <v>68573.96511916857</v>
      </c>
    </row>
    <row r="1642" spans="44:49">
      <c r="AR1642" s="69">
        <f t="shared" si="499"/>
        <v>137</v>
      </c>
      <c r="AS1642" s="70">
        <f t="shared" si="501"/>
        <v>1639</v>
      </c>
      <c r="AT1642" s="71">
        <f t="shared" si="502"/>
        <v>1.3420387606106229E-5</v>
      </c>
      <c r="AU1642" s="72">
        <f t="shared" si="498"/>
        <v>6.8214933659622723E-3</v>
      </c>
      <c r="AV1642" s="73">
        <f t="shared" si="500"/>
        <v>1.0068214933659623</v>
      </c>
      <c r="AW1642" s="74">
        <f>PRODUCT(AV$4:AV1642)</f>
        <v>69041.741967306705</v>
      </c>
    </row>
    <row r="1643" spans="44:49">
      <c r="AR1643" s="69">
        <f t="shared" si="499"/>
        <v>137</v>
      </c>
      <c r="AS1643" s="70">
        <f t="shared" si="501"/>
        <v>1640</v>
      </c>
      <c r="AT1643" s="71">
        <f t="shared" si="502"/>
        <v>1.3328840521082532E-5</v>
      </c>
      <c r="AU1643" s="72">
        <f t="shared" si="498"/>
        <v>6.8214933659622723E-3</v>
      </c>
      <c r="AV1643" s="73">
        <f t="shared" si="500"/>
        <v>1.0068214933659623</v>
      </c>
      <c r="AW1643" s="74">
        <f>PRODUCT(AV$4:AV1643)</f>
        <v>69512.709752111172</v>
      </c>
    </row>
    <row r="1644" spans="44:49">
      <c r="AR1644" s="69">
        <f t="shared" si="499"/>
        <v>137</v>
      </c>
      <c r="AS1644" s="70">
        <f t="shared" si="501"/>
        <v>1641</v>
      </c>
      <c r="AT1644" s="71">
        <f t="shared" si="502"/>
        <v>1.3237917923891999E-5</v>
      </c>
      <c r="AU1644" s="72">
        <f t="shared" si="498"/>
        <v>6.8214933659622723E-3</v>
      </c>
      <c r="AV1644" s="73">
        <f t="shared" si="500"/>
        <v>1.0068214933659623</v>
      </c>
      <c r="AW1644" s="74">
        <f>PRODUCT(AV$4:AV1644)</f>
        <v>69986.890240535256</v>
      </c>
    </row>
    <row r="1645" spans="44:49">
      <c r="AR1645" s="69">
        <f t="shared" si="499"/>
        <v>137</v>
      </c>
      <c r="AS1645" s="70">
        <f t="shared" si="501"/>
        <v>1642</v>
      </c>
      <c r="AT1645" s="71">
        <f t="shared" si="502"/>
        <v>1.3147615554595017E-5</v>
      </c>
      <c r="AU1645" s="72">
        <f t="shared" si="498"/>
        <v>6.8214933659622723E-3</v>
      </c>
      <c r="AV1645" s="73">
        <f t="shared" si="500"/>
        <v>1.0068214933659623</v>
      </c>
      <c r="AW1645" s="74">
        <f>PRODUCT(AV$4:AV1645)</f>
        <v>70464.30534801539</v>
      </c>
    </row>
    <row r="1646" spans="44:49">
      <c r="AR1646" s="69">
        <f t="shared" si="499"/>
        <v>137</v>
      </c>
      <c r="AS1646" s="70">
        <f t="shared" si="501"/>
        <v>1643</v>
      </c>
      <c r="AT1646" s="71">
        <f t="shared" si="502"/>
        <v>1.3057929182311125E-5</v>
      </c>
      <c r="AU1646" s="72">
        <f t="shared" si="498"/>
        <v>6.8214933659622723E-3</v>
      </c>
      <c r="AV1646" s="73">
        <f t="shared" si="500"/>
        <v>1.0068214933659623</v>
      </c>
      <c r="AW1646" s="74">
        <f>PRODUCT(AV$4:AV1646)</f>
        <v>70944.977139484021</v>
      </c>
    </row>
    <row r="1647" spans="44:49">
      <c r="AR1647" s="69">
        <f t="shared" si="499"/>
        <v>137</v>
      </c>
      <c r="AS1647" s="70">
        <f t="shared" si="501"/>
        <v>1644</v>
      </c>
      <c r="AT1647" s="71">
        <f t="shared" si="502"/>
        <v>1.2968854605020784E-5</v>
      </c>
      <c r="AU1647" s="72">
        <f t="shared" si="498"/>
        <v>6.8214933659622723E-3</v>
      </c>
      <c r="AV1647" s="73">
        <f t="shared" si="500"/>
        <v>1.0068214933659623</v>
      </c>
      <c r="AW1647" s="74">
        <f>PRODUCT(AV$4:AV1647)</f>
        <v>71428.927830389352</v>
      </c>
    </row>
    <row r="1648" spans="44:49">
      <c r="AR1648" s="69">
        <f t="shared" si="499"/>
        <v>138</v>
      </c>
      <c r="AS1648" s="70">
        <f t="shared" si="501"/>
        <v>1645</v>
      </c>
      <c r="AT1648" s="71">
        <f t="shared" si="502"/>
        <v>1.2880387649368506E-5</v>
      </c>
      <c r="AU1648" s="72">
        <f t="shared" si="498"/>
        <v>6.8214933659622723E-3</v>
      </c>
      <c r="AV1648" s="73">
        <f t="shared" si="500"/>
        <v>1.0068214933659623</v>
      </c>
      <c r="AW1648" s="74">
        <f>PRODUCT(AV$4:AV1648)</f>
        <v>71916.179787722154</v>
      </c>
    </row>
    <row r="1649" spans="44:49">
      <c r="AR1649" s="69">
        <f t="shared" si="499"/>
        <v>138</v>
      </c>
      <c r="AS1649" s="70">
        <f t="shared" si="501"/>
        <v>1646</v>
      </c>
      <c r="AT1649" s="71">
        <f t="shared" si="502"/>
        <v>1.2792524170467316E-5</v>
      </c>
      <c r="AU1649" s="72">
        <f t="shared" si="498"/>
        <v>6.8214933659622723E-3</v>
      </c>
      <c r="AV1649" s="73">
        <f t="shared" si="500"/>
        <v>1.0068214933659623</v>
      </c>
      <c r="AW1649" s="74">
        <f>PRODUCT(AV$4:AV1649)</f>
        <v>72406.75553104945</v>
      </c>
    </row>
    <row r="1650" spans="44:49">
      <c r="AR1650" s="69">
        <f t="shared" si="499"/>
        <v>138</v>
      </c>
      <c r="AS1650" s="70">
        <f t="shared" si="501"/>
        <v>1647</v>
      </c>
      <c r="AT1650" s="71">
        <f t="shared" si="502"/>
        <v>1.270526005170456E-5</v>
      </c>
      <c r="AU1650" s="72">
        <f t="shared" si="498"/>
        <v>6.8214933659622723E-3</v>
      </c>
      <c r="AV1650" s="73">
        <f t="shared" si="500"/>
        <v>1.0068214933659623</v>
      </c>
      <c r="AW1650" s="74">
        <f>PRODUCT(AV$4:AV1650)</f>
        <v>72900.677733555349</v>
      </c>
    </row>
    <row r="1651" spans="44:49">
      <c r="AR1651" s="69">
        <f t="shared" si="499"/>
        <v>138</v>
      </c>
      <c r="AS1651" s="70">
        <f t="shared" si="501"/>
        <v>1648</v>
      </c>
      <c r="AT1651" s="71">
        <f t="shared" si="502"/>
        <v>1.2618591204549033E-5</v>
      </c>
      <c r="AU1651" s="72">
        <f t="shared" si="498"/>
        <v>6.8214933659622723E-3</v>
      </c>
      <c r="AV1651" s="73">
        <f t="shared" si="500"/>
        <v>1.0068214933659623</v>
      </c>
      <c r="AW1651" s="74">
        <f>PRODUCT(AV$4:AV1651)</f>
        <v>73397.969223088949</v>
      </c>
    </row>
    <row r="1652" spans="44:49">
      <c r="AR1652" s="69">
        <f t="shared" si="499"/>
        <v>138</v>
      </c>
      <c r="AS1652" s="70">
        <f t="shared" si="501"/>
        <v>1649</v>
      </c>
      <c r="AT1652" s="71">
        <f t="shared" si="502"/>
        <v>1.2532513568359412E-5</v>
      </c>
      <c r="AU1652" s="72">
        <f t="shared" si="498"/>
        <v>6.8214933659622723E-3</v>
      </c>
      <c r="AV1652" s="73">
        <f t="shared" si="500"/>
        <v>1.0068214933659623</v>
      </c>
      <c r="AW1652" s="74">
        <f>PRODUCT(AV$4:AV1652)</f>
        <v>73898.652983219348</v>
      </c>
    </row>
    <row r="1653" spans="44:49">
      <c r="AR1653" s="69">
        <f t="shared" si="499"/>
        <v>138</v>
      </c>
      <c r="AS1653" s="70">
        <f t="shared" si="501"/>
        <v>1650</v>
      </c>
      <c r="AT1653" s="71">
        <f t="shared" si="502"/>
        <v>1.2447023110194017E-5</v>
      </c>
      <c r="AU1653" s="72">
        <f t="shared" si="498"/>
        <v>6.8214933659622723E-3</v>
      </c>
      <c r="AV1653" s="73">
        <f t="shared" si="500"/>
        <v>1.0068214933659623</v>
      </c>
      <c r="AW1653" s="74">
        <f>PRODUCT(AV$4:AV1653)</f>
        <v>74402.752154297923</v>
      </c>
    </row>
    <row r="1654" spans="44:49">
      <c r="AR1654" s="69">
        <f t="shared" si="499"/>
        <v>138</v>
      </c>
      <c r="AS1654" s="70">
        <f t="shared" si="501"/>
        <v>1651</v>
      </c>
      <c r="AT1654" s="71">
        <f t="shared" si="502"/>
        <v>1.2362115824621849E-5</v>
      </c>
      <c r="AU1654" s="72">
        <f t="shared" si="498"/>
        <v>6.8214933659622723E-3</v>
      </c>
      <c r="AV1654" s="73">
        <f t="shared" si="500"/>
        <v>1.0068214933659623</v>
      </c>
      <c r="AW1654" s="74">
        <f>PRODUCT(AV$4:AV1654)</f>
        <v>74910.290034527803</v>
      </c>
    </row>
    <row r="1655" spans="44:49">
      <c r="AR1655" s="69">
        <f t="shared" si="499"/>
        <v>138</v>
      </c>
      <c r="AS1655" s="70">
        <f t="shared" si="501"/>
        <v>1652</v>
      </c>
      <c r="AT1655" s="71">
        <f t="shared" si="502"/>
        <v>1.2277787733534934E-5</v>
      </c>
      <c r="AU1655" s="72">
        <f t="shared" si="498"/>
        <v>6.8214933659622723E-3</v>
      </c>
      <c r="AV1655" s="73">
        <f t="shared" si="500"/>
        <v>1.0068214933659623</v>
      </c>
      <c r="AW1655" s="74">
        <f>PRODUCT(AV$4:AV1655)</f>
        <v>75421.290081040643</v>
      </c>
    </row>
    <row r="1656" spans="44:49">
      <c r="AR1656" s="69">
        <f t="shared" si="499"/>
        <v>138</v>
      </c>
      <c r="AS1656" s="70">
        <f t="shared" si="501"/>
        <v>1653</v>
      </c>
      <c r="AT1656" s="71">
        <f t="shared" si="502"/>
        <v>1.2194034885961933E-5</v>
      </c>
      <c r="AU1656" s="72">
        <f t="shared" si="498"/>
        <v>6.8214933659622723E-3</v>
      </c>
      <c r="AV1656" s="73">
        <f t="shared" si="500"/>
        <v>1.0068214933659623</v>
      </c>
      <c r="AW1656" s="74">
        <f>PRODUCT(AV$4:AV1656)</f>
        <v>75935.775910980781</v>
      </c>
    </row>
    <row r="1657" spans="44:49">
      <c r="AR1657" s="69">
        <f t="shared" si="499"/>
        <v>138</v>
      </c>
      <c r="AS1657" s="70">
        <f t="shared" si="501"/>
        <v>1654</v>
      </c>
      <c r="AT1657" s="71">
        <f t="shared" si="502"/>
        <v>1.2110853357883031E-5</v>
      </c>
      <c r="AU1657" s="72">
        <f t="shared" si="498"/>
        <v>6.8214933659622723E-3</v>
      </c>
      <c r="AV1657" s="73">
        <f t="shared" si="500"/>
        <v>1.0068214933659623</v>
      </c>
      <c r="AW1657" s="74">
        <f>PRODUCT(AV$4:AV1657)</f>
        <v>76453.771302596739</v>
      </c>
    </row>
    <row r="1658" spans="44:49">
      <c r="AR1658" s="69">
        <f t="shared" si="499"/>
        <v>138</v>
      </c>
      <c r="AS1658" s="70">
        <f t="shared" si="501"/>
        <v>1655</v>
      </c>
      <c r="AT1658" s="71">
        <f t="shared" si="502"/>
        <v>1.202823925204609E-5</v>
      </c>
      <c r="AU1658" s="72">
        <f t="shared" si="498"/>
        <v>6.8214933659622723E-3</v>
      </c>
      <c r="AV1658" s="73">
        <f t="shared" si="500"/>
        <v>1.0068214933659623</v>
      </c>
      <c r="AW1658" s="74">
        <f>PRODUCT(AV$4:AV1658)</f>
        <v>76975.300196340206</v>
      </c>
    </row>
    <row r="1659" spans="44:49">
      <c r="AR1659" s="69">
        <f t="shared" si="499"/>
        <v>138</v>
      </c>
      <c r="AS1659" s="70">
        <f t="shared" si="501"/>
        <v>1656</v>
      </c>
      <c r="AT1659" s="71">
        <f t="shared" si="502"/>
        <v>1.1946188697784049E-5</v>
      </c>
      <c r="AU1659" s="72">
        <f t="shared" si="498"/>
        <v>6.8214933659622723E-3</v>
      </c>
      <c r="AV1659" s="73">
        <f t="shared" si="500"/>
        <v>1.0068214933659623</v>
      </c>
      <c r="AW1659" s="74">
        <f>PRODUCT(AV$4:AV1659)</f>
        <v>77500.386695972498</v>
      </c>
    </row>
    <row r="1660" spans="44:49">
      <c r="AR1660" s="69">
        <f t="shared" si="499"/>
        <v>139</v>
      </c>
      <c r="AS1660" s="70">
        <f t="shared" si="501"/>
        <v>1657</v>
      </c>
      <c r="AT1660" s="71">
        <f t="shared" si="502"/>
        <v>1.1864697850833583E-5</v>
      </c>
      <c r="AU1660" s="72">
        <f t="shared" si="498"/>
        <v>6.8214933659622723E-3</v>
      </c>
      <c r="AV1660" s="73">
        <f t="shared" si="500"/>
        <v>1.0068214933659623</v>
      </c>
      <c r="AW1660" s="74">
        <f>PRODUCT(AV$4:AV1660)</f>
        <v>78029.055069678579</v>
      </c>
    </row>
    <row r="1661" spans="44:49">
      <c r="AR1661" s="69">
        <f t="shared" si="499"/>
        <v>139</v>
      </c>
      <c r="AS1661" s="70">
        <f t="shared" si="501"/>
        <v>1658</v>
      </c>
      <c r="AT1661" s="71">
        <f t="shared" si="502"/>
        <v>1.1783762893154974E-5</v>
      </c>
      <c r="AU1661" s="72">
        <f t="shared" si="498"/>
        <v>6.8214933659622723E-3</v>
      </c>
      <c r="AV1661" s="73">
        <f t="shared" si="500"/>
        <v>1.0068214933659623</v>
      </c>
      <c r="AW1661" s="74">
        <f>PRODUCT(AV$4:AV1661)</f>
        <v>78561.329751188692</v>
      </c>
    </row>
    <row r="1662" spans="44:49">
      <c r="AR1662" s="69">
        <f t="shared" si="499"/>
        <v>139</v>
      </c>
      <c r="AS1662" s="70">
        <f t="shared" si="501"/>
        <v>1659</v>
      </c>
      <c r="AT1662" s="71">
        <f t="shared" si="502"/>
        <v>1.1703380032753245E-5</v>
      </c>
      <c r="AU1662" s="72">
        <f t="shared" si="498"/>
        <v>6.8214933659622723E-3</v>
      </c>
      <c r="AV1662" s="73">
        <f t="shared" si="500"/>
        <v>1.0068214933659623</v>
      </c>
      <c r="AW1662" s="74">
        <f>PRODUCT(AV$4:AV1662)</f>
        <v>79097.235340907602</v>
      </c>
    </row>
    <row r="1663" spans="44:49">
      <c r="AR1663" s="69">
        <f t="shared" si="499"/>
        <v>139</v>
      </c>
      <c r="AS1663" s="70">
        <f t="shared" si="501"/>
        <v>1660</v>
      </c>
      <c r="AT1663" s="71">
        <f t="shared" si="502"/>
        <v>1.1623545503500483E-5</v>
      </c>
      <c r="AU1663" s="72">
        <f t="shared" si="498"/>
        <v>6.8214933659622723E-3</v>
      </c>
      <c r="AV1663" s="73">
        <f t="shared" si="500"/>
        <v>1.0068214933659623</v>
      </c>
      <c r="AW1663" s="74">
        <f>PRODUCT(AV$4:AV1663)</f>
        <v>79636.796607051554</v>
      </c>
    </row>
    <row r="1664" spans="44:49">
      <c r="AR1664" s="69">
        <f t="shared" si="499"/>
        <v>139</v>
      </c>
      <c r="AS1664" s="70">
        <f t="shared" si="501"/>
        <v>1661</v>
      </c>
      <c r="AT1664" s="71">
        <f t="shared" si="502"/>
        <v>1.1544255564959394E-5</v>
      </c>
      <c r="AU1664" s="72">
        <f t="shared" si="498"/>
        <v>6.8214933659622723E-3</v>
      </c>
      <c r="AV1664" s="73">
        <f t="shared" si="500"/>
        <v>1.0068214933659623</v>
      </c>
      <c r="AW1664" s="74">
        <f>PRODUCT(AV$4:AV1664)</f>
        <v>80180.038486793041</v>
      </c>
    </row>
    <row r="1665" spans="44:49">
      <c r="AR1665" s="69">
        <f t="shared" si="499"/>
        <v>139</v>
      </c>
      <c r="AS1665" s="70">
        <f t="shared" si="501"/>
        <v>1662</v>
      </c>
      <c r="AT1665" s="71">
        <f t="shared" si="502"/>
        <v>1.1465506502208051E-5</v>
      </c>
      <c r="AU1665" s="72">
        <f t="shared" si="498"/>
        <v>6.8214933659622723E-3</v>
      </c>
      <c r="AV1665" s="73">
        <f t="shared" si="500"/>
        <v>1.0068214933659623</v>
      </c>
      <c r="AW1665" s="74">
        <f>PRODUCT(AV$4:AV1665)</f>
        <v>80726.986087413301</v>
      </c>
    </row>
    <row r="1666" spans="44:49">
      <c r="AR1666" s="69">
        <f t="shared" si="499"/>
        <v>139</v>
      </c>
      <c r="AS1666" s="70">
        <f t="shared" si="501"/>
        <v>1663</v>
      </c>
      <c r="AT1666" s="71">
        <f t="shared" si="502"/>
        <v>1.138729462566584E-5</v>
      </c>
      <c r="AU1666" s="72">
        <f t="shared" si="498"/>
        <v>6.8214933659622723E-3</v>
      </c>
      <c r="AV1666" s="73">
        <f t="shared" si="500"/>
        <v>1.0068214933659623</v>
      </c>
      <c r="AW1666" s="74">
        <f>PRODUCT(AV$4:AV1666)</f>
        <v>81277.664687462719</v>
      </c>
    </row>
    <row r="1667" spans="44:49">
      <c r="AR1667" s="69">
        <f t="shared" si="499"/>
        <v>139</v>
      </c>
      <c r="AS1667" s="70">
        <f t="shared" si="501"/>
        <v>1664</v>
      </c>
      <c r="AT1667" s="71">
        <f t="shared" si="502"/>
        <v>1.1309616270920603E-5</v>
      </c>
      <c r="AU1667" s="72">
        <f t="shared" si="498"/>
        <v>6.8214933659622723E-3</v>
      </c>
      <c r="AV1667" s="73">
        <f t="shared" si="500"/>
        <v>1.0068214933659623</v>
      </c>
      <c r="AW1667" s="74">
        <f>PRODUCT(AV$4:AV1667)</f>
        <v>81832.099737929151</v>
      </c>
    </row>
    <row r="1668" spans="44:49">
      <c r="AR1668" s="69">
        <f t="shared" si="499"/>
        <v>139</v>
      </c>
      <c r="AS1668" s="70">
        <f t="shared" si="501"/>
        <v>1665</v>
      </c>
      <c r="AT1668" s="71">
        <f t="shared" si="502"/>
        <v>1.1232467798556939E-5</v>
      </c>
      <c r="AU1668" s="72">
        <f t="shared" ref="AU1668:AU1731" si="503">((1+$AH$21)^(1/12))-1</f>
        <v>6.8214933659622723E-3</v>
      </c>
      <c r="AV1668" s="73">
        <f t="shared" si="500"/>
        <v>1.0068214933659623</v>
      </c>
      <c r="AW1668" s="74">
        <f>PRODUCT(AV$4:AV1668)</f>
        <v>82390.316863414191</v>
      </c>
    </row>
    <row r="1669" spans="44:49">
      <c r="AR1669" s="69">
        <f t="shared" ref="AR1669:AR1732" si="504">ROUNDDOWN((AS1669-1)/12,0)+1</f>
        <v>139</v>
      </c>
      <c r="AS1669" s="70">
        <f t="shared" si="501"/>
        <v>1666</v>
      </c>
      <c r="AT1669" s="71">
        <f t="shared" si="502"/>
        <v>1.1155845593985699E-5</v>
      </c>
      <c r="AU1669" s="72">
        <f t="shared" si="503"/>
        <v>6.8214933659622723E-3</v>
      </c>
      <c r="AV1669" s="73">
        <f t="shared" ref="AV1669:AV1732" si="505">(1+AU1669)</f>
        <v>1.0068214933659623</v>
      </c>
      <c r="AW1669" s="74">
        <f>PRODUCT(AV$4:AV1669)</f>
        <v>82952.341863317502</v>
      </c>
    </row>
    <row r="1670" spans="44:49">
      <c r="AR1670" s="69">
        <f t="shared" si="504"/>
        <v>139</v>
      </c>
      <c r="AS1670" s="70">
        <f t="shared" ref="AS1670:AS1733" si="506">AS1669+1</f>
        <v>1667</v>
      </c>
      <c r="AT1670" s="71">
        <f t="shared" si="502"/>
        <v>1.1079746067274625E-5</v>
      </c>
      <c r="AU1670" s="72">
        <f t="shared" si="503"/>
        <v>6.8214933659622723E-3</v>
      </c>
      <c r="AV1670" s="73">
        <f t="shared" si="505"/>
        <v>1.0068214933659623</v>
      </c>
      <c r="AW1670" s="74">
        <f>PRODUCT(AV$4:AV1670)</f>
        <v>83518.20071302916</v>
      </c>
    </row>
    <row r="1671" spans="44:49">
      <c r="AR1671" s="69">
        <f t="shared" si="504"/>
        <v>139</v>
      </c>
      <c r="AS1671" s="70">
        <f t="shared" si="506"/>
        <v>1668</v>
      </c>
      <c r="AT1671" s="71">
        <f t="shared" si="502"/>
        <v>1.1004165652980165E-5</v>
      </c>
      <c r="AU1671" s="72">
        <f t="shared" si="503"/>
        <v>6.8214933659622723E-3</v>
      </c>
      <c r="AV1671" s="73">
        <f t="shared" si="505"/>
        <v>1.0068214933659623</v>
      </c>
      <c r="AW1671" s="74">
        <f>PRODUCT(AV$4:AV1671)</f>
        <v>84087.9195651302</v>
      </c>
    </row>
    <row r="1672" spans="44:49">
      <c r="AR1672" s="69">
        <f t="shared" si="504"/>
        <v>140</v>
      </c>
      <c r="AS1672" s="70">
        <f t="shared" si="506"/>
        <v>1669</v>
      </c>
      <c r="AT1672" s="71">
        <f t="shared" si="502"/>
        <v>1.0929100809980411E-5</v>
      </c>
      <c r="AU1672" s="72">
        <f t="shared" si="503"/>
        <v>6.8214933659622723E-3</v>
      </c>
      <c r="AV1672" s="73">
        <f t="shared" si="505"/>
        <v>1.0068214933659623</v>
      </c>
      <c r="AW1672" s="74">
        <f>PRODUCT(AV$4:AV1672)</f>
        <v>84661.524750601311</v>
      </c>
    </row>
    <row r="1673" spans="44:49">
      <c r="AR1673" s="69">
        <f t="shared" si="504"/>
        <v>140</v>
      </c>
      <c r="AS1673" s="70">
        <f t="shared" si="506"/>
        <v>1670</v>
      </c>
      <c r="AT1673" s="71">
        <f t="shared" si="502"/>
        <v>1.0854548021309196E-5</v>
      </c>
      <c r="AU1673" s="72">
        <f t="shared" si="503"/>
        <v>6.8214933659622723E-3</v>
      </c>
      <c r="AV1673" s="73">
        <f t="shared" si="505"/>
        <v>1.0068214933659623</v>
      </c>
      <c r="AW1673" s="74">
        <f>PRODUCT(AV$4:AV1673)</f>
        <v>85239.042780039788</v>
      </c>
    </row>
    <row r="1674" spans="44:49">
      <c r="AR1674" s="69">
        <f t="shared" si="504"/>
        <v>140</v>
      </c>
      <c r="AS1674" s="70">
        <f t="shared" si="506"/>
        <v>1671</v>
      </c>
      <c r="AT1674" s="71">
        <f t="shared" si="502"/>
        <v>1.0780503793991317E-5</v>
      </c>
      <c r="AU1674" s="72">
        <f t="shared" si="503"/>
        <v>6.8214933659622723E-3</v>
      </c>
      <c r="AV1674" s="73">
        <f t="shared" si="505"/>
        <v>1.0068214933659623</v>
      </c>
      <c r="AW1674" s="74">
        <f>PRODUCT(AV$4:AV1674)</f>
        <v>85820.5003448848</v>
      </c>
    </row>
    <row r="1675" spans="44:49">
      <c r="AR1675" s="69">
        <f t="shared" si="504"/>
        <v>140</v>
      </c>
      <c r="AS1675" s="70">
        <f t="shared" si="506"/>
        <v>1672</v>
      </c>
      <c r="AT1675" s="71">
        <f t="shared" si="502"/>
        <v>1.0706964658878873E-5</v>
      </c>
      <c r="AU1675" s="72">
        <f t="shared" si="503"/>
        <v>6.8214933659622723E-3</v>
      </c>
      <c r="AV1675" s="73">
        <f t="shared" si="505"/>
        <v>1.0068214933659623</v>
      </c>
      <c r="AW1675" s="74">
        <f>PRODUCT(AV$4:AV1675)</f>
        <v>86405.924318650999</v>
      </c>
    </row>
    <row r="1676" spans="44:49">
      <c r="AR1676" s="69">
        <f t="shared" si="504"/>
        <v>140</v>
      </c>
      <c r="AS1676" s="70">
        <f t="shared" si="506"/>
        <v>1673</v>
      </c>
      <c r="AT1676" s="71">
        <f t="shared" si="502"/>
        <v>1.0633927170488739E-5</v>
      </c>
      <c r="AU1676" s="72">
        <f t="shared" si="503"/>
        <v>6.8214933659622723E-3</v>
      </c>
      <c r="AV1676" s="73">
        <f t="shared" si="505"/>
        <v>1.0068214933659623</v>
      </c>
      <c r="AW1676" s="74">
        <f>PRODUCT(AV$4:AV1676)</f>
        <v>86995.341758170514</v>
      </c>
    </row>
    <row r="1677" spans="44:49">
      <c r="AR1677" s="69">
        <f t="shared" si="504"/>
        <v>140</v>
      </c>
      <c r="AS1677" s="70">
        <f t="shared" si="506"/>
        <v>1674</v>
      </c>
      <c r="AT1677" s="71">
        <f t="shared" si="502"/>
        <v>1.0561387906841123E-5</v>
      </c>
      <c r="AU1677" s="72">
        <f t="shared" si="503"/>
        <v>6.8214933659622723E-3</v>
      </c>
      <c r="AV1677" s="73">
        <f t="shared" si="505"/>
        <v>1.0068214933659623</v>
      </c>
      <c r="AW1677" s="74">
        <f>PRODUCT(AV$4:AV1677)</f>
        <v>87588.779904843497</v>
      </c>
    </row>
    <row r="1678" spans="44:49">
      <c r="AR1678" s="69">
        <f t="shared" si="504"/>
        <v>140</v>
      </c>
      <c r="AS1678" s="70">
        <f t="shared" si="506"/>
        <v>1675</v>
      </c>
      <c r="AT1678" s="71">
        <f t="shared" si="502"/>
        <v>1.0489343469299252E-5</v>
      </c>
      <c r="AU1678" s="72">
        <f t="shared" si="503"/>
        <v>6.8214933659622723E-3</v>
      </c>
      <c r="AV1678" s="73">
        <f t="shared" si="505"/>
        <v>1.0068214933659623</v>
      </c>
      <c r="AW1678" s="74">
        <f>PRODUCT(AV$4:AV1678)</f>
        <v>88186.266185897111</v>
      </c>
    </row>
    <row r="1679" spans="44:49">
      <c r="AR1679" s="69">
        <f t="shared" si="504"/>
        <v>140</v>
      </c>
      <c r="AS1679" s="70">
        <f t="shared" si="506"/>
        <v>1676</v>
      </c>
      <c r="AT1679" s="71">
        <f t="shared" ref="AT1679:AT1742" si="507">(1-AU1679)*AT1678</f>
        <v>1.0417790482410127E-5</v>
      </c>
      <c r="AU1679" s="72">
        <f t="shared" si="503"/>
        <v>6.8214933659622723E-3</v>
      </c>
      <c r="AV1679" s="73">
        <f t="shared" si="505"/>
        <v>1.0068214933659623</v>
      </c>
      <c r="AW1679" s="74">
        <f>PRODUCT(AV$4:AV1679)</f>
        <v>88787.828215653193</v>
      </c>
    </row>
    <row r="1680" spans="44:49">
      <c r="AR1680" s="69">
        <f t="shared" si="504"/>
        <v>140</v>
      </c>
      <c r="AS1680" s="70">
        <f t="shared" si="506"/>
        <v>1677</v>
      </c>
      <c r="AT1680" s="71">
        <f t="shared" si="507"/>
        <v>1.0346725593746381E-5</v>
      </c>
      <c r="AU1680" s="72">
        <f t="shared" si="503"/>
        <v>6.8214933659622723E-3</v>
      </c>
      <c r="AV1680" s="73">
        <f t="shared" si="505"/>
        <v>1.0068214933659623</v>
      </c>
      <c r="AW1680" s="74">
        <f>PRODUCT(AV$4:AV1680)</f>
        <v>89393.493796804469</v>
      </c>
    </row>
    <row r="1681" spans="44:49">
      <c r="AR1681" s="69">
        <f t="shared" si="504"/>
        <v>140</v>
      </c>
      <c r="AS1681" s="70">
        <f t="shared" si="506"/>
        <v>1678</v>
      </c>
      <c r="AT1681" s="71">
        <f t="shared" si="507"/>
        <v>1.0276145473749208E-5</v>
      </c>
      <c r="AU1681" s="72">
        <f t="shared" si="503"/>
        <v>6.8214933659622723E-3</v>
      </c>
      <c r="AV1681" s="73">
        <f t="shared" si="505"/>
        <v>1.0068214933659623</v>
      </c>
      <c r="AW1681" s="74">
        <f>PRODUCT(AV$4:AV1681)</f>
        <v>90003.290921699561</v>
      </c>
    </row>
    <row r="1682" spans="44:49">
      <c r="AR1682" s="69">
        <f t="shared" si="504"/>
        <v>140</v>
      </c>
      <c r="AS1682" s="70">
        <f t="shared" si="506"/>
        <v>1679</v>
      </c>
      <c r="AT1682" s="71">
        <f t="shared" si="507"/>
        <v>1.0206046815572364E-5</v>
      </c>
      <c r="AU1682" s="72">
        <f t="shared" si="503"/>
        <v>6.8214933659622723E-3</v>
      </c>
      <c r="AV1682" s="73">
        <f t="shared" si="505"/>
        <v>1.0068214933659623</v>
      </c>
      <c r="AW1682" s="74">
        <f>PRODUCT(AV$4:AV1682)</f>
        <v>90617.2477736367</v>
      </c>
    </row>
    <row r="1683" spans="44:49">
      <c r="AR1683" s="69">
        <f t="shared" si="504"/>
        <v>140</v>
      </c>
      <c r="AS1683" s="70">
        <f t="shared" si="506"/>
        <v>1680</v>
      </c>
      <c r="AT1683" s="71">
        <f t="shared" si="507"/>
        <v>1.0136426334927237E-5</v>
      </c>
      <c r="AU1683" s="72">
        <f t="shared" si="503"/>
        <v>6.8214933659622723E-3</v>
      </c>
      <c r="AV1683" s="73">
        <f t="shared" si="505"/>
        <v>1.0068214933659623</v>
      </c>
      <c r="AW1683" s="74">
        <f>PRODUCT(AV$4:AV1683)</f>
        <v>91235.39272816632</v>
      </c>
    </row>
    <row r="1684" spans="44:49">
      <c r="AR1684" s="69">
        <f t="shared" si="504"/>
        <v>141</v>
      </c>
      <c r="AS1684" s="70">
        <f t="shared" si="506"/>
        <v>1681</v>
      </c>
      <c r="AT1684" s="71">
        <f t="shared" si="507"/>
        <v>1.0067280769928966E-5</v>
      </c>
      <c r="AU1684" s="72">
        <f t="shared" si="503"/>
        <v>6.8214933659622723E-3</v>
      </c>
      <c r="AV1684" s="73">
        <f t="shared" si="505"/>
        <v>1.0068214933659623</v>
      </c>
      <c r="AW1684" s="74">
        <f>PRODUCT(AV$4:AV1684)</f>
        <v>91857.754354402467</v>
      </c>
    </row>
    <row r="1685" spans="44:49">
      <c r="AR1685" s="69">
        <f t="shared" si="504"/>
        <v>141</v>
      </c>
      <c r="AS1685" s="70">
        <f t="shared" si="506"/>
        <v>1682</v>
      </c>
      <c r="AT1685" s="71">
        <f t="shared" si="507"/>
        <v>9.9986068809436157E-6</v>
      </c>
      <c r="AU1685" s="72">
        <f t="shared" si="503"/>
        <v>6.8214933659622723E-3</v>
      </c>
      <c r="AV1685" s="73">
        <f t="shared" si="505"/>
        <v>1.0068214933659623</v>
      </c>
      <c r="AW1685" s="74">
        <f>PRODUCT(AV$4:AV1685)</f>
        <v>92484.361416343221</v>
      </c>
    </row>
    <row r="1686" spans="44:49">
      <c r="AR1686" s="69">
        <f t="shared" si="504"/>
        <v>141</v>
      </c>
      <c r="AS1686" s="70">
        <f t="shared" si="506"/>
        <v>1683</v>
      </c>
      <c r="AT1686" s="71">
        <f t="shared" si="507"/>
        <v>9.9304014504363937E-6</v>
      </c>
      <c r="AU1686" s="72">
        <f t="shared" si="503"/>
        <v>6.8214933659622723E-3</v>
      </c>
      <c r="AV1686" s="73">
        <f t="shared" si="505"/>
        <v>1.0068214933659623</v>
      </c>
      <c r="AW1686" s="74">
        <f>PRODUCT(AV$4:AV1686)</f>
        <v>93115.242874200063</v>
      </c>
    </row>
    <row r="1687" spans="44:49">
      <c r="AR1687" s="69">
        <f t="shared" si="504"/>
        <v>141</v>
      </c>
      <c r="AS1687" s="70">
        <f t="shared" si="506"/>
        <v>1684</v>
      </c>
      <c r="AT1687" s="71">
        <f t="shared" si="507"/>
        <v>9.862661282820899E-6</v>
      </c>
      <c r="AU1687" s="72">
        <f t="shared" si="503"/>
        <v>6.8214933659622723E-3</v>
      </c>
      <c r="AV1687" s="73">
        <f t="shared" si="505"/>
        <v>1.0068214933659623</v>
      </c>
      <c r="AW1687" s="74">
        <f>PRODUCT(AV$4:AV1687)</f>
        <v>93750.427885736382</v>
      </c>
    </row>
    <row r="1688" spans="44:49">
      <c r="AR1688" s="69">
        <f t="shared" si="504"/>
        <v>141</v>
      </c>
      <c r="AS1688" s="70">
        <f t="shared" si="506"/>
        <v>1685</v>
      </c>
      <c r="AT1688" s="71">
        <f t="shared" si="507"/>
        <v>9.7953832043094033E-6</v>
      </c>
      <c r="AU1688" s="72">
        <f t="shared" si="503"/>
        <v>6.8214933659622723E-3</v>
      </c>
      <c r="AV1688" s="73">
        <f t="shared" si="505"/>
        <v>1.0068214933659623</v>
      </c>
      <c r="AW1688" s="74">
        <f>PRODUCT(AV$4:AV1688)</f>
        <v>94389.945807615062</v>
      </c>
    </row>
    <row r="1689" spans="44:49">
      <c r="AR1689" s="69">
        <f t="shared" si="504"/>
        <v>141</v>
      </c>
      <c r="AS1689" s="70">
        <f t="shared" si="506"/>
        <v>1686</v>
      </c>
      <c r="AT1689" s="71">
        <f t="shared" si="507"/>
        <v>9.7285640627641489E-6</v>
      </c>
      <c r="AU1689" s="72">
        <f t="shared" si="503"/>
        <v>6.8214933659622723E-3</v>
      </c>
      <c r="AV1689" s="73">
        <f t="shared" si="505"/>
        <v>1.0068214933659623</v>
      </c>
      <c r="AW1689" s="74">
        <f>PRODUCT(AV$4:AV1689)</f>
        <v>95033.826196755253</v>
      </c>
    </row>
    <row r="1690" spans="44:49">
      <c r="AR1690" s="69">
        <f t="shared" si="504"/>
        <v>141</v>
      </c>
      <c r="AS1690" s="70">
        <f t="shared" si="506"/>
        <v>1687</v>
      </c>
      <c r="AT1690" s="71">
        <f t="shared" si="507"/>
        <v>9.6622007275496636E-6</v>
      </c>
      <c r="AU1690" s="72">
        <f t="shared" si="503"/>
        <v>6.8214933659622723E-3</v>
      </c>
      <c r="AV1690" s="73">
        <f t="shared" si="505"/>
        <v>1.0068214933659623</v>
      </c>
      <c r="AW1690" s="74">
        <f>PRODUCT(AV$4:AV1690)</f>
        <v>95682.098811698437</v>
      </c>
    </row>
    <row r="1691" spans="44:49">
      <c r="AR1691" s="69">
        <f t="shared" si="504"/>
        <v>141</v>
      </c>
      <c r="AS1691" s="70">
        <f t="shared" si="506"/>
        <v>1688</v>
      </c>
      <c r="AT1691" s="71">
        <f t="shared" si="507"/>
        <v>9.5962900893860885E-6</v>
      </c>
      <c r="AU1691" s="72">
        <f t="shared" si="503"/>
        <v>6.8214933659622723E-3</v>
      </c>
      <c r="AV1691" s="73">
        <f t="shared" si="505"/>
        <v>1.0068214933659623</v>
      </c>
      <c r="AW1691" s="74">
        <f>PRODUCT(AV$4:AV1691)</f>
        <v>96334.793613983784</v>
      </c>
    </row>
    <row r="1692" spans="44:49">
      <c r="AR1692" s="69">
        <f t="shared" si="504"/>
        <v>141</v>
      </c>
      <c r="AS1692" s="70">
        <f t="shared" si="506"/>
        <v>1689</v>
      </c>
      <c r="AT1692" s="71">
        <f t="shared" si="507"/>
        <v>9.5308290602034915E-6</v>
      </c>
      <c r="AU1692" s="72">
        <f t="shared" si="503"/>
        <v>6.8214933659622723E-3</v>
      </c>
      <c r="AV1692" s="73">
        <f t="shared" si="505"/>
        <v>1.0068214933659623</v>
      </c>
      <c r="AW1692" s="74">
        <f>PRODUCT(AV$4:AV1692)</f>
        <v>96991.940769532914</v>
      </c>
    </row>
    <row r="1693" spans="44:49">
      <c r="AR1693" s="69">
        <f t="shared" si="504"/>
        <v>141</v>
      </c>
      <c r="AS1693" s="70">
        <f t="shared" si="506"/>
        <v>1690</v>
      </c>
      <c r="AT1693" s="71">
        <f t="shared" si="507"/>
        <v>9.4658145729971924E-6</v>
      </c>
      <c r="AU1693" s="72">
        <f t="shared" si="503"/>
        <v>6.8214933659622723E-3</v>
      </c>
      <c r="AV1693" s="73">
        <f t="shared" si="505"/>
        <v>1.0068214933659623</v>
      </c>
      <c r="AW1693" s="74">
        <f>PRODUCT(AV$4:AV1693)</f>
        <v>97653.570650044087</v>
      </c>
    </row>
    <row r="1694" spans="44:49">
      <c r="AR1694" s="69">
        <f t="shared" si="504"/>
        <v>141</v>
      </c>
      <c r="AS1694" s="70">
        <f t="shared" si="506"/>
        <v>1691</v>
      </c>
      <c r="AT1694" s="71">
        <f t="shared" si="507"/>
        <v>9.4012435816840624E-6</v>
      </c>
      <c r="AU1694" s="72">
        <f t="shared" si="503"/>
        <v>6.8214933659622723E-3</v>
      </c>
      <c r="AV1694" s="73">
        <f t="shared" si="505"/>
        <v>1.0068214933659623</v>
      </c>
      <c r="AW1694" s="74">
        <f>PRODUCT(AV$4:AV1694)</f>
        <v>98319.713834395894</v>
      </c>
    </row>
    <row r="1695" spans="44:49">
      <c r="AR1695" s="69">
        <f t="shared" si="504"/>
        <v>141</v>
      </c>
      <c r="AS1695" s="70">
        <f t="shared" si="506"/>
        <v>1692</v>
      </c>
      <c r="AT1695" s="71">
        <f t="shared" si="507"/>
        <v>9.3371130609598089E-6</v>
      </c>
      <c r="AU1695" s="72">
        <f t="shared" si="503"/>
        <v>6.8214933659622723E-3</v>
      </c>
      <c r="AV1695" s="73">
        <f t="shared" si="505"/>
        <v>1.0068214933659623</v>
      </c>
      <c r="AW1695" s="74">
        <f>PRODUCT(AV$4:AV1695)</f>
        <v>98990.401110060528</v>
      </c>
    </row>
    <row r="1696" spans="44:49">
      <c r="AR1696" s="69">
        <f t="shared" si="504"/>
        <v>142</v>
      </c>
      <c r="AS1696" s="70">
        <f t="shared" si="506"/>
        <v>1693</v>
      </c>
      <c r="AT1696" s="71">
        <f t="shared" si="507"/>
        <v>9.2734200061572313E-6</v>
      </c>
      <c r="AU1696" s="72">
        <f t="shared" si="503"/>
        <v>6.8214933659622723E-3</v>
      </c>
      <c r="AV1696" s="73">
        <f t="shared" si="505"/>
        <v>1.0068214933659623</v>
      </c>
      <c r="AW1696" s="74">
        <f>PRODUCT(AV$4:AV1696)</f>
        <v>99665.663474526751</v>
      </c>
    </row>
    <row r="1697" spans="44:49">
      <c r="AR1697" s="69">
        <f t="shared" si="504"/>
        <v>142</v>
      </c>
      <c r="AS1697" s="70">
        <f t="shared" si="506"/>
        <v>1694</v>
      </c>
      <c r="AT1697" s="71">
        <f t="shared" si="507"/>
        <v>9.2101614331054477E-6</v>
      </c>
      <c r="AU1697" s="72">
        <f t="shared" si="503"/>
        <v>6.8214933659622723E-3</v>
      </c>
      <c r="AV1697" s="73">
        <f t="shared" si="505"/>
        <v>1.0068214933659623</v>
      </c>
      <c r="AW1697" s="74">
        <f>PRODUCT(AV$4:AV1697)</f>
        <v>100345.53213673247</v>
      </c>
    </row>
    <row r="1698" spans="44:49">
      <c r="AR1698" s="69">
        <f t="shared" si="504"/>
        <v>142</v>
      </c>
      <c r="AS1698" s="70">
        <f t="shared" si="506"/>
        <v>1695</v>
      </c>
      <c r="AT1698" s="71">
        <f t="shared" si="507"/>
        <v>9.1473343779900766E-6</v>
      </c>
      <c r="AU1698" s="72">
        <f t="shared" si="503"/>
        <v>6.8214933659622723E-3</v>
      </c>
      <c r="AV1698" s="73">
        <f t="shared" si="505"/>
        <v>1.0068214933659623</v>
      </c>
      <c r="AW1698" s="74">
        <f>PRODUCT(AV$4:AV1698)</f>
        <v>101030.03851850714</v>
      </c>
    </row>
    <row r="1699" spans="44:49">
      <c r="AR1699" s="69">
        <f t="shared" si="504"/>
        <v>142</v>
      </c>
      <c r="AS1699" s="70">
        <f t="shared" si="506"/>
        <v>1696</v>
      </c>
      <c r="AT1699" s="71">
        <f t="shared" si="507"/>
        <v>9.0849358972143782E-6</v>
      </c>
      <c r="AU1699" s="72">
        <f t="shared" si="503"/>
        <v>6.8214933659622723E-3</v>
      </c>
      <c r="AV1699" s="73">
        <f t="shared" si="505"/>
        <v>1.0068214933659623</v>
      </c>
      <c r="AW1699" s="74">
        <f>PRODUCT(AV$4:AV1699)</f>
        <v>101719.21425602405</v>
      </c>
    </row>
    <row r="1700" spans="44:49">
      <c r="AR1700" s="69">
        <f t="shared" si="504"/>
        <v>142</v>
      </c>
      <c r="AS1700" s="70">
        <f t="shared" si="506"/>
        <v>1697</v>
      </c>
      <c r="AT1700" s="71">
        <f t="shared" si="507"/>
        <v>9.0229630672613383E-6</v>
      </c>
      <c r="AU1700" s="72">
        <f t="shared" si="503"/>
        <v>6.8214933659622723E-3</v>
      </c>
      <c r="AV1700" s="73">
        <f t="shared" si="505"/>
        <v>1.0068214933659623</v>
      </c>
      <c r="AW1700" s="74">
        <f>PRODUCT(AV$4:AV1700)</f>
        <v>102413.0912012624</v>
      </c>
    </row>
    <row r="1701" spans="44:49">
      <c r="AR1701" s="69">
        <f t="shared" si="504"/>
        <v>142</v>
      </c>
      <c r="AS1701" s="70">
        <f t="shared" si="506"/>
        <v>1698</v>
      </c>
      <c r="AT1701" s="71">
        <f t="shared" si="507"/>
        <v>8.9614129845566929E-6</v>
      </c>
      <c r="AU1701" s="72">
        <f t="shared" si="503"/>
        <v>6.8214933659622723E-3</v>
      </c>
      <c r="AV1701" s="73">
        <f t="shared" si="505"/>
        <v>1.0068214933659623</v>
      </c>
      <c r="AW1701" s="74">
        <f>PRODUCT(AV$4:AV1701)</f>
        <v>103111.70142347951</v>
      </c>
    </row>
    <row r="1702" spans="44:49">
      <c r="AR1702" s="69">
        <f t="shared" si="504"/>
        <v>142</v>
      </c>
      <c r="AS1702" s="70">
        <f t="shared" si="506"/>
        <v>1699</v>
      </c>
      <c r="AT1702" s="71">
        <f t="shared" si="507"/>
        <v>8.9002827653328918E-6</v>
      </c>
      <c r="AU1702" s="72">
        <f t="shared" si="503"/>
        <v>6.8214933659622723E-3</v>
      </c>
      <c r="AV1702" s="73">
        <f t="shared" si="505"/>
        <v>1.0068214933659623</v>
      </c>
      <c r="AW1702" s="74">
        <f>PRODUCT(AV$4:AV1702)</f>
        <v>103815.07721069285</v>
      </c>
    </row>
    <row r="1703" spans="44:49">
      <c r="AR1703" s="69">
        <f t="shared" si="504"/>
        <v>142</v>
      </c>
      <c r="AS1703" s="70">
        <f t="shared" si="506"/>
        <v>1700</v>
      </c>
      <c r="AT1703" s="71">
        <f t="shared" si="507"/>
        <v>8.8395695454939845E-6</v>
      </c>
      <c r="AU1703" s="72">
        <f t="shared" si="503"/>
        <v>6.8214933659622723E-3</v>
      </c>
      <c r="AV1703" s="73">
        <f t="shared" si="505"/>
        <v>1.0068214933659623</v>
      </c>
      <c r="AW1703" s="74">
        <f>PRODUCT(AV$4:AV1703)</f>
        <v>104523.25107117245</v>
      </c>
    </row>
    <row r="1704" spans="44:49">
      <c r="AR1704" s="69">
        <f t="shared" si="504"/>
        <v>142</v>
      </c>
      <c r="AS1704" s="70">
        <f t="shared" si="506"/>
        <v>1701</v>
      </c>
      <c r="AT1704" s="71">
        <f t="shared" si="507"/>
        <v>8.7792704804814353E-6</v>
      </c>
      <c r="AU1704" s="72">
        <f t="shared" si="503"/>
        <v>6.8214933659622723E-3</v>
      </c>
      <c r="AV1704" s="73">
        <f t="shared" si="505"/>
        <v>1.0068214933659623</v>
      </c>
      <c r="AW1704" s="74">
        <f>PRODUCT(AV$4:AV1704)</f>
        <v>105236.25573494326</v>
      </c>
    </row>
    <row r="1705" spans="44:49">
      <c r="AR1705" s="69">
        <f t="shared" si="504"/>
        <v>142</v>
      </c>
      <c r="AS1705" s="70">
        <f t="shared" si="506"/>
        <v>1702</v>
      </c>
      <c r="AT1705" s="71">
        <f t="shared" si="507"/>
        <v>8.7193827451408424E-6</v>
      </c>
      <c r="AU1705" s="72">
        <f t="shared" si="503"/>
        <v>6.8214933659622723E-3</v>
      </c>
      <c r="AV1705" s="73">
        <f t="shared" si="505"/>
        <v>1.0068214933659623</v>
      </c>
      <c r="AW1705" s="74">
        <f>PRODUCT(AV$4:AV1705)</f>
        <v>105954.12415529789</v>
      </c>
    </row>
    <row r="1706" spans="44:49">
      <c r="AR1706" s="69">
        <f t="shared" si="504"/>
        <v>142</v>
      </c>
      <c r="AS1706" s="70">
        <f t="shared" si="506"/>
        <v>1703</v>
      </c>
      <c r="AT1706" s="71">
        <f t="shared" si="507"/>
        <v>8.6599035335895789E-6</v>
      </c>
      <c r="AU1706" s="72">
        <f t="shared" si="503"/>
        <v>6.8214933659622723E-3</v>
      </c>
      <c r="AV1706" s="73">
        <f t="shared" si="505"/>
        <v>1.0068214933659623</v>
      </c>
      <c r="AW1706" s="74">
        <f>PRODUCT(AV$4:AV1706)</f>
        <v>106676.8895103196</v>
      </c>
    </row>
    <row r="1707" spans="44:49">
      <c r="AR1707" s="69">
        <f t="shared" si="504"/>
        <v>142</v>
      </c>
      <c r="AS1707" s="70">
        <f t="shared" si="506"/>
        <v>1704</v>
      </c>
      <c r="AT1707" s="71">
        <f t="shared" si="507"/>
        <v>8.6008300590853248E-6</v>
      </c>
      <c r="AU1707" s="72">
        <f t="shared" si="503"/>
        <v>6.8214933659622723E-3</v>
      </c>
      <c r="AV1707" s="73">
        <f t="shared" si="505"/>
        <v>1.0068214933659623</v>
      </c>
      <c r="AW1707" s="74">
        <f>PRODUCT(AV$4:AV1707)</f>
        <v>107404.58520441574</v>
      </c>
    </row>
    <row r="1708" spans="44:49">
      <c r="AR1708" s="69">
        <f t="shared" si="504"/>
        <v>143</v>
      </c>
      <c r="AS1708" s="70">
        <f t="shared" si="506"/>
        <v>1705</v>
      </c>
      <c r="AT1708" s="71">
        <f t="shared" si="507"/>
        <v>8.5421595538955055E-6</v>
      </c>
      <c r="AU1708" s="72">
        <f t="shared" si="503"/>
        <v>6.8214933659622723E-3</v>
      </c>
      <c r="AV1708" s="73">
        <f t="shared" si="505"/>
        <v>1.0068214933659623</v>
      </c>
      <c r="AW1708" s="74">
        <f>PRODUCT(AV$4:AV1708)</f>
        <v>108137.24486986159</v>
      </c>
    </row>
    <row r="1709" spans="44:49">
      <c r="AR1709" s="69">
        <f t="shared" si="504"/>
        <v>143</v>
      </c>
      <c r="AS1709" s="70">
        <f t="shared" si="506"/>
        <v>1706</v>
      </c>
      <c r="AT1709" s="71">
        <f t="shared" si="507"/>
        <v>8.4838892691676161E-6</v>
      </c>
      <c r="AU1709" s="72">
        <f t="shared" si="503"/>
        <v>6.8214933659622723E-3</v>
      </c>
      <c r="AV1709" s="73">
        <f t="shared" si="505"/>
        <v>1.0068214933659623</v>
      </c>
      <c r="AW1709" s="74">
        <f>PRODUCT(AV$4:AV1709)</f>
        <v>108874.90236835479</v>
      </c>
    </row>
    <row r="1710" spans="44:49">
      <c r="AR1710" s="69">
        <f t="shared" si="504"/>
        <v>143</v>
      </c>
      <c r="AS1710" s="70">
        <f t="shared" si="506"/>
        <v>1707</v>
      </c>
      <c r="AT1710" s="71">
        <f t="shared" si="507"/>
        <v>8.4260164748004314E-6</v>
      </c>
      <c r="AU1710" s="72">
        <f t="shared" si="503"/>
        <v>6.8214933659622723E-3</v>
      </c>
      <c r="AV1710" s="73">
        <f t="shared" si="505"/>
        <v>1.0068214933659623</v>
      </c>
      <c r="AW1710" s="74">
        <f>PRODUCT(AV$4:AV1710)</f>
        <v>109617.59179258031</v>
      </c>
    </row>
    <row r="1711" spans="44:49">
      <c r="AR1711" s="69">
        <f t="shared" si="504"/>
        <v>143</v>
      </c>
      <c r="AS1711" s="70">
        <f t="shared" si="506"/>
        <v>1708</v>
      </c>
      <c r="AT1711" s="71">
        <f t="shared" si="507"/>
        <v>8.368538459316091E-6</v>
      </c>
      <c r="AU1711" s="72">
        <f t="shared" si="503"/>
        <v>6.8214933659622723E-3</v>
      </c>
      <c r="AV1711" s="73">
        <f t="shared" si="505"/>
        <v>1.0068214933659623</v>
      </c>
      <c r="AW1711" s="74">
        <f>PRODUCT(AV$4:AV1711)</f>
        <v>110365.34746778615</v>
      </c>
    </row>
    <row r="1712" spans="44:49">
      <c r="AR1712" s="69">
        <f t="shared" si="504"/>
        <v>143</v>
      </c>
      <c r="AS1712" s="70">
        <f t="shared" si="506"/>
        <v>1709</v>
      </c>
      <c r="AT1712" s="71">
        <f t="shared" si="507"/>
        <v>8.3114525297330655E-6</v>
      </c>
      <c r="AU1712" s="72">
        <f t="shared" si="503"/>
        <v>6.8214933659622723E-3</v>
      </c>
      <c r="AV1712" s="73">
        <f t="shared" si="505"/>
        <v>1.0068214933659623</v>
      </c>
      <c r="AW1712" s="74">
        <f>PRODUCT(AV$4:AV1712)</f>
        <v>111118.20395336978</v>
      </c>
    </row>
    <row r="1713" spans="44:49">
      <c r="AR1713" s="69">
        <f t="shared" si="504"/>
        <v>143</v>
      </c>
      <c r="AS1713" s="70">
        <f t="shared" si="506"/>
        <v>1710</v>
      </c>
      <c r="AT1713" s="71">
        <f t="shared" si="507"/>
        <v>8.2547560114399819E-6</v>
      </c>
      <c r="AU1713" s="72">
        <f t="shared" si="503"/>
        <v>6.8214933659622723E-3</v>
      </c>
      <c r="AV1713" s="73">
        <f t="shared" si="505"/>
        <v>1.0068214933659623</v>
      </c>
      <c r="AW1713" s="74">
        <f>PRODUCT(AV$4:AV1713)</f>
        <v>111876.19604447533</v>
      </c>
    </row>
    <row r="1714" spans="44:49">
      <c r="AR1714" s="69">
        <f t="shared" si="504"/>
        <v>143</v>
      </c>
      <c r="AS1714" s="70">
        <f t="shared" si="506"/>
        <v>1711</v>
      </c>
      <c r="AT1714" s="71">
        <f t="shared" si="507"/>
        <v>8.1984462480703073E-6</v>
      </c>
      <c r="AU1714" s="72">
        <f t="shared" si="503"/>
        <v>6.8214933659622723E-3</v>
      </c>
      <c r="AV1714" s="73">
        <f t="shared" si="505"/>
        <v>1.0068214933659623</v>
      </c>
      <c r="AW1714" s="74">
        <f>PRODUCT(AV$4:AV1714)</f>
        <v>112639.35877360182</v>
      </c>
    </row>
    <row r="1715" spans="44:49">
      <c r="AR1715" s="69">
        <f t="shared" si="504"/>
        <v>143</v>
      </c>
      <c r="AS1715" s="70">
        <f t="shared" si="506"/>
        <v>1712</v>
      </c>
      <c r="AT1715" s="71">
        <f t="shared" si="507"/>
        <v>8.142520601377897E-6</v>
      </c>
      <c r="AU1715" s="72">
        <f t="shared" si="503"/>
        <v>6.8214933659622723E-3</v>
      </c>
      <c r="AV1715" s="73">
        <f t="shared" si="505"/>
        <v>1.0068214933659623</v>
      </c>
      <c r="AW1715" s="74">
        <f>PRODUCT(AV$4:AV1715)</f>
        <v>113407.72741222219</v>
      </c>
    </row>
    <row r="1716" spans="44:49">
      <c r="AR1716" s="69">
        <f t="shared" si="504"/>
        <v>143</v>
      </c>
      <c r="AS1716" s="70">
        <f t="shared" si="506"/>
        <v>1713</v>
      </c>
      <c r="AT1716" s="71">
        <f t="shared" si="507"/>
        <v>8.0869764511133864E-6</v>
      </c>
      <c r="AU1716" s="72">
        <f t="shared" si="503"/>
        <v>6.8214933659622723E-3</v>
      </c>
      <c r="AV1716" s="73">
        <f t="shared" si="505"/>
        <v>1.0068214933659623</v>
      </c>
      <c r="AW1716" s="74">
        <f>PRODUCT(AV$4:AV1716)</f>
        <v>114181.33747241352</v>
      </c>
    </row>
    <row r="1717" spans="44:49">
      <c r="AR1717" s="69">
        <f t="shared" si="504"/>
        <v>143</v>
      </c>
      <c r="AS1717" s="70">
        <f t="shared" si="506"/>
        <v>1714</v>
      </c>
      <c r="AT1717" s="71">
        <f t="shared" si="507"/>
        <v>8.031811194901424E-6</v>
      </c>
      <c r="AU1717" s="72">
        <f t="shared" si="503"/>
        <v>6.8214933659622723E-3</v>
      </c>
      <c r="AV1717" s="73">
        <f t="shared" si="505"/>
        <v>1.0068214933659623</v>
      </c>
      <c r="AW1717" s="74">
        <f>PRODUCT(AV$4:AV1717)</f>
        <v>114960.2247084983</v>
      </c>
    </row>
    <row r="1718" spans="44:49">
      <c r="AR1718" s="69">
        <f t="shared" si="504"/>
        <v>143</v>
      </c>
      <c r="AS1718" s="70">
        <f t="shared" si="506"/>
        <v>1715</v>
      </c>
      <c r="AT1718" s="71">
        <f t="shared" si="507"/>
        <v>7.9770222481187424E-6</v>
      </c>
      <c r="AU1718" s="72">
        <f t="shared" si="503"/>
        <v>6.8214933659622723E-3</v>
      </c>
      <c r="AV1718" s="73">
        <f t="shared" si="505"/>
        <v>1.0068214933659623</v>
      </c>
      <c r="AW1718" s="74">
        <f>PRODUCT(AV$4:AV1718)</f>
        <v>115744.42511869685</v>
      </c>
    </row>
    <row r="1719" spans="44:49">
      <c r="AR1719" s="69">
        <f t="shared" si="504"/>
        <v>143</v>
      </c>
      <c r="AS1719" s="70">
        <f t="shared" si="506"/>
        <v>1716</v>
      </c>
      <c r="AT1719" s="71">
        <f t="shared" si="507"/>
        <v>7.9226070437730671E-6</v>
      </c>
      <c r="AU1719" s="72">
        <f t="shared" si="503"/>
        <v>6.8214933659622723E-3</v>
      </c>
      <c r="AV1719" s="73">
        <f t="shared" si="505"/>
        <v>1.0068214933659623</v>
      </c>
      <c r="AW1719" s="74">
        <f>PRODUCT(AV$4:AV1719)</f>
        <v>116533.97494679116</v>
      </c>
    </row>
    <row r="1720" spans="44:49">
      <c r="AR1720" s="69">
        <f t="shared" si="504"/>
        <v>144</v>
      </c>
      <c r="AS1720" s="70">
        <f t="shared" si="506"/>
        <v>1717</v>
      </c>
      <c r="AT1720" s="71">
        <f t="shared" si="507"/>
        <v>7.8685630323828437E-6</v>
      </c>
      <c r="AU1720" s="72">
        <f t="shared" si="503"/>
        <v>6.8214933659622723E-3</v>
      </c>
      <c r="AV1720" s="73">
        <f t="shared" si="505"/>
        <v>1.0068214933659623</v>
      </c>
      <c r="AW1720" s="74">
        <f>PRODUCT(AV$4:AV1720)</f>
        <v>117328.91068379991</v>
      </c>
    </row>
    <row r="1721" spans="44:49">
      <c r="AR1721" s="69">
        <f t="shared" si="504"/>
        <v>144</v>
      </c>
      <c r="AS1721" s="70">
        <f t="shared" si="506"/>
        <v>1718</v>
      </c>
      <c r="AT1721" s="71">
        <f t="shared" si="507"/>
        <v>7.8148876818577886E-6</v>
      </c>
      <c r="AU1721" s="72">
        <f t="shared" si="503"/>
        <v>6.8214933659622723E-3</v>
      </c>
      <c r="AV1721" s="73">
        <f t="shared" si="505"/>
        <v>1.0068214933659623</v>
      </c>
      <c r="AW1721" s="74">
        <f>PRODUCT(AV$4:AV1721)</f>
        <v>118129.26906966504</v>
      </c>
    </row>
    <row r="1722" spans="44:49">
      <c r="AR1722" s="69">
        <f t="shared" si="504"/>
        <v>144</v>
      </c>
      <c r="AS1722" s="70">
        <f t="shared" si="506"/>
        <v>1719</v>
      </c>
      <c r="AT1722" s="71">
        <f t="shared" si="507"/>
        <v>7.7615784773802561E-6</v>
      </c>
      <c r="AU1722" s="72">
        <f t="shared" si="503"/>
        <v>6.8214933659622723E-3</v>
      </c>
      <c r="AV1722" s="73">
        <f t="shared" si="505"/>
        <v>1.0068214933659623</v>
      </c>
      <c r="AW1722" s="74">
        <f>PRODUCT(AV$4:AV1722)</f>
        <v>118935.08709494973</v>
      </c>
    </row>
    <row r="1723" spans="44:49">
      <c r="AR1723" s="69">
        <f t="shared" si="504"/>
        <v>144</v>
      </c>
      <c r="AS1723" s="70">
        <f t="shared" si="506"/>
        <v>1720</v>
      </c>
      <c r="AT1723" s="71">
        <f t="shared" si="507"/>
        <v>7.7086329212874115E-6</v>
      </c>
      <c r="AU1723" s="72">
        <f t="shared" si="503"/>
        <v>6.8214933659622723E-3</v>
      </c>
      <c r="AV1723" s="73">
        <f t="shared" si="505"/>
        <v>1.0068214933659623</v>
      </c>
      <c r="AW1723" s="74">
        <f>PRODUCT(AV$4:AV1723)</f>
        <v>119746.40200254807</v>
      </c>
    </row>
    <row r="1724" spans="44:49">
      <c r="AR1724" s="69">
        <f t="shared" si="504"/>
        <v>144</v>
      </c>
      <c r="AS1724" s="70">
        <f t="shared" si="506"/>
        <v>1721</v>
      </c>
      <c r="AT1724" s="71">
        <f t="shared" si="507"/>
        <v>7.6560485329542118E-6</v>
      </c>
      <c r="AU1724" s="72">
        <f t="shared" si="503"/>
        <v>6.8214933659622723E-3</v>
      </c>
      <c r="AV1724" s="73">
        <f t="shared" si="505"/>
        <v>1.0068214933659623</v>
      </c>
      <c r="AW1724" s="74">
        <f>PRODUCT(AV$4:AV1724)</f>
        <v>120563.25128940631</v>
      </c>
    </row>
    <row r="1725" spans="44:49">
      <c r="AR1725" s="69">
        <f t="shared" si="504"/>
        <v>144</v>
      </c>
      <c r="AS1725" s="70">
        <f t="shared" si="506"/>
        <v>1722</v>
      </c>
      <c r="AT1725" s="71">
        <f t="shared" si="507"/>
        <v>7.6038228486771798E-6</v>
      </c>
      <c r="AU1725" s="72">
        <f t="shared" si="503"/>
        <v>6.8214933659622723E-3</v>
      </c>
      <c r="AV1725" s="73">
        <f t="shared" si="505"/>
        <v>1.0068214933659623</v>
      </c>
      <c r="AW1725" s="74">
        <f>PRODUCT(AV$4:AV1725)</f>
        <v>121385.67270825584</v>
      </c>
    </row>
    <row r="1726" spans="44:49">
      <c r="AR1726" s="69">
        <f t="shared" si="504"/>
        <v>144</v>
      </c>
      <c r="AS1726" s="70">
        <f t="shared" si="506"/>
        <v>1723</v>
      </c>
      <c r="AT1726" s="71">
        <f t="shared" si="507"/>
        <v>7.5519534215589759E-6</v>
      </c>
      <c r="AU1726" s="72">
        <f t="shared" si="503"/>
        <v>6.8214933659622723E-3</v>
      </c>
      <c r="AV1726" s="73">
        <f t="shared" si="505"/>
        <v>1.0068214933659623</v>
      </c>
      <c r="AW1726" s="74">
        <f>PRODUCT(AV$4:AV1726)</f>
        <v>122213.70426935807</v>
      </c>
    </row>
    <row r="1727" spans="44:49">
      <c r="AR1727" s="69">
        <f t="shared" si="504"/>
        <v>144</v>
      </c>
      <c r="AS1727" s="70">
        <f t="shared" si="506"/>
        <v>1724</v>
      </c>
      <c r="AT1727" s="71">
        <f t="shared" si="507"/>
        <v>7.5004378213937552E-6</v>
      </c>
      <c r="AU1727" s="72">
        <f t="shared" si="503"/>
        <v>6.8214933659622723E-3</v>
      </c>
      <c r="AV1727" s="73">
        <f t="shared" si="505"/>
        <v>1.0068214933659623</v>
      </c>
      <c r="AW1727" s="74">
        <f>PRODUCT(AV$4:AV1727)</f>
        <v>123047.38424226118</v>
      </c>
    </row>
    <row r="1728" spans="44:49">
      <c r="AR1728" s="69">
        <f t="shared" si="504"/>
        <v>144</v>
      </c>
      <c r="AS1728" s="70">
        <f t="shared" si="506"/>
        <v>1725</v>
      </c>
      <c r="AT1728" s="71">
        <f t="shared" si="507"/>
        <v>7.4492736345533055E-6</v>
      </c>
      <c r="AU1728" s="72">
        <f t="shared" si="503"/>
        <v>6.8214933659622723E-3</v>
      </c>
      <c r="AV1728" s="73">
        <f t="shared" si="505"/>
        <v>1.0068214933659623</v>
      </c>
      <c r="AW1728" s="74">
        <f>PRODUCT(AV$4:AV1728)</f>
        <v>123886.75115756877</v>
      </c>
    </row>
    <row r="1729" spans="44:49">
      <c r="AR1729" s="69">
        <f t="shared" si="504"/>
        <v>144</v>
      </c>
      <c r="AS1729" s="70">
        <f t="shared" si="506"/>
        <v>1726</v>
      </c>
      <c r="AT1729" s="71">
        <f t="shared" si="507"/>
        <v>7.3984584638739628E-6</v>
      </c>
      <c r="AU1729" s="72">
        <f t="shared" si="503"/>
        <v>6.8214933659622723E-3</v>
      </c>
      <c r="AV1729" s="73">
        <f t="shared" si="505"/>
        <v>1.0068214933659623</v>
      </c>
      <c r="AW1729" s="74">
        <f>PRODUCT(AV$4:AV1729)</f>
        <v>124731.84380872075</v>
      </c>
    </row>
    <row r="1730" spans="44:49">
      <c r="AR1730" s="69">
        <f t="shared" si="504"/>
        <v>144</v>
      </c>
      <c r="AS1730" s="70">
        <f t="shared" si="506"/>
        <v>1727</v>
      </c>
      <c r="AT1730" s="71">
        <f t="shared" si="507"/>
        <v>7.3479899285442988E-6</v>
      </c>
      <c r="AU1730" s="72">
        <f t="shared" si="503"/>
        <v>6.8214933659622723E-3</v>
      </c>
      <c r="AV1730" s="73">
        <f t="shared" si="505"/>
        <v>1.0068214933659623</v>
      </c>
      <c r="AW1730" s="74">
        <f>PRODUCT(AV$4:AV1730)</f>
        <v>125582.70125378617</v>
      </c>
    </row>
    <row r="1731" spans="44:49">
      <c r="AR1731" s="69">
        <f t="shared" si="504"/>
        <v>144</v>
      </c>
      <c r="AS1731" s="70">
        <f t="shared" si="506"/>
        <v>1728</v>
      </c>
      <c r="AT1731" s="71">
        <f t="shared" si="507"/>
        <v>7.2978656639935761E-6</v>
      </c>
      <c r="AU1731" s="72">
        <f t="shared" si="503"/>
        <v>6.8214933659622723E-3</v>
      </c>
      <c r="AV1731" s="73">
        <f t="shared" si="505"/>
        <v>1.0068214933659623</v>
      </c>
      <c r="AW1731" s="74">
        <f>PRODUCT(AV$4:AV1731)</f>
        <v>126439.3628172685</v>
      </c>
    </row>
    <row r="1732" spans="44:49">
      <c r="AR1732" s="69">
        <f t="shared" si="504"/>
        <v>145</v>
      </c>
      <c r="AS1732" s="70">
        <f t="shared" si="506"/>
        <v>1729</v>
      </c>
      <c r="AT1732" s="71">
        <f t="shared" si="507"/>
        <v>7.2480833217809602E-6</v>
      </c>
      <c r="AU1732" s="72">
        <f t="shared" ref="AU1732:AU1795" si="508">((1+$AH$21)^(1/12))-1</f>
        <v>6.8214933659622723E-3</v>
      </c>
      <c r="AV1732" s="73">
        <f t="shared" si="505"/>
        <v>1.0068214933659623</v>
      </c>
      <c r="AW1732" s="74">
        <f>PRODUCT(AV$4:AV1732)</f>
        <v>127301.868091923</v>
      </c>
    </row>
    <row r="1733" spans="44:49">
      <c r="AR1733" s="69">
        <f t="shared" ref="AR1733:AR1796" si="509">ROUNDDOWN((AS1733-1)/12,0)+1</f>
        <v>145</v>
      </c>
      <c r="AS1733" s="70">
        <f t="shared" si="506"/>
        <v>1730</v>
      </c>
      <c r="AT1733" s="71">
        <f t="shared" si="507"/>
        <v>7.1986405694854897E-6</v>
      </c>
      <c r="AU1733" s="72">
        <f t="shared" si="508"/>
        <v>6.8214933659622723E-3</v>
      </c>
      <c r="AV1733" s="73">
        <f t="shared" ref="AV1733:AV1796" si="510">(1+AU1733)</f>
        <v>1.0068214933659623</v>
      </c>
      <c r="AW1733" s="74">
        <f>PRODUCT(AV$4:AV1733)</f>
        <v>128170.25694058665</v>
      </c>
    </row>
    <row r="1734" spans="44:49">
      <c r="AR1734" s="69">
        <f t="shared" si="509"/>
        <v>145</v>
      </c>
      <c r="AS1734" s="70">
        <f t="shared" ref="AS1734:AS1797" si="511">AS1733+1</f>
        <v>1731</v>
      </c>
      <c r="AT1734" s="71">
        <f t="shared" si="507"/>
        <v>7.1495350905967973E-6</v>
      </c>
      <c r="AU1734" s="72">
        <f t="shared" si="508"/>
        <v>6.8214933659622723E-3</v>
      </c>
      <c r="AV1734" s="73">
        <f t="shared" si="510"/>
        <v>1.0068214933659623</v>
      </c>
      <c r="AW1734" s="74">
        <f>PRODUCT(AV$4:AV1734)</f>
        <v>129044.56949802054</v>
      </c>
    </row>
    <row r="1735" spans="44:49">
      <c r="AR1735" s="69">
        <f t="shared" si="509"/>
        <v>145</v>
      </c>
      <c r="AS1735" s="70">
        <f t="shared" si="511"/>
        <v>1732</v>
      </c>
      <c r="AT1735" s="71">
        <f t="shared" si="507"/>
        <v>7.1007645844065768E-6</v>
      </c>
      <c r="AU1735" s="72">
        <f t="shared" si="508"/>
        <v>6.8214933659622723E-3</v>
      </c>
      <c r="AV1735" s="73">
        <f t="shared" si="510"/>
        <v>1.0068214933659623</v>
      </c>
      <c r="AW1735" s="74">
        <f>PRODUCT(AV$4:AV1735)</f>
        <v>129924.84617276475</v>
      </c>
    </row>
    <row r="1736" spans="44:49">
      <c r="AR1736" s="69">
        <f t="shared" si="509"/>
        <v>145</v>
      </c>
      <c r="AS1736" s="70">
        <f t="shared" si="511"/>
        <v>1733</v>
      </c>
      <c r="AT1736" s="71">
        <f t="shared" si="507"/>
        <v>7.0523267659007872E-6</v>
      </c>
      <c r="AU1736" s="72">
        <f t="shared" si="508"/>
        <v>6.8214933659622723E-3</v>
      </c>
      <c r="AV1736" s="73">
        <f t="shared" si="510"/>
        <v>1.0068214933659623</v>
      </c>
      <c r="AW1736" s="74">
        <f>PRODUCT(AV$4:AV1736)</f>
        <v>130811.12764900594</v>
      </c>
    </row>
    <row r="1737" spans="44:49">
      <c r="AR1737" s="69">
        <f t="shared" si="509"/>
        <v>145</v>
      </c>
      <c r="AS1737" s="70">
        <f t="shared" si="511"/>
        <v>1734</v>
      </c>
      <c r="AT1737" s="71">
        <f t="shared" si="507"/>
        <v>7.004219365652597E-6</v>
      </c>
      <c r="AU1737" s="72">
        <f t="shared" si="508"/>
        <v>6.8214933659622723E-3</v>
      </c>
      <c r="AV1737" s="73">
        <f t="shared" si="510"/>
        <v>1.0068214933659623</v>
      </c>
      <c r="AW1737" s="74">
        <f>PRODUCT(AV$4:AV1737)</f>
        <v>131703.45488845767</v>
      </c>
    </row>
    <row r="1738" spans="44:49">
      <c r="AR1738" s="69">
        <f t="shared" si="509"/>
        <v>145</v>
      </c>
      <c r="AS1738" s="70">
        <f t="shared" si="511"/>
        <v>1735</v>
      </c>
      <c r="AT1738" s="71">
        <f t="shared" si="507"/>
        <v>6.9564401297160531E-6</v>
      </c>
      <c r="AU1738" s="72">
        <f t="shared" si="508"/>
        <v>6.8214933659622723E-3</v>
      </c>
      <c r="AV1738" s="73">
        <f t="shared" si="510"/>
        <v>1.0068214933659623</v>
      </c>
      <c r="AW1738" s="74">
        <f>PRODUCT(AV$4:AV1738)</f>
        <v>132601.8691322536</v>
      </c>
    </row>
    <row r="1739" spans="44:49">
      <c r="AR1739" s="69">
        <f t="shared" si="509"/>
        <v>145</v>
      </c>
      <c r="AS1739" s="70">
        <f t="shared" si="511"/>
        <v>1736</v>
      </c>
      <c r="AT1739" s="71">
        <f t="shared" si="507"/>
        <v>6.9089868195204814E-6</v>
      </c>
      <c r="AU1739" s="72">
        <f t="shared" si="508"/>
        <v>6.8214933659622723E-3</v>
      </c>
      <c r="AV1739" s="73">
        <f t="shared" si="510"/>
        <v>1.0068214933659623</v>
      </c>
      <c r="AW1739" s="74">
        <f>PRODUCT(AV$4:AV1739)</f>
        <v>133506.41190285346</v>
      </c>
    </row>
    <row r="1740" spans="44:49">
      <c r="AR1740" s="69">
        <f t="shared" si="509"/>
        <v>145</v>
      </c>
      <c r="AS1740" s="70">
        <f t="shared" si="511"/>
        <v>1737</v>
      </c>
      <c r="AT1740" s="71">
        <f t="shared" si="507"/>
        <v>6.861857211765602E-6</v>
      </c>
      <c r="AU1740" s="72">
        <f t="shared" si="508"/>
        <v>6.8214933659622723E-3</v>
      </c>
      <c r="AV1740" s="73">
        <f t="shared" si="510"/>
        <v>1.0068214933659623</v>
      </c>
      <c r="AW1740" s="74">
        <f>PRODUCT(AV$4:AV1740)</f>
        <v>134417.12500596221</v>
      </c>
    </row>
    <row r="1741" spans="44:49">
      <c r="AR1741" s="69">
        <f t="shared" si="509"/>
        <v>145</v>
      </c>
      <c r="AS1741" s="70">
        <f t="shared" si="511"/>
        <v>1738</v>
      </c>
      <c r="AT1741" s="71">
        <f t="shared" si="507"/>
        <v>6.8150490983173629E-6</v>
      </c>
      <c r="AU1741" s="72">
        <f t="shared" si="508"/>
        <v>6.8214933659622723E-3</v>
      </c>
      <c r="AV1741" s="73">
        <f t="shared" si="510"/>
        <v>1.0068214933659623</v>
      </c>
      <c r="AW1741" s="74">
        <f>PRODUCT(AV$4:AV1741)</f>
        <v>135334.0505324621</v>
      </c>
    </row>
    <row r="1742" spans="44:49">
      <c r="AR1742" s="69">
        <f t="shared" si="509"/>
        <v>145</v>
      </c>
      <c r="AS1742" s="70">
        <f t="shared" si="511"/>
        <v>1739</v>
      </c>
      <c r="AT1742" s="71">
        <f t="shared" si="507"/>
        <v>6.7685602861044841E-6</v>
      </c>
      <c r="AU1742" s="72">
        <f t="shared" si="508"/>
        <v>6.8214933659622723E-3</v>
      </c>
      <c r="AV1742" s="73">
        <f t="shared" si="510"/>
        <v>1.0068214933659623</v>
      </c>
      <c r="AW1742" s="74">
        <f>PRODUCT(AV$4:AV1742)</f>
        <v>136257.2308603581</v>
      </c>
    </row>
    <row r="1743" spans="44:49">
      <c r="AR1743" s="69">
        <f t="shared" si="509"/>
        <v>145</v>
      </c>
      <c r="AS1743" s="70">
        <f t="shared" si="511"/>
        <v>1740</v>
      </c>
      <c r="AT1743" s="71">
        <f t="shared" ref="AT1743:AT1774" si="512">(1-AU1743)*AT1742</f>
        <v>6.7223885970157068E-6</v>
      </c>
      <c r="AU1743" s="72">
        <f t="shared" si="508"/>
        <v>6.8214933659622723E-3</v>
      </c>
      <c r="AV1743" s="73">
        <f t="shared" si="510"/>
        <v>1.0068214933659623</v>
      </c>
      <c r="AW1743" s="74">
        <f>PRODUCT(AV$4:AV1743)</f>
        <v>137186.70865673642</v>
      </c>
    </row>
    <row r="1744" spans="44:49">
      <c r="AR1744" s="69">
        <f t="shared" si="509"/>
        <v>146</v>
      </c>
      <c r="AS1744" s="70">
        <f t="shared" si="511"/>
        <v>1741</v>
      </c>
      <c r="AT1744" s="71">
        <f t="shared" si="512"/>
        <v>6.6765318677977441E-6</v>
      </c>
      <c r="AU1744" s="72">
        <f t="shared" si="508"/>
        <v>6.8214933659622723E-3</v>
      </c>
      <c r="AV1744" s="73">
        <f t="shared" si="510"/>
        <v>1.0068214933659623</v>
      </c>
      <c r="AW1744" s="74">
        <f>PRODUCT(AV$4:AV1744)</f>
        <v>138122.52687973654</v>
      </c>
    </row>
    <row r="1745" spans="44:49">
      <c r="AR1745" s="69">
        <f t="shared" si="509"/>
        <v>146</v>
      </c>
      <c r="AS1745" s="70">
        <f t="shared" si="511"/>
        <v>1742</v>
      </c>
      <c r="AT1745" s="71">
        <f t="shared" si="512"/>
        <v>6.6309879499539259E-6</v>
      </c>
      <c r="AU1745" s="72">
        <f t="shared" si="508"/>
        <v>6.8214933659622723E-3</v>
      </c>
      <c r="AV1745" s="73">
        <f t="shared" si="510"/>
        <v>1.0068214933659623</v>
      </c>
      <c r="AW1745" s="74">
        <f>PRODUCT(AV$4:AV1745)</f>
        <v>139064.72878053662</v>
      </c>
    </row>
    <row r="1746" spans="44:49">
      <c r="AR1746" s="69">
        <f t="shared" si="509"/>
        <v>146</v>
      </c>
      <c r="AS1746" s="70">
        <f t="shared" si="511"/>
        <v>1743</v>
      </c>
      <c r="AT1746" s="71">
        <f t="shared" si="512"/>
        <v>6.5857547096435397E-6</v>
      </c>
      <c r="AU1746" s="72">
        <f t="shared" si="508"/>
        <v>6.8214933659622723E-3</v>
      </c>
      <c r="AV1746" s="73">
        <f t="shared" si="510"/>
        <v>1.0068214933659623</v>
      </c>
      <c r="AW1746" s="74">
        <f>PRODUCT(AV$4:AV1746)</f>
        <v>140013.3579053524</v>
      </c>
    </row>
    <row r="1747" spans="44:49">
      <c r="AR1747" s="69">
        <f t="shared" si="509"/>
        <v>146</v>
      </c>
      <c r="AS1747" s="70">
        <f t="shared" si="511"/>
        <v>1744</v>
      </c>
      <c r="AT1747" s="71">
        <f t="shared" si="512"/>
        <v>6.5408300275818514E-6</v>
      </c>
      <c r="AU1747" s="72">
        <f t="shared" si="508"/>
        <v>6.8214933659622723E-3</v>
      </c>
      <c r="AV1747" s="73">
        <f t="shared" si="510"/>
        <v>1.0068214933659623</v>
      </c>
      <c r="AW1747" s="74">
        <f>PRODUCT(AV$4:AV1747)</f>
        <v>140968.45809744985</v>
      </c>
    </row>
    <row r="1748" spans="44:49">
      <c r="AR1748" s="69">
        <f t="shared" si="509"/>
        <v>146</v>
      </c>
      <c r="AS1748" s="70">
        <f t="shared" si="511"/>
        <v>1745</v>
      </c>
      <c r="AT1748" s="71">
        <f t="shared" si="512"/>
        <v>6.4962117989408151E-6</v>
      </c>
      <c r="AU1748" s="72">
        <f t="shared" si="508"/>
        <v>6.8214933659622723E-3</v>
      </c>
      <c r="AV1748" s="73">
        <f t="shared" si="510"/>
        <v>1.0068214933659623</v>
      </c>
      <c r="AW1748" s="74">
        <f>PRODUCT(AV$4:AV1748)</f>
        <v>141930.07349917153</v>
      </c>
    </row>
    <row r="1749" spans="44:49">
      <c r="AR1749" s="69">
        <f t="shared" si="509"/>
        <v>146</v>
      </c>
      <c r="AS1749" s="70">
        <f t="shared" si="511"/>
        <v>1746</v>
      </c>
      <c r="AT1749" s="71">
        <f t="shared" si="512"/>
        <v>6.4518979332504541E-6</v>
      </c>
      <c r="AU1749" s="72">
        <f t="shared" si="508"/>
        <v>6.8214933659622723E-3</v>
      </c>
      <c r="AV1749" s="73">
        <f t="shared" si="510"/>
        <v>1.0068214933659623</v>
      </c>
      <c r="AW1749" s="74">
        <f>PRODUCT(AV$4:AV1749)</f>
        <v>142898.24855397668</v>
      </c>
    </row>
    <row r="1750" spans="44:49">
      <c r="AR1750" s="69">
        <f t="shared" si="509"/>
        <v>146</v>
      </c>
      <c r="AS1750" s="70">
        <f t="shared" si="511"/>
        <v>1747</v>
      </c>
      <c r="AT1750" s="71">
        <f t="shared" si="512"/>
        <v>6.4078863543009207E-6</v>
      </c>
      <c r="AU1750" s="72">
        <f t="shared" si="508"/>
        <v>6.8214933659622723E-3</v>
      </c>
      <c r="AV1750" s="73">
        <f t="shared" si="510"/>
        <v>1.0068214933659623</v>
      </c>
      <c r="AW1750" s="74">
        <f>PRODUCT(AV$4:AV1750)</f>
        <v>143873.02800849525</v>
      </c>
    </row>
    <row r="1751" spans="44:49">
      <c r="AR1751" s="69">
        <f t="shared" si="509"/>
        <v>146</v>
      </c>
      <c r="AS1751" s="70">
        <f t="shared" si="511"/>
        <v>1748</v>
      </c>
      <c r="AT1751" s="71">
        <f t="shared" si="512"/>
        <v>6.3641750000452171E-6</v>
      </c>
      <c r="AU1751" s="72">
        <f t="shared" si="508"/>
        <v>6.8214933659622723E-3</v>
      </c>
      <c r="AV1751" s="73">
        <f t="shared" si="510"/>
        <v>1.0068214933659623</v>
      </c>
      <c r="AW1751" s="74">
        <f>PRODUCT(AV$4:AV1751)</f>
        <v>144854.45691459611</v>
      </c>
    </row>
    <row r="1752" spans="44:49">
      <c r="AR1752" s="69">
        <f t="shared" si="509"/>
        <v>146</v>
      </c>
      <c r="AS1752" s="70">
        <f t="shared" si="511"/>
        <v>1749</v>
      </c>
      <c r="AT1752" s="71">
        <f t="shared" si="512"/>
        <v>6.3207618225025856E-6</v>
      </c>
      <c r="AU1752" s="72">
        <f t="shared" si="508"/>
        <v>6.8214933659622723E-3</v>
      </c>
      <c r="AV1752" s="73">
        <f t="shared" si="510"/>
        <v>1.0068214933659623</v>
      </c>
      <c r="AW1752" s="74">
        <f>PRODUCT(AV$4:AV1752)</f>
        <v>145842.58063146909</v>
      </c>
    </row>
    <row r="1753" spans="44:49">
      <c r="AR1753" s="69">
        <f t="shared" si="509"/>
        <v>146</v>
      </c>
      <c r="AS1753" s="70">
        <f t="shared" si="511"/>
        <v>1750</v>
      </c>
      <c r="AT1753" s="71">
        <f t="shared" si="512"/>
        <v>6.2776447876625566E-6</v>
      </c>
      <c r="AU1753" s="72">
        <f t="shared" si="508"/>
        <v>6.8214933659622723E-3</v>
      </c>
      <c r="AV1753" s="73">
        <f t="shared" si="510"/>
        <v>1.0068214933659623</v>
      </c>
      <c r="AW1753" s="74">
        <f>PRODUCT(AV$4:AV1753)</f>
        <v>146837.44482772148</v>
      </c>
    </row>
    <row r="1754" spans="44:49">
      <c r="AR1754" s="69">
        <f t="shared" si="509"/>
        <v>146</v>
      </c>
      <c r="AS1754" s="70">
        <f t="shared" si="511"/>
        <v>1751</v>
      </c>
      <c r="AT1754" s="71">
        <f t="shared" si="512"/>
        <v>6.2348218753896485E-6</v>
      </c>
      <c r="AU1754" s="72">
        <f t="shared" si="508"/>
        <v>6.8214933659622723E-3</v>
      </c>
      <c r="AV1754" s="73">
        <f t="shared" si="510"/>
        <v>1.0068214933659623</v>
      </c>
      <c r="AW1754" s="74">
        <f>PRODUCT(AV$4:AV1754)</f>
        <v>147839.09548348864</v>
      </c>
    </row>
    <row r="1755" spans="44:49">
      <c r="AR1755" s="69">
        <f t="shared" si="509"/>
        <v>146</v>
      </c>
      <c r="AS1755" s="70">
        <f t="shared" si="511"/>
        <v>1752</v>
      </c>
      <c r="AT1755" s="71">
        <f t="shared" si="512"/>
        <v>6.192291079328722E-6</v>
      </c>
      <c r="AU1755" s="72">
        <f t="shared" si="508"/>
        <v>6.8214933659622723E-3</v>
      </c>
      <c r="AV1755" s="73">
        <f t="shared" si="510"/>
        <v>1.0068214933659623</v>
      </c>
      <c r="AW1755" s="74">
        <f>PRODUCT(AV$4:AV1755)</f>
        <v>148847.5788925591</v>
      </c>
    </row>
    <row r="1756" spans="44:49">
      <c r="AR1756" s="69">
        <f t="shared" si="509"/>
        <v>147</v>
      </c>
      <c r="AS1756" s="70">
        <f t="shared" si="511"/>
        <v>1753</v>
      </c>
      <c r="AT1756" s="71">
        <f t="shared" si="512"/>
        <v>6.1500504068109736E-6</v>
      </c>
      <c r="AU1756" s="72">
        <f t="shared" si="508"/>
        <v>6.8214933659622723E-3</v>
      </c>
      <c r="AV1756" s="73">
        <f t="shared" si="510"/>
        <v>1.0068214933659623</v>
      </c>
      <c r="AW1756" s="74">
        <f>PRODUCT(AV$4:AV1756)</f>
        <v>149862.94166451425</v>
      </c>
    </row>
    <row r="1757" spans="44:49">
      <c r="AR1757" s="69">
        <f t="shared" si="509"/>
        <v>147</v>
      </c>
      <c r="AS1757" s="70">
        <f t="shared" si="511"/>
        <v>1754</v>
      </c>
      <c r="AT1757" s="71">
        <f t="shared" si="512"/>
        <v>6.108097878760579E-6</v>
      </c>
      <c r="AU1757" s="72">
        <f t="shared" si="508"/>
        <v>6.8214933659622723E-3</v>
      </c>
      <c r="AV1757" s="73">
        <f t="shared" si="510"/>
        <v>1.0068214933659623</v>
      </c>
      <c r="AW1757" s="74">
        <f>PRODUCT(AV$4:AV1757)</f>
        <v>150885.23072688232</v>
      </c>
    </row>
    <row r="1758" spans="44:49">
      <c r="AR1758" s="69">
        <f t="shared" si="509"/>
        <v>147</v>
      </c>
      <c r="AS1758" s="70">
        <f t="shared" si="511"/>
        <v>1755</v>
      </c>
      <c r="AT1758" s="71">
        <f t="shared" si="512"/>
        <v>6.0664315296019655E-6</v>
      </c>
      <c r="AU1758" s="72">
        <f t="shared" si="508"/>
        <v>6.8214933659622723E-3</v>
      </c>
      <c r="AV1758" s="73">
        <f t="shared" si="510"/>
        <v>1.0068214933659623</v>
      </c>
      <c r="AW1758" s="74">
        <f>PRODUCT(AV$4:AV1758)</f>
        <v>151914.49332730743</v>
      </c>
    </row>
    <row r="1759" spans="44:49">
      <c r="AR1759" s="69">
        <f t="shared" si="509"/>
        <v>147</v>
      </c>
      <c r="AS1759" s="70">
        <f t="shared" si="511"/>
        <v>1756</v>
      </c>
      <c r="AT1759" s="71">
        <f t="shared" si="512"/>
        <v>6.0250494071677211E-6</v>
      </c>
      <c r="AU1759" s="72">
        <f t="shared" si="508"/>
        <v>6.8214933659622723E-3</v>
      </c>
      <c r="AV1759" s="73">
        <f t="shared" si="510"/>
        <v>1.0068214933659623</v>
      </c>
      <c r="AW1759" s="74">
        <f>PRODUCT(AV$4:AV1759)</f>
        <v>152950.77703573316</v>
      </c>
    </row>
    <row r="1760" spans="44:49">
      <c r="AR1760" s="69">
        <f t="shared" si="509"/>
        <v>147</v>
      </c>
      <c r="AS1760" s="70">
        <f t="shared" si="511"/>
        <v>1757</v>
      </c>
      <c r="AT1760" s="71">
        <f t="shared" si="512"/>
        <v>5.9839495726071314E-6</v>
      </c>
      <c r="AU1760" s="72">
        <f t="shared" si="508"/>
        <v>6.8214933659622723E-3</v>
      </c>
      <c r="AV1760" s="73">
        <f t="shared" si="510"/>
        <v>1.0068214933659623</v>
      </c>
      <c r="AW1760" s="74">
        <f>PRODUCT(AV$4:AV1760)</f>
        <v>153994.12974660119</v>
      </c>
    </row>
    <row r="1761" spans="44:49">
      <c r="AR1761" s="69">
        <f t="shared" si="509"/>
        <v>147</v>
      </c>
      <c r="AS1761" s="70">
        <f t="shared" si="511"/>
        <v>1758</v>
      </c>
      <c r="AT1761" s="71">
        <f t="shared" si="512"/>
        <v>5.9431301002953395E-6</v>
      </c>
      <c r="AU1761" s="72">
        <f t="shared" si="508"/>
        <v>6.8214933659622723E-3</v>
      </c>
      <c r="AV1761" s="73">
        <f t="shared" si="510"/>
        <v>1.0068214933659623</v>
      </c>
      <c r="AW1761" s="74">
        <f>PRODUCT(AV$4:AV1761)</f>
        <v>155044.59968106475</v>
      </c>
    </row>
    <row r="1762" spans="44:49">
      <c r="AR1762" s="69">
        <f t="shared" si="509"/>
        <v>147</v>
      </c>
      <c r="AS1762" s="70">
        <f t="shared" si="511"/>
        <v>1759</v>
      </c>
      <c r="AT1762" s="71">
        <f t="shared" si="512"/>
        <v>5.9025890777431241E-6</v>
      </c>
      <c r="AU1762" s="72">
        <f t="shared" si="508"/>
        <v>6.8214933659622723E-3</v>
      </c>
      <c r="AV1762" s="73">
        <f t="shared" si="510"/>
        <v>1.0068214933659623</v>
      </c>
      <c r="AW1762" s="74">
        <f>PRODUCT(AV$4:AV1762)</f>
        <v>156102.23538921741</v>
      </c>
    </row>
    <row r="1763" spans="44:49">
      <c r="AR1763" s="69">
        <f t="shared" si="509"/>
        <v>147</v>
      </c>
      <c r="AS1763" s="70">
        <f t="shared" si="511"/>
        <v>1760</v>
      </c>
      <c r="AT1763" s="71">
        <f t="shared" si="512"/>
        <v>5.8623246055072982E-6</v>
      </c>
      <c r="AU1763" s="72">
        <f t="shared" si="508"/>
        <v>6.8214933659622723E-3</v>
      </c>
      <c r="AV1763" s="73">
        <f t="shared" si="510"/>
        <v>1.0068214933659623</v>
      </c>
      <c r="AW1763" s="74">
        <f>PRODUCT(AV$4:AV1763)</f>
        <v>157167.08575233683</v>
      </c>
    </row>
    <row r="1764" spans="44:49">
      <c r="AR1764" s="69">
        <f t="shared" si="509"/>
        <v>147</v>
      </c>
      <c r="AS1764" s="70">
        <f t="shared" si="511"/>
        <v>1761</v>
      </c>
      <c r="AT1764" s="71">
        <f t="shared" si="512"/>
        <v>5.8223347971017126E-6</v>
      </c>
      <c r="AU1764" s="72">
        <f t="shared" si="508"/>
        <v>6.8214933659622723E-3</v>
      </c>
      <c r="AV1764" s="73">
        <f t="shared" si="510"/>
        <v>1.0068214933659623</v>
      </c>
      <c r="AW1764" s="74">
        <f>PRODUCT(AV$4:AV1764)</f>
        <v>158239.19998514402</v>
      </c>
    </row>
    <row r="1765" spans="44:49">
      <c r="AR1765" s="69">
        <f t="shared" si="509"/>
        <v>147</v>
      </c>
      <c r="AS1765" s="70">
        <f t="shared" si="511"/>
        <v>1762</v>
      </c>
      <c r="AT1765" s="71">
        <f t="shared" si="512"/>
        <v>5.7826177789088717E-6</v>
      </c>
      <c r="AU1765" s="72">
        <f t="shared" si="508"/>
        <v>6.8214933659622723E-3</v>
      </c>
      <c r="AV1765" s="73">
        <f t="shared" si="510"/>
        <v>1.0068214933659623</v>
      </c>
      <c r="AW1765" s="74">
        <f>PRODUCT(AV$4:AV1765)</f>
        <v>159318.62763807786</v>
      </c>
    </row>
    <row r="1766" spans="44:49">
      <c r="AR1766" s="69">
        <f t="shared" si="509"/>
        <v>147</v>
      </c>
      <c r="AS1766" s="70">
        <f t="shared" si="511"/>
        <v>1763</v>
      </c>
      <c r="AT1766" s="71">
        <f t="shared" si="512"/>
        <v>5.7431716900921495E-6</v>
      </c>
      <c r="AU1766" s="72">
        <f t="shared" si="508"/>
        <v>6.8214933659622723E-3</v>
      </c>
      <c r="AV1766" s="73">
        <f t="shared" si="510"/>
        <v>1.0068214933659623</v>
      </c>
      <c r="AW1766" s="74">
        <f>PRODUCT(AV$4:AV1766)</f>
        <v>160405.41859958522</v>
      </c>
    </row>
    <row r="1767" spans="44:49">
      <c r="AR1767" s="69">
        <f t="shared" si="509"/>
        <v>147</v>
      </c>
      <c r="AS1767" s="70">
        <f t="shared" si="511"/>
        <v>1764</v>
      </c>
      <c r="AT1767" s="71">
        <f t="shared" si="512"/>
        <v>5.7039946825086034E-6</v>
      </c>
      <c r="AU1767" s="72">
        <f t="shared" si="508"/>
        <v>6.8214933659622723E-3</v>
      </c>
      <c r="AV1767" s="73">
        <f t="shared" si="510"/>
        <v>1.0068214933659623</v>
      </c>
      <c r="AW1767" s="74">
        <f>PRODUCT(AV$4:AV1767)</f>
        <v>161499.6230984267</v>
      </c>
    </row>
    <row r="1768" spans="44:49">
      <c r="AR1768" s="69">
        <f t="shared" si="509"/>
        <v>148</v>
      </c>
      <c r="AS1768" s="70">
        <f t="shared" si="511"/>
        <v>1765</v>
      </c>
      <c r="AT1768" s="71">
        <f t="shared" si="512"/>
        <v>5.6650849206223868E-6</v>
      </c>
      <c r="AU1768" s="72">
        <f t="shared" si="508"/>
        <v>6.8214933659622723E-3</v>
      </c>
      <c r="AV1768" s="73">
        <f t="shared" si="510"/>
        <v>1.0068214933659623</v>
      </c>
      <c r="AW1768" s="74">
        <f>PRODUCT(AV$4:AV1768)</f>
        <v>162601.29170599804</v>
      </c>
    </row>
    <row r="1769" spans="44:49">
      <c r="AR1769" s="69">
        <f t="shared" si="509"/>
        <v>148</v>
      </c>
      <c r="AS1769" s="70">
        <f t="shared" si="511"/>
        <v>1766</v>
      </c>
      <c r="AT1769" s="71">
        <f t="shared" si="512"/>
        <v>5.6264405814187483E-6</v>
      </c>
      <c r="AU1769" s="72">
        <f t="shared" si="508"/>
        <v>6.8214933659622723E-3</v>
      </c>
      <c r="AV1769" s="73">
        <f t="shared" si="510"/>
        <v>1.0068214933659623</v>
      </c>
      <c r="AW1769" s="74">
        <f>PRODUCT(AV$4:AV1769)</f>
        <v>163710.4753386674</v>
      </c>
    </row>
    <row r="1770" spans="44:49">
      <c r="AR1770" s="69">
        <f t="shared" si="509"/>
        <v>148</v>
      </c>
      <c r="AS1770" s="70">
        <f t="shared" si="511"/>
        <v>1767</v>
      </c>
      <c r="AT1770" s="71">
        <f t="shared" si="512"/>
        <v>5.5880598543186192E-6</v>
      </c>
      <c r="AU1770" s="72">
        <f t="shared" si="508"/>
        <v>6.8214933659622723E-3</v>
      </c>
      <c r="AV1770" s="73">
        <f t="shared" si="510"/>
        <v>1.0068214933659623</v>
      </c>
      <c r="AW1770" s="74">
        <f>PRODUCT(AV$4:AV1770)</f>
        <v>164827.22526012865</v>
      </c>
    </row>
    <row r="1771" spans="44:49">
      <c r="AR1771" s="69">
        <f t="shared" si="509"/>
        <v>148</v>
      </c>
      <c r="AS1771" s="70">
        <f t="shared" si="511"/>
        <v>1768</v>
      </c>
      <c r="AT1771" s="71">
        <f t="shared" si="512"/>
        <v>5.5499409410937845E-6</v>
      </c>
      <c r="AU1771" s="72">
        <f t="shared" si="508"/>
        <v>6.8214933659622723E-3</v>
      </c>
      <c r="AV1771" s="73">
        <f t="shared" si="510"/>
        <v>1.0068214933659623</v>
      </c>
      <c r="AW1771" s="74">
        <f>PRODUCT(AV$4:AV1771)</f>
        <v>165951.5930837706</v>
      </c>
    </row>
    <row r="1772" spans="44:49">
      <c r="AR1772" s="69">
        <f t="shared" si="509"/>
        <v>148</v>
      </c>
      <c r="AS1772" s="70">
        <f t="shared" si="511"/>
        <v>1769</v>
      </c>
      <c r="AT1772" s="71">
        <f t="shared" si="512"/>
        <v>5.5120820557826313E-6</v>
      </c>
      <c r="AU1772" s="72">
        <f t="shared" si="508"/>
        <v>6.8214933659622723E-3</v>
      </c>
      <c r="AV1772" s="73">
        <f t="shared" si="510"/>
        <v>1.0068214933659623</v>
      </c>
      <c r="AW1772" s="74">
        <f>PRODUCT(AV$4:AV1772)</f>
        <v>167083.6307750624</v>
      </c>
    </row>
    <row r="1773" spans="44:49">
      <c r="AR1773" s="69">
        <f t="shared" si="509"/>
        <v>148</v>
      </c>
      <c r="AS1773" s="70">
        <f t="shared" si="511"/>
        <v>1770</v>
      </c>
      <c r="AT1773" s="71">
        <f t="shared" si="512"/>
        <v>5.4744814246064707E-6</v>
      </c>
      <c r="AU1773" s="72">
        <f t="shared" si="508"/>
        <v>6.8214933659622723E-3</v>
      </c>
      <c r="AV1773" s="73">
        <f t="shared" si="510"/>
        <v>1.0068214933659623</v>
      </c>
      <c r="AW1773" s="74">
        <f>PRODUCT(AV$4:AV1773)</f>
        <v>168223.39065395537</v>
      </c>
    </row>
    <row r="1774" spans="44:49">
      <c r="AR1774" s="69">
        <f t="shared" si="509"/>
        <v>148</v>
      </c>
      <c r="AS1774" s="70">
        <f t="shared" si="511"/>
        <v>1771</v>
      </c>
      <c r="AT1774" s="71">
        <f t="shared" si="512"/>
        <v>5.437137285886434E-6</v>
      </c>
      <c r="AU1774" s="72">
        <f t="shared" si="508"/>
        <v>6.8214933659622723E-3</v>
      </c>
      <c r="AV1774" s="73">
        <f t="shared" si="510"/>
        <v>1.0068214933659623</v>
      </c>
      <c r="AW1774" s="74">
        <f>PRODUCT(AV$4:AV1774)</f>
        <v>169370.92539730101</v>
      </c>
    </row>
    <row r="1775" spans="44:49">
      <c r="AR1775" s="69">
        <f t="shared" si="509"/>
        <v>148</v>
      </c>
      <c r="AS1775" s="70">
        <f t="shared" si="511"/>
        <v>1772</v>
      </c>
      <c r="AT1775" s="71">
        <f t="shared" ref="AT1775:AT1803" si="513">(1-AU1775)*AT1774</f>
        <v>5.4000478899609338E-6</v>
      </c>
      <c r="AU1775" s="72">
        <f t="shared" si="508"/>
        <v>6.8214933659622723E-3</v>
      </c>
      <c r="AV1775" s="73">
        <f t="shared" si="510"/>
        <v>1.0068214933659623</v>
      </c>
      <c r="AW1775" s="74">
        <f>PRODUCT(AV$4:AV1775)</f>
        <v>170526.28804128559</v>
      </c>
    </row>
    <row r="1776" spans="44:49">
      <c r="AR1776" s="69">
        <f t="shared" si="509"/>
        <v>148</v>
      </c>
      <c r="AS1776" s="70">
        <f t="shared" si="511"/>
        <v>1773</v>
      </c>
      <c r="AT1776" s="71">
        <f t="shared" si="513"/>
        <v>5.3632114991036871E-6</v>
      </c>
      <c r="AU1776" s="72">
        <f t="shared" si="508"/>
        <v>6.8214933659622723E-3</v>
      </c>
      <c r="AV1776" s="73">
        <f t="shared" si="510"/>
        <v>1.0068214933659623</v>
      </c>
      <c r="AW1776" s="74">
        <f>PRODUCT(AV$4:AV1776)</f>
        <v>171689.5319838814</v>
      </c>
    </row>
    <row r="1777" spans="44:49">
      <c r="AR1777" s="69">
        <f t="shared" si="509"/>
        <v>148</v>
      </c>
      <c r="AS1777" s="70">
        <f t="shared" si="511"/>
        <v>1774</v>
      </c>
      <c r="AT1777" s="71">
        <f t="shared" si="513"/>
        <v>5.3266263874422987E-6</v>
      </c>
      <c r="AU1777" s="72">
        <f t="shared" si="508"/>
        <v>6.8214933659622723E-3</v>
      </c>
      <c r="AV1777" s="73">
        <f t="shared" si="510"/>
        <v>1.0068214933659623</v>
      </c>
      <c r="AW1777" s="74">
        <f>PRODUCT(AV$4:AV1777)</f>
        <v>172860.71098731461</v>
      </c>
    </row>
    <row r="1778" spans="44:49">
      <c r="AR1778" s="69">
        <f t="shared" si="509"/>
        <v>148</v>
      </c>
      <c r="AS1778" s="70">
        <f t="shared" si="511"/>
        <v>1775</v>
      </c>
      <c r="AT1778" s="71">
        <f t="shared" si="513"/>
        <v>5.2902908408774014E-6</v>
      </c>
      <c r="AU1778" s="72">
        <f t="shared" si="508"/>
        <v>6.8214933659622723E-3</v>
      </c>
      <c r="AV1778" s="73">
        <f t="shared" si="510"/>
        <v>1.0068214933659623</v>
      </c>
      <c r="AW1778" s="74">
        <f>PRODUCT(AV$4:AV1778)</f>
        <v>174039.87918055011</v>
      </c>
    </row>
    <row r="1779" spans="44:49">
      <c r="AR1779" s="69">
        <f t="shared" si="509"/>
        <v>148</v>
      </c>
      <c r="AS1779" s="70">
        <f t="shared" si="511"/>
        <v>1776</v>
      </c>
      <c r="AT1779" s="71">
        <f t="shared" si="513"/>
        <v>5.2542031570023454E-6</v>
      </c>
      <c r="AU1779" s="72">
        <f t="shared" si="508"/>
        <v>6.8214933659622723E-3</v>
      </c>
      <c r="AV1779" s="73">
        <f t="shared" si="510"/>
        <v>1.0068214933659623</v>
      </c>
      <c r="AW1779" s="74">
        <f>PRODUCT(AV$4:AV1779)</f>
        <v>175227.09106179309</v>
      </c>
    </row>
    <row r="1780" spans="44:49">
      <c r="AR1780" s="69">
        <f t="shared" si="509"/>
        <v>149</v>
      </c>
      <c r="AS1780" s="70">
        <f t="shared" si="511"/>
        <v>1777</v>
      </c>
      <c r="AT1780" s="71">
        <f t="shared" si="513"/>
        <v>5.2183616450234361E-6</v>
      </c>
      <c r="AU1780" s="72">
        <f t="shared" si="508"/>
        <v>6.8214933659622723E-3</v>
      </c>
      <c r="AV1780" s="73">
        <f t="shared" si="510"/>
        <v>1.0068214933659623</v>
      </c>
      <c r="AW1780" s="74">
        <f>PRODUCT(AV$4:AV1780)</f>
        <v>176422.40150100799</v>
      </c>
    </row>
    <row r="1781" spans="44:49">
      <c r="AR1781" s="69">
        <f t="shared" si="509"/>
        <v>149</v>
      </c>
      <c r="AS1781" s="70">
        <f t="shared" si="511"/>
        <v>1778</v>
      </c>
      <c r="AT1781" s="71">
        <f t="shared" si="513"/>
        <v>5.1827646256807168E-6</v>
      </c>
      <c r="AU1781" s="72">
        <f t="shared" si="508"/>
        <v>6.8214933659622723E-3</v>
      </c>
      <c r="AV1781" s="73">
        <f t="shared" si="510"/>
        <v>1.0068214933659623</v>
      </c>
      <c r="AW1781" s="74">
        <f>PRODUCT(AV$4:AV1781)</f>
        <v>177625.86574245425</v>
      </c>
    </row>
    <row r="1782" spans="44:49">
      <c r="AR1782" s="69">
        <f t="shared" si="509"/>
        <v>149</v>
      </c>
      <c r="AS1782" s="70">
        <f t="shared" si="511"/>
        <v>1779</v>
      </c>
      <c r="AT1782" s="71">
        <f t="shared" si="513"/>
        <v>5.1474104311692917E-6</v>
      </c>
      <c r="AU1782" s="72">
        <f t="shared" si="508"/>
        <v>6.8214933659622723E-3</v>
      </c>
      <c r="AV1782" s="73">
        <f t="shared" si="510"/>
        <v>1.0068214933659623</v>
      </c>
      <c r="AW1782" s="74">
        <f>PRODUCT(AV$4:AV1782)</f>
        <v>178837.5394072397</v>
      </c>
    </row>
    <row r="1783" spans="44:49">
      <c r="AR1783" s="69">
        <f t="shared" si="509"/>
        <v>149</v>
      </c>
      <c r="AS1783" s="70">
        <f t="shared" si="511"/>
        <v>1780</v>
      </c>
      <c r="AT1783" s="71">
        <f t="shared" si="513"/>
        <v>5.1122974050611854E-6</v>
      </c>
      <c r="AU1783" s="72">
        <f t="shared" si="508"/>
        <v>6.8214933659622723E-3</v>
      </c>
      <c r="AV1783" s="73">
        <f t="shared" si="510"/>
        <v>1.0068214933659623</v>
      </c>
      <c r="AW1783" s="74">
        <f>PRODUCT(AV$4:AV1783)</f>
        <v>180057.47849589121</v>
      </c>
    </row>
    <row r="1784" spans="44:49">
      <c r="AR1784" s="69">
        <f t="shared" si="509"/>
        <v>149</v>
      </c>
      <c r="AS1784" s="70">
        <f t="shared" si="511"/>
        <v>1781</v>
      </c>
      <c r="AT1784" s="71">
        <f t="shared" si="513"/>
        <v>5.0774239022277345E-6</v>
      </c>
      <c r="AU1784" s="72">
        <f t="shared" si="508"/>
        <v>6.8214933659622723E-3</v>
      </c>
      <c r="AV1784" s="73">
        <f t="shared" si="510"/>
        <v>1.0068214933659623</v>
      </c>
      <c r="AW1784" s="74">
        <f>PRODUCT(AV$4:AV1784)</f>
        <v>181285.73939094282</v>
      </c>
    </row>
    <row r="1785" spans="44:49">
      <c r="AR1785" s="69">
        <f t="shared" si="509"/>
        <v>149</v>
      </c>
      <c r="AS1785" s="70">
        <f t="shared" si="511"/>
        <v>1782</v>
      </c>
      <c r="AT1785" s="71">
        <f t="shared" si="513"/>
        <v>5.0427882887625102E-6</v>
      </c>
      <c r="AU1785" s="72">
        <f t="shared" si="508"/>
        <v>6.8214933659622723E-3</v>
      </c>
      <c r="AV1785" s="73">
        <f t="shared" si="510"/>
        <v>1.0068214933659623</v>
      </c>
      <c r="AW1785" s="74">
        <f>PRODUCT(AV$4:AV1785)</f>
        <v>182522.3788595417</v>
      </c>
    </row>
    <row r="1786" spans="44:49">
      <c r="AR1786" s="69">
        <f t="shared" si="509"/>
        <v>149</v>
      </c>
      <c r="AS1786" s="70">
        <f t="shared" si="511"/>
        <v>1783</v>
      </c>
      <c r="AT1786" s="71">
        <f t="shared" si="513"/>
        <v>5.0083889419047648E-6</v>
      </c>
      <c r="AU1786" s="72">
        <f t="shared" si="508"/>
        <v>6.8214933659622723E-3</v>
      </c>
      <c r="AV1786" s="73">
        <f t="shared" si="510"/>
        <v>1.0068214933659623</v>
      </c>
      <c r="AW1786" s="74">
        <f>PRODUCT(AV$4:AV1786)</f>
        <v>183767.45405607173</v>
      </c>
    </row>
    <row r="1787" spans="44:49">
      <c r="AR1787" s="69">
        <f t="shared" si="509"/>
        <v>149</v>
      </c>
      <c r="AS1787" s="70">
        <f t="shared" si="511"/>
        <v>1784</v>
      </c>
      <c r="AT1787" s="71">
        <f t="shared" si="513"/>
        <v>4.9742242499634025E-6</v>
      </c>
      <c r="AU1787" s="72">
        <f t="shared" si="508"/>
        <v>6.8214933659622723E-3</v>
      </c>
      <c r="AV1787" s="73">
        <f t="shared" si="510"/>
        <v>1.0068214933659623</v>
      </c>
      <c r="AW1787" s="74">
        <f>PRODUCT(AV$4:AV1787)</f>
        <v>185021.022524795</v>
      </c>
    </row>
    <row r="1788" spans="44:49">
      <c r="AR1788" s="69">
        <f t="shared" si="509"/>
        <v>149</v>
      </c>
      <c r="AS1788" s="70">
        <f t="shared" si="511"/>
        <v>1785</v>
      </c>
      <c r="AT1788" s="71">
        <f t="shared" si="513"/>
        <v>4.9402926122414686E-6</v>
      </c>
      <c r="AU1788" s="72">
        <f t="shared" si="508"/>
        <v>6.8214933659622723E-3</v>
      </c>
      <c r="AV1788" s="73">
        <f t="shared" si="510"/>
        <v>1.0068214933659623</v>
      </c>
      <c r="AW1788" s="74">
        <f>PRODUCT(AV$4:AV1788)</f>
        <v>186283.14220251146</v>
      </c>
    </row>
    <row r="1789" spans="44:49">
      <c r="AR1789" s="69">
        <f t="shared" si="509"/>
        <v>149</v>
      </c>
      <c r="AS1789" s="70">
        <f t="shared" si="511"/>
        <v>1786</v>
      </c>
      <c r="AT1789" s="71">
        <f t="shared" si="513"/>
        <v>4.9065924389611508E-6</v>
      </c>
      <c r="AU1789" s="72">
        <f t="shared" si="508"/>
        <v>6.8214933659622723E-3</v>
      </c>
      <c r="AV1789" s="73">
        <f t="shared" si="510"/>
        <v>1.0068214933659623</v>
      </c>
      <c r="AW1789" s="74">
        <f>PRODUCT(AV$4:AV1789)</f>
        <v>187553.87142123649</v>
      </c>
    </row>
    <row r="1790" spans="44:49">
      <c r="AR1790" s="69">
        <f t="shared" si="509"/>
        <v>149</v>
      </c>
      <c r="AS1790" s="70">
        <f t="shared" si="511"/>
        <v>1787</v>
      </c>
      <c r="AT1790" s="71">
        <f t="shared" si="513"/>
        <v>4.873122151189297E-6</v>
      </c>
      <c r="AU1790" s="72">
        <f t="shared" si="508"/>
        <v>6.8214933659622723E-3</v>
      </c>
      <c r="AV1790" s="73">
        <f t="shared" si="510"/>
        <v>1.0068214933659623</v>
      </c>
      <c r="AW1790" s="74">
        <f>PRODUCT(AV$4:AV1790)</f>
        <v>188833.26891089699</v>
      </c>
    </row>
    <row r="1791" spans="44:49">
      <c r="AR1791" s="69">
        <f t="shared" si="509"/>
        <v>149</v>
      </c>
      <c r="AS1791" s="70">
        <f t="shared" si="511"/>
        <v>1788</v>
      </c>
      <c r="AT1791" s="71">
        <f t="shared" si="513"/>
        <v>4.8398801807634356E-6</v>
      </c>
      <c r="AU1791" s="72">
        <f t="shared" si="508"/>
        <v>6.8214933659622723E-3</v>
      </c>
      <c r="AV1791" s="73">
        <f t="shared" si="510"/>
        <v>1.0068214933659623</v>
      </c>
      <c r="AW1791" s="74">
        <f>PRODUCT(AV$4:AV1791)</f>
        <v>190121.39380204564</v>
      </c>
    </row>
    <row r="1792" spans="44:49">
      <c r="AR1792" s="69">
        <f t="shared" si="509"/>
        <v>150</v>
      </c>
      <c r="AS1792" s="70">
        <f t="shared" si="511"/>
        <v>1789</v>
      </c>
      <c r="AT1792" s="71">
        <f t="shared" si="513"/>
        <v>4.8068649702183052E-6</v>
      </c>
      <c r="AU1792" s="72">
        <f t="shared" si="508"/>
        <v>6.8214933659622723E-3</v>
      </c>
      <c r="AV1792" s="73">
        <f t="shared" si="510"/>
        <v>1.0068214933659623</v>
      </c>
      <c r="AW1792" s="74">
        <f>PRODUCT(AV$4:AV1792)</f>
        <v>191418.30562859381</v>
      </c>
    </row>
    <row r="1793" spans="9:49">
      <c r="AR1793" s="69">
        <f t="shared" si="509"/>
        <v>150</v>
      </c>
      <c r="AS1793" s="70">
        <f t="shared" si="511"/>
        <v>1790</v>
      </c>
      <c r="AT1793" s="71">
        <f t="shared" si="513"/>
        <v>4.774074972712885E-6</v>
      </c>
      <c r="AU1793" s="72">
        <f t="shared" si="508"/>
        <v>6.8214933659622723E-3</v>
      </c>
      <c r="AV1793" s="73">
        <f t="shared" si="510"/>
        <v>1.0068214933659623</v>
      </c>
      <c r="AW1793" s="74">
        <f>PRODUCT(AV$4:AV1793)</f>
        <v>192724.06433056301</v>
      </c>
    </row>
    <row r="1794" spans="9:49">
      <c r="AR1794" s="69">
        <f t="shared" si="509"/>
        <v>150</v>
      </c>
      <c r="AS1794" s="70">
        <f t="shared" si="511"/>
        <v>1791</v>
      </c>
      <c r="AT1794" s="71">
        <f t="shared" si="513"/>
        <v>4.7415086519579176E-6</v>
      </c>
      <c r="AU1794" s="72">
        <f t="shared" si="508"/>
        <v>6.8214933659622723E-3</v>
      </c>
      <c r="AV1794" s="73">
        <f t="shared" si="510"/>
        <v>1.0068214933659623</v>
      </c>
      <c r="AW1794" s="74">
        <f>PRODUCT(AV$4:AV1794)</f>
        <v>194038.73025685523</v>
      </c>
    </row>
    <row r="1795" spans="9:49">
      <c r="AR1795" s="69">
        <f t="shared" si="509"/>
        <v>150</v>
      </c>
      <c r="AS1795" s="70">
        <f t="shared" si="511"/>
        <v>1792</v>
      </c>
      <c r="AT1795" s="71">
        <f t="shared" si="513"/>
        <v>4.709164482143934E-6</v>
      </c>
      <c r="AU1795" s="72">
        <f t="shared" si="508"/>
        <v>6.8214933659622723E-3</v>
      </c>
      <c r="AV1795" s="73">
        <f t="shared" si="510"/>
        <v>1.0068214933659623</v>
      </c>
      <c r="AW1795" s="74">
        <f>PRODUCT(AV$4:AV1795)</f>
        <v>195362.36416804211</v>
      </c>
    </row>
    <row r="1796" spans="9:49">
      <c r="AR1796" s="69">
        <f t="shared" si="509"/>
        <v>150</v>
      </c>
      <c r="AS1796" s="70">
        <f t="shared" si="511"/>
        <v>1793</v>
      </c>
      <c r="AT1796" s="71">
        <f t="shared" si="513"/>
        <v>4.6770409478697638E-6</v>
      </c>
      <c r="AU1796" s="72">
        <f t="shared" ref="AU1796:AU1803" si="514">((1+$AH$21)^(1/12))-1</f>
        <v>6.8214933659622723E-3</v>
      </c>
      <c r="AV1796" s="73">
        <f t="shared" si="510"/>
        <v>1.0068214933659623</v>
      </c>
      <c r="AW1796" s="74">
        <f>PRODUCT(AV$4:AV1796)</f>
        <v>196695.02723917313</v>
      </c>
    </row>
    <row r="1797" spans="9:49">
      <c r="AR1797" s="69">
        <f t="shared" ref="AR1797:AR1803" si="515">ROUNDDOWN((AS1797-1)/12,0)+1</f>
        <v>150</v>
      </c>
      <c r="AS1797" s="70">
        <f t="shared" si="511"/>
        <v>1794</v>
      </c>
      <c r="AT1797" s="71">
        <f t="shared" si="513"/>
        <v>4.6451365440715364E-6</v>
      </c>
      <c r="AU1797" s="72">
        <f t="shared" si="514"/>
        <v>6.8214933659622723E-3</v>
      </c>
      <c r="AV1797" s="73">
        <f t="shared" ref="AV1797:AV1803" si="516">(1+AU1797)</f>
        <v>1.0068214933659623</v>
      </c>
      <c r="AW1797" s="74">
        <f>PRODUCT(AV$4:AV1797)</f>
        <v>198036.78106260291</v>
      </c>
    </row>
    <row r="1798" spans="9:49">
      <c r="AR1798" s="69">
        <f t="shared" si="515"/>
        <v>150</v>
      </c>
      <c r="AS1798" s="70">
        <f t="shared" ref="AS1798:AS1803" si="517">AS1797+1</f>
        <v>1795</v>
      </c>
      <c r="AT1798" s="71">
        <f t="shared" si="513"/>
        <v>4.6134497759521637E-6</v>
      </c>
      <c r="AU1798" s="72">
        <f t="shared" si="514"/>
        <v>6.8214933659622723E-3</v>
      </c>
      <c r="AV1798" s="73">
        <f t="shared" si="516"/>
        <v>1.0068214933659623</v>
      </c>
      <c r="AW1798" s="74">
        <f>PRODUCT(AV$4:AV1798)</f>
        <v>199387.68765083796</v>
      </c>
    </row>
    <row r="1799" spans="9:49">
      <c r="AR1799" s="69">
        <f t="shared" si="515"/>
        <v>150</v>
      </c>
      <c r="AS1799" s="70">
        <f t="shared" si="517"/>
        <v>1796</v>
      </c>
      <c r="AT1799" s="71">
        <f t="shared" si="513"/>
        <v>4.5819791589113061E-6</v>
      </c>
      <c r="AU1799" s="72">
        <f t="shared" si="514"/>
        <v>6.8214933659622723E-3</v>
      </c>
      <c r="AV1799" s="73">
        <f t="shared" si="516"/>
        <v>1.0068214933659623</v>
      </c>
      <c r="AW1799" s="74">
        <f>PRODUCT(AV$4:AV1799)</f>
        <v>200747.80943940271</v>
      </c>
    </row>
    <row r="1800" spans="9:49">
      <c r="AR1800" s="69">
        <f t="shared" si="515"/>
        <v>150</v>
      </c>
      <c r="AS1800" s="70">
        <f t="shared" si="517"/>
        <v>1797</v>
      </c>
      <c r="AT1800" s="71">
        <f t="shared" si="513"/>
        <v>4.5507232184758153E-6</v>
      </c>
      <c r="AU1800" s="72">
        <f t="shared" si="514"/>
        <v>6.8214933659622723E-3</v>
      </c>
      <c r="AV1800" s="73">
        <f t="shared" si="516"/>
        <v>1.0068214933659623</v>
      </c>
      <c r="AW1800" s="74">
        <f>PRODUCT(AV$4:AV1800)</f>
        <v>202117.20928972505</v>
      </c>
    </row>
    <row r="1801" spans="9:49">
      <c r="AR1801" s="69">
        <f t="shared" si="515"/>
        <v>150</v>
      </c>
      <c r="AS1801" s="70">
        <f t="shared" si="517"/>
        <v>1798</v>
      </c>
      <c r="AT1801" s="71">
        <f t="shared" si="513"/>
        <v>4.5196804902306524E-6</v>
      </c>
      <c r="AU1801" s="72">
        <f t="shared" si="514"/>
        <v>6.8214933659622723E-3</v>
      </c>
      <c r="AV1801" s="73">
        <f t="shared" si="516"/>
        <v>1.0068214933659623</v>
      </c>
      <c r="AW1801" s="74">
        <f>PRODUCT(AV$4:AV1801)</f>
        <v>203495.95049204171</v>
      </c>
    </row>
    <row r="1802" spans="9:49">
      <c r="AR1802" s="69">
        <f t="shared" si="515"/>
        <v>150</v>
      </c>
      <c r="AS1802" s="70">
        <f t="shared" si="517"/>
        <v>1799</v>
      </c>
      <c r="AT1802" s="71">
        <f t="shared" si="513"/>
        <v>4.4888495197502745E-6</v>
      </c>
      <c r="AU1802" s="72">
        <f t="shared" si="514"/>
        <v>6.8214933659622723E-3</v>
      </c>
      <c r="AV1802" s="73">
        <f t="shared" si="516"/>
        <v>1.0068214933659623</v>
      </c>
      <c r="AW1802" s="74">
        <f>PRODUCT(AV$4:AV1802)</f>
        <v>204884.09676832336</v>
      </c>
    </row>
    <row r="1803" spans="9:49">
      <c r="AR1803" s="139">
        <f t="shared" si="515"/>
        <v>150</v>
      </c>
      <c r="AS1803" s="140">
        <f t="shared" si="517"/>
        <v>1800</v>
      </c>
      <c r="AT1803" s="141">
        <f t="shared" si="513"/>
        <v>4.4582288625304949E-6</v>
      </c>
      <c r="AU1803" s="142">
        <f t="shared" si="514"/>
        <v>6.8214933659622723E-3</v>
      </c>
      <c r="AV1803" s="143">
        <f t="shared" si="516"/>
        <v>1.0068214933659623</v>
      </c>
      <c r="AW1803" s="144">
        <f>PRODUCT(AV$4:AV1803)</f>
        <v>206281.71227521964</v>
      </c>
    </row>
    <row r="1804" spans="9:49">
      <c r="I1804" s="79"/>
      <c r="J1804" s="79"/>
      <c r="K1804" s="80"/>
      <c r="L1804" s="80"/>
      <c r="M1804" s="80"/>
      <c r="N1804" s="80"/>
      <c r="O1804" s="145"/>
      <c r="P1804" s="79"/>
      <c r="AS1804" s="146"/>
      <c r="AT1804" s="147"/>
      <c r="AU1804" s="148"/>
    </row>
    <row r="1805" spans="9:49">
      <c r="I1805" s="79"/>
      <c r="J1805" s="79"/>
      <c r="K1805" s="80"/>
      <c r="L1805" s="80"/>
      <c r="M1805" s="80"/>
      <c r="N1805" s="80"/>
      <c r="O1805" s="145"/>
      <c r="P1805" s="79"/>
      <c r="AS1805" s="146"/>
      <c r="AT1805" s="147"/>
      <c r="AU1805" s="148"/>
    </row>
    <row r="1806" spans="9:49">
      <c r="I1806" s="79"/>
      <c r="J1806" s="79"/>
      <c r="K1806" s="80"/>
      <c r="L1806" s="80"/>
      <c r="M1806" s="80"/>
      <c r="N1806" s="80"/>
      <c r="O1806" s="145"/>
      <c r="P1806" s="79"/>
      <c r="AS1806" s="146"/>
      <c r="AT1806" s="147"/>
      <c r="AU1806" s="148"/>
    </row>
    <row r="1807" spans="9:49">
      <c r="I1807" s="79"/>
      <c r="J1807" s="79"/>
      <c r="K1807" s="80"/>
      <c r="L1807" s="80"/>
      <c r="M1807" s="80"/>
      <c r="N1807" s="80"/>
      <c r="O1807" s="145"/>
      <c r="P1807" s="79"/>
      <c r="AS1807" s="146"/>
      <c r="AT1807" s="147"/>
      <c r="AU1807" s="148"/>
    </row>
    <row r="1808" spans="9:49">
      <c r="I1808" s="79"/>
      <c r="J1808" s="79"/>
      <c r="K1808" s="80"/>
      <c r="L1808" s="80"/>
      <c r="M1808" s="80"/>
      <c r="N1808" s="80"/>
      <c r="O1808" s="145"/>
      <c r="P1808" s="79"/>
      <c r="AS1808" s="146"/>
      <c r="AT1808" s="147"/>
      <c r="AU1808" s="148"/>
    </row>
    <row r="1809" spans="9:47">
      <c r="I1809" s="79"/>
      <c r="J1809" s="79"/>
      <c r="K1809" s="80"/>
      <c r="L1809" s="80"/>
      <c r="M1809" s="80"/>
      <c r="N1809" s="80"/>
      <c r="O1809" s="145"/>
      <c r="P1809" s="79"/>
      <c r="AS1809" s="146"/>
      <c r="AT1809" s="147"/>
      <c r="AU1809" s="148"/>
    </row>
    <row r="1810" spans="9:47">
      <c r="I1810" s="79"/>
      <c r="J1810" s="79"/>
      <c r="K1810" s="80"/>
      <c r="L1810" s="80"/>
      <c r="M1810" s="80"/>
      <c r="N1810" s="80"/>
      <c r="O1810" s="145"/>
      <c r="P1810" s="79"/>
      <c r="AS1810" s="146"/>
      <c r="AT1810" s="147"/>
      <c r="AU1810" s="148"/>
    </row>
    <row r="1811" spans="9:47">
      <c r="I1811" s="79"/>
      <c r="J1811" s="79"/>
      <c r="K1811" s="80"/>
      <c r="L1811" s="80"/>
      <c r="M1811" s="80"/>
      <c r="N1811" s="80"/>
      <c r="O1811" s="145"/>
      <c r="P1811" s="79"/>
      <c r="AS1811" s="146"/>
      <c r="AT1811" s="147"/>
      <c r="AU1811" s="148"/>
    </row>
    <row r="1812" spans="9:47">
      <c r="I1812" s="79"/>
      <c r="J1812" s="79"/>
      <c r="K1812" s="80"/>
      <c r="L1812" s="80"/>
      <c r="M1812" s="80"/>
      <c r="N1812" s="80"/>
      <c r="O1812" s="145"/>
      <c r="P1812" s="79"/>
      <c r="AS1812" s="146"/>
      <c r="AT1812" s="147"/>
      <c r="AU1812" s="148"/>
    </row>
    <row r="1813" spans="9:47">
      <c r="I1813" s="79"/>
      <c r="J1813" s="79"/>
      <c r="K1813" s="80"/>
      <c r="L1813" s="80"/>
      <c r="M1813" s="80"/>
      <c r="N1813" s="80"/>
      <c r="O1813" s="145"/>
      <c r="P1813" s="79"/>
      <c r="AS1813" s="146"/>
      <c r="AT1813" s="147"/>
      <c r="AU1813" s="148"/>
    </row>
    <row r="1814" spans="9:47">
      <c r="I1814" s="79"/>
      <c r="J1814" s="79"/>
      <c r="K1814" s="80"/>
      <c r="L1814" s="80"/>
      <c r="M1814" s="80"/>
      <c r="N1814" s="80"/>
      <c r="O1814" s="145"/>
      <c r="P1814" s="79"/>
      <c r="AS1814" s="146"/>
      <c r="AT1814" s="147"/>
      <c r="AU1814" s="148"/>
    </row>
    <row r="1815" spans="9:47">
      <c r="I1815" s="79"/>
      <c r="J1815" s="79"/>
      <c r="K1815" s="80"/>
      <c r="L1815" s="80"/>
      <c r="M1815" s="80"/>
      <c r="N1815" s="80"/>
      <c r="O1815" s="145"/>
      <c r="P1815" s="79"/>
      <c r="AS1815" s="146"/>
      <c r="AT1815" s="147"/>
      <c r="AU1815" s="148"/>
    </row>
    <row r="1816" spans="9:47">
      <c r="I1816" s="79"/>
      <c r="J1816" s="79"/>
      <c r="K1816" s="80"/>
      <c r="L1816" s="80"/>
      <c r="M1816" s="80"/>
      <c r="N1816" s="80"/>
      <c r="O1816" s="145"/>
      <c r="P1816" s="79"/>
      <c r="AS1816" s="146"/>
      <c r="AT1816" s="147"/>
      <c r="AU1816" s="148"/>
    </row>
    <row r="1817" spans="9:47">
      <c r="I1817" s="79"/>
      <c r="J1817" s="79"/>
      <c r="K1817" s="80"/>
      <c r="L1817" s="80"/>
      <c r="M1817" s="80"/>
      <c r="N1817" s="80"/>
      <c r="O1817" s="145"/>
      <c r="P1817" s="79"/>
      <c r="AS1817" s="146"/>
      <c r="AT1817" s="147"/>
      <c r="AU1817" s="148"/>
    </row>
    <row r="1818" spans="9:47">
      <c r="I1818" s="79"/>
      <c r="J1818" s="79"/>
      <c r="K1818" s="80"/>
      <c r="L1818" s="80"/>
      <c r="M1818" s="80"/>
      <c r="N1818" s="80"/>
      <c r="O1818" s="145"/>
      <c r="P1818" s="79"/>
      <c r="AS1818" s="146"/>
      <c r="AT1818" s="147"/>
      <c r="AU1818" s="148"/>
    </row>
    <row r="1819" spans="9:47">
      <c r="I1819" s="79"/>
      <c r="J1819" s="79"/>
      <c r="K1819" s="80"/>
      <c r="L1819" s="80"/>
      <c r="M1819" s="80"/>
      <c r="N1819" s="80"/>
      <c r="O1819" s="145"/>
      <c r="P1819" s="79"/>
      <c r="AS1819" s="146"/>
      <c r="AT1819" s="147"/>
      <c r="AU1819" s="148"/>
    </row>
    <row r="1820" spans="9:47">
      <c r="I1820" s="79"/>
      <c r="J1820" s="79"/>
      <c r="K1820" s="80"/>
      <c r="L1820" s="80"/>
      <c r="M1820" s="80"/>
      <c r="N1820" s="80"/>
      <c r="O1820" s="145"/>
      <c r="P1820" s="79"/>
      <c r="AS1820" s="146"/>
      <c r="AT1820" s="147"/>
      <c r="AU1820" s="148"/>
    </row>
    <row r="1821" spans="9:47">
      <c r="I1821" s="79"/>
      <c r="J1821" s="79"/>
      <c r="K1821" s="80"/>
      <c r="L1821" s="80"/>
      <c r="M1821" s="80"/>
      <c r="N1821" s="80"/>
      <c r="O1821" s="145"/>
      <c r="P1821" s="79"/>
      <c r="AS1821" s="146"/>
      <c r="AT1821" s="147"/>
      <c r="AU1821" s="148"/>
    </row>
    <row r="1822" spans="9:47">
      <c r="I1822" s="79"/>
      <c r="J1822" s="79"/>
      <c r="K1822" s="80"/>
      <c r="L1822" s="80"/>
      <c r="M1822" s="80"/>
      <c r="N1822" s="80"/>
      <c r="O1822" s="145"/>
      <c r="P1822" s="79"/>
      <c r="AS1822" s="146"/>
      <c r="AT1822" s="147"/>
      <c r="AU1822" s="148"/>
    </row>
    <row r="1823" spans="9:47">
      <c r="I1823" s="79"/>
      <c r="J1823" s="79"/>
      <c r="K1823" s="80"/>
      <c r="L1823" s="80"/>
      <c r="M1823" s="80"/>
      <c r="N1823" s="80"/>
      <c r="O1823" s="145"/>
      <c r="P1823" s="79"/>
      <c r="AS1823" s="146"/>
      <c r="AT1823" s="147"/>
      <c r="AU1823" s="148"/>
    </row>
    <row r="1824" spans="9:47">
      <c r="I1824" s="79"/>
      <c r="J1824" s="79"/>
      <c r="K1824" s="80"/>
      <c r="L1824" s="80"/>
      <c r="M1824" s="80"/>
      <c r="N1824" s="80"/>
      <c r="O1824" s="145"/>
      <c r="P1824" s="79"/>
      <c r="AS1824" s="146"/>
      <c r="AT1824" s="147"/>
      <c r="AU1824" s="148"/>
    </row>
    <row r="1825" spans="9:47">
      <c r="I1825" s="79"/>
      <c r="J1825" s="79"/>
      <c r="K1825" s="80"/>
      <c r="L1825" s="80"/>
      <c r="M1825" s="80"/>
      <c r="N1825" s="80"/>
      <c r="O1825" s="145"/>
      <c r="P1825" s="79"/>
      <c r="AS1825" s="146"/>
      <c r="AT1825" s="147"/>
      <c r="AU1825" s="148"/>
    </row>
    <row r="1826" spans="9:47">
      <c r="I1826" s="79"/>
      <c r="J1826" s="79"/>
      <c r="K1826" s="80"/>
      <c r="L1826" s="80"/>
      <c r="M1826" s="80"/>
      <c r="N1826" s="80"/>
      <c r="O1826" s="145"/>
      <c r="P1826" s="79"/>
      <c r="AS1826" s="146"/>
      <c r="AT1826" s="147"/>
      <c r="AU1826" s="148"/>
    </row>
    <row r="1827" spans="9:47">
      <c r="I1827" s="79"/>
      <c r="J1827" s="79"/>
      <c r="K1827" s="80"/>
      <c r="L1827" s="80"/>
      <c r="M1827" s="80"/>
      <c r="N1827" s="80"/>
      <c r="O1827" s="145"/>
      <c r="P1827" s="79"/>
      <c r="AS1827" s="146"/>
      <c r="AT1827" s="147"/>
      <c r="AU1827" s="148"/>
    </row>
    <row r="1828" spans="9:47">
      <c r="I1828" s="79"/>
      <c r="J1828" s="79"/>
      <c r="K1828" s="80"/>
      <c r="L1828" s="80"/>
      <c r="M1828" s="80"/>
      <c r="N1828" s="80"/>
      <c r="O1828" s="145"/>
      <c r="P1828" s="79"/>
      <c r="AS1828" s="146"/>
      <c r="AT1828" s="147"/>
      <c r="AU1828" s="148"/>
    </row>
    <row r="1829" spans="9:47">
      <c r="I1829" s="79"/>
      <c r="J1829" s="79"/>
      <c r="K1829" s="80"/>
      <c r="L1829" s="80"/>
      <c r="M1829" s="80"/>
      <c r="N1829" s="80"/>
      <c r="O1829" s="145"/>
      <c r="P1829" s="79"/>
      <c r="AS1829" s="146"/>
      <c r="AT1829" s="147"/>
      <c r="AU1829" s="148"/>
    </row>
    <row r="1830" spans="9:47">
      <c r="I1830" s="79"/>
      <c r="J1830" s="79"/>
      <c r="K1830" s="80"/>
      <c r="L1830" s="80"/>
      <c r="M1830" s="80"/>
      <c r="N1830" s="80"/>
      <c r="O1830" s="145"/>
      <c r="P1830" s="79"/>
      <c r="AS1830" s="146"/>
      <c r="AT1830" s="147"/>
      <c r="AU1830" s="148"/>
    </row>
    <row r="1831" spans="9:47">
      <c r="I1831" s="79"/>
      <c r="J1831" s="79"/>
      <c r="K1831" s="80"/>
      <c r="L1831" s="80"/>
      <c r="M1831" s="80"/>
      <c r="N1831" s="80"/>
      <c r="O1831" s="145"/>
      <c r="P1831" s="79"/>
      <c r="AS1831" s="146"/>
      <c r="AT1831" s="147"/>
      <c r="AU1831" s="148"/>
    </row>
    <row r="1832" spans="9:47">
      <c r="I1832" s="79"/>
      <c r="J1832" s="79"/>
      <c r="K1832" s="80"/>
      <c r="L1832" s="80"/>
      <c r="M1832" s="80"/>
      <c r="N1832" s="80"/>
      <c r="O1832" s="145"/>
      <c r="P1832" s="79"/>
      <c r="AS1832" s="146"/>
      <c r="AT1832" s="147"/>
      <c r="AU1832" s="148"/>
    </row>
    <row r="1833" spans="9:47">
      <c r="I1833" s="79"/>
      <c r="J1833" s="79"/>
      <c r="K1833" s="80"/>
      <c r="L1833" s="80"/>
      <c r="M1833" s="80"/>
      <c r="N1833" s="80"/>
      <c r="O1833" s="145"/>
      <c r="P1833" s="79"/>
      <c r="AS1833" s="146"/>
      <c r="AT1833" s="147"/>
      <c r="AU1833" s="148"/>
    </row>
    <row r="1834" spans="9:47">
      <c r="I1834" s="79"/>
      <c r="J1834" s="79"/>
      <c r="K1834" s="80"/>
      <c r="L1834" s="80"/>
      <c r="M1834" s="80"/>
      <c r="N1834" s="80"/>
      <c r="O1834" s="145"/>
      <c r="P1834" s="79"/>
      <c r="AS1834" s="146"/>
      <c r="AT1834" s="147"/>
      <c r="AU1834" s="148"/>
    </row>
    <row r="1835" spans="9:47">
      <c r="I1835" s="79"/>
      <c r="J1835" s="79"/>
      <c r="K1835" s="80"/>
      <c r="L1835" s="80"/>
      <c r="M1835" s="80"/>
      <c r="N1835" s="80"/>
      <c r="O1835" s="145"/>
      <c r="P1835" s="79"/>
      <c r="AS1835" s="146"/>
      <c r="AT1835" s="147"/>
      <c r="AU1835" s="148"/>
    </row>
    <row r="1836" spans="9:47">
      <c r="I1836" s="79"/>
      <c r="J1836" s="79"/>
      <c r="K1836" s="80"/>
      <c r="L1836" s="80"/>
      <c r="M1836" s="80"/>
      <c r="N1836" s="80"/>
      <c r="O1836" s="145"/>
      <c r="P1836" s="79"/>
      <c r="AS1836" s="146"/>
      <c r="AT1836" s="147"/>
      <c r="AU1836" s="148"/>
    </row>
    <row r="1837" spans="9:47">
      <c r="I1837" s="79"/>
      <c r="J1837" s="79"/>
      <c r="K1837" s="80"/>
      <c r="L1837" s="80"/>
      <c r="M1837" s="80"/>
      <c r="N1837" s="80"/>
      <c r="O1837" s="145"/>
      <c r="P1837" s="79"/>
      <c r="AS1837" s="146"/>
      <c r="AT1837" s="147"/>
      <c r="AU1837" s="148"/>
    </row>
    <row r="1838" spans="9:47">
      <c r="I1838" s="79"/>
      <c r="J1838" s="79"/>
      <c r="K1838" s="80"/>
      <c r="L1838" s="80"/>
      <c r="M1838" s="80"/>
      <c r="N1838" s="80"/>
      <c r="O1838" s="145"/>
      <c r="P1838" s="79"/>
      <c r="AS1838" s="146"/>
      <c r="AT1838" s="147"/>
      <c r="AU1838" s="148"/>
    </row>
    <row r="1839" spans="9:47">
      <c r="I1839" s="79"/>
      <c r="J1839" s="79"/>
      <c r="K1839" s="80"/>
      <c r="L1839" s="80"/>
      <c r="M1839" s="80"/>
      <c r="N1839" s="80"/>
      <c r="O1839" s="145"/>
      <c r="P1839" s="79"/>
      <c r="AS1839" s="146"/>
      <c r="AT1839" s="147"/>
      <c r="AU1839" s="148"/>
    </row>
    <row r="1840" spans="9:47">
      <c r="I1840" s="79"/>
      <c r="J1840" s="79"/>
      <c r="K1840" s="80"/>
      <c r="L1840" s="80"/>
      <c r="M1840" s="80"/>
      <c r="N1840" s="80"/>
      <c r="O1840" s="145"/>
      <c r="P1840" s="79"/>
      <c r="AS1840" s="146"/>
      <c r="AT1840" s="147"/>
      <c r="AU1840" s="148"/>
    </row>
    <row r="1841" spans="9:47">
      <c r="I1841" s="79"/>
      <c r="J1841" s="79"/>
      <c r="K1841" s="80"/>
      <c r="L1841" s="80"/>
      <c r="M1841" s="80"/>
      <c r="N1841" s="80"/>
      <c r="O1841" s="145"/>
      <c r="P1841" s="79"/>
      <c r="AS1841" s="146"/>
      <c r="AT1841" s="147"/>
      <c r="AU1841" s="148"/>
    </row>
    <row r="1842" spans="9:47">
      <c r="I1842" s="79"/>
      <c r="J1842" s="79"/>
      <c r="K1842" s="80"/>
      <c r="L1842" s="80"/>
      <c r="M1842" s="80"/>
      <c r="N1842" s="80"/>
      <c r="O1842" s="145"/>
      <c r="P1842" s="79"/>
      <c r="AS1842" s="146"/>
      <c r="AT1842" s="147"/>
      <c r="AU1842" s="148"/>
    </row>
    <row r="1843" spans="9:47">
      <c r="I1843" s="79"/>
      <c r="J1843" s="79"/>
      <c r="K1843" s="80"/>
      <c r="L1843" s="80"/>
      <c r="M1843" s="80"/>
      <c r="N1843" s="80"/>
      <c r="O1843" s="145"/>
      <c r="P1843" s="79"/>
      <c r="AS1843" s="146"/>
      <c r="AT1843" s="147"/>
      <c r="AU1843" s="148"/>
    </row>
    <row r="1844" spans="9:47">
      <c r="I1844" s="79"/>
      <c r="J1844" s="79"/>
      <c r="K1844" s="80"/>
      <c r="L1844" s="80"/>
      <c r="M1844" s="80"/>
      <c r="N1844" s="80"/>
      <c r="O1844" s="145"/>
      <c r="P1844" s="79"/>
      <c r="AS1844" s="146"/>
      <c r="AT1844" s="147"/>
      <c r="AU1844" s="148"/>
    </row>
    <row r="1845" spans="9:47">
      <c r="I1845" s="79"/>
      <c r="J1845" s="79"/>
      <c r="K1845" s="80"/>
      <c r="L1845" s="80"/>
      <c r="M1845" s="80"/>
      <c r="N1845" s="80"/>
      <c r="O1845" s="145"/>
      <c r="P1845" s="79"/>
      <c r="AS1845" s="146"/>
      <c r="AT1845" s="147"/>
      <c r="AU1845" s="148"/>
    </row>
    <row r="1846" spans="9:47">
      <c r="I1846" s="79"/>
      <c r="J1846" s="79"/>
      <c r="K1846" s="80"/>
      <c r="L1846" s="80"/>
      <c r="M1846" s="80"/>
      <c r="N1846" s="80"/>
      <c r="O1846" s="145"/>
      <c r="P1846" s="79"/>
      <c r="AS1846" s="146"/>
      <c r="AT1846" s="147"/>
      <c r="AU1846" s="148"/>
    </row>
    <row r="1847" spans="9:47">
      <c r="I1847" s="79"/>
      <c r="J1847" s="79"/>
      <c r="K1847" s="80"/>
      <c r="L1847" s="80"/>
      <c r="M1847" s="80"/>
      <c r="N1847" s="80"/>
      <c r="O1847" s="145"/>
      <c r="P1847" s="79"/>
      <c r="AS1847" s="146"/>
      <c r="AT1847" s="147"/>
      <c r="AU1847" s="148"/>
    </row>
    <row r="1848" spans="9:47">
      <c r="I1848" s="79"/>
      <c r="J1848" s="79"/>
      <c r="K1848" s="80"/>
      <c r="L1848" s="80"/>
      <c r="M1848" s="80"/>
      <c r="N1848" s="80"/>
      <c r="O1848" s="145"/>
      <c r="P1848" s="79"/>
      <c r="AS1848" s="146"/>
      <c r="AT1848" s="147"/>
      <c r="AU1848" s="148"/>
    </row>
    <row r="1849" spans="9:47">
      <c r="I1849" s="79"/>
      <c r="J1849" s="79"/>
      <c r="K1849" s="80"/>
      <c r="L1849" s="80"/>
      <c r="M1849" s="80"/>
      <c r="N1849" s="80"/>
      <c r="O1849" s="145"/>
      <c r="P1849" s="79"/>
      <c r="AS1849" s="146"/>
      <c r="AT1849" s="147"/>
      <c r="AU1849" s="148"/>
    </row>
    <row r="1850" spans="9:47">
      <c r="I1850" s="79"/>
      <c r="J1850" s="79"/>
      <c r="K1850" s="80"/>
      <c r="L1850" s="80"/>
      <c r="M1850" s="80"/>
      <c r="N1850" s="80"/>
      <c r="O1850" s="145"/>
      <c r="P1850" s="79"/>
      <c r="AS1850" s="146"/>
      <c r="AT1850" s="147"/>
      <c r="AU1850" s="148"/>
    </row>
    <row r="1851" spans="9:47">
      <c r="I1851" s="79"/>
      <c r="J1851" s="79"/>
      <c r="K1851" s="80"/>
      <c r="L1851" s="80"/>
      <c r="M1851" s="80"/>
      <c r="N1851" s="80"/>
      <c r="O1851" s="145"/>
      <c r="P1851" s="79"/>
      <c r="AS1851" s="146"/>
      <c r="AT1851" s="147"/>
      <c r="AU1851" s="148"/>
    </row>
    <row r="1852" spans="9:47">
      <c r="I1852" s="79"/>
      <c r="J1852" s="79"/>
      <c r="K1852" s="80"/>
      <c r="L1852" s="80"/>
      <c r="M1852" s="80"/>
      <c r="N1852" s="80"/>
      <c r="O1852" s="145"/>
      <c r="P1852" s="79"/>
      <c r="AS1852" s="146"/>
      <c r="AT1852" s="147"/>
      <c r="AU1852" s="148"/>
    </row>
    <row r="1853" spans="9:47">
      <c r="I1853" s="79"/>
      <c r="J1853" s="79"/>
      <c r="K1853" s="80"/>
      <c r="L1853" s="80"/>
      <c r="M1853" s="80"/>
      <c r="N1853" s="80"/>
      <c r="O1853" s="145"/>
      <c r="P1853" s="79"/>
      <c r="AS1853" s="146"/>
      <c r="AT1853" s="147"/>
      <c r="AU1853" s="148"/>
    </row>
    <row r="1854" spans="9:47">
      <c r="I1854" s="79"/>
      <c r="J1854" s="79"/>
      <c r="K1854" s="80"/>
      <c r="L1854" s="80"/>
      <c r="M1854" s="80"/>
      <c r="N1854" s="80"/>
      <c r="O1854" s="145"/>
      <c r="P1854" s="79"/>
      <c r="AS1854" s="146"/>
      <c r="AT1854" s="147"/>
      <c r="AU1854" s="148"/>
    </row>
    <row r="1855" spans="9:47">
      <c r="I1855" s="79"/>
      <c r="J1855" s="79"/>
      <c r="K1855" s="80"/>
      <c r="L1855" s="80"/>
      <c r="M1855" s="80"/>
      <c r="N1855" s="80"/>
      <c r="O1855" s="145"/>
      <c r="P1855" s="79"/>
      <c r="AS1855" s="146"/>
      <c r="AT1855" s="147"/>
      <c r="AU1855" s="148"/>
    </row>
    <row r="1856" spans="9:47">
      <c r="I1856" s="79"/>
      <c r="J1856" s="79"/>
      <c r="K1856" s="80"/>
      <c r="L1856" s="80"/>
      <c r="M1856" s="80"/>
      <c r="N1856" s="80"/>
      <c r="O1856" s="145"/>
      <c r="P1856" s="79"/>
      <c r="AS1856" s="146"/>
      <c r="AT1856" s="147"/>
      <c r="AU1856" s="148"/>
    </row>
    <row r="1857" spans="9:47">
      <c r="I1857" s="79"/>
      <c r="J1857" s="79"/>
      <c r="K1857" s="80"/>
      <c r="L1857" s="80"/>
      <c r="M1857" s="80"/>
      <c r="N1857" s="80"/>
      <c r="O1857" s="145"/>
      <c r="P1857" s="79"/>
      <c r="AS1857" s="146"/>
      <c r="AT1857" s="147"/>
      <c r="AU1857" s="148"/>
    </row>
    <row r="1858" spans="9:47">
      <c r="I1858" s="79"/>
      <c r="J1858" s="79"/>
      <c r="K1858" s="80"/>
      <c r="L1858" s="80"/>
      <c r="M1858" s="80"/>
      <c r="N1858" s="80"/>
      <c r="O1858" s="145"/>
      <c r="P1858" s="79"/>
      <c r="AS1858" s="146"/>
      <c r="AT1858" s="147"/>
      <c r="AU1858" s="148"/>
    </row>
    <row r="1859" spans="9:47">
      <c r="I1859" s="79"/>
      <c r="J1859" s="79"/>
      <c r="K1859" s="80"/>
      <c r="L1859" s="80"/>
      <c r="M1859" s="80"/>
      <c r="N1859" s="80"/>
      <c r="O1859" s="145"/>
      <c r="P1859" s="79"/>
      <c r="AS1859" s="146"/>
      <c r="AT1859" s="147"/>
      <c r="AU1859" s="148"/>
    </row>
    <row r="1860" spans="9:47">
      <c r="I1860" s="79"/>
      <c r="J1860" s="79"/>
      <c r="K1860" s="80"/>
      <c r="L1860" s="80"/>
      <c r="M1860" s="80"/>
      <c r="N1860" s="80"/>
      <c r="O1860" s="145"/>
      <c r="P1860" s="79"/>
    </row>
    <row r="1861" spans="9:47">
      <c r="I1861" s="79"/>
      <c r="J1861" s="79"/>
      <c r="K1861" s="80"/>
      <c r="L1861" s="80"/>
      <c r="M1861" s="80"/>
      <c r="N1861" s="80"/>
      <c r="O1861" s="145"/>
      <c r="P1861" s="79"/>
    </row>
    <row r="1862" spans="9:47">
      <c r="I1862" s="79"/>
      <c r="J1862" s="79"/>
      <c r="K1862" s="80"/>
      <c r="L1862" s="80"/>
      <c r="M1862" s="80"/>
      <c r="N1862" s="80"/>
      <c r="O1862" s="145"/>
      <c r="P1862" s="79"/>
    </row>
    <row r="1863" spans="9:47">
      <c r="I1863" s="79"/>
      <c r="J1863" s="79"/>
      <c r="K1863" s="80"/>
      <c r="L1863" s="80"/>
      <c r="M1863" s="80"/>
      <c r="N1863" s="80"/>
      <c r="O1863" s="145"/>
      <c r="P1863" s="79"/>
    </row>
    <row r="1864" spans="9:47">
      <c r="I1864" s="79"/>
      <c r="J1864" s="79"/>
      <c r="K1864" s="80"/>
      <c r="L1864" s="80"/>
      <c r="M1864" s="80"/>
      <c r="N1864" s="80"/>
      <c r="O1864" s="145"/>
      <c r="P1864" s="79"/>
    </row>
    <row r="1865" spans="9:47">
      <c r="I1865" s="79"/>
      <c r="J1865" s="79"/>
      <c r="K1865" s="80"/>
      <c r="L1865" s="80"/>
      <c r="M1865" s="80"/>
      <c r="N1865" s="80"/>
      <c r="O1865" s="145"/>
      <c r="P1865" s="79"/>
    </row>
    <row r="1866" spans="9:47">
      <c r="I1866" s="79"/>
      <c r="J1866" s="79"/>
      <c r="K1866" s="80"/>
      <c r="L1866" s="80"/>
      <c r="M1866" s="80"/>
      <c r="N1866" s="80"/>
      <c r="O1866" s="145"/>
      <c r="P1866" s="79"/>
    </row>
    <row r="1867" spans="9:47">
      <c r="I1867" s="79"/>
      <c r="J1867" s="79"/>
      <c r="K1867" s="80"/>
      <c r="L1867" s="80"/>
      <c r="M1867" s="80"/>
      <c r="N1867" s="80"/>
      <c r="O1867" s="145"/>
      <c r="P1867" s="79"/>
    </row>
    <row r="1868" spans="9:47">
      <c r="I1868" s="79"/>
      <c r="J1868" s="79"/>
      <c r="K1868" s="80"/>
      <c r="L1868" s="80"/>
      <c r="M1868" s="80"/>
      <c r="N1868" s="80"/>
      <c r="O1868" s="145"/>
      <c r="P1868" s="79"/>
    </row>
    <row r="1869" spans="9:47">
      <c r="I1869" s="79"/>
      <c r="J1869" s="79"/>
      <c r="K1869" s="80"/>
      <c r="L1869" s="80"/>
      <c r="M1869" s="80"/>
      <c r="N1869" s="80"/>
      <c r="O1869" s="145"/>
      <c r="P1869" s="79"/>
    </row>
    <row r="1870" spans="9:47">
      <c r="I1870" s="79"/>
      <c r="J1870" s="79"/>
      <c r="K1870" s="80"/>
      <c r="L1870" s="80"/>
      <c r="M1870" s="80"/>
      <c r="N1870" s="80"/>
      <c r="O1870" s="145"/>
      <c r="P1870" s="79"/>
    </row>
    <row r="1871" spans="9:47">
      <c r="I1871" s="79"/>
      <c r="J1871" s="79"/>
      <c r="K1871" s="80"/>
      <c r="L1871" s="80"/>
      <c r="M1871" s="80"/>
      <c r="N1871" s="80"/>
      <c r="O1871" s="145"/>
      <c r="P1871" s="79"/>
    </row>
    <row r="1872" spans="9:47">
      <c r="I1872" s="79"/>
      <c r="J1872" s="79"/>
      <c r="K1872" s="80"/>
      <c r="L1872" s="80"/>
      <c r="M1872" s="80"/>
      <c r="N1872" s="80"/>
      <c r="O1872" s="145"/>
      <c r="P1872" s="79"/>
    </row>
    <row r="1873" spans="9:16">
      <c r="I1873" s="79"/>
      <c r="J1873" s="79"/>
      <c r="K1873" s="80"/>
      <c r="L1873" s="80"/>
      <c r="M1873" s="80"/>
      <c r="N1873" s="80"/>
      <c r="O1873" s="145"/>
      <c r="P1873" s="79"/>
    </row>
    <row r="1874" spans="9:16">
      <c r="I1874" s="79"/>
      <c r="J1874" s="79"/>
      <c r="K1874" s="80"/>
      <c r="L1874" s="80"/>
      <c r="M1874" s="80"/>
      <c r="N1874" s="80"/>
      <c r="O1874" s="145"/>
      <c r="P1874" s="79"/>
    </row>
    <row r="1875" spans="9:16">
      <c r="I1875" s="79"/>
      <c r="J1875" s="79"/>
      <c r="K1875" s="80"/>
      <c r="L1875" s="80"/>
      <c r="M1875" s="80"/>
      <c r="N1875" s="80"/>
      <c r="O1875" s="145"/>
      <c r="P1875" s="79"/>
    </row>
    <row r="1876" spans="9:16">
      <c r="I1876" s="79"/>
      <c r="J1876" s="79"/>
      <c r="K1876" s="80"/>
      <c r="L1876" s="80"/>
      <c r="M1876" s="80"/>
      <c r="N1876" s="80"/>
      <c r="O1876" s="145"/>
      <c r="P1876" s="79"/>
    </row>
    <row r="1877" spans="9:16">
      <c r="I1877" s="79"/>
      <c r="J1877" s="79"/>
      <c r="K1877" s="80"/>
      <c r="L1877" s="80"/>
      <c r="M1877" s="80"/>
      <c r="N1877" s="80"/>
      <c r="O1877" s="145"/>
      <c r="P1877" s="79"/>
    </row>
    <row r="1878" spans="9:16">
      <c r="I1878" s="79"/>
      <c r="J1878" s="79"/>
      <c r="K1878" s="80"/>
      <c r="L1878" s="80"/>
      <c r="M1878" s="80"/>
      <c r="N1878" s="80"/>
      <c r="O1878" s="145"/>
      <c r="P1878" s="79"/>
    </row>
    <row r="1879" spans="9:16">
      <c r="I1879" s="79"/>
      <c r="J1879" s="79"/>
      <c r="K1879" s="80"/>
      <c r="L1879" s="80"/>
      <c r="M1879" s="80"/>
      <c r="N1879" s="80"/>
      <c r="O1879" s="145"/>
      <c r="P1879" s="79"/>
    </row>
    <row r="1880" spans="9:16">
      <c r="I1880" s="79"/>
      <c r="J1880" s="79"/>
      <c r="K1880" s="80"/>
      <c r="L1880" s="80"/>
      <c r="M1880" s="80"/>
      <c r="N1880" s="80"/>
      <c r="O1880" s="145"/>
      <c r="P1880" s="79"/>
    </row>
    <row r="1881" spans="9:16">
      <c r="I1881" s="79"/>
      <c r="J1881" s="79"/>
      <c r="K1881" s="80"/>
      <c r="L1881" s="80"/>
      <c r="M1881" s="80"/>
      <c r="N1881" s="80"/>
      <c r="O1881" s="145"/>
      <c r="P1881" s="79"/>
    </row>
    <row r="1882" spans="9:16">
      <c r="I1882" s="79"/>
      <c r="J1882" s="79"/>
      <c r="K1882" s="80"/>
      <c r="L1882" s="80"/>
      <c r="M1882" s="80"/>
      <c r="N1882" s="80"/>
      <c r="O1882" s="145"/>
      <c r="P1882" s="79"/>
    </row>
    <row r="1883" spans="9:16">
      <c r="I1883" s="79"/>
      <c r="J1883" s="79"/>
      <c r="K1883" s="80"/>
      <c r="L1883" s="80"/>
      <c r="M1883" s="80"/>
      <c r="N1883" s="80"/>
      <c r="O1883" s="145"/>
      <c r="P1883" s="79"/>
    </row>
    <row r="1884" spans="9:16">
      <c r="I1884" s="79"/>
      <c r="J1884" s="79"/>
      <c r="K1884" s="80"/>
      <c r="L1884" s="80"/>
      <c r="M1884" s="80"/>
      <c r="N1884" s="80"/>
      <c r="O1884" s="145"/>
      <c r="P1884" s="79"/>
    </row>
    <row r="1885" spans="9:16">
      <c r="I1885" s="79"/>
      <c r="J1885" s="79"/>
      <c r="K1885" s="80"/>
      <c r="L1885" s="80"/>
      <c r="M1885" s="80"/>
      <c r="N1885" s="80"/>
      <c r="O1885" s="145"/>
      <c r="P1885" s="79"/>
    </row>
    <row r="1886" spans="9:16">
      <c r="I1886" s="79"/>
      <c r="J1886" s="79"/>
      <c r="K1886" s="80"/>
      <c r="L1886" s="80"/>
      <c r="M1886" s="80"/>
      <c r="N1886" s="80"/>
      <c r="O1886" s="145"/>
      <c r="P1886" s="79"/>
    </row>
    <row r="1887" spans="9:16">
      <c r="I1887" s="79"/>
      <c r="J1887" s="79"/>
      <c r="K1887" s="80"/>
      <c r="L1887" s="80"/>
      <c r="M1887" s="80"/>
      <c r="N1887" s="80"/>
      <c r="O1887" s="145"/>
      <c r="P1887" s="79"/>
    </row>
    <row r="1888" spans="9:16">
      <c r="I1888" s="79"/>
      <c r="J1888" s="79"/>
      <c r="K1888" s="80"/>
      <c r="L1888" s="80"/>
      <c r="M1888" s="80"/>
      <c r="N1888" s="80"/>
      <c r="O1888" s="145"/>
      <c r="P1888" s="79"/>
    </row>
    <row r="1889" spans="9:16">
      <c r="I1889" s="79"/>
      <c r="J1889" s="79"/>
      <c r="K1889" s="80"/>
      <c r="L1889" s="80"/>
      <c r="M1889" s="80"/>
      <c r="N1889" s="80"/>
      <c r="O1889" s="145"/>
      <c r="P1889" s="79"/>
    </row>
    <row r="1890" spans="9:16">
      <c r="I1890" s="79"/>
      <c r="J1890" s="79"/>
      <c r="K1890" s="80"/>
      <c r="L1890" s="80"/>
      <c r="M1890" s="80"/>
      <c r="N1890" s="80"/>
      <c r="O1890" s="145"/>
      <c r="P1890" s="79"/>
    </row>
    <row r="1891" spans="9:16">
      <c r="I1891" s="79"/>
      <c r="J1891" s="79"/>
      <c r="K1891" s="80"/>
      <c r="L1891" s="80"/>
      <c r="M1891" s="80"/>
      <c r="N1891" s="80"/>
      <c r="O1891" s="145"/>
      <c r="P1891" s="79"/>
    </row>
    <row r="1892" spans="9:16">
      <c r="I1892" s="79"/>
      <c r="J1892" s="79"/>
      <c r="K1892" s="80"/>
      <c r="L1892" s="80"/>
      <c r="M1892" s="80"/>
      <c r="N1892" s="80"/>
      <c r="O1892" s="145"/>
      <c r="P1892" s="79"/>
    </row>
    <row r="1893" spans="9:16">
      <c r="I1893" s="79"/>
      <c r="J1893" s="79"/>
      <c r="K1893" s="80"/>
      <c r="L1893" s="80"/>
      <c r="M1893" s="80"/>
      <c r="N1893" s="80"/>
      <c r="O1893" s="145"/>
      <c r="P1893" s="79"/>
    </row>
    <row r="1894" spans="9:16">
      <c r="I1894" s="79"/>
      <c r="J1894" s="79"/>
      <c r="K1894" s="80"/>
      <c r="L1894" s="80"/>
      <c r="M1894" s="80"/>
      <c r="N1894" s="80"/>
      <c r="O1894" s="145"/>
      <c r="P1894" s="79"/>
    </row>
    <row r="1895" spans="9:16">
      <c r="I1895" s="79"/>
      <c r="J1895" s="79"/>
      <c r="K1895" s="80"/>
      <c r="L1895" s="80"/>
      <c r="M1895" s="80"/>
      <c r="N1895" s="80"/>
      <c r="O1895" s="145"/>
      <c r="P1895" s="79"/>
    </row>
    <row r="1896" spans="9:16">
      <c r="I1896" s="79"/>
      <c r="J1896" s="79"/>
      <c r="K1896" s="80"/>
      <c r="L1896" s="80"/>
      <c r="M1896" s="80"/>
      <c r="N1896" s="80"/>
      <c r="O1896" s="145"/>
      <c r="P1896" s="79"/>
    </row>
    <row r="1897" spans="9:16">
      <c r="I1897" s="79"/>
      <c r="J1897" s="79"/>
      <c r="K1897" s="80"/>
      <c r="L1897" s="80"/>
      <c r="M1897" s="80"/>
      <c r="N1897" s="80"/>
      <c r="O1897" s="145"/>
      <c r="P1897" s="79"/>
    </row>
    <row r="1898" spans="9:16">
      <c r="I1898" s="79"/>
      <c r="J1898" s="79"/>
      <c r="K1898" s="80"/>
      <c r="L1898" s="80"/>
      <c r="M1898" s="80"/>
      <c r="N1898" s="80"/>
      <c r="O1898" s="145"/>
      <c r="P1898" s="79"/>
    </row>
    <row r="1899" spans="9:16">
      <c r="I1899" s="79"/>
      <c r="J1899" s="79"/>
      <c r="K1899" s="80"/>
      <c r="L1899" s="80"/>
      <c r="M1899" s="80"/>
      <c r="N1899" s="80"/>
      <c r="O1899" s="145"/>
      <c r="P1899" s="79"/>
    </row>
    <row r="1900" spans="9:16">
      <c r="I1900" s="79"/>
      <c r="J1900" s="79"/>
      <c r="K1900" s="80"/>
      <c r="L1900" s="80"/>
      <c r="M1900" s="80"/>
      <c r="N1900" s="80"/>
      <c r="O1900" s="145"/>
      <c r="P1900" s="79"/>
    </row>
    <row r="1901" spans="9:16">
      <c r="I1901" s="79"/>
      <c r="J1901" s="79"/>
      <c r="K1901" s="80"/>
      <c r="L1901" s="80"/>
      <c r="M1901" s="80"/>
      <c r="N1901" s="80"/>
      <c r="O1901" s="145"/>
      <c r="P1901" s="79"/>
    </row>
    <row r="1902" spans="9:16">
      <c r="I1902" s="79"/>
      <c r="J1902" s="79"/>
      <c r="K1902" s="80"/>
      <c r="L1902" s="80"/>
      <c r="M1902" s="80"/>
      <c r="N1902" s="80"/>
      <c r="O1902" s="145"/>
      <c r="P1902" s="79"/>
    </row>
    <row r="1903" spans="9:16">
      <c r="I1903" s="79"/>
      <c r="J1903" s="79"/>
      <c r="K1903" s="80"/>
      <c r="L1903" s="80"/>
      <c r="M1903" s="80"/>
      <c r="N1903" s="80"/>
      <c r="O1903" s="145"/>
      <c r="P1903" s="79"/>
    </row>
    <row r="1904" spans="9:16">
      <c r="I1904" s="79"/>
      <c r="J1904" s="79"/>
      <c r="K1904" s="80"/>
      <c r="L1904" s="80"/>
      <c r="M1904" s="80"/>
      <c r="N1904" s="80"/>
      <c r="O1904" s="145"/>
      <c r="P1904" s="79"/>
    </row>
    <row r="1905" spans="9:16">
      <c r="I1905" s="79"/>
      <c r="J1905" s="79"/>
      <c r="K1905" s="80"/>
      <c r="L1905" s="80"/>
      <c r="M1905" s="80"/>
      <c r="N1905" s="80"/>
      <c r="O1905" s="145"/>
      <c r="P1905" s="79"/>
    </row>
    <row r="1906" spans="9:16">
      <c r="I1906" s="79"/>
      <c r="J1906" s="79"/>
      <c r="K1906" s="80"/>
      <c r="L1906" s="80"/>
      <c r="M1906" s="80"/>
      <c r="N1906" s="80"/>
      <c r="O1906" s="145"/>
      <c r="P1906" s="79"/>
    </row>
    <row r="1907" spans="9:16">
      <c r="I1907" s="79"/>
      <c r="J1907" s="79"/>
      <c r="K1907" s="80"/>
      <c r="L1907" s="80"/>
      <c r="M1907" s="80"/>
      <c r="N1907" s="80"/>
      <c r="O1907" s="145"/>
      <c r="P1907" s="79"/>
    </row>
    <row r="1908" spans="9:16">
      <c r="I1908" s="79"/>
      <c r="J1908" s="79"/>
      <c r="K1908" s="80"/>
      <c r="L1908" s="80"/>
      <c r="M1908" s="80"/>
      <c r="N1908" s="80"/>
      <c r="O1908" s="145"/>
      <c r="P1908" s="79"/>
    </row>
    <row r="1909" spans="9:16">
      <c r="I1909" s="79"/>
      <c r="J1909" s="79"/>
      <c r="K1909" s="80"/>
      <c r="L1909" s="80"/>
      <c r="M1909" s="80"/>
      <c r="N1909" s="80"/>
      <c r="O1909" s="145"/>
      <c r="P1909" s="79"/>
    </row>
    <row r="1910" spans="9:16">
      <c r="I1910" s="79"/>
      <c r="J1910" s="79"/>
      <c r="K1910" s="80"/>
      <c r="L1910" s="80"/>
      <c r="M1910" s="80"/>
      <c r="N1910" s="80"/>
      <c r="O1910" s="145"/>
      <c r="P1910" s="79"/>
    </row>
    <row r="1911" spans="9:16">
      <c r="I1911" s="79"/>
      <c r="J1911" s="79"/>
      <c r="K1911" s="80"/>
      <c r="L1911" s="80"/>
      <c r="M1911" s="80"/>
      <c r="N1911" s="80"/>
      <c r="O1911" s="145"/>
      <c r="P1911" s="79"/>
    </row>
    <row r="1912" spans="9:16">
      <c r="I1912" s="79"/>
      <c r="J1912" s="79"/>
      <c r="K1912" s="80"/>
      <c r="L1912" s="80"/>
      <c r="M1912" s="80"/>
      <c r="N1912" s="80"/>
      <c r="O1912" s="145"/>
      <c r="P1912" s="79"/>
    </row>
    <row r="1913" spans="9:16">
      <c r="I1913" s="79"/>
      <c r="J1913" s="79"/>
      <c r="K1913" s="80"/>
      <c r="L1913" s="80"/>
      <c r="M1913" s="80"/>
      <c r="N1913" s="80"/>
      <c r="O1913" s="145"/>
      <c r="P1913" s="79"/>
    </row>
    <row r="1914" spans="9:16">
      <c r="I1914" s="79"/>
      <c r="J1914" s="79"/>
      <c r="K1914" s="80"/>
      <c r="L1914" s="80"/>
      <c r="M1914" s="80"/>
      <c r="N1914" s="80"/>
      <c r="O1914" s="145"/>
      <c r="P1914" s="79"/>
    </row>
    <row r="1915" spans="9:16">
      <c r="I1915" s="79"/>
      <c r="J1915" s="79"/>
      <c r="K1915" s="80"/>
      <c r="L1915" s="80"/>
      <c r="M1915" s="80"/>
      <c r="N1915" s="80"/>
      <c r="O1915" s="145"/>
      <c r="P1915" s="79"/>
    </row>
    <row r="1916" spans="9:16">
      <c r="I1916" s="79"/>
      <c r="J1916" s="79"/>
      <c r="K1916" s="80"/>
      <c r="L1916" s="80"/>
      <c r="M1916" s="80"/>
      <c r="N1916" s="80"/>
      <c r="O1916" s="145"/>
      <c r="P1916" s="79"/>
    </row>
    <row r="1917" spans="9:16">
      <c r="I1917" s="79"/>
      <c r="J1917" s="79"/>
      <c r="K1917" s="80"/>
      <c r="L1917" s="80"/>
      <c r="M1917" s="80"/>
      <c r="N1917" s="80"/>
      <c r="O1917" s="145"/>
      <c r="P1917" s="79"/>
    </row>
    <row r="1918" spans="9:16">
      <c r="I1918" s="79"/>
      <c r="J1918" s="79"/>
      <c r="K1918" s="80"/>
      <c r="L1918" s="80"/>
      <c r="M1918" s="80"/>
      <c r="N1918" s="80"/>
      <c r="O1918" s="145"/>
      <c r="P1918" s="79"/>
    </row>
    <row r="1919" spans="9:16">
      <c r="I1919" s="79"/>
      <c r="J1919" s="79"/>
      <c r="K1919" s="80"/>
      <c r="L1919" s="80"/>
      <c r="M1919" s="80"/>
      <c r="N1919" s="80"/>
      <c r="O1919" s="145"/>
      <c r="P1919" s="79"/>
    </row>
    <row r="1920" spans="9:16">
      <c r="I1920" s="79"/>
      <c r="J1920" s="79"/>
      <c r="K1920" s="80"/>
      <c r="L1920" s="80"/>
      <c r="M1920" s="80"/>
      <c r="N1920" s="80"/>
      <c r="O1920" s="145"/>
      <c r="P1920" s="79"/>
    </row>
    <row r="1921" spans="9:16">
      <c r="I1921" s="79"/>
      <c r="J1921" s="79"/>
      <c r="K1921" s="80"/>
      <c r="L1921" s="80"/>
      <c r="M1921" s="80"/>
      <c r="N1921" s="80"/>
      <c r="O1921" s="145"/>
      <c r="P1921" s="79"/>
    </row>
    <row r="1922" spans="9:16">
      <c r="I1922" s="79"/>
      <c r="J1922" s="79"/>
      <c r="K1922" s="80"/>
      <c r="L1922" s="80"/>
      <c r="M1922" s="80"/>
      <c r="N1922" s="80"/>
      <c r="O1922" s="145"/>
      <c r="P1922" s="79"/>
    </row>
    <row r="1923" spans="9:16">
      <c r="I1923" s="79"/>
      <c r="J1923" s="79"/>
      <c r="K1923" s="80"/>
      <c r="L1923" s="80"/>
      <c r="M1923" s="80"/>
      <c r="N1923" s="80"/>
      <c r="O1923" s="145"/>
      <c r="P1923" s="79"/>
    </row>
    <row r="1924" spans="9:16">
      <c r="I1924" s="79"/>
      <c r="J1924" s="79"/>
      <c r="K1924" s="80"/>
      <c r="L1924" s="80"/>
      <c r="M1924" s="80"/>
      <c r="N1924" s="80"/>
      <c r="O1924" s="145"/>
      <c r="P1924" s="79"/>
    </row>
    <row r="1925" spans="9:16">
      <c r="I1925" s="79"/>
      <c r="J1925" s="79"/>
      <c r="K1925" s="80"/>
      <c r="L1925" s="80"/>
      <c r="M1925" s="80"/>
      <c r="N1925" s="80"/>
      <c r="O1925" s="145"/>
      <c r="P1925" s="79"/>
    </row>
    <row r="1926" spans="9:16">
      <c r="I1926" s="79"/>
      <c r="J1926" s="79"/>
      <c r="K1926" s="80"/>
      <c r="L1926" s="80"/>
      <c r="M1926" s="80"/>
      <c r="N1926" s="80"/>
      <c r="O1926" s="145"/>
      <c r="P1926" s="79"/>
    </row>
    <row r="1927" spans="9:16">
      <c r="I1927" s="79"/>
      <c r="J1927" s="79"/>
      <c r="K1927" s="80"/>
      <c r="L1927" s="80"/>
      <c r="M1927" s="80"/>
      <c r="N1927" s="80"/>
      <c r="O1927" s="145"/>
      <c r="P1927" s="79"/>
    </row>
    <row r="1928" spans="9:16">
      <c r="I1928" s="79"/>
      <c r="J1928" s="79"/>
      <c r="K1928" s="80"/>
      <c r="L1928" s="80"/>
      <c r="M1928" s="80"/>
      <c r="N1928" s="80"/>
      <c r="O1928" s="145"/>
      <c r="P1928" s="79"/>
    </row>
    <row r="1929" spans="9:16">
      <c r="I1929" s="79"/>
      <c r="J1929" s="79"/>
      <c r="K1929" s="80"/>
      <c r="L1929" s="80"/>
      <c r="M1929" s="80"/>
      <c r="N1929" s="80"/>
      <c r="O1929" s="145"/>
      <c r="P1929" s="79"/>
    </row>
    <row r="1930" spans="9:16">
      <c r="I1930" s="79"/>
      <c r="J1930" s="79"/>
      <c r="K1930" s="80"/>
      <c r="L1930" s="80"/>
      <c r="M1930" s="80"/>
      <c r="N1930" s="80"/>
      <c r="O1930" s="145"/>
      <c r="P1930" s="79"/>
    </row>
    <row r="1931" spans="9:16">
      <c r="I1931" s="79"/>
      <c r="J1931" s="79"/>
      <c r="K1931" s="80"/>
      <c r="L1931" s="80"/>
      <c r="M1931" s="80"/>
      <c r="N1931" s="80"/>
      <c r="O1931" s="145"/>
      <c r="P1931" s="79"/>
    </row>
    <row r="1932" spans="9:16">
      <c r="I1932" s="79"/>
      <c r="J1932" s="79"/>
      <c r="K1932" s="80"/>
      <c r="L1932" s="80"/>
      <c r="M1932" s="80"/>
      <c r="N1932" s="80"/>
      <c r="O1932" s="145"/>
      <c r="P1932" s="79"/>
    </row>
    <row r="1933" spans="9:16">
      <c r="I1933" s="79"/>
      <c r="J1933" s="79"/>
      <c r="K1933" s="80"/>
      <c r="L1933" s="80"/>
      <c r="M1933" s="80"/>
      <c r="N1933" s="80"/>
      <c r="O1933" s="145"/>
      <c r="P1933" s="79"/>
    </row>
    <row r="1934" spans="9:16">
      <c r="I1934" s="79"/>
      <c r="J1934" s="79"/>
      <c r="K1934" s="80"/>
      <c r="L1934" s="80"/>
      <c r="M1934" s="80"/>
      <c r="N1934" s="80"/>
      <c r="O1934" s="145"/>
      <c r="P1934" s="79"/>
    </row>
    <row r="1935" spans="9:16">
      <c r="I1935" s="79"/>
      <c r="J1935" s="79"/>
      <c r="K1935" s="80"/>
      <c r="L1935" s="80"/>
      <c r="M1935" s="80"/>
      <c r="N1935" s="80"/>
      <c r="O1935" s="145"/>
      <c r="P1935" s="79"/>
    </row>
    <row r="1936" spans="9:16">
      <c r="I1936" s="79"/>
      <c r="J1936" s="79"/>
      <c r="K1936" s="80"/>
      <c r="L1936" s="80"/>
      <c r="M1936" s="80"/>
      <c r="N1936" s="80"/>
      <c r="O1936" s="145"/>
      <c r="P1936" s="79"/>
    </row>
    <row r="1937" spans="9:16">
      <c r="I1937" s="79"/>
      <c r="J1937" s="79"/>
      <c r="K1937" s="80"/>
      <c r="L1937" s="80"/>
      <c r="M1937" s="80"/>
      <c r="N1937" s="80"/>
      <c r="O1937" s="145"/>
      <c r="P1937" s="79"/>
    </row>
    <row r="1938" spans="9:16">
      <c r="I1938" s="79"/>
      <c r="J1938" s="79"/>
      <c r="K1938" s="80"/>
      <c r="L1938" s="80"/>
      <c r="M1938" s="80"/>
      <c r="N1938" s="80"/>
      <c r="O1938" s="145"/>
      <c r="P1938" s="79"/>
    </row>
    <row r="1939" spans="9:16">
      <c r="I1939" s="79"/>
      <c r="J1939" s="79"/>
      <c r="K1939" s="80"/>
      <c r="L1939" s="80"/>
      <c r="M1939" s="80"/>
      <c r="N1939" s="80"/>
      <c r="O1939" s="145"/>
      <c r="P1939" s="79"/>
    </row>
    <row r="1940" spans="9:16">
      <c r="I1940" s="79"/>
      <c r="J1940" s="79"/>
      <c r="K1940" s="80"/>
      <c r="L1940" s="80"/>
      <c r="M1940" s="80"/>
      <c r="N1940" s="80"/>
      <c r="O1940" s="145"/>
      <c r="P1940" s="79"/>
    </row>
    <row r="1941" spans="9:16">
      <c r="I1941" s="79"/>
      <c r="J1941" s="79"/>
      <c r="K1941" s="80"/>
      <c r="L1941" s="80"/>
      <c r="M1941" s="80"/>
      <c r="N1941" s="80"/>
      <c r="O1941" s="145"/>
      <c r="P1941" s="79"/>
    </row>
    <row r="1942" spans="9:16">
      <c r="I1942" s="79"/>
      <c r="J1942" s="79"/>
      <c r="K1942" s="80"/>
      <c r="L1942" s="80"/>
      <c r="M1942" s="80"/>
      <c r="N1942" s="80"/>
      <c r="O1942" s="145"/>
      <c r="P1942" s="79"/>
    </row>
    <row r="1943" spans="9:16">
      <c r="I1943" s="79"/>
      <c r="J1943" s="79"/>
      <c r="K1943" s="80"/>
      <c r="L1943" s="80"/>
      <c r="M1943" s="80"/>
      <c r="N1943" s="80"/>
      <c r="O1943" s="145"/>
      <c r="P1943" s="79"/>
    </row>
    <row r="1944" spans="9:16">
      <c r="I1944" s="79"/>
      <c r="J1944" s="79"/>
      <c r="K1944" s="80"/>
      <c r="L1944" s="80"/>
      <c r="M1944" s="80"/>
      <c r="N1944" s="80"/>
      <c r="O1944" s="145"/>
      <c r="P1944" s="79"/>
    </row>
    <row r="1945" spans="9:16">
      <c r="I1945" s="79"/>
      <c r="J1945" s="79"/>
      <c r="K1945" s="80"/>
      <c r="L1945" s="80"/>
      <c r="M1945" s="80"/>
      <c r="N1945" s="80"/>
      <c r="O1945" s="145"/>
      <c r="P1945" s="79"/>
    </row>
    <row r="1946" spans="9:16">
      <c r="I1946" s="79"/>
      <c r="J1946" s="79"/>
      <c r="K1946" s="80"/>
      <c r="L1946" s="80"/>
      <c r="M1946" s="80"/>
      <c r="N1946" s="80"/>
      <c r="O1946" s="145"/>
      <c r="P1946" s="79"/>
    </row>
    <row r="1947" spans="9:16">
      <c r="I1947" s="79"/>
      <c r="J1947" s="79"/>
      <c r="K1947" s="80"/>
      <c r="L1947" s="80"/>
      <c r="M1947" s="80"/>
      <c r="N1947" s="80"/>
      <c r="O1947" s="145"/>
      <c r="P1947" s="79"/>
    </row>
    <row r="1948" spans="9:16">
      <c r="I1948" s="79"/>
      <c r="J1948" s="79"/>
      <c r="K1948" s="80"/>
      <c r="L1948" s="80"/>
      <c r="M1948" s="80"/>
      <c r="N1948" s="80"/>
      <c r="O1948" s="145"/>
      <c r="P1948" s="79"/>
    </row>
    <row r="1949" spans="9:16">
      <c r="I1949" s="79"/>
      <c r="J1949" s="79"/>
      <c r="K1949" s="80"/>
      <c r="L1949" s="80"/>
      <c r="M1949" s="80"/>
      <c r="N1949" s="80"/>
      <c r="O1949" s="145"/>
      <c r="P1949" s="79"/>
    </row>
    <row r="1950" spans="9:16">
      <c r="I1950" s="79"/>
      <c r="J1950" s="79"/>
      <c r="K1950" s="80"/>
      <c r="L1950" s="80"/>
      <c r="M1950" s="80"/>
      <c r="N1950" s="80"/>
      <c r="O1950" s="145"/>
      <c r="P1950" s="79"/>
    </row>
    <row r="1951" spans="9:16">
      <c r="I1951" s="79"/>
      <c r="J1951" s="79"/>
      <c r="K1951" s="80"/>
      <c r="L1951" s="80"/>
      <c r="M1951" s="80"/>
      <c r="N1951" s="80"/>
      <c r="O1951" s="145"/>
      <c r="P1951" s="79"/>
    </row>
    <row r="1952" spans="9:16">
      <c r="I1952" s="79"/>
      <c r="J1952" s="79"/>
      <c r="K1952" s="80"/>
      <c r="L1952" s="80"/>
      <c r="M1952" s="80"/>
      <c r="N1952" s="80"/>
      <c r="O1952" s="145"/>
      <c r="P1952" s="79"/>
    </row>
    <row r="1953" spans="9:16">
      <c r="I1953" s="79"/>
      <c r="J1953" s="79"/>
      <c r="K1953" s="80"/>
      <c r="L1953" s="80"/>
      <c r="M1953" s="80"/>
      <c r="N1953" s="80"/>
      <c r="O1953" s="145"/>
      <c r="P1953" s="79"/>
    </row>
    <row r="1954" spans="9:16">
      <c r="I1954" s="79"/>
      <c r="J1954" s="79"/>
      <c r="K1954" s="80"/>
      <c r="L1954" s="80"/>
      <c r="M1954" s="80"/>
      <c r="N1954" s="80"/>
      <c r="O1954" s="145"/>
      <c r="P1954" s="79"/>
    </row>
    <row r="1955" spans="9:16">
      <c r="I1955" s="79"/>
      <c r="J1955" s="79"/>
      <c r="K1955" s="80"/>
      <c r="L1955" s="80"/>
      <c r="M1955" s="80"/>
      <c r="N1955" s="80"/>
      <c r="O1955" s="145"/>
      <c r="P1955" s="79"/>
    </row>
    <row r="1956" spans="9:16">
      <c r="I1956" s="79"/>
      <c r="J1956" s="79"/>
      <c r="K1956" s="80"/>
      <c r="L1956" s="80"/>
      <c r="M1956" s="80"/>
      <c r="N1956" s="80"/>
      <c r="O1956" s="145"/>
      <c r="P1956" s="79"/>
    </row>
    <row r="1957" spans="9:16">
      <c r="I1957" s="79"/>
      <c r="J1957" s="79"/>
      <c r="K1957" s="80"/>
      <c r="L1957" s="80"/>
      <c r="M1957" s="80"/>
      <c r="N1957" s="80"/>
      <c r="O1957" s="145"/>
      <c r="P1957" s="79"/>
    </row>
    <row r="1958" spans="9:16">
      <c r="I1958" s="79"/>
      <c r="J1958" s="79"/>
      <c r="K1958" s="80"/>
      <c r="L1958" s="80"/>
      <c r="M1958" s="80"/>
      <c r="N1958" s="80"/>
      <c r="O1958" s="145"/>
      <c r="P1958" s="79"/>
    </row>
    <row r="1959" spans="9:16">
      <c r="I1959" s="79"/>
      <c r="J1959" s="79"/>
      <c r="K1959" s="80"/>
      <c r="L1959" s="80"/>
      <c r="M1959" s="80"/>
      <c r="N1959" s="80"/>
      <c r="O1959" s="145"/>
      <c r="P1959" s="79"/>
    </row>
    <row r="1960" spans="9:16">
      <c r="I1960" s="79"/>
      <c r="J1960" s="79"/>
      <c r="K1960" s="80"/>
      <c r="L1960" s="80"/>
      <c r="M1960" s="80"/>
      <c r="N1960" s="80"/>
      <c r="O1960" s="145"/>
      <c r="P1960" s="79"/>
    </row>
    <row r="1961" spans="9:16">
      <c r="I1961" s="79"/>
      <c r="J1961" s="79"/>
      <c r="K1961" s="80"/>
      <c r="L1961" s="80"/>
      <c r="M1961" s="80"/>
      <c r="N1961" s="80"/>
      <c r="O1961" s="145"/>
      <c r="P1961" s="79"/>
    </row>
    <row r="1962" spans="9:16">
      <c r="I1962" s="79"/>
      <c r="J1962" s="79"/>
      <c r="K1962" s="80"/>
      <c r="L1962" s="80"/>
      <c r="M1962" s="80"/>
      <c r="N1962" s="80"/>
      <c r="O1962" s="145"/>
      <c r="P1962" s="79"/>
    </row>
    <row r="1963" spans="9:16">
      <c r="I1963" s="79"/>
      <c r="J1963" s="79"/>
      <c r="K1963" s="80"/>
      <c r="L1963" s="80"/>
      <c r="M1963" s="80"/>
      <c r="N1963" s="80"/>
      <c r="O1963" s="145"/>
      <c r="P1963" s="79"/>
    </row>
    <row r="1964" spans="9:16">
      <c r="I1964" s="79"/>
      <c r="J1964" s="79"/>
      <c r="K1964" s="80"/>
      <c r="L1964" s="80"/>
      <c r="M1964" s="80"/>
      <c r="N1964" s="80"/>
      <c r="O1964" s="145"/>
      <c r="P1964" s="79"/>
    </row>
    <row r="1965" spans="9:16">
      <c r="I1965" s="79"/>
      <c r="J1965" s="79"/>
      <c r="K1965" s="80"/>
      <c r="L1965" s="80"/>
      <c r="M1965" s="80"/>
      <c r="N1965" s="80"/>
      <c r="O1965" s="145"/>
      <c r="P1965" s="79"/>
    </row>
    <row r="1966" spans="9:16">
      <c r="I1966" s="79"/>
      <c r="J1966" s="79"/>
      <c r="K1966" s="80"/>
      <c r="L1966" s="80"/>
      <c r="M1966" s="80"/>
      <c r="N1966" s="80"/>
      <c r="O1966" s="145"/>
      <c r="P1966" s="79"/>
    </row>
    <row r="1967" spans="9:16">
      <c r="I1967" s="79"/>
      <c r="J1967" s="79"/>
      <c r="K1967" s="80"/>
      <c r="L1967" s="80"/>
      <c r="M1967" s="80"/>
      <c r="N1967" s="80"/>
      <c r="O1967" s="145"/>
      <c r="P1967" s="79"/>
    </row>
    <row r="1968" spans="9:16">
      <c r="I1968" s="79"/>
      <c r="J1968" s="79"/>
      <c r="K1968" s="80"/>
      <c r="L1968" s="80"/>
      <c r="M1968" s="80"/>
      <c r="N1968" s="80"/>
      <c r="O1968" s="145"/>
      <c r="P1968" s="79"/>
    </row>
    <row r="1969" spans="9:16">
      <c r="I1969" s="79"/>
      <c r="J1969" s="79"/>
      <c r="K1969" s="80"/>
      <c r="L1969" s="80"/>
      <c r="M1969" s="80"/>
      <c r="N1969" s="80"/>
      <c r="O1969" s="145"/>
      <c r="P1969" s="79"/>
    </row>
    <row r="1970" spans="9:16">
      <c r="I1970" s="79"/>
      <c r="J1970" s="79"/>
      <c r="K1970" s="80"/>
      <c r="L1970" s="80"/>
      <c r="M1970" s="80"/>
      <c r="N1970" s="80"/>
      <c r="O1970" s="145"/>
      <c r="P1970" s="79"/>
    </row>
    <row r="1971" spans="9:16">
      <c r="I1971" s="79"/>
      <c r="J1971" s="79"/>
      <c r="K1971" s="80"/>
      <c r="L1971" s="80"/>
      <c r="M1971" s="80"/>
      <c r="N1971" s="80"/>
      <c r="O1971" s="145"/>
      <c r="P1971" s="79"/>
    </row>
    <row r="1972" spans="9:16">
      <c r="I1972" s="79"/>
      <c r="J1972" s="79"/>
      <c r="K1972" s="80"/>
      <c r="L1972" s="80"/>
      <c r="M1972" s="80"/>
      <c r="N1972" s="80"/>
      <c r="O1972" s="145"/>
      <c r="P1972" s="79"/>
    </row>
    <row r="1973" spans="9:16">
      <c r="I1973" s="79"/>
      <c r="J1973" s="79"/>
      <c r="K1973" s="80"/>
      <c r="L1973" s="80"/>
      <c r="M1973" s="80"/>
      <c r="N1973" s="80"/>
      <c r="O1973" s="145"/>
      <c r="P1973" s="79"/>
    </row>
    <row r="1974" spans="9:16">
      <c r="I1974" s="79"/>
      <c r="J1974" s="79"/>
      <c r="K1974" s="80"/>
      <c r="L1974" s="80"/>
      <c r="M1974" s="80"/>
      <c r="N1974" s="80"/>
      <c r="O1974" s="145"/>
      <c r="P1974" s="79"/>
    </row>
    <row r="1975" spans="9:16">
      <c r="I1975" s="79"/>
      <c r="J1975" s="79"/>
      <c r="K1975" s="80"/>
      <c r="L1975" s="80"/>
      <c r="M1975" s="80"/>
      <c r="N1975" s="80"/>
      <c r="O1975" s="145"/>
      <c r="P1975" s="79"/>
    </row>
    <row r="1976" spans="9:16">
      <c r="I1976" s="79"/>
      <c r="J1976" s="79"/>
      <c r="K1976" s="80"/>
      <c r="L1976" s="80"/>
      <c r="M1976" s="80"/>
      <c r="N1976" s="80"/>
      <c r="O1976" s="145"/>
      <c r="P1976" s="79"/>
    </row>
    <row r="1977" spans="9:16">
      <c r="I1977" s="79"/>
      <c r="J1977" s="79"/>
      <c r="K1977" s="80"/>
      <c r="L1977" s="80"/>
      <c r="M1977" s="80"/>
      <c r="N1977" s="80"/>
      <c r="O1977" s="145"/>
      <c r="P1977" s="79"/>
    </row>
    <row r="1978" spans="9:16">
      <c r="I1978" s="79"/>
      <c r="J1978" s="79"/>
      <c r="K1978" s="80"/>
      <c r="L1978" s="80"/>
      <c r="M1978" s="80"/>
      <c r="N1978" s="80"/>
      <c r="O1978" s="145"/>
      <c r="P1978" s="79"/>
    </row>
    <row r="1979" spans="9:16">
      <c r="I1979" s="79"/>
      <c r="J1979" s="79"/>
      <c r="K1979" s="80"/>
      <c r="L1979" s="80"/>
      <c r="M1979" s="80"/>
      <c r="N1979" s="80"/>
      <c r="O1979" s="145"/>
      <c r="P1979" s="79"/>
    </row>
    <row r="1980" spans="9:16">
      <c r="I1980" s="79"/>
      <c r="J1980" s="79"/>
      <c r="K1980" s="80"/>
      <c r="L1980" s="80"/>
      <c r="M1980" s="80"/>
      <c r="N1980" s="80"/>
      <c r="O1980" s="145"/>
      <c r="P1980" s="79"/>
    </row>
    <row r="1981" spans="9:16">
      <c r="I1981" s="79"/>
      <c r="J1981" s="79"/>
      <c r="K1981" s="80"/>
      <c r="L1981" s="80"/>
      <c r="M1981" s="80"/>
      <c r="N1981" s="80"/>
      <c r="O1981" s="145"/>
      <c r="P1981" s="79"/>
    </row>
    <row r="1982" spans="9:16">
      <c r="I1982" s="79"/>
      <c r="J1982" s="79"/>
      <c r="K1982" s="80"/>
      <c r="L1982" s="80"/>
      <c r="M1982" s="80"/>
      <c r="N1982" s="80"/>
      <c r="O1982" s="145"/>
      <c r="P1982" s="79"/>
    </row>
    <row r="1983" spans="9:16">
      <c r="I1983" s="79"/>
      <c r="J1983" s="79"/>
      <c r="K1983" s="80"/>
      <c r="L1983" s="80"/>
      <c r="M1983" s="80"/>
      <c r="N1983" s="80"/>
      <c r="O1983" s="145"/>
      <c r="P1983" s="79"/>
    </row>
    <row r="1984" spans="9:16">
      <c r="I1984" s="79"/>
      <c r="J1984" s="79"/>
      <c r="K1984" s="80"/>
      <c r="L1984" s="80"/>
      <c r="M1984" s="80"/>
      <c r="N1984" s="80"/>
      <c r="O1984" s="145"/>
      <c r="P1984" s="79"/>
    </row>
    <row r="1985" spans="9:16">
      <c r="I1985" s="79"/>
      <c r="J1985" s="79"/>
      <c r="K1985" s="80"/>
      <c r="L1985" s="80"/>
      <c r="M1985" s="80"/>
      <c r="N1985" s="80"/>
      <c r="O1985" s="145"/>
      <c r="P1985" s="79"/>
    </row>
    <row r="1986" spans="9:16">
      <c r="I1986" s="79"/>
      <c r="J1986" s="79"/>
      <c r="K1986" s="80"/>
      <c r="L1986" s="80"/>
      <c r="M1986" s="80"/>
      <c r="N1986" s="80"/>
      <c r="O1986" s="145"/>
      <c r="P1986" s="79"/>
    </row>
    <row r="1987" spans="9:16">
      <c r="I1987" s="79"/>
      <c r="J1987" s="79"/>
      <c r="K1987" s="80"/>
      <c r="L1987" s="80"/>
      <c r="M1987" s="80"/>
      <c r="N1987" s="80"/>
      <c r="O1987" s="145"/>
      <c r="P1987" s="79"/>
    </row>
    <row r="1988" spans="9:16">
      <c r="I1988" s="79"/>
      <c r="J1988" s="79"/>
      <c r="K1988" s="80"/>
      <c r="L1988" s="80"/>
      <c r="M1988" s="80"/>
      <c r="N1988" s="80"/>
      <c r="O1988" s="145"/>
      <c r="P1988" s="79"/>
    </row>
    <row r="1989" spans="9:16">
      <c r="I1989" s="79"/>
      <c r="J1989" s="79"/>
      <c r="K1989" s="80"/>
      <c r="L1989" s="80"/>
      <c r="M1989" s="80"/>
      <c r="N1989" s="80"/>
      <c r="O1989" s="145"/>
      <c r="P1989" s="79"/>
    </row>
    <row r="1990" spans="9:16">
      <c r="I1990" s="79"/>
      <c r="J1990" s="79"/>
      <c r="K1990" s="80"/>
      <c r="L1990" s="80"/>
      <c r="M1990" s="80"/>
      <c r="N1990" s="80"/>
      <c r="O1990" s="145"/>
      <c r="P1990" s="79"/>
    </row>
    <row r="1991" spans="9:16">
      <c r="I1991" s="79"/>
      <c r="J1991" s="79"/>
      <c r="K1991" s="80"/>
      <c r="L1991" s="80"/>
      <c r="M1991" s="80"/>
      <c r="N1991" s="80"/>
      <c r="O1991" s="145"/>
      <c r="P1991" s="79"/>
    </row>
    <row r="1992" spans="9:16">
      <c r="I1992" s="79"/>
      <c r="J1992" s="79"/>
      <c r="K1992" s="80"/>
      <c r="L1992" s="80"/>
      <c r="M1992" s="80"/>
      <c r="N1992" s="80"/>
      <c r="O1992" s="145"/>
      <c r="P1992" s="79"/>
    </row>
    <row r="1993" spans="9:16">
      <c r="I1993" s="79"/>
      <c r="J1993" s="79"/>
      <c r="K1993" s="80"/>
      <c r="L1993" s="80"/>
      <c r="M1993" s="80"/>
      <c r="N1993" s="80"/>
      <c r="O1993" s="145"/>
      <c r="P1993" s="79"/>
    </row>
    <row r="1994" spans="9:16">
      <c r="I1994" s="79"/>
      <c r="J1994" s="79"/>
      <c r="K1994" s="80"/>
      <c r="L1994" s="80"/>
      <c r="M1994" s="80"/>
      <c r="N1994" s="80"/>
      <c r="O1994" s="145"/>
      <c r="P1994" s="79"/>
    </row>
    <row r="1995" spans="9:16">
      <c r="I1995" s="79"/>
      <c r="J1995" s="79"/>
      <c r="K1995" s="80"/>
      <c r="L1995" s="80"/>
      <c r="M1995" s="80"/>
      <c r="N1995" s="80"/>
      <c r="O1995" s="145"/>
      <c r="P1995" s="79"/>
    </row>
    <row r="1996" spans="9:16">
      <c r="I1996" s="79"/>
      <c r="J1996" s="79"/>
      <c r="K1996" s="80"/>
      <c r="L1996" s="80"/>
      <c r="M1996" s="80"/>
      <c r="N1996" s="80"/>
      <c r="O1996" s="145"/>
      <c r="P1996" s="79"/>
    </row>
    <row r="1997" spans="9:16">
      <c r="I1997" s="79"/>
      <c r="J1997" s="79"/>
      <c r="K1997" s="80"/>
      <c r="L1997" s="80"/>
      <c r="M1997" s="80"/>
      <c r="N1997" s="80"/>
      <c r="O1997" s="145"/>
      <c r="P1997" s="79"/>
    </row>
    <row r="1998" spans="9:16">
      <c r="I1998" s="79"/>
      <c r="J1998" s="79"/>
      <c r="K1998" s="80"/>
      <c r="L1998" s="80"/>
      <c r="M1998" s="80"/>
      <c r="N1998" s="80"/>
      <c r="O1998" s="145"/>
      <c r="P1998" s="79"/>
    </row>
    <row r="1999" spans="9:16">
      <c r="I1999" s="79"/>
      <c r="J1999" s="79"/>
      <c r="K1999" s="80"/>
      <c r="L1999" s="80"/>
      <c r="M1999" s="80"/>
      <c r="N1999" s="80"/>
      <c r="O1999" s="145"/>
      <c r="P1999" s="79"/>
    </row>
    <row r="2000" spans="9:16">
      <c r="I2000" s="79"/>
      <c r="J2000" s="79"/>
      <c r="K2000" s="80"/>
      <c r="L2000" s="80"/>
      <c r="M2000" s="80"/>
      <c r="N2000" s="80"/>
      <c r="O2000" s="145"/>
      <c r="P2000" s="79"/>
    </row>
    <row r="2001" spans="9:16">
      <c r="I2001" s="79"/>
      <c r="J2001" s="79"/>
      <c r="K2001" s="80"/>
      <c r="L2001" s="80"/>
      <c r="M2001" s="80"/>
      <c r="N2001" s="80"/>
      <c r="O2001" s="145"/>
      <c r="P2001" s="79"/>
    </row>
    <row r="2002" spans="9:16">
      <c r="I2002" s="79"/>
      <c r="J2002" s="79"/>
      <c r="K2002" s="80"/>
      <c r="L2002" s="80"/>
      <c r="M2002" s="80"/>
      <c r="N2002" s="80"/>
      <c r="O2002" s="145"/>
      <c r="P2002" s="79"/>
    </row>
    <row r="2003" spans="9:16">
      <c r="I2003" s="79"/>
      <c r="J2003" s="79"/>
      <c r="K2003" s="80"/>
      <c r="L2003" s="80"/>
      <c r="M2003" s="80"/>
      <c r="N2003" s="80"/>
      <c r="O2003" s="145"/>
      <c r="P2003" s="79"/>
    </row>
    <row r="2004" spans="9:16">
      <c r="I2004" s="79"/>
      <c r="J2004" s="79"/>
      <c r="K2004" s="80"/>
      <c r="L2004" s="80"/>
      <c r="M2004" s="80"/>
      <c r="N2004" s="80"/>
      <c r="O2004" s="145"/>
      <c r="P2004" s="79"/>
    </row>
    <row r="2005" spans="9:16">
      <c r="I2005" s="79"/>
      <c r="J2005" s="79"/>
      <c r="K2005" s="80"/>
      <c r="L2005" s="80"/>
      <c r="M2005" s="80"/>
      <c r="N2005" s="80"/>
      <c r="O2005" s="145"/>
      <c r="P2005" s="79"/>
    </row>
    <row r="2006" spans="9:16">
      <c r="I2006" s="79"/>
      <c r="J2006" s="79"/>
      <c r="K2006" s="80"/>
      <c r="L2006" s="80"/>
      <c r="M2006" s="80"/>
      <c r="N2006" s="80"/>
      <c r="O2006" s="145"/>
      <c r="P2006" s="79"/>
    </row>
    <row r="2007" spans="9:16">
      <c r="I2007" s="79"/>
      <c r="J2007" s="79"/>
      <c r="K2007" s="80"/>
      <c r="L2007" s="80"/>
      <c r="M2007" s="80"/>
      <c r="N2007" s="80"/>
      <c r="O2007" s="145"/>
      <c r="P2007" s="79"/>
    </row>
    <row r="2008" spans="9:16">
      <c r="I2008" s="79"/>
      <c r="J2008" s="79"/>
      <c r="K2008" s="80"/>
      <c r="L2008" s="80"/>
      <c r="M2008" s="80"/>
      <c r="N2008" s="80"/>
      <c r="O2008" s="145"/>
      <c r="P2008" s="79"/>
    </row>
    <row r="2009" spans="9:16">
      <c r="I2009" s="79"/>
      <c r="J2009" s="79"/>
      <c r="K2009" s="80"/>
      <c r="L2009" s="80"/>
      <c r="M2009" s="80"/>
      <c r="N2009" s="80"/>
      <c r="O2009" s="145"/>
      <c r="P2009" s="79"/>
    </row>
    <row r="2010" spans="9:16">
      <c r="I2010" s="79"/>
      <c r="J2010" s="79"/>
      <c r="K2010" s="80"/>
      <c r="L2010" s="80"/>
      <c r="M2010" s="80"/>
      <c r="N2010" s="80"/>
      <c r="O2010" s="145"/>
      <c r="P2010" s="79"/>
    </row>
    <row r="2011" spans="9:16">
      <c r="I2011" s="79"/>
      <c r="J2011" s="79"/>
      <c r="K2011" s="80"/>
      <c r="L2011" s="80"/>
      <c r="M2011" s="80"/>
      <c r="N2011" s="80"/>
      <c r="O2011" s="145"/>
      <c r="P2011" s="79"/>
    </row>
    <row r="2012" spans="9:16">
      <c r="I2012" s="79"/>
      <c r="J2012" s="79"/>
      <c r="K2012" s="80"/>
      <c r="L2012" s="80"/>
      <c r="M2012" s="80"/>
      <c r="N2012" s="80"/>
      <c r="O2012" s="145"/>
      <c r="P2012" s="79"/>
    </row>
    <row r="2013" spans="9:16">
      <c r="I2013" s="79"/>
      <c r="J2013" s="79"/>
      <c r="K2013" s="80"/>
      <c r="L2013" s="80"/>
      <c r="M2013" s="80"/>
      <c r="N2013" s="80"/>
      <c r="O2013" s="145"/>
      <c r="P2013" s="79"/>
    </row>
    <row r="2014" spans="9:16">
      <c r="I2014" s="79"/>
      <c r="J2014" s="79"/>
      <c r="K2014" s="80"/>
      <c r="L2014" s="80"/>
      <c r="M2014" s="80"/>
      <c r="N2014" s="80"/>
      <c r="O2014" s="145"/>
      <c r="P2014" s="79"/>
    </row>
    <row r="2015" spans="9:16">
      <c r="I2015" s="79"/>
      <c r="J2015" s="79"/>
      <c r="K2015" s="80"/>
      <c r="L2015" s="80"/>
      <c r="M2015" s="80"/>
      <c r="N2015" s="80"/>
      <c r="O2015" s="145"/>
      <c r="P2015" s="79"/>
    </row>
    <row r="2016" spans="9:16">
      <c r="I2016" s="79"/>
      <c r="J2016" s="79"/>
      <c r="K2016" s="80"/>
      <c r="L2016" s="80"/>
      <c r="M2016" s="80"/>
      <c r="N2016" s="80"/>
      <c r="O2016" s="145"/>
      <c r="P2016" s="79"/>
    </row>
    <row r="2017" spans="9:16">
      <c r="I2017" s="79"/>
      <c r="J2017" s="79"/>
      <c r="K2017" s="80"/>
      <c r="L2017" s="80"/>
      <c r="M2017" s="80"/>
      <c r="N2017" s="80"/>
      <c r="O2017" s="145"/>
      <c r="P2017" s="79"/>
    </row>
    <row r="2018" spans="9:16">
      <c r="I2018" s="79"/>
      <c r="J2018" s="79"/>
      <c r="K2018" s="80"/>
      <c r="L2018" s="80"/>
      <c r="M2018" s="80"/>
      <c r="N2018" s="80"/>
      <c r="O2018" s="145"/>
      <c r="P2018" s="79"/>
    </row>
    <row r="2019" spans="9:16">
      <c r="I2019" s="79"/>
      <c r="J2019" s="79"/>
      <c r="K2019" s="80"/>
      <c r="L2019" s="80"/>
      <c r="M2019" s="80"/>
      <c r="N2019" s="80"/>
      <c r="O2019" s="145"/>
      <c r="P2019" s="79"/>
    </row>
    <row r="2020" spans="9:16">
      <c r="I2020" s="79"/>
      <c r="J2020" s="79"/>
      <c r="K2020" s="80"/>
      <c r="L2020" s="80"/>
      <c r="M2020" s="80"/>
      <c r="N2020" s="80"/>
      <c r="O2020" s="145"/>
      <c r="P2020" s="79"/>
    </row>
    <row r="2021" spans="9:16">
      <c r="I2021" s="79"/>
      <c r="J2021" s="79"/>
      <c r="K2021" s="80"/>
      <c r="L2021" s="80"/>
      <c r="M2021" s="80"/>
      <c r="N2021" s="80"/>
      <c r="O2021" s="145"/>
      <c r="P2021" s="79"/>
    </row>
    <row r="2022" spans="9:16">
      <c r="I2022" s="79"/>
      <c r="J2022" s="79"/>
      <c r="K2022" s="80"/>
      <c r="L2022" s="80"/>
      <c r="M2022" s="80"/>
      <c r="N2022" s="80"/>
      <c r="O2022" s="145"/>
      <c r="P2022" s="79"/>
    </row>
    <row r="2023" spans="9:16">
      <c r="I2023" s="79"/>
      <c r="J2023" s="79"/>
      <c r="K2023" s="80"/>
      <c r="L2023" s="80"/>
      <c r="M2023" s="80"/>
      <c r="N2023" s="80"/>
      <c r="O2023" s="145"/>
      <c r="P2023" s="79"/>
    </row>
    <row r="2024" spans="9:16">
      <c r="I2024" s="79"/>
      <c r="J2024" s="79"/>
      <c r="K2024" s="80"/>
      <c r="L2024" s="80"/>
      <c r="M2024" s="80"/>
      <c r="N2024" s="80"/>
      <c r="O2024" s="145"/>
      <c r="P2024" s="79"/>
    </row>
    <row r="2025" spans="9:16">
      <c r="I2025" s="79"/>
      <c r="J2025" s="79"/>
      <c r="K2025" s="80"/>
      <c r="L2025" s="80"/>
      <c r="M2025" s="80"/>
      <c r="N2025" s="80"/>
      <c r="O2025" s="145"/>
      <c r="P2025" s="79"/>
    </row>
    <row r="2026" spans="9:16">
      <c r="I2026" s="79"/>
      <c r="J2026" s="79"/>
      <c r="K2026" s="80"/>
      <c r="L2026" s="80"/>
      <c r="M2026" s="80"/>
      <c r="N2026" s="80"/>
      <c r="O2026" s="145"/>
      <c r="P2026" s="79"/>
    </row>
    <row r="2027" spans="9:16">
      <c r="I2027" s="79"/>
      <c r="J2027" s="79"/>
      <c r="K2027" s="80"/>
      <c r="L2027" s="80"/>
      <c r="M2027" s="80"/>
      <c r="N2027" s="80"/>
      <c r="O2027" s="145"/>
      <c r="P2027" s="79"/>
    </row>
    <row r="2028" spans="9:16">
      <c r="I2028" s="79"/>
      <c r="J2028" s="79"/>
      <c r="K2028" s="80"/>
      <c r="L2028" s="80"/>
      <c r="M2028" s="80"/>
      <c r="N2028" s="80"/>
      <c r="O2028" s="145"/>
      <c r="P2028" s="79"/>
    </row>
    <row r="2029" spans="9:16">
      <c r="I2029" s="79"/>
      <c r="J2029" s="79"/>
      <c r="K2029" s="80"/>
      <c r="L2029" s="80"/>
      <c r="M2029" s="80"/>
      <c r="N2029" s="80"/>
      <c r="O2029" s="145"/>
      <c r="P2029" s="79"/>
    </row>
    <row r="2030" spans="9:16">
      <c r="I2030" s="79"/>
      <c r="J2030" s="79"/>
      <c r="K2030" s="80"/>
      <c r="L2030" s="80"/>
      <c r="M2030" s="80"/>
      <c r="N2030" s="80"/>
      <c r="O2030" s="145"/>
      <c r="P2030" s="79"/>
    </row>
    <row r="2031" spans="9:16">
      <c r="I2031" s="79"/>
      <c r="J2031" s="79"/>
      <c r="K2031" s="80"/>
      <c r="L2031" s="80"/>
      <c r="M2031" s="80"/>
      <c r="N2031" s="80"/>
      <c r="O2031" s="145"/>
      <c r="P2031" s="79"/>
    </row>
    <row r="2032" spans="9:16">
      <c r="I2032" s="79"/>
      <c r="J2032" s="79"/>
      <c r="K2032" s="80"/>
      <c r="L2032" s="80"/>
      <c r="M2032" s="80"/>
      <c r="N2032" s="80"/>
      <c r="O2032" s="145"/>
      <c r="P2032" s="79"/>
    </row>
    <row r="2033" spans="9:16">
      <c r="I2033" s="79"/>
      <c r="J2033" s="79"/>
      <c r="K2033" s="80"/>
      <c r="L2033" s="80"/>
      <c r="M2033" s="80"/>
      <c r="N2033" s="80"/>
      <c r="O2033" s="145"/>
      <c r="P2033" s="79"/>
    </row>
    <row r="2034" spans="9:16">
      <c r="I2034" s="79"/>
      <c r="J2034" s="79"/>
      <c r="K2034" s="80"/>
      <c r="L2034" s="80"/>
      <c r="M2034" s="80"/>
      <c r="N2034" s="80"/>
      <c r="O2034" s="145"/>
      <c r="P2034" s="79"/>
    </row>
    <row r="2035" spans="9:16">
      <c r="I2035" s="79"/>
      <c r="J2035" s="79"/>
      <c r="K2035" s="80"/>
      <c r="L2035" s="80"/>
      <c r="M2035" s="80"/>
      <c r="N2035" s="80"/>
      <c r="O2035" s="145"/>
      <c r="P2035" s="79"/>
    </row>
    <row r="2036" spans="9:16">
      <c r="I2036" s="79"/>
      <c r="J2036" s="79"/>
      <c r="K2036" s="80"/>
      <c r="L2036" s="80"/>
      <c r="M2036" s="80"/>
      <c r="N2036" s="80"/>
      <c r="O2036" s="145"/>
      <c r="P2036" s="79"/>
    </row>
    <row r="2037" spans="9:16">
      <c r="I2037" s="79"/>
      <c r="J2037" s="79"/>
      <c r="K2037" s="80"/>
      <c r="L2037" s="80"/>
      <c r="M2037" s="80"/>
      <c r="N2037" s="80"/>
      <c r="O2037" s="145"/>
      <c r="P2037" s="79"/>
    </row>
    <row r="2038" spans="9:16">
      <c r="I2038" s="79"/>
      <c r="J2038" s="79"/>
      <c r="K2038" s="80"/>
      <c r="L2038" s="80"/>
      <c r="M2038" s="80"/>
      <c r="N2038" s="80"/>
      <c r="O2038" s="145"/>
      <c r="P2038" s="79"/>
    </row>
    <row r="2039" spans="9:16">
      <c r="I2039" s="79"/>
      <c r="J2039" s="79"/>
      <c r="K2039" s="80"/>
      <c r="L2039" s="80"/>
      <c r="M2039" s="80"/>
      <c r="N2039" s="80"/>
      <c r="O2039" s="145"/>
      <c r="P2039" s="79"/>
    </row>
    <row r="2040" spans="9:16">
      <c r="I2040" s="79"/>
      <c r="J2040" s="79"/>
      <c r="K2040" s="80"/>
      <c r="L2040" s="80"/>
      <c r="M2040" s="80"/>
      <c r="N2040" s="80"/>
      <c r="O2040" s="145"/>
      <c r="P2040" s="79"/>
    </row>
    <row r="2041" spans="9:16">
      <c r="I2041" s="79"/>
      <c r="J2041" s="79"/>
      <c r="K2041" s="80"/>
      <c r="L2041" s="80"/>
      <c r="M2041" s="80"/>
      <c r="N2041" s="80"/>
      <c r="O2041" s="145"/>
      <c r="P2041" s="79"/>
    </row>
    <row r="2042" spans="9:16">
      <c r="I2042" s="79"/>
      <c r="J2042" s="79"/>
      <c r="K2042" s="80"/>
      <c r="L2042" s="80"/>
      <c r="M2042" s="80"/>
      <c r="N2042" s="80"/>
      <c r="O2042" s="145"/>
      <c r="P2042" s="79"/>
    </row>
    <row r="2043" spans="9:16">
      <c r="I2043" s="79"/>
      <c r="J2043" s="79"/>
      <c r="K2043" s="80"/>
      <c r="L2043" s="80"/>
      <c r="M2043" s="80"/>
      <c r="N2043" s="80"/>
      <c r="O2043" s="145"/>
      <c r="P2043" s="79"/>
    </row>
    <row r="2044" spans="9:16">
      <c r="I2044" s="79"/>
      <c r="J2044" s="79"/>
      <c r="K2044" s="80"/>
      <c r="L2044" s="80"/>
      <c r="M2044" s="80"/>
      <c r="N2044" s="80"/>
      <c r="O2044" s="145"/>
      <c r="P2044" s="79"/>
    </row>
    <row r="2045" spans="9:16">
      <c r="I2045" s="79"/>
      <c r="J2045" s="79"/>
      <c r="K2045" s="80"/>
      <c r="L2045" s="80"/>
      <c r="M2045" s="80"/>
      <c r="N2045" s="80"/>
      <c r="O2045" s="145"/>
      <c r="P2045" s="79"/>
    </row>
    <row r="2046" spans="9:16">
      <c r="I2046" s="79"/>
      <c r="J2046" s="79"/>
      <c r="K2046" s="80"/>
      <c r="L2046" s="80"/>
      <c r="M2046" s="80"/>
      <c r="N2046" s="80"/>
      <c r="O2046" s="145"/>
      <c r="P2046" s="79"/>
    </row>
    <row r="2047" spans="9:16">
      <c r="I2047" s="79"/>
      <c r="J2047" s="79"/>
      <c r="K2047" s="80"/>
      <c r="L2047" s="80"/>
      <c r="M2047" s="80"/>
      <c r="N2047" s="80"/>
      <c r="O2047" s="145"/>
      <c r="P2047" s="79"/>
    </row>
    <row r="2048" spans="9:16">
      <c r="I2048" s="79"/>
      <c r="J2048" s="79"/>
      <c r="K2048" s="80"/>
      <c r="L2048" s="80"/>
      <c r="M2048" s="80"/>
      <c r="N2048" s="80"/>
      <c r="O2048" s="145"/>
      <c r="P2048" s="79"/>
    </row>
    <row r="2049" spans="9:16">
      <c r="I2049" s="79"/>
      <c r="J2049" s="79"/>
      <c r="K2049" s="80"/>
      <c r="L2049" s="80"/>
      <c r="M2049" s="80"/>
      <c r="N2049" s="80"/>
      <c r="O2049" s="145"/>
      <c r="P2049" s="79"/>
    </row>
    <row r="2050" spans="9:16">
      <c r="I2050" s="79"/>
      <c r="J2050" s="79"/>
      <c r="K2050" s="80"/>
      <c r="L2050" s="80"/>
      <c r="M2050" s="80"/>
      <c r="N2050" s="80"/>
      <c r="O2050" s="145"/>
      <c r="P2050" s="79"/>
    </row>
    <row r="2051" spans="9:16">
      <c r="I2051" s="79"/>
      <c r="J2051" s="79"/>
      <c r="K2051" s="80"/>
      <c r="L2051" s="80"/>
      <c r="M2051" s="80"/>
      <c r="N2051" s="80"/>
      <c r="O2051" s="145"/>
      <c r="P2051" s="79"/>
    </row>
    <row r="2052" spans="9:16">
      <c r="I2052" s="79"/>
      <c r="J2052" s="79"/>
      <c r="K2052" s="80"/>
      <c r="L2052" s="80"/>
      <c r="M2052" s="80"/>
      <c r="N2052" s="80"/>
      <c r="O2052" s="145"/>
      <c r="P2052" s="79"/>
    </row>
    <row r="2053" spans="9:16">
      <c r="I2053" s="79"/>
      <c r="J2053" s="79"/>
      <c r="K2053" s="80"/>
      <c r="L2053" s="80"/>
      <c r="M2053" s="80"/>
      <c r="N2053" s="80"/>
      <c r="O2053" s="145"/>
      <c r="P2053" s="79"/>
    </row>
    <row r="2054" spans="9:16">
      <c r="I2054" s="79"/>
      <c r="J2054" s="79"/>
      <c r="K2054" s="80"/>
      <c r="L2054" s="80"/>
      <c r="M2054" s="80"/>
      <c r="N2054" s="80"/>
      <c r="O2054" s="145"/>
      <c r="P2054" s="79"/>
    </row>
    <row r="2055" spans="9:16">
      <c r="I2055" s="79"/>
      <c r="J2055" s="79"/>
      <c r="K2055" s="80"/>
      <c r="L2055" s="80"/>
      <c r="M2055" s="80"/>
      <c r="N2055" s="80"/>
      <c r="O2055" s="145"/>
      <c r="P2055" s="79"/>
    </row>
    <row r="2056" spans="9:16">
      <c r="I2056" s="79"/>
      <c r="J2056" s="79"/>
      <c r="K2056" s="80"/>
      <c r="L2056" s="80"/>
      <c r="M2056" s="80"/>
      <c r="N2056" s="80"/>
      <c r="O2056" s="145"/>
      <c r="P2056" s="79"/>
    </row>
    <row r="2057" spans="9:16">
      <c r="I2057" s="79"/>
      <c r="J2057" s="79"/>
      <c r="K2057" s="80"/>
      <c r="L2057" s="80"/>
      <c r="M2057" s="80"/>
      <c r="N2057" s="80"/>
      <c r="O2057" s="145"/>
      <c r="P2057" s="79"/>
    </row>
    <row r="2058" spans="9:16">
      <c r="I2058" s="79"/>
      <c r="J2058" s="79"/>
      <c r="K2058" s="80"/>
      <c r="L2058" s="80"/>
      <c r="M2058" s="80"/>
      <c r="N2058" s="80"/>
      <c r="O2058" s="145"/>
      <c r="P2058" s="79"/>
    </row>
    <row r="2059" spans="9:16">
      <c r="I2059" s="79"/>
      <c r="J2059" s="79"/>
      <c r="K2059" s="80"/>
      <c r="L2059" s="80"/>
      <c r="M2059" s="80"/>
      <c r="N2059" s="80"/>
      <c r="O2059" s="145"/>
      <c r="P2059" s="79"/>
    </row>
    <row r="2060" spans="9:16">
      <c r="I2060" s="79"/>
      <c r="J2060" s="79"/>
      <c r="K2060" s="80"/>
      <c r="L2060" s="80"/>
      <c r="M2060" s="80"/>
      <c r="N2060" s="80"/>
      <c r="O2060" s="145"/>
      <c r="P2060" s="79"/>
    </row>
    <row r="2061" spans="9:16">
      <c r="I2061" s="79"/>
      <c r="J2061" s="79"/>
      <c r="K2061" s="80"/>
      <c r="L2061" s="80"/>
      <c r="M2061" s="80"/>
      <c r="N2061" s="80"/>
      <c r="O2061" s="145"/>
      <c r="P2061" s="79"/>
    </row>
    <row r="2062" spans="9:16">
      <c r="I2062" s="79"/>
      <c r="J2062" s="79"/>
      <c r="K2062" s="80"/>
      <c r="L2062" s="80"/>
      <c r="M2062" s="80"/>
      <c r="N2062" s="80"/>
      <c r="O2062" s="145"/>
      <c r="P2062" s="79"/>
    </row>
    <row r="2063" spans="9:16">
      <c r="I2063" s="79"/>
      <c r="J2063" s="79"/>
      <c r="K2063" s="80"/>
      <c r="L2063" s="80"/>
      <c r="M2063" s="80"/>
      <c r="N2063" s="80"/>
      <c r="O2063" s="145"/>
      <c r="P2063" s="79"/>
    </row>
    <row r="2064" spans="9:16">
      <c r="I2064" s="79"/>
      <c r="J2064" s="79"/>
      <c r="K2064" s="80"/>
      <c r="L2064" s="80"/>
      <c r="M2064" s="80"/>
      <c r="N2064" s="80"/>
      <c r="O2064" s="145"/>
      <c r="P2064" s="79"/>
    </row>
    <row r="2065" spans="9:16">
      <c r="I2065" s="79"/>
      <c r="J2065" s="79"/>
      <c r="K2065" s="80"/>
      <c r="L2065" s="80"/>
      <c r="M2065" s="80"/>
      <c r="N2065" s="80"/>
      <c r="O2065" s="145"/>
      <c r="P2065" s="79"/>
    </row>
    <row r="2066" spans="9:16">
      <c r="I2066" s="79"/>
      <c r="J2066" s="79"/>
      <c r="K2066" s="80"/>
      <c r="L2066" s="80"/>
      <c r="M2066" s="80"/>
      <c r="N2066" s="80"/>
      <c r="O2066" s="145"/>
      <c r="P2066" s="79"/>
    </row>
    <row r="2067" spans="9:16">
      <c r="I2067" s="79"/>
      <c r="J2067" s="79"/>
      <c r="K2067" s="80"/>
      <c r="L2067" s="80"/>
      <c r="M2067" s="80"/>
      <c r="N2067" s="80"/>
      <c r="O2067" s="145"/>
      <c r="P2067" s="79"/>
    </row>
    <row r="2068" spans="9:16">
      <c r="I2068" s="79"/>
      <c r="J2068" s="79"/>
      <c r="K2068" s="80"/>
      <c r="L2068" s="80"/>
      <c r="M2068" s="80"/>
      <c r="N2068" s="80"/>
      <c r="O2068" s="145"/>
      <c r="P2068" s="79"/>
    </row>
    <row r="2069" spans="9:16">
      <c r="I2069" s="79"/>
      <c r="J2069" s="79"/>
      <c r="K2069" s="80"/>
      <c r="L2069" s="80"/>
      <c r="M2069" s="80"/>
      <c r="N2069" s="80"/>
      <c r="O2069" s="145"/>
      <c r="P2069" s="79"/>
    </row>
    <row r="2070" spans="9:16">
      <c r="I2070" s="79"/>
      <c r="J2070" s="79"/>
      <c r="K2070" s="80"/>
      <c r="L2070" s="80"/>
      <c r="M2070" s="80"/>
      <c r="N2070" s="80"/>
      <c r="O2070" s="145"/>
      <c r="P2070" s="79"/>
    </row>
    <row r="2071" spans="9:16">
      <c r="I2071" s="79"/>
      <c r="J2071" s="79"/>
      <c r="K2071" s="80"/>
      <c r="L2071" s="80"/>
      <c r="M2071" s="80"/>
      <c r="N2071" s="80"/>
      <c r="O2071" s="145"/>
      <c r="P2071" s="79"/>
    </row>
    <row r="2072" spans="9:16">
      <c r="I2072" s="79"/>
      <c r="J2072" s="79"/>
      <c r="K2072" s="80"/>
      <c r="L2072" s="80"/>
      <c r="M2072" s="80"/>
      <c r="N2072" s="80"/>
      <c r="O2072" s="145"/>
      <c r="P2072" s="79"/>
    </row>
    <row r="2073" spans="9:16">
      <c r="I2073" s="79"/>
      <c r="J2073" s="79"/>
      <c r="K2073" s="80"/>
      <c r="L2073" s="80"/>
      <c r="M2073" s="80"/>
      <c r="N2073" s="80"/>
      <c r="O2073" s="145"/>
      <c r="P2073" s="79"/>
    </row>
    <row r="2074" spans="9:16">
      <c r="I2074" s="79"/>
      <c r="J2074" s="79"/>
      <c r="K2074" s="80"/>
      <c r="L2074" s="80"/>
      <c r="M2074" s="80"/>
      <c r="N2074" s="80"/>
      <c r="O2074" s="145"/>
      <c r="P2074" s="79"/>
    </row>
    <row r="2075" spans="9:16">
      <c r="I2075" s="79"/>
      <c r="J2075" s="79"/>
      <c r="K2075" s="80"/>
      <c r="L2075" s="80"/>
      <c r="M2075" s="80"/>
      <c r="N2075" s="80"/>
      <c r="O2075" s="145"/>
      <c r="P2075" s="79"/>
    </row>
    <row r="2076" spans="9:16">
      <c r="I2076" s="79"/>
      <c r="J2076" s="79"/>
      <c r="K2076" s="80"/>
      <c r="L2076" s="80"/>
      <c r="M2076" s="80"/>
      <c r="N2076" s="80"/>
      <c r="O2076" s="145"/>
      <c r="P2076" s="79"/>
    </row>
    <row r="2077" spans="9:16">
      <c r="I2077" s="79"/>
      <c r="J2077" s="79"/>
      <c r="K2077" s="80"/>
      <c r="L2077" s="80"/>
      <c r="M2077" s="80"/>
      <c r="N2077" s="80"/>
      <c r="O2077" s="145"/>
      <c r="P2077" s="79"/>
    </row>
    <row r="2078" spans="9:16">
      <c r="I2078" s="79"/>
      <c r="J2078" s="79"/>
      <c r="K2078" s="80"/>
      <c r="L2078" s="80"/>
      <c r="M2078" s="80"/>
      <c r="N2078" s="80"/>
      <c r="O2078" s="145"/>
      <c r="P2078" s="79"/>
    </row>
    <row r="2079" spans="9:16">
      <c r="I2079" s="79"/>
      <c r="J2079" s="79"/>
      <c r="K2079" s="80"/>
      <c r="L2079" s="80"/>
      <c r="M2079" s="80"/>
      <c r="N2079" s="80"/>
      <c r="O2079" s="145"/>
      <c r="P2079" s="79"/>
    </row>
    <row r="2080" spans="9:16">
      <c r="I2080" s="79"/>
      <c r="J2080" s="79"/>
      <c r="K2080" s="80"/>
      <c r="L2080" s="80"/>
      <c r="M2080" s="80"/>
      <c r="N2080" s="80"/>
      <c r="O2080" s="145"/>
      <c r="P2080" s="79"/>
    </row>
    <row r="2081" spans="9:16">
      <c r="I2081" s="79"/>
      <c r="J2081" s="79"/>
      <c r="K2081" s="80"/>
      <c r="L2081" s="80"/>
      <c r="M2081" s="80"/>
      <c r="N2081" s="80"/>
      <c r="O2081" s="145"/>
      <c r="P2081" s="79"/>
    </row>
    <row r="2082" spans="9:16">
      <c r="I2082" s="79"/>
      <c r="J2082" s="79"/>
      <c r="K2082" s="80"/>
      <c r="L2082" s="80"/>
      <c r="M2082" s="80"/>
      <c r="N2082" s="80"/>
      <c r="O2082" s="145"/>
      <c r="P2082" s="79"/>
    </row>
    <row r="2083" spans="9:16">
      <c r="I2083" s="79"/>
      <c r="J2083" s="79"/>
      <c r="K2083" s="80"/>
      <c r="L2083" s="80"/>
      <c r="M2083" s="80"/>
      <c r="N2083" s="80"/>
      <c r="O2083" s="145"/>
      <c r="P2083" s="79"/>
    </row>
    <row r="2084" spans="9:16">
      <c r="I2084" s="79"/>
      <c r="J2084" s="79"/>
      <c r="K2084" s="80"/>
      <c r="L2084" s="80"/>
      <c r="M2084" s="80"/>
      <c r="N2084" s="80"/>
      <c r="O2084" s="145"/>
      <c r="P2084" s="79"/>
    </row>
    <row r="2085" spans="9:16">
      <c r="I2085" s="79"/>
      <c r="J2085" s="79"/>
      <c r="K2085" s="80"/>
      <c r="L2085" s="80"/>
      <c r="M2085" s="80"/>
      <c r="N2085" s="80"/>
      <c r="O2085" s="145"/>
      <c r="P2085" s="79"/>
    </row>
    <row r="2086" spans="9:16">
      <c r="I2086" s="79"/>
      <c r="J2086" s="79"/>
      <c r="K2086" s="80"/>
      <c r="L2086" s="80"/>
      <c r="M2086" s="80"/>
      <c r="N2086" s="80"/>
      <c r="O2086" s="145"/>
      <c r="P2086" s="79"/>
    </row>
    <row r="2087" spans="9:16">
      <c r="I2087" s="79"/>
      <c r="J2087" s="79"/>
      <c r="K2087" s="80"/>
      <c r="L2087" s="80"/>
      <c r="M2087" s="80"/>
      <c r="N2087" s="80"/>
      <c r="O2087" s="145"/>
      <c r="P2087" s="79"/>
    </row>
    <row r="2088" spans="9:16">
      <c r="I2088" s="79"/>
      <c r="J2088" s="79"/>
      <c r="K2088" s="80"/>
      <c r="L2088" s="80"/>
      <c r="M2088" s="80"/>
      <c r="N2088" s="80"/>
      <c r="O2088" s="145"/>
      <c r="P2088" s="79"/>
    </row>
    <row r="2089" spans="9:16">
      <c r="I2089" s="79"/>
      <c r="J2089" s="79"/>
      <c r="K2089" s="80"/>
      <c r="L2089" s="80"/>
      <c r="M2089" s="80"/>
      <c r="N2089" s="80"/>
      <c r="O2089" s="145"/>
      <c r="P2089" s="79"/>
    </row>
    <row r="2090" spans="9:16">
      <c r="I2090" s="79"/>
      <c r="J2090" s="79"/>
      <c r="K2090" s="80"/>
      <c r="L2090" s="80"/>
      <c r="M2090" s="80"/>
      <c r="N2090" s="80"/>
      <c r="O2090" s="145"/>
      <c r="P2090" s="79"/>
    </row>
    <row r="2091" spans="9:16">
      <c r="I2091" s="79"/>
      <c r="J2091" s="79"/>
      <c r="K2091" s="80"/>
      <c r="L2091" s="80"/>
      <c r="M2091" s="80"/>
      <c r="N2091" s="80"/>
      <c r="O2091" s="145"/>
      <c r="P2091" s="79"/>
    </row>
    <row r="2092" spans="9:16">
      <c r="I2092" s="79"/>
      <c r="J2092" s="79"/>
      <c r="K2092" s="80"/>
      <c r="L2092" s="80"/>
      <c r="M2092" s="80"/>
      <c r="N2092" s="80"/>
      <c r="O2092" s="145"/>
      <c r="P2092" s="79"/>
    </row>
    <row r="2093" spans="9:16">
      <c r="I2093" s="79"/>
      <c r="J2093" s="79"/>
      <c r="K2093" s="80"/>
      <c r="L2093" s="80"/>
      <c r="M2093" s="80"/>
      <c r="N2093" s="80"/>
      <c r="O2093" s="145"/>
      <c r="P2093" s="79"/>
    </row>
    <row r="2094" spans="9:16">
      <c r="I2094" s="79"/>
      <c r="J2094" s="79"/>
      <c r="K2094" s="80"/>
      <c r="L2094" s="80"/>
      <c r="M2094" s="80"/>
      <c r="N2094" s="80"/>
      <c r="O2094" s="145"/>
      <c r="P2094" s="79"/>
    </row>
    <row r="2095" spans="9:16">
      <c r="I2095" s="79"/>
      <c r="J2095" s="79"/>
      <c r="K2095" s="80"/>
      <c r="L2095" s="80"/>
      <c r="M2095" s="80"/>
      <c r="N2095" s="80"/>
      <c r="O2095" s="145"/>
      <c r="P2095" s="79"/>
    </row>
    <row r="2096" spans="9:16">
      <c r="I2096" s="79"/>
      <c r="J2096" s="79"/>
      <c r="K2096" s="80"/>
      <c r="L2096" s="80"/>
      <c r="M2096" s="80"/>
      <c r="N2096" s="80"/>
      <c r="O2096" s="145"/>
      <c r="P2096" s="79"/>
    </row>
    <row r="2097" spans="9:16">
      <c r="I2097" s="79"/>
      <c r="J2097" s="79"/>
      <c r="K2097" s="80"/>
      <c r="L2097" s="80"/>
      <c r="M2097" s="80"/>
      <c r="N2097" s="80"/>
      <c r="O2097" s="145"/>
      <c r="P2097" s="79"/>
    </row>
    <row r="2098" spans="9:16">
      <c r="I2098" s="79"/>
      <c r="J2098" s="79"/>
      <c r="K2098" s="80"/>
      <c r="L2098" s="80"/>
      <c r="M2098" s="80"/>
      <c r="N2098" s="80"/>
      <c r="O2098" s="145"/>
      <c r="P2098" s="79"/>
    </row>
    <row r="2099" spans="9:16">
      <c r="I2099" s="79"/>
      <c r="J2099" s="79"/>
      <c r="K2099" s="80"/>
      <c r="L2099" s="80"/>
      <c r="M2099" s="80"/>
      <c r="N2099" s="80"/>
      <c r="O2099" s="145"/>
      <c r="P2099" s="79"/>
    </row>
    <row r="2100" spans="9:16">
      <c r="I2100" s="79"/>
      <c r="J2100" s="79"/>
      <c r="K2100" s="80"/>
      <c r="L2100" s="80"/>
      <c r="M2100" s="80"/>
      <c r="N2100" s="80"/>
      <c r="O2100" s="145"/>
      <c r="P2100" s="79"/>
    </row>
    <row r="2101" spans="9:16">
      <c r="I2101" s="79"/>
      <c r="J2101" s="79"/>
      <c r="K2101" s="80"/>
      <c r="L2101" s="80"/>
      <c r="M2101" s="80"/>
      <c r="N2101" s="80"/>
      <c r="O2101" s="145"/>
      <c r="P2101" s="79"/>
    </row>
    <row r="2102" spans="9:16">
      <c r="I2102" s="79"/>
      <c r="J2102" s="79"/>
      <c r="K2102" s="80"/>
      <c r="L2102" s="80"/>
      <c r="M2102" s="80"/>
      <c r="N2102" s="80"/>
      <c r="O2102" s="145"/>
      <c r="P2102" s="79"/>
    </row>
    <row r="2103" spans="9:16">
      <c r="I2103" s="79"/>
      <c r="J2103" s="79"/>
      <c r="K2103" s="80"/>
      <c r="L2103" s="80"/>
      <c r="M2103" s="80"/>
      <c r="N2103" s="80"/>
      <c r="O2103" s="145"/>
      <c r="P2103" s="79"/>
    </row>
    <row r="2104" spans="9:16">
      <c r="I2104" s="79"/>
      <c r="J2104" s="79"/>
      <c r="K2104" s="80"/>
      <c r="L2104" s="80"/>
      <c r="M2104" s="80"/>
      <c r="N2104" s="80"/>
      <c r="O2104" s="145"/>
      <c r="P2104" s="79"/>
    </row>
    <row r="2105" spans="9:16">
      <c r="I2105" s="79"/>
      <c r="J2105" s="79"/>
      <c r="K2105" s="80"/>
      <c r="L2105" s="80"/>
      <c r="M2105" s="80"/>
      <c r="N2105" s="80"/>
      <c r="O2105" s="145"/>
      <c r="P2105" s="79"/>
    </row>
    <row r="2106" spans="9:16">
      <c r="I2106" s="79"/>
      <c r="J2106" s="79"/>
      <c r="K2106" s="80"/>
      <c r="L2106" s="80"/>
      <c r="M2106" s="80"/>
      <c r="N2106" s="80"/>
      <c r="O2106" s="145"/>
      <c r="P2106" s="79"/>
    </row>
    <row r="2107" spans="9:16">
      <c r="I2107" s="79"/>
      <c r="J2107" s="79"/>
      <c r="K2107" s="80"/>
      <c r="L2107" s="80"/>
      <c r="M2107" s="80"/>
      <c r="N2107" s="80"/>
      <c r="O2107" s="145"/>
      <c r="P2107" s="79"/>
    </row>
    <row r="2108" spans="9:16">
      <c r="I2108" s="79"/>
      <c r="J2108" s="79"/>
      <c r="K2108" s="80"/>
      <c r="L2108" s="80"/>
      <c r="M2108" s="80"/>
      <c r="N2108" s="80"/>
      <c r="O2108" s="145"/>
      <c r="P2108" s="79"/>
    </row>
    <row r="2109" spans="9:16">
      <c r="I2109" s="79"/>
      <c r="J2109" s="79"/>
      <c r="K2109" s="80"/>
      <c r="L2109" s="80"/>
      <c r="M2109" s="80"/>
      <c r="N2109" s="80"/>
      <c r="O2109" s="145"/>
      <c r="P2109" s="79"/>
    </row>
    <row r="2110" spans="9:16">
      <c r="I2110" s="79"/>
      <c r="J2110" s="79"/>
      <c r="K2110" s="80"/>
      <c r="L2110" s="80"/>
      <c r="M2110" s="80"/>
      <c r="N2110" s="80"/>
      <c r="O2110" s="145"/>
      <c r="P2110" s="79"/>
    </row>
    <row r="2111" spans="9:16">
      <c r="I2111" s="79"/>
      <c r="J2111" s="79"/>
      <c r="K2111" s="80"/>
      <c r="L2111" s="80"/>
      <c r="M2111" s="80"/>
      <c r="N2111" s="80"/>
      <c r="O2111" s="145"/>
      <c r="P2111" s="79"/>
    </row>
    <row r="2112" spans="9:16">
      <c r="I2112" s="79"/>
      <c r="J2112" s="79"/>
      <c r="K2112" s="80"/>
      <c r="L2112" s="80"/>
      <c r="M2112" s="80"/>
      <c r="N2112" s="80"/>
      <c r="O2112" s="145"/>
      <c r="P2112" s="79"/>
    </row>
    <row r="2113" spans="9:16">
      <c r="I2113" s="79"/>
      <c r="J2113" s="79"/>
      <c r="K2113" s="80"/>
      <c r="L2113" s="80"/>
      <c r="M2113" s="80"/>
      <c r="N2113" s="80"/>
      <c r="O2113" s="145"/>
      <c r="P2113" s="79"/>
    </row>
    <row r="2114" spans="9:16">
      <c r="I2114" s="79"/>
      <c r="J2114" s="79"/>
      <c r="K2114" s="80"/>
      <c r="L2114" s="80"/>
      <c r="M2114" s="80"/>
      <c r="N2114" s="80"/>
      <c r="O2114" s="145"/>
      <c r="P2114" s="79"/>
    </row>
    <row r="2115" spans="9:16">
      <c r="I2115" s="79"/>
      <c r="J2115" s="79"/>
      <c r="K2115" s="80"/>
      <c r="L2115" s="80"/>
      <c r="M2115" s="80"/>
      <c r="N2115" s="80"/>
      <c r="O2115" s="145"/>
      <c r="P2115" s="79"/>
    </row>
    <row r="2116" spans="9:16">
      <c r="I2116" s="79"/>
      <c r="J2116" s="79"/>
      <c r="K2116" s="80"/>
      <c r="L2116" s="80"/>
      <c r="M2116" s="80"/>
      <c r="N2116" s="80"/>
      <c r="O2116" s="145"/>
      <c r="P2116" s="79"/>
    </row>
    <row r="2117" spans="9:16">
      <c r="I2117" s="79"/>
      <c r="J2117" s="79"/>
      <c r="K2117" s="80"/>
      <c r="L2117" s="80"/>
      <c r="M2117" s="80"/>
      <c r="N2117" s="80"/>
      <c r="O2117" s="145"/>
      <c r="P2117" s="79"/>
    </row>
    <row r="2118" spans="9:16">
      <c r="I2118" s="79"/>
      <c r="J2118" s="79"/>
      <c r="K2118" s="80"/>
      <c r="L2118" s="80"/>
      <c r="M2118" s="80"/>
      <c r="N2118" s="80"/>
      <c r="O2118" s="145"/>
      <c r="P2118" s="79"/>
    </row>
    <row r="2119" spans="9:16">
      <c r="I2119" s="79"/>
      <c r="J2119" s="79"/>
      <c r="K2119" s="80"/>
      <c r="L2119" s="80"/>
      <c r="M2119" s="80"/>
      <c r="N2119" s="80"/>
      <c r="O2119" s="145"/>
      <c r="P2119" s="79"/>
    </row>
    <row r="2120" spans="9:16">
      <c r="I2120" s="79"/>
      <c r="J2120" s="79"/>
      <c r="K2120" s="80"/>
      <c r="L2120" s="80"/>
      <c r="M2120" s="80"/>
      <c r="N2120" s="80"/>
      <c r="O2120" s="145"/>
      <c r="P2120" s="79"/>
    </row>
    <row r="2121" spans="9:16">
      <c r="I2121" s="79"/>
      <c r="J2121" s="79"/>
      <c r="K2121" s="80"/>
      <c r="L2121" s="80"/>
      <c r="M2121" s="80"/>
      <c r="N2121" s="80"/>
      <c r="O2121" s="145"/>
      <c r="P2121" s="79"/>
    </row>
    <row r="2122" spans="9:16">
      <c r="I2122" s="79"/>
      <c r="J2122" s="79"/>
      <c r="K2122" s="80"/>
      <c r="L2122" s="80"/>
      <c r="M2122" s="80"/>
      <c r="N2122" s="80"/>
      <c r="O2122" s="145"/>
      <c r="P2122" s="79"/>
    </row>
    <row r="2123" spans="9:16">
      <c r="I2123" s="79"/>
      <c r="J2123" s="79"/>
      <c r="K2123" s="80"/>
      <c r="L2123" s="80"/>
      <c r="M2123" s="80"/>
      <c r="N2123" s="80"/>
      <c r="O2123" s="145"/>
      <c r="P2123" s="79"/>
    </row>
    <row r="2124" spans="9:16">
      <c r="I2124" s="79"/>
      <c r="J2124" s="79"/>
      <c r="K2124" s="80"/>
      <c r="L2124" s="80"/>
      <c r="M2124" s="80"/>
      <c r="N2124" s="80"/>
      <c r="O2124" s="145"/>
      <c r="P2124" s="79"/>
    </row>
    <row r="2125" spans="9:16">
      <c r="I2125" s="79"/>
      <c r="J2125" s="79"/>
      <c r="K2125" s="80"/>
      <c r="L2125" s="80"/>
      <c r="M2125" s="80"/>
      <c r="N2125" s="80"/>
      <c r="O2125" s="145"/>
      <c r="P2125" s="79"/>
    </row>
    <row r="2126" spans="9:16">
      <c r="I2126" s="79"/>
      <c r="J2126" s="79"/>
      <c r="K2126" s="80"/>
      <c r="L2126" s="80"/>
      <c r="M2126" s="80"/>
      <c r="N2126" s="80"/>
      <c r="O2126" s="145"/>
      <c r="P2126" s="79"/>
    </row>
    <row r="2127" spans="9:16">
      <c r="I2127" s="79"/>
      <c r="J2127" s="79"/>
      <c r="K2127" s="80"/>
      <c r="L2127" s="80"/>
      <c r="M2127" s="80"/>
      <c r="N2127" s="80"/>
      <c r="O2127" s="145"/>
      <c r="P2127" s="79"/>
    </row>
    <row r="2128" spans="9:16">
      <c r="I2128" s="79"/>
      <c r="J2128" s="79"/>
      <c r="K2128" s="80"/>
      <c r="L2128" s="80"/>
      <c r="M2128" s="80"/>
      <c r="N2128" s="80"/>
      <c r="O2128" s="145"/>
      <c r="P2128" s="79"/>
    </row>
    <row r="2129" spans="9:16">
      <c r="I2129" s="79"/>
      <c r="J2129" s="79"/>
      <c r="K2129" s="80"/>
      <c r="L2129" s="80"/>
      <c r="M2129" s="80"/>
      <c r="N2129" s="80"/>
      <c r="O2129" s="145"/>
      <c r="P2129" s="79"/>
    </row>
    <row r="2130" spans="9:16">
      <c r="I2130" s="79"/>
      <c r="J2130" s="79"/>
      <c r="K2130" s="80"/>
      <c r="L2130" s="80"/>
      <c r="M2130" s="80"/>
      <c r="N2130" s="80"/>
      <c r="O2130" s="145"/>
      <c r="P2130" s="79"/>
    </row>
    <row r="2131" spans="9:16">
      <c r="I2131" s="79"/>
      <c r="J2131" s="79"/>
      <c r="K2131" s="80"/>
      <c r="L2131" s="80"/>
      <c r="M2131" s="80"/>
      <c r="N2131" s="80"/>
      <c r="O2131" s="145"/>
      <c r="P2131" s="79"/>
    </row>
    <row r="2132" spans="9:16">
      <c r="I2132" s="79"/>
      <c r="J2132" s="79"/>
      <c r="K2132" s="80"/>
      <c r="L2132" s="80"/>
      <c r="M2132" s="80"/>
      <c r="N2132" s="80"/>
      <c r="O2132" s="145"/>
      <c r="P2132" s="79"/>
    </row>
    <row r="2133" spans="9:16">
      <c r="I2133" s="79"/>
      <c r="J2133" s="79"/>
      <c r="K2133" s="80"/>
      <c r="L2133" s="80"/>
      <c r="M2133" s="80"/>
      <c r="N2133" s="80"/>
      <c r="O2133" s="145"/>
      <c r="P2133" s="79"/>
    </row>
    <row r="2134" spans="9:16">
      <c r="I2134" s="79"/>
      <c r="J2134" s="79"/>
      <c r="K2134" s="80"/>
      <c r="L2134" s="80"/>
      <c r="M2134" s="80"/>
      <c r="N2134" s="80"/>
      <c r="O2134" s="145"/>
      <c r="P2134" s="79"/>
    </row>
    <row r="2135" spans="9:16">
      <c r="I2135" s="79"/>
      <c r="J2135" s="79"/>
      <c r="K2135" s="80"/>
      <c r="L2135" s="80"/>
      <c r="M2135" s="80"/>
      <c r="N2135" s="80"/>
      <c r="O2135" s="145"/>
      <c r="P2135" s="79"/>
    </row>
    <row r="2136" spans="9:16">
      <c r="I2136" s="79"/>
      <c r="J2136" s="79"/>
      <c r="K2136" s="80"/>
      <c r="L2136" s="80"/>
      <c r="M2136" s="80"/>
      <c r="N2136" s="80"/>
      <c r="O2136" s="145"/>
      <c r="P2136" s="79"/>
    </row>
    <row r="2137" spans="9:16">
      <c r="I2137" s="79"/>
      <c r="J2137" s="79"/>
      <c r="K2137" s="80"/>
      <c r="L2137" s="80"/>
      <c r="M2137" s="80"/>
      <c r="N2137" s="80"/>
      <c r="O2137" s="145"/>
      <c r="P2137" s="79"/>
    </row>
    <row r="2138" spans="9:16">
      <c r="I2138" s="79"/>
      <c r="J2138" s="79"/>
      <c r="K2138" s="80"/>
      <c r="L2138" s="80"/>
      <c r="M2138" s="80"/>
      <c r="N2138" s="80"/>
      <c r="O2138" s="145"/>
      <c r="P2138" s="79"/>
    </row>
    <row r="2139" spans="9:16">
      <c r="I2139" s="79"/>
      <c r="J2139" s="79"/>
      <c r="K2139" s="80"/>
      <c r="L2139" s="80"/>
      <c r="M2139" s="80"/>
      <c r="N2139" s="80"/>
      <c r="O2139" s="145"/>
      <c r="P2139" s="79"/>
    </row>
    <row r="2140" spans="9:16">
      <c r="I2140" s="79"/>
      <c r="J2140" s="79"/>
      <c r="K2140" s="80"/>
      <c r="L2140" s="80"/>
      <c r="M2140" s="80"/>
      <c r="N2140" s="80"/>
      <c r="O2140" s="145"/>
      <c r="P2140" s="79"/>
    </row>
    <row r="2141" spans="9:16">
      <c r="I2141" s="79"/>
      <c r="J2141" s="79"/>
      <c r="K2141" s="80"/>
      <c r="L2141" s="80"/>
      <c r="M2141" s="80"/>
      <c r="N2141" s="80"/>
      <c r="O2141" s="145"/>
      <c r="P2141" s="79"/>
    </row>
    <row r="2142" spans="9:16">
      <c r="I2142" s="79"/>
      <c r="J2142" s="79"/>
      <c r="K2142" s="80"/>
      <c r="L2142" s="80"/>
      <c r="M2142" s="80"/>
      <c r="N2142" s="80"/>
      <c r="O2142" s="145"/>
      <c r="P2142" s="79"/>
    </row>
    <row r="2143" spans="9:16">
      <c r="I2143" s="79"/>
      <c r="J2143" s="79"/>
      <c r="K2143" s="80"/>
      <c r="L2143" s="80"/>
      <c r="M2143" s="80"/>
      <c r="N2143" s="80"/>
      <c r="O2143" s="145"/>
      <c r="P2143" s="79"/>
    </row>
    <row r="2144" spans="9:16">
      <c r="I2144" s="79"/>
      <c r="J2144" s="79"/>
      <c r="K2144" s="80"/>
      <c r="L2144" s="80"/>
      <c r="M2144" s="80"/>
      <c r="N2144" s="80"/>
      <c r="O2144" s="145"/>
      <c r="P2144" s="79"/>
    </row>
    <row r="2145" spans="9:16">
      <c r="I2145" s="79"/>
      <c r="J2145" s="79"/>
      <c r="K2145" s="80"/>
      <c r="L2145" s="80"/>
      <c r="M2145" s="80"/>
      <c r="N2145" s="80"/>
      <c r="O2145" s="145"/>
      <c r="P2145" s="79"/>
    </row>
    <row r="2146" spans="9:16">
      <c r="I2146" s="79"/>
      <c r="J2146" s="79"/>
      <c r="K2146" s="80"/>
      <c r="L2146" s="80"/>
      <c r="M2146" s="80"/>
      <c r="N2146" s="80"/>
      <c r="O2146" s="145"/>
      <c r="P2146" s="79"/>
    </row>
    <row r="2147" spans="9:16">
      <c r="I2147" s="79"/>
      <c r="J2147" s="79"/>
      <c r="K2147" s="80"/>
      <c r="L2147" s="80"/>
      <c r="M2147" s="80"/>
      <c r="N2147" s="80"/>
      <c r="O2147" s="145"/>
      <c r="P2147" s="79"/>
    </row>
    <row r="2148" spans="9:16">
      <c r="I2148" s="79"/>
      <c r="J2148" s="79"/>
      <c r="K2148" s="80"/>
      <c r="L2148" s="80"/>
      <c r="M2148" s="80"/>
      <c r="N2148" s="80"/>
      <c r="O2148" s="145"/>
      <c r="P2148" s="79"/>
    </row>
    <row r="2149" spans="9:16">
      <c r="I2149" s="79"/>
      <c r="J2149" s="79"/>
      <c r="K2149" s="80"/>
      <c r="L2149" s="80"/>
      <c r="M2149" s="80"/>
      <c r="N2149" s="80"/>
      <c r="O2149" s="145"/>
      <c r="P2149" s="79"/>
    </row>
    <row r="2150" spans="9:16">
      <c r="I2150" s="79"/>
      <c r="J2150" s="79"/>
      <c r="K2150" s="80"/>
      <c r="L2150" s="80"/>
      <c r="M2150" s="80"/>
      <c r="N2150" s="80"/>
      <c r="O2150" s="145"/>
      <c r="P2150" s="79"/>
    </row>
    <row r="2151" spans="9:16">
      <c r="I2151" s="79"/>
      <c r="J2151" s="79"/>
      <c r="K2151" s="80"/>
      <c r="L2151" s="80"/>
      <c r="M2151" s="80"/>
      <c r="N2151" s="80"/>
      <c r="O2151" s="145"/>
      <c r="P2151" s="79"/>
    </row>
    <row r="2152" spans="9:16">
      <c r="I2152" s="79"/>
      <c r="J2152" s="79"/>
      <c r="K2152" s="80"/>
      <c r="L2152" s="80"/>
      <c r="M2152" s="80"/>
      <c r="N2152" s="80"/>
      <c r="O2152" s="145"/>
      <c r="P2152" s="79"/>
    </row>
    <row r="2153" spans="9:16">
      <c r="I2153" s="79"/>
      <c r="J2153" s="79"/>
      <c r="K2153" s="80"/>
      <c r="L2153" s="80"/>
      <c r="M2153" s="80"/>
      <c r="N2153" s="80"/>
      <c r="O2153" s="145"/>
      <c r="P2153" s="79"/>
    </row>
    <row r="2154" spans="9:16">
      <c r="I2154" s="79"/>
      <c r="J2154" s="79"/>
      <c r="K2154" s="80"/>
      <c r="L2154" s="80"/>
      <c r="M2154" s="80"/>
      <c r="N2154" s="80"/>
      <c r="O2154" s="145"/>
      <c r="P2154" s="79"/>
    </row>
    <row r="2155" spans="9:16">
      <c r="I2155" s="79"/>
      <c r="J2155" s="79"/>
      <c r="K2155" s="80"/>
      <c r="L2155" s="80"/>
      <c r="M2155" s="80"/>
      <c r="N2155" s="80"/>
      <c r="O2155" s="145"/>
      <c r="P2155" s="79"/>
    </row>
    <row r="2156" spans="9:16">
      <c r="I2156" s="79"/>
      <c r="J2156" s="79"/>
      <c r="K2156" s="80"/>
      <c r="L2156" s="80"/>
      <c r="M2156" s="80"/>
      <c r="N2156" s="80"/>
      <c r="O2156" s="145"/>
      <c r="P2156" s="79"/>
    </row>
    <row r="2157" spans="9:16">
      <c r="I2157" s="79"/>
      <c r="J2157" s="79"/>
      <c r="K2157" s="80"/>
      <c r="L2157" s="80"/>
      <c r="M2157" s="80"/>
      <c r="N2157" s="80"/>
      <c r="O2157" s="145"/>
      <c r="P2157" s="79"/>
    </row>
    <row r="2158" spans="9:16">
      <c r="I2158" s="79"/>
      <c r="J2158" s="79"/>
      <c r="K2158" s="80"/>
      <c r="L2158" s="80"/>
      <c r="M2158" s="80"/>
      <c r="N2158" s="80"/>
      <c r="O2158" s="145"/>
      <c r="P2158" s="79"/>
    </row>
    <row r="2159" spans="9:16">
      <c r="I2159" s="79"/>
      <c r="J2159" s="79"/>
      <c r="K2159" s="80"/>
      <c r="L2159" s="80"/>
      <c r="M2159" s="80"/>
      <c r="N2159" s="80"/>
      <c r="O2159" s="145"/>
      <c r="P2159" s="79"/>
    </row>
    <row r="2160" spans="9:16">
      <c r="I2160" s="79"/>
      <c r="J2160" s="79"/>
      <c r="K2160" s="80"/>
      <c r="L2160" s="80"/>
      <c r="M2160" s="80"/>
      <c r="N2160" s="80"/>
      <c r="O2160" s="145"/>
      <c r="P2160" s="79"/>
    </row>
    <row r="2161" spans="9:16">
      <c r="I2161" s="79"/>
      <c r="J2161" s="79"/>
      <c r="K2161" s="80"/>
      <c r="L2161" s="80"/>
      <c r="M2161" s="80"/>
      <c r="N2161" s="80"/>
      <c r="O2161" s="145"/>
      <c r="P2161" s="79"/>
    </row>
    <row r="2162" spans="9:16">
      <c r="I2162" s="79"/>
      <c r="J2162" s="79"/>
      <c r="K2162" s="80"/>
      <c r="L2162" s="80"/>
      <c r="M2162" s="80"/>
      <c r="N2162" s="80"/>
      <c r="O2162" s="145"/>
      <c r="P2162" s="79"/>
    </row>
    <row r="2163" spans="9:16">
      <c r="I2163" s="79"/>
      <c r="J2163" s="79"/>
      <c r="K2163" s="80"/>
      <c r="L2163" s="80"/>
      <c r="M2163" s="80"/>
      <c r="N2163" s="80"/>
      <c r="O2163" s="145"/>
      <c r="P2163" s="79"/>
    </row>
    <row r="2164" spans="9:16">
      <c r="I2164" s="79"/>
      <c r="J2164" s="79"/>
      <c r="K2164" s="80"/>
      <c r="L2164" s="80"/>
      <c r="M2164" s="80"/>
      <c r="N2164" s="80"/>
      <c r="O2164" s="145"/>
      <c r="P2164" s="79"/>
    </row>
    <row r="2165" spans="9:16">
      <c r="I2165" s="79"/>
      <c r="J2165" s="79"/>
      <c r="K2165" s="80"/>
      <c r="L2165" s="80"/>
      <c r="M2165" s="80"/>
      <c r="N2165" s="80"/>
      <c r="O2165" s="145"/>
      <c r="P2165" s="79"/>
    </row>
    <row r="2166" spans="9:16">
      <c r="I2166" s="79"/>
      <c r="J2166" s="79"/>
      <c r="K2166" s="80"/>
      <c r="L2166" s="80"/>
      <c r="M2166" s="80"/>
      <c r="N2166" s="80"/>
      <c r="O2166" s="145"/>
      <c r="P2166" s="79"/>
    </row>
    <row r="2167" spans="9:16">
      <c r="I2167" s="79"/>
      <c r="J2167" s="79"/>
      <c r="K2167" s="80"/>
      <c r="L2167" s="80"/>
      <c r="M2167" s="80"/>
      <c r="N2167" s="80"/>
      <c r="O2167" s="145"/>
      <c r="P2167" s="79"/>
    </row>
    <row r="2168" spans="9:16">
      <c r="I2168" s="79"/>
      <c r="J2168" s="79"/>
      <c r="K2168" s="80"/>
      <c r="L2168" s="80"/>
      <c r="M2168" s="80"/>
      <c r="N2168" s="80"/>
      <c r="O2168" s="145"/>
      <c r="P2168" s="79"/>
    </row>
    <row r="2169" spans="9:16">
      <c r="I2169" s="79"/>
      <c r="J2169" s="79"/>
      <c r="K2169" s="80"/>
      <c r="L2169" s="80"/>
      <c r="M2169" s="80"/>
      <c r="N2169" s="80"/>
      <c r="O2169" s="145"/>
      <c r="P2169" s="79"/>
    </row>
    <row r="2170" spans="9:16">
      <c r="I2170" s="79"/>
      <c r="J2170" s="79"/>
      <c r="K2170" s="80"/>
      <c r="L2170" s="80"/>
      <c r="M2170" s="80"/>
      <c r="N2170" s="80"/>
      <c r="O2170" s="145"/>
      <c r="P2170" s="79"/>
    </row>
    <row r="2171" spans="9:16">
      <c r="I2171" s="79"/>
      <c r="J2171" s="79"/>
      <c r="K2171" s="80"/>
      <c r="L2171" s="80"/>
      <c r="M2171" s="80"/>
      <c r="N2171" s="80"/>
      <c r="O2171" s="145"/>
      <c r="P2171" s="79"/>
    </row>
    <row r="2172" spans="9:16">
      <c r="I2172" s="79"/>
      <c r="J2172" s="79"/>
      <c r="K2172" s="80"/>
      <c r="L2172" s="80"/>
      <c r="M2172" s="80"/>
      <c r="N2172" s="80"/>
      <c r="O2172" s="145"/>
      <c r="P2172" s="79"/>
    </row>
    <row r="2173" spans="9:16">
      <c r="I2173" s="79"/>
      <c r="J2173" s="79"/>
      <c r="K2173" s="80"/>
      <c r="L2173" s="80"/>
      <c r="M2173" s="80"/>
      <c r="N2173" s="80"/>
      <c r="O2173" s="145"/>
      <c r="P2173" s="79"/>
    </row>
    <row r="2174" spans="9:16">
      <c r="I2174" s="79"/>
      <c r="J2174" s="79"/>
      <c r="K2174" s="80"/>
      <c r="L2174" s="80"/>
      <c r="M2174" s="80"/>
      <c r="N2174" s="80"/>
      <c r="O2174" s="145"/>
      <c r="P2174" s="79"/>
    </row>
    <row r="2175" spans="9:16">
      <c r="I2175" s="79"/>
      <c r="J2175" s="79"/>
      <c r="K2175" s="80"/>
      <c r="L2175" s="80"/>
      <c r="M2175" s="80"/>
      <c r="N2175" s="80"/>
      <c r="O2175" s="145"/>
      <c r="P2175" s="79"/>
    </row>
    <row r="2176" spans="9:16">
      <c r="I2176" s="79"/>
      <c r="J2176" s="79"/>
      <c r="K2176" s="80"/>
      <c r="L2176" s="80"/>
      <c r="M2176" s="80"/>
      <c r="N2176" s="80"/>
      <c r="O2176" s="145"/>
      <c r="P2176" s="79"/>
    </row>
    <row r="2177" spans="9:16">
      <c r="I2177" s="79"/>
      <c r="J2177" s="79"/>
      <c r="K2177" s="80"/>
      <c r="L2177" s="80"/>
      <c r="M2177" s="80"/>
      <c r="N2177" s="80"/>
      <c r="O2177" s="145"/>
      <c r="P2177" s="79"/>
    </row>
    <row r="2178" spans="9:16">
      <c r="I2178" s="79"/>
      <c r="J2178" s="79"/>
      <c r="K2178" s="80"/>
      <c r="L2178" s="80"/>
      <c r="M2178" s="80"/>
      <c r="N2178" s="80"/>
      <c r="O2178" s="145"/>
      <c r="P2178" s="79"/>
    </row>
    <row r="2179" spans="9:16">
      <c r="I2179" s="79"/>
      <c r="J2179" s="79"/>
      <c r="K2179" s="80"/>
      <c r="L2179" s="80"/>
      <c r="M2179" s="80"/>
      <c r="N2179" s="80"/>
      <c r="O2179" s="145"/>
      <c r="P2179" s="79"/>
    </row>
    <row r="2180" spans="9:16">
      <c r="I2180" s="79"/>
      <c r="J2180" s="79"/>
      <c r="K2180" s="80"/>
      <c r="L2180" s="80"/>
      <c r="M2180" s="80"/>
      <c r="N2180" s="80"/>
      <c r="O2180" s="145"/>
      <c r="P2180" s="79"/>
    </row>
    <row r="2181" spans="9:16">
      <c r="I2181" s="79"/>
      <c r="J2181" s="79"/>
      <c r="K2181" s="80"/>
      <c r="L2181" s="80"/>
      <c r="M2181" s="80"/>
      <c r="N2181" s="80"/>
      <c r="O2181" s="145"/>
      <c r="P2181" s="79"/>
    </row>
    <row r="2182" spans="9:16">
      <c r="I2182" s="79"/>
      <c r="J2182" s="79"/>
      <c r="K2182" s="80"/>
      <c r="L2182" s="80"/>
      <c r="M2182" s="80"/>
      <c r="N2182" s="80"/>
      <c r="O2182" s="145"/>
      <c r="P2182" s="79"/>
    </row>
    <row r="2183" spans="9:16">
      <c r="I2183" s="79"/>
      <c r="J2183" s="79"/>
      <c r="K2183" s="80"/>
      <c r="L2183" s="80"/>
      <c r="M2183" s="80"/>
      <c r="N2183" s="80"/>
      <c r="O2183" s="145"/>
      <c r="P2183" s="79"/>
    </row>
    <row r="2184" spans="9:16">
      <c r="I2184" s="79"/>
      <c r="J2184" s="79"/>
      <c r="K2184" s="80"/>
      <c r="L2184" s="80"/>
      <c r="M2184" s="80"/>
      <c r="N2184" s="80"/>
      <c r="O2184" s="145"/>
      <c r="P2184" s="79"/>
    </row>
    <row r="2185" spans="9:16">
      <c r="I2185" s="79"/>
      <c r="J2185" s="79"/>
      <c r="K2185" s="80"/>
      <c r="L2185" s="80"/>
      <c r="M2185" s="80"/>
      <c r="N2185" s="80"/>
      <c r="O2185" s="145"/>
      <c r="P2185" s="79"/>
    </row>
    <row r="2186" spans="9:16">
      <c r="I2186" s="79"/>
      <c r="J2186" s="79"/>
      <c r="K2186" s="80"/>
      <c r="L2186" s="80"/>
      <c r="M2186" s="80"/>
      <c r="N2186" s="80"/>
      <c r="O2186" s="145"/>
      <c r="P2186" s="79"/>
    </row>
    <row r="2187" spans="9:16">
      <c r="I2187" s="79"/>
      <c r="J2187" s="79"/>
      <c r="K2187" s="80"/>
      <c r="L2187" s="80"/>
      <c r="M2187" s="80"/>
      <c r="N2187" s="80"/>
      <c r="O2187" s="145"/>
      <c r="P2187" s="79"/>
    </row>
    <row r="2188" spans="9:16">
      <c r="I2188" s="79"/>
      <c r="J2188" s="79"/>
      <c r="K2188" s="80"/>
      <c r="L2188" s="80"/>
      <c r="M2188" s="80"/>
      <c r="N2188" s="80"/>
      <c r="O2188" s="145"/>
      <c r="P2188" s="79"/>
    </row>
    <row r="2189" spans="9:16">
      <c r="I2189" s="79"/>
      <c r="J2189" s="79"/>
      <c r="K2189" s="80"/>
      <c r="L2189" s="80"/>
      <c r="M2189" s="80"/>
      <c r="N2189" s="80"/>
      <c r="O2189" s="145"/>
      <c r="P2189" s="79"/>
    </row>
    <row r="2190" spans="9:16">
      <c r="I2190" s="79"/>
      <c r="J2190" s="79"/>
      <c r="K2190" s="80"/>
      <c r="L2190" s="80"/>
      <c r="M2190" s="80"/>
      <c r="N2190" s="80"/>
      <c r="O2190" s="145"/>
      <c r="P2190" s="79"/>
    </row>
    <row r="2191" spans="9:16">
      <c r="I2191" s="79"/>
      <c r="J2191" s="79"/>
      <c r="K2191" s="80"/>
      <c r="L2191" s="80"/>
      <c r="M2191" s="80"/>
      <c r="N2191" s="80"/>
      <c r="O2191" s="145"/>
      <c r="P2191" s="79"/>
    </row>
    <row r="2192" spans="9:16">
      <c r="I2192" s="79"/>
      <c r="J2192" s="79"/>
      <c r="K2192" s="80"/>
      <c r="L2192" s="80"/>
      <c r="M2192" s="80"/>
      <c r="N2192" s="80"/>
      <c r="O2192" s="145"/>
      <c r="P2192" s="79"/>
    </row>
    <row r="2193" spans="9:16">
      <c r="I2193" s="79"/>
      <c r="J2193" s="79"/>
      <c r="K2193" s="80"/>
      <c r="L2193" s="80"/>
      <c r="M2193" s="80"/>
      <c r="N2193" s="80"/>
      <c r="O2193" s="145"/>
      <c r="P2193" s="79"/>
    </row>
    <row r="2194" spans="9:16">
      <c r="I2194" s="79"/>
      <c r="J2194" s="79"/>
      <c r="K2194" s="80"/>
      <c r="L2194" s="80"/>
      <c r="M2194" s="80"/>
      <c r="N2194" s="80"/>
      <c r="O2194" s="145"/>
      <c r="P2194" s="79"/>
    </row>
    <row r="2195" spans="9:16">
      <c r="I2195" s="79"/>
      <c r="J2195" s="79"/>
      <c r="K2195" s="80"/>
      <c r="L2195" s="80"/>
      <c r="M2195" s="80"/>
      <c r="N2195" s="80"/>
      <c r="O2195" s="145"/>
      <c r="P2195" s="79"/>
    </row>
    <row r="2196" spans="9:16">
      <c r="I2196" s="79"/>
      <c r="J2196" s="79"/>
      <c r="K2196" s="80"/>
      <c r="L2196" s="80"/>
      <c r="M2196" s="80"/>
      <c r="N2196" s="80"/>
      <c r="O2196" s="145"/>
      <c r="P2196" s="79"/>
    </row>
    <row r="2197" spans="9:16">
      <c r="I2197" s="79"/>
      <c r="J2197" s="79"/>
      <c r="K2197" s="80"/>
      <c r="L2197" s="80"/>
      <c r="M2197" s="80"/>
      <c r="N2197" s="80"/>
      <c r="O2197" s="145"/>
      <c r="P2197" s="79"/>
    </row>
    <row r="2198" spans="9:16">
      <c r="I2198" s="79"/>
      <c r="J2198" s="79"/>
      <c r="K2198" s="80"/>
      <c r="L2198" s="80"/>
      <c r="M2198" s="80"/>
      <c r="N2198" s="80"/>
      <c r="O2198" s="145"/>
      <c r="P2198" s="79"/>
    </row>
    <row r="2199" spans="9:16">
      <c r="I2199" s="79"/>
      <c r="J2199" s="79"/>
      <c r="K2199" s="80"/>
      <c r="L2199" s="80"/>
      <c r="M2199" s="80"/>
      <c r="N2199" s="80"/>
      <c r="O2199" s="145"/>
      <c r="P2199" s="79"/>
    </row>
    <row r="2200" spans="9:16">
      <c r="I2200" s="79"/>
      <c r="J2200" s="79"/>
      <c r="K2200" s="80"/>
      <c r="L2200" s="80"/>
      <c r="M2200" s="80"/>
      <c r="N2200" s="80"/>
      <c r="O2200" s="145"/>
      <c r="P2200" s="79"/>
    </row>
    <row r="2201" spans="9:16">
      <c r="I2201" s="79"/>
      <c r="J2201" s="79"/>
      <c r="K2201" s="80"/>
      <c r="L2201" s="80"/>
      <c r="M2201" s="80"/>
      <c r="N2201" s="80"/>
      <c r="O2201" s="145"/>
      <c r="P2201" s="79"/>
    </row>
    <row r="2202" spans="9:16">
      <c r="I2202" s="79"/>
      <c r="J2202" s="79"/>
      <c r="K2202" s="80"/>
      <c r="L2202" s="80"/>
      <c r="M2202" s="80"/>
      <c r="N2202" s="80"/>
      <c r="O2202" s="145"/>
      <c r="P2202" s="79"/>
    </row>
    <row r="2203" spans="9:16">
      <c r="I2203" s="79"/>
      <c r="J2203" s="79"/>
      <c r="K2203" s="80"/>
      <c r="L2203" s="80"/>
      <c r="M2203" s="80"/>
      <c r="N2203" s="80"/>
      <c r="O2203" s="145"/>
      <c r="P2203" s="79"/>
    </row>
    <row r="2204" spans="9:16">
      <c r="I2204" s="79"/>
      <c r="J2204" s="79"/>
      <c r="K2204" s="80"/>
      <c r="L2204" s="80"/>
      <c r="M2204" s="80"/>
      <c r="N2204" s="80"/>
      <c r="O2204" s="145"/>
      <c r="P2204" s="79"/>
    </row>
    <row r="2205" spans="9:16">
      <c r="I2205" s="79"/>
      <c r="J2205" s="79"/>
      <c r="K2205" s="80"/>
      <c r="L2205" s="80"/>
      <c r="M2205" s="80"/>
      <c r="N2205" s="80"/>
      <c r="O2205" s="145"/>
      <c r="P2205" s="79"/>
    </row>
    <row r="2206" spans="9:16">
      <c r="I2206" s="79"/>
      <c r="J2206" s="79"/>
      <c r="K2206" s="80"/>
      <c r="L2206" s="80"/>
      <c r="M2206" s="80"/>
      <c r="N2206" s="80"/>
      <c r="O2206" s="145"/>
      <c r="P2206" s="79"/>
    </row>
    <row r="2207" spans="9:16">
      <c r="I2207" s="79"/>
      <c r="J2207" s="79"/>
      <c r="K2207" s="80"/>
      <c r="L2207" s="80"/>
      <c r="M2207" s="80"/>
      <c r="N2207" s="80"/>
      <c r="O2207" s="145"/>
      <c r="P2207" s="79"/>
    </row>
    <row r="2208" spans="9:16">
      <c r="I2208" s="79"/>
      <c r="J2208" s="79"/>
      <c r="K2208" s="80"/>
      <c r="L2208" s="80"/>
      <c r="M2208" s="80"/>
      <c r="N2208" s="80"/>
      <c r="O2208" s="145"/>
      <c r="P2208" s="79"/>
    </row>
    <row r="2209" spans="9:16">
      <c r="I2209" s="79"/>
      <c r="J2209" s="79"/>
      <c r="K2209" s="80"/>
      <c r="L2209" s="80"/>
      <c r="M2209" s="80"/>
      <c r="N2209" s="80"/>
      <c r="O2209" s="145"/>
      <c r="P2209" s="79"/>
    </row>
    <row r="2210" spans="9:16">
      <c r="I2210" s="79"/>
      <c r="J2210" s="79"/>
      <c r="K2210" s="80"/>
      <c r="L2210" s="80"/>
      <c r="M2210" s="80"/>
      <c r="N2210" s="80"/>
      <c r="O2210" s="145"/>
      <c r="P2210" s="79"/>
    </row>
    <row r="2211" spans="9:16">
      <c r="I2211" s="79"/>
      <c r="J2211" s="79"/>
      <c r="K2211" s="80"/>
      <c r="L2211" s="80"/>
      <c r="M2211" s="80"/>
      <c r="N2211" s="80"/>
      <c r="O2211" s="145"/>
      <c r="P2211" s="79"/>
    </row>
    <row r="2212" spans="9:16">
      <c r="I2212" s="79"/>
      <c r="J2212" s="79"/>
      <c r="K2212" s="80"/>
      <c r="L2212" s="80"/>
      <c r="M2212" s="80"/>
      <c r="N2212" s="80"/>
      <c r="O2212" s="145"/>
      <c r="P2212" s="79"/>
    </row>
    <row r="2213" spans="9:16">
      <c r="I2213" s="79"/>
      <c r="J2213" s="79"/>
      <c r="K2213" s="80"/>
      <c r="L2213" s="80"/>
      <c r="M2213" s="80"/>
      <c r="N2213" s="80"/>
      <c r="O2213" s="145"/>
      <c r="P2213" s="79"/>
    </row>
    <row r="2214" spans="9:16">
      <c r="I2214" s="79"/>
      <c r="J2214" s="79"/>
      <c r="K2214" s="80"/>
      <c r="L2214" s="80"/>
      <c r="M2214" s="80"/>
      <c r="N2214" s="80"/>
      <c r="O2214" s="145"/>
      <c r="P2214" s="79"/>
    </row>
    <row r="2215" spans="9:16">
      <c r="I2215" s="79"/>
      <c r="J2215" s="79"/>
      <c r="K2215" s="80"/>
      <c r="L2215" s="80"/>
      <c r="M2215" s="80"/>
      <c r="N2215" s="80"/>
      <c r="O2215" s="145"/>
      <c r="P2215" s="79"/>
    </row>
    <row r="2216" spans="9:16">
      <c r="I2216" s="79"/>
      <c r="J2216" s="79"/>
      <c r="K2216" s="80"/>
      <c r="L2216" s="80"/>
      <c r="M2216" s="80"/>
      <c r="N2216" s="80"/>
      <c r="O2216" s="145"/>
      <c r="P2216" s="79"/>
    </row>
    <row r="2217" spans="9:16">
      <c r="I2217" s="79"/>
      <c r="J2217" s="79"/>
      <c r="K2217" s="80"/>
      <c r="L2217" s="80"/>
      <c r="M2217" s="80"/>
      <c r="N2217" s="80"/>
      <c r="O2217" s="145"/>
      <c r="P2217" s="79"/>
    </row>
    <row r="2218" spans="9:16">
      <c r="I2218" s="79"/>
      <c r="J2218" s="79"/>
      <c r="K2218" s="80"/>
      <c r="L2218" s="80"/>
      <c r="M2218" s="80"/>
      <c r="N2218" s="80"/>
      <c r="O2218" s="145"/>
      <c r="P2218" s="79"/>
    </row>
  </sheetData>
  <mergeCells count="21">
    <mergeCell ref="B13:C13"/>
    <mergeCell ref="B29:C32"/>
    <mergeCell ref="B22:C26"/>
    <mergeCell ref="F2:F3"/>
    <mergeCell ref="S2:S3"/>
    <mergeCell ref="P2:P3"/>
    <mergeCell ref="M2:M3"/>
    <mergeCell ref="L2:L3"/>
    <mergeCell ref="K2:K3"/>
    <mergeCell ref="J2:J3"/>
    <mergeCell ref="N2:N3"/>
    <mergeCell ref="O2:O3"/>
    <mergeCell ref="F1:P1"/>
    <mergeCell ref="S1:AC1"/>
    <mergeCell ref="AC2:AC3"/>
    <mergeCell ref="W2:W3"/>
    <mergeCell ref="X2:X3"/>
    <mergeCell ref="Y2:Y3"/>
    <mergeCell ref="Z2:Z3"/>
    <mergeCell ref="AA2:AA3"/>
    <mergeCell ref="AB2:AB3"/>
  </mergeCells>
  <dataValidations count="8">
    <dataValidation type="list" allowBlank="1" showInputMessage="1" showErrorMessage="1" prompt="Annual or Monthly Payments" sqref="C7" xr:uid="{2FA87D83-F5F1-4C4A-BC84-D117480EA309}">
      <formula1>"Annual, Monthly"</formula1>
    </dataValidation>
    <dataValidation type="decimal" allowBlank="1" showInputMessage="1" showErrorMessage="1" error="Starting age must be between 50 and 85" prompt="Starting age must be between 50 and 85" sqref="C3" xr:uid="{C02D0A90-E7F6-4970-8B43-B4D686456D74}">
      <formula1>45</formula1>
      <formula2>85</formula2>
    </dataValidation>
    <dataValidation type="whole" operator="greaterThanOrEqual" allowBlank="1" showInputMessage="1" showErrorMessage="1" error="The Minimum Investment is BP 300,000 " prompt="The Minimum Investment is BP 300,000 " sqref="C4" xr:uid="{D9C2F5F5-8F57-4BC5-948D-634A885BA9C7}">
      <formula1>300000</formula1>
    </dataValidation>
    <dataValidation type="decimal" allowBlank="1" showInputMessage="1" showErrorMessage="1" error="The annuity percentage must be between 0.0% and 2.0% per annum" prompt="The annuity percentage must be between 0.0% and 2.0% per annum" sqref="C17" xr:uid="{E137522B-4F24-4412-B4DF-B2775CC690DC}">
      <formula1>0</formula1>
      <formula2>0.02</formula2>
    </dataValidation>
    <dataValidation type="decimal" allowBlank="1" showInputMessage="1" showErrorMessage="1" error="The annuity percentage must be between 0.0% and 1.5% per annum" prompt="The annuity percentage must be between 0.0% and 1.5% per annum" sqref="C15" xr:uid="{920696EA-8B19-44B3-A916-88DF47009E88}">
      <formula1>0</formula1>
      <formula2>0.015</formula2>
    </dataValidation>
    <dataValidation type="decimal" allowBlank="1" showInputMessage="1" showErrorMessage="1" error="The annuity percentage must be between 0.0% and 1.0% per annum" prompt="The annuity percentage must be between 0.0% and 1.0% per annum" sqref="C18 C16" xr:uid="{4729DCEF-45D3-4C7E-9105-08C8C7FB577B}">
      <formula1>0</formula1>
      <formula2>0.01</formula2>
    </dataValidation>
    <dataValidation type="whole" operator="greaterThanOrEqual" allowBlank="1" showInputMessage="1" showErrorMessage="1" sqref="C6" xr:uid="{E3D5E1CF-5B55-41E0-9952-667A153B4437}">
      <formula1>C3</formula1>
    </dataValidation>
    <dataValidation type="list" allowBlank="1" showInputMessage="1" showErrorMessage="1" sqref="C8" xr:uid="{7C90499D-6319-45AA-8E61-EAF0B67109FB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61" r:id="rId4" name="Button 5489">
              <controlPr defaultSize="0" print="0" autoFill="0" autoPict="0" macro="[0]!GoalSeek_RAAfterLA">
                <anchor moveWithCells="1" sizeWithCells="1">
                  <from>
                    <xdr:col>1</xdr:col>
                    <xdr:colOff>2882900</xdr:colOff>
                    <xdr:row>23</xdr:row>
                    <xdr:rowOff>38100</xdr:rowOff>
                  </from>
                  <to>
                    <xdr:col>2</xdr:col>
                    <xdr:colOff>673100</xdr:colOff>
                    <xdr:row>25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EFFFA-6F36-4519-9D10-8257B0C232F3}">
  <sheetPr codeName="Sheet3"/>
  <dimension ref="B1:BM2218"/>
  <sheetViews>
    <sheetView showGridLines="0" zoomScaleNormal="100" workbookViewId="0">
      <selection activeCell="C20" sqref="C20"/>
    </sheetView>
  </sheetViews>
  <sheetFormatPr baseColWidth="10" defaultColWidth="9.1640625" defaultRowHeight="15"/>
  <cols>
    <col min="1" max="1" width="2.5" customWidth="1"/>
    <col min="2" max="2" width="49.83203125" customWidth="1"/>
    <col min="3" max="3" width="13.83203125" bestFit="1" customWidth="1"/>
    <col min="4" max="4" width="8.5" bestFit="1" customWidth="1"/>
    <col min="5" max="5" width="8.1640625" customWidth="1"/>
    <col min="6" max="6" width="8" customWidth="1"/>
    <col min="7" max="7" width="7.6640625" bestFit="1" customWidth="1"/>
    <col min="8" max="8" width="5.83203125" bestFit="1" customWidth="1"/>
    <col min="9" max="9" width="12.83203125" bestFit="1" customWidth="1"/>
    <col min="10" max="10" width="7.33203125" bestFit="1" customWidth="1"/>
    <col min="11" max="11" width="6.83203125" style="138" bestFit="1" customWidth="1"/>
    <col min="12" max="12" width="6.6640625" style="138" bestFit="1" customWidth="1"/>
    <col min="13" max="13" width="7.83203125" style="138" bestFit="1" customWidth="1"/>
    <col min="14" max="14" width="7.5" style="138" bestFit="1" customWidth="1"/>
    <col min="15" max="15" width="7.6640625" bestFit="1" customWidth="1"/>
    <col min="16" max="16" width="8.83203125" bestFit="1" customWidth="1"/>
    <col min="17" max="17" width="2.5" customWidth="1"/>
    <col min="18" max="18" width="6.33203125" hidden="1" customWidth="1"/>
    <col min="19" max="20" width="7.6640625" hidden="1" customWidth="1"/>
    <col min="21" max="21" width="5.83203125" hidden="1" customWidth="1"/>
    <col min="22" max="22" width="12.83203125" hidden="1" customWidth="1"/>
    <col min="23" max="23" width="7.33203125" hidden="1" customWidth="1"/>
    <col min="24" max="24" width="6.83203125" style="138" hidden="1" customWidth="1"/>
    <col min="25" max="25" width="6.6640625" style="138" hidden="1" customWidth="1"/>
    <col min="26" max="26" width="7.83203125" style="138" hidden="1" customWidth="1"/>
    <col min="27" max="27" width="7.5" style="138" hidden="1" customWidth="1"/>
    <col min="28" max="28" width="7.6640625" hidden="1" customWidth="1"/>
    <col min="29" max="29" width="8.83203125" hidden="1" customWidth="1"/>
    <col min="30" max="30" width="2.1640625" hidden="1" customWidth="1"/>
    <col min="31" max="31" width="9.83203125" hidden="1" customWidth="1"/>
    <col min="32" max="32" width="15.33203125" hidden="1" customWidth="1"/>
    <col min="33" max="33" width="37.1640625" customWidth="1"/>
    <col min="34" max="34" width="11.83203125" customWidth="1"/>
    <col min="35" max="35" width="2.5" customWidth="1"/>
    <col min="36" max="36" width="4.83203125" hidden="1" customWidth="1"/>
    <col min="37" max="37" width="8.1640625" hidden="1" customWidth="1"/>
    <col min="38" max="40" width="11.83203125" hidden="1" customWidth="1"/>
    <col min="41" max="42" width="6.6640625" hidden="1" customWidth="1"/>
    <col min="43" max="43" width="2.5" hidden="1" customWidth="1"/>
    <col min="44" max="44" width="4.5" hidden="1" customWidth="1"/>
    <col min="45" max="45" width="6.1640625" hidden="1" customWidth="1"/>
    <col min="46" max="46" width="17.33203125" hidden="1" customWidth="1"/>
    <col min="47" max="48" width="9.1640625" hidden="1" customWidth="1"/>
    <col min="49" max="49" width="16.33203125" hidden="1" customWidth="1"/>
    <col min="50" max="50" width="2.5" hidden="1" customWidth="1"/>
    <col min="51" max="51" width="4.83203125" hidden="1" customWidth="1"/>
    <col min="52" max="63" width="10.5" hidden="1" customWidth="1"/>
    <col min="64" max="64" width="13.5" hidden="1" customWidth="1"/>
    <col min="65" max="65" width="13.83203125" hidden="1" customWidth="1"/>
  </cols>
  <sheetData>
    <row r="1" spans="2:65">
      <c r="E1" s="33" t="s">
        <v>81</v>
      </c>
      <c r="F1" s="152" t="s">
        <v>79</v>
      </c>
      <c r="G1" s="153"/>
      <c r="H1" s="153"/>
      <c r="I1" s="153"/>
      <c r="J1" s="153"/>
      <c r="K1" s="153"/>
      <c r="L1" s="153"/>
      <c r="M1" s="153"/>
      <c r="N1" s="153"/>
      <c r="O1" s="153"/>
      <c r="P1" s="153"/>
      <c r="R1" s="33" t="s">
        <v>81</v>
      </c>
      <c r="S1" s="152" t="s">
        <v>80</v>
      </c>
      <c r="T1" s="153"/>
      <c r="U1" s="153"/>
      <c r="V1" s="153"/>
      <c r="W1" s="153"/>
      <c r="X1" s="153"/>
      <c r="Y1" s="153"/>
      <c r="Z1" s="153"/>
      <c r="AA1" s="153"/>
      <c r="AB1" s="153"/>
      <c r="AC1" s="153"/>
      <c r="AF1" s="34"/>
      <c r="AG1" s="35"/>
      <c r="AH1" s="36"/>
    </row>
    <row r="2" spans="2:65">
      <c r="B2" s="33" t="s">
        <v>42</v>
      </c>
      <c r="C2" s="33" t="s">
        <v>71</v>
      </c>
      <c r="E2" s="37"/>
      <c r="F2" s="167" t="s">
        <v>64</v>
      </c>
      <c r="G2" s="38"/>
      <c r="H2" s="38"/>
      <c r="I2" s="37" t="s">
        <v>33</v>
      </c>
      <c r="J2" s="154" t="s">
        <v>3</v>
      </c>
      <c r="K2" s="156" t="s">
        <v>34</v>
      </c>
      <c r="L2" s="156" t="s">
        <v>53</v>
      </c>
      <c r="M2" s="156" t="s">
        <v>54</v>
      </c>
      <c r="N2" s="156" t="s">
        <v>55</v>
      </c>
      <c r="O2" s="158" t="s">
        <v>56</v>
      </c>
      <c r="P2" s="154" t="s">
        <v>4</v>
      </c>
      <c r="R2" s="37"/>
      <c r="S2" s="169" t="s">
        <v>64</v>
      </c>
      <c r="T2" s="37"/>
      <c r="U2" s="37"/>
      <c r="V2" s="37" t="s">
        <v>33</v>
      </c>
      <c r="W2" s="154" t="s">
        <v>3</v>
      </c>
      <c r="X2" s="156" t="s">
        <v>34</v>
      </c>
      <c r="Y2" s="156" t="s">
        <v>53</v>
      </c>
      <c r="Z2" s="156" t="s">
        <v>54</v>
      </c>
      <c r="AA2" s="156" t="s">
        <v>55</v>
      </c>
      <c r="AB2" s="158" t="s">
        <v>56</v>
      </c>
      <c r="AC2" s="154" t="s">
        <v>4</v>
      </c>
      <c r="AH2" s="36"/>
    </row>
    <row r="3" spans="2:65">
      <c r="B3" s="39" t="s">
        <v>95</v>
      </c>
      <c r="C3" s="22">
        <v>62</v>
      </c>
      <c r="E3" s="40" t="s">
        <v>6</v>
      </c>
      <c r="F3" s="168"/>
      <c r="G3" s="41" t="s">
        <v>62</v>
      </c>
      <c r="H3" s="41" t="s">
        <v>8</v>
      </c>
      <c r="I3" s="40" t="s">
        <v>2</v>
      </c>
      <c r="J3" s="155"/>
      <c r="K3" s="157"/>
      <c r="L3" s="157"/>
      <c r="M3" s="157"/>
      <c r="N3" s="157"/>
      <c r="O3" s="159"/>
      <c r="P3" s="155"/>
      <c r="R3" s="40" t="s">
        <v>6</v>
      </c>
      <c r="S3" s="170"/>
      <c r="T3" s="41" t="s">
        <v>62</v>
      </c>
      <c r="U3" s="41" t="s">
        <v>8</v>
      </c>
      <c r="V3" s="40" t="s">
        <v>2</v>
      </c>
      <c r="W3" s="155"/>
      <c r="X3" s="157"/>
      <c r="Y3" s="157"/>
      <c r="Z3" s="157"/>
      <c r="AA3" s="157"/>
      <c r="AB3" s="159"/>
      <c r="AC3" s="155"/>
      <c r="AG3" s="42" t="s">
        <v>35</v>
      </c>
      <c r="AH3" s="43">
        <f ca="1">-SUM(O:O)</f>
        <v>2790668.8334319191</v>
      </c>
      <c r="AJ3" s="44" t="s">
        <v>5</v>
      </c>
      <c r="AK3" s="37" t="s">
        <v>44</v>
      </c>
      <c r="AL3" s="37" t="s">
        <v>1</v>
      </c>
      <c r="AM3" s="37"/>
      <c r="AN3" s="37"/>
      <c r="AO3" s="37" t="s">
        <v>8</v>
      </c>
      <c r="AP3" s="45" t="s">
        <v>9</v>
      </c>
      <c r="AR3" s="46" t="s">
        <v>7</v>
      </c>
      <c r="AS3" s="47" t="s">
        <v>6</v>
      </c>
      <c r="AT3" s="48" t="s">
        <v>75</v>
      </c>
      <c r="AU3" s="48" t="s">
        <v>76</v>
      </c>
      <c r="AV3" s="48" t="s">
        <v>12</v>
      </c>
      <c r="AW3" s="49" t="s">
        <v>11</v>
      </c>
      <c r="AY3" s="50" t="s">
        <v>7</v>
      </c>
      <c r="AZ3" s="51">
        <v>1</v>
      </c>
      <c r="BA3" s="51">
        <v>2</v>
      </c>
      <c r="BB3" s="51">
        <v>3</v>
      </c>
      <c r="BC3" s="51">
        <v>4</v>
      </c>
      <c r="BD3" s="51">
        <v>5</v>
      </c>
      <c r="BE3" s="51">
        <v>6</v>
      </c>
      <c r="BF3" s="51">
        <v>7</v>
      </c>
      <c r="BG3" s="51">
        <v>8</v>
      </c>
      <c r="BH3" s="51">
        <v>9</v>
      </c>
      <c r="BI3" s="51">
        <v>10</v>
      </c>
      <c r="BJ3" s="51">
        <v>11</v>
      </c>
      <c r="BK3" s="51">
        <v>12</v>
      </c>
      <c r="BL3" s="52" t="s">
        <v>10</v>
      </c>
      <c r="BM3" s="53" t="s">
        <v>11</v>
      </c>
    </row>
    <row r="4" spans="2:65">
      <c r="B4" t="s">
        <v>0</v>
      </c>
      <c r="C4" s="23">
        <v>1987615</v>
      </c>
      <c r="E4">
        <v>1</v>
      </c>
      <c r="F4" s="54">
        <f>$C$3</f>
        <v>62</v>
      </c>
      <c r="G4" s="55">
        <f>(1-(1-IF(F4&gt;$AJ$90,0,VLOOKUP(ROUND(F4,0),$AJ$4:$AK$90,2,FALSE)))^(1/12))</f>
        <v>1.7090569820643609E-3</v>
      </c>
      <c r="H4" s="56">
        <v>1</v>
      </c>
      <c r="I4" s="57">
        <f>C4*(1-$C$14-$C$15*(1+$C$20))</f>
        <v>1964956.189</v>
      </c>
      <c r="J4" s="57">
        <f t="shared" ref="J4" si="0">(I4)*$AU4</f>
        <v>13403.93560767001</v>
      </c>
      <c r="K4" s="58">
        <f t="shared" ref="K4" si="1">IF(I4=0,0,-$C$19)*H4</f>
        <v>-20</v>
      </c>
      <c r="L4" s="58">
        <f>-I4*($C$16/12)</f>
        <v>0</v>
      </c>
      <c r="M4" s="58">
        <f>-IF(MOD(E4-1,12)=0,1,0)*I4*($C$17)</f>
        <v>0</v>
      </c>
      <c r="N4" s="58">
        <f>-I4*($C$18*(1+$C$20))/12</f>
        <v>0</v>
      </c>
      <c r="O4" s="59">
        <f t="shared" ref="O4:O67" ca="1" si="2">-MIN(IF(MOD(R4,IF($C$5="Annual",12,1))=0,1,0)*$C$33*U4/IF($C$5="Monthly",12,1),I4)</f>
        <v>-16716.004616439077</v>
      </c>
      <c r="P4" s="57">
        <f t="shared" ref="P4:P67" ca="1" si="3">SUM(I4:O4)</f>
        <v>1961624.119991231</v>
      </c>
      <c r="Q4" s="35"/>
      <c r="R4" s="60">
        <f ca="1">OFFSET($E$3,MATCH(C3,F4:F784,1),0)</f>
        <v>1</v>
      </c>
      <c r="S4" s="56">
        <f>$C$3</f>
        <v>62</v>
      </c>
      <c r="T4" s="55">
        <f t="shared" ref="T4" si="4">(1-(1-IF(S4&gt;$AJ$90,0,VLOOKUP(ROUND(S4,0),$AJ$4:$AK$90,2,FALSE)))^(1/12))</f>
        <v>1.7090569820643609E-3</v>
      </c>
      <c r="U4" s="61">
        <f ca="1">OFFSET($H$3,MATCH(C3,F4:F784,1),0)</f>
        <v>1</v>
      </c>
      <c r="V4" s="57">
        <f ca="1">OFFSET($I$4,MATCH(C3,$F$4:$F$784,1)-1,0)</f>
        <v>1964956.189</v>
      </c>
      <c r="W4" s="57">
        <f t="shared" ref="W4:W67" ca="1" si="5">(V4)*$AU4</f>
        <v>13403.93560767001</v>
      </c>
      <c r="X4" s="58">
        <f t="shared" ref="X4:X67" ca="1" si="6">IF(V4=0,0,-$C$19)*U4</f>
        <v>-20</v>
      </c>
      <c r="Y4" s="58">
        <f ca="1">-V4*($C$16/12)</f>
        <v>0</v>
      </c>
      <c r="Z4" s="58">
        <f t="shared" ref="Z4:Z67" ca="1" si="7">-IF(MOD(R4-1,12)=0,1,0)*V4*($C$17)</f>
        <v>0</v>
      </c>
      <c r="AA4" s="58">
        <f ca="1">-V4*($C$18*(1+$C$20))/12</f>
        <v>0</v>
      </c>
      <c r="AB4" s="59">
        <f t="shared" ref="AB4:AB67" ca="1" si="8">-MIN(IF(MOD(R4,IF($C$5="Annual",12,1))=0,1,0)*$C$33*U4/IF($C$5="Monthly",12,1),V4)</f>
        <v>-16716.004616439077</v>
      </c>
      <c r="AC4" s="57">
        <f t="shared" ref="AC4:AC67" ca="1" si="9">SUM(V4:AB4)</f>
        <v>1961624.119991231</v>
      </c>
      <c r="AD4" s="35"/>
      <c r="AE4" s="62">
        <f t="shared" ref="AE4:AE67" ca="1" si="10">AB4/U4</f>
        <v>-16716.004616439077</v>
      </c>
      <c r="AF4" s="62">
        <f t="shared" ref="AF4:AF67" ca="1" si="11">AC4/U4</f>
        <v>1961624.119991231</v>
      </c>
      <c r="AG4" s="63" t="s">
        <v>36</v>
      </c>
      <c r="AH4" s="35">
        <f ca="1">-SUMPRODUCT(O4:O1803,AT4:AT1803)</f>
        <v>1543998.9301555112</v>
      </c>
      <c r="AI4" s="64"/>
      <c r="AJ4" s="65">
        <v>18</v>
      </c>
      <c r="AK4" s="66">
        <f>'SA85-90'!F10*(1+$AH$22)</f>
        <v>3.6300000000000004E-3</v>
      </c>
      <c r="AL4" s="66">
        <f>'SA85-90 (light)'!F10*(1+$AH$22)</f>
        <v>1.7819999999999999E-3</v>
      </c>
      <c r="AM4" s="66"/>
      <c r="AN4" s="66"/>
      <c r="AO4" s="67">
        <f>(1-VLOOKUP($C$3+E4-1,$AJ$4:$AK$90,2,FALSE))</f>
        <v>0.97968299999999997</v>
      </c>
      <c r="AP4" s="68">
        <f>AO4</f>
        <v>0.97968299999999997</v>
      </c>
      <c r="AR4" s="69">
        <f>ROUNDDOWN((AS4-1)/12,0)+1</f>
        <v>1</v>
      </c>
      <c r="AS4" s="70">
        <v>1</v>
      </c>
      <c r="AT4" s="71">
        <f>1-AU4</f>
        <v>0.99317850663403773</v>
      </c>
      <c r="AU4" s="72">
        <f t="shared" ref="AU4:AU67" si="12">((1+$AH$21)^(1/12))-1</f>
        <v>6.8214933659622723E-3</v>
      </c>
      <c r="AV4" s="73">
        <f>(1+AU4)</f>
        <v>1.0068214933659623</v>
      </c>
      <c r="AW4" s="74">
        <f>AV4</f>
        <v>1.0068214933659623</v>
      </c>
      <c r="AY4" s="75">
        <f>1</f>
        <v>1</v>
      </c>
      <c r="AZ4" s="76">
        <f t="shared" ref="AZ4:BK4" ca="1" si="13">OFFSET($AV$3,($AY4*12-11)*AZ$3,0)</f>
        <v>1.0068214933659623</v>
      </c>
      <c r="BA4" s="76">
        <f t="shared" ca="1" si="13"/>
        <v>1.0068214933659623</v>
      </c>
      <c r="BB4" s="76">
        <f t="shared" ca="1" si="13"/>
        <v>1.0068214933659623</v>
      </c>
      <c r="BC4" s="76">
        <f t="shared" ca="1" si="13"/>
        <v>1.0068214933659623</v>
      </c>
      <c r="BD4" s="76">
        <f t="shared" ca="1" si="13"/>
        <v>1.0068214933659623</v>
      </c>
      <c r="BE4" s="76">
        <f t="shared" ca="1" si="13"/>
        <v>1.0068214933659623</v>
      </c>
      <c r="BF4" s="76">
        <f t="shared" ca="1" si="13"/>
        <v>1.0068214933659623</v>
      </c>
      <c r="BG4" s="76">
        <f t="shared" ca="1" si="13"/>
        <v>1.0068214933659623</v>
      </c>
      <c r="BH4" s="76">
        <f t="shared" ca="1" si="13"/>
        <v>1.0068214933659623</v>
      </c>
      <c r="BI4" s="76">
        <f t="shared" ca="1" si="13"/>
        <v>1.0068214933659623</v>
      </c>
      <c r="BJ4" s="76">
        <f t="shared" ca="1" si="13"/>
        <v>1.0068214933659623</v>
      </c>
      <c r="BK4" s="76">
        <f t="shared" ca="1" si="13"/>
        <v>1.0068214933659623</v>
      </c>
      <c r="BL4" s="76">
        <f t="shared" ref="BL4:BL35" ca="1" si="14">PRODUCT(AZ4:BK4)-1</f>
        <v>8.5000000000000853E-2</v>
      </c>
      <c r="BM4" s="77">
        <f ca="1">PRODUCT(AZ4:BK4)</f>
        <v>1.0850000000000009</v>
      </c>
    </row>
    <row r="5" spans="2:65">
      <c r="B5" s="82" t="s">
        <v>31</v>
      </c>
      <c r="C5" s="149" t="s">
        <v>58</v>
      </c>
      <c r="D5" s="64"/>
      <c r="E5">
        <f>E4+1</f>
        <v>2</v>
      </c>
      <c r="F5" s="64">
        <f t="shared" ref="F5:F68" si="15">ROUND((E5-E4)/12+F4,2)</f>
        <v>62.08</v>
      </c>
      <c r="G5" s="55">
        <f t="shared" ref="G5:G68" si="16">(1-(1-IF(F5&gt;$AJ$90,0,VLOOKUP(ROUND(F5,0),$AJ$4:$AK$90,2,FALSE)))^(1/12))</f>
        <v>1.7090569820643609E-3</v>
      </c>
      <c r="H5" s="78">
        <f>H4*(1-G4)</f>
        <v>0.99829094301793564</v>
      </c>
      <c r="I5" s="79">
        <f t="shared" ref="I5:I68" ca="1" si="17">MAX(P4,0)*(1-G5)</f>
        <v>1958271.5925927742</v>
      </c>
      <c r="J5" s="79">
        <f t="shared" ref="J5:J68" ca="1" si="18">(I5)*$AU5</f>
        <v>13358.336677623984</v>
      </c>
      <c r="K5" s="80">
        <f t="shared" ref="K5:K68" ca="1" si="19">IF(I5=0,0,-$C$19)*H5</f>
        <v>-19.965818860358713</v>
      </c>
      <c r="L5" s="80">
        <f t="shared" ref="L5:L68" ca="1" si="20">IF(OR(I4+O4=0,K4=0),0,-I5*($C$16/12))</f>
        <v>0</v>
      </c>
      <c r="M5" s="80">
        <f t="shared" ref="M5:M68" ca="1" si="21">IF(OR(I4+O4=0,K4=0),0,-IF(MOD(E5-1,12)=0,1,0)*I5*($C$17))</f>
        <v>0</v>
      </c>
      <c r="N5" s="80">
        <f t="shared" ref="N5:N68" ca="1" si="22">IF(OR(I4+O4=0,K4=0),0,-I5*($C$18*(1+$C$20))/12)</f>
        <v>0</v>
      </c>
      <c r="O5" s="81">
        <f t="shared" ca="1" si="2"/>
        <v>-16687.436012037131</v>
      </c>
      <c r="P5" s="79">
        <f t="shared" ca="1" si="3"/>
        <v>1954922.5274395007</v>
      </c>
      <c r="Q5" s="35"/>
      <c r="R5">
        <f t="shared" ref="R5:R68" ca="1" si="23">R4+1</f>
        <v>2</v>
      </c>
      <c r="S5" s="78">
        <f t="shared" ref="S5:S68" ca="1" si="24">ROUND((R5-R4)/12+S4,2)</f>
        <v>62.08</v>
      </c>
      <c r="T5" s="55">
        <f t="shared" ref="T5:T68" ca="1" si="25">(1-(1-IF(S5&gt;$AJ$90,0,VLOOKUP(ROUND(S5,0),$AJ$4:$AK$90,2,FALSE)))^(1/12))</f>
        <v>1.7090569820643609E-3</v>
      </c>
      <c r="U5" s="78">
        <f t="shared" ref="U5:U68" ca="1" si="26">U4*(1-T5)</f>
        <v>0.99829094301793564</v>
      </c>
      <c r="V5" s="79">
        <f t="shared" ref="V5:V68" ca="1" si="27">MAX(AC4,0)*(1-T5)</f>
        <v>1958271.5925927742</v>
      </c>
      <c r="W5" s="79">
        <f t="shared" ca="1" si="5"/>
        <v>13358.336677623984</v>
      </c>
      <c r="X5" s="80">
        <f t="shared" ca="1" si="6"/>
        <v>-19.965818860358713</v>
      </c>
      <c r="Y5" s="80">
        <f t="shared" ref="Y5:Y68" ca="1" si="28">IF(OR(V4+AB4=0,X4=0),0,-V5*($C$16/12))</f>
        <v>0</v>
      </c>
      <c r="Z5" s="80">
        <f t="shared" ca="1" si="7"/>
        <v>0</v>
      </c>
      <c r="AA5" s="80">
        <f t="shared" ref="AA5:AA68" ca="1" si="29">IF(OR(V4+AB4=0,X4=0),0,-V5*($C$18*(1+$C$20))/12)</f>
        <v>0</v>
      </c>
      <c r="AB5" s="81">
        <f t="shared" ca="1" si="8"/>
        <v>-16687.436012037131</v>
      </c>
      <c r="AC5" s="79">
        <f t="shared" ca="1" si="9"/>
        <v>1954922.5274395007</v>
      </c>
      <c r="AD5" s="35"/>
      <c r="AE5" s="62">
        <f t="shared" ca="1" si="10"/>
        <v>-16716.004616439077</v>
      </c>
      <c r="AF5" s="62">
        <f t="shared" ca="1" si="11"/>
        <v>1958269.3212958237</v>
      </c>
      <c r="AG5" s="63" t="s">
        <v>37</v>
      </c>
      <c r="AH5" s="35">
        <f>C4</f>
        <v>1987615</v>
      </c>
      <c r="AI5" s="35"/>
      <c r="AJ5" s="65">
        <v>19</v>
      </c>
      <c r="AK5" s="66">
        <f>'SA85-90'!F11*(1+$AH$22)</f>
        <v>3.6850000000000003E-3</v>
      </c>
      <c r="AL5" s="66">
        <f>'SA85-90 (light)'!F11*(1+$AH$22)</f>
        <v>2.068E-3</v>
      </c>
      <c r="AM5" s="66">
        <f>$C$3+E5-1</f>
        <v>63</v>
      </c>
      <c r="AN5" s="66">
        <f>IF(AM5&gt;$AJ$90,0,VLOOKUP($C$3+E5-1,$AJ$4:$AK$90,2,FALSE))</f>
        <v>2.2297000000000001E-2</v>
      </c>
      <c r="AO5" s="67">
        <f>(1-IFERROR(AN5,1))*AO4</f>
        <v>0.95783900814899992</v>
      </c>
      <c r="AP5" s="68">
        <f t="shared" ref="AP5:AP36" ca="1" si="30">AO5/BM4</f>
        <v>0.88280092916958453</v>
      </c>
      <c r="AR5" s="69">
        <f t="shared" ref="AR5:AR68" si="31">ROUNDDOWN((AS5-1)/12,0)+1</f>
        <v>1</v>
      </c>
      <c r="AS5" s="70">
        <f>AS4+1</f>
        <v>2</v>
      </c>
      <c r="AT5" s="71">
        <f>(1-AU5)*AT4</f>
        <v>0.98640354603981728</v>
      </c>
      <c r="AU5" s="72">
        <f t="shared" si="12"/>
        <v>6.8214933659622723E-3</v>
      </c>
      <c r="AV5" s="73">
        <f t="shared" ref="AV5:AV68" si="32">(1+AU5)</f>
        <v>1.0068214933659623</v>
      </c>
      <c r="AW5" s="74">
        <f>PRODUCT(AV$4:AV5)</f>
        <v>1.0136895195036664</v>
      </c>
      <c r="AY5" s="75">
        <f>AY4+1</f>
        <v>2</v>
      </c>
      <c r="AZ5" s="76">
        <f t="shared" ref="AZ5:BK14" ca="1" si="33">OFFSET($AV$3,($AY5*12-12)+AZ$3,0)</f>
        <v>1.0068214933659623</v>
      </c>
      <c r="BA5" s="76">
        <f t="shared" ca="1" si="33"/>
        <v>1.0068214933659623</v>
      </c>
      <c r="BB5" s="76">
        <f t="shared" ca="1" si="33"/>
        <v>1.0068214933659623</v>
      </c>
      <c r="BC5" s="76">
        <f t="shared" ca="1" si="33"/>
        <v>1.0068214933659623</v>
      </c>
      <c r="BD5" s="76">
        <f t="shared" ca="1" si="33"/>
        <v>1.0068214933659623</v>
      </c>
      <c r="BE5" s="76">
        <f t="shared" ca="1" si="33"/>
        <v>1.0068214933659623</v>
      </c>
      <c r="BF5" s="76">
        <f t="shared" ca="1" si="33"/>
        <v>1.0068214933659623</v>
      </c>
      <c r="BG5" s="76">
        <f t="shared" ca="1" si="33"/>
        <v>1.0068214933659623</v>
      </c>
      <c r="BH5" s="76">
        <f t="shared" ca="1" si="33"/>
        <v>1.0068214933659623</v>
      </c>
      <c r="BI5" s="76">
        <f t="shared" ca="1" si="33"/>
        <v>1.0068214933659623</v>
      </c>
      <c r="BJ5" s="76">
        <f t="shared" ca="1" si="33"/>
        <v>1.0068214933659623</v>
      </c>
      <c r="BK5" s="76">
        <f t="shared" ca="1" si="33"/>
        <v>1.0068214933659623</v>
      </c>
      <c r="BL5" s="76">
        <f t="shared" ca="1" si="14"/>
        <v>8.5000000000000853E-2</v>
      </c>
      <c r="BM5" s="77">
        <f t="shared" ref="BM5:BM36" ca="1" si="34">PRODUCT(AZ5:BK5)*BM4</f>
        <v>1.1772250000000017</v>
      </c>
    </row>
    <row r="6" spans="2:65">
      <c r="E6">
        <f t="shared" ref="E6:E69" si="35">E5+1</f>
        <v>3</v>
      </c>
      <c r="F6" s="64">
        <f t="shared" si="15"/>
        <v>62.16</v>
      </c>
      <c r="G6" s="55">
        <f t="shared" si="16"/>
        <v>1.7090569820643609E-3</v>
      </c>
      <c r="H6" s="78">
        <f>H5*(1-G6)</f>
        <v>0.9965848069116392</v>
      </c>
      <c r="I6" s="79">
        <f t="shared" ca="1" si="17"/>
        <v>1951581.4534445852</v>
      </c>
      <c r="J6" s="79">
        <f t="shared" ca="1" si="18"/>
        <v>13312.699937807247</v>
      </c>
      <c r="K6" s="80">
        <f t="shared" ca="1" si="19"/>
        <v>-19.931696138232784</v>
      </c>
      <c r="L6" s="80">
        <f t="shared" ca="1" si="20"/>
        <v>0</v>
      </c>
      <c r="M6" s="80">
        <f t="shared" ca="1" si="21"/>
        <v>0</v>
      </c>
      <c r="N6" s="80">
        <f t="shared" ca="1" si="22"/>
        <v>0</v>
      </c>
      <c r="O6" s="81">
        <f t="shared" ca="1" si="2"/>
        <v>-16658.916233008007</v>
      </c>
      <c r="P6" s="79">
        <f t="shared" ca="1" si="3"/>
        <v>1948215.305453246</v>
      </c>
      <c r="Q6" s="35"/>
      <c r="R6">
        <f t="shared" ca="1" si="23"/>
        <v>3</v>
      </c>
      <c r="S6" s="78">
        <f t="shared" ca="1" si="24"/>
        <v>62.16</v>
      </c>
      <c r="T6" s="55">
        <f t="shared" ca="1" si="25"/>
        <v>1.7090569820643609E-3</v>
      </c>
      <c r="U6" s="78">
        <f t="shared" ca="1" si="26"/>
        <v>0.9965848069116392</v>
      </c>
      <c r="V6" s="79">
        <f t="shared" ca="1" si="27"/>
        <v>1951581.4534445852</v>
      </c>
      <c r="W6" s="79">
        <f t="shared" ca="1" si="5"/>
        <v>13312.699937807247</v>
      </c>
      <c r="X6" s="80">
        <f t="shared" ca="1" si="6"/>
        <v>-19.931696138232784</v>
      </c>
      <c r="Y6" s="80">
        <f t="shared" ca="1" si="28"/>
        <v>0</v>
      </c>
      <c r="Z6" s="80">
        <f t="shared" ca="1" si="7"/>
        <v>0</v>
      </c>
      <c r="AA6" s="80">
        <f t="shared" ca="1" si="29"/>
        <v>0</v>
      </c>
      <c r="AB6" s="81">
        <f t="shared" ca="1" si="8"/>
        <v>-16658.916233008007</v>
      </c>
      <c r="AC6" s="79">
        <f t="shared" ca="1" si="9"/>
        <v>1948215.305453246</v>
      </c>
      <c r="AD6" s="35"/>
      <c r="AE6" s="62">
        <f t="shared" ca="1" si="10"/>
        <v>-16716.004616439077</v>
      </c>
      <c r="AF6" s="62">
        <f t="shared" ca="1" si="11"/>
        <v>1954891.6378633713</v>
      </c>
      <c r="AG6" s="1"/>
      <c r="AH6" s="35"/>
      <c r="AI6" s="35"/>
      <c r="AJ6" s="65">
        <v>20</v>
      </c>
      <c r="AK6" s="66">
        <f>'SA85-90'!F12*(1+$AH$22)</f>
        <v>3.3220000000000003E-3</v>
      </c>
      <c r="AL6" s="66">
        <f>'SA85-90 (light)'!F12*(1+$AH$22)</f>
        <v>2.3650000000000003E-3</v>
      </c>
      <c r="AM6" s="66">
        <f t="shared" ref="AM6:AM69" si="36">$C$3+E6-1</f>
        <v>64</v>
      </c>
      <c r="AN6" s="66">
        <f t="shared" ref="AN6:AN69" si="37">IF(AM6&gt;$AJ$90,0,VLOOKUP($C$3+E6-1,$AJ$4:$AK$90,2,FALSE))</f>
        <v>2.4464E-2</v>
      </c>
      <c r="AO6" s="67">
        <f t="shared" ref="AO6:AO69" si="38">(1-IFERROR(AN6,1))*AO5</f>
        <v>0.9344064346536427</v>
      </c>
      <c r="AP6" s="68">
        <f t="shared" ca="1" si="30"/>
        <v>0.79373648593398993</v>
      </c>
      <c r="AR6" s="69">
        <f t="shared" si="31"/>
        <v>1</v>
      </c>
      <c r="AS6" s="70">
        <f t="shared" ref="AS6:AS69" si="39">AS5+1</f>
        <v>3</v>
      </c>
      <c r="AT6" s="71">
        <f t="shared" ref="AT6:AT69" si="40">(1-AU6)*AT5</f>
        <v>0.97967480079434499</v>
      </c>
      <c r="AU6" s="72">
        <f t="shared" si="12"/>
        <v>6.8214933659622723E-3</v>
      </c>
      <c r="AV6" s="73">
        <f t="shared" si="32"/>
        <v>1.0068214933659623</v>
      </c>
      <c r="AW6" s="74">
        <f>PRODUCT(AV$4:AV6)</f>
        <v>1.0206043958361062</v>
      </c>
      <c r="AY6" s="75">
        <f t="shared" ref="AY6:AY69" si="41">AY5+1</f>
        <v>3</v>
      </c>
      <c r="AZ6" s="76">
        <f t="shared" ca="1" si="33"/>
        <v>1.0068214933659623</v>
      </c>
      <c r="BA6" s="76">
        <f t="shared" ca="1" si="33"/>
        <v>1.0068214933659623</v>
      </c>
      <c r="BB6" s="76">
        <f t="shared" ca="1" si="33"/>
        <v>1.0068214933659623</v>
      </c>
      <c r="BC6" s="76">
        <f t="shared" ca="1" si="33"/>
        <v>1.0068214933659623</v>
      </c>
      <c r="BD6" s="76">
        <f t="shared" ca="1" si="33"/>
        <v>1.0068214933659623</v>
      </c>
      <c r="BE6" s="76">
        <f t="shared" ca="1" si="33"/>
        <v>1.0068214933659623</v>
      </c>
      <c r="BF6" s="76">
        <f t="shared" ca="1" si="33"/>
        <v>1.0068214933659623</v>
      </c>
      <c r="BG6" s="76">
        <f t="shared" ca="1" si="33"/>
        <v>1.0068214933659623</v>
      </c>
      <c r="BH6" s="76">
        <f t="shared" ca="1" si="33"/>
        <v>1.0068214933659623</v>
      </c>
      <c r="BI6" s="76">
        <f t="shared" ca="1" si="33"/>
        <v>1.0068214933659623</v>
      </c>
      <c r="BJ6" s="76">
        <f t="shared" ca="1" si="33"/>
        <v>1.0068214933659623</v>
      </c>
      <c r="BK6" s="76">
        <f t="shared" ca="1" si="33"/>
        <v>1.0068214933659623</v>
      </c>
      <c r="BL6" s="76">
        <f t="shared" ca="1" si="14"/>
        <v>8.5000000000000853E-2</v>
      </c>
      <c r="BM6" s="77">
        <f t="shared" ca="1" si="34"/>
        <v>1.2772891250000029</v>
      </c>
    </row>
    <row r="7" spans="2:65">
      <c r="B7" s="84"/>
      <c r="C7" s="85"/>
      <c r="D7" s="83" t="s">
        <v>78</v>
      </c>
      <c r="E7">
        <f t="shared" si="35"/>
        <v>4</v>
      </c>
      <c r="F7" s="64">
        <f t="shared" si="15"/>
        <v>62.24</v>
      </c>
      <c r="G7" s="55">
        <f t="shared" si="16"/>
        <v>1.7090569820643609E-3</v>
      </c>
      <c r="H7" s="78">
        <f t="shared" ref="H7:H70" si="42">H6*(1-G7)</f>
        <v>0.9948815866891676</v>
      </c>
      <c r="I7" s="79">
        <f t="shared" ca="1" si="17"/>
        <v>1944885.6944828965</v>
      </c>
      <c r="J7" s="79">
        <f t="shared" ca="1" si="18"/>
        <v>13267.024862470005</v>
      </c>
      <c r="K7" s="80">
        <f t="shared" ca="1" si="19"/>
        <v>-19.897631733783353</v>
      </c>
      <c r="L7" s="80">
        <f t="shared" ca="1" si="20"/>
        <v>0</v>
      </c>
      <c r="M7" s="80">
        <f t="shared" ca="1" si="21"/>
        <v>0</v>
      </c>
      <c r="N7" s="80">
        <f t="shared" ca="1" si="22"/>
        <v>0</v>
      </c>
      <c r="O7" s="81">
        <f t="shared" ca="1" si="2"/>
        <v>-16630.445195906363</v>
      </c>
      <c r="P7" s="79">
        <f t="shared" ca="1" si="3"/>
        <v>1941502.3765177266</v>
      </c>
      <c r="Q7" s="35"/>
      <c r="R7">
        <f t="shared" ca="1" si="23"/>
        <v>4</v>
      </c>
      <c r="S7" s="78">
        <f t="shared" ca="1" si="24"/>
        <v>62.24</v>
      </c>
      <c r="T7" s="55">
        <f t="shared" ca="1" si="25"/>
        <v>1.7090569820643609E-3</v>
      </c>
      <c r="U7" s="78">
        <f t="shared" ca="1" si="26"/>
        <v>0.9948815866891676</v>
      </c>
      <c r="V7" s="79">
        <f t="shared" ca="1" si="27"/>
        <v>1944885.6944828965</v>
      </c>
      <c r="W7" s="79">
        <f t="shared" ca="1" si="5"/>
        <v>13267.024862470005</v>
      </c>
      <c r="X7" s="80">
        <f t="shared" ca="1" si="6"/>
        <v>-19.897631733783353</v>
      </c>
      <c r="Y7" s="80">
        <f t="shared" ca="1" si="28"/>
        <v>0</v>
      </c>
      <c r="Z7" s="80">
        <f t="shared" ca="1" si="7"/>
        <v>0</v>
      </c>
      <c r="AA7" s="80">
        <f t="shared" ca="1" si="29"/>
        <v>0</v>
      </c>
      <c r="AB7" s="81">
        <f t="shared" ca="1" si="8"/>
        <v>-16630.445195906363</v>
      </c>
      <c r="AC7" s="79">
        <f t="shared" ca="1" si="9"/>
        <v>1941502.3765177266</v>
      </c>
      <c r="AD7" s="35"/>
      <c r="AE7" s="62">
        <f t="shared" ca="1" si="10"/>
        <v>-16716.004616439081</v>
      </c>
      <c r="AF7" s="62">
        <f t="shared" ca="1" si="11"/>
        <v>1951490.9135857925</v>
      </c>
      <c r="AG7" s="63"/>
      <c r="AH7" s="35"/>
      <c r="AI7" s="35"/>
      <c r="AJ7" s="65">
        <v>21</v>
      </c>
      <c r="AK7" s="66">
        <f>'SA85-90'!F13*(1+$AH$22)</f>
        <v>3.1130000000000003E-3</v>
      </c>
      <c r="AL7" s="66">
        <f>'SA85-90 (light)'!F13*(1+$AH$22)</f>
        <v>2.5850000000000005E-3</v>
      </c>
      <c r="AM7" s="66">
        <f t="shared" si="36"/>
        <v>65</v>
      </c>
      <c r="AN7" s="66">
        <f t="shared" si="37"/>
        <v>2.6840000000000003E-2</v>
      </c>
      <c r="AO7" s="67">
        <f t="shared" si="38"/>
        <v>0.90932696594753892</v>
      </c>
      <c r="AP7" s="68">
        <f t="shared" ca="1" si="30"/>
        <v>0.71191944576177058</v>
      </c>
      <c r="AR7" s="69">
        <f t="shared" si="31"/>
        <v>1</v>
      </c>
      <c r="AS7" s="70">
        <f t="shared" si="39"/>
        <v>4</v>
      </c>
      <c r="AT7" s="71">
        <f t="shared" si="40"/>
        <v>0.97299195563992591</v>
      </c>
      <c r="AU7" s="72">
        <f t="shared" si="12"/>
        <v>6.8214933659622723E-3</v>
      </c>
      <c r="AV7" s="73">
        <f t="shared" si="32"/>
        <v>1.0068214933659623</v>
      </c>
      <c r="AW7" s="74">
        <f>PRODUCT(AV$4:AV7)</f>
        <v>1.0275664419515742</v>
      </c>
      <c r="AY7" s="75">
        <f t="shared" si="41"/>
        <v>4</v>
      </c>
      <c r="AZ7" s="76">
        <f t="shared" ca="1" si="33"/>
        <v>1.0068214933659623</v>
      </c>
      <c r="BA7" s="76">
        <f t="shared" ca="1" si="33"/>
        <v>1.0068214933659623</v>
      </c>
      <c r="BB7" s="76">
        <f t="shared" ca="1" si="33"/>
        <v>1.0068214933659623</v>
      </c>
      <c r="BC7" s="76">
        <f t="shared" ca="1" si="33"/>
        <v>1.0068214933659623</v>
      </c>
      <c r="BD7" s="76">
        <f t="shared" ca="1" si="33"/>
        <v>1.0068214933659623</v>
      </c>
      <c r="BE7" s="76">
        <f t="shared" ca="1" si="33"/>
        <v>1.0068214933659623</v>
      </c>
      <c r="BF7" s="76">
        <f t="shared" ca="1" si="33"/>
        <v>1.0068214933659623</v>
      </c>
      <c r="BG7" s="76">
        <f t="shared" ca="1" si="33"/>
        <v>1.0068214933659623</v>
      </c>
      <c r="BH7" s="76">
        <f t="shared" ca="1" si="33"/>
        <v>1.0068214933659623</v>
      </c>
      <c r="BI7" s="76">
        <f t="shared" ca="1" si="33"/>
        <v>1.0068214933659623</v>
      </c>
      <c r="BJ7" s="76">
        <f t="shared" ca="1" si="33"/>
        <v>1.0068214933659623</v>
      </c>
      <c r="BK7" s="76">
        <f t="shared" ca="1" si="33"/>
        <v>1.0068214933659623</v>
      </c>
      <c r="BL7" s="76">
        <f t="shared" ca="1" si="14"/>
        <v>8.5000000000000853E-2</v>
      </c>
      <c r="BM7" s="77">
        <f t="shared" ca="1" si="34"/>
        <v>1.3858587006250043</v>
      </c>
    </row>
    <row r="8" spans="2:65">
      <c r="B8" s="92"/>
      <c r="C8" s="93"/>
      <c r="D8" s="86" t="s">
        <v>77</v>
      </c>
      <c r="E8">
        <f t="shared" si="35"/>
        <v>5</v>
      </c>
      <c r="F8" s="64">
        <f t="shared" si="15"/>
        <v>62.32</v>
      </c>
      <c r="G8" s="55">
        <f t="shared" si="16"/>
        <v>1.7090569820643609E-3</v>
      </c>
      <c r="H8" s="78">
        <f t="shared" si="42"/>
        <v>0.99318127736710915</v>
      </c>
      <c r="I8" s="79">
        <f t="shared" ca="1" si="17"/>
        <v>1938184.2383254445</v>
      </c>
      <c r="J8" s="79">
        <f t="shared" ca="1" si="18"/>
        <v>13221.310923749659</v>
      </c>
      <c r="K8" s="80">
        <f t="shared" ca="1" si="19"/>
        <v>-19.863625547342181</v>
      </c>
      <c r="L8" s="80">
        <f t="shared" ca="1" si="20"/>
        <v>0</v>
      </c>
      <c r="M8" s="80">
        <f t="shared" ca="1" si="21"/>
        <v>0</v>
      </c>
      <c r="N8" s="80">
        <f t="shared" ca="1" si="22"/>
        <v>0</v>
      </c>
      <c r="O8" s="81">
        <f t="shared" ca="1" si="2"/>
        <v>-16602.022817429457</v>
      </c>
      <c r="P8" s="79">
        <f t="shared" ca="1" si="3"/>
        <v>1934783.6628062173</v>
      </c>
      <c r="Q8" s="35"/>
      <c r="R8">
        <f t="shared" ca="1" si="23"/>
        <v>5</v>
      </c>
      <c r="S8" s="78">
        <f t="shared" ca="1" si="24"/>
        <v>62.32</v>
      </c>
      <c r="T8" s="55">
        <f t="shared" ca="1" si="25"/>
        <v>1.7090569820643609E-3</v>
      </c>
      <c r="U8" s="78">
        <f t="shared" ca="1" si="26"/>
        <v>0.99318127736710915</v>
      </c>
      <c r="V8" s="79">
        <f t="shared" ca="1" si="27"/>
        <v>1938184.2383254445</v>
      </c>
      <c r="W8" s="79">
        <f t="shared" ca="1" si="5"/>
        <v>13221.310923749659</v>
      </c>
      <c r="X8" s="80">
        <f t="shared" ca="1" si="6"/>
        <v>-19.863625547342181</v>
      </c>
      <c r="Y8" s="80">
        <f t="shared" ca="1" si="28"/>
        <v>0</v>
      </c>
      <c r="Z8" s="80">
        <f t="shared" ca="1" si="7"/>
        <v>0</v>
      </c>
      <c r="AA8" s="80">
        <f t="shared" ca="1" si="29"/>
        <v>0</v>
      </c>
      <c r="AB8" s="81">
        <f t="shared" ca="1" si="8"/>
        <v>-16602.022817429457</v>
      </c>
      <c r="AC8" s="79">
        <f t="shared" ca="1" si="9"/>
        <v>1934783.6628062173</v>
      </c>
      <c r="AD8" s="35"/>
      <c r="AE8" s="62">
        <f t="shared" ca="1" si="10"/>
        <v>-16716.004616439077</v>
      </c>
      <c r="AF8" s="62">
        <f t="shared" ca="1" si="11"/>
        <v>1948066.9912901148</v>
      </c>
      <c r="AG8" s="63"/>
      <c r="AH8" s="35"/>
      <c r="AI8" s="35"/>
      <c r="AJ8" s="65">
        <v>22</v>
      </c>
      <c r="AK8" s="66">
        <f>'SA85-90'!F14*(1+$AH$22)</f>
        <v>2.9260000000000002E-3</v>
      </c>
      <c r="AL8" s="66">
        <f>'SA85-90 (light)'!F14*(1+$AH$22)</f>
        <v>2.64E-3</v>
      </c>
      <c r="AM8" s="66">
        <f t="shared" si="36"/>
        <v>66</v>
      </c>
      <c r="AN8" s="66">
        <f t="shared" si="37"/>
        <v>2.9425000000000003E-2</v>
      </c>
      <c r="AO8" s="67">
        <f t="shared" si="38"/>
        <v>0.88257001997453255</v>
      </c>
      <c r="AP8" s="68">
        <f t="shared" ca="1" si="30"/>
        <v>0.63683983047947457</v>
      </c>
      <c r="AR8" s="69">
        <f t="shared" si="31"/>
        <v>1</v>
      </c>
      <c r="AS8" s="70">
        <f t="shared" si="39"/>
        <v>5</v>
      </c>
      <c r="AT8" s="71">
        <f t="shared" si="40"/>
        <v>0.96635469746939351</v>
      </c>
      <c r="AU8" s="72">
        <f t="shared" si="12"/>
        <v>6.8214933659622723E-3</v>
      </c>
      <c r="AV8" s="73">
        <f t="shared" si="32"/>
        <v>1.0068214933659623</v>
      </c>
      <c r="AW8" s="74">
        <f>PRODUCT(AV$4:AV8)</f>
        <v>1.0345759796184324</v>
      </c>
      <c r="AY8" s="75">
        <f t="shared" si="41"/>
        <v>5</v>
      </c>
      <c r="AZ8" s="76">
        <f t="shared" ca="1" si="33"/>
        <v>1.0068214933659623</v>
      </c>
      <c r="BA8" s="76">
        <f t="shared" ca="1" si="33"/>
        <v>1.0068214933659623</v>
      </c>
      <c r="BB8" s="76">
        <f t="shared" ca="1" si="33"/>
        <v>1.0068214933659623</v>
      </c>
      <c r="BC8" s="76">
        <f t="shared" ca="1" si="33"/>
        <v>1.0068214933659623</v>
      </c>
      <c r="BD8" s="76">
        <f t="shared" ca="1" si="33"/>
        <v>1.0068214933659623</v>
      </c>
      <c r="BE8" s="76">
        <f t="shared" ca="1" si="33"/>
        <v>1.0068214933659623</v>
      </c>
      <c r="BF8" s="76">
        <f t="shared" ca="1" si="33"/>
        <v>1.0068214933659623</v>
      </c>
      <c r="BG8" s="76">
        <f t="shared" ca="1" si="33"/>
        <v>1.0068214933659623</v>
      </c>
      <c r="BH8" s="76">
        <f t="shared" ca="1" si="33"/>
        <v>1.0068214933659623</v>
      </c>
      <c r="BI8" s="76">
        <f t="shared" ca="1" si="33"/>
        <v>1.0068214933659623</v>
      </c>
      <c r="BJ8" s="76">
        <f t="shared" ca="1" si="33"/>
        <v>1.0068214933659623</v>
      </c>
      <c r="BK8" s="76">
        <f t="shared" ca="1" si="33"/>
        <v>1.0068214933659623</v>
      </c>
      <c r="BL8" s="76">
        <f t="shared" ca="1" si="14"/>
        <v>8.5000000000000853E-2</v>
      </c>
      <c r="BM8" s="77">
        <f t="shared" ca="1" si="34"/>
        <v>1.5036566901781308</v>
      </c>
    </row>
    <row r="9" spans="2:65">
      <c r="B9" s="96" t="str">
        <f>"Retirement Annuity per "&amp;IF($C$5="Annual", "Annum", "Month")&amp; " starting at "&amp;ROUND(C3,0)</f>
        <v>Retirement Annuity per Month starting at 62</v>
      </c>
      <c r="C9" s="97">
        <f>SolveLifeAnnuity/IF($C$5="Monthly",12,1)</f>
        <v>16716.004616439077</v>
      </c>
      <c r="D9" s="98">
        <f>C9*IF($C$5="Monthly",12,1)</f>
        <v>200592.05539726891</v>
      </c>
      <c r="E9">
        <f t="shared" si="35"/>
        <v>6</v>
      </c>
      <c r="F9" s="64">
        <f t="shared" si="15"/>
        <v>62.4</v>
      </c>
      <c r="G9" s="55">
        <f t="shared" si="16"/>
        <v>1.7090569820643609E-3</v>
      </c>
      <c r="H9" s="78">
        <f t="shared" si="42"/>
        <v>0.99148387397056925</v>
      </c>
      <c r="I9" s="79">
        <f t="shared" ca="1" si="17"/>
        <v>1931477.0072785143</v>
      </c>
      <c r="J9" s="79">
        <f t="shared" ca="1" si="18"/>
        <v>13175.55759165905</v>
      </c>
      <c r="K9" s="80">
        <f t="shared" ca="1" si="19"/>
        <v>-19.829677479411384</v>
      </c>
      <c r="L9" s="80">
        <f t="shared" ca="1" si="20"/>
        <v>0</v>
      </c>
      <c r="M9" s="80">
        <f t="shared" ca="1" si="21"/>
        <v>0</v>
      </c>
      <c r="N9" s="80">
        <f t="shared" ca="1" si="22"/>
        <v>0</v>
      </c>
      <c r="O9" s="81">
        <f t="shared" ca="1" si="2"/>
        <v>-16573.649014416937</v>
      </c>
      <c r="P9" s="79">
        <f t="shared" ca="1" si="3"/>
        <v>1928059.0861782772</v>
      </c>
      <c r="Q9" s="35"/>
      <c r="R9">
        <f t="shared" ca="1" si="23"/>
        <v>6</v>
      </c>
      <c r="S9" s="78">
        <f t="shared" ca="1" si="24"/>
        <v>62.4</v>
      </c>
      <c r="T9" s="55">
        <f t="shared" ca="1" si="25"/>
        <v>1.7090569820643609E-3</v>
      </c>
      <c r="U9" s="78">
        <f t="shared" ca="1" si="26"/>
        <v>0.99148387397056925</v>
      </c>
      <c r="V9" s="79">
        <f t="shared" ca="1" si="27"/>
        <v>1931477.0072785143</v>
      </c>
      <c r="W9" s="79">
        <f t="shared" ca="1" si="5"/>
        <v>13175.55759165905</v>
      </c>
      <c r="X9" s="80">
        <f t="shared" ca="1" si="6"/>
        <v>-19.829677479411384</v>
      </c>
      <c r="Y9" s="80">
        <f t="shared" ca="1" si="28"/>
        <v>0</v>
      </c>
      <c r="Z9" s="80">
        <f t="shared" ca="1" si="7"/>
        <v>0</v>
      </c>
      <c r="AA9" s="80">
        <f t="shared" ca="1" si="29"/>
        <v>0</v>
      </c>
      <c r="AB9" s="81">
        <f t="shared" ca="1" si="8"/>
        <v>-16573.649014416937</v>
      </c>
      <c r="AC9" s="79">
        <f t="shared" ca="1" si="9"/>
        <v>1928059.0861782772</v>
      </c>
      <c r="AD9" s="35"/>
      <c r="AE9" s="62">
        <f t="shared" ca="1" si="10"/>
        <v>-16716.004616439077</v>
      </c>
      <c r="AF9" s="62">
        <f t="shared" ca="1" si="11"/>
        <v>1944619.7127312117</v>
      </c>
      <c r="AG9" s="87"/>
      <c r="AH9" s="88"/>
      <c r="AI9" s="35"/>
      <c r="AJ9" s="65">
        <v>23</v>
      </c>
      <c r="AK9" s="66">
        <f>'SA85-90'!F15*(1+$AH$22)</f>
        <v>2.7610000000000004E-3</v>
      </c>
      <c r="AL9" s="66">
        <f>'SA85-90 (light)'!F15*(1+$AH$22)</f>
        <v>2.552E-3</v>
      </c>
      <c r="AM9" s="66">
        <f t="shared" si="36"/>
        <v>67</v>
      </c>
      <c r="AN9" s="66">
        <f t="shared" si="37"/>
        <v>3.2252000000000003E-2</v>
      </c>
      <c r="AO9" s="67">
        <f t="shared" si="38"/>
        <v>0.85410537169031397</v>
      </c>
      <c r="AP9" s="68">
        <f t="shared" ca="1" si="30"/>
        <v>0.56801886844870975</v>
      </c>
      <c r="AR9" s="69">
        <f t="shared" si="31"/>
        <v>1</v>
      </c>
      <c r="AS9" s="70">
        <f t="shared" si="39"/>
        <v>6</v>
      </c>
      <c r="AT9" s="71">
        <f t="shared" si="40"/>
        <v>0.95976271531143953</v>
      </c>
      <c r="AU9" s="72">
        <f t="shared" si="12"/>
        <v>6.8214933659622723E-3</v>
      </c>
      <c r="AV9" s="73">
        <f t="shared" si="32"/>
        <v>1.0068214933659623</v>
      </c>
      <c r="AW9" s="74">
        <f>PRODUCT(AV$4:AV9)</f>
        <v>1.0416333327999834</v>
      </c>
      <c r="AY9" s="75">
        <f t="shared" si="41"/>
        <v>6</v>
      </c>
      <c r="AZ9" s="76">
        <f t="shared" ca="1" si="33"/>
        <v>1.0068214933659623</v>
      </c>
      <c r="BA9" s="76">
        <f t="shared" ca="1" si="33"/>
        <v>1.0068214933659623</v>
      </c>
      <c r="BB9" s="76">
        <f t="shared" ca="1" si="33"/>
        <v>1.0068214933659623</v>
      </c>
      <c r="BC9" s="76">
        <f t="shared" ca="1" si="33"/>
        <v>1.0068214933659623</v>
      </c>
      <c r="BD9" s="76">
        <f t="shared" ca="1" si="33"/>
        <v>1.0068214933659623</v>
      </c>
      <c r="BE9" s="76">
        <f t="shared" ca="1" si="33"/>
        <v>1.0068214933659623</v>
      </c>
      <c r="BF9" s="76">
        <f t="shared" ca="1" si="33"/>
        <v>1.0068214933659623</v>
      </c>
      <c r="BG9" s="76">
        <f t="shared" ca="1" si="33"/>
        <v>1.0068214933659623</v>
      </c>
      <c r="BH9" s="76">
        <f t="shared" ca="1" si="33"/>
        <v>1.0068214933659623</v>
      </c>
      <c r="BI9" s="76">
        <f t="shared" ca="1" si="33"/>
        <v>1.0068214933659623</v>
      </c>
      <c r="BJ9" s="76">
        <f t="shared" ca="1" si="33"/>
        <v>1.0068214933659623</v>
      </c>
      <c r="BK9" s="76">
        <f t="shared" ca="1" si="33"/>
        <v>1.0068214933659623</v>
      </c>
      <c r="BL9" s="76">
        <f t="shared" ca="1" si="14"/>
        <v>8.5000000000000853E-2</v>
      </c>
      <c r="BM9" s="77">
        <f t="shared" ca="1" si="34"/>
        <v>1.6314675088432731</v>
      </c>
    </row>
    <row r="10" spans="2:65">
      <c r="B10" s="171" t="s">
        <v>96</v>
      </c>
      <c r="C10" s="171"/>
      <c r="D10" s="101">
        <f>C9/C4*IF(C5="Annual",1,12)</f>
        <v>0.10092098087268858</v>
      </c>
      <c r="E10">
        <f t="shared" si="35"/>
        <v>7</v>
      </c>
      <c r="F10" s="64">
        <f t="shared" si="15"/>
        <v>62.48</v>
      </c>
      <c r="G10" s="55">
        <f t="shared" si="16"/>
        <v>1.7090569820643609E-3</v>
      </c>
      <c r="H10" s="78">
        <f t="shared" si="42"/>
        <v>0.9897893715331556</v>
      </c>
      <c r="I10" s="79">
        <f t="shared" ca="1" si="17"/>
        <v>1924763.9233352116</v>
      </c>
      <c r="J10" s="79">
        <f t="shared" ca="1" si="18"/>
        <v>13129.764334074662</v>
      </c>
      <c r="K10" s="80">
        <f t="shared" ca="1" si="19"/>
        <v>-19.795787430663111</v>
      </c>
      <c r="L10" s="80">
        <f t="shared" ca="1" si="20"/>
        <v>0</v>
      </c>
      <c r="M10" s="80">
        <f t="shared" ca="1" si="21"/>
        <v>0</v>
      </c>
      <c r="N10" s="80">
        <f t="shared" ca="1" si="22"/>
        <v>0</v>
      </c>
      <c r="O10" s="81">
        <f t="shared" ca="1" si="2"/>
        <v>-16545.323703850565</v>
      </c>
      <c r="P10" s="79">
        <f t="shared" ca="1" si="3"/>
        <v>1921328.5681780051</v>
      </c>
      <c r="Q10" s="35"/>
      <c r="R10">
        <f t="shared" ca="1" si="23"/>
        <v>7</v>
      </c>
      <c r="S10" s="78">
        <f t="shared" ca="1" si="24"/>
        <v>62.48</v>
      </c>
      <c r="T10" s="55">
        <f t="shared" ca="1" si="25"/>
        <v>1.7090569820643609E-3</v>
      </c>
      <c r="U10" s="78">
        <f t="shared" ca="1" si="26"/>
        <v>0.9897893715331556</v>
      </c>
      <c r="V10" s="79">
        <f t="shared" ca="1" si="27"/>
        <v>1924763.9233352116</v>
      </c>
      <c r="W10" s="79">
        <f t="shared" ca="1" si="5"/>
        <v>13129.764334074662</v>
      </c>
      <c r="X10" s="80">
        <f t="shared" ca="1" si="6"/>
        <v>-19.795787430663111</v>
      </c>
      <c r="Y10" s="80">
        <f t="shared" ca="1" si="28"/>
        <v>0</v>
      </c>
      <c r="Z10" s="80">
        <f t="shared" ca="1" si="7"/>
        <v>0</v>
      </c>
      <c r="AA10" s="80">
        <f t="shared" ca="1" si="29"/>
        <v>0</v>
      </c>
      <c r="AB10" s="81">
        <f t="shared" ca="1" si="8"/>
        <v>-16545.323703850565</v>
      </c>
      <c r="AC10" s="79">
        <f t="shared" ca="1" si="9"/>
        <v>1921328.5681780051</v>
      </c>
      <c r="AD10" s="35"/>
      <c r="AE10" s="62">
        <f t="shared" ca="1" si="10"/>
        <v>-16716.004616439081</v>
      </c>
      <c r="AF10" s="62">
        <f t="shared" ca="1" si="11"/>
        <v>1941148.9185844881</v>
      </c>
      <c r="AG10" s="90" t="s">
        <v>94</v>
      </c>
      <c r="AH10" s="91" t="str">
        <f>TEXT(SUM(AO:AO),"##0,00")&amp;" "&amp;"Years"</f>
        <v>15,33 Years</v>
      </c>
      <c r="AI10" s="35"/>
      <c r="AJ10" s="65">
        <v>24</v>
      </c>
      <c r="AK10" s="66">
        <f>'SA85-90'!F16*(1+$AH$22)</f>
        <v>2.6290000000000003E-3</v>
      </c>
      <c r="AL10" s="66">
        <f>'SA85-90 (light)'!F16*(1+$AH$22)</f>
        <v>2.3980000000000004E-3</v>
      </c>
      <c r="AM10" s="66">
        <f t="shared" si="36"/>
        <v>68</v>
      </c>
      <c r="AN10" s="66">
        <f t="shared" si="37"/>
        <v>3.5321000000000005E-2</v>
      </c>
      <c r="AO10" s="67">
        <f t="shared" si="38"/>
        <v>0.82393751585684039</v>
      </c>
      <c r="AP10" s="68">
        <f t="shared" ca="1" si="30"/>
        <v>0.50502845529606677</v>
      </c>
      <c r="AR10" s="69">
        <f t="shared" si="31"/>
        <v>1</v>
      </c>
      <c r="AS10" s="70">
        <f t="shared" si="39"/>
        <v>7</v>
      </c>
      <c r="AT10" s="71">
        <f t="shared" si="40"/>
        <v>0.95321570031604463</v>
      </c>
      <c r="AU10" s="72">
        <f t="shared" si="12"/>
        <v>6.8214933659622723E-3</v>
      </c>
      <c r="AV10" s="73">
        <f t="shared" si="32"/>
        <v>1.0068214933659623</v>
      </c>
      <c r="AW10" s="74">
        <f>PRODUCT(AV$4:AV10)</f>
        <v>1.0487388276694436</v>
      </c>
      <c r="AY10" s="75">
        <f t="shared" si="41"/>
        <v>7</v>
      </c>
      <c r="AZ10" s="76">
        <f t="shared" ca="1" si="33"/>
        <v>1.0068214933659623</v>
      </c>
      <c r="BA10" s="76">
        <f t="shared" ca="1" si="33"/>
        <v>1.0068214933659623</v>
      </c>
      <c r="BB10" s="76">
        <f t="shared" ca="1" si="33"/>
        <v>1.0068214933659623</v>
      </c>
      <c r="BC10" s="76">
        <f t="shared" ca="1" si="33"/>
        <v>1.0068214933659623</v>
      </c>
      <c r="BD10" s="76">
        <f t="shared" ca="1" si="33"/>
        <v>1.0068214933659623</v>
      </c>
      <c r="BE10" s="76">
        <f t="shared" ca="1" si="33"/>
        <v>1.0068214933659623</v>
      </c>
      <c r="BF10" s="76">
        <f t="shared" ca="1" si="33"/>
        <v>1.0068214933659623</v>
      </c>
      <c r="BG10" s="76">
        <f t="shared" ca="1" si="33"/>
        <v>1.0068214933659623</v>
      </c>
      <c r="BH10" s="76">
        <f t="shared" ca="1" si="33"/>
        <v>1.0068214933659623</v>
      </c>
      <c r="BI10" s="76">
        <f t="shared" ca="1" si="33"/>
        <v>1.0068214933659623</v>
      </c>
      <c r="BJ10" s="76">
        <f t="shared" ca="1" si="33"/>
        <v>1.0068214933659623</v>
      </c>
      <c r="BK10" s="76">
        <f t="shared" ca="1" si="33"/>
        <v>1.0068214933659623</v>
      </c>
      <c r="BL10" s="76">
        <f t="shared" ca="1" si="14"/>
        <v>8.5000000000000853E-2</v>
      </c>
      <c r="BM10" s="77">
        <f t="shared" ca="1" si="34"/>
        <v>1.7701422470949526</v>
      </c>
    </row>
    <row r="11" spans="2:65">
      <c r="E11">
        <f t="shared" si="35"/>
        <v>8</v>
      </c>
      <c r="F11" s="64">
        <f t="shared" si="15"/>
        <v>62.56</v>
      </c>
      <c r="G11" s="55">
        <f t="shared" si="16"/>
        <v>1.8773469130904941E-3</v>
      </c>
      <c r="H11" s="78">
        <f t="shared" si="42"/>
        <v>0.98793119351189806</v>
      </c>
      <c r="I11" s="79">
        <f t="shared" ca="1" si="17"/>
        <v>1917721.5679215034</v>
      </c>
      <c r="J11" s="79">
        <f t="shared" ca="1" si="18"/>
        <v>13081.724953339302</v>
      </c>
      <c r="K11" s="80">
        <f t="shared" ca="1" si="19"/>
        <v>-19.758623870237962</v>
      </c>
      <c r="L11" s="80">
        <f t="shared" ca="1" si="20"/>
        <v>0</v>
      </c>
      <c r="M11" s="80">
        <f t="shared" ca="1" si="21"/>
        <v>0</v>
      </c>
      <c r="N11" s="80">
        <f t="shared" ca="1" si="22"/>
        <v>0</v>
      </c>
      <c r="O11" s="81">
        <f t="shared" ca="1" si="2"/>
        <v>-16514.262391469056</v>
      </c>
      <c r="P11" s="79">
        <f t="shared" ca="1" si="3"/>
        <v>1914269.2718595034</v>
      </c>
      <c r="Q11" s="35"/>
      <c r="R11">
        <f t="shared" ca="1" si="23"/>
        <v>8</v>
      </c>
      <c r="S11" s="78">
        <f t="shared" ca="1" si="24"/>
        <v>62.56</v>
      </c>
      <c r="T11" s="55">
        <f t="shared" ca="1" si="25"/>
        <v>1.8773469130904941E-3</v>
      </c>
      <c r="U11" s="78">
        <f t="shared" ca="1" si="26"/>
        <v>0.98793119351189806</v>
      </c>
      <c r="V11" s="79">
        <f t="shared" ca="1" si="27"/>
        <v>1917721.5679215034</v>
      </c>
      <c r="W11" s="79">
        <f t="shared" ca="1" si="5"/>
        <v>13081.724953339302</v>
      </c>
      <c r="X11" s="80">
        <f t="shared" ca="1" si="6"/>
        <v>-19.758623870237962</v>
      </c>
      <c r="Y11" s="80">
        <f t="shared" ca="1" si="28"/>
        <v>0</v>
      </c>
      <c r="Z11" s="80">
        <f t="shared" ca="1" si="7"/>
        <v>0</v>
      </c>
      <c r="AA11" s="80">
        <f t="shared" ca="1" si="29"/>
        <v>0</v>
      </c>
      <c r="AB11" s="81">
        <f t="shared" ca="1" si="8"/>
        <v>-16514.262391469056</v>
      </c>
      <c r="AC11" s="79">
        <f t="shared" ca="1" si="9"/>
        <v>1914269.2718595034</v>
      </c>
      <c r="AD11" s="35"/>
      <c r="AE11" s="62">
        <f t="shared" ca="1" si="10"/>
        <v>-16716.004616439077</v>
      </c>
      <c r="AF11" s="62">
        <f t="shared" ca="1" si="11"/>
        <v>1937654.4484385177</v>
      </c>
      <c r="AG11" s="94" t="s">
        <v>38</v>
      </c>
      <c r="AH11" s="95">
        <f ca="1">-SUM(L4:L1803)+$C$14*C4</f>
        <v>0</v>
      </c>
      <c r="AI11" s="35"/>
      <c r="AJ11" s="65">
        <v>25</v>
      </c>
      <c r="AK11" s="66">
        <f>'SA85-90'!F17*(1+$AH$22)</f>
        <v>2.5080000000000002E-3</v>
      </c>
      <c r="AL11" s="66">
        <f>'SA85-90 (light)'!F17*(1+$AH$22)</f>
        <v>2.2110000000000003E-3</v>
      </c>
      <c r="AM11" s="66">
        <f t="shared" si="36"/>
        <v>69</v>
      </c>
      <c r="AN11" s="66">
        <f t="shared" si="37"/>
        <v>3.8643000000000004E-2</v>
      </c>
      <c r="AO11" s="67">
        <f t="shared" si="38"/>
        <v>0.79209809843158452</v>
      </c>
      <c r="AP11" s="68">
        <f t="shared" ca="1" si="30"/>
        <v>0.44747708820097742</v>
      </c>
      <c r="AR11" s="69">
        <f t="shared" si="31"/>
        <v>1</v>
      </c>
      <c r="AS11" s="70">
        <f t="shared" si="39"/>
        <v>8</v>
      </c>
      <c r="AT11" s="71">
        <f t="shared" si="40"/>
        <v>0.94671334574000765</v>
      </c>
      <c r="AU11" s="72">
        <f t="shared" si="12"/>
        <v>6.8214933659622723E-3</v>
      </c>
      <c r="AV11" s="73">
        <f t="shared" si="32"/>
        <v>1.0068214933659623</v>
      </c>
      <c r="AW11" s="74">
        <f>PRODUCT(AV$4:AV11)</f>
        <v>1.0558927926250177</v>
      </c>
      <c r="AY11" s="75">
        <f t="shared" si="41"/>
        <v>8</v>
      </c>
      <c r="AZ11" s="76">
        <f t="shared" ca="1" si="33"/>
        <v>1.0068214933659623</v>
      </c>
      <c r="BA11" s="76">
        <f t="shared" ca="1" si="33"/>
        <v>1.0068214933659623</v>
      </c>
      <c r="BB11" s="76">
        <f t="shared" ca="1" si="33"/>
        <v>1.0068214933659623</v>
      </c>
      <c r="BC11" s="76">
        <f t="shared" ca="1" si="33"/>
        <v>1.0068214933659623</v>
      </c>
      <c r="BD11" s="76">
        <f t="shared" ca="1" si="33"/>
        <v>1.0068214933659623</v>
      </c>
      <c r="BE11" s="76">
        <f t="shared" ca="1" si="33"/>
        <v>1.0068214933659623</v>
      </c>
      <c r="BF11" s="76">
        <f t="shared" ca="1" si="33"/>
        <v>1.0068214933659623</v>
      </c>
      <c r="BG11" s="76">
        <f t="shared" ca="1" si="33"/>
        <v>1.0068214933659623</v>
      </c>
      <c r="BH11" s="76">
        <f t="shared" ca="1" si="33"/>
        <v>1.0068214933659623</v>
      </c>
      <c r="BI11" s="76">
        <f t="shared" ca="1" si="33"/>
        <v>1.0068214933659623</v>
      </c>
      <c r="BJ11" s="76">
        <f t="shared" ca="1" si="33"/>
        <v>1.0068214933659623</v>
      </c>
      <c r="BK11" s="76">
        <f t="shared" ca="1" si="33"/>
        <v>1.0068214933659623</v>
      </c>
      <c r="BL11" s="76">
        <f t="shared" ca="1" si="14"/>
        <v>8.5000000000000853E-2</v>
      </c>
      <c r="BM11" s="77">
        <f t="shared" ca="1" si="34"/>
        <v>1.9206043380980251</v>
      </c>
    </row>
    <row r="12" spans="2:65">
      <c r="E12">
        <f t="shared" si="35"/>
        <v>9</v>
      </c>
      <c r="F12" s="64">
        <f t="shared" si="15"/>
        <v>62.64</v>
      </c>
      <c r="G12" s="55">
        <f t="shared" si="16"/>
        <v>1.8773469130904941E-3</v>
      </c>
      <c r="H12" s="78">
        <f t="shared" si="42"/>
        <v>0.98607650393541268</v>
      </c>
      <c r="I12" s="79">
        <f t="shared" ca="1" si="17"/>
        <v>1910675.524351154</v>
      </c>
      <c r="J12" s="79">
        <f t="shared" ca="1" si="18"/>
        <v>13033.660413867883</v>
      </c>
      <c r="K12" s="80">
        <f t="shared" ca="1" si="19"/>
        <v>-19.721530078708255</v>
      </c>
      <c r="L12" s="80">
        <f t="shared" ca="1" si="20"/>
        <v>0</v>
      </c>
      <c r="M12" s="80">
        <f t="shared" ca="1" si="21"/>
        <v>0</v>
      </c>
      <c r="N12" s="80">
        <f t="shared" ca="1" si="22"/>
        <v>0</v>
      </c>
      <c r="O12" s="81">
        <f t="shared" ca="1" si="2"/>
        <v>-16483.259391946467</v>
      </c>
      <c r="P12" s="79">
        <f t="shared" ca="1" si="3"/>
        <v>1907206.2038429966</v>
      </c>
      <c r="Q12" s="35"/>
      <c r="R12">
        <f t="shared" ca="1" si="23"/>
        <v>9</v>
      </c>
      <c r="S12" s="78">
        <f t="shared" ca="1" si="24"/>
        <v>62.64</v>
      </c>
      <c r="T12" s="55">
        <f t="shared" ca="1" si="25"/>
        <v>1.8773469130904941E-3</v>
      </c>
      <c r="U12" s="78">
        <f t="shared" ca="1" si="26"/>
        <v>0.98607650393541268</v>
      </c>
      <c r="V12" s="79">
        <f t="shared" ca="1" si="27"/>
        <v>1910675.524351154</v>
      </c>
      <c r="W12" s="79">
        <f t="shared" ca="1" si="5"/>
        <v>13033.660413867883</v>
      </c>
      <c r="X12" s="80">
        <f t="shared" ca="1" si="6"/>
        <v>-19.721530078708255</v>
      </c>
      <c r="Y12" s="80">
        <f t="shared" ca="1" si="28"/>
        <v>0</v>
      </c>
      <c r="Z12" s="80">
        <f t="shared" ca="1" si="7"/>
        <v>0</v>
      </c>
      <c r="AA12" s="80">
        <f t="shared" ca="1" si="29"/>
        <v>0</v>
      </c>
      <c r="AB12" s="81">
        <f t="shared" ca="1" si="8"/>
        <v>-16483.259391946467</v>
      </c>
      <c r="AC12" s="79">
        <f t="shared" ca="1" si="9"/>
        <v>1907206.2038429966</v>
      </c>
      <c r="AD12" s="35"/>
      <c r="AE12" s="62">
        <f t="shared" ca="1" si="10"/>
        <v>-16716.004616439081</v>
      </c>
      <c r="AF12" s="62">
        <f t="shared" ca="1" si="11"/>
        <v>1934136.1407876292</v>
      </c>
      <c r="AG12" s="99" t="s">
        <v>43</v>
      </c>
      <c r="AH12" s="100">
        <f ca="1">-SUMPRODUCT(L4:L1803,AT4:AT1803)+$C$14*C4</f>
        <v>0</v>
      </c>
      <c r="AI12" s="35"/>
      <c r="AJ12" s="65">
        <v>26</v>
      </c>
      <c r="AK12" s="66">
        <f>'SA85-90'!F18*(1+$AH$22)</f>
        <v>2.4200000000000003E-3</v>
      </c>
      <c r="AL12" s="66">
        <f>'SA85-90 (light)'!F18*(1+$AH$22)</f>
        <v>2.0460000000000001E-3</v>
      </c>
      <c r="AM12" s="66">
        <f t="shared" si="36"/>
        <v>70</v>
      </c>
      <c r="AN12" s="66">
        <f t="shared" si="37"/>
        <v>4.224E-2</v>
      </c>
      <c r="AO12" s="67">
        <f t="shared" si="38"/>
        <v>0.75863987475383432</v>
      </c>
      <c r="AP12" s="68">
        <f t="shared" ca="1" si="30"/>
        <v>0.39500060460402558</v>
      </c>
      <c r="AR12" s="69">
        <f t="shared" si="31"/>
        <v>1</v>
      </c>
      <c r="AS12" s="70">
        <f t="shared" si="39"/>
        <v>9</v>
      </c>
      <c r="AT12" s="71">
        <f t="shared" si="40"/>
        <v>0.94025534693257429</v>
      </c>
      <c r="AU12" s="72">
        <f t="shared" si="12"/>
        <v>6.8214933659622723E-3</v>
      </c>
      <c r="AV12" s="73">
        <f t="shared" si="32"/>
        <v>1.0068214933659623</v>
      </c>
      <c r="AW12" s="74">
        <f>PRODUCT(AV$4:AV12)</f>
        <v>1.0630955583050765</v>
      </c>
      <c r="AY12" s="75">
        <f t="shared" si="41"/>
        <v>9</v>
      </c>
      <c r="AZ12" s="76">
        <f t="shared" ca="1" si="33"/>
        <v>1.0068214933659623</v>
      </c>
      <c r="BA12" s="76">
        <f t="shared" ca="1" si="33"/>
        <v>1.0068214933659623</v>
      </c>
      <c r="BB12" s="76">
        <f t="shared" ca="1" si="33"/>
        <v>1.0068214933659623</v>
      </c>
      <c r="BC12" s="76">
        <f t="shared" ca="1" si="33"/>
        <v>1.0068214933659623</v>
      </c>
      <c r="BD12" s="76">
        <f t="shared" ca="1" si="33"/>
        <v>1.0068214933659623</v>
      </c>
      <c r="BE12" s="76">
        <f t="shared" ca="1" si="33"/>
        <v>1.0068214933659623</v>
      </c>
      <c r="BF12" s="76">
        <f t="shared" ca="1" si="33"/>
        <v>1.0068214933659623</v>
      </c>
      <c r="BG12" s="76">
        <f t="shared" ca="1" si="33"/>
        <v>1.0068214933659623</v>
      </c>
      <c r="BH12" s="76">
        <f t="shared" ca="1" si="33"/>
        <v>1.0068214933659623</v>
      </c>
      <c r="BI12" s="76">
        <f t="shared" ca="1" si="33"/>
        <v>1.0068214933659623</v>
      </c>
      <c r="BJ12" s="76">
        <f t="shared" ca="1" si="33"/>
        <v>1.0068214933659623</v>
      </c>
      <c r="BK12" s="76">
        <f t="shared" ca="1" si="33"/>
        <v>1.0068214933659623</v>
      </c>
      <c r="BL12" s="76">
        <f t="shared" ca="1" si="14"/>
        <v>8.5000000000000853E-2</v>
      </c>
      <c r="BM12" s="77">
        <f t="shared" ca="1" si="34"/>
        <v>2.083855706836359</v>
      </c>
    </row>
    <row r="13" spans="2:65">
      <c r="E13">
        <f t="shared" si="35"/>
        <v>10</v>
      </c>
      <c r="F13" s="64">
        <f t="shared" si="15"/>
        <v>62.72</v>
      </c>
      <c r="G13" s="55">
        <f t="shared" si="16"/>
        <v>1.8773469130904941E-3</v>
      </c>
      <c r="H13" s="78">
        <f t="shared" si="42"/>
        <v>0.98422529625467847</v>
      </c>
      <c r="I13" s="79">
        <f t="shared" ca="1" si="17"/>
        <v>1903625.716163585</v>
      </c>
      <c r="J13" s="79">
        <f t="shared" ca="1" si="18"/>
        <v>12985.570194085074</v>
      </c>
      <c r="K13" s="80">
        <f t="shared" ca="1" si="19"/>
        <v>-19.684505925093568</v>
      </c>
      <c r="L13" s="80">
        <f t="shared" ca="1" si="20"/>
        <v>0</v>
      </c>
      <c r="M13" s="80">
        <f t="shared" ca="1" si="21"/>
        <v>0</v>
      </c>
      <c r="N13" s="80">
        <f t="shared" ca="1" si="22"/>
        <v>0</v>
      </c>
      <c r="O13" s="81">
        <f t="shared" ca="1" si="2"/>
        <v>-16452.314595809326</v>
      </c>
      <c r="P13" s="79">
        <f t="shared" ca="1" si="3"/>
        <v>1900139.2872559356</v>
      </c>
      <c r="Q13" s="35"/>
      <c r="R13">
        <f t="shared" ca="1" si="23"/>
        <v>10</v>
      </c>
      <c r="S13" s="78">
        <f t="shared" ca="1" si="24"/>
        <v>62.72</v>
      </c>
      <c r="T13" s="55">
        <f t="shared" ca="1" si="25"/>
        <v>1.8773469130904941E-3</v>
      </c>
      <c r="U13" s="78">
        <f t="shared" ca="1" si="26"/>
        <v>0.98422529625467847</v>
      </c>
      <c r="V13" s="79">
        <f t="shared" ca="1" si="27"/>
        <v>1903625.716163585</v>
      </c>
      <c r="W13" s="79">
        <f t="shared" ca="1" si="5"/>
        <v>12985.570194085074</v>
      </c>
      <c r="X13" s="80">
        <f t="shared" ca="1" si="6"/>
        <v>-19.684505925093568</v>
      </c>
      <c r="Y13" s="80">
        <f t="shared" ca="1" si="28"/>
        <v>0</v>
      </c>
      <c r="Z13" s="80">
        <f t="shared" ca="1" si="7"/>
        <v>0</v>
      </c>
      <c r="AA13" s="80">
        <f t="shared" ca="1" si="29"/>
        <v>0</v>
      </c>
      <c r="AB13" s="81">
        <f t="shared" ca="1" si="8"/>
        <v>-16452.314595809326</v>
      </c>
      <c r="AC13" s="79">
        <f t="shared" ca="1" si="9"/>
        <v>1900139.2872559356</v>
      </c>
      <c r="AD13" s="35"/>
      <c r="AE13" s="62">
        <f t="shared" ca="1" si="10"/>
        <v>-16716.004616439081</v>
      </c>
      <c r="AF13" s="62">
        <f t="shared" ca="1" si="11"/>
        <v>1930593.8330244408</v>
      </c>
      <c r="AG13" s="102" t="s">
        <v>57</v>
      </c>
      <c r="AH13" s="103">
        <f ca="1">AH12/C4</f>
        <v>0</v>
      </c>
      <c r="AI13" s="35"/>
      <c r="AJ13" s="65">
        <v>27</v>
      </c>
      <c r="AK13" s="66">
        <f>'SA85-90'!F19*(1+$AH$22)</f>
        <v>2.343E-3</v>
      </c>
      <c r="AL13" s="66">
        <f>'SA85-90 (light)'!F19*(1+$AH$22)</f>
        <v>1.9470000000000002E-3</v>
      </c>
      <c r="AM13" s="66">
        <f t="shared" si="36"/>
        <v>71</v>
      </c>
      <c r="AN13" s="66">
        <f t="shared" si="37"/>
        <v>4.6112E-2</v>
      </c>
      <c r="AO13" s="67">
        <f t="shared" si="38"/>
        <v>0.72365747284918547</v>
      </c>
      <c r="AP13" s="68">
        <f t="shared" ca="1" si="30"/>
        <v>0.34726851311016077</v>
      </c>
      <c r="AR13" s="69">
        <f t="shared" si="31"/>
        <v>1</v>
      </c>
      <c r="AS13" s="70">
        <f t="shared" si="39"/>
        <v>10</v>
      </c>
      <c r="AT13" s="71">
        <f t="shared" si="40"/>
        <v>0.93384140132116322</v>
      </c>
      <c r="AU13" s="72">
        <f t="shared" si="12"/>
        <v>6.8214933659622723E-3</v>
      </c>
      <c r="AV13" s="73">
        <f t="shared" si="32"/>
        <v>1.0068214933659623</v>
      </c>
      <c r="AW13" s="74">
        <f>PRODUCT(AV$4:AV13)</f>
        <v>1.0703474576034386</v>
      </c>
      <c r="AY13" s="75">
        <f t="shared" si="41"/>
        <v>10</v>
      </c>
      <c r="AZ13" s="76">
        <f t="shared" ca="1" si="33"/>
        <v>1.0068214933659623</v>
      </c>
      <c r="BA13" s="76">
        <f t="shared" ca="1" si="33"/>
        <v>1.0068214933659623</v>
      </c>
      <c r="BB13" s="76">
        <f t="shared" ca="1" si="33"/>
        <v>1.0068214933659623</v>
      </c>
      <c r="BC13" s="76">
        <f t="shared" ca="1" si="33"/>
        <v>1.0068214933659623</v>
      </c>
      <c r="BD13" s="76">
        <f t="shared" ca="1" si="33"/>
        <v>1.0068214933659623</v>
      </c>
      <c r="BE13" s="76">
        <f t="shared" ca="1" si="33"/>
        <v>1.0068214933659623</v>
      </c>
      <c r="BF13" s="76">
        <f t="shared" ca="1" si="33"/>
        <v>1.0068214933659623</v>
      </c>
      <c r="BG13" s="76">
        <f t="shared" ca="1" si="33"/>
        <v>1.0068214933659623</v>
      </c>
      <c r="BH13" s="76">
        <f t="shared" ca="1" si="33"/>
        <v>1.0068214933659623</v>
      </c>
      <c r="BI13" s="76">
        <f t="shared" ca="1" si="33"/>
        <v>1.0068214933659623</v>
      </c>
      <c r="BJ13" s="76">
        <f t="shared" ca="1" si="33"/>
        <v>1.0068214933659623</v>
      </c>
      <c r="BK13" s="76">
        <f t="shared" ca="1" si="33"/>
        <v>1.0068214933659623</v>
      </c>
      <c r="BL13" s="76">
        <f t="shared" ca="1" si="14"/>
        <v>8.5000000000000853E-2</v>
      </c>
      <c r="BM13" s="77">
        <f t="shared" ca="1" si="34"/>
        <v>2.2609834419174515</v>
      </c>
    </row>
    <row r="14" spans="2:65">
      <c r="B14" s="39" t="s">
        <v>32</v>
      </c>
      <c r="C14" s="150">
        <v>0</v>
      </c>
      <c r="E14">
        <f t="shared" si="35"/>
        <v>11</v>
      </c>
      <c r="F14" s="64">
        <f t="shared" si="15"/>
        <v>62.8</v>
      </c>
      <c r="G14" s="55">
        <f t="shared" si="16"/>
        <v>1.8773469130904941E-3</v>
      </c>
      <c r="H14" s="78">
        <f t="shared" si="42"/>
        <v>0.98237756393296916</v>
      </c>
      <c r="I14" s="79">
        <f t="shared" ca="1" si="17"/>
        <v>1896572.0666305637</v>
      </c>
      <c r="J14" s="79">
        <f t="shared" ca="1" si="18"/>
        <v>12937.453770589747</v>
      </c>
      <c r="K14" s="80">
        <f t="shared" ca="1" si="19"/>
        <v>-19.647551278659382</v>
      </c>
      <c r="L14" s="80">
        <f t="shared" ca="1" si="20"/>
        <v>0</v>
      </c>
      <c r="M14" s="80">
        <f t="shared" ca="1" si="21"/>
        <v>0</v>
      </c>
      <c r="N14" s="80">
        <f t="shared" ca="1" si="22"/>
        <v>0</v>
      </c>
      <c r="O14" s="81">
        <f t="shared" ca="1" si="2"/>
        <v>-16421.427893789689</v>
      </c>
      <c r="P14" s="79">
        <f t="shared" ca="1" si="3"/>
        <v>1893068.4449560852</v>
      </c>
      <c r="Q14" s="35"/>
      <c r="R14">
        <f t="shared" ca="1" si="23"/>
        <v>11</v>
      </c>
      <c r="S14" s="78">
        <f t="shared" ca="1" si="24"/>
        <v>62.8</v>
      </c>
      <c r="T14" s="55">
        <f t="shared" ca="1" si="25"/>
        <v>1.8773469130904941E-3</v>
      </c>
      <c r="U14" s="78">
        <f t="shared" ca="1" si="26"/>
        <v>0.98237756393296916</v>
      </c>
      <c r="V14" s="79">
        <f t="shared" ca="1" si="27"/>
        <v>1896572.0666305637</v>
      </c>
      <c r="W14" s="79">
        <f t="shared" ca="1" si="5"/>
        <v>12937.453770589747</v>
      </c>
      <c r="X14" s="80">
        <f t="shared" ca="1" si="6"/>
        <v>-19.647551278659382</v>
      </c>
      <c r="Y14" s="80">
        <f t="shared" ca="1" si="28"/>
        <v>0</v>
      </c>
      <c r="Z14" s="80">
        <f t="shared" ca="1" si="7"/>
        <v>0</v>
      </c>
      <c r="AA14" s="80">
        <f t="shared" ca="1" si="29"/>
        <v>0</v>
      </c>
      <c r="AB14" s="81">
        <f t="shared" ca="1" si="8"/>
        <v>-16421.427893789689</v>
      </c>
      <c r="AC14" s="79">
        <f t="shared" ca="1" si="9"/>
        <v>1893068.4449560852</v>
      </c>
      <c r="AD14" s="35"/>
      <c r="AE14" s="62">
        <f t="shared" ca="1" si="10"/>
        <v>-16716.004616439081</v>
      </c>
      <c r="AF14" s="62">
        <f t="shared" ca="1" si="11"/>
        <v>1927027.3614323458</v>
      </c>
      <c r="AG14" s="42" t="s">
        <v>46</v>
      </c>
      <c r="AH14" s="43">
        <f ca="1">-SUM(M4:M1803)</f>
        <v>0</v>
      </c>
      <c r="AI14" s="35"/>
      <c r="AJ14" s="65">
        <v>28</v>
      </c>
      <c r="AK14" s="66">
        <f>'SA85-90'!F20*(1+$AH$22)</f>
        <v>2.2880000000000001E-3</v>
      </c>
      <c r="AL14" s="66">
        <f>'SA85-90 (light)'!F20*(1+$AH$22)</f>
        <v>1.8700000000000001E-3</v>
      </c>
      <c r="AM14" s="66">
        <f t="shared" si="36"/>
        <v>72</v>
      </c>
      <c r="AN14" s="66">
        <f t="shared" si="37"/>
        <v>5.0292000000000003E-2</v>
      </c>
      <c r="AO14" s="67">
        <f t="shared" si="38"/>
        <v>0.68726329122465424</v>
      </c>
      <c r="AP14" s="68">
        <f t="shared" ca="1" si="30"/>
        <v>0.30396652999891638</v>
      </c>
      <c r="AR14" s="69">
        <f t="shared" si="31"/>
        <v>1</v>
      </c>
      <c r="AS14" s="70">
        <f t="shared" si="39"/>
        <v>11</v>
      </c>
      <c r="AT14" s="71">
        <f t="shared" si="40"/>
        <v>0.92747120839718999</v>
      </c>
      <c r="AU14" s="72">
        <f t="shared" si="12"/>
        <v>6.8214933659622723E-3</v>
      </c>
      <c r="AV14" s="73">
        <f t="shared" si="32"/>
        <v>1.0068214933659623</v>
      </c>
      <c r="AW14" s="74">
        <f>PRODUCT(AV$4:AV14)</f>
        <v>1.0776488256847552</v>
      </c>
      <c r="AY14" s="75">
        <f t="shared" si="41"/>
        <v>11</v>
      </c>
      <c r="AZ14" s="76">
        <f t="shared" ca="1" si="33"/>
        <v>1.0068214933659623</v>
      </c>
      <c r="BA14" s="76">
        <f t="shared" ca="1" si="33"/>
        <v>1.0068214933659623</v>
      </c>
      <c r="BB14" s="76">
        <f t="shared" ca="1" si="33"/>
        <v>1.0068214933659623</v>
      </c>
      <c r="BC14" s="76">
        <f t="shared" ca="1" si="33"/>
        <v>1.0068214933659623</v>
      </c>
      <c r="BD14" s="76">
        <f t="shared" ca="1" si="33"/>
        <v>1.0068214933659623</v>
      </c>
      <c r="BE14" s="76">
        <f t="shared" ca="1" si="33"/>
        <v>1.0068214933659623</v>
      </c>
      <c r="BF14" s="76">
        <f t="shared" ca="1" si="33"/>
        <v>1.0068214933659623</v>
      </c>
      <c r="BG14" s="76">
        <f t="shared" ca="1" si="33"/>
        <v>1.0068214933659623</v>
      </c>
      <c r="BH14" s="76">
        <f t="shared" ca="1" si="33"/>
        <v>1.0068214933659623</v>
      </c>
      <c r="BI14" s="76">
        <f t="shared" ca="1" si="33"/>
        <v>1.0068214933659623</v>
      </c>
      <c r="BJ14" s="76">
        <f t="shared" ca="1" si="33"/>
        <v>1.0068214933659623</v>
      </c>
      <c r="BK14" s="76">
        <f t="shared" ca="1" si="33"/>
        <v>1.0068214933659623</v>
      </c>
      <c r="BL14" s="76">
        <f t="shared" ca="1" si="14"/>
        <v>8.5000000000000853E-2</v>
      </c>
      <c r="BM14" s="77">
        <f t="shared" ca="1" si="34"/>
        <v>2.4531670344804368</v>
      </c>
    </row>
    <row r="15" spans="2:65">
      <c r="B15" t="s">
        <v>30</v>
      </c>
      <c r="C15" s="105">
        <v>0.01</v>
      </c>
      <c r="E15">
        <f t="shared" si="35"/>
        <v>12</v>
      </c>
      <c r="F15" s="64">
        <f t="shared" si="15"/>
        <v>62.88</v>
      </c>
      <c r="G15" s="55">
        <f t="shared" si="16"/>
        <v>1.8773469130904941E-3</v>
      </c>
      <c r="H15" s="78">
        <f t="shared" si="42"/>
        <v>0.9805333004458302</v>
      </c>
      <c r="I15" s="79">
        <f t="shared" ca="1" si="17"/>
        <v>1889514.4987546778</v>
      </c>
      <c r="J15" s="79">
        <f t="shared" ca="1" si="18"/>
        <v>12889.310618144564</v>
      </c>
      <c r="K15" s="80">
        <f t="shared" ca="1" si="19"/>
        <v>-19.610666008916603</v>
      </c>
      <c r="L15" s="80">
        <f t="shared" ca="1" si="20"/>
        <v>0</v>
      </c>
      <c r="M15" s="80">
        <f t="shared" ca="1" si="21"/>
        <v>0</v>
      </c>
      <c r="N15" s="80">
        <f t="shared" ca="1" si="22"/>
        <v>0</v>
      </c>
      <c r="O15" s="81">
        <f t="shared" ca="1" si="2"/>
        <v>-16390.599176824744</v>
      </c>
      <c r="P15" s="79">
        <f t="shared" ca="1" si="3"/>
        <v>1885993.5995299886</v>
      </c>
      <c r="Q15" s="35"/>
      <c r="R15">
        <f t="shared" ca="1" si="23"/>
        <v>12</v>
      </c>
      <c r="S15" s="78">
        <f t="shared" ca="1" si="24"/>
        <v>62.88</v>
      </c>
      <c r="T15" s="55">
        <f t="shared" ca="1" si="25"/>
        <v>1.8773469130904941E-3</v>
      </c>
      <c r="U15" s="78">
        <f t="shared" ca="1" si="26"/>
        <v>0.9805333004458302</v>
      </c>
      <c r="V15" s="79">
        <f t="shared" ca="1" si="27"/>
        <v>1889514.4987546778</v>
      </c>
      <c r="W15" s="79">
        <f t="shared" ca="1" si="5"/>
        <v>12889.310618144564</v>
      </c>
      <c r="X15" s="80">
        <f t="shared" ca="1" si="6"/>
        <v>-19.610666008916603</v>
      </c>
      <c r="Y15" s="80">
        <f t="shared" ca="1" si="28"/>
        <v>0</v>
      </c>
      <c r="Z15" s="80">
        <f t="shared" ca="1" si="7"/>
        <v>0</v>
      </c>
      <c r="AA15" s="80">
        <f t="shared" ca="1" si="29"/>
        <v>0</v>
      </c>
      <c r="AB15" s="81">
        <f t="shared" ca="1" si="8"/>
        <v>-16390.599176824744</v>
      </c>
      <c r="AC15" s="79">
        <f t="shared" ca="1" si="9"/>
        <v>1885993.5995299886</v>
      </c>
      <c r="AD15" s="35"/>
      <c r="AE15" s="62">
        <f t="shared" ca="1" si="10"/>
        <v>-16716.004616439081</v>
      </c>
      <c r="AF15" s="62">
        <f t="shared" ca="1" si="11"/>
        <v>1923436.5611779452</v>
      </c>
      <c r="AG15" s="106" t="s">
        <v>47</v>
      </c>
      <c r="AH15" s="107">
        <f ca="1">-SUMPRODUCT(M4:M1803,AT4:AT1803)</f>
        <v>0</v>
      </c>
      <c r="AI15" s="35"/>
      <c r="AJ15" s="65">
        <v>29</v>
      </c>
      <c r="AK15" s="66">
        <f>'SA85-90'!F21*(1+$AH$22)</f>
        <v>2.2550000000000005E-3</v>
      </c>
      <c r="AL15" s="66">
        <f>'SA85-90 (light)'!F21*(1+$AH$22)</f>
        <v>1.8370000000000001E-3</v>
      </c>
      <c r="AM15" s="66">
        <f t="shared" si="36"/>
        <v>73</v>
      </c>
      <c r="AN15" s="66">
        <f t="shared" si="37"/>
        <v>5.4780000000000002E-2</v>
      </c>
      <c r="AO15" s="67">
        <f t="shared" si="38"/>
        <v>0.64961500813136763</v>
      </c>
      <c r="AP15" s="68">
        <f t="shared" ca="1" si="30"/>
        <v>0.26480667602357189</v>
      </c>
      <c r="AR15" s="69">
        <f t="shared" si="31"/>
        <v>1</v>
      </c>
      <c r="AS15" s="70">
        <f t="shared" si="39"/>
        <v>12</v>
      </c>
      <c r="AT15" s="71">
        <f t="shared" si="40"/>
        <v>0.9211444697019876</v>
      </c>
      <c r="AU15" s="72">
        <f t="shared" si="12"/>
        <v>6.8214933659622723E-3</v>
      </c>
      <c r="AV15" s="73">
        <f t="shared" si="32"/>
        <v>1.0068214933659623</v>
      </c>
      <c r="AW15" s="74">
        <f>PRODUCT(AV$4:AV15)</f>
        <v>1.0850000000000009</v>
      </c>
      <c r="AY15" s="75">
        <f t="shared" si="41"/>
        <v>12</v>
      </c>
      <c r="AZ15" s="76">
        <f t="shared" ref="AZ15:BK24" ca="1" si="43">OFFSET($AV$3,($AY15*12-12)+AZ$3,0)</f>
        <v>1.0068214933659623</v>
      </c>
      <c r="BA15" s="76">
        <f t="shared" ca="1" si="43"/>
        <v>1.0068214933659623</v>
      </c>
      <c r="BB15" s="76">
        <f t="shared" ca="1" si="43"/>
        <v>1.0068214933659623</v>
      </c>
      <c r="BC15" s="76">
        <f t="shared" ca="1" si="43"/>
        <v>1.0068214933659623</v>
      </c>
      <c r="BD15" s="76">
        <f t="shared" ca="1" si="43"/>
        <v>1.0068214933659623</v>
      </c>
      <c r="BE15" s="76">
        <f t="shared" ca="1" si="43"/>
        <v>1.0068214933659623</v>
      </c>
      <c r="BF15" s="76">
        <f t="shared" ca="1" si="43"/>
        <v>1.0068214933659623</v>
      </c>
      <c r="BG15" s="76">
        <f t="shared" ca="1" si="43"/>
        <v>1.0068214933659623</v>
      </c>
      <c r="BH15" s="76">
        <f t="shared" ca="1" si="43"/>
        <v>1.0068214933659623</v>
      </c>
      <c r="BI15" s="76">
        <f t="shared" ca="1" si="43"/>
        <v>1.0068214933659623</v>
      </c>
      <c r="BJ15" s="76">
        <f t="shared" ca="1" si="43"/>
        <v>1.0068214933659623</v>
      </c>
      <c r="BK15" s="76">
        <f t="shared" ca="1" si="43"/>
        <v>1.0068214933659623</v>
      </c>
      <c r="BL15" s="76">
        <f t="shared" ca="1" si="14"/>
        <v>8.5000000000000853E-2</v>
      </c>
      <c r="BM15" s="77">
        <f t="shared" ca="1" si="34"/>
        <v>2.661686232411276</v>
      </c>
    </row>
    <row r="16" spans="2:65">
      <c r="B16" t="s">
        <v>83</v>
      </c>
      <c r="C16" s="105">
        <v>0</v>
      </c>
      <c r="E16">
        <f t="shared" si="35"/>
        <v>13</v>
      </c>
      <c r="F16" s="64">
        <f t="shared" si="15"/>
        <v>62.96</v>
      </c>
      <c r="G16" s="55">
        <f t="shared" si="16"/>
        <v>1.8773469130904941E-3</v>
      </c>
      <c r="H16" s="78">
        <f t="shared" si="42"/>
        <v>0.97869249928105584</v>
      </c>
      <c r="I16" s="79">
        <f t="shared" ca="1" si="17"/>
        <v>1882452.9352678026</v>
      </c>
      <c r="J16" s="79">
        <f t="shared" ca="1" si="18"/>
        <v>12841.140209665522</v>
      </c>
      <c r="K16" s="80">
        <f t="shared" ca="1" si="19"/>
        <v>-19.573849985621116</v>
      </c>
      <c r="L16" s="80">
        <f t="shared" ca="1" si="20"/>
        <v>0</v>
      </c>
      <c r="M16" s="80">
        <f t="shared" ca="1" si="21"/>
        <v>0</v>
      </c>
      <c r="N16" s="80">
        <f t="shared" ca="1" si="22"/>
        <v>0</v>
      </c>
      <c r="O16" s="81">
        <f t="shared" ca="1" si="2"/>
        <v>-16359.828336056429</v>
      </c>
      <c r="P16" s="79">
        <f t="shared" ca="1" si="3"/>
        <v>1878914.6732914262</v>
      </c>
      <c r="Q16" s="35"/>
      <c r="R16">
        <f t="shared" ca="1" si="23"/>
        <v>13</v>
      </c>
      <c r="S16" s="78">
        <f t="shared" ca="1" si="24"/>
        <v>62.96</v>
      </c>
      <c r="T16" s="55">
        <f t="shared" ca="1" si="25"/>
        <v>1.8773469130904941E-3</v>
      </c>
      <c r="U16" s="78">
        <f t="shared" ca="1" si="26"/>
        <v>0.97869249928105584</v>
      </c>
      <c r="V16" s="79">
        <f t="shared" ca="1" si="27"/>
        <v>1882452.9352678026</v>
      </c>
      <c r="W16" s="79">
        <f t="shared" ca="1" si="5"/>
        <v>12841.140209665522</v>
      </c>
      <c r="X16" s="80">
        <f t="shared" ca="1" si="6"/>
        <v>-19.573849985621116</v>
      </c>
      <c r="Y16" s="80">
        <f t="shared" ca="1" si="28"/>
        <v>0</v>
      </c>
      <c r="Z16" s="80">
        <f t="shared" ca="1" si="7"/>
        <v>0</v>
      </c>
      <c r="AA16" s="80">
        <f t="shared" ca="1" si="29"/>
        <v>0</v>
      </c>
      <c r="AB16" s="81">
        <f t="shared" ca="1" si="8"/>
        <v>-16359.828336056429</v>
      </c>
      <c r="AC16" s="79">
        <f t="shared" ca="1" si="9"/>
        <v>1878914.6732914262</v>
      </c>
      <c r="AD16" s="35"/>
      <c r="AE16" s="62">
        <f t="shared" ca="1" si="10"/>
        <v>-16716.004616439081</v>
      </c>
      <c r="AF16" s="62">
        <f t="shared" ca="1" si="11"/>
        <v>1919821.2663034308</v>
      </c>
      <c r="AG16" s="42" t="s">
        <v>49</v>
      </c>
      <c r="AH16" s="43">
        <f ca="1">-SUM(N4:N1803)+C15*C4</f>
        <v>19876.150000000001</v>
      </c>
      <c r="AI16" s="35"/>
      <c r="AJ16" s="65">
        <v>30</v>
      </c>
      <c r="AK16" s="66">
        <f>'SA85-90'!F22*(1+$AH$22)</f>
        <v>2.2440000000000003E-3</v>
      </c>
      <c r="AL16" s="66">
        <f>'SA85-90 (light)'!F22*(1+$AH$22)</f>
        <v>1.8150000000000002E-3</v>
      </c>
      <c r="AM16" s="66">
        <f t="shared" si="36"/>
        <v>74</v>
      </c>
      <c r="AN16" s="66">
        <f t="shared" si="37"/>
        <v>5.9609000000000009E-2</v>
      </c>
      <c r="AO16" s="67">
        <f t="shared" si="38"/>
        <v>0.61089210711166497</v>
      </c>
      <c r="AP16" s="68">
        <f t="shared" ca="1" si="30"/>
        <v>0.22951319343085955</v>
      </c>
      <c r="AR16" s="69">
        <f t="shared" si="31"/>
        <v>2</v>
      </c>
      <c r="AS16" s="70">
        <f t="shared" si="39"/>
        <v>13</v>
      </c>
      <c r="AT16" s="71">
        <f t="shared" si="40"/>
        <v>0.91486088881282268</v>
      </c>
      <c r="AU16" s="72">
        <f t="shared" si="12"/>
        <v>6.8214933659622723E-3</v>
      </c>
      <c r="AV16" s="73">
        <f t="shared" si="32"/>
        <v>1.0068214933659623</v>
      </c>
      <c r="AW16" s="74">
        <f>PRODUCT(AV$4:AV16)</f>
        <v>1.0924013203020699</v>
      </c>
      <c r="AY16" s="75">
        <f t="shared" si="41"/>
        <v>13</v>
      </c>
      <c r="AZ16" s="76">
        <f t="shared" ca="1" si="43"/>
        <v>1.0068214933659623</v>
      </c>
      <c r="BA16" s="76">
        <f t="shared" ca="1" si="43"/>
        <v>1.0068214933659623</v>
      </c>
      <c r="BB16" s="76">
        <f t="shared" ca="1" si="43"/>
        <v>1.0068214933659623</v>
      </c>
      <c r="BC16" s="76">
        <f t="shared" ca="1" si="43"/>
        <v>1.0068214933659623</v>
      </c>
      <c r="BD16" s="76">
        <f t="shared" ca="1" si="43"/>
        <v>1.0068214933659623</v>
      </c>
      <c r="BE16" s="76">
        <f t="shared" ca="1" si="43"/>
        <v>1.0068214933659623</v>
      </c>
      <c r="BF16" s="76">
        <f t="shared" ca="1" si="43"/>
        <v>1.0068214933659623</v>
      </c>
      <c r="BG16" s="76">
        <f t="shared" ca="1" si="43"/>
        <v>1.0068214933659623</v>
      </c>
      <c r="BH16" s="76">
        <f t="shared" ca="1" si="43"/>
        <v>1.0068214933659623</v>
      </c>
      <c r="BI16" s="76">
        <f t="shared" ca="1" si="43"/>
        <v>1.0068214933659623</v>
      </c>
      <c r="BJ16" s="76">
        <f t="shared" ca="1" si="43"/>
        <v>1.0068214933659623</v>
      </c>
      <c r="BK16" s="76">
        <f t="shared" ca="1" si="43"/>
        <v>1.0068214933659623</v>
      </c>
      <c r="BL16" s="76">
        <f t="shared" ca="1" si="14"/>
        <v>8.5000000000000853E-2</v>
      </c>
      <c r="BM16" s="77">
        <f t="shared" ca="1" si="34"/>
        <v>2.8879295621662369</v>
      </c>
    </row>
    <row r="17" spans="2:65">
      <c r="B17" t="s">
        <v>61</v>
      </c>
      <c r="C17" s="105">
        <v>0</v>
      </c>
      <c r="E17">
        <f t="shared" si="35"/>
        <v>14</v>
      </c>
      <c r="F17" s="64">
        <f t="shared" si="15"/>
        <v>63.04</v>
      </c>
      <c r="G17" s="55">
        <f t="shared" si="16"/>
        <v>1.8773469130904941E-3</v>
      </c>
      <c r="H17" s="78">
        <f t="shared" si="42"/>
        <v>0.97685515393866573</v>
      </c>
      <c r="I17" s="79">
        <f t="shared" ca="1" si="17"/>
        <v>1875387.2986295621</v>
      </c>
      <c r="J17" s="79">
        <f t="shared" ca="1" si="18"/>
        <v>12792.942016211466</v>
      </c>
      <c r="K17" s="80">
        <f t="shared" ca="1" si="19"/>
        <v>-19.537103078773313</v>
      </c>
      <c r="L17" s="80">
        <f t="shared" ca="1" si="20"/>
        <v>0</v>
      </c>
      <c r="M17" s="80">
        <f t="shared" ca="1" si="21"/>
        <v>0</v>
      </c>
      <c r="N17" s="80">
        <f t="shared" ca="1" si="22"/>
        <v>0</v>
      </c>
      <c r="O17" s="81">
        <f t="shared" ca="1" si="2"/>
        <v>-16329.115262831043</v>
      </c>
      <c r="P17" s="79">
        <f t="shared" ca="1" si="3"/>
        <v>1871831.5882798638</v>
      </c>
      <c r="Q17" s="35"/>
      <c r="R17">
        <f t="shared" ca="1" si="23"/>
        <v>14</v>
      </c>
      <c r="S17" s="78">
        <f t="shared" ca="1" si="24"/>
        <v>63.04</v>
      </c>
      <c r="T17" s="55">
        <f t="shared" ca="1" si="25"/>
        <v>1.8773469130904941E-3</v>
      </c>
      <c r="U17" s="78">
        <f t="shared" ca="1" si="26"/>
        <v>0.97685515393866573</v>
      </c>
      <c r="V17" s="79">
        <f t="shared" ca="1" si="27"/>
        <v>1875387.2986295621</v>
      </c>
      <c r="W17" s="79">
        <f t="shared" ca="1" si="5"/>
        <v>12792.942016211466</v>
      </c>
      <c r="X17" s="80">
        <f t="shared" ca="1" si="6"/>
        <v>-19.537103078773313</v>
      </c>
      <c r="Y17" s="80">
        <f t="shared" ca="1" si="28"/>
        <v>0</v>
      </c>
      <c r="Z17" s="80">
        <f t="shared" ca="1" si="7"/>
        <v>0</v>
      </c>
      <c r="AA17" s="80">
        <f t="shared" ca="1" si="29"/>
        <v>0</v>
      </c>
      <c r="AB17" s="81">
        <f t="shared" ca="1" si="8"/>
        <v>-16329.115262831043</v>
      </c>
      <c r="AC17" s="79">
        <f t="shared" ca="1" si="9"/>
        <v>1871831.5882798638</v>
      </c>
      <c r="AD17" s="35"/>
      <c r="AE17" s="62">
        <f t="shared" ca="1" si="10"/>
        <v>-16716.004616439077</v>
      </c>
      <c r="AF17" s="62">
        <f t="shared" ca="1" si="11"/>
        <v>1916181.3097189139</v>
      </c>
      <c r="AG17" s="106" t="s">
        <v>48</v>
      </c>
      <c r="AH17" s="107">
        <f ca="1">-SUMPRODUCT(N4:N1803,AT4:AT1803)+C15*C4</f>
        <v>19876.150000000001</v>
      </c>
      <c r="AI17" s="35"/>
      <c r="AJ17" s="65">
        <v>31</v>
      </c>
      <c r="AK17" s="66">
        <f>'SA85-90'!F23*(1+$AH$22)</f>
        <v>2.2550000000000005E-3</v>
      </c>
      <c r="AL17" s="66">
        <f>'SA85-90 (light)'!F23*(1+$AH$22)</f>
        <v>1.8150000000000002E-3</v>
      </c>
      <c r="AM17" s="66">
        <f t="shared" si="36"/>
        <v>75</v>
      </c>
      <c r="AN17" s="66">
        <f t="shared" si="37"/>
        <v>6.4834000000000003E-2</v>
      </c>
      <c r="AO17" s="67">
        <f t="shared" si="38"/>
        <v>0.57128552823918721</v>
      </c>
      <c r="AP17" s="68">
        <f t="shared" ca="1" si="30"/>
        <v>0.19781837331609492</v>
      </c>
      <c r="AR17" s="69">
        <f t="shared" si="31"/>
        <v>2</v>
      </c>
      <c r="AS17" s="70">
        <f t="shared" si="39"/>
        <v>14</v>
      </c>
      <c r="AT17" s="71">
        <f t="shared" si="40"/>
        <v>0.90862017132900763</v>
      </c>
      <c r="AU17" s="72">
        <f t="shared" si="12"/>
        <v>6.8214933659622723E-3</v>
      </c>
      <c r="AV17" s="73">
        <f t="shared" si="32"/>
        <v>1.0068214933659623</v>
      </c>
      <c r="AW17" s="74">
        <f>PRODUCT(AV$4:AV17)</f>
        <v>1.099853128661479</v>
      </c>
      <c r="AY17" s="75">
        <f t="shared" si="41"/>
        <v>14</v>
      </c>
      <c r="AZ17" s="76">
        <f t="shared" ca="1" si="43"/>
        <v>1.0068214933659623</v>
      </c>
      <c r="BA17" s="76">
        <f t="shared" ca="1" si="43"/>
        <v>1.0068214933659623</v>
      </c>
      <c r="BB17" s="76">
        <f t="shared" ca="1" si="43"/>
        <v>1.0068214933659623</v>
      </c>
      <c r="BC17" s="76">
        <f t="shared" ca="1" si="43"/>
        <v>1.0068214933659623</v>
      </c>
      <c r="BD17" s="76">
        <f t="shared" ca="1" si="43"/>
        <v>1.0068214933659623</v>
      </c>
      <c r="BE17" s="76">
        <f t="shared" ca="1" si="43"/>
        <v>1.0068214933659623</v>
      </c>
      <c r="BF17" s="76">
        <f t="shared" ca="1" si="43"/>
        <v>1.0068214933659623</v>
      </c>
      <c r="BG17" s="76">
        <f t="shared" ca="1" si="43"/>
        <v>1.0068214933659623</v>
      </c>
      <c r="BH17" s="76">
        <f t="shared" ca="1" si="43"/>
        <v>1.0068214933659623</v>
      </c>
      <c r="BI17" s="76">
        <f t="shared" ca="1" si="43"/>
        <v>1.0068214933659623</v>
      </c>
      <c r="BJ17" s="76">
        <f t="shared" ca="1" si="43"/>
        <v>1.0068214933659623</v>
      </c>
      <c r="BK17" s="76">
        <f t="shared" ca="1" si="43"/>
        <v>1.0068214933659623</v>
      </c>
      <c r="BL17" s="76">
        <f t="shared" ca="1" si="14"/>
        <v>8.5000000000000853E-2</v>
      </c>
      <c r="BM17" s="77">
        <f t="shared" ca="1" si="34"/>
        <v>3.1334035749503695</v>
      </c>
    </row>
    <row r="18" spans="2:65">
      <c r="B18" t="s">
        <v>29</v>
      </c>
      <c r="C18" s="105">
        <v>0</v>
      </c>
      <c r="E18">
        <f t="shared" si="35"/>
        <v>15</v>
      </c>
      <c r="F18" s="64">
        <f t="shared" si="15"/>
        <v>63.12</v>
      </c>
      <c r="G18" s="55">
        <f t="shared" si="16"/>
        <v>1.8773469130904941E-3</v>
      </c>
      <c r="H18" s="78">
        <f t="shared" si="42"/>
        <v>0.97502125793088246</v>
      </c>
      <c r="I18" s="79">
        <f t="shared" ca="1" si="17"/>
        <v>1868317.5110257813</v>
      </c>
      <c r="J18" s="79">
        <f t="shared" ca="1" si="18"/>
        <v>12744.715506973511</v>
      </c>
      <c r="K18" s="80">
        <f t="shared" ca="1" si="19"/>
        <v>-19.500425158617649</v>
      </c>
      <c r="L18" s="80">
        <f t="shared" ca="1" si="20"/>
        <v>0</v>
      </c>
      <c r="M18" s="80">
        <f t="shared" ca="1" si="21"/>
        <v>0</v>
      </c>
      <c r="N18" s="80">
        <f t="shared" ca="1" si="22"/>
        <v>0</v>
      </c>
      <c r="O18" s="81">
        <f t="shared" ca="1" si="2"/>
        <v>-16298.459848698869</v>
      </c>
      <c r="P18" s="79">
        <f t="shared" ca="1" si="3"/>
        <v>1864744.2662588973</v>
      </c>
      <c r="Q18" s="35"/>
      <c r="R18">
        <f t="shared" ca="1" si="23"/>
        <v>15</v>
      </c>
      <c r="S18" s="78">
        <f t="shared" ca="1" si="24"/>
        <v>63.12</v>
      </c>
      <c r="T18" s="55">
        <f t="shared" ca="1" si="25"/>
        <v>1.8773469130904941E-3</v>
      </c>
      <c r="U18" s="78">
        <f t="shared" ca="1" si="26"/>
        <v>0.97502125793088246</v>
      </c>
      <c r="V18" s="79">
        <f t="shared" ca="1" si="27"/>
        <v>1868317.5110257813</v>
      </c>
      <c r="W18" s="79">
        <f t="shared" ca="1" si="5"/>
        <v>12744.715506973511</v>
      </c>
      <c r="X18" s="80">
        <f t="shared" ca="1" si="6"/>
        <v>-19.500425158617649</v>
      </c>
      <c r="Y18" s="80">
        <f t="shared" ca="1" si="28"/>
        <v>0</v>
      </c>
      <c r="Z18" s="80">
        <f t="shared" ca="1" si="7"/>
        <v>0</v>
      </c>
      <c r="AA18" s="80">
        <f t="shared" ca="1" si="29"/>
        <v>0</v>
      </c>
      <c r="AB18" s="81">
        <f t="shared" ca="1" si="8"/>
        <v>-16298.459848698869</v>
      </c>
      <c r="AC18" s="79">
        <f t="shared" ca="1" si="9"/>
        <v>1864744.2662588973</v>
      </c>
      <c r="AD18" s="35"/>
      <c r="AE18" s="62">
        <f t="shared" ca="1" si="10"/>
        <v>-16716.004616439081</v>
      </c>
      <c r="AF18" s="62">
        <f t="shared" ca="1" si="11"/>
        <v>1912516.5231947033</v>
      </c>
      <c r="AG18" s="109" t="s">
        <v>50</v>
      </c>
      <c r="AH18" s="109">
        <f ca="1">SumOfFeesToInsurer
+SumOfAssetManagementCharges
+SumOfCommissionPayments
-SUM(K4:K1803)</f>
        <v>23225.732762452313</v>
      </c>
      <c r="AI18" s="35"/>
      <c r="AJ18" s="65">
        <v>32</v>
      </c>
      <c r="AK18" s="66">
        <f>'SA85-90'!F24*(1+$AH$22)</f>
        <v>2.2880000000000001E-3</v>
      </c>
      <c r="AL18" s="66">
        <f>'SA85-90 (light)'!F24*(1+$AH$22)</f>
        <v>1.8480000000000003E-3</v>
      </c>
      <c r="AM18" s="66">
        <f t="shared" si="36"/>
        <v>76</v>
      </c>
      <c r="AN18" s="66">
        <f t="shared" si="37"/>
        <v>7.0521E-2</v>
      </c>
      <c r="AO18" s="67">
        <f t="shared" si="38"/>
        <v>0.53099790150223147</v>
      </c>
      <c r="AP18" s="68">
        <f t="shared" ca="1" si="30"/>
        <v>0.1694636164161018</v>
      </c>
      <c r="AR18" s="69">
        <f t="shared" si="31"/>
        <v>2</v>
      </c>
      <c r="AS18" s="70">
        <f t="shared" si="39"/>
        <v>15</v>
      </c>
      <c r="AT18" s="71">
        <f t="shared" si="40"/>
        <v>0.9024220248581073</v>
      </c>
      <c r="AU18" s="72">
        <f t="shared" si="12"/>
        <v>6.8214933659622723E-3</v>
      </c>
      <c r="AV18" s="73">
        <f t="shared" si="32"/>
        <v>1.0068214933659623</v>
      </c>
      <c r="AW18" s="74">
        <f>PRODUCT(AV$4:AV18)</f>
        <v>1.1073557694821761</v>
      </c>
      <c r="AY18" s="75">
        <f t="shared" si="41"/>
        <v>15</v>
      </c>
      <c r="AZ18" s="76">
        <f t="shared" ca="1" si="43"/>
        <v>1.0068214933659623</v>
      </c>
      <c r="BA18" s="76">
        <f t="shared" ca="1" si="43"/>
        <v>1.0068214933659623</v>
      </c>
      <c r="BB18" s="76">
        <f t="shared" ca="1" si="43"/>
        <v>1.0068214933659623</v>
      </c>
      <c r="BC18" s="76">
        <f t="shared" ca="1" si="43"/>
        <v>1.0068214933659623</v>
      </c>
      <c r="BD18" s="76">
        <f t="shared" ca="1" si="43"/>
        <v>1.0068214933659623</v>
      </c>
      <c r="BE18" s="76">
        <f t="shared" ca="1" si="43"/>
        <v>1.0068214933659623</v>
      </c>
      <c r="BF18" s="76">
        <f t="shared" ca="1" si="43"/>
        <v>1.0068214933659623</v>
      </c>
      <c r="BG18" s="76">
        <f t="shared" ca="1" si="43"/>
        <v>1.0068214933659623</v>
      </c>
      <c r="BH18" s="76">
        <f t="shared" ca="1" si="43"/>
        <v>1.0068214933659623</v>
      </c>
      <c r="BI18" s="76">
        <f t="shared" ca="1" si="43"/>
        <v>1.0068214933659623</v>
      </c>
      <c r="BJ18" s="76">
        <f t="shared" ca="1" si="43"/>
        <v>1.0068214933659623</v>
      </c>
      <c r="BK18" s="76">
        <f t="shared" ca="1" si="43"/>
        <v>1.0068214933659623</v>
      </c>
      <c r="BL18" s="76">
        <f t="shared" ca="1" si="14"/>
        <v>8.5000000000000853E-2</v>
      </c>
      <c r="BM18" s="77">
        <f t="shared" ca="1" si="34"/>
        <v>3.3997428788211534</v>
      </c>
    </row>
    <row r="19" spans="2:65">
      <c r="B19" t="s">
        <v>28</v>
      </c>
      <c r="C19" s="110">
        <v>20</v>
      </c>
      <c r="E19">
        <f t="shared" si="35"/>
        <v>16</v>
      </c>
      <c r="F19" s="64">
        <f t="shared" si="15"/>
        <v>63.2</v>
      </c>
      <c r="G19" s="55">
        <f t="shared" si="16"/>
        <v>1.8773469130904941E-3</v>
      </c>
      <c r="H19" s="78">
        <f t="shared" si="42"/>
        <v>0.97319080478210829</v>
      </c>
      <c r="I19" s="79">
        <f t="shared" ca="1" si="17"/>
        <v>1861243.4943669329</v>
      </c>
      <c r="J19" s="79">
        <f t="shared" ca="1" si="18"/>
        <v>12696.460149264471</v>
      </c>
      <c r="K19" s="80">
        <f t="shared" ca="1" si="19"/>
        <v>-19.463816095642166</v>
      </c>
      <c r="L19" s="80">
        <f t="shared" ca="1" si="20"/>
        <v>0</v>
      </c>
      <c r="M19" s="80">
        <f t="shared" ca="1" si="21"/>
        <v>0</v>
      </c>
      <c r="N19" s="80">
        <f t="shared" ca="1" si="22"/>
        <v>0</v>
      </c>
      <c r="O19" s="81">
        <f t="shared" ca="1" si="2"/>
        <v>-16267.861985413785</v>
      </c>
      <c r="P19" s="79">
        <f t="shared" ca="1" si="3"/>
        <v>1857652.6287146879</v>
      </c>
      <c r="Q19" s="35"/>
      <c r="R19">
        <f t="shared" ca="1" si="23"/>
        <v>16</v>
      </c>
      <c r="S19" s="78">
        <f t="shared" ca="1" si="24"/>
        <v>63.2</v>
      </c>
      <c r="T19" s="55">
        <f t="shared" ca="1" si="25"/>
        <v>1.8773469130904941E-3</v>
      </c>
      <c r="U19" s="78">
        <f t="shared" ca="1" si="26"/>
        <v>0.97319080478210829</v>
      </c>
      <c r="V19" s="79">
        <f t="shared" ca="1" si="27"/>
        <v>1861243.4943669329</v>
      </c>
      <c r="W19" s="79">
        <f t="shared" ca="1" si="5"/>
        <v>12696.460149264471</v>
      </c>
      <c r="X19" s="80">
        <f t="shared" ca="1" si="6"/>
        <v>-19.463816095642166</v>
      </c>
      <c r="Y19" s="80">
        <f t="shared" ca="1" si="28"/>
        <v>0</v>
      </c>
      <c r="Z19" s="80">
        <f t="shared" ca="1" si="7"/>
        <v>0</v>
      </c>
      <c r="AA19" s="80">
        <f t="shared" ca="1" si="29"/>
        <v>0</v>
      </c>
      <c r="AB19" s="81">
        <f t="shared" ca="1" si="8"/>
        <v>-16267.861985413785</v>
      </c>
      <c r="AC19" s="79">
        <f t="shared" ca="1" si="9"/>
        <v>1857652.6287146879</v>
      </c>
      <c r="AD19" s="35"/>
      <c r="AE19" s="62">
        <f t="shared" ca="1" si="10"/>
        <v>-16716.004616439081</v>
      </c>
      <c r="AF19" s="62">
        <f t="shared" ca="1" si="11"/>
        <v>1908826.73735353</v>
      </c>
      <c r="AG19" s="35" t="s">
        <v>51</v>
      </c>
      <c r="AH19" s="35">
        <f ca="1">PresentValueOfFeesToInsurer
+PresentValueOfAssetManagementCharges
+PresentValueOfCommissionPayments
-SUMPRODUCT(K4:K1803,AT4:AT1803)</f>
        <v>21725.56257523597</v>
      </c>
      <c r="AI19" s="35"/>
      <c r="AJ19" s="65">
        <v>33</v>
      </c>
      <c r="AK19" s="66">
        <f>'SA85-90'!F25*(1+$AH$22)</f>
        <v>2.3320000000000003E-3</v>
      </c>
      <c r="AL19" s="66">
        <f>'SA85-90 (light)'!F25*(1+$AH$22)</f>
        <v>1.9030000000000002E-3</v>
      </c>
      <c r="AM19" s="66">
        <f t="shared" si="36"/>
        <v>77</v>
      </c>
      <c r="AN19" s="66">
        <f t="shared" si="37"/>
        <v>7.6714000000000004E-2</v>
      </c>
      <c r="AO19" s="67">
        <f t="shared" si="38"/>
        <v>0.4902629284863893</v>
      </c>
      <c r="AP19" s="68">
        <f t="shared" ca="1" si="30"/>
        <v>0.14420588437452245</v>
      </c>
      <c r="AR19" s="69">
        <f t="shared" si="31"/>
        <v>2</v>
      </c>
      <c r="AS19" s="70">
        <f t="shared" si="39"/>
        <v>16</v>
      </c>
      <c r="AT19" s="71">
        <f t="shared" si="40"/>
        <v>0.89626615900223949</v>
      </c>
      <c r="AU19" s="72">
        <f t="shared" si="12"/>
        <v>6.8214933659622723E-3</v>
      </c>
      <c r="AV19" s="73">
        <f t="shared" si="32"/>
        <v>1.0068214933659623</v>
      </c>
      <c r="AW19" s="74">
        <f>PRODUCT(AV$4:AV19)</f>
        <v>1.1149095895174588</v>
      </c>
      <c r="AY19" s="75">
        <f t="shared" si="41"/>
        <v>16</v>
      </c>
      <c r="AZ19" s="76">
        <f t="shared" ca="1" si="43"/>
        <v>1.0068214933659623</v>
      </c>
      <c r="BA19" s="76">
        <f t="shared" ca="1" si="43"/>
        <v>1.0068214933659623</v>
      </c>
      <c r="BB19" s="76">
        <f t="shared" ca="1" si="43"/>
        <v>1.0068214933659623</v>
      </c>
      <c r="BC19" s="76">
        <f t="shared" ca="1" si="43"/>
        <v>1.0068214933659623</v>
      </c>
      <c r="BD19" s="76">
        <f t="shared" ca="1" si="43"/>
        <v>1.0068214933659623</v>
      </c>
      <c r="BE19" s="76">
        <f t="shared" ca="1" si="43"/>
        <v>1.0068214933659623</v>
      </c>
      <c r="BF19" s="76">
        <f t="shared" ca="1" si="43"/>
        <v>1.0068214933659623</v>
      </c>
      <c r="BG19" s="76">
        <f t="shared" ca="1" si="43"/>
        <v>1.0068214933659623</v>
      </c>
      <c r="BH19" s="76">
        <f t="shared" ca="1" si="43"/>
        <v>1.0068214933659623</v>
      </c>
      <c r="BI19" s="76">
        <f t="shared" ca="1" si="43"/>
        <v>1.0068214933659623</v>
      </c>
      <c r="BJ19" s="76">
        <f t="shared" ca="1" si="43"/>
        <v>1.0068214933659623</v>
      </c>
      <c r="BK19" s="76">
        <f t="shared" ca="1" si="43"/>
        <v>1.0068214933659623</v>
      </c>
      <c r="BL19" s="76">
        <f t="shared" ca="1" si="14"/>
        <v>8.5000000000000853E-2</v>
      </c>
      <c r="BM19" s="77">
        <f t="shared" ca="1" si="34"/>
        <v>3.6887210235209542</v>
      </c>
    </row>
    <row r="20" spans="2:65">
      <c r="B20" s="82" t="s">
        <v>27</v>
      </c>
      <c r="C20" s="111">
        <v>0.14000000000000001</v>
      </c>
      <c r="E20">
        <f t="shared" si="35"/>
        <v>17</v>
      </c>
      <c r="F20" s="64">
        <f t="shared" si="15"/>
        <v>63.28</v>
      </c>
      <c r="G20" s="55">
        <f t="shared" si="16"/>
        <v>1.8773469130904941E-3</v>
      </c>
      <c r="H20" s="78">
        <f t="shared" si="42"/>
        <v>0.97136378802890255</v>
      </c>
      <c r="I20" s="79">
        <f t="shared" ca="1" si="17"/>
        <v>1854165.170286576</v>
      </c>
      <c r="J20" s="79">
        <f t="shared" ca="1" si="18"/>
        <v>12648.175408508185</v>
      </c>
      <c r="K20" s="80">
        <f t="shared" ca="1" si="19"/>
        <v>-19.427275760578052</v>
      </c>
      <c r="L20" s="80">
        <f t="shared" ca="1" si="20"/>
        <v>0</v>
      </c>
      <c r="M20" s="80">
        <f t="shared" ca="1" si="21"/>
        <v>0</v>
      </c>
      <c r="N20" s="80">
        <f t="shared" ca="1" si="22"/>
        <v>0</v>
      </c>
      <c r="O20" s="81">
        <f t="shared" ca="1" si="2"/>
        <v>-16237.321564932885</v>
      </c>
      <c r="P20" s="79">
        <f t="shared" ca="1" si="3"/>
        <v>1850556.5968543908</v>
      </c>
      <c r="Q20" s="35"/>
      <c r="R20">
        <f t="shared" ca="1" si="23"/>
        <v>17</v>
      </c>
      <c r="S20" s="78">
        <f t="shared" ca="1" si="24"/>
        <v>63.28</v>
      </c>
      <c r="T20" s="55">
        <f t="shared" ca="1" si="25"/>
        <v>1.8773469130904941E-3</v>
      </c>
      <c r="U20" s="78">
        <f t="shared" ca="1" si="26"/>
        <v>0.97136378802890255</v>
      </c>
      <c r="V20" s="79">
        <f t="shared" ca="1" si="27"/>
        <v>1854165.170286576</v>
      </c>
      <c r="W20" s="79">
        <f t="shared" ca="1" si="5"/>
        <v>12648.175408508185</v>
      </c>
      <c r="X20" s="80">
        <f t="shared" ca="1" si="6"/>
        <v>-19.427275760578052</v>
      </c>
      <c r="Y20" s="80">
        <f t="shared" ca="1" si="28"/>
        <v>0</v>
      </c>
      <c r="Z20" s="80">
        <f t="shared" ca="1" si="7"/>
        <v>0</v>
      </c>
      <c r="AA20" s="80">
        <f t="shared" ca="1" si="29"/>
        <v>0</v>
      </c>
      <c r="AB20" s="81">
        <f t="shared" ca="1" si="8"/>
        <v>-16237.321564932885</v>
      </c>
      <c r="AC20" s="79">
        <f t="shared" ca="1" si="9"/>
        <v>1850556.5968543908</v>
      </c>
      <c r="AD20" s="35"/>
      <c r="AE20" s="62">
        <f t="shared" ca="1" si="10"/>
        <v>-16716.004616439077</v>
      </c>
      <c r="AF20" s="62">
        <f t="shared" ca="1" si="11"/>
        <v>1905111.7816627196</v>
      </c>
      <c r="AG20" s="107" t="s">
        <v>52</v>
      </c>
      <c r="AH20" s="107">
        <f ca="1">PresentValueOfBenefitsToAnnuitant+PresentValueOfBenefitsToAnnuitantExclFuneral</f>
        <v>1565724.4927307472</v>
      </c>
      <c r="AI20" s="35"/>
      <c r="AJ20" s="65">
        <v>34</v>
      </c>
      <c r="AK20" s="66">
        <f>'SA85-90'!F26*(1+$AH$22)</f>
        <v>2.3870000000000002E-3</v>
      </c>
      <c r="AL20" s="66">
        <f>'SA85-90 (light)'!F26*(1+$AH$22)</f>
        <v>1.9690000000000003E-3</v>
      </c>
      <c r="AM20" s="66">
        <f t="shared" si="36"/>
        <v>78</v>
      </c>
      <c r="AN20" s="66">
        <f t="shared" si="37"/>
        <v>8.3468000000000014E-2</v>
      </c>
      <c r="AO20" s="67">
        <f t="shared" si="38"/>
        <v>0.44934166237148737</v>
      </c>
      <c r="AP20" s="68">
        <f t="shared" ca="1" si="30"/>
        <v>0.12181503006225779</v>
      </c>
      <c r="AR20" s="69">
        <f t="shared" si="31"/>
        <v>2</v>
      </c>
      <c r="AS20" s="70">
        <f t="shared" si="39"/>
        <v>17</v>
      </c>
      <c r="AT20" s="71">
        <f t="shared" si="40"/>
        <v>0.89015228534446922</v>
      </c>
      <c r="AU20" s="72">
        <f t="shared" si="12"/>
        <v>6.8214933659622723E-3</v>
      </c>
      <c r="AV20" s="73">
        <f t="shared" si="32"/>
        <v>1.0068214933659623</v>
      </c>
      <c r="AW20" s="74">
        <f>PRODUCT(AV$4:AV20)</f>
        <v>1.1225149378859998</v>
      </c>
      <c r="AY20" s="75">
        <f t="shared" si="41"/>
        <v>17</v>
      </c>
      <c r="AZ20" s="76">
        <f t="shared" ca="1" si="43"/>
        <v>1.0068214933659623</v>
      </c>
      <c r="BA20" s="76">
        <f t="shared" ca="1" si="43"/>
        <v>1.0068214933659623</v>
      </c>
      <c r="BB20" s="76">
        <f t="shared" ca="1" si="43"/>
        <v>1.0068214933659623</v>
      </c>
      <c r="BC20" s="76">
        <f t="shared" ca="1" si="43"/>
        <v>1.0068214933659623</v>
      </c>
      <c r="BD20" s="76">
        <f t="shared" ca="1" si="43"/>
        <v>1.0068214933659623</v>
      </c>
      <c r="BE20" s="76">
        <f t="shared" ca="1" si="43"/>
        <v>1.0068214933659623</v>
      </c>
      <c r="BF20" s="76">
        <f t="shared" ca="1" si="43"/>
        <v>1.0068214933659623</v>
      </c>
      <c r="BG20" s="76">
        <f t="shared" ca="1" si="43"/>
        <v>1.0068214933659623</v>
      </c>
      <c r="BH20" s="76">
        <f t="shared" ca="1" si="43"/>
        <v>1.0068214933659623</v>
      </c>
      <c r="BI20" s="76">
        <f t="shared" ca="1" si="43"/>
        <v>1.0068214933659623</v>
      </c>
      <c r="BJ20" s="76">
        <f t="shared" ca="1" si="43"/>
        <v>1.0068214933659623</v>
      </c>
      <c r="BK20" s="76">
        <f t="shared" ca="1" si="43"/>
        <v>1.0068214933659623</v>
      </c>
      <c r="BL20" s="76">
        <f t="shared" ca="1" si="14"/>
        <v>8.5000000000000853E-2</v>
      </c>
      <c r="BM20" s="77">
        <f t="shared" ca="1" si="34"/>
        <v>4.0022623105202388</v>
      </c>
    </row>
    <row r="21" spans="2:65">
      <c r="B21" s="39"/>
      <c r="C21" s="39"/>
      <c r="E21">
        <f t="shared" si="35"/>
        <v>18</v>
      </c>
      <c r="F21" s="64">
        <f t="shared" si="15"/>
        <v>63.36</v>
      </c>
      <c r="G21" s="55">
        <f t="shared" si="16"/>
        <v>1.8773469130904941E-3</v>
      </c>
      <c r="H21" s="78">
        <f t="shared" si="42"/>
        <v>0.96954020121995865</v>
      </c>
      <c r="I21" s="79">
        <f t="shared" ca="1" si="17"/>
        <v>1847082.4601397871</v>
      </c>
      <c r="J21" s="79">
        <f t="shared" ca="1" si="18"/>
        <v>12599.86074822883</v>
      </c>
      <c r="K21" s="80">
        <f t="shared" ca="1" si="19"/>
        <v>-19.390804024399173</v>
      </c>
      <c r="L21" s="80">
        <f t="shared" ca="1" si="20"/>
        <v>0</v>
      </c>
      <c r="M21" s="80">
        <f t="shared" ca="1" si="21"/>
        <v>0</v>
      </c>
      <c r="N21" s="80">
        <f t="shared" ca="1" si="22"/>
        <v>0</v>
      </c>
      <c r="O21" s="81">
        <f t="shared" ca="1" si="2"/>
        <v>-16206.838479416101</v>
      </c>
      <c r="P21" s="79">
        <f t="shared" ca="1" si="3"/>
        <v>1843456.0916045753</v>
      </c>
      <c r="Q21" s="35"/>
      <c r="R21">
        <f t="shared" ca="1" si="23"/>
        <v>18</v>
      </c>
      <c r="S21" s="78">
        <f t="shared" ca="1" si="24"/>
        <v>63.36</v>
      </c>
      <c r="T21" s="55">
        <f t="shared" ca="1" si="25"/>
        <v>1.8773469130904941E-3</v>
      </c>
      <c r="U21" s="78">
        <f t="shared" ca="1" si="26"/>
        <v>0.96954020121995865</v>
      </c>
      <c r="V21" s="79">
        <f t="shared" ca="1" si="27"/>
        <v>1847082.4601397871</v>
      </c>
      <c r="W21" s="79">
        <f t="shared" ca="1" si="5"/>
        <v>12599.86074822883</v>
      </c>
      <c r="X21" s="80">
        <f t="shared" ca="1" si="6"/>
        <v>-19.390804024399173</v>
      </c>
      <c r="Y21" s="80">
        <f t="shared" ca="1" si="28"/>
        <v>0</v>
      </c>
      <c r="Z21" s="80">
        <f t="shared" ca="1" si="7"/>
        <v>0</v>
      </c>
      <c r="AA21" s="80">
        <f t="shared" ca="1" si="29"/>
        <v>0</v>
      </c>
      <c r="AB21" s="81">
        <f t="shared" ca="1" si="8"/>
        <v>-16206.838479416101</v>
      </c>
      <c r="AC21" s="79">
        <f t="shared" ca="1" si="9"/>
        <v>1843456.0916045753</v>
      </c>
      <c r="AD21" s="35"/>
      <c r="AE21" s="62">
        <f t="shared" ca="1" si="10"/>
        <v>-16716.004616439077</v>
      </c>
      <c r="AF21" s="62">
        <f t="shared" ca="1" si="11"/>
        <v>1901371.4844263091</v>
      </c>
      <c r="AG21" s="112" t="s">
        <v>84</v>
      </c>
      <c r="AH21" s="113">
        <v>8.5000000000000006E-2</v>
      </c>
      <c r="AI21" s="35"/>
      <c r="AJ21" s="65">
        <v>35</v>
      </c>
      <c r="AK21" s="66">
        <f>'SA85-90'!F27*(1+$AH$22)</f>
        <v>2.4750000000000002E-3</v>
      </c>
      <c r="AL21" s="66">
        <f>'SA85-90 (light)'!F27*(1+$AH$22)</f>
        <v>2.0570000000000002E-3</v>
      </c>
      <c r="AM21" s="66">
        <f t="shared" si="36"/>
        <v>79</v>
      </c>
      <c r="AN21" s="66">
        <f t="shared" si="37"/>
        <v>9.0848999999999999E-2</v>
      </c>
      <c r="AO21" s="67">
        <f t="shared" si="38"/>
        <v>0.40851942168670013</v>
      </c>
      <c r="AP21" s="68">
        <f t="shared" ca="1" si="30"/>
        <v>0.10207212571072041</v>
      </c>
      <c r="AR21" s="69">
        <f t="shared" si="31"/>
        <v>2</v>
      </c>
      <c r="AS21" s="70">
        <f t="shared" si="39"/>
        <v>18</v>
      </c>
      <c r="AT21" s="71">
        <f t="shared" si="40"/>
        <v>0.8840801174352958</v>
      </c>
      <c r="AU21" s="72">
        <f t="shared" si="12"/>
        <v>6.8214933659622723E-3</v>
      </c>
      <c r="AV21" s="73">
        <f t="shared" si="32"/>
        <v>1.0068214933659623</v>
      </c>
      <c r="AW21" s="74">
        <f>PRODUCT(AV$4:AV21)</f>
        <v>1.1301721660879827</v>
      </c>
      <c r="AY21" s="75">
        <f t="shared" si="41"/>
        <v>18</v>
      </c>
      <c r="AZ21" s="76">
        <f t="shared" ca="1" si="43"/>
        <v>1.0068214933659623</v>
      </c>
      <c r="BA21" s="76">
        <f t="shared" ca="1" si="43"/>
        <v>1.0068214933659623</v>
      </c>
      <c r="BB21" s="76">
        <f t="shared" ca="1" si="43"/>
        <v>1.0068214933659623</v>
      </c>
      <c r="BC21" s="76">
        <f t="shared" ca="1" si="43"/>
        <v>1.0068214933659623</v>
      </c>
      <c r="BD21" s="76">
        <f t="shared" ca="1" si="43"/>
        <v>1.0068214933659623</v>
      </c>
      <c r="BE21" s="76">
        <f t="shared" ca="1" si="43"/>
        <v>1.0068214933659623</v>
      </c>
      <c r="BF21" s="76">
        <f t="shared" ca="1" si="43"/>
        <v>1.0068214933659623</v>
      </c>
      <c r="BG21" s="76">
        <f t="shared" ca="1" si="43"/>
        <v>1.0068214933659623</v>
      </c>
      <c r="BH21" s="76">
        <f t="shared" ca="1" si="43"/>
        <v>1.0068214933659623</v>
      </c>
      <c r="BI21" s="76">
        <f t="shared" ca="1" si="43"/>
        <v>1.0068214933659623</v>
      </c>
      <c r="BJ21" s="76">
        <f t="shared" ca="1" si="43"/>
        <v>1.0068214933659623</v>
      </c>
      <c r="BK21" s="76">
        <f t="shared" ca="1" si="43"/>
        <v>1.0068214933659623</v>
      </c>
      <c r="BL21" s="76">
        <f t="shared" ca="1" si="14"/>
        <v>8.5000000000000853E-2</v>
      </c>
      <c r="BM21" s="77">
        <f t="shared" ca="1" si="34"/>
        <v>4.3424546069144627</v>
      </c>
    </row>
    <row r="22" spans="2:65">
      <c r="B22" t="s">
        <v>72</v>
      </c>
      <c r="E22">
        <f t="shared" si="35"/>
        <v>19</v>
      </c>
      <c r="F22" s="64">
        <f t="shared" si="15"/>
        <v>63.44</v>
      </c>
      <c r="G22" s="55">
        <f t="shared" si="16"/>
        <v>1.8773469130904941E-3</v>
      </c>
      <c r="H22" s="78">
        <f t="shared" si="42"/>
        <v>0.96772003791608119</v>
      </c>
      <c r="I22" s="79">
        <f t="shared" ca="1" si="17"/>
        <v>1839995.2850015836</v>
      </c>
      <c r="J22" s="79">
        <f t="shared" ca="1" si="18"/>
        <v>12551.515630040163</v>
      </c>
      <c r="K22" s="80">
        <f t="shared" ca="1" si="19"/>
        <v>-19.354400758321624</v>
      </c>
      <c r="L22" s="80">
        <f t="shared" ca="1" si="20"/>
        <v>0</v>
      </c>
      <c r="M22" s="80">
        <f t="shared" ca="1" si="21"/>
        <v>0</v>
      </c>
      <c r="N22" s="80">
        <f t="shared" ca="1" si="22"/>
        <v>0</v>
      </c>
      <c r="O22" s="81">
        <f t="shared" ca="1" si="2"/>
        <v>-16176.412621225812</v>
      </c>
      <c r="P22" s="79">
        <f t="shared" ca="1" si="3"/>
        <v>1836351.0336096394</v>
      </c>
      <c r="Q22" s="35"/>
      <c r="R22">
        <f t="shared" ca="1" si="23"/>
        <v>19</v>
      </c>
      <c r="S22" s="78">
        <f t="shared" ca="1" si="24"/>
        <v>63.44</v>
      </c>
      <c r="T22" s="55">
        <f t="shared" ca="1" si="25"/>
        <v>1.8773469130904941E-3</v>
      </c>
      <c r="U22" s="78">
        <f t="shared" ca="1" si="26"/>
        <v>0.96772003791608119</v>
      </c>
      <c r="V22" s="79">
        <f t="shared" ca="1" si="27"/>
        <v>1839995.2850015836</v>
      </c>
      <c r="W22" s="79">
        <f t="shared" ca="1" si="5"/>
        <v>12551.515630040163</v>
      </c>
      <c r="X22" s="80">
        <f t="shared" ca="1" si="6"/>
        <v>-19.354400758321624</v>
      </c>
      <c r="Y22" s="80">
        <f t="shared" ca="1" si="28"/>
        <v>0</v>
      </c>
      <c r="Z22" s="80">
        <f t="shared" ca="1" si="7"/>
        <v>0</v>
      </c>
      <c r="AA22" s="80">
        <f t="shared" ca="1" si="29"/>
        <v>0</v>
      </c>
      <c r="AB22" s="81">
        <f t="shared" ca="1" si="8"/>
        <v>-16176.412621225812</v>
      </c>
      <c r="AC22" s="79">
        <f t="shared" ca="1" si="9"/>
        <v>1836351.0336096394</v>
      </c>
      <c r="AD22" s="35"/>
      <c r="AE22" s="62">
        <f t="shared" ca="1" si="10"/>
        <v>-16716.004616439077</v>
      </c>
      <c r="AF22" s="62">
        <f t="shared" ca="1" si="11"/>
        <v>1897605.672777114</v>
      </c>
      <c r="AG22" s="114" t="s">
        <v>85</v>
      </c>
      <c r="AH22" s="115">
        <v>0.1</v>
      </c>
      <c r="AJ22" s="65">
        <v>36</v>
      </c>
      <c r="AK22" s="66">
        <f>'SA85-90'!F28*(1+$AH$22)</f>
        <v>2.5630000000000002E-3</v>
      </c>
      <c r="AL22" s="66">
        <f>'SA85-90 (light)'!F28*(1+$AH$22)</f>
        <v>2.1670000000000001E-3</v>
      </c>
      <c r="AM22" s="66">
        <f t="shared" si="36"/>
        <v>80</v>
      </c>
      <c r="AN22" s="66">
        <f t="shared" si="37"/>
        <v>9.8912000000000014E-2</v>
      </c>
      <c r="AO22" s="67">
        <f t="shared" si="38"/>
        <v>0.36811194864882524</v>
      </c>
      <c r="AP22" s="68">
        <f t="shared" ca="1" si="30"/>
        <v>8.4770477062139679E-2</v>
      </c>
      <c r="AR22" s="69">
        <f t="shared" si="31"/>
        <v>2</v>
      </c>
      <c r="AS22" s="70">
        <f t="shared" si="39"/>
        <v>19</v>
      </c>
      <c r="AT22" s="71">
        <f t="shared" si="40"/>
        <v>0.87804937077923173</v>
      </c>
      <c r="AU22" s="72">
        <f t="shared" si="12"/>
        <v>6.8214933659622723E-3</v>
      </c>
      <c r="AV22" s="73">
        <f t="shared" si="32"/>
        <v>1.0068214933659623</v>
      </c>
      <c r="AW22" s="74">
        <f>PRODUCT(AV$4:AV22)</f>
        <v>1.1378816280213471</v>
      </c>
      <c r="AY22" s="75">
        <f t="shared" si="41"/>
        <v>19</v>
      </c>
      <c r="AZ22" s="76">
        <f t="shared" ca="1" si="43"/>
        <v>1.0068214933659623</v>
      </c>
      <c r="BA22" s="76">
        <f t="shared" ca="1" si="43"/>
        <v>1.0068214933659623</v>
      </c>
      <c r="BB22" s="76">
        <f t="shared" ca="1" si="43"/>
        <v>1.0068214933659623</v>
      </c>
      <c r="BC22" s="76">
        <f t="shared" ca="1" si="43"/>
        <v>1.0068214933659623</v>
      </c>
      <c r="BD22" s="76">
        <f t="shared" ca="1" si="43"/>
        <v>1.0068214933659623</v>
      </c>
      <c r="BE22" s="76">
        <f t="shared" ca="1" si="43"/>
        <v>1.0068214933659623</v>
      </c>
      <c r="BF22" s="76">
        <f t="shared" ca="1" si="43"/>
        <v>1.0068214933659623</v>
      </c>
      <c r="BG22" s="76">
        <f t="shared" ca="1" si="43"/>
        <v>1.0068214933659623</v>
      </c>
      <c r="BH22" s="76">
        <f t="shared" ca="1" si="43"/>
        <v>1.0068214933659623</v>
      </c>
      <c r="BI22" s="76">
        <f t="shared" ca="1" si="43"/>
        <v>1.0068214933659623</v>
      </c>
      <c r="BJ22" s="76">
        <f t="shared" ca="1" si="43"/>
        <v>1.0068214933659623</v>
      </c>
      <c r="BK22" s="76">
        <f t="shared" ca="1" si="43"/>
        <v>1.0068214933659623</v>
      </c>
      <c r="BL22" s="76">
        <f t="shared" ca="1" si="14"/>
        <v>8.5000000000000853E-2</v>
      </c>
      <c r="BM22" s="77">
        <f t="shared" ca="1" si="34"/>
        <v>4.7115632485021957</v>
      </c>
    </row>
    <row r="23" spans="2:65">
      <c r="B23" s="161" t="s">
        <v>74</v>
      </c>
      <c r="C23" s="162"/>
      <c r="E23">
        <f t="shared" si="35"/>
        <v>20</v>
      </c>
      <c r="F23" s="64">
        <f t="shared" si="15"/>
        <v>63.52</v>
      </c>
      <c r="G23" s="55">
        <f t="shared" si="16"/>
        <v>2.0618893337144284E-3</v>
      </c>
      <c r="H23" s="78">
        <f t="shared" si="42"/>
        <v>0.96572470629188034</v>
      </c>
      <c r="I23" s="79">
        <f t="shared" ca="1" si="17"/>
        <v>1832564.6810004842</v>
      </c>
      <c r="J23" s="79">
        <f t="shared" ca="1" si="18"/>
        <v>12500.82781414157</v>
      </c>
      <c r="K23" s="80">
        <f t="shared" ca="1" si="19"/>
        <v>-19.314494125837605</v>
      </c>
      <c r="L23" s="80">
        <f t="shared" ca="1" si="20"/>
        <v>0</v>
      </c>
      <c r="M23" s="80">
        <f t="shared" ca="1" si="21"/>
        <v>0</v>
      </c>
      <c r="N23" s="80">
        <f t="shared" ca="1" si="22"/>
        <v>0</v>
      </c>
      <c r="O23" s="81">
        <f t="shared" ca="1" si="2"/>
        <v>-16143.058648584345</v>
      </c>
      <c r="P23" s="79">
        <f t="shared" ca="1" si="3"/>
        <v>1828903.1356719155</v>
      </c>
      <c r="Q23" s="35"/>
      <c r="R23">
        <f t="shared" ca="1" si="23"/>
        <v>20</v>
      </c>
      <c r="S23" s="78">
        <f t="shared" ca="1" si="24"/>
        <v>63.52</v>
      </c>
      <c r="T23" s="55">
        <f t="shared" ca="1" si="25"/>
        <v>2.0618893337144284E-3</v>
      </c>
      <c r="U23" s="78">
        <f t="shared" ca="1" si="26"/>
        <v>0.96572470629188034</v>
      </c>
      <c r="V23" s="79">
        <f t="shared" ca="1" si="27"/>
        <v>1832564.6810004842</v>
      </c>
      <c r="W23" s="79">
        <f t="shared" ca="1" si="5"/>
        <v>12500.82781414157</v>
      </c>
      <c r="X23" s="80">
        <f t="shared" ca="1" si="6"/>
        <v>-19.314494125837605</v>
      </c>
      <c r="Y23" s="80">
        <f t="shared" ca="1" si="28"/>
        <v>0</v>
      </c>
      <c r="Z23" s="80">
        <f t="shared" ca="1" si="7"/>
        <v>0</v>
      </c>
      <c r="AA23" s="80">
        <f t="shared" ca="1" si="29"/>
        <v>0</v>
      </c>
      <c r="AB23" s="81">
        <f t="shared" ca="1" si="8"/>
        <v>-16143.058648584345</v>
      </c>
      <c r="AC23" s="79">
        <f t="shared" ca="1" si="9"/>
        <v>1828903.1356719155</v>
      </c>
      <c r="AD23" s="35"/>
      <c r="AE23" s="62">
        <f t="shared" ca="1" si="10"/>
        <v>-16716.004616439077</v>
      </c>
      <c r="AF23" s="62">
        <f t="shared" ca="1" si="11"/>
        <v>1893814.172668736</v>
      </c>
      <c r="AH23" s="116">
        <f>SUM(AO4:AO90)</f>
        <v>15.331453896130611</v>
      </c>
      <c r="AI23" s="35"/>
      <c r="AJ23" s="65">
        <v>37</v>
      </c>
      <c r="AK23" s="66">
        <f>'SA85-90'!F29*(1+$AH$22)</f>
        <v>2.6840000000000002E-3</v>
      </c>
      <c r="AL23" s="66">
        <f>'SA85-90 (light)'!F29*(1+$AH$22)</f>
        <v>2.2880000000000001E-3</v>
      </c>
      <c r="AM23" s="66">
        <f t="shared" si="36"/>
        <v>81</v>
      </c>
      <c r="AN23" s="66">
        <f t="shared" si="37"/>
        <v>0.107712</v>
      </c>
      <c r="AO23" s="67">
        <f t="shared" si="38"/>
        <v>0.32846187443596297</v>
      </c>
      <c r="AP23" s="68">
        <f t="shared" ca="1" si="30"/>
        <v>6.9713990264352474E-2</v>
      </c>
      <c r="AR23" s="69">
        <f t="shared" si="31"/>
        <v>2</v>
      </c>
      <c r="AS23" s="70">
        <f t="shared" si="39"/>
        <v>20</v>
      </c>
      <c r="AT23" s="71">
        <f t="shared" si="40"/>
        <v>0.8720597628214739</v>
      </c>
      <c r="AU23" s="72">
        <f t="shared" si="12"/>
        <v>6.8214933659622723E-3</v>
      </c>
      <c r="AV23" s="73">
        <f t="shared" si="32"/>
        <v>1.0068214933659623</v>
      </c>
      <c r="AW23" s="74">
        <f>PRODUCT(AV$4:AV23)</f>
        <v>1.1456436799981451</v>
      </c>
      <c r="AY23" s="75">
        <f t="shared" si="41"/>
        <v>20</v>
      </c>
      <c r="AZ23" s="76">
        <f t="shared" ca="1" si="43"/>
        <v>1.0068214933659623</v>
      </c>
      <c r="BA23" s="76">
        <f t="shared" ca="1" si="43"/>
        <v>1.0068214933659623</v>
      </c>
      <c r="BB23" s="76">
        <f t="shared" ca="1" si="43"/>
        <v>1.0068214933659623</v>
      </c>
      <c r="BC23" s="76">
        <f t="shared" ca="1" si="43"/>
        <v>1.0068214933659623</v>
      </c>
      <c r="BD23" s="76">
        <f t="shared" ca="1" si="43"/>
        <v>1.0068214933659623</v>
      </c>
      <c r="BE23" s="76">
        <f t="shared" ca="1" si="43"/>
        <v>1.0068214933659623</v>
      </c>
      <c r="BF23" s="76">
        <f t="shared" ca="1" si="43"/>
        <v>1.0068214933659623</v>
      </c>
      <c r="BG23" s="76">
        <f t="shared" ca="1" si="43"/>
        <v>1.0068214933659623</v>
      </c>
      <c r="BH23" s="76">
        <f t="shared" ca="1" si="43"/>
        <v>1.0068214933659623</v>
      </c>
      <c r="BI23" s="76">
        <f t="shared" ca="1" si="43"/>
        <v>1.0068214933659623</v>
      </c>
      <c r="BJ23" s="76">
        <f t="shared" ca="1" si="43"/>
        <v>1.0068214933659623</v>
      </c>
      <c r="BK23" s="76">
        <f t="shared" ca="1" si="43"/>
        <v>1.0068214933659623</v>
      </c>
      <c r="BL23" s="76">
        <f t="shared" ca="1" si="14"/>
        <v>8.5000000000000853E-2</v>
      </c>
      <c r="BM23" s="77">
        <f t="shared" ca="1" si="34"/>
        <v>5.1120461246248867</v>
      </c>
    </row>
    <row r="24" spans="2:65">
      <c r="B24" s="163"/>
      <c r="C24" s="164"/>
      <c r="E24">
        <f t="shared" si="35"/>
        <v>21</v>
      </c>
      <c r="F24" s="64">
        <f t="shared" si="15"/>
        <v>63.6</v>
      </c>
      <c r="G24" s="55">
        <f t="shared" si="16"/>
        <v>2.0618893337144284E-3</v>
      </c>
      <c r="H24" s="78">
        <f t="shared" si="42"/>
        <v>0.96373348882067267</v>
      </c>
      <c r="I24" s="79">
        <f t="shared" ca="1" si="17"/>
        <v>1825132.1398040766</v>
      </c>
      <c r="J24" s="79">
        <f t="shared" ca="1" si="18"/>
        <v>12450.126783678035</v>
      </c>
      <c r="K24" s="80">
        <f t="shared" ca="1" si="19"/>
        <v>-19.274669776413454</v>
      </c>
      <c r="L24" s="80">
        <f t="shared" ca="1" si="20"/>
        <v>0</v>
      </c>
      <c r="M24" s="80">
        <f t="shared" ca="1" si="21"/>
        <v>0</v>
      </c>
      <c r="N24" s="80">
        <f t="shared" ca="1" si="22"/>
        <v>0</v>
      </c>
      <c r="O24" s="81">
        <f t="shared" ca="1" si="2"/>
        <v>-16109.773448143302</v>
      </c>
      <c r="P24" s="79">
        <f t="shared" ca="1" si="3"/>
        <v>1821453.2184698349</v>
      </c>
      <c r="Q24" s="35"/>
      <c r="R24">
        <f t="shared" ca="1" si="23"/>
        <v>21</v>
      </c>
      <c r="S24" s="78">
        <f t="shared" ca="1" si="24"/>
        <v>63.6</v>
      </c>
      <c r="T24" s="55">
        <f t="shared" ca="1" si="25"/>
        <v>2.0618893337144284E-3</v>
      </c>
      <c r="U24" s="78">
        <f t="shared" ca="1" si="26"/>
        <v>0.96373348882067267</v>
      </c>
      <c r="V24" s="79">
        <f t="shared" ca="1" si="27"/>
        <v>1825132.1398040766</v>
      </c>
      <c r="W24" s="79">
        <f t="shared" ca="1" si="5"/>
        <v>12450.126783678035</v>
      </c>
      <c r="X24" s="80">
        <f t="shared" ca="1" si="6"/>
        <v>-19.274669776413454</v>
      </c>
      <c r="Y24" s="80">
        <f t="shared" ca="1" si="28"/>
        <v>0</v>
      </c>
      <c r="Z24" s="80">
        <f t="shared" ca="1" si="7"/>
        <v>0</v>
      </c>
      <c r="AA24" s="80">
        <f t="shared" ca="1" si="29"/>
        <v>0</v>
      </c>
      <c r="AB24" s="81">
        <f t="shared" ca="1" si="8"/>
        <v>-16109.773448143302</v>
      </c>
      <c r="AC24" s="79">
        <f t="shared" ca="1" si="9"/>
        <v>1821453.2184698349</v>
      </c>
      <c r="AD24" s="35"/>
      <c r="AE24" s="62">
        <f t="shared" ca="1" si="10"/>
        <v>-16716.004616439077</v>
      </c>
      <c r="AF24" s="62">
        <f t="shared" ca="1" si="11"/>
        <v>1889996.8088675218</v>
      </c>
      <c r="AH24" s="117">
        <f ca="1">SUM(AP4:AP90)</f>
        <v>8.2005484307926224</v>
      </c>
      <c r="AI24" s="35"/>
      <c r="AJ24" s="65">
        <v>38</v>
      </c>
      <c r="AK24" s="66">
        <f>'SA85-90'!F30*(1+$AH$22)</f>
        <v>2.8160000000000004E-3</v>
      </c>
      <c r="AL24" s="66">
        <f>'SA85-90 (light)'!F30*(1+$AH$22)</f>
        <v>2.4200000000000003E-3</v>
      </c>
      <c r="AM24" s="66">
        <f t="shared" si="36"/>
        <v>82</v>
      </c>
      <c r="AN24" s="66">
        <f t="shared" si="37"/>
        <v>0.11730400000000001</v>
      </c>
      <c r="AO24" s="67">
        <f t="shared" si="38"/>
        <v>0.28993198271712678</v>
      </c>
      <c r="AP24" s="68">
        <f t="shared" ca="1" si="30"/>
        <v>5.6715447327541767E-2</v>
      </c>
      <c r="AR24" s="69">
        <f t="shared" si="31"/>
        <v>2</v>
      </c>
      <c r="AS24" s="70">
        <f t="shared" si="39"/>
        <v>21</v>
      </c>
      <c r="AT24" s="71">
        <f t="shared" si="40"/>
        <v>0.86611101293466464</v>
      </c>
      <c r="AU24" s="72">
        <f t="shared" si="12"/>
        <v>6.8214933659622723E-3</v>
      </c>
      <c r="AV24" s="73">
        <f t="shared" si="32"/>
        <v>1.0068214933659623</v>
      </c>
      <c r="AW24" s="74">
        <f>PRODUCT(AV$4:AV24)</f>
        <v>1.153458680761009</v>
      </c>
      <c r="AY24" s="75">
        <f t="shared" si="41"/>
        <v>21</v>
      </c>
      <c r="AZ24" s="76">
        <f t="shared" ca="1" si="43"/>
        <v>1.0068214933659623</v>
      </c>
      <c r="BA24" s="76">
        <f t="shared" ca="1" si="43"/>
        <v>1.0068214933659623</v>
      </c>
      <c r="BB24" s="76">
        <f t="shared" ca="1" si="43"/>
        <v>1.0068214933659623</v>
      </c>
      <c r="BC24" s="76">
        <f t="shared" ca="1" si="43"/>
        <v>1.0068214933659623</v>
      </c>
      <c r="BD24" s="76">
        <f t="shared" ca="1" si="43"/>
        <v>1.0068214933659623</v>
      </c>
      <c r="BE24" s="76">
        <f t="shared" ca="1" si="43"/>
        <v>1.0068214933659623</v>
      </c>
      <c r="BF24" s="76">
        <f t="shared" ca="1" si="43"/>
        <v>1.0068214933659623</v>
      </c>
      <c r="BG24" s="76">
        <f t="shared" ca="1" si="43"/>
        <v>1.0068214933659623</v>
      </c>
      <c r="BH24" s="76">
        <f t="shared" ca="1" si="43"/>
        <v>1.0068214933659623</v>
      </c>
      <c r="BI24" s="76">
        <f t="shared" ca="1" si="43"/>
        <v>1.0068214933659623</v>
      </c>
      <c r="BJ24" s="76">
        <f t="shared" ca="1" si="43"/>
        <v>1.0068214933659623</v>
      </c>
      <c r="BK24" s="76">
        <f t="shared" ca="1" si="43"/>
        <v>1.0068214933659623</v>
      </c>
      <c r="BL24" s="76">
        <f t="shared" ca="1" si="14"/>
        <v>8.5000000000000853E-2</v>
      </c>
      <c r="BM24" s="77">
        <f t="shared" ca="1" si="34"/>
        <v>5.5465700452180062</v>
      </c>
    </row>
    <row r="25" spans="2:65">
      <c r="B25" s="163"/>
      <c r="C25" s="164"/>
      <c r="E25">
        <f t="shared" si="35"/>
        <v>22</v>
      </c>
      <c r="F25" s="64">
        <f t="shared" si="15"/>
        <v>63.68</v>
      </c>
      <c r="G25" s="55">
        <f t="shared" si="16"/>
        <v>2.0618893337144284E-3</v>
      </c>
      <c r="H25" s="78">
        <f t="shared" si="42"/>
        <v>0.96174637701952992</v>
      </c>
      <c r="I25" s="79">
        <f t="shared" ca="1" si="17"/>
        <v>1817697.5835068121</v>
      </c>
      <c r="J25" s="79">
        <f t="shared" ca="1" si="18"/>
        <v>12399.412007217372</v>
      </c>
      <c r="K25" s="80">
        <f t="shared" ca="1" si="19"/>
        <v>-19.234927540390597</v>
      </c>
      <c r="L25" s="80">
        <f t="shared" ca="1" si="20"/>
        <v>0</v>
      </c>
      <c r="M25" s="80">
        <f t="shared" ca="1" si="21"/>
        <v>0</v>
      </c>
      <c r="N25" s="80">
        <f t="shared" ca="1" si="22"/>
        <v>0</v>
      </c>
      <c r="O25" s="81">
        <f t="shared" ca="1" si="2"/>
        <v>-16076.556878102019</v>
      </c>
      <c r="P25" s="79">
        <f t="shared" ca="1" si="3"/>
        <v>1814001.203708387</v>
      </c>
      <c r="Q25" s="35"/>
      <c r="R25">
        <f t="shared" ca="1" si="23"/>
        <v>22</v>
      </c>
      <c r="S25" s="78">
        <f t="shared" ca="1" si="24"/>
        <v>63.68</v>
      </c>
      <c r="T25" s="55">
        <f t="shared" ca="1" si="25"/>
        <v>2.0618893337144284E-3</v>
      </c>
      <c r="U25" s="78">
        <f t="shared" ca="1" si="26"/>
        <v>0.96174637701952992</v>
      </c>
      <c r="V25" s="79">
        <f t="shared" ca="1" si="27"/>
        <v>1817697.5835068121</v>
      </c>
      <c r="W25" s="79">
        <f t="shared" ca="1" si="5"/>
        <v>12399.412007217372</v>
      </c>
      <c r="X25" s="80">
        <f t="shared" ca="1" si="6"/>
        <v>-19.234927540390597</v>
      </c>
      <c r="Y25" s="80">
        <f t="shared" ca="1" si="28"/>
        <v>0</v>
      </c>
      <c r="Z25" s="80">
        <f t="shared" ca="1" si="7"/>
        <v>0</v>
      </c>
      <c r="AA25" s="80">
        <f t="shared" ca="1" si="29"/>
        <v>0</v>
      </c>
      <c r="AB25" s="81">
        <f t="shared" ca="1" si="8"/>
        <v>-16076.556878102019</v>
      </c>
      <c r="AC25" s="79">
        <f t="shared" ca="1" si="9"/>
        <v>1814001.203708387</v>
      </c>
      <c r="AD25" s="35"/>
      <c r="AE25" s="62">
        <f t="shared" ca="1" si="10"/>
        <v>-16716.004616439077</v>
      </c>
      <c r="AF25" s="62">
        <f t="shared" ca="1" si="11"/>
        <v>1886153.4049444625</v>
      </c>
      <c r="AG25" s="35"/>
      <c r="AH25" s="35"/>
      <c r="AI25" s="35"/>
      <c r="AJ25" s="65">
        <v>39</v>
      </c>
      <c r="AK25" s="66">
        <f>'SA85-90'!F31*(1+$AH$22)</f>
        <v>2.9920000000000003E-3</v>
      </c>
      <c r="AL25" s="66">
        <f>'SA85-90 (light)'!F31*(1+$AH$22)</f>
        <v>2.5850000000000005E-3</v>
      </c>
      <c r="AM25" s="66">
        <f t="shared" si="36"/>
        <v>83</v>
      </c>
      <c r="AN25" s="66">
        <f t="shared" si="37"/>
        <v>0.127743</v>
      </c>
      <c r="AO25" s="67">
        <f t="shared" si="38"/>
        <v>0.25289520144889288</v>
      </c>
      <c r="AP25" s="68">
        <f t="shared" ca="1" si="30"/>
        <v>4.5594881050303751E-2</v>
      </c>
      <c r="AR25" s="69">
        <f t="shared" si="31"/>
        <v>2</v>
      </c>
      <c r="AS25" s="70">
        <f t="shared" si="39"/>
        <v>22</v>
      </c>
      <c r="AT25" s="71">
        <f t="shared" si="40"/>
        <v>0.86020284240574396</v>
      </c>
      <c r="AU25" s="72">
        <f t="shared" si="12"/>
        <v>6.8214933659622723E-3</v>
      </c>
      <c r="AV25" s="73">
        <f t="shared" si="32"/>
        <v>1.0068214933659623</v>
      </c>
      <c r="AW25" s="74">
        <f>PRODUCT(AV$4:AV25)</f>
        <v>1.1613269914997317</v>
      </c>
      <c r="AY25" s="75">
        <f t="shared" si="41"/>
        <v>22</v>
      </c>
      <c r="AZ25" s="76">
        <f t="shared" ref="AZ25:BK34" ca="1" si="44">OFFSET($AV$3,($AY25*12-12)+AZ$3,0)</f>
        <v>1.0068214933659623</v>
      </c>
      <c r="BA25" s="76">
        <f t="shared" ca="1" si="44"/>
        <v>1.0068214933659623</v>
      </c>
      <c r="BB25" s="76">
        <f t="shared" ca="1" si="44"/>
        <v>1.0068214933659623</v>
      </c>
      <c r="BC25" s="76">
        <f t="shared" ca="1" si="44"/>
        <v>1.0068214933659623</v>
      </c>
      <c r="BD25" s="76">
        <f t="shared" ca="1" si="44"/>
        <v>1.0068214933659623</v>
      </c>
      <c r="BE25" s="76">
        <f t="shared" ca="1" si="44"/>
        <v>1.0068214933659623</v>
      </c>
      <c r="BF25" s="76">
        <f t="shared" ca="1" si="44"/>
        <v>1.0068214933659623</v>
      </c>
      <c r="BG25" s="76">
        <f t="shared" ca="1" si="44"/>
        <v>1.0068214933659623</v>
      </c>
      <c r="BH25" s="76">
        <f t="shared" ca="1" si="44"/>
        <v>1.0068214933659623</v>
      </c>
      <c r="BI25" s="76">
        <f t="shared" ca="1" si="44"/>
        <v>1.0068214933659623</v>
      </c>
      <c r="BJ25" s="76">
        <f t="shared" ca="1" si="44"/>
        <v>1.0068214933659623</v>
      </c>
      <c r="BK25" s="76">
        <f t="shared" ca="1" si="44"/>
        <v>1.0068214933659623</v>
      </c>
      <c r="BL25" s="76">
        <f t="shared" ca="1" si="14"/>
        <v>8.5000000000000853E-2</v>
      </c>
      <c r="BM25" s="77">
        <f t="shared" ca="1" si="34"/>
        <v>6.0180284990615416</v>
      </c>
    </row>
    <row r="26" spans="2:65">
      <c r="B26" s="165"/>
      <c r="C26" s="166"/>
      <c r="E26">
        <f t="shared" si="35"/>
        <v>23</v>
      </c>
      <c r="F26" s="64">
        <f t="shared" si="15"/>
        <v>63.76</v>
      </c>
      <c r="G26" s="55">
        <f t="shared" si="16"/>
        <v>2.0618893337144284E-3</v>
      </c>
      <c r="H26" s="78">
        <f t="shared" si="42"/>
        <v>0.95976336242301485</v>
      </c>
      <c r="I26" s="79">
        <f t="shared" ca="1" si="17"/>
        <v>1810260.9339751154</v>
      </c>
      <c r="J26" s="79">
        <f t="shared" ca="1" si="18"/>
        <v>12348.682951771916</v>
      </c>
      <c r="K26" s="80">
        <f t="shared" ca="1" si="19"/>
        <v>-19.195267248460297</v>
      </c>
      <c r="L26" s="80">
        <f t="shared" ca="1" si="20"/>
        <v>0</v>
      </c>
      <c r="M26" s="80">
        <f t="shared" ca="1" si="21"/>
        <v>0</v>
      </c>
      <c r="N26" s="80">
        <f t="shared" ca="1" si="22"/>
        <v>0</v>
      </c>
      <c r="O26" s="81">
        <f t="shared" ca="1" si="2"/>
        <v>-16043.408796952208</v>
      </c>
      <c r="P26" s="79">
        <f t="shared" ca="1" si="3"/>
        <v>1806547.0128626868</v>
      </c>
      <c r="Q26" s="35"/>
      <c r="R26">
        <f t="shared" ca="1" si="23"/>
        <v>23</v>
      </c>
      <c r="S26" s="78">
        <f t="shared" ca="1" si="24"/>
        <v>63.76</v>
      </c>
      <c r="T26" s="55">
        <f t="shared" ca="1" si="25"/>
        <v>2.0618893337144284E-3</v>
      </c>
      <c r="U26" s="78">
        <f t="shared" ca="1" si="26"/>
        <v>0.95976336242301485</v>
      </c>
      <c r="V26" s="79">
        <f t="shared" ca="1" si="27"/>
        <v>1810260.9339751154</v>
      </c>
      <c r="W26" s="79">
        <f t="shared" ca="1" si="5"/>
        <v>12348.682951771916</v>
      </c>
      <c r="X26" s="80">
        <f t="shared" ca="1" si="6"/>
        <v>-19.195267248460297</v>
      </c>
      <c r="Y26" s="80">
        <f t="shared" ca="1" si="28"/>
        <v>0</v>
      </c>
      <c r="Z26" s="80">
        <f t="shared" ca="1" si="7"/>
        <v>0</v>
      </c>
      <c r="AA26" s="80">
        <f t="shared" ca="1" si="29"/>
        <v>0</v>
      </c>
      <c r="AB26" s="81">
        <f t="shared" ca="1" si="8"/>
        <v>-16043.408796952208</v>
      </c>
      <c r="AC26" s="79">
        <f t="shared" ca="1" si="9"/>
        <v>1806547.0128626868</v>
      </c>
      <c r="AD26" s="35"/>
      <c r="AE26" s="62">
        <f t="shared" ca="1" si="10"/>
        <v>-16716.004616439077</v>
      </c>
      <c r="AF26" s="62">
        <f t="shared" ca="1" si="11"/>
        <v>1882283.7832670391</v>
      </c>
      <c r="AG26" s="35"/>
      <c r="AH26" s="35"/>
      <c r="AI26" s="35"/>
      <c r="AJ26" s="65">
        <v>40</v>
      </c>
      <c r="AK26" s="66">
        <f>'SA85-90'!F32*(1+$AH$22)</f>
        <v>3.1460000000000004E-3</v>
      </c>
      <c r="AL26" s="66">
        <f>'SA85-90 (light)'!F32*(1+$AH$22)</f>
        <v>2.7720000000000002E-3</v>
      </c>
      <c r="AM26" s="66">
        <f t="shared" si="36"/>
        <v>84</v>
      </c>
      <c r="AN26" s="66">
        <f t="shared" si="37"/>
        <v>0.13909500000000002</v>
      </c>
      <c r="AO26" s="67">
        <f t="shared" si="38"/>
        <v>0.21771874340335914</v>
      </c>
      <c r="AP26" s="68">
        <f t="shared" ca="1" si="30"/>
        <v>3.6177752138812649E-2</v>
      </c>
      <c r="AR26" s="69">
        <f t="shared" si="31"/>
        <v>2</v>
      </c>
      <c r="AS26" s="70">
        <f t="shared" si="39"/>
        <v>23</v>
      </c>
      <c r="AT26" s="71">
        <f t="shared" si="40"/>
        <v>0.8543349744228913</v>
      </c>
      <c r="AU26" s="72">
        <f t="shared" si="12"/>
        <v>6.8214933659622723E-3</v>
      </c>
      <c r="AV26" s="73">
        <f t="shared" si="32"/>
        <v>1.0068214933659623</v>
      </c>
      <c r="AW26" s="74">
        <f>PRODUCT(AV$4:AV26)</f>
        <v>1.1692489758679601</v>
      </c>
      <c r="AY26" s="75">
        <f t="shared" si="41"/>
        <v>23</v>
      </c>
      <c r="AZ26" s="76">
        <f t="shared" ca="1" si="44"/>
        <v>1.0068214933659623</v>
      </c>
      <c r="BA26" s="76">
        <f t="shared" ca="1" si="44"/>
        <v>1.0068214933659623</v>
      </c>
      <c r="BB26" s="76">
        <f t="shared" ca="1" si="44"/>
        <v>1.0068214933659623</v>
      </c>
      <c r="BC26" s="76">
        <f t="shared" ca="1" si="44"/>
        <v>1.0068214933659623</v>
      </c>
      <c r="BD26" s="76">
        <f t="shared" ca="1" si="44"/>
        <v>1.0068214933659623</v>
      </c>
      <c r="BE26" s="76">
        <f t="shared" ca="1" si="44"/>
        <v>1.0068214933659623</v>
      </c>
      <c r="BF26" s="76">
        <f t="shared" ca="1" si="44"/>
        <v>1.0068214933659623</v>
      </c>
      <c r="BG26" s="76">
        <f t="shared" ca="1" si="44"/>
        <v>1.0068214933659623</v>
      </c>
      <c r="BH26" s="76">
        <f t="shared" ca="1" si="44"/>
        <v>1.0068214933659623</v>
      </c>
      <c r="BI26" s="76">
        <f t="shared" ca="1" si="44"/>
        <v>1.0068214933659623</v>
      </c>
      <c r="BJ26" s="76">
        <f t="shared" ca="1" si="44"/>
        <v>1.0068214933659623</v>
      </c>
      <c r="BK26" s="76">
        <f t="shared" ca="1" si="44"/>
        <v>1.0068214933659623</v>
      </c>
      <c r="BL26" s="76">
        <f t="shared" ca="1" si="14"/>
        <v>8.5000000000000853E-2</v>
      </c>
      <c r="BM26" s="77">
        <f t="shared" ca="1" si="34"/>
        <v>6.529560921481778</v>
      </c>
    </row>
    <row r="27" spans="2:65">
      <c r="E27">
        <f t="shared" si="35"/>
        <v>24</v>
      </c>
      <c r="F27" s="64">
        <f t="shared" si="15"/>
        <v>63.84</v>
      </c>
      <c r="G27" s="55">
        <f t="shared" si="16"/>
        <v>2.0618893337144284E-3</v>
      </c>
      <c r="H27" s="78">
        <f t="shared" si="42"/>
        <v>0.95778443658314494</v>
      </c>
      <c r="I27" s="79">
        <f t="shared" ca="1" si="17"/>
        <v>1802822.1128460115</v>
      </c>
      <c r="J27" s="79">
        <f t="shared" ca="1" si="18"/>
        <v>12297.939082789155</v>
      </c>
      <c r="K27" s="80">
        <f t="shared" ca="1" si="19"/>
        <v>-19.155688731662899</v>
      </c>
      <c r="L27" s="80">
        <f t="shared" ca="1" si="20"/>
        <v>0</v>
      </c>
      <c r="M27" s="80">
        <f t="shared" ca="1" si="21"/>
        <v>0</v>
      </c>
      <c r="N27" s="80">
        <f t="shared" ca="1" si="22"/>
        <v>0</v>
      </c>
      <c r="O27" s="81">
        <f t="shared" ca="1" si="2"/>
        <v>-16010.329063477351</v>
      </c>
      <c r="P27" s="79">
        <f t="shared" ca="1" si="3"/>
        <v>1799090.5671765916</v>
      </c>
      <c r="Q27" s="35"/>
      <c r="R27">
        <f t="shared" ca="1" si="23"/>
        <v>24</v>
      </c>
      <c r="S27" s="78">
        <f t="shared" ca="1" si="24"/>
        <v>63.84</v>
      </c>
      <c r="T27" s="55">
        <f t="shared" ca="1" si="25"/>
        <v>2.0618893337144284E-3</v>
      </c>
      <c r="U27" s="78">
        <f t="shared" ca="1" si="26"/>
        <v>0.95778443658314494</v>
      </c>
      <c r="V27" s="79">
        <f t="shared" ca="1" si="27"/>
        <v>1802822.1128460115</v>
      </c>
      <c r="W27" s="79">
        <f t="shared" ca="1" si="5"/>
        <v>12297.939082789155</v>
      </c>
      <c r="X27" s="80">
        <f t="shared" ca="1" si="6"/>
        <v>-19.155688731662899</v>
      </c>
      <c r="Y27" s="80">
        <f t="shared" ca="1" si="28"/>
        <v>0</v>
      </c>
      <c r="Z27" s="80">
        <f t="shared" ca="1" si="7"/>
        <v>0</v>
      </c>
      <c r="AA27" s="80">
        <f t="shared" ca="1" si="29"/>
        <v>0</v>
      </c>
      <c r="AB27" s="81">
        <f t="shared" ca="1" si="8"/>
        <v>-16010.329063477351</v>
      </c>
      <c r="AC27" s="79">
        <f t="shared" ca="1" si="9"/>
        <v>1799090.5671765916</v>
      </c>
      <c r="AD27" s="35"/>
      <c r="AE27" s="62">
        <f t="shared" ca="1" si="10"/>
        <v>-16716.004616439077</v>
      </c>
      <c r="AF27" s="62">
        <f t="shared" ca="1" si="11"/>
        <v>1878387.7649910145</v>
      </c>
      <c r="AG27" s="35"/>
      <c r="AH27" s="35"/>
      <c r="AI27" s="35"/>
      <c r="AJ27" s="65">
        <v>41</v>
      </c>
      <c r="AK27" s="66">
        <f>'SA85-90'!F33*(1+$AH$22)</f>
        <v>3.3440000000000006E-3</v>
      </c>
      <c r="AL27" s="66">
        <f>'SA85-90 (light)'!F33*(1+$AH$22)</f>
        <v>2.9810000000000006E-3</v>
      </c>
      <c r="AM27" s="66">
        <f t="shared" si="36"/>
        <v>85</v>
      </c>
      <c r="AN27" s="66">
        <f t="shared" si="37"/>
        <v>0.15140400000000004</v>
      </c>
      <c r="AO27" s="67">
        <f t="shared" si="38"/>
        <v>0.18475525477711693</v>
      </c>
      <c r="AP27" s="68">
        <f t="shared" ca="1" si="30"/>
        <v>2.8295203459896615E-2</v>
      </c>
      <c r="AR27" s="69">
        <f t="shared" si="31"/>
        <v>2</v>
      </c>
      <c r="AS27" s="70">
        <f t="shared" si="39"/>
        <v>24</v>
      </c>
      <c r="AT27" s="71">
        <f t="shared" si="40"/>
        <v>0.84850713406255596</v>
      </c>
      <c r="AU27" s="72">
        <f t="shared" si="12"/>
        <v>6.8214933659622723E-3</v>
      </c>
      <c r="AV27" s="73">
        <f t="shared" si="32"/>
        <v>1.0068214933659623</v>
      </c>
      <c r="AW27" s="74">
        <f>PRODUCT(AV$4:AV27)</f>
        <v>1.1772250000000015</v>
      </c>
      <c r="AY27" s="75">
        <f t="shared" si="41"/>
        <v>24</v>
      </c>
      <c r="AZ27" s="76">
        <f t="shared" ca="1" si="44"/>
        <v>1.0068214933659623</v>
      </c>
      <c r="BA27" s="76">
        <f t="shared" ca="1" si="44"/>
        <v>1.0068214933659623</v>
      </c>
      <c r="BB27" s="76">
        <f t="shared" ca="1" si="44"/>
        <v>1.0068214933659623</v>
      </c>
      <c r="BC27" s="76">
        <f t="shared" ca="1" si="44"/>
        <v>1.0068214933659623</v>
      </c>
      <c r="BD27" s="76">
        <f t="shared" ca="1" si="44"/>
        <v>1.0068214933659623</v>
      </c>
      <c r="BE27" s="76">
        <f t="shared" ca="1" si="44"/>
        <v>1.0068214933659623</v>
      </c>
      <c r="BF27" s="76">
        <f t="shared" ca="1" si="44"/>
        <v>1.0068214933659623</v>
      </c>
      <c r="BG27" s="76">
        <f t="shared" ca="1" si="44"/>
        <v>1.0068214933659623</v>
      </c>
      <c r="BH27" s="76">
        <f t="shared" ca="1" si="44"/>
        <v>1.0068214933659623</v>
      </c>
      <c r="BI27" s="76">
        <f t="shared" ca="1" si="44"/>
        <v>1.0068214933659623</v>
      </c>
      <c r="BJ27" s="76">
        <f t="shared" ca="1" si="44"/>
        <v>1.0068214933659623</v>
      </c>
      <c r="BK27" s="76">
        <f t="shared" ca="1" si="44"/>
        <v>1.0068214933659623</v>
      </c>
      <c r="BL27" s="76">
        <f t="shared" ca="1" si="14"/>
        <v>8.5000000000000853E-2</v>
      </c>
      <c r="BM27" s="77">
        <f t="shared" ca="1" si="34"/>
        <v>7.0845735998077348</v>
      </c>
    </row>
    <row r="28" spans="2:65">
      <c r="B28" s="119" t="s">
        <v>63</v>
      </c>
      <c r="C28" s="120">
        <f ca="1">_xlfn.IFNA(OFFSET(F2,MATCH(0,$P$4:$P$784,0),0),C3)</f>
        <v>81.040000000000006</v>
      </c>
      <c r="E28">
        <f t="shared" si="35"/>
        <v>25</v>
      </c>
      <c r="F28" s="64">
        <f t="shared" si="15"/>
        <v>63.92</v>
      </c>
      <c r="G28" s="55">
        <f t="shared" si="16"/>
        <v>2.0618893337144284E-3</v>
      </c>
      <c r="H28" s="78">
        <f t="shared" si="42"/>
        <v>0.95580959106935648</v>
      </c>
      <c r="I28" s="79">
        <f t="shared" ca="1" si="17"/>
        <v>1795381.0415257439</v>
      </c>
      <c r="J28" s="79">
        <f t="shared" ca="1" si="18"/>
        <v>12247.179864142297</v>
      </c>
      <c r="K28" s="80">
        <f t="shared" ca="1" si="19"/>
        <v>-19.11619182138713</v>
      </c>
      <c r="L28" s="80">
        <f t="shared" ca="1" si="20"/>
        <v>0</v>
      </c>
      <c r="M28" s="80">
        <f t="shared" ca="1" si="21"/>
        <v>0</v>
      </c>
      <c r="N28" s="80">
        <f t="shared" ca="1" si="22"/>
        <v>0</v>
      </c>
      <c r="O28" s="81">
        <f t="shared" ca="1" si="2"/>
        <v>-15977.317536752111</v>
      </c>
      <c r="P28" s="79">
        <f t="shared" ca="1" si="3"/>
        <v>1791631.7876613126</v>
      </c>
      <c r="Q28" s="35"/>
      <c r="R28">
        <f t="shared" ca="1" si="23"/>
        <v>25</v>
      </c>
      <c r="S28" s="78">
        <f t="shared" ca="1" si="24"/>
        <v>63.92</v>
      </c>
      <c r="T28" s="55">
        <f t="shared" ca="1" si="25"/>
        <v>2.0618893337144284E-3</v>
      </c>
      <c r="U28" s="78">
        <f t="shared" ca="1" si="26"/>
        <v>0.95580959106935648</v>
      </c>
      <c r="V28" s="79">
        <f t="shared" ca="1" si="27"/>
        <v>1795381.0415257439</v>
      </c>
      <c r="W28" s="79">
        <f t="shared" ca="1" si="5"/>
        <v>12247.179864142297</v>
      </c>
      <c r="X28" s="80">
        <f t="shared" ca="1" si="6"/>
        <v>-19.11619182138713</v>
      </c>
      <c r="Y28" s="80">
        <f t="shared" ca="1" si="28"/>
        <v>0</v>
      </c>
      <c r="Z28" s="80">
        <f t="shared" ca="1" si="7"/>
        <v>0</v>
      </c>
      <c r="AA28" s="80">
        <f t="shared" ca="1" si="29"/>
        <v>0</v>
      </c>
      <c r="AB28" s="81">
        <f t="shared" ca="1" si="8"/>
        <v>-15977.317536752111</v>
      </c>
      <c r="AC28" s="79">
        <f t="shared" ca="1" si="9"/>
        <v>1791631.7876613126</v>
      </c>
      <c r="AD28" s="35"/>
      <c r="AE28" s="62">
        <f t="shared" ca="1" si="10"/>
        <v>-16716.004616439077</v>
      </c>
      <c r="AF28" s="62">
        <f t="shared" ca="1" si="11"/>
        <v>1874465.1700521661</v>
      </c>
      <c r="AG28" s="35"/>
      <c r="AH28" s="35"/>
      <c r="AI28" s="35"/>
      <c r="AJ28" s="65">
        <v>42</v>
      </c>
      <c r="AK28" s="66">
        <f>'SA85-90'!F34*(1+$AH$22)</f>
        <v>3.5750000000000001E-3</v>
      </c>
      <c r="AL28" s="66">
        <f>'SA85-90 (light)'!F34*(1+$AH$22)</f>
        <v>3.212E-3</v>
      </c>
      <c r="AM28" s="66">
        <f t="shared" si="36"/>
        <v>86</v>
      </c>
      <c r="AN28" s="66">
        <f t="shared" si="37"/>
        <v>0.16473600000000002</v>
      </c>
      <c r="AO28" s="67">
        <f t="shared" si="38"/>
        <v>0.1543194131261538</v>
      </c>
      <c r="AP28" s="68">
        <f t="shared" ca="1" si="30"/>
        <v>2.1782456057812965E-2</v>
      </c>
      <c r="AR28" s="69">
        <f t="shared" si="31"/>
        <v>3</v>
      </c>
      <c r="AS28" s="70">
        <f t="shared" si="39"/>
        <v>25</v>
      </c>
      <c r="AT28" s="71">
        <f t="shared" si="40"/>
        <v>0.84271904827657662</v>
      </c>
      <c r="AU28" s="72">
        <f t="shared" si="12"/>
        <v>6.8214933659622723E-3</v>
      </c>
      <c r="AV28" s="73">
        <f t="shared" si="32"/>
        <v>1.0068214933659623</v>
      </c>
      <c r="AW28" s="74">
        <f>PRODUCT(AV$4:AV28)</f>
        <v>1.1852554325277465</v>
      </c>
      <c r="AX28" s="118"/>
      <c r="AY28" s="75">
        <f t="shared" si="41"/>
        <v>25</v>
      </c>
      <c r="AZ28" s="76">
        <f t="shared" ca="1" si="44"/>
        <v>1.0068214933659623</v>
      </c>
      <c r="BA28" s="76">
        <f t="shared" ca="1" si="44"/>
        <v>1.0068214933659623</v>
      </c>
      <c r="BB28" s="76">
        <f t="shared" ca="1" si="44"/>
        <v>1.0068214933659623</v>
      </c>
      <c r="BC28" s="76">
        <f t="shared" ca="1" si="44"/>
        <v>1.0068214933659623</v>
      </c>
      <c r="BD28" s="76">
        <f t="shared" ca="1" si="44"/>
        <v>1.0068214933659623</v>
      </c>
      <c r="BE28" s="76">
        <f t="shared" ca="1" si="44"/>
        <v>1.0068214933659623</v>
      </c>
      <c r="BF28" s="76">
        <f t="shared" ca="1" si="44"/>
        <v>1.0068214933659623</v>
      </c>
      <c r="BG28" s="76">
        <f t="shared" ca="1" si="44"/>
        <v>1.0068214933659623</v>
      </c>
      <c r="BH28" s="76">
        <f t="shared" ca="1" si="44"/>
        <v>1.0068214933659623</v>
      </c>
      <c r="BI28" s="76">
        <f t="shared" ca="1" si="44"/>
        <v>1.0068214933659623</v>
      </c>
      <c r="BJ28" s="76">
        <f t="shared" ca="1" si="44"/>
        <v>1.0068214933659623</v>
      </c>
      <c r="BK28" s="76">
        <f t="shared" ca="1" si="44"/>
        <v>1.0068214933659623</v>
      </c>
      <c r="BL28" s="76">
        <f t="shared" ca="1" si="14"/>
        <v>8.5000000000000853E-2</v>
      </c>
      <c r="BM28" s="77">
        <f t="shared" ca="1" si="34"/>
        <v>7.686762355791398</v>
      </c>
    </row>
    <row r="29" spans="2:65">
      <c r="B29" s="119" t="s">
        <v>67</v>
      </c>
      <c r="C29" s="121">
        <f>C16+C17+C18*(1+C20)</f>
        <v>0</v>
      </c>
      <c r="E29">
        <f t="shared" si="35"/>
        <v>26</v>
      </c>
      <c r="F29" s="64">
        <f t="shared" si="15"/>
        <v>64</v>
      </c>
      <c r="G29" s="55">
        <f t="shared" si="16"/>
        <v>2.0618893337144284E-3</v>
      </c>
      <c r="H29" s="78">
        <f t="shared" si="42"/>
        <v>0.95383881746846866</v>
      </c>
      <c r="I29" s="79">
        <f t="shared" ca="1" si="17"/>
        <v>1787937.6411883901</v>
      </c>
      <c r="J29" s="79">
        <f t="shared" ca="1" si="18"/>
        <v>12196.404758120836</v>
      </c>
      <c r="K29" s="80">
        <f t="shared" ca="1" si="19"/>
        <v>-19.076776349369375</v>
      </c>
      <c r="L29" s="80">
        <f t="shared" ca="1" si="20"/>
        <v>0</v>
      </c>
      <c r="M29" s="80">
        <f t="shared" ca="1" si="21"/>
        <v>0</v>
      </c>
      <c r="N29" s="80">
        <f t="shared" ca="1" si="22"/>
        <v>0</v>
      </c>
      <c r="O29" s="81">
        <f t="shared" ca="1" si="2"/>
        <v>-15944.374076141714</v>
      </c>
      <c r="P29" s="79">
        <f t="shared" ca="1" si="3"/>
        <v>1784170.5950940198</v>
      </c>
      <c r="Q29" s="35"/>
      <c r="R29">
        <f t="shared" ca="1" si="23"/>
        <v>26</v>
      </c>
      <c r="S29" s="78">
        <f t="shared" ca="1" si="24"/>
        <v>64</v>
      </c>
      <c r="T29" s="55">
        <f t="shared" ca="1" si="25"/>
        <v>2.0618893337144284E-3</v>
      </c>
      <c r="U29" s="78">
        <f t="shared" ca="1" si="26"/>
        <v>0.95383881746846866</v>
      </c>
      <c r="V29" s="79">
        <f t="shared" ca="1" si="27"/>
        <v>1787937.6411883901</v>
      </c>
      <c r="W29" s="79">
        <f t="shared" ca="1" si="5"/>
        <v>12196.404758120836</v>
      </c>
      <c r="X29" s="80">
        <f t="shared" ca="1" si="6"/>
        <v>-19.076776349369375</v>
      </c>
      <c r="Y29" s="80">
        <f t="shared" ca="1" si="28"/>
        <v>0</v>
      </c>
      <c r="Z29" s="80">
        <f t="shared" ca="1" si="7"/>
        <v>0</v>
      </c>
      <c r="AA29" s="80">
        <f t="shared" ca="1" si="29"/>
        <v>0</v>
      </c>
      <c r="AB29" s="81">
        <f t="shared" ca="1" si="8"/>
        <v>-15944.374076141714</v>
      </c>
      <c r="AC29" s="79">
        <f t="shared" ca="1" si="9"/>
        <v>1784170.5950940198</v>
      </c>
      <c r="AD29" s="35"/>
      <c r="AE29" s="62">
        <f t="shared" ca="1" si="10"/>
        <v>-16716.004616439081</v>
      </c>
      <c r="AF29" s="62">
        <f t="shared" ca="1" si="11"/>
        <v>1870515.8171579652</v>
      </c>
      <c r="AG29" s="35"/>
      <c r="AH29" s="35"/>
      <c r="AI29" s="35"/>
      <c r="AJ29" s="65">
        <v>43</v>
      </c>
      <c r="AK29" s="66">
        <f>'SA85-90'!F35*(1+$AH$22)</f>
        <v>3.8500000000000006E-3</v>
      </c>
      <c r="AL29" s="66">
        <f>'SA85-90 (light)'!F35*(1+$AH$22)</f>
        <v>3.4870000000000005E-3</v>
      </c>
      <c r="AM29" s="66">
        <f t="shared" si="36"/>
        <v>87</v>
      </c>
      <c r="AN29" s="66">
        <f t="shared" si="37"/>
        <v>0.17914600000000003</v>
      </c>
      <c r="AO29" s="67">
        <f t="shared" si="38"/>
        <v>0.12667370754225585</v>
      </c>
      <c r="AP29" s="68">
        <f t="shared" ca="1" si="30"/>
        <v>1.6479461921548377E-2</v>
      </c>
      <c r="AR29" s="69">
        <f t="shared" si="31"/>
        <v>3</v>
      </c>
      <c r="AS29" s="70">
        <f t="shared" si="39"/>
        <v>26</v>
      </c>
      <c r="AT29" s="71">
        <f t="shared" si="40"/>
        <v>0.83697044587938796</v>
      </c>
      <c r="AU29" s="72">
        <f t="shared" si="12"/>
        <v>6.8214933659622723E-3</v>
      </c>
      <c r="AV29" s="73">
        <f t="shared" si="32"/>
        <v>1.0068214933659623</v>
      </c>
      <c r="AW29" s="74">
        <f>PRODUCT(AV$4:AV29)</f>
        <v>1.1933406445977053</v>
      </c>
      <c r="AY29" s="75">
        <f t="shared" si="41"/>
        <v>26</v>
      </c>
      <c r="AZ29" s="76">
        <f t="shared" ca="1" si="44"/>
        <v>1.0068214933659623</v>
      </c>
      <c r="BA29" s="76">
        <f t="shared" ca="1" si="44"/>
        <v>1.0068214933659623</v>
      </c>
      <c r="BB29" s="76">
        <f t="shared" ca="1" si="44"/>
        <v>1.0068214933659623</v>
      </c>
      <c r="BC29" s="76">
        <f t="shared" ca="1" si="44"/>
        <v>1.0068214933659623</v>
      </c>
      <c r="BD29" s="76">
        <f t="shared" ca="1" si="44"/>
        <v>1.0068214933659623</v>
      </c>
      <c r="BE29" s="76">
        <f t="shared" ca="1" si="44"/>
        <v>1.0068214933659623</v>
      </c>
      <c r="BF29" s="76">
        <f t="shared" ca="1" si="44"/>
        <v>1.0068214933659623</v>
      </c>
      <c r="BG29" s="76">
        <f t="shared" ca="1" si="44"/>
        <v>1.0068214933659623</v>
      </c>
      <c r="BH29" s="76">
        <f t="shared" ca="1" si="44"/>
        <v>1.0068214933659623</v>
      </c>
      <c r="BI29" s="76">
        <f t="shared" ca="1" si="44"/>
        <v>1.0068214933659623</v>
      </c>
      <c r="BJ29" s="76">
        <f t="shared" ca="1" si="44"/>
        <v>1.0068214933659623</v>
      </c>
      <c r="BK29" s="76">
        <f t="shared" ca="1" si="44"/>
        <v>1.0068214933659623</v>
      </c>
      <c r="BL29" s="76">
        <f t="shared" ca="1" si="14"/>
        <v>8.5000000000000853E-2</v>
      </c>
      <c r="BM29" s="77">
        <f t="shared" ca="1" si="34"/>
        <v>8.3401371560336734</v>
      </c>
    </row>
    <row r="30" spans="2:65">
      <c r="B30" s="65" t="s">
        <v>68</v>
      </c>
      <c r="C30" s="122">
        <f ca="1">OFFSET($S$4,MATCH(100,S4:S784,1),0)</f>
        <v>100.08</v>
      </c>
      <c r="E30">
        <f t="shared" si="35"/>
        <v>27</v>
      </c>
      <c r="F30" s="64">
        <f t="shared" si="15"/>
        <v>64.08</v>
      </c>
      <c r="G30" s="55">
        <f t="shared" si="16"/>
        <v>2.0618893337144284E-3</v>
      </c>
      <c r="H30" s="78">
        <f t="shared" si="42"/>
        <v>0.95187210738464767</v>
      </c>
      <c r="I30" s="79">
        <f t="shared" ca="1" si="17"/>
        <v>1780491.8327744685</v>
      </c>
      <c r="J30" s="79">
        <f t="shared" ca="1" si="18"/>
        <v>12145.613225421044</v>
      </c>
      <c r="K30" s="80">
        <f t="shared" ca="1" si="19"/>
        <v>-19.037442147692953</v>
      </c>
      <c r="L30" s="80">
        <f t="shared" ca="1" si="20"/>
        <v>0</v>
      </c>
      <c r="M30" s="80">
        <f t="shared" ca="1" si="21"/>
        <v>0</v>
      </c>
      <c r="N30" s="80">
        <f t="shared" ca="1" si="22"/>
        <v>0</v>
      </c>
      <c r="O30" s="81">
        <f t="shared" ca="1" si="2"/>
        <v>-15911.498541301364</v>
      </c>
      <c r="P30" s="79">
        <f t="shared" ca="1" si="3"/>
        <v>1776706.9100164403</v>
      </c>
      <c r="Q30" s="35"/>
      <c r="R30">
        <f t="shared" ca="1" si="23"/>
        <v>27</v>
      </c>
      <c r="S30" s="78">
        <f t="shared" ca="1" si="24"/>
        <v>64.08</v>
      </c>
      <c r="T30" s="55">
        <f t="shared" ca="1" si="25"/>
        <v>2.0618893337144284E-3</v>
      </c>
      <c r="U30" s="78">
        <f t="shared" ca="1" si="26"/>
        <v>0.95187210738464767</v>
      </c>
      <c r="V30" s="79">
        <f t="shared" ca="1" si="27"/>
        <v>1780491.8327744685</v>
      </c>
      <c r="W30" s="79">
        <f t="shared" ca="1" si="5"/>
        <v>12145.613225421044</v>
      </c>
      <c r="X30" s="80">
        <f t="shared" ca="1" si="6"/>
        <v>-19.037442147692953</v>
      </c>
      <c r="Y30" s="80">
        <f t="shared" ca="1" si="28"/>
        <v>0</v>
      </c>
      <c r="Z30" s="80">
        <f t="shared" ca="1" si="7"/>
        <v>0</v>
      </c>
      <c r="AA30" s="80">
        <f t="shared" ca="1" si="29"/>
        <v>0</v>
      </c>
      <c r="AB30" s="81">
        <f t="shared" ca="1" si="8"/>
        <v>-15911.498541301364</v>
      </c>
      <c r="AC30" s="79">
        <f t="shared" ca="1" si="9"/>
        <v>1776706.9100164403</v>
      </c>
      <c r="AD30" s="35"/>
      <c r="AE30" s="62">
        <f t="shared" ca="1" si="10"/>
        <v>-16716.004616439077</v>
      </c>
      <c r="AF30" s="62">
        <f t="shared" ca="1" si="11"/>
        <v>1866539.5237791964</v>
      </c>
      <c r="AG30" s="35"/>
      <c r="AH30" s="35"/>
      <c r="AI30" s="35"/>
      <c r="AJ30" s="65">
        <v>44</v>
      </c>
      <c r="AK30" s="66">
        <f>'SA85-90'!F36*(1+$AH$22)</f>
        <v>4.1470000000000005E-3</v>
      </c>
      <c r="AL30" s="66">
        <f>'SA85-90 (light)'!F36*(1+$AH$22)</f>
        <v>3.7950000000000002E-3</v>
      </c>
      <c r="AM30" s="66">
        <f t="shared" si="36"/>
        <v>88</v>
      </c>
      <c r="AN30" s="66">
        <f t="shared" si="37"/>
        <v>0.19468900000000003</v>
      </c>
      <c r="AO30" s="67">
        <f t="shared" si="38"/>
        <v>0.1020117300945616</v>
      </c>
      <c r="AP30" s="68">
        <f t="shared" ca="1" si="30"/>
        <v>1.2231421160833212E-2</v>
      </c>
      <c r="AR30" s="69">
        <f t="shared" si="31"/>
        <v>3</v>
      </c>
      <c r="AS30" s="70">
        <f t="shared" si="39"/>
        <v>27</v>
      </c>
      <c r="AT30" s="71">
        <f t="shared" si="40"/>
        <v>0.83126105753531521</v>
      </c>
      <c r="AU30" s="72">
        <f t="shared" si="12"/>
        <v>6.8214933659622723E-3</v>
      </c>
      <c r="AV30" s="73">
        <f t="shared" si="32"/>
        <v>1.0068214933659623</v>
      </c>
      <c r="AW30" s="74">
        <f>PRODUCT(AV$4:AV30)</f>
        <v>1.2014810098881616</v>
      </c>
      <c r="AY30" s="75">
        <f t="shared" si="41"/>
        <v>27</v>
      </c>
      <c r="AZ30" s="76">
        <f t="shared" ca="1" si="44"/>
        <v>1.0068214933659623</v>
      </c>
      <c r="BA30" s="76">
        <f t="shared" ca="1" si="44"/>
        <v>1.0068214933659623</v>
      </c>
      <c r="BB30" s="76">
        <f t="shared" ca="1" si="44"/>
        <v>1.0068214933659623</v>
      </c>
      <c r="BC30" s="76">
        <f t="shared" ca="1" si="44"/>
        <v>1.0068214933659623</v>
      </c>
      <c r="BD30" s="76">
        <f t="shared" ca="1" si="44"/>
        <v>1.0068214933659623</v>
      </c>
      <c r="BE30" s="76">
        <f t="shared" ca="1" si="44"/>
        <v>1.0068214933659623</v>
      </c>
      <c r="BF30" s="76">
        <f t="shared" ca="1" si="44"/>
        <v>1.0068214933659623</v>
      </c>
      <c r="BG30" s="76">
        <f t="shared" ca="1" si="44"/>
        <v>1.0068214933659623</v>
      </c>
      <c r="BH30" s="76">
        <f t="shared" ca="1" si="44"/>
        <v>1.0068214933659623</v>
      </c>
      <c r="BI30" s="76">
        <f t="shared" ca="1" si="44"/>
        <v>1.0068214933659623</v>
      </c>
      <c r="BJ30" s="76">
        <f t="shared" ca="1" si="44"/>
        <v>1.0068214933659623</v>
      </c>
      <c r="BK30" s="76">
        <f t="shared" ca="1" si="44"/>
        <v>1.0068214933659623</v>
      </c>
      <c r="BL30" s="76">
        <f t="shared" ca="1" si="14"/>
        <v>8.5000000000000853E-2</v>
      </c>
      <c r="BM30" s="77">
        <f t="shared" ca="1" si="34"/>
        <v>9.0490488142965422</v>
      </c>
    </row>
    <row r="31" spans="2:65">
      <c r="B31" s="65" t="s">
        <v>69</v>
      </c>
      <c r="C31" s="123">
        <f ca="1">OFFSET($AC$4,MATCH(100,S4:S784,1),0)</f>
        <v>0</v>
      </c>
      <c r="E31">
        <f t="shared" si="35"/>
        <v>28</v>
      </c>
      <c r="F31" s="64">
        <f t="shared" si="15"/>
        <v>64.16</v>
      </c>
      <c r="G31" s="55">
        <f t="shared" si="16"/>
        <v>2.0618893337144284E-3</v>
      </c>
      <c r="H31" s="78">
        <f t="shared" si="42"/>
        <v>0.94990945243937097</v>
      </c>
      <c r="I31" s="79">
        <f t="shared" ca="1" si="17"/>
        <v>1773043.5369895408</v>
      </c>
      <c r="J31" s="79">
        <f t="shared" ca="1" si="18"/>
        <v>12094.804725136435</v>
      </c>
      <c r="K31" s="80">
        <f t="shared" ca="1" si="19"/>
        <v>-18.99818904878742</v>
      </c>
      <c r="L31" s="80">
        <f t="shared" ca="1" si="20"/>
        <v>0</v>
      </c>
      <c r="M31" s="80">
        <f t="shared" ca="1" si="21"/>
        <v>0</v>
      </c>
      <c r="N31" s="80">
        <f t="shared" ca="1" si="22"/>
        <v>0</v>
      </c>
      <c r="O31" s="81">
        <f t="shared" ca="1" si="2"/>
        <v>-15878.690792175643</v>
      </c>
      <c r="P31" s="79">
        <f t="shared" ca="1" si="3"/>
        <v>1769240.6527334526</v>
      </c>
      <c r="Q31" s="35"/>
      <c r="R31">
        <f t="shared" ca="1" si="23"/>
        <v>28</v>
      </c>
      <c r="S31" s="78">
        <f t="shared" ca="1" si="24"/>
        <v>64.16</v>
      </c>
      <c r="T31" s="55">
        <f t="shared" ca="1" si="25"/>
        <v>2.0618893337144284E-3</v>
      </c>
      <c r="U31" s="78">
        <f t="shared" ca="1" si="26"/>
        <v>0.94990945243937097</v>
      </c>
      <c r="V31" s="79">
        <f t="shared" ca="1" si="27"/>
        <v>1773043.5369895408</v>
      </c>
      <c r="W31" s="79">
        <f t="shared" ca="1" si="5"/>
        <v>12094.804725136435</v>
      </c>
      <c r="X31" s="80">
        <f t="shared" ca="1" si="6"/>
        <v>-18.99818904878742</v>
      </c>
      <c r="Y31" s="80">
        <f t="shared" ca="1" si="28"/>
        <v>0</v>
      </c>
      <c r="Z31" s="80">
        <f t="shared" ca="1" si="7"/>
        <v>0</v>
      </c>
      <c r="AA31" s="80">
        <f t="shared" ca="1" si="29"/>
        <v>0</v>
      </c>
      <c r="AB31" s="81">
        <f t="shared" ca="1" si="8"/>
        <v>-15878.690792175643</v>
      </c>
      <c r="AC31" s="79">
        <f t="shared" ca="1" si="9"/>
        <v>1769240.6527334526</v>
      </c>
      <c r="AD31" s="35"/>
      <c r="AE31" s="62">
        <f t="shared" ca="1" si="10"/>
        <v>-16716.004616439081</v>
      </c>
      <c r="AF31" s="62">
        <f t="shared" ca="1" si="11"/>
        <v>1862536.1061415235</v>
      </c>
      <c r="AG31" s="35"/>
      <c r="AH31" s="35"/>
      <c r="AI31" s="35"/>
      <c r="AJ31" s="65">
        <v>45</v>
      </c>
      <c r="AK31" s="66">
        <f>'SA85-90'!F37*(1+$AH$22)</f>
        <v>4.4880000000000007E-3</v>
      </c>
      <c r="AL31" s="66">
        <f>'SA85-90 (light)'!F37*(1+$AH$22)</f>
        <v>4.1359999999999999E-3</v>
      </c>
      <c r="AM31" s="66">
        <f t="shared" si="36"/>
        <v>89</v>
      </c>
      <c r="AN31" s="66">
        <f t="shared" si="37"/>
        <v>0.21142000000000002</v>
      </c>
      <c r="AO31" s="67">
        <f t="shared" si="38"/>
        <v>8.0444410117969378E-2</v>
      </c>
      <c r="AP31" s="68">
        <f t="shared" ca="1" si="30"/>
        <v>8.8898194460920246E-3</v>
      </c>
      <c r="AR31" s="69">
        <f t="shared" si="31"/>
        <v>3</v>
      </c>
      <c r="AS31" s="70">
        <f t="shared" si="39"/>
        <v>28</v>
      </c>
      <c r="AT31" s="71">
        <f t="shared" si="40"/>
        <v>0.82559061574595527</v>
      </c>
      <c r="AU31" s="72">
        <f t="shared" si="12"/>
        <v>6.8214933659622723E-3</v>
      </c>
      <c r="AV31" s="73">
        <f t="shared" si="32"/>
        <v>1.0068214933659623</v>
      </c>
      <c r="AW31" s="74">
        <f>PRODUCT(AV$4:AV31)</f>
        <v>1.2096769046264433</v>
      </c>
      <c r="AY31" s="75">
        <f t="shared" si="41"/>
        <v>28</v>
      </c>
      <c r="AZ31" s="76">
        <f t="shared" ca="1" si="44"/>
        <v>1.0068214933659623</v>
      </c>
      <c r="BA31" s="76">
        <f t="shared" ca="1" si="44"/>
        <v>1.0068214933659623</v>
      </c>
      <c r="BB31" s="76">
        <f t="shared" ca="1" si="44"/>
        <v>1.0068214933659623</v>
      </c>
      <c r="BC31" s="76">
        <f t="shared" ca="1" si="44"/>
        <v>1.0068214933659623</v>
      </c>
      <c r="BD31" s="76">
        <f t="shared" ca="1" si="44"/>
        <v>1.0068214933659623</v>
      </c>
      <c r="BE31" s="76">
        <f t="shared" ca="1" si="44"/>
        <v>1.0068214933659623</v>
      </c>
      <c r="BF31" s="76">
        <f t="shared" ca="1" si="44"/>
        <v>1.0068214933659623</v>
      </c>
      <c r="BG31" s="76">
        <f t="shared" ca="1" si="44"/>
        <v>1.0068214933659623</v>
      </c>
      <c r="BH31" s="76">
        <f t="shared" ca="1" si="44"/>
        <v>1.0068214933659623</v>
      </c>
      <c r="BI31" s="76">
        <f t="shared" ca="1" si="44"/>
        <v>1.0068214933659623</v>
      </c>
      <c r="BJ31" s="76">
        <f t="shared" ca="1" si="44"/>
        <v>1.0068214933659623</v>
      </c>
      <c r="BK31" s="76">
        <f t="shared" ca="1" si="44"/>
        <v>1.0068214933659623</v>
      </c>
      <c r="BL31" s="76">
        <f t="shared" ca="1" si="14"/>
        <v>8.5000000000000853E-2</v>
      </c>
      <c r="BM31" s="77">
        <f t="shared" ca="1" si="34"/>
        <v>9.8182179635117564</v>
      </c>
    </row>
    <row r="32" spans="2:65">
      <c r="B32" s="124" t="s">
        <v>70</v>
      </c>
      <c r="C32" s="125">
        <f ca="1">(OFFSET($P$4,MATCH(100,F4:F784,1),0)/OFFSET($H$4,MATCH(100,F4:F784,1),0))*10000</f>
        <v>0</v>
      </c>
      <c r="E32">
        <f t="shared" si="35"/>
        <v>29</v>
      </c>
      <c r="F32" s="64">
        <f t="shared" si="15"/>
        <v>64.239999999999995</v>
      </c>
      <c r="G32" s="55">
        <f t="shared" si="16"/>
        <v>2.0618893337144284E-3</v>
      </c>
      <c r="H32" s="78">
        <f t="shared" si="42"/>
        <v>0.94795084427139176</v>
      </c>
      <c r="I32" s="79">
        <f t="shared" ca="1" si="17"/>
        <v>1765592.6743028075</v>
      </c>
      <c r="J32" s="79">
        <f t="shared" ca="1" si="18"/>
        <v>12043.978714748189</v>
      </c>
      <c r="K32" s="80">
        <f t="shared" ca="1" si="19"/>
        <v>-18.959016885427836</v>
      </c>
      <c r="L32" s="80">
        <f t="shared" ca="1" si="20"/>
        <v>0</v>
      </c>
      <c r="M32" s="80">
        <f t="shared" ca="1" si="21"/>
        <v>0</v>
      </c>
      <c r="N32" s="80">
        <f t="shared" ca="1" si="22"/>
        <v>0</v>
      </c>
      <c r="O32" s="81">
        <f t="shared" ca="1" si="2"/>
        <v>-15845.950688997907</v>
      </c>
      <c r="P32" s="79">
        <f t="shared" ca="1" si="3"/>
        <v>1761771.7433116725</v>
      </c>
      <c r="Q32" s="35"/>
      <c r="R32">
        <f t="shared" ca="1" si="23"/>
        <v>29</v>
      </c>
      <c r="S32" s="78">
        <f t="shared" ca="1" si="24"/>
        <v>64.239999999999995</v>
      </c>
      <c r="T32" s="55">
        <f t="shared" ca="1" si="25"/>
        <v>2.0618893337144284E-3</v>
      </c>
      <c r="U32" s="78">
        <f t="shared" ca="1" si="26"/>
        <v>0.94795084427139176</v>
      </c>
      <c r="V32" s="79">
        <f t="shared" ca="1" si="27"/>
        <v>1765592.6743028075</v>
      </c>
      <c r="W32" s="79">
        <f t="shared" ca="1" si="5"/>
        <v>12043.978714748189</v>
      </c>
      <c r="X32" s="80">
        <f t="shared" ca="1" si="6"/>
        <v>-18.959016885427836</v>
      </c>
      <c r="Y32" s="80">
        <f t="shared" ca="1" si="28"/>
        <v>0</v>
      </c>
      <c r="Z32" s="80">
        <f t="shared" ca="1" si="7"/>
        <v>0</v>
      </c>
      <c r="AA32" s="80">
        <f t="shared" ca="1" si="29"/>
        <v>0</v>
      </c>
      <c r="AB32" s="81">
        <f t="shared" ca="1" si="8"/>
        <v>-15845.950688997907</v>
      </c>
      <c r="AC32" s="79">
        <f t="shared" ca="1" si="9"/>
        <v>1761771.7433116725</v>
      </c>
      <c r="AD32" s="35"/>
      <c r="AE32" s="62">
        <f t="shared" ca="1" si="10"/>
        <v>-16716.004616439081</v>
      </c>
      <c r="AF32" s="62">
        <f t="shared" ca="1" si="11"/>
        <v>1858505.3792169939</v>
      </c>
      <c r="AG32" s="35"/>
      <c r="AH32" s="35"/>
      <c r="AI32" s="35"/>
      <c r="AJ32" s="65">
        <v>46</v>
      </c>
      <c r="AK32" s="66">
        <f>'SA85-90'!F38*(1+$AH$22)</f>
        <v>4.8730000000000006E-3</v>
      </c>
      <c r="AL32" s="66">
        <f>'SA85-90 (light)'!F38*(1+$AH$22)</f>
        <v>4.5210000000000007E-3</v>
      </c>
      <c r="AM32" s="66">
        <f t="shared" si="36"/>
        <v>90</v>
      </c>
      <c r="AN32" s="66">
        <f t="shared" si="37"/>
        <v>0.22926200000000002</v>
      </c>
      <c r="AO32" s="67">
        <f t="shared" si="38"/>
        <v>6.2001563765503476E-2</v>
      </c>
      <c r="AP32" s="68">
        <f t="shared" ca="1" si="30"/>
        <v>6.3149508389327823E-3</v>
      </c>
      <c r="AR32" s="69">
        <f t="shared" si="31"/>
        <v>3</v>
      </c>
      <c r="AS32" s="70">
        <f t="shared" si="39"/>
        <v>29</v>
      </c>
      <c r="AT32" s="71">
        <f t="shared" si="40"/>
        <v>0.81995885483764352</v>
      </c>
      <c r="AU32" s="72">
        <f t="shared" si="12"/>
        <v>6.8214933659622723E-3</v>
      </c>
      <c r="AV32" s="73">
        <f t="shared" si="32"/>
        <v>1.0068214933659623</v>
      </c>
      <c r="AW32" s="74">
        <f>PRODUCT(AV$4:AV32)</f>
        <v>1.2179287076063103</v>
      </c>
      <c r="AY32" s="75">
        <f t="shared" si="41"/>
        <v>29</v>
      </c>
      <c r="AZ32" s="76">
        <f t="shared" ca="1" si="44"/>
        <v>1.0068214933659623</v>
      </c>
      <c r="BA32" s="76">
        <f t="shared" ca="1" si="44"/>
        <v>1.0068214933659623</v>
      </c>
      <c r="BB32" s="76">
        <f t="shared" ca="1" si="44"/>
        <v>1.0068214933659623</v>
      </c>
      <c r="BC32" s="76">
        <f t="shared" ca="1" si="44"/>
        <v>1.0068214933659623</v>
      </c>
      <c r="BD32" s="76">
        <f t="shared" ca="1" si="44"/>
        <v>1.0068214933659623</v>
      </c>
      <c r="BE32" s="76">
        <f t="shared" ca="1" si="44"/>
        <v>1.0068214933659623</v>
      </c>
      <c r="BF32" s="76">
        <f t="shared" ca="1" si="44"/>
        <v>1.0068214933659623</v>
      </c>
      <c r="BG32" s="76">
        <f t="shared" ca="1" si="44"/>
        <v>1.0068214933659623</v>
      </c>
      <c r="BH32" s="76">
        <f t="shared" ca="1" si="44"/>
        <v>1.0068214933659623</v>
      </c>
      <c r="BI32" s="76">
        <f t="shared" ca="1" si="44"/>
        <v>1.0068214933659623</v>
      </c>
      <c r="BJ32" s="76">
        <f t="shared" ca="1" si="44"/>
        <v>1.0068214933659623</v>
      </c>
      <c r="BK32" s="76">
        <f t="shared" ca="1" si="44"/>
        <v>1.0068214933659623</v>
      </c>
      <c r="BL32" s="76">
        <f t="shared" ca="1" si="14"/>
        <v>8.5000000000000853E-2</v>
      </c>
      <c r="BM32" s="77">
        <f t="shared" ca="1" si="34"/>
        <v>10.652766490410263</v>
      </c>
    </row>
    <row r="33" spans="2:65">
      <c r="B33" s="126" t="str">
        <f>"Life Annuity Payable (per annum) starting at "&amp;ROUND(C3,0)</f>
        <v>Life Annuity Payable (per annum) starting at 62</v>
      </c>
      <c r="C33" s="151">
        <v>200592.05539726894</v>
      </c>
      <c r="E33">
        <f t="shared" si="35"/>
        <v>30</v>
      </c>
      <c r="F33" s="64">
        <f t="shared" si="15"/>
        <v>64.319999999999993</v>
      </c>
      <c r="G33" s="55">
        <f t="shared" si="16"/>
        <v>2.0618893337144284E-3</v>
      </c>
      <c r="H33" s="78">
        <f t="shared" si="42"/>
        <v>0.94599627453670299</v>
      </c>
      <c r="I33" s="79">
        <f t="shared" ca="1" si="17"/>
        <v>1758139.1649456986</v>
      </c>
      <c r="J33" s="79">
        <f t="shared" ca="1" si="18"/>
        <v>11993.134650115531</v>
      </c>
      <c r="K33" s="80">
        <f t="shared" ca="1" si="19"/>
        <v>-18.919925490734059</v>
      </c>
      <c r="L33" s="80">
        <f t="shared" ca="1" si="20"/>
        <v>0</v>
      </c>
      <c r="M33" s="80">
        <f t="shared" ca="1" si="21"/>
        <v>0</v>
      </c>
      <c r="N33" s="80">
        <f t="shared" ca="1" si="22"/>
        <v>0</v>
      </c>
      <c r="O33" s="81">
        <f t="shared" ca="1" si="2"/>
        <v>-15813.278092289698</v>
      </c>
      <c r="P33" s="79">
        <f t="shared" ca="1" si="3"/>
        <v>1754300.1015780338</v>
      </c>
      <c r="Q33" s="35"/>
      <c r="R33">
        <f t="shared" ca="1" si="23"/>
        <v>30</v>
      </c>
      <c r="S33" s="78">
        <f t="shared" ca="1" si="24"/>
        <v>64.319999999999993</v>
      </c>
      <c r="T33" s="55">
        <f t="shared" ca="1" si="25"/>
        <v>2.0618893337144284E-3</v>
      </c>
      <c r="U33" s="78">
        <f t="shared" ca="1" si="26"/>
        <v>0.94599627453670299</v>
      </c>
      <c r="V33" s="79">
        <f t="shared" ca="1" si="27"/>
        <v>1758139.1649456986</v>
      </c>
      <c r="W33" s="79">
        <f t="shared" ca="1" si="5"/>
        <v>11993.134650115531</v>
      </c>
      <c r="X33" s="80">
        <f t="shared" ca="1" si="6"/>
        <v>-18.919925490734059</v>
      </c>
      <c r="Y33" s="80">
        <f t="shared" ca="1" si="28"/>
        <v>0</v>
      </c>
      <c r="Z33" s="80">
        <f t="shared" ca="1" si="7"/>
        <v>0</v>
      </c>
      <c r="AA33" s="80">
        <f t="shared" ca="1" si="29"/>
        <v>0</v>
      </c>
      <c r="AB33" s="81">
        <f t="shared" ca="1" si="8"/>
        <v>-15813.278092289698</v>
      </c>
      <c r="AC33" s="79">
        <f t="shared" ca="1" si="9"/>
        <v>1754300.1015780338</v>
      </c>
      <c r="AD33" s="35"/>
      <c r="AE33" s="62">
        <f t="shared" ca="1" si="10"/>
        <v>-16716.004616439081</v>
      </c>
      <c r="AF33" s="62">
        <f t="shared" ca="1" si="11"/>
        <v>1854447.1567154888</v>
      </c>
      <c r="AG33" s="35"/>
      <c r="AH33" s="35"/>
      <c r="AI33" s="35"/>
      <c r="AJ33" s="65">
        <v>47</v>
      </c>
      <c r="AK33" s="66">
        <f>'SA85-90'!F39*(1+$AH$22)</f>
        <v>5.3020000000000003E-3</v>
      </c>
      <c r="AL33" s="66">
        <f>'SA85-90 (light)'!F39*(1+$AH$22)</f>
        <v>4.9610000000000001E-3</v>
      </c>
      <c r="AM33" s="66">
        <f t="shared" si="36"/>
        <v>91</v>
      </c>
      <c r="AN33" s="66">
        <f t="shared" si="37"/>
        <v>0.24838000000000002</v>
      </c>
      <c r="AO33" s="67">
        <f t="shared" si="38"/>
        <v>4.6601615357427718E-2</v>
      </c>
      <c r="AP33" s="68">
        <f t="shared" ca="1" si="30"/>
        <v>4.3746021654918468E-3</v>
      </c>
      <c r="AR33" s="69">
        <f t="shared" si="31"/>
        <v>3</v>
      </c>
      <c r="AS33" s="70">
        <f t="shared" si="39"/>
        <v>30</v>
      </c>
      <c r="AT33" s="71">
        <f t="shared" si="40"/>
        <v>0.81436551094900655</v>
      </c>
      <c r="AU33" s="72">
        <f t="shared" si="12"/>
        <v>6.8214933659622723E-3</v>
      </c>
      <c r="AV33" s="73">
        <f t="shared" si="32"/>
        <v>1.0068214933659623</v>
      </c>
      <c r="AW33" s="74">
        <f>PRODUCT(AV$4:AV33)</f>
        <v>1.2262368002054618</v>
      </c>
      <c r="AY33" s="75">
        <f t="shared" si="41"/>
        <v>30</v>
      </c>
      <c r="AZ33" s="76">
        <f t="shared" ca="1" si="44"/>
        <v>1.0068214933659623</v>
      </c>
      <c r="BA33" s="76">
        <f t="shared" ca="1" si="44"/>
        <v>1.0068214933659623</v>
      </c>
      <c r="BB33" s="76">
        <f t="shared" ca="1" si="44"/>
        <v>1.0068214933659623</v>
      </c>
      <c r="BC33" s="76">
        <f t="shared" ca="1" si="44"/>
        <v>1.0068214933659623</v>
      </c>
      <c r="BD33" s="76">
        <f t="shared" ca="1" si="44"/>
        <v>1.0068214933659623</v>
      </c>
      <c r="BE33" s="76">
        <f t="shared" ca="1" si="44"/>
        <v>1.0068214933659623</v>
      </c>
      <c r="BF33" s="76">
        <f t="shared" ca="1" si="44"/>
        <v>1.0068214933659623</v>
      </c>
      <c r="BG33" s="76">
        <f t="shared" ca="1" si="44"/>
        <v>1.0068214933659623</v>
      </c>
      <c r="BH33" s="76">
        <f t="shared" ca="1" si="44"/>
        <v>1.0068214933659623</v>
      </c>
      <c r="BI33" s="76">
        <f t="shared" ca="1" si="44"/>
        <v>1.0068214933659623</v>
      </c>
      <c r="BJ33" s="76">
        <f t="shared" ca="1" si="44"/>
        <v>1.0068214933659623</v>
      </c>
      <c r="BK33" s="76">
        <f t="shared" ca="1" si="44"/>
        <v>1.0068214933659623</v>
      </c>
      <c r="BL33" s="76">
        <f t="shared" ca="1" si="14"/>
        <v>8.5000000000000853E-2</v>
      </c>
      <c r="BM33" s="77">
        <f t="shared" ca="1" si="34"/>
        <v>11.558251642095145</v>
      </c>
    </row>
    <row r="34" spans="2:65">
      <c r="B34" s="127"/>
      <c r="C34" s="128">
        <f>C7-C9</f>
        <v>-16716.004616439077</v>
      </c>
      <c r="E34">
        <f t="shared" si="35"/>
        <v>31</v>
      </c>
      <c r="F34" s="64">
        <f t="shared" si="15"/>
        <v>64.400000000000006</v>
      </c>
      <c r="G34" s="55">
        <f t="shared" si="16"/>
        <v>2.0618893337144284E-3</v>
      </c>
      <c r="H34" s="78">
        <f t="shared" si="42"/>
        <v>0.94404573490850219</v>
      </c>
      <c r="I34" s="79">
        <f t="shared" ca="1" si="17"/>
        <v>1750682.9289104559</v>
      </c>
      <c r="J34" s="79">
        <f t="shared" ca="1" si="18"/>
        <v>11942.271985466075</v>
      </c>
      <c r="K34" s="80">
        <f t="shared" ca="1" si="19"/>
        <v>-18.880914698170045</v>
      </c>
      <c r="L34" s="80">
        <f t="shared" ca="1" si="20"/>
        <v>0</v>
      </c>
      <c r="M34" s="80">
        <f t="shared" ca="1" si="21"/>
        <v>0</v>
      </c>
      <c r="N34" s="80">
        <f t="shared" ca="1" si="22"/>
        <v>0</v>
      </c>
      <c r="O34" s="81">
        <f t="shared" ca="1" si="2"/>
        <v>-15780.672862860143</v>
      </c>
      <c r="P34" s="79">
        <f t="shared" ca="1" si="3"/>
        <v>1746825.6471183638</v>
      </c>
      <c r="Q34" s="35"/>
      <c r="R34">
        <f t="shared" ca="1" si="23"/>
        <v>31</v>
      </c>
      <c r="S34" s="78">
        <f t="shared" ca="1" si="24"/>
        <v>64.400000000000006</v>
      </c>
      <c r="T34" s="55">
        <f t="shared" ca="1" si="25"/>
        <v>2.0618893337144284E-3</v>
      </c>
      <c r="U34" s="78">
        <f t="shared" ca="1" si="26"/>
        <v>0.94404573490850219</v>
      </c>
      <c r="V34" s="79">
        <f t="shared" ca="1" si="27"/>
        <v>1750682.9289104559</v>
      </c>
      <c r="W34" s="79">
        <f t="shared" ca="1" si="5"/>
        <v>11942.271985466075</v>
      </c>
      <c r="X34" s="80">
        <f t="shared" ca="1" si="6"/>
        <v>-18.880914698170045</v>
      </c>
      <c r="Y34" s="80">
        <f t="shared" ca="1" si="28"/>
        <v>0</v>
      </c>
      <c r="Z34" s="80">
        <f t="shared" ca="1" si="7"/>
        <v>0</v>
      </c>
      <c r="AA34" s="80">
        <f t="shared" ca="1" si="29"/>
        <v>0</v>
      </c>
      <c r="AB34" s="81">
        <f t="shared" ca="1" si="8"/>
        <v>-15780.672862860143</v>
      </c>
      <c r="AC34" s="79">
        <f t="shared" ca="1" si="9"/>
        <v>1746825.6471183638</v>
      </c>
      <c r="AD34" s="35"/>
      <c r="AE34" s="62">
        <f t="shared" ca="1" si="10"/>
        <v>-16716.004616439077</v>
      </c>
      <c r="AF34" s="62">
        <f t="shared" ca="1" si="11"/>
        <v>1850361.251076112</v>
      </c>
      <c r="AG34" s="35"/>
      <c r="AH34" s="35"/>
      <c r="AI34" s="35"/>
      <c r="AJ34" s="65">
        <v>48</v>
      </c>
      <c r="AK34" s="66">
        <f>'SA85-90'!F40*(1+$AH$22)</f>
        <v>5.7860000000000003E-3</v>
      </c>
      <c r="AL34" s="66">
        <f>'SA85-90 (light)'!F40*(1+$AH$22)</f>
        <v>5.4340000000000005E-3</v>
      </c>
      <c r="AM34" s="66">
        <f t="shared" si="36"/>
        <v>92</v>
      </c>
      <c r="AN34" s="66">
        <f t="shared" si="37"/>
        <v>0.26884000000000002</v>
      </c>
      <c r="AO34" s="67">
        <f t="shared" si="38"/>
        <v>3.4073237084736849E-2</v>
      </c>
      <c r="AP34" s="68">
        <f t="shared" ca="1" si="30"/>
        <v>2.9479577136599226E-3</v>
      </c>
      <c r="AR34" s="69">
        <f t="shared" si="31"/>
        <v>3</v>
      </c>
      <c r="AS34" s="70">
        <f t="shared" si="39"/>
        <v>31</v>
      </c>
      <c r="AT34" s="71">
        <f t="shared" si="40"/>
        <v>0.80881032201859948</v>
      </c>
      <c r="AU34" s="72">
        <f t="shared" si="12"/>
        <v>6.8214933659622723E-3</v>
      </c>
      <c r="AV34" s="73">
        <f t="shared" si="32"/>
        <v>1.0068214933659623</v>
      </c>
      <c r="AW34" s="74">
        <f>PRODUCT(AV$4:AV34)</f>
        <v>1.2346015664031622</v>
      </c>
      <c r="AY34" s="75">
        <f t="shared" si="41"/>
        <v>31</v>
      </c>
      <c r="AZ34" s="76">
        <f t="shared" ca="1" si="44"/>
        <v>1.0068214933659623</v>
      </c>
      <c r="BA34" s="76">
        <f t="shared" ca="1" si="44"/>
        <v>1.0068214933659623</v>
      </c>
      <c r="BB34" s="76">
        <f t="shared" ca="1" si="44"/>
        <v>1.0068214933659623</v>
      </c>
      <c r="BC34" s="76">
        <f t="shared" ca="1" si="44"/>
        <v>1.0068214933659623</v>
      </c>
      <c r="BD34" s="76">
        <f t="shared" ca="1" si="44"/>
        <v>1.0068214933659623</v>
      </c>
      <c r="BE34" s="76">
        <f t="shared" ca="1" si="44"/>
        <v>1.0068214933659623</v>
      </c>
      <c r="BF34" s="76">
        <f t="shared" ca="1" si="44"/>
        <v>1.0068214933659623</v>
      </c>
      <c r="BG34" s="76">
        <f t="shared" ca="1" si="44"/>
        <v>1.0068214933659623</v>
      </c>
      <c r="BH34" s="76">
        <f t="shared" ca="1" si="44"/>
        <v>1.0068214933659623</v>
      </c>
      <c r="BI34" s="76">
        <f t="shared" ca="1" si="44"/>
        <v>1.0068214933659623</v>
      </c>
      <c r="BJ34" s="76">
        <f t="shared" ca="1" si="44"/>
        <v>1.0068214933659623</v>
      </c>
      <c r="BK34" s="76">
        <f t="shared" ca="1" si="44"/>
        <v>1.0068214933659623</v>
      </c>
      <c r="BL34" s="76">
        <f t="shared" ca="1" si="14"/>
        <v>8.5000000000000853E-2</v>
      </c>
      <c r="BM34" s="77">
        <f t="shared" ca="1" si="34"/>
        <v>12.540703031673242</v>
      </c>
    </row>
    <row r="35" spans="2:65">
      <c r="E35">
        <f t="shared" si="35"/>
        <v>32</v>
      </c>
      <c r="F35" s="64">
        <f t="shared" si="15"/>
        <v>64.48</v>
      </c>
      <c r="G35" s="55">
        <f t="shared" si="16"/>
        <v>2.0618893337144284E-3</v>
      </c>
      <c r="H35" s="78">
        <f t="shared" si="42"/>
        <v>0.94209921707715572</v>
      </c>
      <c r="I35" s="79">
        <f t="shared" ca="1" si="17"/>
        <v>1743223.8859487115</v>
      </c>
      <c r="J35" s="79">
        <f t="shared" ca="1" si="18"/>
        <v>11891.390173386109</v>
      </c>
      <c r="K35" s="80">
        <f t="shared" ca="1" si="19"/>
        <v>-18.841984341543114</v>
      </c>
      <c r="L35" s="80">
        <f t="shared" ca="1" si="20"/>
        <v>0</v>
      </c>
      <c r="M35" s="80">
        <f t="shared" ca="1" si="21"/>
        <v>0</v>
      </c>
      <c r="N35" s="80">
        <f t="shared" ca="1" si="22"/>
        <v>0</v>
      </c>
      <c r="O35" s="81">
        <f t="shared" ca="1" si="2"/>
        <v>-15748.134861805376</v>
      </c>
      <c r="P35" s="79">
        <f t="shared" ca="1" si="3"/>
        <v>1739348.2992759505</v>
      </c>
      <c r="Q35" s="35"/>
      <c r="R35">
        <f t="shared" ca="1" si="23"/>
        <v>32</v>
      </c>
      <c r="S35" s="78">
        <f t="shared" ca="1" si="24"/>
        <v>64.48</v>
      </c>
      <c r="T35" s="55">
        <f t="shared" ca="1" si="25"/>
        <v>2.0618893337144284E-3</v>
      </c>
      <c r="U35" s="78">
        <f t="shared" ca="1" si="26"/>
        <v>0.94209921707715572</v>
      </c>
      <c r="V35" s="79">
        <f t="shared" ca="1" si="27"/>
        <v>1743223.8859487115</v>
      </c>
      <c r="W35" s="79">
        <f t="shared" ca="1" si="5"/>
        <v>11891.390173386109</v>
      </c>
      <c r="X35" s="80">
        <f t="shared" ca="1" si="6"/>
        <v>-18.841984341543114</v>
      </c>
      <c r="Y35" s="80">
        <f t="shared" ca="1" si="28"/>
        <v>0</v>
      </c>
      <c r="Z35" s="80">
        <f t="shared" ca="1" si="7"/>
        <v>0</v>
      </c>
      <c r="AA35" s="80">
        <f t="shared" ca="1" si="29"/>
        <v>0</v>
      </c>
      <c r="AB35" s="81">
        <f t="shared" ca="1" si="8"/>
        <v>-15748.134861805376</v>
      </c>
      <c r="AC35" s="79">
        <f t="shared" ca="1" si="9"/>
        <v>1739348.2992759505</v>
      </c>
      <c r="AD35" s="35"/>
      <c r="AE35" s="62">
        <f t="shared" ca="1" si="10"/>
        <v>-16716.004616439077</v>
      </c>
      <c r="AF35" s="62">
        <f t="shared" ca="1" si="11"/>
        <v>1846247.4734585222</v>
      </c>
      <c r="AG35" s="35"/>
      <c r="AH35" s="35"/>
      <c r="AI35" s="35"/>
      <c r="AJ35" s="65">
        <v>49</v>
      </c>
      <c r="AK35" s="66">
        <f>'SA85-90'!F41*(1+$AH$22)</f>
        <v>6.314000000000001E-3</v>
      </c>
      <c r="AL35" s="66">
        <f>'SA85-90 (light)'!F41*(1+$AH$22)</f>
        <v>5.9620000000000012E-3</v>
      </c>
      <c r="AM35" s="66">
        <f t="shared" si="36"/>
        <v>93</v>
      </c>
      <c r="AN35" s="66">
        <f t="shared" si="37"/>
        <v>0.29067500000000002</v>
      </c>
      <c r="AO35" s="67">
        <f t="shared" si="38"/>
        <v>2.4168998895130963E-2</v>
      </c>
      <c r="AP35" s="68">
        <f t="shared" ca="1" si="30"/>
        <v>1.9272443366284079E-3</v>
      </c>
      <c r="AR35" s="69">
        <f t="shared" si="31"/>
        <v>3</v>
      </c>
      <c r="AS35" s="70">
        <f t="shared" si="39"/>
        <v>32</v>
      </c>
      <c r="AT35" s="71">
        <f t="shared" si="40"/>
        <v>0.80329302777262779</v>
      </c>
      <c r="AU35" s="72">
        <f t="shared" si="12"/>
        <v>6.8214933659622723E-3</v>
      </c>
      <c r="AV35" s="73">
        <f t="shared" si="32"/>
        <v>1.0068214933659623</v>
      </c>
      <c r="AW35" s="74">
        <f>PRODUCT(AV$4:AV35)</f>
        <v>1.2430233927979879</v>
      </c>
      <c r="AY35" s="75">
        <f t="shared" si="41"/>
        <v>32</v>
      </c>
      <c r="AZ35" s="76">
        <f t="shared" ref="AZ35:BK44" ca="1" si="45">OFFSET($AV$3,($AY35*12-12)+AZ$3,0)</f>
        <v>1.0068214933659623</v>
      </c>
      <c r="BA35" s="76">
        <f t="shared" ca="1" si="45"/>
        <v>1.0068214933659623</v>
      </c>
      <c r="BB35" s="76">
        <f t="shared" ca="1" si="45"/>
        <v>1.0068214933659623</v>
      </c>
      <c r="BC35" s="76">
        <f t="shared" ca="1" si="45"/>
        <v>1.0068214933659623</v>
      </c>
      <c r="BD35" s="76">
        <f t="shared" ca="1" si="45"/>
        <v>1.0068214933659623</v>
      </c>
      <c r="BE35" s="76">
        <f t="shared" ca="1" si="45"/>
        <v>1.0068214933659623</v>
      </c>
      <c r="BF35" s="76">
        <f t="shared" ca="1" si="45"/>
        <v>1.0068214933659623</v>
      </c>
      <c r="BG35" s="76">
        <f t="shared" ca="1" si="45"/>
        <v>1.0068214933659623</v>
      </c>
      <c r="BH35" s="76">
        <f t="shared" ca="1" si="45"/>
        <v>1.0068214933659623</v>
      </c>
      <c r="BI35" s="76">
        <f t="shared" ca="1" si="45"/>
        <v>1.0068214933659623</v>
      </c>
      <c r="BJ35" s="76">
        <f t="shared" ca="1" si="45"/>
        <v>1.0068214933659623</v>
      </c>
      <c r="BK35" s="76">
        <f t="shared" ca="1" si="45"/>
        <v>1.0068214933659623</v>
      </c>
      <c r="BL35" s="76">
        <f t="shared" ca="1" si="14"/>
        <v>8.5000000000000853E-2</v>
      </c>
      <c r="BM35" s="77">
        <f t="shared" ca="1" si="34"/>
        <v>13.606662789365478</v>
      </c>
    </row>
    <row r="36" spans="2:65">
      <c r="E36">
        <f t="shared" si="35"/>
        <v>33</v>
      </c>
      <c r="F36" s="64">
        <f t="shared" si="15"/>
        <v>64.56</v>
      </c>
      <c r="G36" s="55">
        <f t="shared" si="16"/>
        <v>2.2646626432303307E-3</v>
      </c>
      <c r="H36" s="78">
        <f t="shared" si="42"/>
        <v>0.93996568017402449</v>
      </c>
      <c r="I36" s="79">
        <f t="shared" ca="1" si="17"/>
        <v>1735409.2621590141</v>
      </c>
      <c r="J36" s="79">
        <f t="shared" ca="1" si="18"/>
        <v>11838.082769047196</v>
      </c>
      <c r="K36" s="80">
        <f t="shared" ca="1" si="19"/>
        <v>-18.799313603480488</v>
      </c>
      <c r="L36" s="80">
        <f t="shared" ca="1" si="20"/>
        <v>0</v>
      </c>
      <c r="M36" s="80">
        <f t="shared" ca="1" si="21"/>
        <v>0</v>
      </c>
      <c r="N36" s="80">
        <f t="shared" ca="1" si="22"/>
        <v>0</v>
      </c>
      <c r="O36" s="81">
        <f t="shared" ca="1" si="2"/>
        <v>-15712.47064908329</v>
      </c>
      <c r="P36" s="79">
        <f t="shared" ca="1" si="3"/>
        <v>1731516.0749653745</v>
      </c>
      <c r="Q36" s="35"/>
      <c r="R36">
        <f t="shared" ca="1" si="23"/>
        <v>33</v>
      </c>
      <c r="S36" s="78">
        <f t="shared" ca="1" si="24"/>
        <v>64.56</v>
      </c>
      <c r="T36" s="55">
        <f t="shared" ca="1" si="25"/>
        <v>2.2646626432303307E-3</v>
      </c>
      <c r="U36" s="78">
        <f t="shared" ca="1" si="26"/>
        <v>0.93996568017402449</v>
      </c>
      <c r="V36" s="79">
        <f t="shared" ca="1" si="27"/>
        <v>1735409.2621590141</v>
      </c>
      <c r="W36" s="79">
        <f t="shared" ca="1" si="5"/>
        <v>11838.082769047196</v>
      </c>
      <c r="X36" s="80">
        <f t="shared" ca="1" si="6"/>
        <v>-18.799313603480488</v>
      </c>
      <c r="Y36" s="80">
        <f t="shared" ca="1" si="28"/>
        <v>0</v>
      </c>
      <c r="Z36" s="80">
        <f t="shared" ca="1" si="7"/>
        <v>0</v>
      </c>
      <c r="AA36" s="80">
        <f t="shared" ca="1" si="29"/>
        <v>0</v>
      </c>
      <c r="AB36" s="81">
        <f t="shared" ca="1" si="8"/>
        <v>-15712.47064908329</v>
      </c>
      <c r="AC36" s="79">
        <f t="shared" ca="1" si="9"/>
        <v>1731516.0749653745</v>
      </c>
      <c r="AD36" s="35"/>
      <c r="AE36" s="62">
        <f t="shared" ca="1" si="10"/>
        <v>-16716.004616439077</v>
      </c>
      <c r="AF36" s="62">
        <f t="shared" ca="1" si="11"/>
        <v>1842105.633734205</v>
      </c>
      <c r="AG36" s="35"/>
      <c r="AH36" s="35"/>
      <c r="AI36" s="35"/>
      <c r="AJ36" s="65">
        <v>50</v>
      </c>
      <c r="AK36" s="66">
        <f>'SA85-90'!F42*(1+$AH$22)</f>
        <v>6.9080000000000009E-3</v>
      </c>
      <c r="AL36" s="66">
        <f>'SA85-90 (light)'!F42*(1+$AH$22)</f>
        <v>6.5450000000000013E-3</v>
      </c>
      <c r="AM36" s="66">
        <f t="shared" si="36"/>
        <v>94</v>
      </c>
      <c r="AN36" s="66">
        <f t="shared" si="37"/>
        <v>0.31391800000000003</v>
      </c>
      <c r="AO36" s="67">
        <f t="shared" si="38"/>
        <v>1.658191509996924E-2</v>
      </c>
      <c r="AP36" s="68">
        <f t="shared" ca="1" si="30"/>
        <v>1.2186614276153828E-3</v>
      </c>
      <c r="AR36" s="69">
        <f t="shared" si="31"/>
        <v>3</v>
      </c>
      <c r="AS36" s="70">
        <f t="shared" si="39"/>
        <v>33</v>
      </c>
      <c r="AT36" s="71">
        <f t="shared" si="40"/>
        <v>0.79781336971275307</v>
      </c>
      <c r="AU36" s="72">
        <f t="shared" si="12"/>
        <v>6.8214933659622723E-3</v>
      </c>
      <c r="AV36" s="73">
        <f t="shared" si="32"/>
        <v>1.0068214933659623</v>
      </c>
      <c r="AW36" s="74">
        <f>PRODUCT(AV$4:AV36)</f>
        <v>1.2515026686256954</v>
      </c>
      <c r="AY36" s="75">
        <f t="shared" si="41"/>
        <v>33</v>
      </c>
      <c r="AZ36" s="76">
        <f t="shared" ca="1" si="45"/>
        <v>1.0068214933659623</v>
      </c>
      <c r="BA36" s="76">
        <f t="shared" ca="1" si="45"/>
        <v>1.0068214933659623</v>
      </c>
      <c r="BB36" s="76">
        <f t="shared" ca="1" si="45"/>
        <v>1.0068214933659623</v>
      </c>
      <c r="BC36" s="76">
        <f t="shared" ca="1" si="45"/>
        <v>1.0068214933659623</v>
      </c>
      <c r="BD36" s="76">
        <f t="shared" ca="1" si="45"/>
        <v>1.0068214933659623</v>
      </c>
      <c r="BE36" s="76">
        <f t="shared" ca="1" si="45"/>
        <v>1.0068214933659623</v>
      </c>
      <c r="BF36" s="76">
        <f t="shared" ca="1" si="45"/>
        <v>1.0068214933659623</v>
      </c>
      <c r="BG36" s="76">
        <f t="shared" ca="1" si="45"/>
        <v>1.0068214933659623</v>
      </c>
      <c r="BH36" s="76">
        <f t="shared" ca="1" si="45"/>
        <v>1.0068214933659623</v>
      </c>
      <c r="BI36" s="76">
        <f t="shared" ca="1" si="45"/>
        <v>1.0068214933659623</v>
      </c>
      <c r="BJ36" s="76">
        <f t="shared" ca="1" si="45"/>
        <v>1.0068214933659623</v>
      </c>
      <c r="BK36" s="76">
        <f t="shared" ca="1" si="45"/>
        <v>1.0068214933659623</v>
      </c>
      <c r="BL36" s="76">
        <f t="shared" ref="BL36:BL67" ca="1" si="46">PRODUCT(AZ36:BK36)-1</f>
        <v>8.5000000000000853E-2</v>
      </c>
      <c r="BM36" s="77">
        <f t="shared" ca="1" si="34"/>
        <v>14.763229126461555</v>
      </c>
    </row>
    <row r="37" spans="2:65">
      <c r="E37">
        <f t="shared" si="35"/>
        <v>34</v>
      </c>
      <c r="F37" s="64">
        <f t="shared" si="15"/>
        <v>64.64</v>
      </c>
      <c r="G37" s="55">
        <f t="shared" si="16"/>
        <v>2.2646626432303307E-3</v>
      </c>
      <c r="H37" s="78">
        <f t="shared" si="42"/>
        <v>0.93783697501221575</v>
      </c>
      <c r="I37" s="79">
        <f t="shared" ca="1" si="17"/>
        <v>1727594.7751942477</v>
      </c>
      <c r="J37" s="79">
        <f t="shared" ca="1" si="18"/>
        <v>11784.776298058643</v>
      </c>
      <c r="K37" s="80">
        <f t="shared" ca="1" si="19"/>
        <v>-18.756739500244315</v>
      </c>
      <c r="L37" s="80">
        <f t="shared" ca="1" si="20"/>
        <v>0</v>
      </c>
      <c r="M37" s="80">
        <f t="shared" ca="1" si="21"/>
        <v>0</v>
      </c>
      <c r="N37" s="80">
        <f t="shared" ca="1" si="22"/>
        <v>0</v>
      </c>
      <c r="O37" s="81">
        <f t="shared" ca="1" si="2"/>
        <v>-15676.887203771459</v>
      </c>
      <c r="P37" s="79">
        <f t="shared" ca="1" si="3"/>
        <v>1723683.9075490348</v>
      </c>
      <c r="Q37" s="35"/>
      <c r="R37">
        <f t="shared" ca="1" si="23"/>
        <v>34</v>
      </c>
      <c r="S37" s="78">
        <f t="shared" ca="1" si="24"/>
        <v>64.64</v>
      </c>
      <c r="T37" s="55">
        <f t="shared" ca="1" si="25"/>
        <v>2.2646626432303307E-3</v>
      </c>
      <c r="U37" s="78">
        <f t="shared" ca="1" si="26"/>
        <v>0.93783697501221575</v>
      </c>
      <c r="V37" s="79">
        <f t="shared" ca="1" si="27"/>
        <v>1727594.7751942477</v>
      </c>
      <c r="W37" s="79">
        <f t="shared" ca="1" si="5"/>
        <v>11784.776298058643</v>
      </c>
      <c r="X37" s="80">
        <f t="shared" ca="1" si="6"/>
        <v>-18.756739500244315</v>
      </c>
      <c r="Y37" s="80">
        <f t="shared" ca="1" si="28"/>
        <v>0</v>
      </c>
      <c r="Z37" s="80">
        <f t="shared" ca="1" si="7"/>
        <v>0</v>
      </c>
      <c r="AA37" s="80">
        <f t="shared" ca="1" si="29"/>
        <v>0</v>
      </c>
      <c r="AB37" s="81">
        <f t="shared" ca="1" si="8"/>
        <v>-15676.887203771459</v>
      </c>
      <c r="AC37" s="79">
        <f t="shared" ca="1" si="9"/>
        <v>1723683.9075490348</v>
      </c>
      <c r="AD37" s="35"/>
      <c r="AE37" s="62">
        <f t="shared" ca="1" si="10"/>
        <v>-16716.004616439077</v>
      </c>
      <c r="AF37" s="62">
        <f t="shared" ca="1" si="11"/>
        <v>1837935.5404776859</v>
      </c>
      <c r="AG37" s="35"/>
      <c r="AH37" s="35"/>
      <c r="AI37" s="35"/>
      <c r="AJ37" s="65">
        <v>51</v>
      </c>
      <c r="AK37" s="66">
        <f>'SA85-90'!F43*(1+$AH$22)</f>
        <v>7.5460000000000006E-3</v>
      </c>
      <c r="AL37" s="66">
        <f>'SA85-90 (light)'!F43*(1+$AH$22)</f>
        <v>7.183000000000001E-3</v>
      </c>
      <c r="AM37" s="66">
        <f t="shared" si="36"/>
        <v>95</v>
      </c>
      <c r="AN37" s="66">
        <f t="shared" si="37"/>
        <v>0.33862400000000004</v>
      </c>
      <c r="AO37" s="67">
        <f t="shared" si="38"/>
        <v>1.0966880681157256E-2</v>
      </c>
      <c r="AP37" s="68">
        <f t="shared" ref="AP37:AP68" ca="1" si="47">AO37/BM36</f>
        <v>7.4285107866410214E-4</v>
      </c>
      <c r="AR37" s="69">
        <f t="shared" si="31"/>
        <v>3</v>
      </c>
      <c r="AS37" s="70">
        <f t="shared" si="39"/>
        <v>34</v>
      </c>
      <c r="AT37" s="71">
        <f t="shared" si="40"/>
        <v>0.79237109110398152</v>
      </c>
      <c r="AU37" s="72">
        <f t="shared" si="12"/>
        <v>6.8214933659622723E-3</v>
      </c>
      <c r="AV37" s="73">
        <f t="shared" si="32"/>
        <v>1.0068214933659623</v>
      </c>
      <c r="AW37" s="74">
        <f>PRODUCT(AV$4:AV37)</f>
        <v>1.2600397857772097</v>
      </c>
      <c r="AY37" s="75">
        <f t="shared" si="41"/>
        <v>34</v>
      </c>
      <c r="AZ37" s="76">
        <f t="shared" ca="1" si="45"/>
        <v>1.0068214933659623</v>
      </c>
      <c r="BA37" s="76">
        <f t="shared" ca="1" si="45"/>
        <v>1.0068214933659623</v>
      </c>
      <c r="BB37" s="76">
        <f t="shared" ca="1" si="45"/>
        <v>1.0068214933659623</v>
      </c>
      <c r="BC37" s="76">
        <f t="shared" ca="1" si="45"/>
        <v>1.0068214933659623</v>
      </c>
      <c r="BD37" s="76">
        <f t="shared" ca="1" si="45"/>
        <v>1.0068214933659623</v>
      </c>
      <c r="BE37" s="76">
        <f t="shared" ca="1" si="45"/>
        <v>1.0068214933659623</v>
      </c>
      <c r="BF37" s="76">
        <f t="shared" ca="1" si="45"/>
        <v>1.0068214933659623</v>
      </c>
      <c r="BG37" s="76">
        <f t="shared" ca="1" si="45"/>
        <v>1.0068214933659623</v>
      </c>
      <c r="BH37" s="76">
        <f t="shared" ca="1" si="45"/>
        <v>1.0068214933659623</v>
      </c>
      <c r="BI37" s="76">
        <f t="shared" ca="1" si="45"/>
        <v>1.0068214933659623</v>
      </c>
      <c r="BJ37" s="76">
        <f t="shared" ca="1" si="45"/>
        <v>1.0068214933659623</v>
      </c>
      <c r="BK37" s="76">
        <f t="shared" ca="1" si="45"/>
        <v>1.0068214933659623</v>
      </c>
      <c r="BL37" s="76">
        <f t="shared" ca="1" si="46"/>
        <v>8.5000000000000853E-2</v>
      </c>
      <c r="BM37" s="77">
        <f t="shared" ref="BM37:BM68" ca="1" si="48">PRODUCT(AZ37:BK37)*BM36</f>
        <v>16.0181036022108</v>
      </c>
    </row>
    <row r="38" spans="2:65">
      <c r="E38">
        <f t="shared" si="35"/>
        <v>35</v>
      </c>
      <c r="F38" s="64">
        <f t="shared" si="15"/>
        <v>64.72</v>
      </c>
      <c r="G38" s="55">
        <f t="shared" si="16"/>
        <v>2.2646626432303307E-3</v>
      </c>
      <c r="H38" s="78">
        <f t="shared" si="42"/>
        <v>0.9357130906494654</v>
      </c>
      <c r="I38" s="79">
        <f t="shared" ca="1" si="17"/>
        <v>1719780.3449948712</v>
      </c>
      <c r="J38" s="79">
        <f t="shared" ca="1" si="18"/>
        <v>11731.470214294821</v>
      </c>
      <c r="K38" s="80">
        <f t="shared" ca="1" si="19"/>
        <v>-18.714261812989307</v>
      </c>
      <c r="L38" s="80">
        <f t="shared" ca="1" si="20"/>
        <v>0</v>
      </c>
      <c r="M38" s="80">
        <f t="shared" ca="1" si="21"/>
        <v>0</v>
      </c>
      <c r="N38" s="80">
        <f t="shared" ca="1" si="22"/>
        <v>0</v>
      </c>
      <c r="O38" s="81">
        <f t="shared" ca="1" si="2"/>
        <v>-15641.384342958941</v>
      </c>
      <c r="P38" s="79">
        <f t="shared" ca="1" si="3"/>
        <v>1715851.7166043939</v>
      </c>
      <c r="Q38" s="35"/>
      <c r="R38">
        <f t="shared" ca="1" si="23"/>
        <v>35</v>
      </c>
      <c r="S38" s="78">
        <f t="shared" ca="1" si="24"/>
        <v>64.72</v>
      </c>
      <c r="T38" s="55">
        <f t="shared" ca="1" si="25"/>
        <v>2.2646626432303307E-3</v>
      </c>
      <c r="U38" s="78">
        <f t="shared" ca="1" si="26"/>
        <v>0.9357130906494654</v>
      </c>
      <c r="V38" s="79">
        <f t="shared" ca="1" si="27"/>
        <v>1719780.3449948712</v>
      </c>
      <c r="W38" s="79">
        <f t="shared" ca="1" si="5"/>
        <v>11731.470214294821</v>
      </c>
      <c r="X38" s="80">
        <f t="shared" ca="1" si="6"/>
        <v>-18.714261812989307</v>
      </c>
      <c r="Y38" s="80">
        <f t="shared" ca="1" si="28"/>
        <v>0</v>
      </c>
      <c r="Z38" s="80">
        <f t="shared" ca="1" si="7"/>
        <v>0</v>
      </c>
      <c r="AA38" s="80">
        <f t="shared" ca="1" si="29"/>
        <v>0</v>
      </c>
      <c r="AB38" s="81">
        <f t="shared" ca="1" si="8"/>
        <v>-15641.384342958941</v>
      </c>
      <c r="AC38" s="79">
        <f t="shared" ca="1" si="9"/>
        <v>1715851.7166043939</v>
      </c>
      <c r="AD38" s="35"/>
      <c r="AE38" s="62">
        <f t="shared" ca="1" si="10"/>
        <v>-16716.004616439077</v>
      </c>
      <c r="AF38" s="62">
        <f t="shared" ca="1" si="11"/>
        <v>1833737.0009576816</v>
      </c>
      <c r="AG38" s="35"/>
      <c r="AH38" s="35"/>
      <c r="AI38" s="35"/>
      <c r="AJ38" s="65">
        <v>52</v>
      </c>
      <c r="AK38" s="66">
        <f>'SA85-90'!F44*(1+$AH$22)</f>
        <v>8.2500000000000004E-3</v>
      </c>
      <c r="AL38" s="66">
        <f>'SA85-90 (light)'!F44*(1+$AH$22)</f>
        <v>7.8760000000000011E-3</v>
      </c>
      <c r="AM38" s="66">
        <f t="shared" si="36"/>
        <v>96</v>
      </c>
      <c r="AN38" s="66">
        <f t="shared" si="37"/>
        <v>0.36477100000000007</v>
      </c>
      <c r="AO38" s="67">
        <f t="shared" si="38"/>
        <v>6.9664806482108415E-3</v>
      </c>
      <c r="AP38" s="68">
        <f t="shared" ca="1" si="47"/>
        <v>4.3491294732600781E-4</v>
      </c>
      <c r="AR38" s="69">
        <f t="shared" si="31"/>
        <v>3</v>
      </c>
      <c r="AS38" s="70">
        <f t="shared" si="39"/>
        <v>35</v>
      </c>
      <c r="AT38" s="71">
        <f t="shared" si="40"/>
        <v>0.78696593696263539</v>
      </c>
      <c r="AU38" s="72">
        <f t="shared" si="12"/>
        <v>6.8214933659622723E-3</v>
      </c>
      <c r="AV38" s="73">
        <f t="shared" si="32"/>
        <v>1.0068214933659623</v>
      </c>
      <c r="AW38" s="74">
        <f>PRODUCT(AV$4:AV38)</f>
        <v>1.2686351388167374</v>
      </c>
      <c r="AY38" s="75">
        <f t="shared" si="41"/>
        <v>35</v>
      </c>
      <c r="AZ38" s="76">
        <f t="shared" ca="1" si="45"/>
        <v>1.0068214933659623</v>
      </c>
      <c r="BA38" s="76">
        <f t="shared" ca="1" si="45"/>
        <v>1.0068214933659623</v>
      </c>
      <c r="BB38" s="76">
        <f t="shared" ca="1" si="45"/>
        <v>1.0068214933659623</v>
      </c>
      <c r="BC38" s="76">
        <f t="shared" ca="1" si="45"/>
        <v>1.0068214933659623</v>
      </c>
      <c r="BD38" s="76">
        <f t="shared" ca="1" si="45"/>
        <v>1.0068214933659623</v>
      </c>
      <c r="BE38" s="76">
        <f t="shared" ca="1" si="45"/>
        <v>1.0068214933659623</v>
      </c>
      <c r="BF38" s="76">
        <f t="shared" ca="1" si="45"/>
        <v>1.0068214933659623</v>
      </c>
      <c r="BG38" s="76">
        <f t="shared" ca="1" si="45"/>
        <v>1.0068214933659623</v>
      </c>
      <c r="BH38" s="76">
        <f t="shared" ca="1" si="45"/>
        <v>1.0068214933659623</v>
      </c>
      <c r="BI38" s="76">
        <f t="shared" ca="1" si="45"/>
        <v>1.0068214933659623</v>
      </c>
      <c r="BJ38" s="76">
        <f t="shared" ca="1" si="45"/>
        <v>1.0068214933659623</v>
      </c>
      <c r="BK38" s="76">
        <f t="shared" ca="1" si="45"/>
        <v>1.0068214933659623</v>
      </c>
      <c r="BL38" s="76">
        <f t="shared" ca="1" si="46"/>
        <v>8.5000000000000853E-2</v>
      </c>
      <c r="BM38" s="77">
        <f t="shared" ca="1" si="48"/>
        <v>17.37964240839873</v>
      </c>
    </row>
    <row r="39" spans="2:65">
      <c r="E39">
        <f t="shared" si="35"/>
        <v>36</v>
      </c>
      <c r="F39" s="64">
        <f t="shared" si="15"/>
        <v>64.8</v>
      </c>
      <c r="G39" s="55">
        <f t="shared" si="16"/>
        <v>2.2646626432303307E-3</v>
      </c>
      <c r="H39" s="78">
        <f t="shared" si="42"/>
        <v>0.93359401616828996</v>
      </c>
      <c r="I39" s="79">
        <f t="shared" ca="1" si="17"/>
        <v>1711965.8913204772</v>
      </c>
      <c r="J39" s="79">
        <f t="shared" ca="1" si="18"/>
        <v>11678.163970396325</v>
      </c>
      <c r="K39" s="80">
        <f t="shared" ca="1" si="19"/>
        <v>-18.671880323365798</v>
      </c>
      <c r="L39" s="80">
        <f t="shared" ca="1" si="20"/>
        <v>0</v>
      </c>
      <c r="M39" s="80">
        <f t="shared" ca="1" si="21"/>
        <v>0</v>
      </c>
      <c r="N39" s="80">
        <f t="shared" ca="1" si="22"/>
        <v>0</v>
      </c>
      <c r="O39" s="81">
        <f t="shared" ca="1" si="2"/>
        <v>-15605.961884149036</v>
      </c>
      <c r="P39" s="79">
        <f t="shared" ca="1" si="3"/>
        <v>1708019.4215264011</v>
      </c>
      <c r="Q39" s="35"/>
      <c r="R39">
        <f t="shared" ca="1" si="23"/>
        <v>36</v>
      </c>
      <c r="S39" s="78">
        <f t="shared" ca="1" si="24"/>
        <v>64.8</v>
      </c>
      <c r="T39" s="55">
        <f t="shared" ca="1" si="25"/>
        <v>2.2646626432303307E-3</v>
      </c>
      <c r="U39" s="78">
        <f t="shared" ca="1" si="26"/>
        <v>0.93359401616828996</v>
      </c>
      <c r="V39" s="79">
        <f t="shared" ca="1" si="27"/>
        <v>1711965.8913204772</v>
      </c>
      <c r="W39" s="79">
        <f t="shared" ca="1" si="5"/>
        <v>11678.163970396325</v>
      </c>
      <c r="X39" s="80">
        <f t="shared" ca="1" si="6"/>
        <v>-18.671880323365798</v>
      </c>
      <c r="Y39" s="80">
        <f t="shared" ca="1" si="28"/>
        <v>0</v>
      </c>
      <c r="Z39" s="80">
        <f t="shared" ca="1" si="7"/>
        <v>0</v>
      </c>
      <c r="AA39" s="80">
        <f t="shared" ca="1" si="29"/>
        <v>0</v>
      </c>
      <c r="AB39" s="81">
        <f t="shared" ca="1" si="8"/>
        <v>-15605.961884149036</v>
      </c>
      <c r="AC39" s="79">
        <f t="shared" ca="1" si="9"/>
        <v>1708019.4215264011</v>
      </c>
      <c r="AD39" s="35"/>
      <c r="AE39" s="62">
        <f t="shared" ca="1" si="10"/>
        <v>-16716.004616439081</v>
      </c>
      <c r="AF39" s="62">
        <f t="shared" ca="1" si="11"/>
        <v>1829509.8211281947</v>
      </c>
      <c r="AG39" s="35"/>
      <c r="AH39" s="35"/>
      <c r="AI39" s="35"/>
      <c r="AJ39" s="65">
        <v>53</v>
      </c>
      <c r="AK39" s="66">
        <f>'SA85-90'!F45*(1+$AH$22)</f>
        <v>9.020000000000002E-3</v>
      </c>
      <c r="AL39" s="66">
        <f>'SA85-90 (light)'!F45*(1+$AH$22)</f>
        <v>8.6350000000000003E-3</v>
      </c>
      <c r="AM39" s="66">
        <f t="shared" si="36"/>
        <v>97</v>
      </c>
      <c r="AN39" s="66">
        <f t="shared" si="37"/>
        <v>0.39238100000000004</v>
      </c>
      <c r="AO39" s="67">
        <f t="shared" si="38"/>
        <v>4.2329660049852226E-3</v>
      </c>
      <c r="AP39" s="68">
        <f t="shared" ca="1" si="47"/>
        <v>2.4355886648966019E-4</v>
      </c>
      <c r="AR39" s="69">
        <f t="shared" si="31"/>
        <v>3</v>
      </c>
      <c r="AS39" s="70">
        <f t="shared" si="39"/>
        <v>36</v>
      </c>
      <c r="AT39" s="71">
        <f t="shared" si="40"/>
        <v>0.78159765404440651</v>
      </c>
      <c r="AU39" s="72">
        <f t="shared" si="12"/>
        <v>6.8214933659622723E-3</v>
      </c>
      <c r="AV39" s="73">
        <f t="shared" si="32"/>
        <v>1.0068214933659623</v>
      </c>
      <c r="AW39" s="74">
        <f>PRODUCT(AV$4:AV39)</f>
        <v>1.2772891250000025</v>
      </c>
      <c r="AX39" s="118"/>
      <c r="AY39" s="75">
        <f t="shared" si="41"/>
        <v>36</v>
      </c>
      <c r="AZ39" s="76">
        <f t="shared" ca="1" si="45"/>
        <v>1.0068214933659623</v>
      </c>
      <c r="BA39" s="76">
        <f t="shared" ca="1" si="45"/>
        <v>1.0068214933659623</v>
      </c>
      <c r="BB39" s="76">
        <f t="shared" ca="1" si="45"/>
        <v>1.0068214933659623</v>
      </c>
      <c r="BC39" s="76">
        <f t="shared" ca="1" si="45"/>
        <v>1.0068214933659623</v>
      </c>
      <c r="BD39" s="76">
        <f t="shared" ca="1" si="45"/>
        <v>1.0068214933659623</v>
      </c>
      <c r="BE39" s="76">
        <f t="shared" ca="1" si="45"/>
        <v>1.0068214933659623</v>
      </c>
      <c r="BF39" s="76">
        <f t="shared" ca="1" si="45"/>
        <v>1.0068214933659623</v>
      </c>
      <c r="BG39" s="76">
        <f t="shared" ca="1" si="45"/>
        <v>1.0068214933659623</v>
      </c>
      <c r="BH39" s="76">
        <f t="shared" ca="1" si="45"/>
        <v>1.0068214933659623</v>
      </c>
      <c r="BI39" s="76">
        <f t="shared" ca="1" si="45"/>
        <v>1.0068214933659623</v>
      </c>
      <c r="BJ39" s="76">
        <f t="shared" ca="1" si="45"/>
        <v>1.0068214933659623</v>
      </c>
      <c r="BK39" s="76">
        <f t="shared" ca="1" si="45"/>
        <v>1.0068214933659623</v>
      </c>
      <c r="BL39" s="76">
        <f t="shared" ca="1" si="46"/>
        <v>8.5000000000000853E-2</v>
      </c>
      <c r="BM39" s="77">
        <f t="shared" ca="1" si="48"/>
        <v>18.856912013112638</v>
      </c>
    </row>
    <row r="40" spans="2:65">
      <c r="E40">
        <f t="shared" si="35"/>
        <v>37</v>
      </c>
      <c r="F40" s="64">
        <f t="shared" si="15"/>
        <v>64.88</v>
      </c>
      <c r="G40" s="55">
        <f t="shared" si="16"/>
        <v>2.2646626432303307E-3</v>
      </c>
      <c r="H40" s="78">
        <f t="shared" si="42"/>
        <v>0.93147974067593031</v>
      </c>
      <c r="I40" s="79">
        <f t="shared" ca="1" si="17"/>
        <v>1704151.3337485583</v>
      </c>
      <c r="J40" s="79">
        <f t="shared" ca="1" si="18"/>
        <v>11624.857017761549</v>
      </c>
      <c r="K40" s="80">
        <f t="shared" ca="1" si="19"/>
        <v>-18.629594813518608</v>
      </c>
      <c r="L40" s="80">
        <f t="shared" ca="1" si="20"/>
        <v>0</v>
      </c>
      <c r="M40" s="80">
        <f t="shared" ca="1" si="21"/>
        <v>0</v>
      </c>
      <c r="N40" s="80">
        <f t="shared" ca="1" si="22"/>
        <v>0</v>
      </c>
      <c r="O40" s="81">
        <f t="shared" ca="1" si="2"/>
        <v>-15570.619645258326</v>
      </c>
      <c r="P40" s="79">
        <f t="shared" ca="1" si="3"/>
        <v>1700186.9415262479</v>
      </c>
      <c r="Q40" s="35"/>
      <c r="R40">
        <f t="shared" ca="1" si="23"/>
        <v>37</v>
      </c>
      <c r="S40" s="78">
        <f t="shared" ca="1" si="24"/>
        <v>64.88</v>
      </c>
      <c r="T40" s="55">
        <f t="shared" ca="1" si="25"/>
        <v>2.2646626432303307E-3</v>
      </c>
      <c r="U40" s="78">
        <f t="shared" ca="1" si="26"/>
        <v>0.93147974067593031</v>
      </c>
      <c r="V40" s="79">
        <f t="shared" ca="1" si="27"/>
        <v>1704151.3337485583</v>
      </c>
      <c r="W40" s="79">
        <f t="shared" ca="1" si="5"/>
        <v>11624.857017761549</v>
      </c>
      <c r="X40" s="80">
        <f t="shared" ca="1" si="6"/>
        <v>-18.629594813518608</v>
      </c>
      <c r="Y40" s="80">
        <f t="shared" ca="1" si="28"/>
        <v>0</v>
      </c>
      <c r="Z40" s="80">
        <f t="shared" ca="1" si="7"/>
        <v>0</v>
      </c>
      <c r="AA40" s="80">
        <f t="shared" ca="1" si="29"/>
        <v>0</v>
      </c>
      <c r="AB40" s="81">
        <f t="shared" ca="1" si="8"/>
        <v>-15570.619645258326</v>
      </c>
      <c r="AC40" s="79">
        <f t="shared" ca="1" si="9"/>
        <v>1700186.9415262479</v>
      </c>
      <c r="AD40" s="35"/>
      <c r="AE40" s="62">
        <f t="shared" ca="1" si="10"/>
        <v>-16716.004616439077</v>
      </c>
      <c r="AF40" s="62">
        <f t="shared" ca="1" si="11"/>
        <v>1825253.8056195441</v>
      </c>
      <c r="AG40" s="35"/>
      <c r="AH40" s="35"/>
      <c r="AI40" s="35"/>
      <c r="AJ40" s="65">
        <v>54</v>
      </c>
      <c r="AK40" s="66">
        <f>'SA85-90'!F46*(1+$AH$22)</f>
        <v>9.8560000000000002E-3</v>
      </c>
      <c r="AL40" s="66">
        <f>'SA85-90 (light)'!F46*(1+$AH$22)</f>
        <v>9.4710000000000003E-3</v>
      </c>
      <c r="AM40" s="66">
        <f t="shared" si="36"/>
        <v>98</v>
      </c>
      <c r="AN40" s="66">
        <f t="shared" si="37"/>
        <v>0.42142100000000005</v>
      </c>
      <c r="AO40" s="67">
        <f t="shared" si="38"/>
        <v>2.4491052381983448E-3</v>
      </c>
      <c r="AP40" s="68">
        <f t="shared" ca="1" si="47"/>
        <v>1.2987838287071058E-4</v>
      </c>
      <c r="AR40" s="69">
        <f t="shared" si="31"/>
        <v>4</v>
      </c>
      <c r="AS40" s="70">
        <f t="shared" si="39"/>
        <v>37</v>
      </c>
      <c r="AT40" s="71">
        <f t="shared" si="40"/>
        <v>0.77626599083249093</v>
      </c>
      <c r="AU40" s="72">
        <f t="shared" si="12"/>
        <v>6.8214933659622723E-3</v>
      </c>
      <c r="AV40" s="73">
        <f t="shared" si="32"/>
        <v>1.0068214933659623</v>
      </c>
      <c r="AW40" s="74">
        <f>PRODUCT(AV$4:AV40)</f>
        <v>1.2860021442926057</v>
      </c>
      <c r="AY40" s="75">
        <f t="shared" si="41"/>
        <v>37</v>
      </c>
      <c r="AZ40" s="76">
        <f t="shared" ca="1" si="45"/>
        <v>1.0068214933659623</v>
      </c>
      <c r="BA40" s="76">
        <f t="shared" ca="1" si="45"/>
        <v>1.0068214933659623</v>
      </c>
      <c r="BB40" s="76">
        <f t="shared" ca="1" si="45"/>
        <v>1.0068214933659623</v>
      </c>
      <c r="BC40" s="76">
        <f t="shared" ca="1" si="45"/>
        <v>1.0068214933659623</v>
      </c>
      <c r="BD40" s="76">
        <f t="shared" ca="1" si="45"/>
        <v>1.0068214933659623</v>
      </c>
      <c r="BE40" s="76">
        <f t="shared" ca="1" si="45"/>
        <v>1.0068214933659623</v>
      </c>
      <c r="BF40" s="76">
        <f t="shared" ca="1" si="45"/>
        <v>1.0068214933659623</v>
      </c>
      <c r="BG40" s="76">
        <f t="shared" ca="1" si="45"/>
        <v>1.0068214933659623</v>
      </c>
      <c r="BH40" s="76">
        <f t="shared" ca="1" si="45"/>
        <v>1.0068214933659623</v>
      </c>
      <c r="BI40" s="76">
        <f t="shared" ca="1" si="45"/>
        <v>1.0068214933659623</v>
      </c>
      <c r="BJ40" s="76">
        <f t="shared" ca="1" si="45"/>
        <v>1.0068214933659623</v>
      </c>
      <c r="BK40" s="76">
        <f t="shared" ca="1" si="45"/>
        <v>1.0068214933659623</v>
      </c>
      <c r="BL40" s="76">
        <f t="shared" ca="1" si="46"/>
        <v>8.5000000000000853E-2</v>
      </c>
      <c r="BM40" s="77">
        <f t="shared" ca="1" si="48"/>
        <v>20.459749534227228</v>
      </c>
    </row>
    <row r="41" spans="2:65">
      <c r="E41">
        <f t="shared" si="35"/>
        <v>38</v>
      </c>
      <c r="F41" s="64">
        <f t="shared" si="15"/>
        <v>64.959999999999994</v>
      </c>
      <c r="G41" s="55">
        <f t="shared" si="16"/>
        <v>2.2646626432303307E-3</v>
      </c>
      <c r="H41" s="78">
        <f t="shared" si="42"/>
        <v>0.92937025330429568</v>
      </c>
      <c r="I41" s="79">
        <f t="shared" ca="1" si="17"/>
        <v>1696336.5916732654</v>
      </c>
      <c r="J41" s="79">
        <f t="shared" ca="1" si="18"/>
        <v>11571.548806538232</v>
      </c>
      <c r="K41" s="80">
        <f t="shared" ca="1" si="19"/>
        <v>-18.587405066085914</v>
      </c>
      <c r="L41" s="80">
        <f t="shared" ca="1" si="20"/>
        <v>0</v>
      </c>
      <c r="M41" s="80">
        <f t="shared" ca="1" si="21"/>
        <v>0</v>
      </c>
      <c r="N41" s="80">
        <f t="shared" ca="1" si="22"/>
        <v>0</v>
      </c>
      <c r="O41" s="81">
        <f t="shared" ca="1" si="2"/>
        <v>-15535.357444615764</v>
      </c>
      <c r="P41" s="79">
        <f t="shared" ca="1" si="3"/>
        <v>1692354.195630122</v>
      </c>
      <c r="Q41" s="35"/>
      <c r="R41">
        <f t="shared" ca="1" si="23"/>
        <v>38</v>
      </c>
      <c r="S41" s="78">
        <f t="shared" ca="1" si="24"/>
        <v>64.959999999999994</v>
      </c>
      <c r="T41" s="55">
        <f t="shared" ca="1" si="25"/>
        <v>2.2646626432303307E-3</v>
      </c>
      <c r="U41" s="78">
        <f t="shared" ca="1" si="26"/>
        <v>0.92937025330429568</v>
      </c>
      <c r="V41" s="79">
        <f t="shared" ca="1" si="27"/>
        <v>1696336.5916732654</v>
      </c>
      <c r="W41" s="79">
        <f t="shared" ca="1" si="5"/>
        <v>11571.548806538232</v>
      </c>
      <c r="X41" s="80">
        <f t="shared" ca="1" si="6"/>
        <v>-18.587405066085914</v>
      </c>
      <c r="Y41" s="80">
        <f t="shared" ca="1" si="28"/>
        <v>0</v>
      </c>
      <c r="Z41" s="80">
        <f t="shared" ca="1" si="7"/>
        <v>0</v>
      </c>
      <c r="AA41" s="80">
        <f t="shared" ca="1" si="29"/>
        <v>0</v>
      </c>
      <c r="AB41" s="81">
        <f t="shared" ca="1" si="8"/>
        <v>-15535.357444615764</v>
      </c>
      <c r="AC41" s="79">
        <f t="shared" ca="1" si="9"/>
        <v>1692354.195630122</v>
      </c>
      <c r="AD41" s="35"/>
      <c r="AE41" s="62">
        <f t="shared" ca="1" si="10"/>
        <v>-16716.004616439081</v>
      </c>
      <c r="AF41" s="62">
        <f t="shared" ca="1" si="11"/>
        <v>1820968.7577293364</v>
      </c>
      <c r="AG41" s="35"/>
      <c r="AH41" s="35"/>
      <c r="AI41" s="35"/>
      <c r="AJ41" s="65">
        <v>55</v>
      </c>
      <c r="AK41" s="66">
        <f>'SA85-90'!F47*(1+$AH$22)</f>
        <v>1.0769000000000001E-2</v>
      </c>
      <c r="AL41" s="66">
        <f>'SA85-90 (light)'!F47*(1+$AH$22)</f>
        <v>1.0373E-2</v>
      </c>
      <c r="AM41" s="66">
        <f t="shared" si="36"/>
        <v>99</v>
      </c>
      <c r="AN41" s="66">
        <f t="shared" si="37"/>
        <v>0.45185800000000004</v>
      </c>
      <c r="AO41" s="67">
        <f t="shared" si="38"/>
        <v>1.3424574434765168E-3</v>
      </c>
      <c r="AP41" s="68">
        <f t="shared" ca="1" si="47"/>
        <v>6.5614559026282919E-5</v>
      </c>
      <c r="AR41" s="69">
        <f t="shared" si="31"/>
        <v>4</v>
      </c>
      <c r="AS41" s="70">
        <f t="shared" si="39"/>
        <v>38</v>
      </c>
      <c r="AT41" s="71">
        <f t="shared" si="40"/>
        <v>0.77097069752580494</v>
      </c>
      <c r="AU41" s="72">
        <f t="shared" si="12"/>
        <v>6.8214933659622723E-3</v>
      </c>
      <c r="AV41" s="73">
        <f t="shared" si="32"/>
        <v>1.0068214933659623</v>
      </c>
      <c r="AW41" s="74">
        <f>PRODUCT(AV$4:AV41)</f>
        <v>1.2947745993885109</v>
      </c>
      <c r="AY41" s="75">
        <f t="shared" si="41"/>
        <v>38</v>
      </c>
      <c r="AZ41" s="76">
        <f t="shared" ca="1" si="45"/>
        <v>1.0068214933659623</v>
      </c>
      <c r="BA41" s="76">
        <f t="shared" ca="1" si="45"/>
        <v>1.0068214933659623</v>
      </c>
      <c r="BB41" s="76">
        <f t="shared" ca="1" si="45"/>
        <v>1.0068214933659623</v>
      </c>
      <c r="BC41" s="76">
        <f t="shared" ca="1" si="45"/>
        <v>1.0068214933659623</v>
      </c>
      <c r="BD41" s="76">
        <f t="shared" ca="1" si="45"/>
        <v>1.0068214933659623</v>
      </c>
      <c r="BE41" s="76">
        <f t="shared" ca="1" si="45"/>
        <v>1.0068214933659623</v>
      </c>
      <c r="BF41" s="76">
        <f t="shared" ca="1" si="45"/>
        <v>1.0068214933659623</v>
      </c>
      <c r="BG41" s="76">
        <f t="shared" ca="1" si="45"/>
        <v>1.0068214933659623</v>
      </c>
      <c r="BH41" s="76">
        <f t="shared" ca="1" si="45"/>
        <v>1.0068214933659623</v>
      </c>
      <c r="BI41" s="76">
        <f t="shared" ca="1" si="45"/>
        <v>1.0068214933659623</v>
      </c>
      <c r="BJ41" s="76">
        <f t="shared" ca="1" si="45"/>
        <v>1.0068214933659623</v>
      </c>
      <c r="BK41" s="76">
        <f t="shared" ca="1" si="45"/>
        <v>1.0068214933659623</v>
      </c>
      <c r="BL41" s="76">
        <f t="shared" ca="1" si="46"/>
        <v>8.5000000000000853E-2</v>
      </c>
      <c r="BM41" s="77">
        <f t="shared" ca="1" si="48"/>
        <v>22.198828244636559</v>
      </c>
    </row>
    <row r="42" spans="2:65">
      <c r="E42">
        <f t="shared" si="35"/>
        <v>39</v>
      </c>
      <c r="F42" s="64">
        <f t="shared" si="15"/>
        <v>65.040000000000006</v>
      </c>
      <c r="G42" s="55">
        <f t="shared" si="16"/>
        <v>2.2646626432303307E-3</v>
      </c>
      <c r="H42" s="78">
        <f t="shared" si="42"/>
        <v>0.92726554320990795</v>
      </c>
      <c r="I42" s="79">
        <f t="shared" ca="1" si="17"/>
        <v>1688521.5843041644</v>
      </c>
      <c r="J42" s="79">
        <f t="shared" ca="1" si="18"/>
        <v>11518.238785614963</v>
      </c>
      <c r="K42" s="80">
        <f t="shared" ca="1" si="19"/>
        <v>-18.545310864198157</v>
      </c>
      <c r="L42" s="80">
        <f t="shared" ca="1" si="20"/>
        <v>0</v>
      </c>
      <c r="M42" s="80">
        <f t="shared" ca="1" si="21"/>
        <v>0</v>
      </c>
      <c r="N42" s="80">
        <f t="shared" ca="1" si="22"/>
        <v>0</v>
      </c>
      <c r="O42" s="81">
        <f t="shared" ca="1" si="2"/>
        <v>-15500.175100961709</v>
      </c>
      <c r="P42" s="79">
        <f t="shared" ca="1" si="3"/>
        <v>1684521.1026779534</v>
      </c>
      <c r="Q42" s="35"/>
      <c r="R42">
        <f t="shared" ca="1" si="23"/>
        <v>39</v>
      </c>
      <c r="S42" s="78">
        <f t="shared" ca="1" si="24"/>
        <v>65.040000000000006</v>
      </c>
      <c r="T42" s="55">
        <f t="shared" ca="1" si="25"/>
        <v>2.2646626432303307E-3</v>
      </c>
      <c r="U42" s="78">
        <f t="shared" ca="1" si="26"/>
        <v>0.92726554320990795</v>
      </c>
      <c r="V42" s="79">
        <f t="shared" ca="1" si="27"/>
        <v>1688521.5843041644</v>
      </c>
      <c r="W42" s="79">
        <f t="shared" ca="1" si="5"/>
        <v>11518.238785614963</v>
      </c>
      <c r="X42" s="80">
        <f t="shared" ca="1" si="6"/>
        <v>-18.545310864198157</v>
      </c>
      <c r="Y42" s="80">
        <f t="shared" ca="1" si="28"/>
        <v>0</v>
      </c>
      <c r="Z42" s="80">
        <f t="shared" ca="1" si="7"/>
        <v>0</v>
      </c>
      <c r="AA42" s="80">
        <f t="shared" ca="1" si="29"/>
        <v>0</v>
      </c>
      <c r="AB42" s="81">
        <f t="shared" ca="1" si="8"/>
        <v>-15500.175100961709</v>
      </c>
      <c r="AC42" s="79">
        <f t="shared" ca="1" si="9"/>
        <v>1684521.1026779534</v>
      </c>
      <c r="AD42" s="35"/>
      <c r="AE42" s="62">
        <f t="shared" ca="1" si="10"/>
        <v>-16716.004616439077</v>
      </c>
      <c r="AF42" s="62">
        <f t="shared" ca="1" si="11"/>
        <v>1816654.4794133725</v>
      </c>
      <c r="AG42" s="35"/>
      <c r="AH42" s="35"/>
      <c r="AI42" s="35"/>
      <c r="AJ42" s="65">
        <v>56</v>
      </c>
      <c r="AK42" s="66">
        <f>'SA85-90'!F48*(1+$AH$22)</f>
        <v>1.1770000000000001E-2</v>
      </c>
      <c r="AL42" s="66">
        <f>'SA85-90 (light)'!F48*(1+$AH$22)</f>
        <v>1.1374E-2</v>
      </c>
      <c r="AM42" s="66">
        <f t="shared" si="36"/>
        <v>100</v>
      </c>
      <c r="AN42" s="66">
        <f t="shared" si="37"/>
        <v>0.48362600000000006</v>
      </c>
      <c r="AO42" s="67">
        <f t="shared" si="38"/>
        <v>6.9321011991774271E-4</v>
      </c>
      <c r="AP42" s="68">
        <f t="shared" ca="1" si="47"/>
        <v>3.1227329311186892E-5</v>
      </c>
      <c r="AR42" s="69">
        <f t="shared" si="31"/>
        <v>4</v>
      </c>
      <c r="AS42" s="70">
        <f t="shared" si="39"/>
        <v>39</v>
      </c>
      <c r="AT42" s="71">
        <f t="shared" si="40"/>
        <v>0.76571152602728132</v>
      </c>
      <c r="AU42" s="72">
        <f t="shared" si="12"/>
        <v>6.8214933659622723E-3</v>
      </c>
      <c r="AV42" s="73">
        <f t="shared" si="32"/>
        <v>1.0068214933659623</v>
      </c>
      <c r="AW42" s="74">
        <f>PRODUCT(AV$4:AV42)</f>
        <v>1.3036068957286562</v>
      </c>
      <c r="AY42" s="75">
        <f t="shared" si="41"/>
        <v>39</v>
      </c>
      <c r="AZ42" s="76">
        <f t="shared" ca="1" si="45"/>
        <v>1.0068214933659623</v>
      </c>
      <c r="BA42" s="76">
        <f t="shared" ca="1" si="45"/>
        <v>1.0068214933659623</v>
      </c>
      <c r="BB42" s="76">
        <f t="shared" ca="1" si="45"/>
        <v>1.0068214933659623</v>
      </c>
      <c r="BC42" s="76">
        <f t="shared" ca="1" si="45"/>
        <v>1.0068214933659623</v>
      </c>
      <c r="BD42" s="76">
        <f t="shared" ca="1" si="45"/>
        <v>1.0068214933659623</v>
      </c>
      <c r="BE42" s="76">
        <f t="shared" ca="1" si="45"/>
        <v>1.0068214933659623</v>
      </c>
      <c r="BF42" s="76">
        <f t="shared" ca="1" si="45"/>
        <v>1.0068214933659623</v>
      </c>
      <c r="BG42" s="76">
        <f t="shared" ca="1" si="45"/>
        <v>1.0068214933659623</v>
      </c>
      <c r="BH42" s="76">
        <f t="shared" ca="1" si="45"/>
        <v>1.0068214933659623</v>
      </c>
      <c r="BI42" s="76">
        <f t="shared" ca="1" si="45"/>
        <v>1.0068214933659623</v>
      </c>
      <c r="BJ42" s="76">
        <f t="shared" ca="1" si="45"/>
        <v>1.0068214933659623</v>
      </c>
      <c r="BK42" s="76">
        <f t="shared" ca="1" si="45"/>
        <v>1.0068214933659623</v>
      </c>
      <c r="BL42" s="76">
        <f t="shared" ca="1" si="46"/>
        <v>8.5000000000000853E-2</v>
      </c>
      <c r="BM42" s="77">
        <f t="shared" ca="1" si="48"/>
        <v>24.085728645430684</v>
      </c>
    </row>
    <row r="43" spans="2:65">
      <c r="E43">
        <f t="shared" si="35"/>
        <v>40</v>
      </c>
      <c r="F43" s="64">
        <f t="shared" si="15"/>
        <v>65.12</v>
      </c>
      <c r="G43" s="55">
        <f t="shared" si="16"/>
        <v>2.2646626432303307E-3</v>
      </c>
      <c r="H43" s="78">
        <f t="shared" si="42"/>
        <v>0.92516559957384581</v>
      </c>
      <c r="I43" s="79">
        <f t="shared" ca="1" si="17"/>
        <v>1680706.2306649855</v>
      </c>
      <c r="J43" s="79">
        <f t="shared" ca="1" si="18"/>
        <v>11464.926402612655</v>
      </c>
      <c r="K43" s="80">
        <f t="shared" ca="1" si="19"/>
        <v>-18.503311991476917</v>
      </c>
      <c r="L43" s="80">
        <f t="shared" ca="1" si="20"/>
        <v>0</v>
      </c>
      <c r="M43" s="80">
        <f t="shared" ca="1" si="21"/>
        <v>0</v>
      </c>
      <c r="N43" s="80">
        <f t="shared" ca="1" si="22"/>
        <v>0</v>
      </c>
      <c r="O43" s="81">
        <f t="shared" ca="1" si="2"/>
        <v>-15465.072433447034</v>
      </c>
      <c r="P43" s="79">
        <f t="shared" ca="1" si="3"/>
        <v>1676687.5813221596</v>
      </c>
      <c r="Q43" s="35"/>
      <c r="R43">
        <f t="shared" ca="1" si="23"/>
        <v>40</v>
      </c>
      <c r="S43" s="78">
        <f t="shared" ca="1" si="24"/>
        <v>65.12</v>
      </c>
      <c r="T43" s="55">
        <f t="shared" ca="1" si="25"/>
        <v>2.2646626432303307E-3</v>
      </c>
      <c r="U43" s="78">
        <f t="shared" ca="1" si="26"/>
        <v>0.92516559957384581</v>
      </c>
      <c r="V43" s="79">
        <f t="shared" ca="1" si="27"/>
        <v>1680706.2306649855</v>
      </c>
      <c r="W43" s="79">
        <f t="shared" ca="1" si="5"/>
        <v>11464.926402612655</v>
      </c>
      <c r="X43" s="80">
        <f t="shared" ca="1" si="6"/>
        <v>-18.503311991476917</v>
      </c>
      <c r="Y43" s="80">
        <f t="shared" ca="1" si="28"/>
        <v>0</v>
      </c>
      <c r="Z43" s="80">
        <f t="shared" ca="1" si="7"/>
        <v>0</v>
      </c>
      <c r="AA43" s="80">
        <f t="shared" ca="1" si="29"/>
        <v>0</v>
      </c>
      <c r="AB43" s="81">
        <f t="shared" ca="1" si="8"/>
        <v>-15465.072433447034</v>
      </c>
      <c r="AC43" s="79">
        <f t="shared" ca="1" si="9"/>
        <v>1676687.5813221596</v>
      </c>
      <c r="AD43" s="35"/>
      <c r="AE43" s="62">
        <f t="shared" ca="1" si="10"/>
        <v>-16716.004616439077</v>
      </c>
      <c r="AF43" s="62">
        <f t="shared" ca="1" si="11"/>
        <v>1812310.7712764973</v>
      </c>
      <c r="AG43" s="35"/>
      <c r="AH43" s="35"/>
      <c r="AI43" s="35"/>
      <c r="AJ43" s="65">
        <v>57</v>
      </c>
      <c r="AK43" s="66">
        <f>'SA85-90'!F49*(1+$AH$22)</f>
        <v>1.2870000000000001E-2</v>
      </c>
      <c r="AL43" s="66">
        <f>'SA85-90 (light)'!F49*(1+$AH$22)</f>
        <v>1.2485000000000001E-2</v>
      </c>
      <c r="AM43" s="66">
        <f t="shared" si="36"/>
        <v>101</v>
      </c>
      <c r="AN43" s="66">
        <f t="shared" si="37"/>
        <v>0.51662600000000003</v>
      </c>
      <c r="AO43" s="67">
        <f t="shared" si="38"/>
        <v>3.3507974850511895E-4</v>
      </c>
      <c r="AP43" s="68">
        <f t="shared" ca="1" si="47"/>
        <v>1.391196228430013E-5</v>
      </c>
      <c r="AR43" s="69">
        <f t="shared" si="31"/>
        <v>4</v>
      </c>
      <c r="AS43" s="70">
        <f t="shared" si="39"/>
        <v>40</v>
      </c>
      <c r="AT43" s="71">
        <f t="shared" si="40"/>
        <v>0.76048822993224541</v>
      </c>
      <c r="AU43" s="72">
        <f t="shared" si="12"/>
        <v>6.8214933659622723E-3</v>
      </c>
      <c r="AV43" s="73">
        <f t="shared" si="32"/>
        <v>1.0068214933659623</v>
      </c>
      <c r="AW43" s="74">
        <f>PRODUCT(AV$4:AV43)</f>
        <v>1.3124994415196918</v>
      </c>
      <c r="AY43" s="75">
        <f t="shared" si="41"/>
        <v>40</v>
      </c>
      <c r="AZ43" s="76">
        <f t="shared" ca="1" si="45"/>
        <v>1.0068214933659623</v>
      </c>
      <c r="BA43" s="76">
        <f t="shared" ca="1" si="45"/>
        <v>1.0068214933659623</v>
      </c>
      <c r="BB43" s="76">
        <f t="shared" ca="1" si="45"/>
        <v>1.0068214933659623</v>
      </c>
      <c r="BC43" s="76">
        <f t="shared" ca="1" si="45"/>
        <v>1.0068214933659623</v>
      </c>
      <c r="BD43" s="76">
        <f t="shared" ca="1" si="45"/>
        <v>1.0068214933659623</v>
      </c>
      <c r="BE43" s="76">
        <f t="shared" ca="1" si="45"/>
        <v>1.0068214933659623</v>
      </c>
      <c r="BF43" s="76">
        <f t="shared" ca="1" si="45"/>
        <v>1.0068214933659623</v>
      </c>
      <c r="BG43" s="76">
        <f t="shared" ca="1" si="45"/>
        <v>1.0068214933659623</v>
      </c>
      <c r="BH43" s="76">
        <f t="shared" ca="1" si="45"/>
        <v>1.0068214933659623</v>
      </c>
      <c r="BI43" s="76">
        <f t="shared" ca="1" si="45"/>
        <v>1.0068214933659623</v>
      </c>
      <c r="BJ43" s="76">
        <f t="shared" ca="1" si="45"/>
        <v>1.0068214933659623</v>
      </c>
      <c r="BK43" s="76">
        <f t="shared" ca="1" si="45"/>
        <v>1.0068214933659623</v>
      </c>
      <c r="BL43" s="76">
        <f t="shared" ca="1" si="46"/>
        <v>8.5000000000000853E-2</v>
      </c>
      <c r="BM43" s="77">
        <f t="shared" ca="1" si="48"/>
        <v>26.133015580292312</v>
      </c>
    </row>
    <row r="44" spans="2:65">
      <c r="E44">
        <f t="shared" si="35"/>
        <v>41</v>
      </c>
      <c r="F44" s="64">
        <f t="shared" si="15"/>
        <v>65.2</v>
      </c>
      <c r="G44" s="55">
        <f t="shared" si="16"/>
        <v>2.2646626432303307E-3</v>
      </c>
      <c r="H44" s="78">
        <f t="shared" si="42"/>
        <v>0.92307041160168912</v>
      </c>
      <c r="I44" s="79">
        <f t="shared" ca="1" si="17"/>
        <v>1672890.449592371</v>
      </c>
      <c r="J44" s="79">
        <f t="shared" ca="1" si="18"/>
        <v>11411.611103876003</v>
      </c>
      <c r="K44" s="80">
        <f t="shared" ca="1" si="19"/>
        <v>-18.461408232033783</v>
      </c>
      <c r="L44" s="80">
        <f t="shared" ca="1" si="20"/>
        <v>0</v>
      </c>
      <c r="M44" s="80">
        <f t="shared" ca="1" si="21"/>
        <v>0</v>
      </c>
      <c r="N44" s="80">
        <f t="shared" ca="1" si="22"/>
        <v>0</v>
      </c>
      <c r="O44" s="81">
        <f t="shared" ca="1" si="2"/>
        <v>-15430.049261632155</v>
      </c>
      <c r="P44" s="79">
        <f t="shared" ca="1" si="3"/>
        <v>1668853.5500263828</v>
      </c>
      <c r="Q44" s="35"/>
      <c r="R44">
        <f t="shared" ca="1" si="23"/>
        <v>41</v>
      </c>
      <c r="S44" s="78">
        <f t="shared" ca="1" si="24"/>
        <v>65.2</v>
      </c>
      <c r="T44" s="55">
        <f t="shared" ca="1" si="25"/>
        <v>2.2646626432303307E-3</v>
      </c>
      <c r="U44" s="78">
        <f t="shared" ca="1" si="26"/>
        <v>0.92307041160168912</v>
      </c>
      <c r="V44" s="79">
        <f t="shared" ca="1" si="27"/>
        <v>1672890.449592371</v>
      </c>
      <c r="W44" s="79">
        <f t="shared" ca="1" si="5"/>
        <v>11411.611103876003</v>
      </c>
      <c r="X44" s="80">
        <f t="shared" ca="1" si="6"/>
        <v>-18.461408232033783</v>
      </c>
      <c r="Y44" s="80">
        <f t="shared" ca="1" si="28"/>
        <v>0</v>
      </c>
      <c r="Z44" s="80">
        <f t="shared" ca="1" si="7"/>
        <v>0</v>
      </c>
      <c r="AA44" s="80">
        <f t="shared" ca="1" si="29"/>
        <v>0</v>
      </c>
      <c r="AB44" s="81">
        <f t="shared" ca="1" si="8"/>
        <v>-15430.049261632155</v>
      </c>
      <c r="AC44" s="79">
        <f t="shared" ca="1" si="9"/>
        <v>1668853.5500263828</v>
      </c>
      <c r="AD44" s="35"/>
      <c r="AE44" s="62">
        <f t="shared" ca="1" si="10"/>
        <v>-16716.004616439077</v>
      </c>
      <c r="AF44" s="62">
        <f t="shared" ca="1" si="11"/>
        <v>1807937.4325633827</v>
      </c>
      <c r="AG44" s="35"/>
      <c r="AH44" s="35"/>
      <c r="AI44" s="35"/>
      <c r="AJ44" s="65">
        <v>58</v>
      </c>
      <c r="AK44" s="66">
        <f>'SA85-90'!F50*(1+$AH$22)</f>
        <v>1.4080000000000002E-2</v>
      </c>
      <c r="AL44" s="66">
        <f>'SA85-90 (light)'!F50*(1+$AH$22)</f>
        <v>1.3706000000000001E-2</v>
      </c>
      <c r="AM44" s="66">
        <f t="shared" si="36"/>
        <v>102</v>
      </c>
      <c r="AN44" s="66">
        <f t="shared" si="37"/>
        <v>0.55073700000000003</v>
      </c>
      <c r="AO44" s="67">
        <f t="shared" si="38"/>
        <v>1.5053893305265524E-4</v>
      </c>
      <c r="AP44" s="68">
        <f t="shared" ca="1" si="47"/>
        <v>5.7604883979092385E-6</v>
      </c>
      <c r="AR44" s="69">
        <f t="shared" si="31"/>
        <v>4</v>
      </c>
      <c r="AS44" s="70">
        <f t="shared" si="39"/>
        <v>41</v>
      </c>
      <c r="AT44" s="71">
        <f t="shared" si="40"/>
        <v>0.75530056451687022</v>
      </c>
      <c r="AU44" s="72">
        <f t="shared" si="12"/>
        <v>6.8214933659622723E-3</v>
      </c>
      <c r="AV44" s="73">
        <f t="shared" si="32"/>
        <v>1.0068214933659623</v>
      </c>
      <c r="AW44" s="74">
        <f>PRODUCT(AV$4:AV44)</f>
        <v>1.3214526477528477</v>
      </c>
      <c r="AY44" s="75">
        <f t="shared" si="41"/>
        <v>41</v>
      </c>
      <c r="AZ44" s="76">
        <f t="shared" ca="1" si="45"/>
        <v>1.0068214933659623</v>
      </c>
      <c r="BA44" s="76">
        <f t="shared" ca="1" si="45"/>
        <v>1.0068214933659623</v>
      </c>
      <c r="BB44" s="76">
        <f t="shared" ca="1" si="45"/>
        <v>1.0068214933659623</v>
      </c>
      <c r="BC44" s="76">
        <f t="shared" ca="1" si="45"/>
        <v>1.0068214933659623</v>
      </c>
      <c r="BD44" s="76">
        <f t="shared" ca="1" si="45"/>
        <v>1.0068214933659623</v>
      </c>
      <c r="BE44" s="76">
        <f t="shared" ca="1" si="45"/>
        <v>1.0068214933659623</v>
      </c>
      <c r="BF44" s="76">
        <f t="shared" ca="1" si="45"/>
        <v>1.0068214933659623</v>
      </c>
      <c r="BG44" s="76">
        <f t="shared" ca="1" si="45"/>
        <v>1.0068214933659623</v>
      </c>
      <c r="BH44" s="76">
        <f t="shared" ca="1" si="45"/>
        <v>1.0068214933659623</v>
      </c>
      <c r="BI44" s="76">
        <f t="shared" ca="1" si="45"/>
        <v>1.0068214933659623</v>
      </c>
      <c r="BJ44" s="76">
        <f t="shared" ca="1" si="45"/>
        <v>1.0068214933659623</v>
      </c>
      <c r="BK44" s="76">
        <f t="shared" ca="1" si="45"/>
        <v>1.0068214933659623</v>
      </c>
      <c r="BL44" s="76">
        <f t="shared" ca="1" si="46"/>
        <v>8.5000000000000853E-2</v>
      </c>
      <c r="BM44" s="77">
        <f t="shared" ca="1" si="48"/>
        <v>28.35432190461718</v>
      </c>
    </row>
    <row r="45" spans="2:65">
      <c r="E45">
        <f t="shared" si="35"/>
        <v>42</v>
      </c>
      <c r="F45" s="64">
        <f t="shared" si="15"/>
        <v>65.28</v>
      </c>
      <c r="G45" s="55">
        <f t="shared" si="16"/>
        <v>2.2646626432303307E-3</v>
      </c>
      <c r="H45" s="78">
        <f t="shared" si="42"/>
        <v>0.92097996852346353</v>
      </c>
      <c r="I45" s="79">
        <f t="shared" ca="1" si="17"/>
        <v>1665074.1597346158</v>
      </c>
      <c r="J45" s="79">
        <f t="shared" ca="1" si="18"/>
        <v>11358.292334464886</v>
      </c>
      <c r="K45" s="80">
        <f t="shared" ca="1" si="19"/>
        <v>-18.419599370469271</v>
      </c>
      <c r="L45" s="80">
        <f t="shared" ca="1" si="20"/>
        <v>0</v>
      </c>
      <c r="M45" s="80">
        <f t="shared" ca="1" si="21"/>
        <v>0</v>
      </c>
      <c r="N45" s="80">
        <f t="shared" ca="1" si="22"/>
        <v>0</v>
      </c>
      <c r="O45" s="81">
        <f t="shared" ca="1" si="2"/>
        <v>-15395.105405486132</v>
      </c>
      <c r="P45" s="79">
        <f t="shared" ca="1" si="3"/>
        <v>1661018.9270642239</v>
      </c>
      <c r="Q45" s="35"/>
      <c r="R45">
        <f t="shared" ca="1" si="23"/>
        <v>42</v>
      </c>
      <c r="S45" s="78">
        <f t="shared" ca="1" si="24"/>
        <v>65.28</v>
      </c>
      <c r="T45" s="55">
        <f t="shared" ca="1" si="25"/>
        <v>2.2646626432303307E-3</v>
      </c>
      <c r="U45" s="78">
        <f t="shared" ca="1" si="26"/>
        <v>0.92097996852346353</v>
      </c>
      <c r="V45" s="79">
        <f t="shared" ca="1" si="27"/>
        <v>1665074.1597346158</v>
      </c>
      <c r="W45" s="79">
        <f t="shared" ca="1" si="5"/>
        <v>11358.292334464886</v>
      </c>
      <c r="X45" s="80">
        <f t="shared" ca="1" si="6"/>
        <v>-18.419599370469271</v>
      </c>
      <c r="Y45" s="80">
        <f t="shared" ca="1" si="28"/>
        <v>0</v>
      </c>
      <c r="Z45" s="80">
        <f t="shared" ca="1" si="7"/>
        <v>0</v>
      </c>
      <c r="AA45" s="80">
        <f t="shared" ca="1" si="29"/>
        <v>0</v>
      </c>
      <c r="AB45" s="81">
        <f t="shared" ca="1" si="8"/>
        <v>-15395.105405486132</v>
      </c>
      <c r="AC45" s="79">
        <f t="shared" ca="1" si="9"/>
        <v>1661018.9270642239</v>
      </c>
      <c r="AD45" s="35"/>
      <c r="AE45" s="62">
        <f t="shared" ca="1" si="10"/>
        <v>-16716.004616439077</v>
      </c>
      <c r="AF45" s="62">
        <f t="shared" ca="1" si="11"/>
        <v>1803534.2611492495</v>
      </c>
      <c r="AG45" s="35"/>
      <c r="AH45" s="35"/>
      <c r="AI45" s="35"/>
      <c r="AJ45" s="65">
        <v>59</v>
      </c>
      <c r="AK45" s="66">
        <f>'SA85-90'!F51*(1+$AH$22)</f>
        <v>1.5411000000000001E-2</v>
      </c>
      <c r="AL45" s="66">
        <f>'SA85-90 (light)'!F51*(1+$AH$22)</f>
        <v>1.5059000000000003E-2</v>
      </c>
      <c r="AM45" s="66">
        <f t="shared" si="36"/>
        <v>103</v>
      </c>
      <c r="AN45" s="66">
        <f t="shared" si="37"/>
        <v>0.58580500000000002</v>
      </c>
      <c r="AO45" s="67">
        <f t="shared" si="38"/>
        <v>6.235247337574453E-5</v>
      </c>
      <c r="AP45" s="68">
        <f t="shared" ca="1" si="47"/>
        <v>2.1990465363797374E-6</v>
      </c>
      <c r="AR45" s="69">
        <f t="shared" si="31"/>
        <v>4</v>
      </c>
      <c r="AS45" s="70">
        <f t="shared" si="39"/>
        <v>42</v>
      </c>
      <c r="AT45" s="71">
        <f t="shared" si="40"/>
        <v>0.75014828672671086</v>
      </c>
      <c r="AU45" s="72">
        <f t="shared" si="12"/>
        <v>6.8214933659622723E-3</v>
      </c>
      <c r="AV45" s="73">
        <f t="shared" si="32"/>
        <v>1.0068214933659623</v>
      </c>
      <c r="AW45" s="74">
        <f>PRODUCT(AV$4:AV45)</f>
        <v>1.3304669282229269</v>
      </c>
      <c r="AY45" s="75">
        <f t="shared" si="41"/>
        <v>42</v>
      </c>
      <c r="AZ45" s="76">
        <f t="shared" ref="AZ45:BK54" ca="1" si="49">OFFSET($AV$3,($AY45*12-12)+AZ$3,0)</f>
        <v>1.0068214933659623</v>
      </c>
      <c r="BA45" s="76">
        <f t="shared" ca="1" si="49"/>
        <v>1.0068214933659623</v>
      </c>
      <c r="BB45" s="76">
        <f t="shared" ca="1" si="49"/>
        <v>1.0068214933659623</v>
      </c>
      <c r="BC45" s="76">
        <f t="shared" ca="1" si="49"/>
        <v>1.0068214933659623</v>
      </c>
      <c r="BD45" s="76">
        <f t="shared" ca="1" si="49"/>
        <v>1.0068214933659623</v>
      </c>
      <c r="BE45" s="76">
        <f t="shared" ca="1" si="49"/>
        <v>1.0068214933659623</v>
      </c>
      <c r="BF45" s="76">
        <f t="shared" ca="1" si="49"/>
        <v>1.0068214933659623</v>
      </c>
      <c r="BG45" s="76">
        <f t="shared" ca="1" si="49"/>
        <v>1.0068214933659623</v>
      </c>
      <c r="BH45" s="76">
        <f t="shared" ca="1" si="49"/>
        <v>1.0068214933659623</v>
      </c>
      <c r="BI45" s="76">
        <f t="shared" ca="1" si="49"/>
        <v>1.0068214933659623</v>
      </c>
      <c r="BJ45" s="76">
        <f t="shared" ca="1" si="49"/>
        <v>1.0068214933659623</v>
      </c>
      <c r="BK45" s="76">
        <f t="shared" ca="1" si="49"/>
        <v>1.0068214933659623</v>
      </c>
      <c r="BL45" s="76">
        <f t="shared" ca="1" si="46"/>
        <v>8.5000000000000853E-2</v>
      </c>
      <c r="BM45" s="77">
        <f t="shared" ca="1" si="48"/>
        <v>30.764439266509665</v>
      </c>
    </row>
    <row r="46" spans="2:65">
      <c r="E46">
        <f t="shared" si="35"/>
        <v>43</v>
      </c>
      <c r="F46" s="64">
        <f t="shared" si="15"/>
        <v>65.36</v>
      </c>
      <c r="G46" s="55">
        <f t="shared" si="16"/>
        <v>2.2646626432303307E-3</v>
      </c>
      <c r="H46" s="78">
        <f t="shared" si="42"/>
        <v>0.91889425959358495</v>
      </c>
      <c r="I46" s="79">
        <f t="shared" ca="1" si="17"/>
        <v>1657257.2795504031</v>
      </c>
      <c r="J46" s="79">
        <f t="shared" ca="1" si="18"/>
        <v>11304.969538145759</v>
      </c>
      <c r="K46" s="80">
        <f t="shared" ca="1" si="19"/>
        <v>-18.377885191871698</v>
      </c>
      <c r="L46" s="80">
        <f t="shared" ca="1" si="20"/>
        <v>0</v>
      </c>
      <c r="M46" s="80">
        <f t="shared" ca="1" si="21"/>
        <v>0</v>
      </c>
      <c r="N46" s="80">
        <f t="shared" ca="1" si="22"/>
        <v>0</v>
      </c>
      <c r="O46" s="81">
        <f t="shared" ca="1" si="2"/>
        <v>-15360.240685385734</v>
      </c>
      <c r="P46" s="79">
        <f t="shared" ca="1" si="3"/>
        <v>1653183.6305179712</v>
      </c>
      <c r="Q46" s="35"/>
      <c r="R46">
        <f t="shared" ca="1" si="23"/>
        <v>43</v>
      </c>
      <c r="S46" s="78">
        <f t="shared" ca="1" si="24"/>
        <v>65.36</v>
      </c>
      <c r="T46" s="55">
        <f t="shared" ca="1" si="25"/>
        <v>2.2646626432303307E-3</v>
      </c>
      <c r="U46" s="78">
        <f t="shared" ca="1" si="26"/>
        <v>0.91889425959358495</v>
      </c>
      <c r="V46" s="79">
        <f t="shared" ca="1" si="27"/>
        <v>1657257.2795504031</v>
      </c>
      <c r="W46" s="79">
        <f t="shared" ca="1" si="5"/>
        <v>11304.969538145759</v>
      </c>
      <c r="X46" s="80">
        <f t="shared" ca="1" si="6"/>
        <v>-18.377885191871698</v>
      </c>
      <c r="Y46" s="80">
        <f t="shared" ca="1" si="28"/>
        <v>0</v>
      </c>
      <c r="Z46" s="80">
        <f t="shared" ca="1" si="7"/>
        <v>0</v>
      </c>
      <c r="AA46" s="80">
        <f t="shared" ca="1" si="29"/>
        <v>0</v>
      </c>
      <c r="AB46" s="81">
        <f t="shared" ca="1" si="8"/>
        <v>-15360.240685385734</v>
      </c>
      <c r="AC46" s="79">
        <f t="shared" ca="1" si="9"/>
        <v>1653183.6305179712</v>
      </c>
      <c r="AD46" s="35"/>
      <c r="AE46" s="62">
        <f t="shared" ca="1" si="10"/>
        <v>-16716.004616439077</v>
      </c>
      <c r="AF46" s="62">
        <f t="shared" ca="1" si="11"/>
        <v>1799101.0535305259</v>
      </c>
      <c r="AG46" s="35"/>
      <c r="AH46" s="35"/>
      <c r="AI46" s="35"/>
      <c r="AJ46" s="65">
        <v>60</v>
      </c>
      <c r="AK46" s="66">
        <f>'SA85-90'!F52*(1+$AH$22)</f>
        <v>1.6896000000000001E-2</v>
      </c>
      <c r="AL46" s="66">
        <f>'SA85-90 (light)'!F52*(1+$AH$22)</f>
        <v>1.6555E-2</v>
      </c>
      <c r="AM46" s="66">
        <f t="shared" si="36"/>
        <v>104</v>
      </c>
      <c r="AN46" s="66">
        <f t="shared" si="37"/>
        <v>0.62164300000000006</v>
      </c>
      <c r="AO46" s="67">
        <f t="shared" si="38"/>
        <v>2.3591494769026569E-5</v>
      </c>
      <c r="AP46" s="68">
        <f t="shared" ca="1" si="47"/>
        <v>7.668429957281359E-7</v>
      </c>
      <c r="AR46" s="69">
        <f t="shared" si="31"/>
        <v>4</v>
      </c>
      <c r="AS46" s="70">
        <f t="shared" si="39"/>
        <v>43</v>
      </c>
      <c r="AT46" s="71">
        <f t="shared" si="40"/>
        <v>0.74503115516531659</v>
      </c>
      <c r="AU46" s="72">
        <f t="shared" si="12"/>
        <v>6.8214933659622723E-3</v>
      </c>
      <c r="AV46" s="73">
        <f t="shared" si="32"/>
        <v>1.0068214933659623</v>
      </c>
      <c r="AW46" s="74">
        <f>PRODUCT(AV$4:AV46)</f>
        <v>1.3395426995474318</v>
      </c>
      <c r="AY46" s="75">
        <f t="shared" si="41"/>
        <v>43</v>
      </c>
      <c r="AZ46" s="76">
        <f t="shared" ca="1" si="49"/>
        <v>1.0068214933659623</v>
      </c>
      <c r="BA46" s="76">
        <f t="shared" ca="1" si="49"/>
        <v>1.0068214933659623</v>
      </c>
      <c r="BB46" s="76">
        <f t="shared" ca="1" si="49"/>
        <v>1.0068214933659623</v>
      </c>
      <c r="BC46" s="76">
        <f t="shared" ca="1" si="49"/>
        <v>1.0068214933659623</v>
      </c>
      <c r="BD46" s="76">
        <f t="shared" ca="1" si="49"/>
        <v>1.0068214933659623</v>
      </c>
      <c r="BE46" s="76">
        <f t="shared" ca="1" si="49"/>
        <v>1.0068214933659623</v>
      </c>
      <c r="BF46" s="76">
        <f t="shared" ca="1" si="49"/>
        <v>1.0068214933659623</v>
      </c>
      <c r="BG46" s="76">
        <f t="shared" ca="1" si="49"/>
        <v>1.0068214933659623</v>
      </c>
      <c r="BH46" s="76">
        <f t="shared" ca="1" si="49"/>
        <v>1.0068214933659623</v>
      </c>
      <c r="BI46" s="76">
        <f t="shared" ca="1" si="49"/>
        <v>1.0068214933659623</v>
      </c>
      <c r="BJ46" s="76">
        <f t="shared" ca="1" si="49"/>
        <v>1.0068214933659623</v>
      </c>
      <c r="BK46" s="76">
        <f t="shared" ca="1" si="49"/>
        <v>1.0068214933659623</v>
      </c>
      <c r="BL46" s="76">
        <f t="shared" ca="1" si="46"/>
        <v>8.5000000000000853E-2</v>
      </c>
      <c r="BM46" s="77">
        <f t="shared" ca="1" si="48"/>
        <v>33.379416604163012</v>
      </c>
    </row>
    <row r="47" spans="2:65">
      <c r="E47">
        <f t="shared" si="35"/>
        <v>44</v>
      </c>
      <c r="F47" s="64">
        <f t="shared" si="15"/>
        <v>65.44</v>
      </c>
      <c r="G47" s="55">
        <f t="shared" si="16"/>
        <v>2.2646626432303307E-3</v>
      </c>
      <c r="H47" s="78">
        <f t="shared" si="42"/>
        <v>0.9168132740908046</v>
      </c>
      <c r="I47" s="79">
        <f t="shared" ca="1" si="17"/>
        <v>1649439.7273075373</v>
      </c>
      <c r="J47" s="79">
        <f t="shared" ca="1" si="18"/>
        <v>11251.642157382985</v>
      </c>
      <c r="K47" s="80">
        <f t="shared" ca="1" si="19"/>
        <v>-18.336265481816092</v>
      </c>
      <c r="L47" s="80">
        <f t="shared" ca="1" si="20"/>
        <v>0</v>
      </c>
      <c r="M47" s="80">
        <f t="shared" ca="1" si="21"/>
        <v>0</v>
      </c>
      <c r="N47" s="80">
        <f t="shared" ca="1" si="22"/>
        <v>0</v>
      </c>
      <c r="O47" s="81">
        <f t="shared" ca="1" si="2"/>
        <v>-15325.454922114515</v>
      </c>
      <c r="P47" s="79">
        <f t="shared" ca="1" si="3"/>
        <v>1645347.5782773241</v>
      </c>
      <c r="Q47" s="35"/>
      <c r="R47">
        <f t="shared" ca="1" si="23"/>
        <v>44</v>
      </c>
      <c r="S47" s="78">
        <f t="shared" ca="1" si="24"/>
        <v>65.44</v>
      </c>
      <c r="T47" s="55">
        <f t="shared" ca="1" si="25"/>
        <v>2.2646626432303307E-3</v>
      </c>
      <c r="U47" s="78">
        <f t="shared" ca="1" si="26"/>
        <v>0.9168132740908046</v>
      </c>
      <c r="V47" s="79">
        <f t="shared" ca="1" si="27"/>
        <v>1649439.7273075373</v>
      </c>
      <c r="W47" s="79">
        <f t="shared" ca="1" si="5"/>
        <v>11251.642157382985</v>
      </c>
      <c r="X47" s="80">
        <f t="shared" ca="1" si="6"/>
        <v>-18.336265481816092</v>
      </c>
      <c r="Y47" s="80">
        <f t="shared" ca="1" si="28"/>
        <v>0</v>
      </c>
      <c r="Z47" s="80">
        <f t="shared" ca="1" si="7"/>
        <v>0</v>
      </c>
      <c r="AA47" s="80">
        <f t="shared" ca="1" si="29"/>
        <v>0</v>
      </c>
      <c r="AB47" s="81">
        <f t="shared" ca="1" si="8"/>
        <v>-15325.454922114515</v>
      </c>
      <c r="AC47" s="79">
        <f t="shared" ca="1" si="9"/>
        <v>1645347.5782773241</v>
      </c>
      <c r="AD47" s="35"/>
      <c r="AE47" s="62">
        <f t="shared" ca="1" si="10"/>
        <v>-16716.004616439077</v>
      </c>
      <c r="AF47" s="62">
        <f t="shared" ca="1" si="11"/>
        <v>1794637.6048154412</v>
      </c>
      <c r="AG47" s="35"/>
      <c r="AH47" s="35"/>
      <c r="AI47" s="35"/>
      <c r="AJ47" s="65">
        <v>61</v>
      </c>
      <c r="AK47" s="66">
        <f>'SA85-90'!F53*(1+$AH$22)</f>
        <v>1.8524000000000002E-2</v>
      </c>
      <c r="AL47" s="66">
        <f>'SA85-90 (light)'!F53*(1+$AH$22)</f>
        <v>1.8204999999999999E-2</v>
      </c>
      <c r="AM47" s="66">
        <f t="shared" si="36"/>
        <v>105</v>
      </c>
      <c r="AN47" s="66">
        <f t="shared" si="37"/>
        <v>0</v>
      </c>
      <c r="AO47" s="67">
        <f t="shared" si="38"/>
        <v>2.3591494769026569E-5</v>
      </c>
      <c r="AP47" s="68">
        <f t="shared" ca="1" si="47"/>
        <v>7.067677379982815E-7</v>
      </c>
      <c r="AR47" s="69">
        <f t="shared" si="31"/>
        <v>4</v>
      </c>
      <c r="AS47" s="70">
        <f t="shared" si="39"/>
        <v>44</v>
      </c>
      <c r="AT47" s="71">
        <f t="shared" si="40"/>
        <v>0.73994893008292117</v>
      </c>
      <c r="AU47" s="72">
        <f t="shared" si="12"/>
        <v>6.8214933659622723E-3</v>
      </c>
      <c r="AV47" s="73">
        <f t="shared" si="32"/>
        <v>1.0068214933659623</v>
      </c>
      <c r="AW47" s="74">
        <f>PRODUCT(AV$4:AV47)</f>
        <v>1.3486803811858177</v>
      </c>
      <c r="AY47" s="75">
        <f t="shared" si="41"/>
        <v>44</v>
      </c>
      <c r="AZ47" s="76">
        <f t="shared" ca="1" si="49"/>
        <v>1.0068214933659623</v>
      </c>
      <c r="BA47" s="76">
        <f t="shared" ca="1" si="49"/>
        <v>1.0068214933659623</v>
      </c>
      <c r="BB47" s="76">
        <f t="shared" ca="1" si="49"/>
        <v>1.0068214933659623</v>
      </c>
      <c r="BC47" s="76">
        <f t="shared" ca="1" si="49"/>
        <v>1.0068214933659623</v>
      </c>
      <c r="BD47" s="76">
        <f t="shared" ca="1" si="49"/>
        <v>1.0068214933659623</v>
      </c>
      <c r="BE47" s="76">
        <f t="shared" ca="1" si="49"/>
        <v>1.0068214933659623</v>
      </c>
      <c r="BF47" s="76">
        <f t="shared" ca="1" si="49"/>
        <v>1.0068214933659623</v>
      </c>
      <c r="BG47" s="76">
        <f t="shared" ca="1" si="49"/>
        <v>1.0068214933659623</v>
      </c>
      <c r="BH47" s="76">
        <f t="shared" ca="1" si="49"/>
        <v>1.0068214933659623</v>
      </c>
      <c r="BI47" s="76">
        <f t="shared" ca="1" si="49"/>
        <v>1.0068214933659623</v>
      </c>
      <c r="BJ47" s="76">
        <f t="shared" ca="1" si="49"/>
        <v>1.0068214933659623</v>
      </c>
      <c r="BK47" s="76">
        <f t="shared" ca="1" si="49"/>
        <v>1.0068214933659623</v>
      </c>
      <c r="BL47" s="76">
        <f t="shared" ca="1" si="46"/>
        <v>8.5000000000000853E-2</v>
      </c>
      <c r="BM47" s="77">
        <f t="shared" ca="1" si="48"/>
        <v>36.216667015516897</v>
      </c>
    </row>
    <row r="48" spans="2:65">
      <c r="E48">
        <f t="shared" si="35"/>
        <v>45</v>
      </c>
      <c r="F48" s="64">
        <f t="shared" si="15"/>
        <v>65.52</v>
      </c>
      <c r="G48" s="55">
        <f t="shared" si="16"/>
        <v>2.4857885984658212E-3</v>
      </c>
      <c r="H48" s="78">
        <f t="shared" si="42"/>
        <v>0.91453427010714761</v>
      </c>
      <c r="I48" s="79">
        <f t="shared" ca="1" si="17"/>
        <v>1641257.5920267289</v>
      </c>
      <c r="J48" s="79">
        <f t="shared" ca="1" si="18"/>
        <v>11195.827775845544</v>
      </c>
      <c r="K48" s="80">
        <f t="shared" ca="1" si="19"/>
        <v>-18.290685402142952</v>
      </c>
      <c r="L48" s="80">
        <f t="shared" ca="1" si="20"/>
        <v>0</v>
      </c>
      <c r="M48" s="80">
        <f t="shared" ca="1" si="21"/>
        <v>0</v>
      </c>
      <c r="N48" s="80">
        <f t="shared" ca="1" si="22"/>
        <v>0</v>
      </c>
      <c r="O48" s="81">
        <f t="shared" ca="1" si="2"/>
        <v>-15287.359081002824</v>
      </c>
      <c r="P48" s="79">
        <f t="shared" ca="1" si="3"/>
        <v>1637147.7700361693</v>
      </c>
      <c r="Q48" s="35"/>
      <c r="R48">
        <f t="shared" ca="1" si="23"/>
        <v>45</v>
      </c>
      <c r="S48" s="78">
        <f t="shared" ca="1" si="24"/>
        <v>65.52</v>
      </c>
      <c r="T48" s="55">
        <f t="shared" ca="1" si="25"/>
        <v>2.4857885984658212E-3</v>
      </c>
      <c r="U48" s="78">
        <f t="shared" ca="1" si="26"/>
        <v>0.91453427010714761</v>
      </c>
      <c r="V48" s="79">
        <f t="shared" ca="1" si="27"/>
        <v>1641257.5920267289</v>
      </c>
      <c r="W48" s="79">
        <f t="shared" ca="1" si="5"/>
        <v>11195.827775845544</v>
      </c>
      <c r="X48" s="80">
        <f t="shared" ca="1" si="6"/>
        <v>-18.290685402142952</v>
      </c>
      <c r="Y48" s="80">
        <f t="shared" ca="1" si="28"/>
        <v>0</v>
      </c>
      <c r="Z48" s="80">
        <f t="shared" ca="1" si="7"/>
        <v>0</v>
      </c>
      <c r="AA48" s="80">
        <f t="shared" ca="1" si="29"/>
        <v>0</v>
      </c>
      <c r="AB48" s="81">
        <f t="shared" ca="1" si="8"/>
        <v>-15287.359081002824</v>
      </c>
      <c r="AC48" s="79">
        <f t="shared" ca="1" si="9"/>
        <v>1637147.7700361693</v>
      </c>
      <c r="AD48" s="35"/>
      <c r="AE48" s="62">
        <f t="shared" ca="1" si="10"/>
        <v>-16716.004616439081</v>
      </c>
      <c r="AF48" s="62">
        <f t="shared" ca="1" si="11"/>
        <v>1790143.7087145566</v>
      </c>
      <c r="AG48" s="35"/>
      <c r="AH48" s="35"/>
      <c r="AI48" s="35"/>
      <c r="AJ48" s="65">
        <v>62</v>
      </c>
      <c r="AK48" s="66">
        <f>'SA85-90'!F54*(1+$AH$22)</f>
        <v>2.0317000000000002E-2</v>
      </c>
      <c r="AL48" s="66">
        <f>'SA85-90 (light)'!F54*(1+$AH$22)</f>
        <v>2.0031000000000004E-2</v>
      </c>
      <c r="AM48" s="66">
        <f t="shared" si="36"/>
        <v>106</v>
      </c>
      <c r="AN48" s="66">
        <f t="shared" si="37"/>
        <v>0</v>
      </c>
      <c r="AO48" s="67">
        <f t="shared" si="38"/>
        <v>2.3591494769026569E-5</v>
      </c>
      <c r="AP48" s="68">
        <f t="shared" ca="1" si="47"/>
        <v>6.5139883686477504E-7</v>
      </c>
      <c r="AR48" s="69">
        <f t="shared" si="31"/>
        <v>4</v>
      </c>
      <c r="AS48" s="70">
        <f t="shared" si="39"/>
        <v>45</v>
      </c>
      <c r="AT48" s="71">
        <f t="shared" si="40"/>
        <v>0.73490137336520966</v>
      </c>
      <c r="AU48" s="72">
        <f t="shared" si="12"/>
        <v>6.8214933659622723E-3</v>
      </c>
      <c r="AV48" s="73">
        <f t="shared" si="32"/>
        <v>1.0068214933659623</v>
      </c>
      <c r="AW48" s="74">
        <f>PRODUCT(AV$4:AV48)</f>
        <v>1.3578803954588803</v>
      </c>
      <c r="AY48" s="75">
        <f t="shared" si="41"/>
        <v>45</v>
      </c>
      <c r="AZ48" s="76">
        <f t="shared" ca="1" si="49"/>
        <v>1.0068214933659623</v>
      </c>
      <c r="BA48" s="76">
        <f t="shared" ca="1" si="49"/>
        <v>1.0068214933659623</v>
      </c>
      <c r="BB48" s="76">
        <f t="shared" ca="1" si="49"/>
        <v>1.0068214933659623</v>
      </c>
      <c r="BC48" s="76">
        <f t="shared" ca="1" si="49"/>
        <v>1.0068214933659623</v>
      </c>
      <c r="BD48" s="76">
        <f t="shared" ca="1" si="49"/>
        <v>1.0068214933659623</v>
      </c>
      <c r="BE48" s="76">
        <f t="shared" ca="1" si="49"/>
        <v>1.0068214933659623</v>
      </c>
      <c r="BF48" s="76">
        <f t="shared" ca="1" si="49"/>
        <v>1.0068214933659623</v>
      </c>
      <c r="BG48" s="76">
        <f t="shared" ca="1" si="49"/>
        <v>1.0068214933659623</v>
      </c>
      <c r="BH48" s="76">
        <f t="shared" ca="1" si="49"/>
        <v>1.0068214933659623</v>
      </c>
      <c r="BI48" s="76">
        <f t="shared" ca="1" si="49"/>
        <v>1.0068214933659623</v>
      </c>
      <c r="BJ48" s="76">
        <f t="shared" ca="1" si="49"/>
        <v>1.0068214933659623</v>
      </c>
      <c r="BK48" s="76">
        <f t="shared" ca="1" si="49"/>
        <v>1.0068214933659623</v>
      </c>
      <c r="BL48" s="76">
        <f t="shared" ca="1" si="46"/>
        <v>8.5000000000000853E-2</v>
      </c>
      <c r="BM48" s="77">
        <f t="shared" ca="1" si="48"/>
        <v>39.295083711835865</v>
      </c>
    </row>
    <row r="49" spans="5:65">
      <c r="E49">
        <f t="shared" si="35"/>
        <v>46</v>
      </c>
      <c r="F49" s="64">
        <f t="shared" si="15"/>
        <v>65.599999999999994</v>
      </c>
      <c r="G49" s="55">
        <f t="shared" si="16"/>
        <v>2.4857885984658212E-3</v>
      </c>
      <c r="H49" s="78">
        <f t="shared" si="42"/>
        <v>0.91226093124560903</v>
      </c>
      <c r="I49" s="79">
        <f t="shared" ca="1" si="17"/>
        <v>1633078.1667754096</v>
      </c>
      <c r="J49" s="79">
        <f t="shared" ca="1" si="18"/>
        <v>11140.031880756285</v>
      </c>
      <c r="K49" s="80">
        <f t="shared" ca="1" si="19"/>
        <v>-18.24521862491218</v>
      </c>
      <c r="L49" s="80">
        <f t="shared" ca="1" si="20"/>
        <v>0</v>
      </c>
      <c r="M49" s="80">
        <f t="shared" ca="1" si="21"/>
        <v>0</v>
      </c>
      <c r="N49" s="80">
        <f t="shared" ca="1" si="22"/>
        <v>0</v>
      </c>
      <c r="O49" s="81">
        <f t="shared" ca="1" si="2"/>
        <v>-15249.357938098612</v>
      </c>
      <c r="P49" s="79">
        <f t="shared" ca="1" si="3"/>
        <v>1628950.5954994424</v>
      </c>
      <c r="Q49" s="35"/>
      <c r="R49">
        <f t="shared" ca="1" si="23"/>
        <v>46</v>
      </c>
      <c r="S49" s="78">
        <f t="shared" ca="1" si="24"/>
        <v>65.599999999999994</v>
      </c>
      <c r="T49" s="55">
        <f t="shared" ca="1" si="25"/>
        <v>2.4857885984658212E-3</v>
      </c>
      <c r="U49" s="78">
        <f t="shared" ca="1" si="26"/>
        <v>0.91226093124560903</v>
      </c>
      <c r="V49" s="79">
        <f t="shared" ca="1" si="27"/>
        <v>1633078.1667754096</v>
      </c>
      <c r="W49" s="79">
        <f t="shared" ca="1" si="5"/>
        <v>11140.031880756285</v>
      </c>
      <c r="X49" s="80">
        <f t="shared" ca="1" si="6"/>
        <v>-18.24521862491218</v>
      </c>
      <c r="Y49" s="80">
        <f t="shared" ca="1" si="28"/>
        <v>0</v>
      </c>
      <c r="Z49" s="80">
        <f t="shared" ca="1" si="7"/>
        <v>0</v>
      </c>
      <c r="AA49" s="80">
        <f t="shared" ca="1" si="29"/>
        <v>0</v>
      </c>
      <c r="AB49" s="81">
        <f t="shared" ca="1" si="8"/>
        <v>-15249.357938098612</v>
      </c>
      <c r="AC49" s="79">
        <f t="shared" ca="1" si="9"/>
        <v>1628950.5954994424</v>
      </c>
      <c r="AD49" s="35"/>
      <c r="AE49" s="62">
        <f t="shared" ca="1" si="10"/>
        <v>-16716.004616439077</v>
      </c>
      <c r="AF49" s="62">
        <f t="shared" ca="1" si="11"/>
        <v>1785619.157531233</v>
      </c>
      <c r="AG49" s="35"/>
      <c r="AH49" s="35"/>
      <c r="AI49" s="35"/>
      <c r="AJ49" s="65">
        <v>63</v>
      </c>
      <c r="AK49" s="66">
        <f>'SA85-90'!F55*(1+$AH$22)</f>
        <v>2.2297000000000001E-2</v>
      </c>
      <c r="AL49" s="66">
        <f>'SA85-90 (light)'!F55*(1+$AH$22)</f>
        <v>2.2033000000000001E-2</v>
      </c>
      <c r="AM49" s="66">
        <f t="shared" si="36"/>
        <v>107</v>
      </c>
      <c r="AN49" s="66">
        <f t="shared" si="37"/>
        <v>0</v>
      </c>
      <c r="AO49" s="67">
        <f t="shared" si="38"/>
        <v>2.3591494769026569E-5</v>
      </c>
      <c r="AP49" s="68">
        <f t="shared" ca="1" si="47"/>
        <v>6.0036759158043734E-7</v>
      </c>
      <c r="AR49" s="69">
        <f t="shared" si="31"/>
        <v>4</v>
      </c>
      <c r="AS49" s="70">
        <f t="shared" si="39"/>
        <v>46</v>
      </c>
      <c r="AT49" s="71">
        <f t="shared" si="40"/>
        <v>0.72988824852216228</v>
      </c>
      <c r="AU49" s="72">
        <f t="shared" si="12"/>
        <v>6.8214933659622723E-3</v>
      </c>
      <c r="AV49" s="73">
        <f t="shared" si="32"/>
        <v>1.0068214933659623</v>
      </c>
      <c r="AW49" s="74">
        <f>PRODUCT(AV$4:AV49)</f>
        <v>1.3671431675682733</v>
      </c>
      <c r="AY49" s="75">
        <f t="shared" si="41"/>
        <v>46</v>
      </c>
      <c r="AZ49" s="76">
        <f t="shared" ca="1" si="49"/>
        <v>1.0068214933659623</v>
      </c>
      <c r="BA49" s="76">
        <f t="shared" ca="1" si="49"/>
        <v>1.0068214933659623</v>
      </c>
      <c r="BB49" s="76">
        <f t="shared" ca="1" si="49"/>
        <v>1.0068214933659623</v>
      </c>
      <c r="BC49" s="76">
        <f t="shared" ca="1" si="49"/>
        <v>1.0068214933659623</v>
      </c>
      <c r="BD49" s="76">
        <f t="shared" ca="1" si="49"/>
        <v>1.0068214933659623</v>
      </c>
      <c r="BE49" s="76">
        <f t="shared" ca="1" si="49"/>
        <v>1.0068214933659623</v>
      </c>
      <c r="BF49" s="76">
        <f t="shared" ca="1" si="49"/>
        <v>1.0068214933659623</v>
      </c>
      <c r="BG49" s="76">
        <f t="shared" ca="1" si="49"/>
        <v>1.0068214933659623</v>
      </c>
      <c r="BH49" s="76">
        <f t="shared" ca="1" si="49"/>
        <v>1.0068214933659623</v>
      </c>
      <c r="BI49" s="76">
        <f t="shared" ca="1" si="49"/>
        <v>1.0068214933659623</v>
      </c>
      <c r="BJ49" s="76">
        <f t="shared" ca="1" si="49"/>
        <v>1.0068214933659623</v>
      </c>
      <c r="BK49" s="76">
        <f t="shared" ca="1" si="49"/>
        <v>1.0068214933659623</v>
      </c>
      <c r="BL49" s="76">
        <f t="shared" ca="1" si="46"/>
        <v>8.5000000000000853E-2</v>
      </c>
      <c r="BM49" s="77">
        <f t="shared" ca="1" si="48"/>
        <v>42.63516582734195</v>
      </c>
    </row>
    <row r="50" spans="5:65">
      <c r="E50">
        <f t="shared" si="35"/>
        <v>47</v>
      </c>
      <c r="F50" s="64">
        <f t="shared" si="15"/>
        <v>65.680000000000007</v>
      </c>
      <c r="G50" s="55">
        <f t="shared" si="16"/>
        <v>2.4857885984658212E-3</v>
      </c>
      <c r="H50" s="78">
        <f t="shared" si="42"/>
        <v>0.90999324342389287</v>
      </c>
      <c r="I50" s="79">
        <f t="shared" ca="1" si="17"/>
        <v>1624901.3686816858</v>
      </c>
      <c r="J50" s="79">
        <f t="shared" ca="1" si="18"/>
        <v>11084.253906805136</v>
      </c>
      <c r="K50" s="80">
        <f t="shared" ca="1" si="19"/>
        <v>-18.199864868477857</v>
      </c>
      <c r="L50" s="80">
        <f t="shared" ca="1" si="20"/>
        <v>0</v>
      </c>
      <c r="M50" s="80">
        <f t="shared" ca="1" si="21"/>
        <v>0</v>
      </c>
      <c r="N50" s="80">
        <f t="shared" ca="1" si="22"/>
        <v>0</v>
      </c>
      <c r="O50" s="81">
        <f t="shared" ca="1" si="2"/>
        <v>-15211.451258002162</v>
      </c>
      <c r="P50" s="79">
        <f t="shared" ca="1" si="3"/>
        <v>1620755.9714656202</v>
      </c>
      <c r="Q50" s="35"/>
      <c r="R50">
        <f t="shared" ca="1" si="23"/>
        <v>47</v>
      </c>
      <c r="S50" s="78">
        <f t="shared" ca="1" si="24"/>
        <v>65.680000000000007</v>
      </c>
      <c r="T50" s="55">
        <f t="shared" ca="1" si="25"/>
        <v>2.4857885984658212E-3</v>
      </c>
      <c r="U50" s="78">
        <f t="shared" ca="1" si="26"/>
        <v>0.90999324342389287</v>
      </c>
      <c r="V50" s="79">
        <f t="shared" ca="1" si="27"/>
        <v>1624901.3686816858</v>
      </c>
      <c r="W50" s="79">
        <f t="shared" ca="1" si="5"/>
        <v>11084.253906805136</v>
      </c>
      <c r="X50" s="80">
        <f t="shared" ca="1" si="6"/>
        <v>-18.199864868477857</v>
      </c>
      <c r="Y50" s="80">
        <f t="shared" ca="1" si="28"/>
        <v>0</v>
      </c>
      <c r="Z50" s="80">
        <f t="shared" ca="1" si="7"/>
        <v>0</v>
      </c>
      <c r="AA50" s="80">
        <f t="shared" ca="1" si="29"/>
        <v>0</v>
      </c>
      <c r="AB50" s="81">
        <f t="shared" ca="1" si="8"/>
        <v>-15211.451258002162</v>
      </c>
      <c r="AC50" s="79">
        <f t="shared" ca="1" si="9"/>
        <v>1620755.9714656202</v>
      </c>
      <c r="AD50" s="35"/>
      <c r="AE50" s="62">
        <f t="shared" ca="1" si="10"/>
        <v>-16716.004616439077</v>
      </c>
      <c r="AF50" s="62">
        <f t="shared" ca="1" si="11"/>
        <v>1781063.7421520283</v>
      </c>
      <c r="AG50" s="35"/>
      <c r="AH50" s="35"/>
      <c r="AI50" s="35"/>
      <c r="AJ50" s="65">
        <v>64</v>
      </c>
      <c r="AK50" s="66">
        <f>'SA85-90'!F56*(1+$AH$22)</f>
        <v>2.4464E-2</v>
      </c>
      <c r="AL50" s="66">
        <f>'SA85-90 (light)'!F56*(1+$AH$22)</f>
        <v>2.4233000000000005E-2</v>
      </c>
      <c r="AM50" s="66">
        <f t="shared" si="36"/>
        <v>108</v>
      </c>
      <c r="AN50" s="66">
        <f t="shared" si="37"/>
        <v>0</v>
      </c>
      <c r="AO50" s="67">
        <f t="shared" si="38"/>
        <v>2.3591494769026569E-5</v>
      </c>
      <c r="AP50" s="68">
        <f t="shared" ca="1" si="47"/>
        <v>5.53334185788421E-7</v>
      </c>
      <c r="AR50" s="69">
        <f t="shared" si="31"/>
        <v>4</v>
      </c>
      <c r="AS50" s="70">
        <f t="shared" si="39"/>
        <v>47</v>
      </c>
      <c r="AT50" s="71">
        <f t="shared" si="40"/>
        <v>0.72490932067697456</v>
      </c>
      <c r="AU50" s="72">
        <f t="shared" si="12"/>
        <v>6.8214933659622723E-3</v>
      </c>
      <c r="AV50" s="73">
        <f t="shared" si="32"/>
        <v>1.0068214933659623</v>
      </c>
      <c r="AW50" s="74">
        <f>PRODUCT(AV$4:AV50)</f>
        <v>1.376469125616161</v>
      </c>
      <c r="AY50" s="75">
        <f t="shared" si="41"/>
        <v>47</v>
      </c>
      <c r="AZ50" s="76">
        <f t="shared" ca="1" si="49"/>
        <v>1.0068214933659623</v>
      </c>
      <c r="BA50" s="76">
        <f t="shared" ca="1" si="49"/>
        <v>1.0068214933659623</v>
      </c>
      <c r="BB50" s="76">
        <f t="shared" ca="1" si="49"/>
        <v>1.0068214933659623</v>
      </c>
      <c r="BC50" s="76">
        <f t="shared" ca="1" si="49"/>
        <v>1.0068214933659623</v>
      </c>
      <c r="BD50" s="76">
        <f t="shared" ca="1" si="49"/>
        <v>1.0068214933659623</v>
      </c>
      <c r="BE50" s="76">
        <f t="shared" ca="1" si="49"/>
        <v>1.0068214933659623</v>
      </c>
      <c r="BF50" s="76">
        <f t="shared" ca="1" si="49"/>
        <v>1.0068214933659623</v>
      </c>
      <c r="BG50" s="76">
        <f t="shared" ca="1" si="49"/>
        <v>1.0068214933659623</v>
      </c>
      <c r="BH50" s="76">
        <f t="shared" ca="1" si="49"/>
        <v>1.0068214933659623</v>
      </c>
      <c r="BI50" s="76">
        <f t="shared" ca="1" si="49"/>
        <v>1.0068214933659623</v>
      </c>
      <c r="BJ50" s="76">
        <f t="shared" ca="1" si="49"/>
        <v>1.0068214933659623</v>
      </c>
      <c r="BK50" s="76">
        <f t="shared" ca="1" si="49"/>
        <v>1.0068214933659623</v>
      </c>
      <c r="BL50" s="76">
        <f t="shared" ca="1" si="46"/>
        <v>8.5000000000000853E-2</v>
      </c>
      <c r="BM50" s="77">
        <f t="shared" ca="1" si="48"/>
        <v>46.259154922666049</v>
      </c>
    </row>
    <row r="51" spans="5:65">
      <c r="E51">
        <f t="shared" si="35"/>
        <v>48</v>
      </c>
      <c r="F51" s="64">
        <f t="shared" si="15"/>
        <v>65.760000000000005</v>
      </c>
      <c r="G51" s="55">
        <f t="shared" si="16"/>
        <v>2.4857885984658212E-3</v>
      </c>
      <c r="H51" s="78">
        <f t="shared" si="42"/>
        <v>0.9077311925947088</v>
      </c>
      <c r="I51" s="79">
        <f t="shared" ca="1" si="17"/>
        <v>1616727.1147508556</v>
      </c>
      <c r="J51" s="79">
        <f t="shared" ca="1" si="18"/>
        <v>11028.493287844287</v>
      </c>
      <c r="K51" s="80">
        <f t="shared" ca="1" si="19"/>
        <v>-18.154623851894176</v>
      </c>
      <c r="L51" s="80">
        <f t="shared" ca="1" si="20"/>
        <v>0</v>
      </c>
      <c r="M51" s="80">
        <f t="shared" ca="1" si="21"/>
        <v>0</v>
      </c>
      <c r="N51" s="80">
        <f t="shared" ca="1" si="22"/>
        <v>0</v>
      </c>
      <c r="O51" s="81">
        <f t="shared" ca="1" si="2"/>
        <v>-15173.638805898903</v>
      </c>
      <c r="P51" s="79">
        <f t="shared" ca="1" si="3"/>
        <v>1612563.8146089492</v>
      </c>
      <c r="Q51" s="35"/>
      <c r="R51">
        <f t="shared" ca="1" si="23"/>
        <v>48</v>
      </c>
      <c r="S51" s="78">
        <f t="shared" ca="1" si="24"/>
        <v>65.760000000000005</v>
      </c>
      <c r="T51" s="55">
        <f t="shared" ca="1" si="25"/>
        <v>2.4857885984658212E-3</v>
      </c>
      <c r="U51" s="78">
        <f t="shared" ca="1" si="26"/>
        <v>0.9077311925947088</v>
      </c>
      <c r="V51" s="79">
        <f t="shared" ca="1" si="27"/>
        <v>1616727.1147508556</v>
      </c>
      <c r="W51" s="79">
        <f t="shared" ca="1" si="5"/>
        <v>11028.493287844287</v>
      </c>
      <c r="X51" s="80">
        <f t="shared" ca="1" si="6"/>
        <v>-18.154623851894176</v>
      </c>
      <c r="Y51" s="80">
        <f t="shared" ca="1" si="28"/>
        <v>0</v>
      </c>
      <c r="Z51" s="80">
        <f t="shared" ca="1" si="7"/>
        <v>0</v>
      </c>
      <c r="AA51" s="80">
        <f t="shared" ca="1" si="29"/>
        <v>0</v>
      </c>
      <c r="AB51" s="81">
        <f t="shared" ca="1" si="8"/>
        <v>-15173.638805898903</v>
      </c>
      <c r="AC51" s="79">
        <f t="shared" ca="1" si="9"/>
        <v>1612563.8146089492</v>
      </c>
      <c r="AD51" s="35"/>
      <c r="AE51" s="62">
        <f t="shared" ca="1" si="10"/>
        <v>-16716.004616439081</v>
      </c>
      <c r="AF51" s="62">
        <f t="shared" ca="1" si="11"/>
        <v>1776477.2520370353</v>
      </c>
      <c r="AG51" s="35"/>
      <c r="AH51" s="35"/>
      <c r="AI51" s="35"/>
      <c r="AJ51" s="65">
        <v>65</v>
      </c>
      <c r="AK51" s="66">
        <f>'SA85-90'!F57*(1+$AH$22)</f>
        <v>2.6840000000000003E-2</v>
      </c>
      <c r="AL51" s="66">
        <f>'SA85-90 (light)'!F57*(1+$AH$22)</f>
        <v>2.6631000000000002E-2</v>
      </c>
      <c r="AM51" s="66">
        <f t="shared" si="36"/>
        <v>109</v>
      </c>
      <c r="AN51" s="66">
        <f t="shared" si="37"/>
        <v>0</v>
      </c>
      <c r="AO51" s="67">
        <f t="shared" si="38"/>
        <v>2.3591494769026569E-5</v>
      </c>
      <c r="AP51" s="68">
        <f t="shared" ca="1" si="47"/>
        <v>5.0998542468978853E-7</v>
      </c>
      <c r="AR51" s="69">
        <f t="shared" si="31"/>
        <v>4</v>
      </c>
      <c r="AS51" s="70">
        <f t="shared" si="39"/>
        <v>48</v>
      </c>
      <c r="AT51" s="71">
        <f t="shared" si="40"/>
        <v>0.71996435655505231</v>
      </c>
      <c r="AU51" s="72">
        <f t="shared" si="12"/>
        <v>6.8214933659622723E-3</v>
      </c>
      <c r="AV51" s="73">
        <f t="shared" si="32"/>
        <v>1.0068214933659623</v>
      </c>
      <c r="AW51" s="74">
        <f>PRODUCT(AV$4:AV51)</f>
        <v>1.3858587006250036</v>
      </c>
      <c r="AY51" s="75">
        <f t="shared" si="41"/>
        <v>48</v>
      </c>
      <c r="AZ51" s="76">
        <f t="shared" ca="1" si="49"/>
        <v>1.0068214933659623</v>
      </c>
      <c r="BA51" s="76">
        <f t="shared" ca="1" si="49"/>
        <v>1.0068214933659623</v>
      </c>
      <c r="BB51" s="76">
        <f t="shared" ca="1" si="49"/>
        <v>1.0068214933659623</v>
      </c>
      <c r="BC51" s="76">
        <f t="shared" ca="1" si="49"/>
        <v>1.0068214933659623</v>
      </c>
      <c r="BD51" s="76">
        <f t="shared" ca="1" si="49"/>
        <v>1.0068214933659623</v>
      </c>
      <c r="BE51" s="76">
        <f t="shared" ca="1" si="49"/>
        <v>1.0068214933659623</v>
      </c>
      <c r="BF51" s="76">
        <f t="shared" ca="1" si="49"/>
        <v>1.0068214933659623</v>
      </c>
      <c r="BG51" s="76">
        <f t="shared" ca="1" si="49"/>
        <v>1.0068214933659623</v>
      </c>
      <c r="BH51" s="76">
        <f t="shared" ca="1" si="49"/>
        <v>1.0068214933659623</v>
      </c>
      <c r="BI51" s="76">
        <f t="shared" ca="1" si="49"/>
        <v>1.0068214933659623</v>
      </c>
      <c r="BJ51" s="76">
        <f t="shared" ca="1" si="49"/>
        <v>1.0068214933659623</v>
      </c>
      <c r="BK51" s="76">
        <f t="shared" ca="1" si="49"/>
        <v>1.0068214933659623</v>
      </c>
      <c r="BL51" s="76">
        <f t="shared" ca="1" si="46"/>
        <v>8.5000000000000853E-2</v>
      </c>
      <c r="BM51" s="77">
        <f t="shared" ca="1" si="48"/>
        <v>50.191183091092704</v>
      </c>
    </row>
    <row r="52" spans="5:65">
      <c r="E52">
        <f t="shared" si="35"/>
        <v>49</v>
      </c>
      <c r="F52" s="64">
        <f t="shared" si="15"/>
        <v>65.84</v>
      </c>
      <c r="G52" s="55">
        <f t="shared" si="16"/>
        <v>2.4857885984658212E-3</v>
      </c>
      <c r="H52" s="78">
        <f t="shared" si="42"/>
        <v>0.90547476474568511</v>
      </c>
      <c r="I52" s="79">
        <f t="shared" ca="1" si="17"/>
        <v>1608555.3218642958</v>
      </c>
      <c r="J52" s="79">
        <f t="shared" ca="1" si="18"/>
        <v>10972.749456880601</v>
      </c>
      <c r="K52" s="80">
        <f t="shared" ca="1" si="19"/>
        <v>-18.109495294913703</v>
      </c>
      <c r="L52" s="80">
        <f t="shared" ca="1" si="20"/>
        <v>0</v>
      </c>
      <c r="M52" s="80">
        <f t="shared" ca="1" si="21"/>
        <v>0</v>
      </c>
      <c r="N52" s="80">
        <f t="shared" ca="1" si="22"/>
        <v>0</v>
      </c>
      <c r="O52" s="81">
        <f t="shared" ca="1" si="2"/>
        <v>-15135.920347557962</v>
      </c>
      <c r="P52" s="79">
        <f t="shared" ca="1" si="3"/>
        <v>1604374.0414783235</v>
      </c>
      <c r="Q52" s="35"/>
      <c r="R52">
        <f t="shared" ca="1" si="23"/>
        <v>49</v>
      </c>
      <c r="S52" s="78">
        <f t="shared" ca="1" si="24"/>
        <v>65.84</v>
      </c>
      <c r="T52" s="55">
        <f t="shared" ca="1" si="25"/>
        <v>2.4857885984658212E-3</v>
      </c>
      <c r="U52" s="78">
        <f t="shared" ca="1" si="26"/>
        <v>0.90547476474568511</v>
      </c>
      <c r="V52" s="79">
        <f t="shared" ca="1" si="27"/>
        <v>1608555.3218642958</v>
      </c>
      <c r="W52" s="79">
        <f t="shared" ca="1" si="5"/>
        <v>10972.749456880601</v>
      </c>
      <c r="X52" s="80">
        <f t="shared" ca="1" si="6"/>
        <v>-18.109495294913703</v>
      </c>
      <c r="Y52" s="80">
        <f t="shared" ca="1" si="28"/>
        <v>0</v>
      </c>
      <c r="Z52" s="80">
        <f t="shared" ca="1" si="7"/>
        <v>0</v>
      </c>
      <c r="AA52" s="80">
        <f t="shared" ca="1" si="29"/>
        <v>0</v>
      </c>
      <c r="AB52" s="81">
        <f t="shared" ca="1" si="8"/>
        <v>-15135.920347557962</v>
      </c>
      <c r="AC52" s="79">
        <f t="shared" ca="1" si="9"/>
        <v>1604374.0414783235</v>
      </c>
      <c r="AD52" s="35"/>
      <c r="AE52" s="62">
        <f t="shared" ca="1" si="10"/>
        <v>-16716.004616439081</v>
      </c>
      <c r="AF52" s="62">
        <f t="shared" ca="1" si="11"/>
        <v>1771859.4752101498</v>
      </c>
      <c r="AG52" s="35"/>
      <c r="AH52" s="35"/>
      <c r="AI52" s="35"/>
      <c r="AJ52" s="65">
        <v>66</v>
      </c>
      <c r="AK52" s="66">
        <f>'SA85-90'!F58*(1+$AH$22)</f>
        <v>2.9425000000000003E-2</v>
      </c>
      <c r="AL52" s="66">
        <f>'SA85-90 (light)'!F58*(1+$AH$22)</f>
        <v>2.9260000000000001E-2</v>
      </c>
      <c r="AM52" s="66">
        <f t="shared" si="36"/>
        <v>110</v>
      </c>
      <c r="AN52" s="66">
        <f t="shared" si="37"/>
        <v>0</v>
      </c>
      <c r="AO52" s="67">
        <f t="shared" si="38"/>
        <v>2.3591494769026569E-5</v>
      </c>
      <c r="AP52" s="68">
        <f t="shared" ca="1" si="47"/>
        <v>4.7003264948367573E-7</v>
      </c>
      <c r="AR52" s="69">
        <f t="shared" si="31"/>
        <v>5</v>
      </c>
      <c r="AS52" s="70">
        <f t="shared" si="39"/>
        <v>49</v>
      </c>
      <c r="AT52" s="71">
        <f t="shared" si="40"/>
        <v>0.71505312447308278</v>
      </c>
      <c r="AU52" s="72">
        <f t="shared" si="12"/>
        <v>6.8214933659622723E-3</v>
      </c>
      <c r="AV52" s="73">
        <f t="shared" si="32"/>
        <v>1.0068214933659623</v>
      </c>
      <c r="AW52" s="74">
        <f>PRODUCT(AV$4:AV52)</f>
        <v>1.3953123265574781</v>
      </c>
      <c r="AY52" s="75">
        <f t="shared" si="41"/>
        <v>49</v>
      </c>
      <c r="AZ52" s="76">
        <f t="shared" ca="1" si="49"/>
        <v>1.0068214933659623</v>
      </c>
      <c r="BA52" s="76">
        <f t="shared" ca="1" si="49"/>
        <v>1.0068214933659623</v>
      </c>
      <c r="BB52" s="76">
        <f t="shared" ca="1" si="49"/>
        <v>1.0068214933659623</v>
      </c>
      <c r="BC52" s="76">
        <f t="shared" ca="1" si="49"/>
        <v>1.0068214933659623</v>
      </c>
      <c r="BD52" s="76">
        <f t="shared" ca="1" si="49"/>
        <v>1.0068214933659623</v>
      </c>
      <c r="BE52" s="76">
        <f t="shared" ca="1" si="49"/>
        <v>1.0068214933659623</v>
      </c>
      <c r="BF52" s="76">
        <f t="shared" ca="1" si="49"/>
        <v>1.0068214933659623</v>
      </c>
      <c r="BG52" s="76">
        <f t="shared" ca="1" si="49"/>
        <v>1.0068214933659623</v>
      </c>
      <c r="BH52" s="76">
        <f t="shared" ca="1" si="49"/>
        <v>1.0068214933659623</v>
      </c>
      <c r="BI52" s="76">
        <f t="shared" ca="1" si="49"/>
        <v>1.0068214933659623</v>
      </c>
      <c r="BJ52" s="76">
        <f t="shared" ca="1" si="49"/>
        <v>1.0068214933659623</v>
      </c>
      <c r="BK52" s="76">
        <f t="shared" ca="1" si="49"/>
        <v>1.0068214933659623</v>
      </c>
      <c r="BL52" s="76">
        <f t="shared" ca="1" si="46"/>
        <v>8.5000000000000853E-2</v>
      </c>
      <c r="BM52" s="77">
        <f t="shared" ca="1" si="48"/>
        <v>54.457433653835629</v>
      </c>
    </row>
    <row r="53" spans="5:65">
      <c r="E53">
        <f t="shared" si="35"/>
        <v>50</v>
      </c>
      <c r="F53" s="64">
        <f t="shared" si="15"/>
        <v>65.92</v>
      </c>
      <c r="G53" s="55">
        <f t="shared" si="16"/>
        <v>2.4857885984658212E-3</v>
      </c>
      <c r="H53" s="78">
        <f t="shared" si="42"/>
        <v>0.90322394589928179</v>
      </c>
      <c r="I53" s="79">
        <f t="shared" ca="1" si="17"/>
        <v>1600385.9067783421</v>
      </c>
      <c r="J53" s="79">
        <f t="shared" ca="1" si="18"/>
        <v>10917.021846067975</v>
      </c>
      <c r="K53" s="80">
        <f t="shared" ca="1" si="19"/>
        <v>-18.064478917985635</v>
      </c>
      <c r="L53" s="80">
        <f t="shared" ca="1" si="20"/>
        <v>0</v>
      </c>
      <c r="M53" s="80">
        <f t="shared" ca="1" si="21"/>
        <v>0</v>
      </c>
      <c r="N53" s="80">
        <f t="shared" ca="1" si="22"/>
        <v>0</v>
      </c>
      <c r="O53" s="81">
        <f t="shared" ca="1" si="2"/>
        <v>-15098.295649330714</v>
      </c>
      <c r="P53" s="79">
        <f t="shared" ca="1" si="3"/>
        <v>1596186.5684961616</v>
      </c>
      <c r="Q53" s="35"/>
      <c r="R53">
        <f t="shared" ca="1" si="23"/>
        <v>50</v>
      </c>
      <c r="S53" s="78">
        <f t="shared" ca="1" si="24"/>
        <v>65.92</v>
      </c>
      <c r="T53" s="55">
        <f t="shared" ca="1" si="25"/>
        <v>2.4857885984658212E-3</v>
      </c>
      <c r="U53" s="78">
        <f t="shared" ca="1" si="26"/>
        <v>0.90322394589928179</v>
      </c>
      <c r="V53" s="79">
        <f t="shared" ca="1" si="27"/>
        <v>1600385.9067783421</v>
      </c>
      <c r="W53" s="79">
        <f t="shared" ca="1" si="5"/>
        <v>10917.021846067975</v>
      </c>
      <c r="X53" s="80">
        <f t="shared" ca="1" si="6"/>
        <v>-18.064478917985635</v>
      </c>
      <c r="Y53" s="80">
        <f t="shared" ca="1" si="28"/>
        <v>0</v>
      </c>
      <c r="Z53" s="80">
        <f t="shared" ca="1" si="7"/>
        <v>0</v>
      </c>
      <c r="AA53" s="80">
        <f t="shared" ca="1" si="29"/>
        <v>0</v>
      </c>
      <c r="AB53" s="81">
        <f t="shared" ca="1" si="8"/>
        <v>-15098.295649330714</v>
      </c>
      <c r="AC53" s="79">
        <f t="shared" ca="1" si="9"/>
        <v>1596186.5684961616</v>
      </c>
      <c r="AD53" s="35"/>
      <c r="AE53" s="62">
        <f t="shared" ca="1" si="10"/>
        <v>-16716.004616439077</v>
      </c>
      <c r="AF53" s="62">
        <f t="shared" ca="1" si="11"/>
        <v>1767210.1982492744</v>
      </c>
      <c r="AG53" s="35"/>
      <c r="AH53" s="35"/>
      <c r="AI53" s="35"/>
      <c r="AJ53" s="65">
        <v>67</v>
      </c>
      <c r="AK53" s="66">
        <f>'SA85-90'!F59*(1+$AH$22)</f>
        <v>3.2252000000000003E-2</v>
      </c>
      <c r="AL53" s="66">
        <f>'SA85-90 (light)'!F59*(1+$AH$22)</f>
        <v>3.2109000000000006E-2</v>
      </c>
      <c r="AM53" s="66">
        <f t="shared" si="36"/>
        <v>111</v>
      </c>
      <c r="AN53" s="66">
        <f t="shared" si="37"/>
        <v>0</v>
      </c>
      <c r="AO53" s="67">
        <f t="shared" si="38"/>
        <v>2.3591494769026569E-5</v>
      </c>
      <c r="AP53" s="68">
        <f t="shared" ca="1" si="47"/>
        <v>4.3320981519232748E-7</v>
      </c>
      <c r="AR53" s="69">
        <f t="shared" si="31"/>
        <v>5</v>
      </c>
      <c r="AS53" s="70">
        <f t="shared" si="39"/>
        <v>50</v>
      </c>
      <c r="AT53" s="71">
        <f t="shared" si="40"/>
        <v>0.710175394328179</v>
      </c>
      <c r="AU53" s="72">
        <f t="shared" si="12"/>
        <v>6.8214933659622723E-3</v>
      </c>
      <c r="AV53" s="73">
        <f t="shared" si="32"/>
        <v>1.0068214933659623</v>
      </c>
      <c r="AW53" s="74">
        <f>PRODUCT(AV$4:AV53)</f>
        <v>1.4048304403365353</v>
      </c>
      <c r="AY53" s="75">
        <f t="shared" si="41"/>
        <v>50</v>
      </c>
      <c r="AZ53" s="76">
        <f t="shared" ca="1" si="49"/>
        <v>1.0068214933659623</v>
      </c>
      <c r="BA53" s="76">
        <f t="shared" ca="1" si="49"/>
        <v>1.0068214933659623</v>
      </c>
      <c r="BB53" s="76">
        <f t="shared" ca="1" si="49"/>
        <v>1.0068214933659623</v>
      </c>
      <c r="BC53" s="76">
        <f t="shared" ca="1" si="49"/>
        <v>1.0068214933659623</v>
      </c>
      <c r="BD53" s="76">
        <f t="shared" ca="1" si="49"/>
        <v>1.0068214933659623</v>
      </c>
      <c r="BE53" s="76">
        <f t="shared" ca="1" si="49"/>
        <v>1.0068214933659623</v>
      </c>
      <c r="BF53" s="76">
        <f t="shared" ca="1" si="49"/>
        <v>1.0068214933659623</v>
      </c>
      <c r="BG53" s="76">
        <f t="shared" ca="1" si="49"/>
        <v>1.0068214933659623</v>
      </c>
      <c r="BH53" s="76">
        <f t="shared" ca="1" si="49"/>
        <v>1.0068214933659623</v>
      </c>
      <c r="BI53" s="76">
        <f t="shared" ca="1" si="49"/>
        <v>1.0068214933659623</v>
      </c>
      <c r="BJ53" s="76">
        <f t="shared" ca="1" si="49"/>
        <v>1.0068214933659623</v>
      </c>
      <c r="BK53" s="76">
        <f t="shared" ca="1" si="49"/>
        <v>1.0068214933659623</v>
      </c>
      <c r="BL53" s="76">
        <f t="shared" ca="1" si="46"/>
        <v>8.5000000000000853E-2</v>
      </c>
      <c r="BM53" s="77">
        <f t="shared" ca="1" si="48"/>
        <v>59.086315514411702</v>
      </c>
    </row>
    <row r="54" spans="5:65">
      <c r="E54">
        <f t="shared" si="35"/>
        <v>51</v>
      </c>
      <c r="F54" s="64">
        <f t="shared" si="15"/>
        <v>66</v>
      </c>
      <c r="G54" s="55">
        <f t="shared" si="16"/>
        <v>2.4857885984658212E-3</v>
      </c>
      <c r="H54" s="78">
        <f t="shared" si="42"/>
        <v>0.90097872211270402</v>
      </c>
      <c r="I54" s="79">
        <f t="shared" ca="1" si="17"/>
        <v>1592218.7861231696</v>
      </c>
      <c r="J54" s="79">
        <f t="shared" ca="1" si="18"/>
        <v>10861.309886699704</v>
      </c>
      <c r="K54" s="80">
        <f t="shared" ca="1" si="19"/>
        <v>-18.019574442254079</v>
      </c>
      <c r="L54" s="80">
        <f t="shared" ca="1" si="20"/>
        <v>0</v>
      </c>
      <c r="M54" s="80">
        <f t="shared" ca="1" si="21"/>
        <v>0</v>
      </c>
      <c r="N54" s="80">
        <f t="shared" ca="1" si="22"/>
        <v>0</v>
      </c>
      <c r="O54" s="81">
        <f t="shared" ca="1" si="2"/>
        <v>-15060.764478149342</v>
      </c>
      <c r="P54" s="79">
        <f t="shared" ca="1" si="3"/>
        <v>1588001.3119572778</v>
      </c>
      <c r="Q54" s="35"/>
      <c r="R54">
        <f t="shared" ca="1" si="23"/>
        <v>51</v>
      </c>
      <c r="S54" s="78">
        <f t="shared" ca="1" si="24"/>
        <v>66</v>
      </c>
      <c r="T54" s="55">
        <f t="shared" ca="1" si="25"/>
        <v>2.4857885984658212E-3</v>
      </c>
      <c r="U54" s="78">
        <f t="shared" ca="1" si="26"/>
        <v>0.90097872211270402</v>
      </c>
      <c r="V54" s="79">
        <f t="shared" ca="1" si="27"/>
        <v>1592218.7861231696</v>
      </c>
      <c r="W54" s="79">
        <f t="shared" ca="1" si="5"/>
        <v>10861.309886699704</v>
      </c>
      <c r="X54" s="80">
        <f t="shared" ca="1" si="6"/>
        <v>-18.019574442254079</v>
      </c>
      <c r="Y54" s="80">
        <f t="shared" ca="1" si="28"/>
        <v>0</v>
      </c>
      <c r="Z54" s="80">
        <f t="shared" ca="1" si="7"/>
        <v>0</v>
      </c>
      <c r="AA54" s="80">
        <f t="shared" ca="1" si="29"/>
        <v>0</v>
      </c>
      <c r="AB54" s="81">
        <f t="shared" ca="1" si="8"/>
        <v>-15060.764478149342</v>
      </c>
      <c r="AC54" s="79">
        <f t="shared" ca="1" si="9"/>
        <v>1588001.3119572778</v>
      </c>
      <c r="AD54" s="35"/>
      <c r="AE54" s="62">
        <f t="shared" ca="1" si="10"/>
        <v>-16716.004616439077</v>
      </c>
      <c r="AF54" s="62">
        <f t="shared" ca="1" si="11"/>
        <v>1762529.2062764538</v>
      </c>
      <c r="AG54" s="35"/>
      <c r="AH54" s="35"/>
      <c r="AI54" s="35"/>
      <c r="AJ54" s="65">
        <v>68</v>
      </c>
      <c r="AK54" s="66">
        <f>'SA85-90'!F60*(1+$AH$22)</f>
        <v>3.5321000000000005E-2</v>
      </c>
      <c r="AL54" s="66">
        <f>'SA85-90 (light)'!F60*(1+$AH$22)</f>
        <v>3.5210999999999999E-2</v>
      </c>
      <c r="AM54" s="66">
        <f t="shared" si="36"/>
        <v>112</v>
      </c>
      <c r="AN54" s="66">
        <f t="shared" si="37"/>
        <v>0</v>
      </c>
      <c r="AO54" s="67">
        <f t="shared" si="38"/>
        <v>2.3591494769026569E-5</v>
      </c>
      <c r="AP54" s="68">
        <f t="shared" ca="1" si="47"/>
        <v>3.9927171907126929E-7</v>
      </c>
      <c r="AR54" s="69">
        <f t="shared" si="31"/>
        <v>5</v>
      </c>
      <c r="AS54" s="70">
        <f t="shared" si="39"/>
        <v>51</v>
      </c>
      <c r="AT54" s="71">
        <f t="shared" si="40"/>
        <v>0.70533093758709964</v>
      </c>
      <c r="AU54" s="72">
        <f t="shared" si="12"/>
        <v>6.8214933659622723E-3</v>
      </c>
      <c r="AV54" s="73">
        <f t="shared" si="32"/>
        <v>1.0068214933659623</v>
      </c>
      <c r="AW54" s="74">
        <f>PRODUCT(AV$4:AV54)</f>
        <v>1.4144134818655927</v>
      </c>
      <c r="AY54" s="75">
        <f t="shared" si="41"/>
        <v>51</v>
      </c>
      <c r="AZ54" s="76">
        <f t="shared" ca="1" si="49"/>
        <v>1.0068214933659623</v>
      </c>
      <c r="BA54" s="76">
        <f t="shared" ca="1" si="49"/>
        <v>1.0068214933659623</v>
      </c>
      <c r="BB54" s="76">
        <f t="shared" ca="1" si="49"/>
        <v>1.0068214933659623</v>
      </c>
      <c r="BC54" s="76">
        <f t="shared" ca="1" si="49"/>
        <v>1.0068214933659623</v>
      </c>
      <c r="BD54" s="76">
        <f t="shared" ca="1" si="49"/>
        <v>1.0068214933659623</v>
      </c>
      <c r="BE54" s="76">
        <f t="shared" ca="1" si="49"/>
        <v>1.0068214933659623</v>
      </c>
      <c r="BF54" s="76">
        <f t="shared" ca="1" si="49"/>
        <v>1.0068214933659623</v>
      </c>
      <c r="BG54" s="76">
        <f t="shared" ca="1" si="49"/>
        <v>1.0068214933659623</v>
      </c>
      <c r="BH54" s="76">
        <f t="shared" ca="1" si="49"/>
        <v>1.0068214933659623</v>
      </c>
      <c r="BI54" s="76">
        <f t="shared" ca="1" si="49"/>
        <v>1.0068214933659623</v>
      </c>
      <c r="BJ54" s="76">
        <f t="shared" ca="1" si="49"/>
        <v>1.0068214933659623</v>
      </c>
      <c r="BK54" s="76">
        <f t="shared" ca="1" si="49"/>
        <v>1.0068214933659623</v>
      </c>
      <c r="BL54" s="76">
        <f t="shared" ca="1" si="46"/>
        <v>8.5000000000000853E-2</v>
      </c>
      <c r="BM54" s="77">
        <f t="shared" ca="1" si="48"/>
        <v>64.108652333136746</v>
      </c>
    </row>
    <row r="55" spans="5:65">
      <c r="E55">
        <f t="shared" si="35"/>
        <v>52</v>
      </c>
      <c r="F55" s="64">
        <f t="shared" si="15"/>
        <v>66.08</v>
      </c>
      <c r="G55" s="55">
        <f t="shared" si="16"/>
        <v>2.4857885984658212E-3</v>
      </c>
      <c r="H55" s="78">
        <f t="shared" si="42"/>
        <v>0.89873907947781595</v>
      </c>
      <c r="I55" s="79">
        <f t="shared" ca="1" si="17"/>
        <v>1584053.8764016656</v>
      </c>
      <c r="J55" s="79">
        <f t="shared" ca="1" si="18"/>
        <v>10805.613009200782</v>
      </c>
      <c r="K55" s="80">
        <f t="shared" ca="1" si="19"/>
        <v>-17.974781589556319</v>
      </c>
      <c r="L55" s="80">
        <f t="shared" ca="1" si="20"/>
        <v>0</v>
      </c>
      <c r="M55" s="80">
        <f t="shared" ca="1" si="21"/>
        <v>0</v>
      </c>
      <c r="N55" s="80">
        <f t="shared" ca="1" si="22"/>
        <v>0</v>
      </c>
      <c r="O55" s="81">
        <f t="shared" ca="1" si="2"/>
        <v>-15023.326601525378</v>
      </c>
      <c r="P55" s="79">
        <f t="shared" ca="1" si="3"/>
        <v>1579818.1880277516</v>
      </c>
      <c r="Q55" s="35"/>
      <c r="R55">
        <f t="shared" ca="1" si="23"/>
        <v>52</v>
      </c>
      <c r="S55" s="78">
        <f t="shared" ca="1" si="24"/>
        <v>66.08</v>
      </c>
      <c r="T55" s="55">
        <f t="shared" ca="1" si="25"/>
        <v>2.4857885984658212E-3</v>
      </c>
      <c r="U55" s="78">
        <f t="shared" ca="1" si="26"/>
        <v>0.89873907947781595</v>
      </c>
      <c r="V55" s="79">
        <f t="shared" ca="1" si="27"/>
        <v>1584053.8764016656</v>
      </c>
      <c r="W55" s="79">
        <f t="shared" ca="1" si="5"/>
        <v>10805.613009200782</v>
      </c>
      <c r="X55" s="80">
        <f t="shared" ca="1" si="6"/>
        <v>-17.974781589556319</v>
      </c>
      <c r="Y55" s="80">
        <f t="shared" ca="1" si="28"/>
        <v>0</v>
      </c>
      <c r="Z55" s="80">
        <f t="shared" ca="1" si="7"/>
        <v>0</v>
      </c>
      <c r="AA55" s="80">
        <f t="shared" ca="1" si="29"/>
        <v>0</v>
      </c>
      <c r="AB55" s="81">
        <f t="shared" ca="1" si="8"/>
        <v>-15023.326601525378</v>
      </c>
      <c r="AC55" s="79">
        <f t="shared" ca="1" si="9"/>
        <v>1579818.1880277516</v>
      </c>
      <c r="AD55" s="35"/>
      <c r="AE55" s="62">
        <f t="shared" ca="1" si="10"/>
        <v>-16716.004616439077</v>
      </c>
      <c r="AF55" s="62">
        <f t="shared" ca="1" si="11"/>
        <v>1757816.2829479445</v>
      </c>
      <c r="AG55" s="35"/>
      <c r="AH55" s="35"/>
      <c r="AI55" s="35"/>
      <c r="AJ55" s="65">
        <v>69</v>
      </c>
      <c r="AK55" s="66">
        <f>'SA85-90'!F61*(1+$AH$22)</f>
        <v>3.8643000000000004E-2</v>
      </c>
      <c r="AL55" s="66">
        <f>'SA85-90 (light)'!F61*(1+$AH$22)</f>
        <v>3.8566000000000003E-2</v>
      </c>
      <c r="AM55" s="66">
        <f t="shared" si="36"/>
        <v>113</v>
      </c>
      <c r="AN55" s="66">
        <f t="shared" si="37"/>
        <v>0</v>
      </c>
      <c r="AO55" s="67">
        <f t="shared" si="38"/>
        <v>2.3591494769026569E-5</v>
      </c>
      <c r="AP55" s="68">
        <f t="shared" ca="1" si="47"/>
        <v>3.679923678076212E-7</v>
      </c>
      <c r="AR55" s="69">
        <f t="shared" si="31"/>
        <v>5</v>
      </c>
      <c r="AS55" s="70">
        <f t="shared" si="39"/>
        <v>52</v>
      </c>
      <c r="AT55" s="71">
        <f t="shared" si="40"/>
        <v>0.70051952727554134</v>
      </c>
      <c r="AU55" s="72">
        <f t="shared" si="12"/>
        <v>6.8214933659622723E-3</v>
      </c>
      <c r="AV55" s="73">
        <f t="shared" si="32"/>
        <v>1.0068214933659623</v>
      </c>
      <c r="AW55" s="74">
        <f>PRODUCT(AV$4:AV55)</f>
        <v>1.4240618940488665</v>
      </c>
      <c r="AY55" s="75">
        <f t="shared" si="41"/>
        <v>52</v>
      </c>
      <c r="AZ55" s="76">
        <f t="shared" ref="AZ55:BK64" ca="1" si="50">OFFSET($AV$3,($AY55*12-12)+AZ$3,0)</f>
        <v>1.0068214933659623</v>
      </c>
      <c r="BA55" s="76">
        <f t="shared" ca="1" si="50"/>
        <v>1.0068214933659623</v>
      </c>
      <c r="BB55" s="76">
        <f t="shared" ca="1" si="50"/>
        <v>1.0068214933659623</v>
      </c>
      <c r="BC55" s="76">
        <f t="shared" ca="1" si="50"/>
        <v>1.0068214933659623</v>
      </c>
      <c r="BD55" s="76">
        <f t="shared" ca="1" si="50"/>
        <v>1.0068214933659623</v>
      </c>
      <c r="BE55" s="76">
        <f t="shared" ca="1" si="50"/>
        <v>1.0068214933659623</v>
      </c>
      <c r="BF55" s="76">
        <f t="shared" ca="1" si="50"/>
        <v>1.0068214933659623</v>
      </c>
      <c r="BG55" s="76">
        <f t="shared" ca="1" si="50"/>
        <v>1.0068214933659623</v>
      </c>
      <c r="BH55" s="76">
        <f t="shared" ca="1" si="50"/>
        <v>1.0068214933659623</v>
      </c>
      <c r="BI55" s="76">
        <f t="shared" ca="1" si="50"/>
        <v>1.0068214933659623</v>
      </c>
      <c r="BJ55" s="76">
        <f t="shared" ca="1" si="50"/>
        <v>1.0068214933659623</v>
      </c>
      <c r="BK55" s="76">
        <f t="shared" ca="1" si="50"/>
        <v>1.0068214933659623</v>
      </c>
      <c r="BL55" s="76">
        <f t="shared" ca="1" si="46"/>
        <v>8.5000000000000853E-2</v>
      </c>
      <c r="BM55" s="77">
        <f t="shared" ca="1" si="48"/>
        <v>69.557887781453431</v>
      </c>
    </row>
    <row r="56" spans="5:65">
      <c r="E56">
        <f t="shared" si="35"/>
        <v>53</v>
      </c>
      <c r="F56" s="64">
        <f t="shared" si="15"/>
        <v>66.16</v>
      </c>
      <c r="G56" s="55">
        <f t="shared" si="16"/>
        <v>2.4857885984658212E-3</v>
      </c>
      <c r="H56" s="78">
        <f t="shared" si="42"/>
        <v>0.89650500412105427</v>
      </c>
      <c r="I56" s="79">
        <f t="shared" ca="1" si="17"/>
        <v>1575891.0939883033</v>
      </c>
      <c r="J56" s="79">
        <f t="shared" ca="1" si="18"/>
        <v>10749.930643120239</v>
      </c>
      <c r="K56" s="80">
        <f t="shared" ca="1" si="19"/>
        <v>-17.930100082421085</v>
      </c>
      <c r="L56" s="80">
        <f t="shared" ca="1" si="20"/>
        <v>0</v>
      </c>
      <c r="M56" s="80">
        <f t="shared" ca="1" si="21"/>
        <v>0</v>
      </c>
      <c r="N56" s="80">
        <f t="shared" ca="1" si="22"/>
        <v>0</v>
      </c>
      <c r="O56" s="81">
        <f t="shared" ca="1" si="2"/>
        <v>-14985.981787548277</v>
      </c>
      <c r="P56" s="79">
        <f t="shared" ca="1" si="3"/>
        <v>1571637.1127437931</v>
      </c>
      <c r="Q56" s="35"/>
      <c r="R56">
        <f t="shared" ca="1" si="23"/>
        <v>53</v>
      </c>
      <c r="S56" s="78">
        <f t="shared" ca="1" si="24"/>
        <v>66.16</v>
      </c>
      <c r="T56" s="55">
        <f t="shared" ca="1" si="25"/>
        <v>2.4857885984658212E-3</v>
      </c>
      <c r="U56" s="78">
        <f t="shared" ca="1" si="26"/>
        <v>0.89650500412105427</v>
      </c>
      <c r="V56" s="79">
        <f t="shared" ca="1" si="27"/>
        <v>1575891.0939883033</v>
      </c>
      <c r="W56" s="79">
        <f t="shared" ca="1" si="5"/>
        <v>10749.930643120239</v>
      </c>
      <c r="X56" s="80">
        <f t="shared" ca="1" si="6"/>
        <v>-17.930100082421085</v>
      </c>
      <c r="Y56" s="80">
        <f t="shared" ca="1" si="28"/>
        <v>0</v>
      </c>
      <c r="Z56" s="80">
        <f t="shared" ca="1" si="7"/>
        <v>0</v>
      </c>
      <c r="AA56" s="80">
        <f t="shared" ca="1" si="29"/>
        <v>0</v>
      </c>
      <c r="AB56" s="81">
        <f t="shared" ca="1" si="8"/>
        <v>-14985.981787548277</v>
      </c>
      <c r="AC56" s="79">
        <f t="shared" ca="1" si="9"/>
        <v>1571637.1127437931</v>
      </c>
      <c r="AD56" s="35"/>
      <c r="AE56" s="62">
        <f t="shared" ca="1" si="10"/>
        <v>-16716.004616439077</v>
      </c>
      <c r="AF56" s="62">
        <f t="shared" ca="1" si="11"/>
        <v>1753071.2104442155</v>
      </c>
      <c r="AG56" s="35"/>
      <c r="AH56" s="35"/>
      <c r="AI56" s="35"/>
      <c r="AJ56" s="65">
        <v>70</v>
      </c>
      <c r="AK56" s="66">
        <f>'SA85-90'!F62*(1+$AH$22)</f>
        <v>4.224E-2</v>
      </c>
      <c r="AL56" s="66">
        <f>'SA85-90 (light)'!F62*(1+$AH$22)</f>
        <v>4.2196000000000004E-2</v>
      </c>
      <c r="AM56" s="66">
        <f t="shared" si="36"/>
        <v>114</v>
      </c>
      <c r="AN56" s="66">
        <f t="shared" si="37"/>
        <v>0</v>
      </c>
      <c r="AO56" s="67">
        <f t="shared" si="38"/>
        <v>2.3591494769026569E-5</v>
      </c>
      <c r="AP56" s="68">
        <f t="shared" ca="1" si="47"/>
        <v>3.3916347263375193E-7</v>
      </c>
      <c r="AR56" s="69">
        <f t="shared" si="31"/>
        <v>5</v>
      </c>
      <c r="AS56" s="70">
        <f t="shared" si="39"/>
        <v>53</v>
      </c>
      <c r="AT56" s="71">
        <f t="shared" si="40"/>
        <v>0.69574093796750425</v>
      </c>
      <c r="AU56" s="72">
        <f t="shared" si="12"/>
        <v>6.8214933659622723E-3</v>
      </c>
      <c r="AV56" s="73">
        <f t="shared" si="32"/>
        <v>1.0068214933659623</v>
      </c>
      <c r="AW56" s="74">
        <f>PRODUCT(AV$4:AV56)</f>
        <v>1.4337761228118406</v>
      </c>
      <c r="AY56" s="75">
        <f t="shared" si="41"/>
        <v>53</v>
      </c>
      <c r="AZ56" s="76">
        <f t="shared" ca="1" si="50"/>
        <v>1.0068214933659623</v>
      </c>
      <c r="BA56" s="76">
        <f t="shared" ca="1" si="50"/>
        <v>1.0068214933659623</v>
      </c>
      <c r="BB56" s="76">
        <f t="shared" ca="1" si="50"/>
        <v>1.0068214933659623</v>
      </c>
      <c r="BC56" s="76">
        <f t="shared" ca="1" si="50"/>
        <v>1.0068214933659623</v>
      </c>
      <c r="BD56" s="76">
        <f t="shared" ca="1" si="50"/>
        <v>1.0068214933659623</v>
      </c>
      <c r="BE56" s="76">
        <f t="shared" ca="1" si="50"/>
        <v>1.0068214933659623</v>
      </c>
      <c r="BF56" s="76">
        <f t="shared" ca="1" si="50"/>
        <v>1.0068214933659623</v>
      </c>
      <c r="BG56" s="76">
        <f t="shared" ca="1" si="50"/>
        <v>1.0068214933659623</v>
      </c>
      <c r="BH56" s="76">
        <f t="shared" ca="1" si="50"/>
        <v>1.0068214933659623</v>
      </c>
      <c r="BI56" s="76">
        <f t="shared" ca="1" si="50"/>
        <v>1.0068214933659623</v>
      </c>
      <c r="BJ56" s="76">
        <f t="shared" ca="1" si="50"/>
        <v>1.0068214933659623</v>
      </c>
      <c r="BK56" s="76">
        <f t="shared" ca="1" si="50"/>
        <v>1.0068214933659623</v>
      </c>
      <c r="BL56" s="76">
        <f t="shared" ca="1" si="46"/>
        <v>8.5000000000000853E-2</v>
      </c>
      <c r="BM56" s="77">
        <f t="shared" ca="1" si="48"/>
        <v>75.470308242877039</v>
      </c>
    </row>
    <row r="57" spans="5:65">
      <c r="E57">
        <f t="shared" si="35"/>
        <v>54</v>
      </c>
      <c r="F57" s="64">
        <f t="shared" si="15"/>
        <v>66.239999999999995</v>
      </c>
      <c r="G57" s="55">
        <f t="shared" si="16"/>
        <v>2.4857885984658212E-3</v>
      </c>
      <c r="H57" s="78">
        <f t="shared" si="42"/>
        <v>0.89427648220334255</v>
      </c>
      <c r="I57" s="79">
        <f t="shared" ca="1" si="17"/>
        <v>1567730.3551280089</v>
      </c>
      <c r="J57" s="79">
        <f t="shared" ca="1" si="18"/>
        <v>10694.262217123389</v>
      </c>
      <c r="K57" s="80">
        <f t="shared" ca="1" si="19"/>
        <v>-17.88552964406685</v>
      </c>
      <c r="L57" s="80">
        <f t="shared" ca="1" si="20"/>
        <v>0</v>
      </c>
      <c r="M57" s="80">
        <f t="shared" ca="1" si="21"/>
        <v>0</v>
      </c>
      <c r="N57" s="80">
        <f t="shared" ca="1" si="22"/>
        <v>0</v>
      </c>
      <c r="O57" s="81">
        <f t="shared" ca="1" si="2"/>
        <v>-14948.729804883973</v>
      </c>
      <c r="P57" s="79">
        <f t="shared" ca="1" si="3"/>
        <v>1563458.0020106041</v>
      </c>
      <c r="Q57" s="35"/>
      <c r="R57">
        <f t="shared" ca="1" si="23"/>
        <v>54</v>
      </c>
      <c r="S57" s="78">
        <f t="shared" ca="1" si="24"/>
        <v>66.239999999999995</v>
      </c>
      <c r="T57" s="55">
        <f t="shared" ca="1" si="25"/>
        <v>2.4857885984658212E-3</v>
      </c>
      <c r="U57" s="78">
        <f t="shared" ca="1" si="26"/>
        <v>0.89427648220334255</v>
      </c>
      <c r="V57" s="79">
        <f t="shared" ca="1" si="27"/>
        <v>1567730.3551280089</v>
      </c>
      <c r="W57" s="79">
        <f t="shared" ca="1" si="5"/>
        <v>10694.262217123389</v>
      </c>
      <c r="X57" s="80">
        <f t="shared" ca="1" si="6"/>
        <v>-17.88552964406685</v>
      </c>
      <c r="Y57" s="80">
        <f t="shared" ca="1" si="28"/>
        <v>0</v>
      </c>
      <c r="Z57" s="80">
        <f t="shared" ca="1" si="7"/>
        <v>0</v>
      </c>
      <c r="AA57" s="80">
        <f t="shared" ca="1" si="29"/>
        <v>0</v>
      </c>
      <c r="AB57" s="81">
        <f t="shared" ca="1" si="8"/>
        <v>-14948.729804883973</v>
      </c>
      <c r="AC57" s="79">
        <f t="shared" ca="1" si="9"/>
        <v>1563458.0020106041</v>
      </c>
      <c r="AD57" s="35"/>
      <c r="AE57" s="62">
        <f t="shared" ca="1" si="10"/>
        <v>-16716.004616439077</v>
      </c>
      <c r="AF57" s="62">
        <f t="shared" ca="1" si="11"/>
        <v>1748293.7694598811</v>
      </c>
      <c r="AG57" s="35"/>
      <c r="AH57" s="35"/>
      <c r="AI57" s="35"/>
      <c r="AJ57" s="65">
        <v>71</v>
      </c>
      <c r="AK57" s="66">
        <f>'SA85-90'!F63*(1+$AH$22)</f>
        <v>4.6112E-2</v>
      </c>
      <c r="AL57" s="66">
        <f>'SA85-90 (light)'!F63*(1+$AH$22)</f>
        <v>4.610100000000001E-2</v>
      </c>
      <c r="AM57" s="66">
        <f t="shared" si="36"/>
        <v>115</v>
      </c>
      <c r="AN57" s="66">
        <f t="shared" si="37"/>
        <v>0</v>
      </c>
      <c r="AO57" s="67">
        <f t="shared" si="38"/>
        <v>2.3591494769026569E-5</v>
      </c>
      <c r="AP57" s="68">
        <f t="shared" ca="1" si="47"/>
        <v>3.1259306233525496E-7</v>
      </c>
      <c r="AR57" s="69">
        <f t="shared" si="31"/>
        <v>5</v>
      </c>
      <c r="AS57" s="70">
        <f t="shared" si="39"/>
        <v>54</v>
      </c>
      <c r="AT57" s="71">
        <f t="shared" si="40"/>
        <v>0.69099494577473053</v>
      </c>
      <c r="AU57" s="72">
        <f t="shared" si="12"/>
        <v>6.8214933659622723E-3</v>
      </c>
      <c r="AV57" s="73">
        <f t="shared" si="32"/>
        <v>1.0068214933659623</v>
      </c>
      <c r="AW57" s="74">
        <f>PRODUCT(AV$4:AV57)</f>
        <v>1.4435566171218768</v>
      </c>
      <c r="AY57" s="75">
        <f t="shared" si="41"/>
        <v>54</v>
      </c>
      <c r="AZ57" s="76">
        <f t="shared" ca="1" si="50"/>
        <v>1.0068214933659623</v>
      </c>
      <c r="BA57" s="76">
        <f t="shared" ca="1" si="50"/>
        <v>1.0068214933659623</v>
      </c>
      <c r="BB57" s="76">
        <f t="shared" ca="1" si="50"/>
        <v>1.0068214933659623</v>
      </c>
      <c r="BC57" s="76">
        <f t="shared" ca="1" si="50"/>
        <v>1.0068214933659623</v>
      </c>
      <c r="BD57" s="76">
        <f t="shared" ca="1" si="50"/>
        <v>1.0068214933659623</v>
      </c>
      <c r="BE57" s="76">
        <f t="shared" ca="1" si="50"/>
        <v>1.0068214933659623</v>
      </c>
      <c r="BF57" s="76">
        <f t="shared" ca="1" si="50"/>
        <v>1.0068214933659623</v>
      </c>
      <c r="BG57" s="76">
        <f t="shared" ca="1" si="50"/>
        <v>1.0068214933659623</v>
      </c>
      <c r="BH57" s="76">
        <f t="shared" ca="1" si="50"/>
        <v>1.0068214933659623</v>
      </c>
      <c r="BI57" s="76">
        <f t="shared" ca="1" si="50"/>
        <v>1.0068214933659623</v>
      </c>
      <c r="BJ57" s="76">
        <f t="shared" ca="1" si="50"/>
        <v>1.0068214933659623</v>
      </c>
      <c r="BK57" s="76">
        <f t="shared" ca="1" si="50"/>
        <v>1.0068214933659623</v>
      </c>
      <c r="BL57" s="76">
        <f t="shared" ca="1" si="46"/>
        <v>8.5000000000000853E-2</v>
      </c>
      <c r="BM57" s="77">
        <f t="shared" ca="1" si="48"/>
        <v>81.885284443521655</v>
      </c>
    </row>
    <row r="58" spans="5:65">
      <c r="E58">
        <f t="shared" si="35"/>
        <v>55</v>
      </c>
      <c r="F58" s="64">
        <f t="shared" si="15"/>
        <v>66.319999999999993</v>
      </c>
      <c r="G58" s="55">
        <f t="shared" si="16"/>
        <v>2.4857885984658212E-3</v>
      </c>
      <c r="H58" s="78">
        <f t="shared" si="42"/>
        <v>0.89205349992000538</v>
      </c>
      <c r="I58" s="79">
        <f t="shared" ca="1" si="17"/>
        <v>1559571.5759350259</v>
      </c>
      <c r="J58" s="79">
        <f t="shared" ca="1" si="18"/>
        <v>10638.607158984105</v>
      </c>
      <c r="K58" s="80">
        <f t="shared" ca="1" si="19"/>
        <v>-17.841069998400108</v>
      </c>
      <c r="L58" s="80">
        <f t="shared" ca="1" si="20"/>
        <v>0</v>
      </c>
      <c r="M58" s="80">
        <f t="shared" ca="1" si="21"/>
        <v>0</v>
      </c>
      <c r="N58" s="80">
        <f t="shared" ca="1" si="22"/>
        <v>0</v>
      </c>
      <c r="O58" s="81">
        <f t="shared" ca="1" si="2"/>
        <v>-14911.570422773446</v>
      </c>
      <c r="P58" s="79">
        <f t="shared" ca="1" si="3"/>
        <v>1555280.7716012381</v>
      </c>
      <c r="Q58" s="35"/>
      <c r="R58">
        <f t="shared" ca="1" si="23"/>
        <v>55</v>
      </c>
      <c r="S58" s="78">
        <f t="shared" ca="1" si="24"/>
        <v>66.319999999999993</v>
      </c>
      <c r="T58" s="55">
        <f t="shared" ca="1" si="25"/>
        <v>2.4857885984658212E-3</v>
      </c>
      <c r="U58" s="78">
        <f t="shared" ca="1" si="26"/>
        <v>0.89205349992000538</v>
      </c>
      <c r="V58" s="79">
        <f t="shared" ca="1" si="27"/>
        <v>1559571.5759350259</v>
      </c>
      <c r="W58" s="79">
        <f t="shared" ca="1" si="5"/>
        <v>10638.607158984105</v>
      </c>
      <c r="X58" s="80">
        <f t="shared" ca="1" si="6"/>
        <v>-17.841069998400108</v>
      </c>
      <c r="Y58" s="80">
        <f t="shared" ca="1" si="28"/>
        <v>0</v>
      </c>
      <c r="Z58" s="80">
        <f t="shared" ca="1" si="7"/>
        <v>0</v>
      </c>
      <c r="AA58" s="80">
        <f t="shared" ca="1" si="29"/>
        <v>0</v>
      </c>
      <c r="AB58" s="81">
        <f t="shared" ca="1" si="8"/>
        <v>-14911.570422773446</v>
      </c>
      <c r="AC58" s="79">
        <f t="shared" ca="1" si="9"/>
        <v>1555280.7716012381</v>
      </c>
      <c r="AD58" s="35"/>
      <c r="AE58" s="62">
        <f t="shared" ca="1" si="10"/>
        <v>-16716.004616439077</v>
      </c>
      <c r="AF58" s="62">
        <f t="shared" ca="1" si="11"/>
        <v>1743483.7391935657</v>
      </c>
      <c r="AG58" s="35"/>
      <c r="AH58" s="35"/>
      <c r="AI58" s="35"/>
      <c r="AJ58" s="65">
        <v>72</v>
      </c>
      <c r="AK58" s="66">
        <f>'SA85-90'!F64*(1+$AH$22)</f>
        <v>5.0292000000000003E-2</v>
      </c>
      <c r="AL58" s="66">
        <f>'SA85-90 (light)'!F64*(1+$AH$22)</f>
        <v>5.0314000000000005E-2</v>
      </c>
      <c r="AM58" s="66">
        <f t="shared" si="36"/>
        <v>116</v>
      </c>
      <c r="AN58" s="66">
        <f t="shared" si="37"/>
        <v>0</v>
      </c>
      <c r="AO58" s="67">
        <f t="shared" si="38"/>
        <v>2.3591494769026569E-5</v>
      </c>
      <c r="AP58" s="68">
        <f t="shared" ca="1" si="47"/>
        <v>2.8810420491728543E-7</v>
      </c>
      <c r="AR58" s="69">
        <f t="shared" si="31"/>
        <v>5</v>
      </c>
      <c r="AS58" s="70">
        <f t="shared" si="39"/>
        <v>55</v>
      </c>
      <c r="AT58" s="71">
        <f t="shared" si="40"/>
        <v>0.68628132833621469</v>
      </c>
      <c r="AU58" s="72">
        <f t="shared" si="12"/>
        <v>6.8214933659622723E-3</v>
      </c>
      <c r="AV58" s="73">
        <f t="shared" si="32"/>
        <v>1.0068214933659623</v>
      </c>
      <c r="AW58" s="74">
        <f>PRODUCT(AV$4:AV58)</f>
        <v>1.4534038290089646</v>
      </c>
      <c r="AY58" s="75">
        <f t="shared" si="41"/>
        <v>55</v>
      </c>
      <c r="AZ58" s="76">
        <f t="shared" ca="1" si="50"/>
        <v>1.0068214933659623</v>
      </c>
      <c r="BA58" s="76">
        <f t="shared" ca="1" si="50"/>
        <v>1.0068214933659623</v>
      </c>
      <c r="BB58" s="76">
        <f t="shared" ca="1" si="50"/>
        <v>1.0068214933659623</v>
      </c>
      <c r="BC58" s="76">
        <f t="shared" ca="1" si="50"/>
        <v>1.0068214933659623</v>
      </c>
      <c r="BD58" s="76">
        <f t="shared" ca="1" si="50"/>
        <v>1.0068214933659623</v>
      </c>
      <c r="BE58" s="76">
        <f t="shared" ca="1" si="50"/>
        <v>1.0068214933659623</v>
      </c>
      <c r="BF58" s="76">
        <f t="shared" ca="1" si="50"/>
        <v>1.0068214933659623</v>
      </c>
      <c r="BG58" s="76">
        <f t="shared" ca="1" si="50"/>
        <v>1.0068214933659623</v>
      </c>
      <c r="BH58" s="76">
        <f t="shared" ca="1" si="50"/>
        <v>1.0068214933659623</v>
      </c>
      <c r="BI58" s="76">
        <f t="shared" ca="1" si="50"/>
        <v>1.0068214933659623</v>
      </c>
      <c r="BJ58" s="76">
        <f t="shared" ca="1" si="50"/>
        <v>1.0068214933659623</v>
      </c>
      <c r="BK58" s="76">
        <f t="shared" ca="1" si="50"/>
        <v>1.0068214933659623</v>
      </c>
      <c r="BL58" s="76">
        <f t="shared" ca="1" si="46"/>
        <v>8.5000000000000853E-2</v>
      </c>
      <c r="BM58" s="77">
        <f t="shared" ca="1" si="48"/>
        <v>88.845533621221065</v>
      </c>
    </row>
    <row r="59" spans="5:65">
      <c r="E59">
        <f t="shared" si="35"/>
        <v>56</v>
      </c>
      <c r="F59" s="64">
        <f t="shared" si="15"/>
        <v>66.400000000000006</v>
      </c>
      <c r="G59" s="55">
        <f t="shared" si="16"/>
        <v>2.4857885984658212E-3</v>
      </c>
      <c r="H59" s="78">
        <f t="shared" si="42"/>
        <v>0.88983604350068268</v>
      </c>
      <c r="I59" s="79">
        <f t="shared" ca="1" si="17"/>
        <v>1551414.6723917786</v>
      </c>
      <c r="J59" s="79">
        <f t="shared" ca="1" si="18"/>
        <v>10582.96489557705</v>
      </c>
      <c r="K59" s="80">
        <f t="shared" ca="1" si="19"/>
        <v>-17.796720870013655</v>
      </c>
      <c r="L59" s="80">
        <f t="shared" ca="1" si="20"/>
        <v>0</v>
      </c>
      <c r="M59" s="80">
        <f t="shared" ca="1" si="21"/>
        <v>0</v>
      </c>
      <c r="N59" s="80">
        <f t="shared" ca="1" si="22"/>
        <v>0</v>
      </c>
      <c r="O59" s="81">
        <f t="shared" ca="1" si="2"/>
        <v>-14874.503411031297</v>
      </c>
      <c r="P59" s="79">
        <f t="shared" ca="1" si="3"/>
        <v>1547105.3371554541</v>
      </c>
      <c r="Q59" s="35"/>
      <c r="R59">
        <f t="shared" ca="1" si="23"/>
        <v>56</v>
      </c>
      <c r="S59" s="78">
        <f t="shared" ca="1" si="24"/>
        <v>66.400000000000006</v>
      </c>
      <c r="T59" s="55">
        <f t="shared" ca="1" si="25"/>
        <v>2.4857885984658212E-3</v>
      </c>
      <c r="U59" s="78">
        <f t="shared" ca="1" si="26"/>
        <v>0.88983604350068268</v>
      </c>
      <c r="V59" s="79">
        <f t="shared" ca="1" si="27"/>
        <v>1551414.6723917786</v>
      </c>
      <c r="W59" s="79">
        <f t="shared" ca="1" si="5"/>
        <v>10582.96489557705</v>
      </c>
      <c r="X59" s="80">
        <f t="shared" ca="1" si="6"/>
        <v>-17.796720870013655</v>
      </c>
      <c r="Y59" s="80">
        <f t="shared" ca="1" si="28"/>
        <v>0</v>
      </c>
      <c r="Z59" s="80">
        <f t="shared" ca="1" si="7"/>
        <v>0</v>
      </c>
      <c r="AA59" s="80">
        <f t="shared" ca="1" si="29"/>
        <v>0</v>
      </c>
      <c r="AB59" s="81">
        <f t="shared" ca="1" si="8"/>
        <v>-14874.503411031297</v>
      </c>
      <c r="AC59" s="79">
        <f t="shared" ca="1" si="9"/>
        <v>1547105.3371554541</v>
      </c>
      <c r="AD59" s="35"/>
      <c r="AE59" s="62">
        <f t="shared" ca="1" si="10"/>
        <v>-16716.004616439081</v>
      </c>
      <c r="AF59" s="62">
        <f t="shared" ca="1" si="11"/>
        <v>1738640.8973376984</v>
      </c>
      <c r="AG59" s="35"/>
      <c r="AH59" s="35"/>
      <c r="AI59" s="35"/>
      <c r="AJ59" s="65">
        <v>73</v>
      </c>
      <c r="AK59" s="66">
        <f>'SA85-90'!F65*(1+$AH$22)</f>
        <v>5.4780000000000002E-2</v>
      </c>
      <c r="AL59" s="66">
        <f>'SA85-90 (light)'!F65*(1+$AH$22)</f>
        <v>5.4824000000000005E-2</v>
      </c>
      <c r="AM59" s="66">
        <f t="shared" si="36"/>
        <v>117</v>
      </c>
      <c r="AN59" s="66">
        <f t="shared" si="37"/>
        <v>0</v>
      </c>
      <c r="AO59" s="67">
        <f t="shared" si="38"/>
        <v>2.3591494769026569E-5</v>
      </c>
      <c r="AP59" s="68">
        <f t="shared" ca="1" si="47"/>
        <v>2.6553382941685275E-7</v>
      </c>
      <c r="AR59" s="69">
        <f t="shared" si="31"/>
        <v>5</v>
      </c>
      <c r="AS59" s="70">
        <f t="shared" si="39"/>
        <v>56</v>
      </c>
      <c r="AT59" s="71">
        <f t="shared" si="40"/>
        <v>0.68159986480778545</v>
      </c>
      <c r="AU59" s="72">
        <f t="shared" si="12"/>
        <v>6.8214933659622723E-3</v>
      </c>
      <c r="AV59" s="73">
        <f t="shared" si="32"/>
        <v>1.0068214933659623</v>
      </c>
      <c r="AW59" s="74">
        <f>PRODUCT(AV$4:AV59)</f>
        <v>1.4633182135866134</v>
      </c>
      <c r="AY59" s="75">
        <f t="shared" si="41"/>
        <v>56</v>
      </c>
      <c r="AZ59" s="76">
        <f t="shared" ca="1" si="50"/>
        <v>1.0068214933659623</v>
      </c>
      <c r="BA59" s="76">
        <f t="shared" ca="1" si="50"/>
        <v>1.0068214933659623</v>
      </c>
      <c r="BB59" s="76">
        <f t="shared" ca="1" si="50"/>
        <v>1.0068214933659623</v>
      </c>
      <c r="BC59" s="76">
        <f t="shared" ca="1" si="50"/>
        <v>1.0068214933659623</v>
      </c>
      <c r="BD59" s="76">
        <f t="shared" ca="1" si="50"/>
        <v>1.0068214933659623</v>
      </c>
      <c r="BE59" s="76">
        <f t="shared" ca="1" si="50"/>
        <v>1.0068214933659623</v>
      </c>
      <c r="BF59" s="76">
        <f t="shared" ca="1" si="50"/>
        <v>1.0068214933659623</v>
      </c>
      <c r="BG59" s="76">
        <f t="shared" ca="1" si="50"/>
        <v>1.0068214933659623</v>
      </c>
      <c r="BH59" s="76">
        <f t="shared" ca="1" si="50"/>
        <v>1.0068214933659623</v>
      </c>
      <c r="BI59" s="76">
        <f t="shared" ca="1" si="50"/>
        <v>1.0068214933659623</v>
      </c>
      <c r="BJ59" s="76">
        <f t="shared" ca="1" si="50"/>
        <v>1.0068214933659623</v>
      </c>
      <c r="BK59" s="76">
        <f t="shared" ca="1" si="50"/>
        <v>1.0068214933659623</v>
      </c>
      <c r="BL59" s="76">
        <f t="shared" ca="1" si="46"/>
        <v>8.5000000000000853E-2</v>
      </c>
      <c r="BM59" s="77">
        <f t="shared" ca="1" si="48"/>
        <v>96.397403979024929</v>
      </c>
    </row>
    <row r="60" spans="5:65">
      <c r="E60">
        <f t="shared" si="35"/>
        <v>57</v>
      </c>
      <c r="F60" s="64">
        <f t="shared" si="15"/>
        <v>66.48</v>
      </c>
      <c r="G60" s="55">
        <f t="shared" si="16"/>
        <v>2.4857885984658212E-3</v>
      </c>
      <c r="H60" s="78">
        <f t="shared" si="42"/>
        <v>0.88762409920924479</v>
      </c>
      <c r="I60" s="79">
        <f t="shared" ca="1" si="17"/>
        <v>1543259.5603477275</v>
      </c>
      <c r="J60" s="79">
        <f t="shared" ca="1" si="18"/>
        <v>10527.334852869875</v>
      </c>
      <c r="K60" s="80">
        <f t="shared" ca="1" si="19"/>
        <v>-17.752481984184897</v>
      </c>
      <c r="L60" s="80">
        <f t="shared" ca="1" si="20"/>
        <v>0</v>
      </c>
      <c r="M60" s="80">
        <f t="shared" ca="1" si="21"/>
        <v>0</v>
      </c>
      <c r="N60" s="80">
        <f t="shared" ca="1" si="22"/>
        <v>0</v>
      </c>
      <c r="O60" s="81">
        <f t="shared" ca="1" si="2"/>
        <v>-14837.528540044315</v>
      </c>
      <c r="P60" s="79">
        <f t="shared" ca="1" si="3"/>
        <v>1538931.6141785688</v>
      </c>
      <c r="Q60" s="35"/>
      <c r="R60">
        <f t="shared" ca="1" si="23"/>
        <v>57</v>
      </c>
      <c r="S60" s="78">
        <f t="shared" ca="1" si="24"/>
        <v>66.48</v>
      </c>
      <c r="T60" s="55">
        <f t="shared" ca="1" si="25"/>
        <v>2.4857885984658212E-3</v>
      </c>
      <c r="U60" s="78">
        <f t="shared" ca="1" si="26"/>
        <v>0.88762409920924479</v>
      </c>
      <c r="V60" s="79">
        <f t="shared" ca="1" si="27"/>
        <v>1543259.5603477275</v>
      </c>
      <c r="W60" s="79">
        <f t="shared" ca="1" si="5"/>
        <v>10527.334852869875</v>
      </c>
      <c r="X60" s="80">
        <f t="shared" ca="1" si="6"/>
        <v>-17.752481984184897</v>
      </c>
      <c r="Y60" s="80">
        <f t="shared" ca="1" si="28"/>
        <v>0</v>
      </c>
      <c r="Z60" s="80">
        <f t="shared" ca="1" si="7"/>
        <v>0</v>
      </c>
      <c r="AA60" s="80">
        <f t="shared" ca="1" si="29"/>
        <v>0</v>
      </c>
      <c r="AB60" s="81">
        <f t="shared" ca="1" si="8"/>
        <v>-14837.528540044315</v>
      </c>
      <c r="AC60" s="79">
        <f t="shared" ca="1" si="9"/>
        <v>1538931.6141785688</v>
      </c>
      <c r="AD60" s="35"/>
      <c r="AE60" s="62">
        <f t="shared" ca="1" si="10"/>
        <v>-16716.004616439081</v>
      </c>
      <c r="AF60" s="62">
        <f t="shared" ca="1" si="11"/>
        <v>1733765.020068239</v>
      </c>
      <c r="AG60" s="35"/>
      <c r="AH60" s="35"/>
      <c r="AI60" s="35"/>
      <c r="AJ60" s="65">
        <v>74</v>
      </c>
      <c r="AK60" s="66">
        <f>'SA85-90'!F66*(1+$AH$22)</f>
        <v>5.9609000000000009E-2</v>
      </c>
      <c r="AL60" s="66">
        <f>'SA85-90 (light)'!F66*(1+$AH$22)</f>
        <v>5.9675000000000006E-2</v>
      </c>
      <c r="AM60" s="66">
        <f t="shared" si="36"/>
        <v>118</v>
      </c>
      <c r="AN60" s="66">
        <f t="shared" si="37"/>
        <v>0</v>
      </c>
      <c r="AO60" s="67">
        <f t="shared" si="38"/>
        <v>2.3591494769026569E-5</v>
      </c>
      <c r="AP60" s="68">
        <f t="shared" ca="1" si="47"/>
        <v>2.4473164001553227E-7</v>
      </c>
      <c r="AR60" s="69">
        <f t="shared" si="31"/>
        <v>5</v>
      </c>
      <c r="AS60" s="70">
        <f t="shared" si="39"/>
        <v>57</v>
      </c>
      <c r="AT60" s="71">
        <f t="shared" si="40"/>
        <v>0.67695033585175834</v>
      </c>
      <c r="AU60" s="72">
        <f t="shared" si="12"/>
        <v>6.8214933659622723E-3</v>
      </c>
      <c r="AV60" s="73">
        <f t="shared" si="32"/>
        <v>1.0068214933659623</v>
      </c>
      <c r="AW60" s="74">
        <f>PRODUCT(AV$4:AV60)</f>
        <v>1.4733002290728863</v>
      </c>
      <c r="AY60" s="75">
        <f t="shared" si="41"/>
        <v>57</v>
      </c>
      <c r="AZ60" s="76">
        <f t="shared" ca="1" si="50"/>
        <v>1.0068214933659623</v>
      </c>
      <c r="BA60" s="76">
        <f t="shared" ca="1" si="50"/>
        <v>1.0068214933659623</v>
      </c>
      <c r="BB60" s="76">
        <f t="shared" ca="1" si="50"/>
        <v>1.0068214933659623</v>
      </c>
      <c r="BC60" s="76">
        <f t="shared" ca="1" si="50"/>
        <v>1.0068214933659623</v>
      </c>
      <c r="BD60" s="76">
        <f t="shared" ca="1" si="50"/>
        <v>1.0068214933659623</v>
      </c>
      <c r="BE60" s="76">
        <f t="shared" ca="1" si="50"/>
        <v>1.0068214933659623</v>
      </c>
      <c r="BF60" s="76">
        <f t="shared" ca="1" si="50"/>
        <v>1.0068214933659623</v>
      </c>
      <c r="BG60" s="76">
        <f t="shared" ca="1" si="50"/>
        <v>1.0068214933659623</v>
      </c>
      <c r="BH60" s="76">
        <f t="shared" ca="1" si="50"/>
        <v>1.0068214933659623</v>
      </c>
      <c r="BI60" s="76">
        <f t="shared" ca="1" si="50"/>
        <v>1.0068214933659623</v>
      </c>
      <c r="BJ60" s="76">
        <f t="shared" ca="1" si="50"/>
        <v>1.0068214933659623</v>
      </c>
      <c r="BK60" s="76">
        <f t="shared" ca="1" si="50"/>
        <v>1.0068214933659623</v>
      </c>
      <c r="BL60" s="76">
        <f t="shared" ca="1" si="46"/>
        <v>8.5000000000000853E-2</v>
      </c>
      <c r="BM60" s="77">
        <f t="shared" ca="1" si="48"/>
        <v>104.59118331724213</v>
      </c>
    </row>
    <row r="61" spans="5:65">
      <c r="E61">
        <f t="shared" si="35"/>
        <v>58</v>
      </c>
      <c r="F61" s="64">
        <f t="shared" si="15"/>
        <v>66.56</v>
      </c>
      <c r="G61" s="55">
        <f t="shared" si="16"/>
        <v>2.7282345997765578E-3</v>
      </c>
      <c r="H61" s="78">
        <f t="shared" si="42"/>
        <v>0.88520245243018658</v>
      </c>
      <c r="I61" s="79">
        <f t="shared" ca="1" si="17"/>
        <v>1534733.0477020768</v>
      </c>
      <c r="J61" s="79">
        <f t="shared" ca="1" si="18"/>
        <v>10469.171303422776</v>
      </c>
      <c r="K61" s="80">
        <f t="shared" ca="1" si="19"/>
        <v>-17.704049048603732</v>
      </c>
      <c r="L61" s="80">
        <f t="shared" ca="1" si="20"/>
        <v>0</v>
      </c>
      <c r="M61" s="80">
        <f t="shared" ca="1" si="21"/>
        <v>0</v>
      </c>
      <c r="N61" s="80">
        <f t="shared" ca="1" si="22"/>
        <v>0</v>
      </c>
      <c r="O61" s="81">
        <f t="shared" ca="1" si="2"/>
        <v>-14797.048281306192</v>
      </c>
      <c r="P61" s="79">
        <f t="shared" ca="1" si="3"/>
        <v>1530387.4666751449</v>
      </c>
      <c r="Q61" s="35"/>
      <c r="R61">
        <f t="shared" ca="1" si="23"/>
        <v>58</v>
      </c>
      <c r="S61" s="78">
        <f t="shared" ca="1" si="24"/>
        <v>66.56</v>
      </c>
      <c r="T61" s="55">
        <f t="shared" ca="1" si="25"/>
        <v>2.7282345997765578E-3</v>
      </c>
      <c r="U61" s="78">
        <f t="shared" ca="1" si="26"/>
        <v>0.88520245243018658</v>
      </c>
      <c r="V61" s="79">
        <f t="shared" ca="1" si="27"/>
        <v>1534733.0477020768</v>
      </c>
      <c r="W61" s="79">
        <f t="shared" ca="1" si="5"/>
        <v>10469.171303422776</v>
      </c>
      <c r="X61" s="80">
        <f t="shared" ca="1" si="6"/>
        <v>-17.704049048603732</v>
      </c>
      <c r="Y61" s="80">
        <f t="shared" ca="1" si="28"/>
        <v>0</v>
      </c>
      <c r="Z61" s="80">
        <f t="shared" ca="1" si="7"/>
        <v>0</v>
      </c>
      <c r="AA61" s="80">
        <f t="shared" ca="1" si="29"/>
        <v>0</v>
      </c>
      <c r="AB61" s="81">
        <f t="shared" ca="1" si="8"/>
        <v>-14797.048281306192</v>
      </c>
      <c r="AC61" s="79">
        <f t="shared" ca="1" si="9"/>
        <v>1530387.4666751449</v>
      </c>
      <c r="AD61" s="35"/>
      <c r="AE61" s="62">
        <f t="shared" ca="1" si="10"/>
        <v>-16716.004616439077</v>
      </c>
      <c r="AF61" s="62">
        <f t="shared" ca="1" si="11"/>
        <v>1728855.882034333</v>
      </c>
      <c r="AG61" s="35"/>
      <c r="AH61" s="35"/>
      <c r="AI61" s="35"/>
      <c r="AJ61" s="65">
        <v>75</v>
      </c>
      <c r="AK61" s="66">
        <f>'SA85-90'!F67*(1+$AH$22)</f>
        <v>6.4834000000000003E-2</v>
      </c>
      <c r="AL61" s="66">
        <f>'SA85-90 (light)'!F67*(1+$AH$22)</f>
        <v>6.491100000000001E-2</v>
      </c>
      <c r="AM61" s="66">
        <f t="shared" si="36"/>
        <v>119</v>
      </c>
      <c r="AN61" s="66">
        <f t="shared" si="37"/>
        <v>0</v>
      </c>
      <c r="AO61" s="67">
        <f t="shared" si="38"/>
        <v>2.3591494769026569E-5</v>
      </c>
      <c r="AP61" s="68">
        <f t="shared" ca="1" si="47"/>
        <v>2.2555911522168857E-7</v>
      </c>
      <c r="AR61" s="69">
        <f t="shared" si="31"/>
        <v>5</v>
      </c>
      <c r="AS61" s="70">
        <f t="shared" si="39"/>
        <v>58</v>
      </c>
      <c r="AT61" s="71">
        <f t="shared" si="40"/>
        <v>0.67233252362665963</v>
      </c>
      <c r="AU61" s="72">
        <f t="shared" si="12"/>
        <v>6.8214933659622723E-3</v>
      </c>
      <c r="AV61" s="73">
        <f t="shared" si="32"/>
        <v>1.0068214933659623</v>
      </c>
      <c r="AW61" s="74">
        <f>PRODUCT(AV$4:AV61)</f>
        <v>1.4833503368115777</v>
      </c>
      <c r="AY61" s="75">
        <f t="shared" si="41"/>
        <v>58</v>
      </c>
      <c r="AZ61" s="76">
        <f t="shared" ca="1" si="50"/>
        <v>1.0068214933659623</v>
      </c>
      <c r="BA61" s="76">
        <f t="shared" ca="1" si="50"/>
        <v>1.0068214933659623</v>
      </c>
      <c r="BB61" s="76">
        <f t="shared" ca="1" si="50"/>
        <v>1.0068214933659623</v>
      </c>
      <c r="BC61" s="76">
        <f t="shared" ca="1" si="50"/>
        <v>1.0068214933659623</v>
      </c>
      <c r="BD61" s="76">
        <f t="shared" ca="1" si="50"/>
        <v>1.0068214933659623</v>
      </c>
      <c r="BE61" s="76">
        <f t="shared" ca="1" si="50"/>
        <v>1.0068214933659623</v>
      </c>
      <c r="BF61" s="76">
        <f t="shared" ca="1" si="50"/>
        <v>1.0068214933659623</v>
      </c>
      <c r="BG61" s="76">
        <f t="shared" ca="1" si="50"/>
        <v>1.0068214933659623</v>
      </c>
      <c r="BH61" s="76">
        <f t="shared" ca="1" si="50"/>
        <v>1.0068214933659623</v>
      </c>
      <c r="BI61" s="76">
        <f t="shared" ca="1" si="50"/>
        <v>1.0068214933659623</v>
      </c>
      <c r="BJ61" s="76">
        <f t="shared" ca="1" si="50"/>
        <v>1.0068214933659623</v>
      </c>
      <c r="BK61" s="76">
        <f t="shared" ca="1" si="50"/>
        <v>1.0068214933659623</v>
      </c>
      <c r="BL61" s="76">
        <f t="shared" ca="1" si="46"/>
        <v>8.5000000000000853E-2</v>
      </c>
      <c r="BM61" s="77">
        <f t="shared" ca="1" si="48"/>
        <v>113.4814338992078</v>
      </c>
    </row>
    <row r="62" spans="5:65">
      <c r="E62">
        <f t="shared" si="35"/>
        <v>59</v>
      </c>
      <c r="F62" s="64">
        <f t="shared" si="15"/>
        <v>66.64</v>
      </c>
      <c r="G62" s="55">
        <f t="shared" si="16"/>
        <v>2.7282345997765578E-3</v>
      </c>
      <c r="H62" s="78">
        <f t="shared" si="42"/>
        <v>0.88278741247165948</v>
      </c>
      <c r="I62" s="79">
        <f t="shared" ca="1" si="17"/>
        <v>1526212.2106374972</v>
      </c>
      <c r="J62" s="79">
        <f t="shared" ca="1" si="18"/>
        <v>10411.046469914301</v>
      </c>
      <c r="K62" s="80">
        <f t="shared" ca="1" si="19"/>
        <v>-17.655748249433188</v>
      </c>
      <c r="L62" s="80">
        <f t="shared" ca="1" si="20"/>
        <v>0</v>
      </c>
      <c r="M62" s="80">
        <f t="shared" ca="1" si="21"/>
        <v>0</v>
      </c>
      <c r="N62" s="80">
        <f t="shared" ca="1" si="22"/>
        <v>0</v>
      </c>
      <c r="O62" s="81">
        <f t="shared" ca="1" si="2"/>
        <v>-14756.67846221057</v>
      </c>
      <c r="P62" s="79">
        <f t="shared" ca="1" si="3"/>
        <v>1521848.9228969514</v>
      </c>
      <c r="Q62" s="35"/>
      <c r="R62">
        <f t="shared" ca="1" si="23"/>
        <v>59</v>
      </c>
      <c r="S62" s="78">
        <f t="shared" ca="1" si="24"/>
        <v>66.64</v>
      </c>
      <c r="T62" s="55">
        <f t="shared" ca="1" si="25"/>
        <v>2.7282345997765578E-3</v>
      </c>
      <c r="U62" s="78">
        <f t="shared" ca="1" si="26"/>
        <v>0.88278741247165948</v>
      </c>
      <c r="V62" s="79">
        <f t="shared" ca="1" si="27"/>
        <v>1526212.2106374972</v>
      </c>
      <c r="W62" s="79">
        <f t="shared" ca="1" si="5"/>
        <v>10411.046469914301</v>
      </c>
      <c r="X62" s="80">
        <f t="shared" ca="1" si="6"/>
        <v>-17.655748249433188</v>
      </c>
      <c r="Y62" s="80">
        <f t="shared" ca="1" si="28"/>
        <v>0</v>
      </c>
      <c r="Z62" s="80">
        <f t="shared" ca="1" si="7"/>
        <v>0</v>
      </c>
      <c r="AA62" s="80">
        <f t="shared" ca="1" si="29"/>
        <v>0</v>
      </c>
      <c r="AB62" s="81">
        <f t="shared" ca="1" si="8"/>
        <v>-14756.67846221057</v>
      </c>
      <c r="AC62" s="79">
        <f t="shared" ca="1" si="9"/>
        <v>1521848.9228969514</v>
      </c>
      <c r="AD62" s="35"/>
      <c r="AE62" s="62">
        <f t="shared" ca="1" si="10"/>
        <v>-16716.004616439081</v>
      </c>
      <c r="AF62" s="62">
        <f t="shared" ca="1" si="11"/>
        <v>1723913.2563478956</v>
      </c>
      <c r="AG62" s="35"/>
      <c r="AH62" s="35"/>
      <c r="AI62" s="35"/>
      <c r="AJ62" s="65">
        <v>76</v>
      </c>
      <c r="AK62" s="66">
        <f>'SA85-90'!F68*(1+$AH$22)</f>
        <v>7.0521E-2</v>
      </c>
      <c r="AL62" s="66">
        <f>'SA85-90 (light)'!F68*(1+$AH$22)</f>
        <v>7.0598000000000008E-2</v>
      </c>
      <c r="AM62" s="66">
        <f t="shared" si="36"/>
        <v>120</v>
      </c>
      <c r="AN62" s="66">
        <f t="shared" si="37"/>
        <v>0</v>
      </c>
      <c r="AO62" s="67">
        <f t="shared" si="38"/>
        <v>2.3591494769026569E-5</v>
      </c>
      <c r="AP62" s="68">
        <f t="shared" ca="1" si="47"/>
        <v>2.0788858545777731E-7</v>
      </c>
      <c r="AR62" s="69">
        <f t="shared" si="31"/>
        <v>5</v>
      </c>
      <c r="AS62" s="70">
        <f t="shared" si="39"/>
        <v>59</v>
      </c>
      <c r="AT62" s="71">
        <f t="shared" si="40"/>
        <v>0.66774621177701965</v>
      </c>
      <c r="AU62" s="72">
        <f t="shared" si="12"/>
        <v>6.8214933659622723E-3</v>
      </c>
      <c r="AV62" s="73">
        <f t="shared" si="32"/>
        <v>1.0068214933659623</v>
      </c>
      <c r="AW62" s="74">
        <f>PRODUCT(AV$4:AV62)</f>
        <v>1.4934690012935357</v>
      </c>
      <c r="AY62" s="75">
        <f t="shared" si="41"/>
        <v>59</v>
      </c>
      <c r="AZ62" s="76">
        <f t="shared" ca="1" si="50"/>
        <v>1.0068214933659623</v>
      </c>
      <c r="BA62" s="76">
        <f t="shared" ca="1" si="50"/>
        <v>1.0068214933659623</v>
      </c>
      <c r="BB62" s="76">
        <f t="shared" ca="1" si="50"/>
        <v>1.0068214933659623</v>
      </c>
      <c r="BC62" s="76">
        <f t="shared" ca="1" si="50"/>
        <v>1.0068214933659623</v>
      </c>
      <c r="BD62" s="76">
        <f t="shared" ca="1" si="50"/>
        <v>1.0068214933659623</v>
      </c>
      <c r="BE62" s="76">
        <f t="shared" ca="1" si="50"/>
        <v>1.0068214933659623</v>
      </c>
      <c r="BF62" s="76">
        <f t="shared" ca="1" si="50"/>
        <v>1.0068214933659623</v>
      </c>
      <c r="BG62" s="76">
        <f t="shared" ca="1" si="50"/>
        <v>1.0068214933659623</v>
      </c>
      <c r="BH62" s="76">
        <f t="shared" ca="1" si="50"/>
        <v>1.0068214933659623</v>
      </c>
      <c r="BI62" s="76">
        <f t="shared" ca="1" si="50"/>
        <v>1.0068214933659623</v>
      </c>
      <c r="BJ62" s="76">
        <f t="shared" ca="1" si="50"/>
        <v>1.0068214933659623</v>
      </c>
      <c r="BK62" s="76">
        <f t="shared" ca="1" si="50"/>
        <v>1.0068214933659623</v>
      </c>
      <c r="BL62" s="76">
        <f t="shared" ca="1" si="46"/>
        <v>8.5000000000000853E-2</v>
      </c>
      <c r="BM62" s="77">
        <f t="shared" ca="1" si="48"/>
        <v>123.12735578064056</v>
      </c>
    </row>
    <row r="63" spans="5:65">
      <c r="E63">
        <f t="shared" si="35"/>
        <v>60</v>
      </c>
      <c r="F63" s="64">
        <f t="shared" si="15"/>
        <v>66.72</v>
      </c>
      <c r="G63" s="55">
        <f t="shared" si="16"/>
        <v>2.7282345997765578E-3</v>
      </c>
      <c r="H63" s="78">
        <f t="shared" si="42"/>
        <v>0.88037896130870708</v>
      </c>
      <c r="I63" s="79">
        <f t="shared" ca="1" si="17"/>
        <v>1517696.9620098714</v>
      </c>
      <c r="J63" s="79">
        <f t="shared" ca="1" si="18"/>
        <v>10352.959757891433</v>
      </c>
      <c r="K63" s="80">
        <f t="shared" ca="1" si="19"/>
        <v>-17.607579226174142</v>
      </c>
      <c r="L63" s="80">
        <f t="shared" ca="1" si="20"/>
        <v>0</v>
      </c>
      <c r="M63" s="80">
        <f t="shared" ca="1" si="21"/>
        <v>0</v>
      </c>
      <c r="N63" s="80">
        <f t="shared" ca="1" si="22"/>
        <v>0</v>
      </c>
      <c r="O63" s="81">
        <f t="shared" ca="1" si="2"/>
        <v>-14716.418781452188</v>
      </c>
      <c r="P63" s="79">
        <f t="shared" ca="1" si="3"/>
        <v>1513315.8954070846</v>
      </c>
      <c r="Q63" s="35"/>
      <c r="R63">
        <f t="shared" ca="1" si="23"/>
        <v>60</v>
      </c>
      <c r="S63" s="78">
        <f t="shared" ca="1" si="24"/>
        <v>66.72</v>
      </c>
      <c r="T63" s="55">
        <f t="shared" ca="1" si="25"/>
        <v>2.7282345997765578E-3</v>
      </c>
      <c r="U63" s="78">
        <f t="shared" ca="1" si="26"/>
        <v>0.88037896130870708</v>
      </c>
      <c r="V63" s="79">
        <f t="shared" ca="1" si="27"/>
        <v>1517696.9620098714</v>
      </c>
      <c r="W63" s="79">
        <f t="shared" ca="1" si="5"/>
        <v>10352.959757891433</v>
      </c>
      <c r="X63" s="80">
        <f t="shared" ca="1" si="6"/>
        <v>-17.607579226174142</v>
      </c>
      <c r="Y63" s="80">
        <f t="shared" ca="1" si="28"/>
        <v>0</v>
      </c>
      <c r="Z63" s="80">
        <f t="shared" ca="1" si="7"/>
        <v>0</v>
      </c>
      <c r="AA63" s="80">
        <f t="shared" ca="1" si="29"/>
        <v>0</v>
      </c>
      <c r="AB63" s="81">
        <f t="shared" ca="1" si="8"/>
        <v>-14716.418781452188</v>
      </c>
      <c r="AC63" s="79">
        <f t="shared" ca="1" si="9"/>
        <v>1513315.8954070846</v>
      </c>
      <c r="AD63" s="35"/>
      <c r="AE63" s="62">
        <f t="shared" ca="1" si="10"/>
        <v>-16716.004616439077</v>
      </c>
      <c r="AF63" s="62">
        <f t="shared" ca="1" si="11"/>
        <v>1718936.9145731286</v>
      </c>
      <c r="AG63" s="35"/>
      <c r="AH63" s="35"/>
      <c r="AI63" s="35"/>
      <c r="AJ63" s="65">
        <v>77</v>
      </c>
      <c r="AK63" s="66">
        <f>'SA85-90'!F69*(1+$AH$22)</f>
        <v>7.6714000000000004E-2</v>
      </c>
      <c r="AL63" s="66">
        <f>'SA85-90 (light)'!F69*(1+$AH$22)</f>
        <v>7.6790999999999998E-2</v>
      </c>
      <c r="AM63" s="66">
        <f t="shared" si="36"/>
        <v>121</v>
      </c>
      <c r="AN63" s="66">
        <f t="shared" si="37"/>
        <v>0</v>
      </c>
      <c r="AO63" s="67">
        <f t="shared" si="38"/>
        <v>2.3591494769026569E-5</v>
      </c>
      <c r="AP63" s="68">
        <f t="shared" ca="1" si="47"/>
        <v>1.9160238291039369E-7</v>
      </c>
      <c r="AR63" s="69">
        <f t="shared" si="31"/>
        <v>5</v>
      </c>
      <c r="AS63" s="70">
        <f t="shared" si="39"/>
        <v>60</v>
      </c>
      <c r="AT63" s="71">
        <f t="shared" si="40"/>
        <v>0.6631911854232363</v>
      </c>
      <c r="AU63" s="72">
        <f t="shared" si="12"/>
        <v>6.8214933659622723E-3</v>
      </c>
      <c r="AV63" s="73">
        <f t="shared" si="32"/>
        <v>1.0068214933659623</v>
      </c>
      <c r="AW63" s="74">
        <f>PRODUCT(AV$4:AV63)</f>
        <v>1.5036566901781299</v>
      </c>
      <c r="AY63" s="75">
        <f t="shared" si="41"/>
        <v>60</v>
      </c>
      <c r="AZ63" s="76">
        <f t="shared" ca="1" si="50"/>
        <v>1.0068214933659623</v>
      </c>
      <c r="BA63" s="76">
        <f t="shared" ca="1" si="50"/>
        <v>1.0068214933659623</v>
      </c>
      <c r="BB63" s="76">
        <f t="shared" ca="1" si="50"/>
        <v>1.0068214933659623</v>
      </c>
      <c r="BC63" s="76">
        <f t="shared" ca="1" si="50"/>
        <v>1.0068214933659623</v>
      </c>
      <c r="BD63" s="76">
        <f t="shared" ca="1" si="50"/>
        <v>1.0068214933659623</v>
      </c>
      <c r="BE63" s="76">
        <f t="shared" ca="1" si="50"/>
        <v>1.0068214933659623</v>
      </c>
      <c r="BF63" s="76">
        <f t="shared" ca="1" si="50"/>
        <v>1.0068214933659623</v>
      </c>
      <c r="BG63" s="76">
        <f t="shared" ca="1" si="50"/>
        <v>1.0068214933659623</v>
      </c>
      <c r="BH63" s="76">
        <f t="shared" ca="1" si="50"/>
        <v>1.0068214933659623</v>
      </c>
      <c r="BI63" s="76">
        <f t="shared" ca="1" si="50"/>
        <v>1.0068214933659623</v>
      </c>
      <c r="BJ63" s="76">
        <f t="shared" ca="1" si="50"/>
        <v>1.0068214933659623</v>
      </c>
      <c r="BK63" s="76">
        <f t="shared" ca="1" si="50"/>
        <v>1.0068214933659623</v>
      </c>
      <c r="BL63" s="76">
        <f t="shared" ca="1" si="46"/>
        <v>8.5000000000000853E-2</v>
      </c>
      <c r="BM63" s="77">
        <f t="shared" ca="1" si="48"/>
        <v>133.59318102199512</v>
      </c>
    </row>
    <row r="64" spans="5:65">
      <c r="E64">
        <f t="shared" si="35"/>
        <v>61</v>
      </c>
      <c r="F64" s="64">
        <f t="shared" si="15"/>
        <v>66.8</v>
      </c>
      <c r="G64" s="55">
        <f t="shared" si="16"/>
        <v>2.7282345997765578E-3</v>
      </c>
      <c r="H64" s="78">
        <f t="shared" si="42"/>
        <v>0.87797708096554927</v>
      </c>
      <c r="I64" s="79">
        <f t="shared" ca="1" si="17"/>
        <v>1509187.2146208431</v>
      </c>
      <c r="J64" s="79">
        <f t="shared" ca="1" si="18"/>
        <v>10294.91057253116</v>
      </c>
      <c r="K64" s="80">
        <f t="shared" ca="1" si="19"/>
        <v>-17.559541619310984</v>
      </c>
      <c r="L64" s="80">
        <f t="shared" ca="1" si="20"/>
        <v>0</v>
      </c>
      <c r="M64" s="80">
        <f t="shared" ca="1" si="21"/>
        <v>0</v>
      </c>
      <c r="N64" s="80">
        <f t="shared" ca="1" si="22"/>
        <v>0</v>
      </c>
      <c r="O64" s="81">
        <f t="shared" ca="1" si="2"/>
        <v>-14676.268938547828</v>
      </c>
      <c r="P64" s="79">
        <f t="shared" ca="1" si="3"/>
        <v>1504788.2967132069</v>
      </c>
      <c r="Q64" s="35"/>
      <c r="R64">
        <f t="shared" ca="1" si="23"/>
        <v>61</v>
      </c>
      <c r="S64" s="78">
        <f t="shared" ca="1" si="24"/>
        <v>66.8</v>
      </c>
      <c r="T64" s="55">
        <f t="shared" ca="1" si="25"/>
        <v>2.7282345997765578E-3</v>
      </c>
      <c r="U64" s="78">
        <f t="shared" ca="1" si="26"/>
        <v>0.87797708096554927</v>
      </c>
      <c r="V64" s="79">
        <f t="shared" ca="1" si="27"/>
        <v>1509187.2146208431</v>
      </c>
      <c r="W64" s="79">
        <f t="shared" ca="1" si="5"/>
        <v>10294.91057253116</v>
      </c>
      <c r="X64" s="80">
        <f t="shared" ca="1" si="6"/>
        <v>-17.559541619310984</v>
      </c>
      <c r="Y64" s="80">
        <f t="shared" ca="1" si="28"/>
        <v>0</v>
      </c>
      <c r="Z64" s="80">
        <f t="shared" ca="1" si="7"/>
        <v>0</v>
      </c>
      <c r="AA64" s="80">
        <f t="shared" ca="1" si="29"/>
        <v>0</v>
      </c>
      <c r="AB64" s="81">
        <f t="shared" ca="1" si="8"/>
        <v>-14676.268938547828</v>
      </c>
      <c r="AC64" s="79">
        <f t="shared" ca="1" si="9"/>
        <v>1504788.2967132069</v>
      </c>
      <c r="AD64" s="35"/>
      <c r="AE64" s="62">
        <f t="shared" ca="1" si="10"/>
        <v>-16716.004616439077</v>
      </c>
      <c r="AF64" s="62">
        <f t="shared" ca="1" si="11"/>
        <v>1713926.6267159574</v>
      </c>
      <c r="AG64" s="35"/>
      <c r="AH64" s="35"/>
      <c r="AI64" s="35"/>
      <c r="AJ64" s="65">
        <v>78</v>
      </c>
      <c r="AK64" s="66">
        <f>'SA85-90'!F70*(1+$AH$22)</f>
        <v>8.3468000000000014E-2</v>
      </c>
      <c r="AL64" s="66">
        <f>'SA85-90 (light)'!F70*(1+$AH$22)</f>
        <v>8.3545000000000008E-2</v>
      </c>
      <c r="AM64" s="66">
        <f t="shared" si="36"/>
        <v>122</v>
      </c>
      <c r="AN64" s="66">
        <f t="shared" si="37"/>
        <v>0</v>
      </c>
      <c r="AO64" s="67">
        <f t="shared" si="38"/>
        <v>2.3591494769026569E-5</v>
      </c>
      <c r="AP64" s="68">
        <f t="shared" ca="1" si="47"/>
        <v>1.7659205798192953E-7</v>
      </c>
      <c r="AR64" s="69">
        <f t="shared" si="31"/>
        <v>6</v>
      </c>
      <c r="AS64" s="70">
        <f t="shared" si="39"/>
        <v>61</v>
      </c>
      <c r="AT64" s="71">
        <f t="shared" si="40"/>
        <v>0.65866723115150705</v>
      </c>
      <c r="AU64" s="72">
        <f t="shared" si="12"/>
        <v>6.8214933659622723E-3</v>
      </c>
      <c r="AV64" s="73">
        <f t="shared" si="32"/>
        <v>1.0068214933659623</v>
      </c>
      <c r="AW64" s="74">
        <f>PRODUCT(AV$4:AV64)</f>
        <v>1.5139138743148648</v>
      </c>
      <c r="AY64" s="75">
        <f t="shared" si="41"/>
        <v>61</v>
      </c>
      <c r="AZ64" s="76">
        <f t="shared" ca="1" si="50"/>
        <v>1.0068214933659623</v>
      </c>
      <c r="BA64" s="76">
        <f t="shared" ca="1" si="50"/>
        <v>1.0068214933659623</v>
      </c>
      <c r="BB64" s="76">
        <f t="shared" ca="1" si="50"/>
        <v>1.0068214933659623</v>
      </c>
      <c r="BC64" s="76">
        <f t="shared" ca="1" si="50"/>
        <v>1.0068214933659623</v>
      </c>
      <c r="BD64" s="76">
        <f t="shared" ca="1" si="50"/>
        <v>1.0068214933659623</v>
      </c>
      <c r="BE64" s="76">
        <f t="shared" ca="1" si="50"/>
        <v>1.0068214933659623</v>
      </c>
      <c r="BF64" s="76">
        <f t="shared" ca="1" si="50"/>
        <v>1.0068214933659623</v>
      </c>
      <c r="BG64" s="76">
        <f t="shared" ca="1" si="50"/>
        <v>1.0068214933659623</v>
      </c>
      <c r="BH64" s="76">
        <f t="shared" ca="1" si="50"/>
        <v>1.0068214933659623</v>
      </c>
      <c r="BI64" s="76">
        <f t="shared" ca="1" si="50"/>
        <v>1.0068214933659623</v>
      </c>
      <c r="BJ64" s="76">
        <f t="shared" ca="1" si="50"/>
        <v>1.0068214933659623</v>
      </c>
      <c r="BK64" s="76">
        <f t="shared" ca="1" si="50"/>
        <v>1.0068214933659623</v>
      </c>
      <c r="BL64" s="76">
        <f t="shared" ca="1" si="46"/>
        <v>8.5000000000000853E-2</v>
      </c>
      <c r="BM64" s="77">
        <f t="shared" ca="1" si="48"/>
        <v>144.94860140886482</v>
      </c>
    </row>
    <row r="65" spans="5:65">
      <c r="E65">
        <f t="shared" si="35"/>
        <v>62</v>
      </c>
      <c r="F65" s="64">
        <f t="shared" si="15"/>
        <v>66.88</v>
      </c>
      <c r="G65" s="55">
        <f t="shared" si="16"/>
        <v>2.7282345997765578E-3</v>
      </c>
      <c r="H65" s="78">
        <f t="shared" si="42"/>
        <v>0.8755817535154482</v>
      </c>
      <c r="I65" s="79">
        <f t="shared" ca="1" si="17"/>
        <v>1500682.8812167752</v>
      </c>
      <c r="J65" s="79">
        <f t="shared" ca="1" si="18"/>
        <v>10236.898318633381</v>
      </c>
      <c r="K65" s="80">
        <f t="shared" ca="1" si="19"/>
        <v>-17.511635070308962</v>
      </c>
      <c r="L65" s="80">
        <f t="shared" ca="1" si="20"/>
        <v>0</v>
      </c>
      <c r="M65" s="80">
        <f t="shared" ca="1" si="21"/>
        <v>0</v>
      </c>
      <c r="N65" s="80">
        <f t="shared" ca="1" si="22"/>
        <v>0</v>
      </c>
      <c r="O65" s="81">
        <f t="shared" ca="1" si="2"/>
        <v>-14636.228633834056</v>
      </c>
      <c r="P65" s="79">
        <f t="shared" ca="1" si="3"/>
        <v>1496266.0392665043</v>
      </c>
      <c r="Q65" s="35"/>
      <c r="R65">
        <f t="shared" ca="1" si="23"/>
        <v>62</v>
      </c>
      <c r="S65" s="78">
        <f t="shared" ca="1" si="24"/>
        <v>66.88</v>
      </c>
      <c r="T65" s="55">
        <f t="shared" ca="1" si="25"/>
        <v>2.7282345997765578E-3</v>
      </c>
      <c r="U65" s="78">
        <f t="shared" ca="1" si="26"/>
        <v>0.8755817535154482</v>
      </c>
      <c r="V65" s="79">
        <f t="shared" ca="1" si="27"/>
        <v>1500682.8812167752</v>
      </c>
      <c r="W65" s="79">
        <f t="shared" ca="1" si="5"/>
        <v>10236.898318633381</v>
      </c>
      <c r="X65" s="80">
        <f t="shared" ca="1" si="6"/>
        <v>-17.511635070308962</v>
      </c>
      <c r="Y65" s="80">
        <f t="shared" ca="1" si="28"/>
        <v>0</v>
      </c>
      <c r="Z65" s="80">
        <f t="shared" ca="1" si="7"/>
        <v>0</v>
      </c>
      <c r="AA65" s="80">
        <f t="shared" ca="1" si="29"/>
        <v>0</v>
      </c>
      <c r="AB65" s="81">
        <f t="shared" ca="1" si="8"/>
        <v>-14636.228633834056</v>
      </c>
      <c r="AC65" s="79">
        <f t="shared" ca="1" si="9"/>
        <v>1496266.0392665043</v>
      </c>
      <c r="AD65" s="35"/>
      <c r="AE65" s="62">
        <f t="shared" ca="1" si="10"/>
        <v>-16716.004616439081</v>
      </c>
      <c r="AF65" s="62">
        <f t="shared" ca="1" si="11"/>
        <v>1708882.1612134078</v>
      </c>
      <c r="AG65" s="35"/>
      <c r="AH65" s="35"/>
      <c r="AI65" s="35"/>
      <c r="AJ65" s="65">
        <v>79</v>
      </c>
      <c r="AK65" s="66">
        <f>'SA85-90'!F71*(1+$AH$22)</f>
        <v>9.0848999999999999E-2</v>
      </c>
      <c r="AL65" s="66">
        <f>'SA85-90 (light)'!F71*(1+$AH$22)</f>
        <v>9.0926000000000007E-2</v>
      </c>
      <c r="AM65" s="66">
        <f t="shared" si="36"/>
        <v>123</v>
      </c>
      <c r="AN65" s="66">
        <f t="shared" si="37"/>
        <v>0</v>
      </c>
      <c r="AO65" s="67">
        <f t="shared" si="38"/>
        <v>2.3591494769026569E-5</v>
      </c>
      <c r="AP65" s="68">
        <f t="shared" ca="1" si="47"/>
        <v>1.627576571262022E-7</v>
      </c>
      <c r="AR65" s="69">
        <f t="shared" si="31"/>
        <v>6</v>
      </c>
      <c r="AS65" s="70">
        <f t="shared" si="39"/>
        <v>62</v>
      </c>
      <c r="AT65" s="71">
        <f t="shared" si="40"/>
        <v>0.65417413700383031</v>
      </c>
      <c r="AU65" s="72">
        <f t="shared" si="12"/>
        <v>6.8214933659622723E-3</v>
      </c>
      <c r="AV65" s="73">
        <f t="shared" si="32"/>
        <v>1.0068214933659623</v>
      </c>
      <c r="AW65" s="74">
        <f>PRODUCT(AV$4:AV65)</f>
        <v>1.5242410277651419</v>
      </c>
      <c r="AY65" s="75">
        <f t="shared" si="41"/>
        <v>62</v>
      </c>
      <c r="AZ65" s="76">
        <f t="shared" ref="AZ65:BK74" ca="1" si="51">OFFSET($AV$3,($AY65*12-12)+AZ$3,0)</f>
        <v>1.0068214933659623</v>
      </c>
      <c r="BA65" s="76">
        <f t="shared" ca="1" si="51"/>
        <v>1.0068214933659623</v>
      </c>
      <c r="BB65" s="76">
        <f t="shared" ca="1" si="51"/>
        <v>1.0068214933659623</v>
      </c>
      <c r="BC65" s="76">
        <f t="shared" ca="1" si="51"/>
        <v>1.0068214933659623</v>
      </c>
      <c r="BD65" s="76">
        <f t="shared" ca="1" si="51"/>
        <v>1.0068214933659623</v>
      </c>
      <c r="BE65" s="76">
        <f t="shared" ca="1" si="51"/>
        <v>1.0068214933659623</v>
      </c>
      <c r="BF65" s="76">
        <f t="shared" ca="1" si="51"/>
        <v>1.0068214933659623</v>
      </c>
      <c r="BG65" s="76">
        <f t="shared" ca="1" si="51"/>
        <v>1.0068214933659623</v>
      </c>
      <c r="BH65" s="76">
        <f t="shared" ca="1" si="51"/>
        <v>1.0068214933659623</v>
      </c>
      <c r="BI65" s="76">
        <f t="shared" ca="1" si="51"/>
        <v>1.0068214933659623</v>
      </c>
      <c r="BJ65" s="76">
        <f t="shared" ca="1" si="51"/>
        <v>1.0068214933659623</v>
      </c>
      <c r="BK65" s="76">
        <f t="shared" ca="1" si="51"/>
        <v>1.0068214933659623</v>
      </c>
      <c r="BL65" s="76">
        <f t="shared" ca="1" si="46"/>
        <v>8.5000000000000853E-2</v>
      </c>
      <c r="BM65" s="77">
        <f t="shared" ca="1" si="48"/>
        <v>157.26923252861846</v>
      </c>
    </row>
    <row r="66" spans="5:65">
      <c r="E66">
        <f t="shared" si="35"/>
        <v>63</v>
      </c>
      <c r="F66" s="64">
        <f t="shared" si="15"/>
        <v>66.959999999999994</v>
      </c>
      <c r="G66" s="55">
        <f t="shared" si="16"/>
        <v>2.7282345997765578E-3</v>
      </c>
      <c r="H66" s="78">
        <f t="shared" si="42"/>
        <v>0.87319296108057431</v>
      </c>
      <c r="I66" s="79">
        <f t="shared" ca="1" si="17"/>
        <v>1492183.8744877069</v>
      </c>
      <c r="J66" s="79">
        <f t="shared" ca="1" si="18"/>
        <v>10178.922400613772</v>
      </c>
      <c r="K66" s="80">
        <f t="shared" ca="1" si="19"/>
        <v>-17.463859221611486</v>
      </c>
      <c r="L66" s="80">
        <f t="shared" ca="1" si="20"/>
        <v>0</v>
      </c>
      <c r="M66" s="80">
        <f t="shared" ca="1" si="21"/>
        <v>0</v>
      </c>
      <c r="N66" s="80">
        <f t="shared" ca="1" si="22"/>
        <v>0</v>
      </c>
      <c r="O66" s="81">
        <f t="shared" ca="1" si="2"/>
        <v>-14596.297568464988</v>
      </c>
      <c r="P66" s="79">
        <f t="shared" ca="1" si="3"/>
        <v>1487749.0354606342</v>
      </c>
      <c r="Q66" s="35"/>
      <c r="R66">
        <f t="shared" ca="1" si="23"/>
        <v>63</v>
      </c>
      <c r="S66" s="78">
        <f t="shared" ca="1" si="24"/>
        <v>66.959999999999994</v>
      </c>
      <c r="T66" s="55">
        <f t="shared" ca="1" si="25"/>
        <v>2.7282345997765578E-3</v>
      </c>
      <c r="U66" s="78">
        <f t="shared" ca="1" si="26"/>
        <v>0.87319296108057431</v>
      </c>
      <c r="V66" s="79">
        <f t="shared" ca="1" si="27"/>
        <v>1492183.8744877069</v>
      </c>
      <c r="W66" s="79">
        <f t="shared" ca="1" si="5"/>
        <v>10178.922400613772</v>
      </c>
      <c r="X66" s="80">
        <f t="shared" ca="1" si="6"/>
        <v>-17.463859221611486</v>
      </c>
      <c r="Y66" s="80">
        <f t="shared" ca="1" si="28"/>
        <v>0</v>
      </c>
      <c r="Z66" s="80">
        <f t="shared" ca="1" si="7"/>
        <v>0</v>
      </c>
      <c r="AA66" s="80">
        <f t="shared" ca="1" si="29"/>
        <v>0</v>
      </c>
      <c r="AB66" s="81">
        <f t="shared" ca="1" si="8"/>
        <v>-14596.297568464988</v>
      </c>
      <c r="AC66" s="79">
        <f t="shared" ca="1" si="9"/>
        <v>1487749.0354606342</v>
      </c>
      <c r="AD66" s="35"/>
      <c r="AE66" s="62">
        <f t="shared" ca="1" si="10"/>
        <v>-16716.004616439077</v>
      </c>
      <c r="AF66" s="62">
        <f t="shared" ca="1" si="11"/>
        <v>1703803.2849228974</v>
      </c>
      <c r="AG66" s="35"/>
      <c r="AH66" s="35"/>
      <c r="AI66" s="35"/>
      <c r="AJ66" s="65">
        <v>80</v>
      </c>
      <c r="AK66" s="66">
        <f>'SA85-90'!F72*(1+$AH$22)</f>
        <v>9.8912000000000014E-2</v>
      </c>
      <c r="AL66" s="66">
        <f>'SA85-90 (light)'!F72*(1+$AH$22)</f>
        <v>9.9000000000000005E-2</v>
      </c>
      <c r="AM66" s="66">
        <f t="shared" si="36"/>
        <v>124</v>
      </c>
      <c r="AN66" s="66">
        <f t="shared" si="37"/>
        <v>0</v>
      </c>
      <c r="AO66" s="67">
        <f t="shared" si="38"/>
        <v>2.3591494769026569E-5</v>
      </c>
      <c r="AP66" s="68">
        <f t="shared" ca="1" si="47"/>
        <v>1.5000705725917241E-7</v>
      </c>
      <c r="AR66" s="69">
        <f t="shared" si="31"/>
        <v>6</v>
      </c>
      <c r="AS66" s="70">
        <f t="shared" si="39"/>
        <v>63</v>
      </c>
      <c r="AT66" s="71">
        <f t="shared" si="40"/>
        <v>0.64971169246807459</v>
      </c>
      <c r="AU66" s="72">
        <f t="shared" si="12"/>
        <v>6.8214933659622723E-3</v>
      </c>
      <c r="AV66" s="73">
        <f t="shared" si="32"/>
        <v>1.0068214933659623</v>
      </c>
      <c r="AW66" s="74">
        <f>PRODUCT(AV$4:AV66)</f>
        <v>1.5346386278241693</v>
      </c>
      <c r="AY66" s="75">
        <f t="shared" si="41"/>
        <v>63</v>
      </c>
      <c r="AZ66" s="76">
        <f t="shared" ca="1" si="51"/>
        <v>1.0068214933659623</v>
      </c>
      <c r="BA66" s="76">
        <f t="shared" ca="1" si="51"/>
        <v>1.0068214933659623</v>
      </c>
      <c r="BB66" s="76">
        <f t="shared" ca="1" si="51"/>
        <v>1.0068214933659623</v>
      </c>
      <c r="BC66" s="76">
        <f t="shared" ca="1" si="51"/>
        <v>1.0068214933659623</v>
      </c>
      <c r="BD66" s="76">
        <f t="shared" ca="1" si="51"/>
        <v>1.0068214933659623</v>
      </c>
      <c r="BE66" s="76">
        <f t="shared" ca="1" si="51"/>
        <v>1.0068214933659623</v>
      </c>
      <c r="BF66" s="76">
        <f t="shared" ca="1" si="51"/>
        <v>1.0068214933659623</v>
      </c>
      <c r="BG66" s="76">
        <f t="shared" ca="1" si="51"/>
        <v>1.0068214933659623</v>
      </c>
      <c r="BH66" s="76">
        <f t="shared" ca="1" si="51"/>
        <v>1.0068214933659623</v>
      </c>
      <c r="BI66" s="76">
        <f t="shared" ca="1" si="51"/>
        <v>1.0068214933659623</v>
      </c>
      <c r="BJ66" s="76">
        <f t="shared" ca="1" si="51"/>
        <v>1.0068214933659623</v>
      </c>
      <c r="BK66" s="76">
        <f t="shared" ca="1" si="51"/>
        <v>1.0068214933659623</v>
      </c>
      <c r="BL66" s="76">
        <f t="shared" ca="1" si="46"/>
        <v>8.5000000000000853E-2</v>
      </c>
      <c r="BM66" s="77">
        <f t="shared" ca="1" si="48"/>
        <v>170.63711729355117</v>
      </c>
    </row>
    <row r="67" spans="5:65">
      <c r="E67">
        <f t="shared" si="35"/>
        <v>64</v>
      </c>
      <c r="F67" s="64">
        <f t="shared" si="15"/>
        <v>67.040000000000006</v>
      </c>
      <c r="G67" s="55">
        <f t="shared" si="16"/>
        <v>2.7282345997765578E-3</v>
      </c>
      <c r="H67" s="78">
        <f t="shared" si="42"/>
        <v>0.87081068583187293</v>
      </c>
      <c r="I67" s="79">
        <f t="shared" ca="1" si="17"/>
        <v>1483690.1070663063</v>
      </c>
      <c r="J67" s="79">
        <f t="shared" ca="1" si="18"/>
        <v>10120.982222496661</v>
      </c>
      <c r="K67" s="80">
        <f t="shared" ca="1" si="19"/>
        <v>-17.416213716637458</v>
      </c>
      <c r="L67" s="80">
        <f t="shared" ca="1" si="20"/>
        <v>0</v>
      </c>
      <c r="M67" s="80">
        <f t="shared" ca="1" si="21"/>
        <v>0</v>
      </c>
      <c r="N67" s="80">
        <f t="shared" ca="1" si="22"/>
        <v>0</v>
      </c>
      <c r="O67" s="81">
        <f t="shared" ca="1" si="2"/>
        <v>-14556.475444410067</v>
      </c>
      <c r="P67" s="79">
        <f t="shared" ca="1" si="3"/>
        <v>1479237.1976306764</v>
      </c>
      <c r="Q67" s="35"/>
      <c r="R67">
        <f t="shared" ca="1" si="23"/>
        <v>64</v>
      </c>
      <c r="S67" s="78">
        <f t="shared" ca="1" si="24"/>
        <v>67.040000000000006</v>
      </c>
      <c r="T67" s="55">
        <f t="shared" ca="1" si="25"/>
        <v>2.7282345997765578E-3</v>
      </c>
      <c r="U67" s="78">
        <f t="shared" ca="1" si="26"/>
        <v>0.87081068583187293</v>
      </c>
      <c r="V67" s="79">
        <f t="shared" ca="1" si="27"/>
        <v>1483690.1070663063</v>
      </c>
      <c r="W67" s="79">
        <f t="shared" ca="1" si="5"/>
        <v>10120.982222496661</v>
      </c>
      <c r="X67" s="80">
        <f t="shared" ca="1" si="6"/>
        <v>-17.416213716637458</v>
      </c>
      <c r="Y67" s="80">
        <f t="shared" ca="1" si="28"/>
        <v>0</v>
      </c>
      <c r="Z67" s="80">
        <f t="shared" ca="1" si="7"/>
        <v>0</v>
      </c>
      <c r="AA67" s="80">
        <f t="shared" ca="1" si="29"/>
        <v>0</v>
      </c>
      <c r="AB67" s="81">
        <f t="shared" ca="1" si="8"/>
        <v>-14556.475444410067</v>
      </c>
      <c r="AC67" s="79">
        <f t="shared" ca="1" si="9"/>
        <v>1479237.1976306764</v>
      </c>
      <c r="AD67" s="35"/>
      <c r="AE67" s="62">
        <f t="shared" ca="1" si="10"/>
        <v>-16716.004616439077</v>
      </c>
      <c r="AF67" s="62">
        <f t="shared" ca="1" si="11"/>
        <v>1698689.7631114649</v>
      </c>
      <c r="AG67" s="35"/>
      <c r="AH67" s="35"/>
      <c r="AI67" s="35"/>
      <c r="AJ67" s="65">
        <v>81</v>
      </c>
      <c r="AK67" s="66">
        <f>'SA85-90'!F73*(1+$AH$22)</f>
        <v>0.107712</v>
      </c>
      <c r="AL67" s="66">
        <f>'SA85-90 (light)'!F73*(1+$AH$22)</f>
        <v>0.107822</v>
      </c>
      <c r="AM67" s="66">
        <f t="shared" si="36"/>
        <v>125</v>
      </c>
      <c r="AN67" s="66">
        <f t="shared" si="37"/>
        <v>0</v>
      </c>
      <c r="AO67" s="67">
        <f t="shared" si="38"/>
        <v>2.3591494769026569E-5</v>
      </c>
      <c r="AP67" s="68">
        <f t="shared" ca="1" si="47"/>
        <v>1.3825535231260118E-7</v>
      </c>
      <c r="AR67" s="69">
        <f t="shared" si="31"/>
        <v>6</v>
      </c>
      <c r="AS67" s="70">
        <f t="shared" si="39"/>
        <v>64</v>
      </c>
      <c r="AT67" s="71">
        <f t="shared" si="40"/>
        <v>0.64527968846811545</v>
      </c>
      <c r="AU67" s="72">
        <f t="shared" si="12"/>
        <v>6.8214933659622723E-3</v>
      </c>
      <c r="AV67" s="73">
        <f t="shared" si="32"/>
        <v>1.0068214933659623</v>
      </c>
      <c r="AW67" s="74">
        <f>PRODUCT(AV$4:AV67)</f>
        <v>1.5451071550430213</v>
      </c>
      <c r="AY67" s="75">
        <f t="shared" si="41"/>
        <v>64</v>
      </c>
      <c r="AZ67" s="76">
        <f t="shared" ca="1" si="51"/>
        <v>1.0068214933659623</v>
      </c>
      <c r="BA67" s="76">
        <f t="shared" ca="1" si="51"/>
        <v>1.0068214933659623</v>
      </c>
      <c r="BB67" s="76">
        <f t="shared" ca="1" si="51"/>
        <v>1.0068214933659623</v>
      </c>
      <c r="BC67" s="76">
        <f t="shared" ca="1" si="51"/>
        <v>1.0068214933659623</v>
      </c>
      <c r="BD67" s="76">
        <f t="shared" ca="1" si="51"/>
        <v>1.0068214933659623</v>
      </c>
      <c r="BE67" s="76">
        <f t="shared" ca="1" si="51"/>
        <v>1.0068214933659623</v>
      </c>
      <c r="BF67" s="76">
        <f t="shared" ca="1" si="51"/>
        <v>1.0068214933659623</v>
      </c>
      <c r="BG67" s="76">
        <f t="shared" ca="1" si="51"/>
        <v>1.0068214933659623</v>
      </c>
      <c r="BH67" s="76">
        <f t="shared" ca="1" si="51"/>
        <v>1.0068214933659623</v>
      </c>
      <c r="BI67" s="76">
        <f t="shared" ca="1" si="51"/>
        <v>1.0068214933659623</v>
      </c>
      <c r="BJ67" s="76">
        <f t="shared" ca="1" si="51"/>
        <v>1.0068214933659623</v>
      </c>
      <c r="BK67" s="76">
        <f t="shared" ca="1" si="51"/>
        <v>1.0068214933659623</v>
      </c>
      <c r="BL67" s="76">
        <f t="shared" ca="1" si="46"/>
        <v>8.5000000000000853E-2</v>
      </c>
      <c r="BM67" s="77">
        <f t="shared" ca="1" si="48"/>
        <v>185.14127226350317</v>
      </c>
    </row>
    <row r="68" spans="5:65">
      <c r="E68">
        <f t="shared" si="35"/>
        <v>65</v>
      </c>
      <c r="F68" s="64">
        <f t="shared" si="15"/>
        <v>67.12</v>
      </c>
      <c r="G68" s="55">
        <f t="shared" si="16"/>
        <v>2.7282345997765578E-3</v>
      </c>
      <c r="H68" s="78">
        <f t="shared" si="42"/>
        <v>0.86843490998893125</v>
      </c>
      <c r="I68" s="79">
        <f t="shared" ca="1" si="17"/>
        <v>1475201.491526824</v>
      </c>
      <c r="J68" s="79">
        <f t="shared" ca="1" si="18"/>
        <v>10063.077187907878</v>
      </c>
      <c r="K68" s="80">
        <f t="shared" ca="1" si="19"/>
        <v>-17.368698199778624</v>
      </c>
      <c r="L68" s="80">
        <f t="shared" ca="1" si="20"/>
        <v>0</v>
      </c>
      <c r="M68" s="80">
        <f t="shared" ca="1" si="21"/>
        <v>0</v>
      </c>
      <c r="N68" s="80">
        <f t="shared" ca="1" si="22"/>
        <v>0</v>
      </c>
      <c r="O68" s="81">
        <f t="shared" ref="O68:O131" ca="1" si="52">-MIN(IF(MOD(R68,IF($C$5="Annual",12,1))=0,1,0)*$C$33*U68/IF($C$5="Monthly",12,1),I68)</f>
        <v>-14516.761964451829</v>
      </c>
      <c r="P68" s="79">
        <f t="shared" ref="P68:P131" ca="1" si="53">SUM(I68:O68)</f>
        <v>1470730.4380520803</v>
      </c>
      <c r="Q68" s="35"/>
      <c r="R68">
        <f t="shared" ca="1" si="23"/>
        <v>65</v>
      </c>
      <c r="S68" s="78">
        <f t="shared" ca="1" si="24"/>
        <v>67.12</v>
      </c>
      <c r="T68" s="55">
        <f t="shared" ca="1" si="25"/>
        <v>2.7282345997765578E-3</v>
      </c>
      <c r="U68" s="78">
        <f t="shared" ca="1" si="26"/>
        <v>0.86843490998893125</v>
      </c>
      <c r="V68" s="79">
        <f t="shared" ca="1" si="27"/>
        <v>1475201.491526824</v>
      </c>
      <c r="W68" s="79">
        <f t="shared" ref="W68:W131" ca="1" si="54">(V68)*$AU68</f>
        <v>10063.077187907878</v>
      </c>
      <c r="X68" s="80">
        <f t="shared" ref="X68:X131" ca="1" si="55">IF(V68=0,0,-$C$19)*U68</f>
        <v>-17.368698199778624</v>
      </c>
      <c r="Y68" s="80">
        <f t="shared" ca="1" si="28"/>
        <v>0</v>
      </c>
      <c r="Z68" s="80">
        <f t="shared" ref="Z68:Z131" ca="1" si="56">-IF(MOD(R68-1,12)=0,1,0)*V68*($C$17)</f>
        <v>0</v>
      </c>
      <c r="AA68" s="80">
        <f t="shared" ca="1" si="29"/>
        <v>0</v>
      </c>
      <c r="AB68" s="81">
        <f t="shared" ref="AB68:AB131" ca="1" si="57">-MIN(IF(MOD(R68,IF($C$5="Annual",12,1))=0,1,0)*$C$33*U68/IF($C$5="Monthly",12,1),V68)</f>
        <v>-14516.761964451829</v>
      </c>
      <c r="AC68" s="79">
        <f t="shared" ref="AC68:AC131" ca="1" si="58">SUM(V68:AB68)</f>
        <v>1470730.4380520803</v>
      </c>
      <c r="AD68" s="35"/>
      <c r="AE68" s="62">
        <f t="shared" ref="AE68:AE131" ca="1" si="59">AB68/U68</f>
        <v>-16716.004616439077</v>
      </c>
      <c r="AF68" s="62">
        <f t="shared" ref="AF68:AF131" ca="1" si="60">AC68/U68</f>
        <v>1693541.3594449188</v>
      </c>
      <c r="AG68" s="35"/>
      <c r="AH68" s="35"/>
      <c r="AI68" s="35"/>
      <c r="AJ68" s="65">
        <v>82</v>
      </c>
      <c r="AK68" s="66">
        <f>'SA85-90'!F74*(1+$AH$22)</f>
        <v>0.11730400000000001</v>
      </c>
      <c r="AL68" s="66">
        <f>'SA85-90 (light)'!F74*(1+$AH$22)</f>
        <v>0.11744700000000001</v>
      </c>
      <c r="AM68" s="66">
        <f t="shared" si="36"/>
        <v>126</v>
      </c>
      <c r="AN68" s="66">
        <f t="shared" si="37"/>
        <v>0</v>
      </c>
      <c r="AO68" s="67">
        <f t="shared" si="38"/>
        <v>2.3591494769026569E-5</v>
      </c>
      <c r="AP68" s="68">
        <f t="shared" ca="1" si="47"/>
        <v>1.2742428784571528E-7</v>
      </c>
      <c r="AR68" s="69">
        <f t="shared" si="31"/>
        <v>6</v>
      </c>
      <c r="AS68" s="70">
        <f t="shared" si="39"/>
        <v>65</v>
      </c>
      <c r="AT68" s="71">
        <f t="shared" si="40"/>
        <v>0.64087791735403998</v>
      </c>
      <c r="AU68" s="72">
        <f t="shared" ref="AU68:AU131" si="61">((1+$AH$21)^(1/12))-1</f>
        <v>6.8214933659622723E-3</v>
      </c>
      <c r="AV68" s="73">
        <f t="shared" si="32"/>
        <v>1.0068214933659623</v>
      </c>
      <c r="AW68" s="74">
        <f>PRODUCT(AV$4:AV68)</f>
        <v>1.5556470932508482</v>
      </c>
      <c r="AY68" s="75">
        <f t="shared" si="41"/>
        <v>65</v>
      </c>
      <c r="AZ68" s="76">
        <f t="shared" ca="1" si="51"/>
        <v>1.0068214933659623</v>
      </c>
      <c r="BA68" s="76">
        <f t="shared" ca="1" si="51"/>
        <v>1.0068214933659623</v>
      </c>
      <c r="BB68" s="76">
        <f t="shared" ca="1" si="51"/>
        <v>1.0068214933659623</v>
      </c>
      <c r="BC68" s="76">
        <f t="shared" ca="1" si="51"/>
        <v>1.0068214933659623</v>
      </c>
      <c r="BD68" s="76">
        <f t="shared" ca="1" si="51"/>
        <v>1.0068214933659623</v>
      </c>
      <c r="BE68" s="76">
        <f t="shared" ca="1" si="51"/>
        <v>1.0068214933659623</v>
      </c>
      <c r="BF68" s="76">
        <f t="shared" ca="1" si="51"/>
        <v>1.0068214933659623</v>
      </c>
      <c r="BG68" s="76">
        <f t="shared" ca="1" si="51"/>
        <v>1.0068214933659623</v>
      </c>
      <c r="BH68" s="76">
        <f t="shared" ca="1" si="51"/>
        <v>1.0068214933659623</v>
      </c>
      <c r="BI68" s="76">
        <f t="shared" ca="1" si="51"/>
        <v>1.0068214933659623</v>
      </c>
      <c r="BJ68" s="76">
        <f t="shared" ca="1" si="51"/>
        <v>1.0068214933659623</v>
      </c>
      <c r="BK68" s="76">
        <f t="shared" ca="1" si="51"/>
        <v>1.0068214933659623</v>
      </c>
      <c r="BL68" s="76">
        <f t="shared" ref="BL68:BL99" ca="1" si="62">PRODUCT(AZ68:BK68)-1</f>
        <v>8.5000000000000853E-2</v>
      </c>
      <c r="BM68" s="77">
        <f t="shared" ca="1" si="48"/>
        <v>200.87828040590111</v>
      </c>
    </row>
    <row r="69" spans="5:65">
      <c r="E69">
        <f t="shared" si="35"/>
        <v>66</v>
      </c>
      <c r="F69" s="64">
        <f t="shared" ref="F69:F132" si="63">ROUND((E69-E68)/12+F68,2)</f>
        <v>67.2</v>
      </c>
      <c r="G69" s="55">
        <f t="shared" ref="G69:G132" si="64">(1-(1-IF(F69&gt;$AJ$90,0,VLOOKUP(ROUND(F69,0),$AJ$4:$AK$90,2,FALSE)))^(1/12))</f>
        <v>2.7282345997765578E-3</v>
      </c>
      <c r="H69" s="78">
        <f t="shared" si="42"/>
        <v>0.86606561581984565</v>
      </c>
      <c r="I69" s="79">
        <f t="shared" ref="I69:I132" ca="1" si="65">MAX(P68,0)*(1-G69)</f>
        <v>1466717.9403840422</v>
      </c>
      <c r="J69" s="79">
        <f t="shared" ref="J69:J132" ca="1" si="66">(I69)*$AU69</f>
        <v>10005.206700067592</v>
      </c>
      <c r="K69" s="80">
        <f t="shared" ref="K69:K132" ca="1" si="67">IF(I69=0,0,-$C$19)*H69</f>
        <v>-17.321312316396913</v>
      </c>
      <c r="L69" s="80">
        <f t="shared" ref="L69:L132" ca="1" si="68">IF(OR(I68+O68=0,K68=0),0,-I69*($C$16/12))</f>
        <v>0</v>
      </c>
      <c r="M69" s="80">
        <f t="shared" ref="M69:M132" ca="1" si="69">IF(OR(I68+O68=0,K68=0),0,-IF(MOD(E69-1,12)=0,1,0)*I69*($C$17))</f>
        <v>0</v>
      </c>
      <c r="N69" s="80">
        <f t="shared" ref="N69:N132" ca="1" si="70">IF(OR(I68+O68=0,K68=0),0,-I69*($C$18*(1+$C$20))/12)</f>
        <v>0</v>
      </c>
      <c r="O69" s="81">
        <f t="shared" ca="1" si="52"/>
        <v>-14477.156832183691</v>
      </c>
      <c r="P69" s="79">
        <f t="shared" ca="1" si="53"/>
        <v>1462228.6689396095</v>
      </c>
      <c r="Q69" s="35"/>
      <c r="R69">
        <f t="shared" ref="R69:R132" ca="1" si="71">R68+1</f>
        <v>66</v>
      </c>
      <c r="S69" s="78">
        <f t="shared" ref="S69:S132" ca="1" si="72">ROUND((R69-R68)/12+S68,2)</f>
        <v>67.2</v>
      </c>
      <c r="T69" s="55">
        <f t="shared" ref="T69:T132" ca="1" si="73">(1-(1-IF(S69&gt;$AJ$90,0,VLOOKUP(ROUND(S69,0),$AJ$4:$AK$90,2,FALSE)))^(1/12))</f>
        <v>2.7282345997765578E-3</v>
      </c>
      <c r="U69" s="78">
        <f t="shared" ref="U69:U132" ca="1" si="74">U68*(1-T69)</f>
        <v>0.86606561581984565</v>
      </c>
      <c r="V69" s="79">
        <f t="shared" ref="V69:V132" ca="1" si="75">MAX(AC68,0)*(1-T69)</f>
        <v>1466717.9403840422</v>
      </c>
      <c r="W69" s="79">
        <f t="shared" ca="1" si="54"/>
        <v>10005.206700067592</v>
      </c>
      <c r="X69" s="80">
        <f t="shared" ca="1" si="55"/>
        <v>-17.321312316396913</v>
      </c>
      <c r="Y69" s="80">
        <f t="shared" ref="Y69:Y132" ca="1" si="76">IF(OR(V68+AB68=0,X68=0),0,-V69*($C$16/12))</f>
        <v>0</v>
      </c>
      <c r="Z69" s="80">
        <f t="shared" ca="1" si="56"/>
        <v>0</v>
      </c>
      <c r="AA69" s="80">
        <f t="shared" ref="AA69:AA132" ca="1" si="77">IF(OR(V68+AB68=0,X68=0),0,-V69*($C$18*(1+$C$20))/12)</f>
        <v>0</v>
      </c>
      <c r="AB69" s="81">
        <f t="shared" ca="1" si="57"/>
        <v>-14477.156832183691</v>
      </c>
      <c r="AC69" s="79">
        <f t="shared" ca="1" si="58"/>
        <v>1462228.6689396095</v>
      </c>
      <c r="AD69" s="35"/>
      <c r="AE69" s="62">
        <f t="shared" ca="1" si="59"/>
        <v>-16716.004616439077</v>
      </c>
      <c r="AF69" s="62">
        <f t="shared" ca="1" si="60"/>
        <v>1688357.8359769159</v>
      </c>
      <c r="AG69" s="35"/>
      <c r="AH69" s="35"/>
      <c r="AI69" s="35"/>
      <c r="AJ69" s="65">
        <v>83</v>
      </c>
      <c r="AK69" s="66">
        <f>'SA85-90'!F75*(1+$AH$22)</f>
        <v>0.127743</v>
      </c>
      <c r="AL69" s="66">
        <f>'SA85-90 (light)'!F75*(1+$AH$22)</f>
        <v>0.12795200000000001</v>
      </c>
      <c r="AM69" s="66">
        <f t="shared" si="36"/>
        <v>127</v>
      </c>
      <c r="AN69" s="66">
        <f t="shared" si="37"/>
        <v>0</v>
      </c>
      <c r="AO69" s="67">
        <f t="shared" si="38"/>
        <v>2.3591494769026569E-5</v>
      </c>
      <c r="AP69" s="68">
        <f t="shared" ref="AP69:AP90" ca="1" si="78">AO69/BM68</f>
        <v>1.1744173994996789E-7</v>
      </c>
      <c r="AR69" s="69">
        <f t="shared" ref="AR69:AR132" si="79">ROUNDDOWN((AS69-1)/12,0)+1</f>
        <v>6</v>
      </c>
      <c r="AS69" s="70">
        <f t="shared" si="39"/>
        <v>66</v>
      </c>
      <c r="AT69" s="71">
        <f t="shared" si="40"/>
        <v>0.63650617289241773</v>
      </c>
      <c r="AU69" s="72">
        <f t="shared" si="61"/>
        <v>6.8214933659622723E-3</v>
      </c>
      <c r="AV69" s="73">
        <f t="shared" ref="AV69:AV132" si="80">(1+AU69)</f>
        <v>1.0068214933659623</v>
      </c>
      <c r="AW69" s="74">
        <f>PRODUCT(AV$4:AV69)</f>
        <v>1.5662589295772373</v>
      </c>
      <c r="AY69" s="75">
        <f t="shared" si="41"/>
        <v>66</v>
      </c>
      <c r="AZ69" s="76">
        <f t="shared" ca="1" si="51"/>
        <v>1.0068214933659623</v>
      </c>
      <c r="BA69" s="76">
        <f t="shared" ca="1" si="51"/>
        <v>1.0068214933659623</v>
      </c>
      <c r="BB69" s="76">
        <f t="shared" ca="1" si="51"/>
        <v>1.0068214933659623</v>
      </c>
      <c r="BC69" s="76">
        <f t="shared" ca="1" si="51"/>
        <v>1.0068214933659623</v>
      </c>
      <c r="BD69" s="76">
        <f t="shared" ca="1" si="51"/>
        <v>1.0068214933659623</v>
      </c>
      <c r="BE69" s="76">
        <f t="shared" ca="1" si="51"/>
        <v>1.0068214933659623</v>
      </c>
      <c r="BF69" s="76">
        <f t="shared" ca="1" si="51"/>
        <v>1.0068214933659623</v>
      </c>
      <c r="BG69" s="76">
        <f t="shared" ca="1" si="51"/>
        <v>1.0068214933659623</v>
      </c>
      <c r="BH69" s="76">
        <f t="shared" ca="1" si="51"/>
        <v>1.0068214933659623</v>
      </c>
      <c r="BI69" s="76">
        <f t="shared" ca="1" si="51"/>
        <v>1.0068214933659623</v>
      </c>
      <c r="BJ69" s="76">
        <f t="shared" ca="1" si="51"/>
        <v>1.0068214933659623</v>
      </c>
      <c r="BK69" s="76">
        <f t="shared" ca="1" si="51"/>
        <v>1.0068214933659623</v>
      </c>
      <c r="BL69" s="76">
        <f t="shared" ca="1" si="62"/>
        <v>8.5000000000000853E-2</v>
      </c>
      <c r="BM69" s="77">
        <f t="shared" ref="BM69:BM100" ca="1" si="81">PRODUCT(AZ69:BK69)*BM68</f>
        <v>217.95293424040287</v>
      </c>
    </row>
    <row r="70" spans="5:65">
      <c r="E70">
        <f t="shared" ref="E70:E133" si="82">E69+1</f>
        <v>67</v>
      </c>
      <c r="F70" s="64">
        <f t="shared" si="63"/>
        <v>67.28</v>
      </c>
      <c r="G70" s="55">
        <f t="shared" si="64"/>
        <v>2.7282345997765578E-3</v>
      </c>
      <c r="H70" s="78">
        <f t="shared" si="42"/>
        <v>0.86370278564108915</v>
      </c>
      <c r="I70" s="79">
        <f t="shared" ca="1" si="65"/>
        <v>1458239.3660922232</v>
      </c>
      <c r="J70" s="79">
        <f t="shared" ca="1" si="66"/>
        <v>9947.3701617831302</v>
      </c>
      <c r="K70" s="80">
        <f t="shared" ca="1" si="67"/>
        <v>-17.274055712821784</v>
      </c>
      <c r="L70" s="80">
        <f t="shared" ca="1" si="68"/>
        <v>0</v>
      </c>
      <c r="M70" s="80">
        <f t="shared" ca="1" si="69"/>
        <v>0</v>
      </c>
      <c r="N70" s="80">
        <f t="shared" ca="1" si="70"/>
        <v>0</v>
      </c>
      <c r="O70" s="81">
        <f t="shared" ca="1" si="52"/>
        <v>-14437.659752007739</v>
      </c>
      <c r="P70" s="79">
        <f t="shared" ca="1" si="53"/>
        <v>1453731.8024462857</v>
      </c>
      <c r="Q70" s="35"/>
      <c r="R70">
        <f t="shared" ca="1" si="71"/>
        <v>67</v>
      </c>
      <c r="S70" s="78">
        <f t="shared" ca="1" si="72"/>
        <v>67.28</v>
      </c>
      <c r="T70" s="55">
        <f t="shared" ca="1" si="73"/>
        <v>2.7282345997765578E-3</v>
      </c>
      <c r="U70" s="78">
        <f t="shared" ca="1" si="74"/>
        <v>0.86370278564108915</v>
      </c>
      <c r="V70" s="79">
        <f t="shared" ca="1" si="75"/>
        <v>1458239.3660922232</v>
      </c>
      <c r="W70" s="79">
        <f t="shared" ca="1" si="54"/>
        <v>9947.3701617831302</v>
      </c>
      <c r="X70" s="80">
        <f t="shared" ca="1" si="55"/>
        <v>-17.274055712821784</v>
      </c>
      <c r="Y70" s="80">
        <f t="shared" ca="1" si="76"/>
        <v>0</v>
      </c>
      <c r="Z70" s="80">
        <f t="shared" ca="1" si="56"/>
        <v>0</v>
      </c>
      <c r="AA70" s="80">
        <f t="shared" ca="1" si="77"/>
        <v>0</v>
      </c>
      <c r="AB70" s="81">
        <f t="shared" ca="1" si="57"/>
        <v>-14437.659752007739</v>
      </c>
      <c r="AC70" s="79">
        <f t="shared" ca="1" si="58"/>
        <v>1453731.8024462857</v>
      </c>
      <c r="AD70" s="35"/>
      <c r="AE70" s="62">
        <f t="shared" ca="1" si="59"/>
        <v>-16716.004616439081</v>
      </c>
      <c r="AF70" s="62">
        <f t="shared" ca="1" si="60"/>
        <v>1683138.9531379635</v>
      </c>
      <c r="AG70" s="35"/>
      <c r="AH70" s="35"/>
      <c r="AI70" s="35"/>
      <c r="AJ70" s="65">
        <v>84</v>
      </c>
      <c r="AK70" s="66">
        <f>'SA85-90'!F76*(1+$AH$22)</f>
        <v>0.13909500000000002</v>
      </c>
      <c r="AL70" s="66">
        <f>'SA85-90 (light)'!F76*(1+$AH$22)</f>
        <v>0.13937000000000002</v>
      </c>
      <c r="AM70" s="66">
        <f t="shared" ref="AM70:AM90" si="83">$C$3+E70-1</f>
        <v>128</v>
      </c>
      <c r="AN70" s="66">
        <f t="shared" ref="AN70:AN90" si="84">IF(AM70&gt;$AJ$90,0,VLOOKUP($C$3+E70-1,$AJ$4:$AK$90,2,FALSE))</f>
        <v>0</v>
      </c>
      <c r="AO70" s="67">
        <f t="shared" ref="AO70:AO90" si="85">(1-IFERROR(AN70,1))*AO69</f>
        <v>2.3591494769026569E-5</v>
      </c>
      <c r="AP70" s="68">
        <f t="shared" ca="1" si="78"/>
        <v>1.0824123497692885E-7</v>
      </c>
      <c r="AR70" s="69">
        <f t="shared" si="79"/>
        <v>6</v>
      </c>
      <c r="AS70" s="70">
        <f t="shared" ref="AS70:AS133" si="86">AS69+1</f>
        <v>67</v>
      </c>
      <c r="AT70" s="71">
        <f t="shared" ref="AT70:AT133" si="87">(1-AU70)*AT69</f>
        <v>0.63216425025663803</v>
      </c>
      <c r="AU70" s="72">
        <f t="shared" si="61"/>
        <v>6.8214933659622723E-3</v>
      </c>
      <c r="AV70" s="73">
        <f t="shared" si="80"/>
        <v>1.0068214933659623</v>
      </c>
      <c r="AW70" s="74">
        <f>PRODUCT(AV$4:AV70)</f>
        <v>1.5769431544747277</v>
      </c>
      <c r="AY70" s="75">
        <f t="shared" ref="AY70:AY133" si="88">AY69+1</f>
        <v>67</v>
      </c>
      <c r="AZ70" s="76">
        <f t="shared" ca="1" si="51"/>
        <v>1.0068214933659623</v>
      </c>
      <c r="BA70" s="76">
        <f t="shared" ca="1" si="51"/>
        <v>1.0068214933659623</v>
      </c>
      <c r="BB70" s="76">
        <f t="shared" ca="1" si="51"/>
        <v>1.0068214933659623</v>
      </c>
      <c r="BC70" s="76">
        <f t="shared" ca="1" si="51"/>
        <v>1.0068214933659623</v>
      </c>
      <c r="BD70" s="76">
        <f t="shared" ca="1" si="51"/>
        <v>1.0068214933659623</v>
      </c>
      <c r="BE70" s="76">
        <f t="shared" ca="1" si="51"/>
        <v>1.0068214933659623</v>
      </c>
      <c r="BF70" s="76">
        <f t="shared" ca="1" si="51"/>
        <v>1.0068214933659623</v>
      </c>
      <c r="BG70" s="76">
        <f t="shared" ca="1" si="51"/>
        <v>1.0068214933659623</v>
      </c>
      <c r="BH70" s="76">
        <f t="shared" ca="1" si="51"/>
        <v>1.0068214933659623</v>
      </c>
      <c r="BI70" s="76">
        <f t="shared" ca="1" si="51"/>
        <v>1.0068214933659623</v>
      </c>
      <c r="BJ70" s="76">
        <f t="shared" ca="1" si="51"/>
        <v>1.0068214933659623</v>
      </c>
      <c r="BK70" s="76">
        <f t="shared" ca="1" si="51"/>
        <v>1.0068214933659623</v>
      </c>
      <c r="BL70" s="76">
        <f t="shared" ca="1" si="62"/>
        <v>8.5000000000000853E-2</v>
      </c>
      <c r="BM70" s="77">
        <f t="shared" ca="1" si="81"/>
        <v>236.47893365083729</v>
      </c>
    </row>
    <row r="71" spans="5:65">
      <c r="E71">
        <f t="shared" si="82"/>
        <v>68</v>
      </c>
      <c r="F71" s="64">
        <f t="shared" si="63"/>
        <v>67.36</v>
      </c>
      <c r="G71" s="55">
        <f t="shared" si="64"/>
        <v>2.7282345997765578E-3</v>
      </c>
      <c r="H71" s="78">
        <f t="shared" ref="H71:H134" si="89">H70*(1-G71)</f>
        <v>0.86134640181737976</v>
      </c>
      <c r="I71" s="79">
        <f t="shared" ca="1" si="65"/>
        <v>1449765.6810440563</v>
      </c>
      <c r="J71" s="79">
        <f t="shared" ca="1" si="66"/>
        <v>9889.566975441805</v>
      </c>
      <c r="K71" s="80">
        <f t="shared" ca="1" si="67"/>
        <v>-17.226928036347594</v>
      </c>
      <c r="L71" s="80">
        <f t="shared" ca="1" si="68"/>
        <v>0</v>
      </c>
      <c r="M71" s="80">
        <f t="shared" ca="1" si="69"/>
        <v>0</v>
      </c>
      <c r="N71" s="80">
        <f t="shared" ca="1" si="70"/>
        <v>0</v>
      </c>
      <c r="O71" s="81">
        <f t="shared" ca="1" si="52"/>
        <v>-14398.270429132508</v>
      </c>
      <c r="P71" s="79">
        <f t="shared" ca="1" si="53"/>
        <v>1445239.7506623291</v>
      </c>
      <c r="Q71" s="35"/>
      <c r="R71">
        <f t="shared" ca="1" si="71"/>
        <v>68</v>
      </c>
      <c r="S71" s="78">
        <f t="shared" ca="1" si="72"/>
        <v>67.36</v>
      </c>
      <c r="T71" s="55">
        <f t="shared" ca="1" si="73"/>
        <v>2.7282345997765578E-3</v>
      </c>
      <c r="U71" s="78">
        <f t="shared" ca="1" si="74"/>
        <v>0.86134640181737976</v>
      </c>
      <c r="V71" s="79">
        <f t="shared" ca="1" si="75"/>
        <v>1449765.6810440563</v>
      </c>
      <c r="W71" s="79">
        <f t="shared" ca="1" si="54"/>
        <v>9889.566975441805</v>
      </c>
      <c r="X71" s="80">
        <f t="shared" ca="1" si="55"/>
        <v>-17.226928036347594</v>
      </c>
      <c r="Y71" s="80">
        <f t="shared" ca="1" si="76"/>
        <v>0</v>
      </c>
      <c r="Z71" s="80">
        <f t="shared" ca="1" si="56"/>
        <v>0</v>
      </c>
      <c r="AA71" s="80">
        <f t="shared" ca="1" si="77"/>
        <v>0</v>
      </c>
      <c r="AB71" s="81">
        <f t="shared" ca="1" si="57"/>
        <v>-14398.270429132508</v>
      </c>
      <c r="AC71" s="79">
        <f t="shared" ca="1" si="58"/>
        <v>1445239.7506623291</v>
      </c>
      <c r="AD71" s="35"/>
      <c r="AE71" s="62">
        <f t="shared" ca="1" si="59"/>
        <v>-16716.004616439077</v>
      </c>
      <c r="AF71" s="62">
        <f t="shared" ca="1" si="60"/>
        <v>1677884.4697243476</v>
      </c>
      <c r="AG71" s="35"/>
      <c r="AH71" s="35"/>
      <c r="AI71" s="35"/>
      <c r="AJ71" s="65">
        <v>85</v>
      </c>
      <c r="AK71" s="66">
        <f>'SA85-90'!F77*(1+$AH$22)</f>
        <v>0.15140400000000004</v>
      </c>
      <c r="AL71" s="66">
        <f>'SA85-90 (light)'!F77*(1+$AH$22)</f>
        <v>0.15178900000000001</v>
      </c>
      <c r="AM71" s="66">
        <f t="shared" si="83"/>
        <v>129</v>
      </c>
      <c r="AN71" s="66">
        <f t="shared" si="84"/>
        <v>0</v>
      </c>
      <c r="AO71" s="67">
        <f t="shared" si="85"/>
        <v>2.3591494769026569E-5</v>
      </c>
      <c r="AP71" s="68">
        <f t="shared" ca="1" si="78"/>
        <v>9.9761506891178595E-8</v>
      </c>
      <c r="AR71" s="69">
        <f t="shared" si="79"/>
        <v>6</v>
      </c>
      <c r="AS71" s="70">
        <f t="shared" si="86"/>
        <v>68</v>
      </c>
      <c r="AT71" s="71">
        <f t="shared" si="87"/>
        <v>0.62785194601731387</v>
      </c>
      <c r="AU71" s="72">
        <f t="shared" si="61"/>
        <v>6.8214933659622723E-3</v>
      </c>
      <c r="AV71" s="73">
        <f t="shared" si="80"/>
        <v>1.0068214933659623</v>
      </c>
      <c r="AW71" s="74">
        <f>PRODUCT(AV$4:AV71)</f>
        <v>1.5877002617414766</v>
      </c>
      <c r="AY71" s="75">
        <f t="shared" si="88"/>
        <v>68</v>
      </c>
      <c r="AZ71" s="76">
        <f t="shared" ca="1" si="51"/>
        <v>1.0068214933659623</v>
      </c>
      <c r="BA71" s="76">
        <f t="shared" ca="1" si="51"/>
        <v>1.0068214933659623</v>
      </c>
      <c r="BB71" s="76">
        <f t="shared" ca="1" si="51"/>
        <v>1.0068214933659623</v>
      </c>
      <c r="BC71" s="76">
        <f t="shared" ca="1" si="51"/>
        <v>1.0068214933659623</v>
      </c>
      <c r="BD71" s="76">
        <f t="shared" ca="1" si="51"/>
        <v>1.0068214933659623</v>
      </c>
      <c r="BE71" s="76">
        <f t="shared" ca="1" si="51"/>
        <v>1.0068214933659623</v>
      </c>
      <c r="BF71" s="76">
        <f t="shared" ca="1" si="51"/>
        <v>1.0068214933659623</v>
      </c>
      <c r="BG71" s="76">
        <f t="shared" ca="1" si="51"/>
        <v>1.0068214933659623</v>
      </c>
      <c r="BH71" s="76">
        <f t="shared" ca="1" si="51"/>
        <v>1.0068214933659623</v>
      </c>
      <c r="BI71" s="76">
        <f t="shared" ca="1" si="51"/>
        <v>1.0068214933659623</v>
      </c>
      <c r="BJ71" s="76">
        <f t="shared" ca="1" si="51"/>
        <v>1.0068214933659623</v>
      </c>
      <c r="BK71" s="76">
        <f t="shared" ca="1" si="51"/>
        <v>1.0068214933659623</v>
      </c>
      <c r="BL71" s="76">
        <f t="shared" ca="1" si="62"/>
        <v>8.5000000000000853E-2</v>
      </c>
      <c r="BM71" s="77">
        <f t="shared" ca="1" si="81"/>
        <v>256.57964301115868</v>
      </c>
    </row>
    <row r="72" spans="5:65">
      <c r="E72">
        <f t="shared" si="82"/>
        <v>69</v>
      </c>
      <c r="F72" s="64">
        <f t="shared" si="63"/>
        <v>67.44</v>
      </c>
      <c r="G72" s="55">
        <f t="shared" si="64"/>
        <v>2.7282345997765578E-3</v>
      </c>
      <c r="H72" s="78">
        <f t="shared" si="89"/>
        <v>0.85899644676154852</v>
      </c>
      <c r="I72" s="79">
        <f t="shared" ca="1" si="65"/>
        <v>1441296.7975695997</v>
      </c>
      <c r="J72" s="79">
        <f t="shared" ca="1" si="66"/>
        <v>9831.7965430036929</v>
      </c>
      <c r="K72" s="80">
        <f t="shared" ca="1" si="67"/>
        <v>-17.179928935230969</v>
      </c>
      <c r="L72" s="80">
        <f t="shared" ca="1" si="68"/>
        <v>0</v>
      </c>
      <c r="M72" s="80">
        <f t="shared" ca="1" si="69"/>
        <v>0</v>
      </c>
      <c r="N72" s="80">
        <f t="shared" ca="1" si="70"/>
        <v>0</v>
      </c>
      <c r="O72" s="81">
        <f t="shared" ca="1" si="52"/>
        <v>-14358.988569570809</v>
      </c>
      <c r="P72" s="79">
        <f t="shared" ca="1" si="53"/>
        <v>1436752.4256140976</v>
      </c>
      <c r="Q72" s="35"/>
      <c r="R72">
        <f t="shared" ca="1" si="71"/>
        <v>69</v>
      </c>
      <c r="S72" s="78">
        <f t="shared" ca="1" si="72"/>
        <v>67.44</v>
      </c>
      <c r="T72" s="55">
        <f t="shared" ca="1" si="73"/>
        <v>2.7282345997765578E-3</v>
      </c>
      <c r="U72" s="78">
        <f t="shared" ca="1" si="74"/>
        <v>0.85899644676154852</v>
      </c>
      <c r="V72" s="79">
        <f t="shared" ca="1" si="75"/>
        <v>1441296.7975695997</v>
      </c>
      <c r="W72" s="79">
        <f t="shared" ca="1" si="54"/>
        <v>9831.7965430036929</v>
      </c>
      <c r="X72" s="80">
        <f t="shared" ca="1" si="55"/>
        <v>-17.179928935230969</v>
      </c>
      <c r="Y72" s="80">
        <f t="shared" ca="1" si="76"/>
        <v>0</v>
      </c>
      <c r="Z72" s="80">
        <f t="shared" ca="1" si="56"/>
        <v>0</v>
      </c>
      <c r="AA72" s="80">
        <f t="shared" ca="1" si="77"/>
        <v>0</v>
      </c>
      <c r="AB72" s="81">
        <f t="shared" ca="1" si="57"/>
        <v>-14358.988569570809</v>
      </c>
      <c r="AC72" s="79">
        <f t="shared" ca="1" si="58"/>
        <v>1436752.4256140976</v>
      </c>
      <c r="AD72" s="35"/>
      <c r="AE72" s="62">
        <f t="shared" ca="1" si="59"/>
        <v>-16716.004616439077</v>
      </c>
      <c r="AF72" s="62">
        <f t="shared" ca="1" si="60"/>
        <v>1672594.1428869846</v>
      </c>
      <c r="AG72" s="35"/>
      <c r="AH72" s="35"/>
      <c r="AI72" s="35"/>
      <c r="AJ72" s="65">
        <v>86</v>
      </c>
      <c r="AK72" s="66">
        <f>'SA85-90'!F78*(1+$AH$22)</f>
        <v>0.16473600000000002</v>
      </c>
      <c r="AL72" s="66">
        <f>'SA85-90 (light)'!F78*(1+$AH$22)</f>
        <v>0.16525300000000001</v>
      </c>
      <c r="AM72" s="66">
        <f t="shared" si="83"/>
        <v>130</v>
      </c>
      <c r="AN72" s="66">
        <f t="shared" si="84"/>
        <v>0</v>
      </c>
      <c r="AO72" s="67">
        <f t="shared" si="85"/>
        <v>2.3591494769026569E-5</v>
      </c>
      <c r="AP72" s="68">
        <f t="shared" ca="1" si="78"/>
        <v>9.1946089300625347E-8</v>
      </c>
      <c r="AR72" s="69">
        <f t="shared" si="79"/>
        <v>6</v>
      </c>
      <c r="AS72" s="70">
        <f t="shared" si="86"/>
        <v>69</v>
      </c>
      <c r="AT72" s="71">
        <f t="shared" si="87"/>
        <v>0.62356905813275021</v>
      </c>
      <c r="AU72" s="72">
        <f t="shared" si="61"/>
        <v>6.8214933659622723E-3</v>
      </c>
      <c r="AV72" s="73">
        <f t="shared" si="80"/>
        <v>1.0068214933659623</v>
      </c>
      <c r="AW72" s="74">
        <f>PRODUCT(AV$4:AV72)</f>
        <v>1.5985307485440827</v>
      </c>
      <c r="AY72" s="75">
        <f t="shared" si="88"/>
        <v>69</v>
      </c>
      <c r="AZ72" s="76">
        <f t="shared" ca="1" si="51"/>
        <v>1.0068214933659623</v>
      </c>
      <c r="BA72" s="76">
        <f t="shared" ca="1" si="51"/>
        <v>1.0068214933659623</v>
      </c>
      <c r="BB72" s="76">
        <f t="shared" ca="1" si="51"/>
        <v>1.0068214933659623</v>
      </c>
      <c r="BC72" s="76">
        <f t="shared" ca="1" si="51"/>
        <v>1.0068214933659623</v>
      </c>
      <c r="BD72" s="76">
        <f t="shared" ca="1" si="51"/>
        <v>1.0068214933659623</v>
      </c>
      <c r="BE72" s="76">
        <f t="shared" ca="1" si="51"/>
        <v>1.0068214933659623</v>
      </c>
      <c r="BF72" s="76">
        <f t="shared" ca="1" si="51"/>
        <v>1.0068214933659623</v>
      </c>
      <c r="BG72" s="76">
        <f t="shared" ca="1" si="51"/>
        <v>1.0068214933659623</v>
      </c>
      <c r="BH72" s="76">
        <f t="shared" ca="1" si="51"/>
        <v>1.0068214933659623</v>
      </c>
      <c r="BI72" s="76">
        <f t="shared" ca="1" si="51"/>
        <v>1.0068214933659623</v>
      </c>
      <c r="BJ72" s="76">
        <f t="shared" ca="1" si="51"/>
        <v>1.0068214933659623</v>
      </c>
      <c r="BK72" s="76">
        <f t="shared" ca="1" si="51"/>
        <v>1.0068214933659623</v>
      </c>
      <c r="BL72" s="76">
        <f t="shared" ca="1" si="62"/>
        <v>8.5000000000000853E-2</v>
      </c>
      <c r="BM72" s="77">
        <f t="shared" ca="1" si="81"/>
        <v>278.38891266710738</v>
      </c>
    </row>
    <row r="73" spans="5:65">
      <c r="E73">
        <f t="shared" si="82"/>
        <v>70</v>
      </c>
      <c r="F73" s="64">
        <f t="shared" si="63"/>
        <v>67.52</v>
      </c>
      <c r="G73" s="55">
        <f t="shared" si="64"/>
        <v>2.9921707961534372E-3</v>
      </c>
      <c r="H73" s="78">
        <f t="shared" si="89"/>
        <v>0.85642618267954906</v>
      </c>
      <c r="I73" s="79">
        <f t="shared" ca="1" si="65"/>
        <v>1432453.4169648725</v>
      </c>
      <c r="J73" s="79">
        <f t="shared" ca="1" si="66"/>
        <v>9771.4714808758672</v>
      </c>
      <c r="K73" s="80">
        <f t="shared" ca="1" si="67"/>
        <v>-17.128523653590982</v>
      </c>
      <c r="L73" s="80">
        <f t="shared" ca="1" si="68"/>
        <v>0</v>
      </c>
      <c r="M73" s="80">
        <f t="shared" ca="1" si="69"/>
        <v>0</v>
      </c>
      <c r="N73" s="80">
        <f t="shared" ca="1" si="70"/>
        <v>0</v>
      </c>
      <c r="O73" s="81">
        <f t="shared" ca="1" si="52"/>
        <v>-14316.02402331064</v>
      </c>
      <c r="P73" s="79">
        <f t="shared" ca="1" si="53"/>
        <v>1427891.7358987841</v>
      </c>
      <c r="Q73" s="35"/>
      <c r="R73">
        <f t="shared" ca="1" si="71"/>
        <v>70</v>
      </c>
      <c r="S73" s="78">
        <f t="shared" ca="1" si="72"/>
        <v>67.52</v>
      </c>
      <c r="T73" s="55">
        <f t="shared" ca="1" si="73"/>
        <v>2.9921707961534372E-3</v>
      </c>
      <c r="U73" s="78">
        <f t="shared" ca="1" si="74"/>
        <v>0.85642618267954906</v>
      </c>
      <c r="V73" s="79">
        <f t="shared" ca="1" si="75"/>
        <v>1432453.4169648725</v>
      </c>
      <c r="W73" s="79">
        <f t="shared" ca="1" si="54"/>
        <v>9771.4714808758672</v>
      </c>
      <c r="X73" s="80">
        <f t="shared" ca="1" si="55"/>
        <v>-17.128523653590982</v>
      </c>
      <c r="Y73" s="80">
        <f t="shared" ca="1" si="76"/>
        <v>0</v>
      </c>
      <c r="Z73" s="80">
        <f t="shared" ca="1" si="56"/>
        <v>0</v>
      </c>
      <c r="AA73" s="80">
        <f t="shared" ca="1" si="77"/>
        <v>0</v>
      </c>
      <c r="AB73" s="81">
        <f t="shared" ca="1" si="57"/>
        <v>-14316.02402331064</v>
      </c>
      <c r="AC73" s="79">
        <f t="shared" ca="1" si="58"/>
        <v>1427891.7358987841</v>
      </c>
      <c r="AD73" s="35"/>
      <c r="AE73" s="62">
        <f t="shared" ca="1" si="59"/>
        <v>-16716.004616439077</v>
      </c>
      <c r="AF73" s="62">
        <f t="shared" ca="1" si="60"/>
        <v>1667267.7281201964</v>
      </c>
      <c r="AG73" s="35"/>
      <c r="AH73" s="35"/>
      <c r="AI73" s="35"/>
      <c r="AJ73" s="65">
        <v>87</v>
      </c>
      <c r="AK73" s="66">
        <f>'SA85-90'!F79*(1+$AH$22)</f>
        <v>0.17914600000000003</v>
      </c>
      <c r="AL73" s="66">
        <f>'SA85-90 (light)'!F79*(1+$AH$22)</f>
        <v>0.17982799999999999</v>
      </c>
      <c r="AM73" s="66">
        <f t="shared" si="83"/>
        <v>131</v>
      </c>
      <c r="AN73" s="66">
        <f t="shared" si="84"/>
        <v>0</v>
      </c>
      <c r="AO73" s="67">
        <f t="shared" si="85"/>
        <v>2.3591494769026569E-5</v>
      </c>
      <c r="AP73" s="68">
        <f t="shared" ca="1" si="78"/>
        <v>8.4742939447580902E-8</v>
      </c>
      <c r="AR73" s="69">
        <f t="shared" si="79"/>
        <v>6</v>
      </c>
      <c r="AS73" s="70">
        <f t="shared" si="86"/>
        <v>70</v>
      </c>
      <c r="AT73" s="71">
        <f t="shared" si="87"/>
        <v>0.61931538593947832</v>
      </c>
      <c r="AU73" s="72">
        <f t="shared" si="61"/>
        <v>6.8214933659622723E-3</v>
      </c>
      <c r="AV73" s="73">
        <f t="shared" si="80"/>
        <v>1.0068214933659623</v>
      </c>
      <c r="AW73" s="74">
        <f>PRODUCT(AV$4:AV73)</f>
        <v>1.6094351154405628</v>
      </c>
      <c r="AY73" s="75">
        <f t="shared" si="88"/>
        <v>70</v>
      </c>
      <c r="AZ73" s="76">
        <f t="shared" ca="1" si="51"/>
        <v>1.0068214933659623</v>
      </c>
      <c r="BA73" s="76">
        <f t="shared" ca="1" si="51"/>
        <v>1.0068214933659623</v>
      </c>
      <c r="BB73" s="76">
        <f t="shared" ca="1" si="51"/>
        <v>1.0068214933659623</v>
      </c>
      <c r="BC73" s="76">
        <f t="shared" ca="1" si="51"/>
        <v>1.0068214933659623</v>
      </c>
      <c r="BD73" s="76">
        <f t="shared" ca="1" si="51"/>
        <v>1.0068214933659623</v>
      </c>
      <c r="BE73" s="76">
        <f t="shared" ca="1" si="51"/>
        <v>1.0068214933659623</v>
      </c>
      <c r="BF73" s="76">
        <f t="shared" ca="1" si="51"/>
        <v>1.0068214933659623</v>
      </c>
      <c r="BG73" s="76">
        <f t="shared" ca="1" si="51"/>
        <v>1.0068214933659623</v>
      </c>
      <c r="BH73" s="76">
        <f t="shared" ca="1" si="51"/>
        <v>1.0068214933659623</v>
      </c>
      <c r="BI73" s="76">
        <f t="shared" ca="1" si="51"/>
        <v>1.0068214933659623</v>
      </c>
      <c r="BJ73" s="76">
        <f t="shared" ca="1" si="51"/>
        <v>1.0068214933659623</v>
      </c>
      <c r="BK73" s="76">
        <f t="shared" ca="1" si="51"/>
        <v>1.0068214933659623</v>
      </c>
      <c r="BL73" s="76">
        <f t="shared" ca="1" si="62"/>
        <v>8.5000000000000853E-2</v>
      </c>
      <c r="BM73" s="77">
        <f t="shared" ca="1" si="81"/>
        <v>302.05197024381175</v>
      </c>
    </row>
    <row r="74" spans="5:65">
      <c r="E74">
        <f t="shared" si="82"/>
        <v>71</v>
      </c>
      <c r="F74" s="64">
        <f t="shared" si="63"/>
        <v>67.599999999999994</v>
      </c>
      <c r="G74" s="55">
        <f t="shared" si="64"/>
        <v>2.9921707961534372E-3</v>
      </c>
      <c r="H74" s="78">
        <f t="shared" si="89"/>
        <v>0.85386360926667415</v>
      </c>
      <c r="I74" s="79">
        <f t="shared" ca="1" si="65"/>
        <v>1423619.2399465588</v>
      </c>
      <c r="J74" s="79">
        <f t="shared" ca="1" si="66"/>
        <v>9711.2092009517037</v>
      </c>
      <c r="K74" s="80">
        <f t="shared" ca="1" si="67"/>
        <v>-17.077272185333484</v>
      </c>
      <c r="L74" s="80">
        <f t="shared" ca="1" si="68"/>
        <v>0</v>
      </c>
      <c r="M74" s="80">
        <f t="shared" ca="1" si="69"/>
        <v>0</v>
      </c>
      <c r="N74" s="80">
        <f t="shared" ca="1" si="70"/>
        <v>0</v>
      </c>
      <c r="O74" s="81">
        <f t="shared" ca="1" si="52"/>
        <v>-14273.188034311059</v>
      </c>
      <c r="P74" s="79">
        <f t="shared" ca="1" si="53"/>
        <v>1419040.183841014</v>
      </c>
      <c r="Q74" s="35"/>
      <c r="R74">
        <f t="shared" ca="1" si="71"/>
        <v>71</v>
      </c>
      <c r="S74" s="78">
        <f t="shared" ca="1" si="72"/>
        <v>67.599999999999994</v>
      </c>
      <c r="T74" s="55">
        <f t="shared" ca="1" si="73"/>
        <v>2.9921707961534372E-3</v>
      </c>
      <c r="U74" s="78">
        <f t="shared" ca="1" si="74"/>
        <v>0.85386360926667415</v>
      </c>
      <c r="V74" s="79">
        <f t="shared" ca="1" si="75"/>
        <v>1423619.2399465588</v>
      </c>
      <c r="W74" s="79">
        <f t="shared" ca="1" si="54"/>
        <v>9711.2092009517037</v>
      </c>
      <c r="X74" s="80">
        <f t="shared" ca="1" si="55"/>
        <v>-17.077272185333484</v>
      </c>
      <c r="Y74" s="80">
        <f t="shared" ca="1" si="76"/>
        <v>0</v>
      </c>
      <c r="Z74" s="80">
        <f t="shared" ca="1" si="56"/>
        <v>0</v>
      </c>
      <c r="AA74" s="80">
        <f t="shared" ca="1" si="77"/>
        <v>0</v>
      </c>
      <c r="AB74" s="81">
        <f t="shared" ca="1" si="57"/>
        <v>-14273.188034311059</v>
      </c>
      <c r="AC74" s="79">
        <f t="shared" ca="1" si="58"/>
        <v>1419040.183841014</v>
      </c>
      <c r="AD74" s="35"/>
      <c r="AE74" s="62">
        <f t="shared" ca="1" si="59"/>
        <v>-16716.004616439077</v>
      </c>
      <c r="AF74" s="62">
        <f t="shared" ca="1" si="60"/>
        <v>1661904.979250412</v>
      </c>
      <c r="AG74" s="35"/>
      <c r="AH74" s="35"/>
      <c r="AI74" s="35"/>
      <c r="AJ74" s="65">
        <v>88</v>
      </c>
      <c r="AK74" s="66">
        <f>'SA85-90'!F80*(1+$AH$22)</f>
        <v>0.19468900000000003</v>
      </c>
      <c r="AL74" s="66">
        <f>'SA85-90 (light)'!F80*(1+$AH$22)</f>
        <v>0.19556900000000002</v>
      </c>
      <c r="AM74" s="66">
        <f t="shared" si="83"/>
        <v>132</v>
      </c>
      <c r="AN74" s="66">
        <f t="shared" si="84"/>
        <v>0</v>
      </c>
      <c r="AO74" s="67">
        <f t="shared" si="85"/>
        <v>2.3591494769026569E-5</v>
      </c>
      <c r="AP74" s="68">
        <f t="shared" ca="1" si="78"/>
        <v>7.8104091656756533E-8</v>
      </c>
      <c r="AR74" s="69">
        <f t="shared" si="79"/>
        <v>6</v>
      </c>
      <c r="AS74" s="70">
        <f t="shared" si="86"/>
        <v>71</v>
      </c>
      <c r="AT74" s="71">
        <f t="shared" si="87"/>
        <v>0.61509073014285376</v>
      </c>
      <c r="AU74" s="72">
        <f t="shared" si="61"/>
        <v>6.8214933659622723E-3</v>
      </c>
      <c r="AV74" s="73">
        <f t="shared" si="80"/>
        <v>1.0068214933659623</v>
      </c>
      <c r="AW74" s="74">
        <f>PRODUCT(AV$4:AV74)</f>
        <v>1.6204138664034873</v>
      </c>
      <c r="AY74" s="75">
        <f t="shared" si="88"/>
        <v>71</v>
      </c>
      <c r="AZ74" s="76">
        <f t="shared" ca="1" si="51"/>
        <v>1.0068214933659623</v>
      </c>
      <c r="BA74" s="76">
        <f t="shared" ca="1" si="51"/>
        <v>1.0068214933659623</v>
      </c>
      <c r="BB74" s="76">
        <f t="shared" ca="1" si="51"/>
        <v>1.0068214933659623</v>
      </c>
      <c r="BC74" s="76">
        <f t="shared" ca="1" si="51"/>
        <v>1.0068214933659623</v>
      </c>
      <c r="BD74" s="76">
        <f t="shared" ca="1" si="51"/>
        <v>1.0068214933659623</v>
      </c>
      <c r="BE74" s="76">
        <f t="shared" ca="1" si="51"/>
        <v>1.0068214933659623</v>
      </c>
      <c r="BF74" s="76">
        <f t="shared" ca="1" si="51"/>
        <v>1.0068214933659623</v>
      </c>
      <c r="BG74" s="76">
        <f t="shared" ca="1" si="51"/>
        <v>1.0068214933659623</v>
      </c>
      <c r="BH74" s="76">
        <f t="shared" ca="1" si="51"/>
        <v>1.0068214933659623</v>
      </c>
      <c r="BI74" s="76">
        <f t="shared" ca="1" si="51"/>
        <v>1.0068214933659623</v>
      </c>
      <c r="BJ74" s="76">
        <f t="shared" ca="1" si="51"/>
        <v>1.0068214933659623</v>
      </c>
      <c r="BK74" s="76">
        <f t="shared" ca="1" si="51"/>
        <v>1.0068214933659623</v>
      </c>
      <c r="BL74" s="76">
        <f t="shared" ca="1" si="62"/>
        <v>8.5000000000000853E-2</v>
      </c>
      <c r="BM74" s="77">
        <f t="shared" ca="1" si="81"/>
        <v>327.72638771453603</v>
      </c>
    </row>
    <row r="75" spans="5:65">
      <c r="E75">
        <f t="shared" si="82"/>
        <v>72</v>
      </c>
      <c r="F75" s="64">
        <f t="shared" si="63"/>
        <v>67.680000000000007</v>
      </c>
      <c r="G75" s="55">
        <f t="shared" si="64"/>
        <v>2.9921707961534372E-3</v>
      </c>
      <c r="H75" s="78">
        <f t="shared" si="89"/>
        <v>0.8513087035111282</v>
      </c>
      <c r="I75" s="79">
        <f t="shared" ca="1" si="65"/>
        <v>1414794.1732443569</v>
      </c>
      <c r="J75" s="79">
        <f t="shared" ca="1" si="66"/>
        <v>9651.0090669884576</v>
      </c>
      <c r="K75" s="80">
        <f t="shared" ca="1" si="67"/>
        <v>-17.026174070222563</v>
      </c>
      <c r="L75" s="80">
        <f t="shared" ca="1" si="68"/>
        <v>0</v>
      </c>
      <c r="M75" s="80">
        <f t="shared" ca="1" si="69"/>
        <v>0</v>
      </c>
      <c r="N75" s="80">
        <f t="shared" ca="1" si="70"/>
        <v>0</v>
      </c>
      <c r="O75" s="81">
        <f t="shared" ca="1" si="52"/>
        <v>-14230.480217906785</v>
      </c>
      <c r="P75" s="79">
        <f t="shared" ca="1" si="53"/>
        <v>1410197.6759193682</v>
      </c>
      <c r="Q75" s="35"/>
      <c r="R75">
        <f t="shared" ca="1" si="71"/>
        <v>72</v>
      </c>
      <c r="S75" s="78">
        <f t="shared" ca="1" si="72"/>
        <v>67.680000000000007</v>
      </c>
      <c r="T75" s="55">
        <f t="shared" ca="1" si="73"/>
        <v>2.9921707961534372E-3</v>
      </c>
      <c r="U75" s="78">
        <f t="shared" ca="1" si="74"/>
        <v>0.8513087035111282</v>
      </c>
      <c r="V75" s="79">
        <f t="shared" ca="1" si="75"/>
        <v>1414794.1732443569</v>
      </c>
      <c r="W75" s="79">
        <f t="shared" ca="1" si="54"/>
        <v>9651.0090669884576</v>
      </c>
      <c r="X75" s="80">
        <f t="shared" ca="1" si="55"/>
        <v>-17.026174070222563</v>
      </c>
      <c r="Y75" s="80">
        <f t="shared" ca="1" si="76"/>
        <v>0</v>
      </c>
      <c r="Z75" s="80">
        <f t="shared" ca="1" si="56"/>
        <v>0</v>
      </c>
      <c r="AA75" s="80">
        <f t="shared" ca="1" si="77"/>
        <v>0</v>
      </c>
      <c r="AB75" s="81">
        <f t="shared" ca="1" si="57"/>
        <v>-14230.480217906785</v>
      </c>
      <c r="AC75" s="79">
        <f t="shared" ca="1" si="58"/>
        <v>1410197.6759193682</v>
      </c>
      <c r="AD75" s="35"/>
      <c r="AE75" s="62">
        <f t="shared" ca="1" si="59"/>
        <v>-16716.004616439077</v>
      </c>
      <c r="AF75" s="62">
        <f t="shared" ca="1" si="60"/>
        <v>1656505.6484247893</v>
      </c>
      <c r="AG75" s="35"/>
      <c r="AH75" s="35"/>
      <c r="AI75" s="35"/>
      <c r="AJ75" s="65">
        <v>89</v>
      </c>
      <c r="AK75" s="66">
        <f>'SA85-90'!F81*(1+$AH$22)</f>
        <v>0.21142000000000002</v>
      </c>
      <c r="AL75" s="66">
        <f>'SA85-90 (light)'!F81*(1+$AH$22)</f>
        <v>0.212531</v>
      </c>
      <c r="AM75" s="66">
        <f t="shared" si="83"/>
        <v>133</v>
      </c>
      <c r="AN75" s="66">
        <f t="shared" si="84"/>
        <v>0</v>
      </c>
      <c r="AO75" s="67">
        <f t="shared" si="85"/>
        <v>2.3591494769026569E-5</v>
      </c>
      <c r="AP75" s="68">
        <f t="shared" ca="1" si="78"/>
        <v>7.198533793249444E-8</v>
      </c>
      <c r="AR75" s="69">
        <f t="shared" si="79"/>
        <v>6</v>
      </c>
      <c r="AS75" s="70">
        <f t="shared" si="86"/>
        <v>72</v>
      </c>
      <c r="AT75" s="71">
        <f t="shared" si="87"/>
        <v>0.61089489280771936</v>
      </c>
      <c r="AU75" s="72">
        <f t="shared" si="61"/>
        <v>6.8214933659622723E-3</v>
      </c>
      <c r="AV75" s="73">
        <f t="shared" si="80"/>
        <v>1.0068214933659623</v>
      </c>
      <c r="AW75" s="74">
        <f>PRODUCT(AV$4:AV75)</f>
        <v>1.631467508843272</v>
      </c>
      <c r="AY75" s="75">
        <f t="shared" si="88"/>
        <v>72</v>
      </c>
      <c r="AZ75" s="76">
        <f t="shared" ref="AZ75:BK84" ca="1" si="90">OFFSET($AV$3,($AY75*12-12)+AZ$3,0)</f>
        <v>1.0068214933659623</v>
      </c>
      <c r="BA75" s="76">
        <f t="shared" ca="1" si="90"/>
        <v>1.0068214933659623</v>
      </c>
      <c r="BB75" s="76">
        <f t="shared" ca="1" si="90"/>
        <v>1.0068214933659623</v>
      </c>
      <c r="BC75" s="76">
        <f t="shared" ca="1" si="90"/>
        <v>1.0068214933659623</v>
      </c>
      <c r="BD75" s="76">
        <f t="shared" ca="1" si="90"/>
        <v>1.0068214933659623</v>
      </c>
      <c r="BE75" s="76">
        <f t="shared" ca="1" si="90"/>
        <v>1.0068214933659623</v>
      </c>
      <c r="BF75" s="76">
        <f t="shared" ca="1" si="90"/>
        <v>1.0068214933659623</v>
      </c>
      <c r="BG75" s="76">
        <f t="shared" ca="1" si="90"/>
        <v>1.0068214933659623</v>
      </c>
      <c r="BH75" s="76">
        <f t="shared" ca="1" si="90"/>
        <v>1.0068214933659623</v>
      </c>
      <c r="BI75" s="76">
        <f t="shared" ca="1" si="90"/>
        <v>1.0068214933659623</v>
      </c>
      <c r="BJ75" s="76">
        <f t="shared" ca="1" si="90"/>
        <v>1.0068214933659623</v>
      </c>
      <c r="BK75" s="76">
        <f t="shared" ca="1" si="90"/>
        <v>1.0068214933659623</v>
      </c>
      <c r="BL75" s="76">
        <f t="shared" ca="1" si="62"/>
        <v>8.5000000000000853E-2</v>
      </c>
      <c r="BM75" s="77">
        <f t="shared" ca="1" si="81"/>
        <v>355.58313067027188</v>
      </c>
    </row>
    <row r="76" spans="5:65">
      <c r="E76">
        <f t="shared" si="82"/>
        <v>73</v>
      </c>
      <c r="F76" s="64">
        <f t="shared" si="63"/>
        <v>67.760000000000005</v>
      </c>
      <c r="G76" s="55">
        <f t="shared" si="64"/>
        <v>2.9921707961534372E-3</v>
      </c>
      <c r="H76" s="78">
        <f t="shared" si="89"/>
        <v>0.84876144246997098</v>
      </c>
      <c r="I76" s="79">
        <f t="shared" ca="1" si="65"/>
        <v>1405978.1236166789</v>
      </c>
      <c r="J76" s="79">
        <f t="shared" ca="1" si="66"/>
        <v>9590.8704429392583</v>
      </c>
      <c r="K76" s="80">
        <f t="shared" ca="1" si="67"/>
        <v>-16.975228849399421</v>
      </c>
      <c r="L76" s="80">
        <f t="shared" ca="1" si="68"/>
        <v>0</v>
      </c>
      <c r="M76" s="80">
        <f t="shared" ca="1" si="69"/>
        <v>0</v>
      </c>
      <c r="N76" s="80">
        <f t="shared" ca="1" si="70"/>
        <v>0</v>
      </c>
      <c r="O76" s="81">
        <f t="shared" ca="1" si="52"/>
        <v>-14187.900190583525</v>
      </c>
      <c r="P76" s="79">
        <f t="shared" ca="1" si="53"/>
        <v>1401364.1186401853</v>
      </c>
      <c r="Q76" s="35"/>
      <c r="R76">
        <f t="shared" ca="1" si="71"/>
        <v>73</v>
      </c>
      <c r="S76" s="78">
        <f t="shared" ca="1" si="72"/>
        <v>67.760000000000005</v>
      </c>
      <c r="T76" s="55">
        <f t="shared" ca="1" si="73"/>
        <v>2.9921707961534372E-3</v>
      </c>
      <c r="U76" s="78">
        <f t="shared" ca="1" si="74"/>
        <v>0.84876144246997098</v>
      </c>
      <c r="V76" s="79">
        <f t="shared" ca="1" si="75"/>
        <v>1405978.1236166789</v>
      </c>
      <c r="W76" s="79">
        <f t="shared" ca="1" si="54"/>
        <v>9590.8704429392583</v>
      </c>
      <c r="X76" s="80">
        <f t="shared" ca="1" si="55"/>
        <v>-16.975228849399421</v>
      </c>
      <c r="Y76" s="80">
        <f t="shared" ca="1" si="76"/>
        <v>0</v>
      </c>
      <c r="Z76" s="80">
        <f t="shared" ca="1" si="56"/>
        <v>0</v>
      </c>
      <c r="AA76" s="80">
        <f t="shared" ca="1" si="77"/>
        <v>0</v>
      </c>
      <c r="AB76" s="81">
        <f t="shared" ca="1" si="57"/>
        <v>-14187.900190583525</v>
      </c>
      <c r="AC76" s="79">
        <f t="shared" ca="1" si="58"/>
        <v>1401364.1186401853</v>
      </c>
      <c r="AD76" s="35"/>
      <c r="AE76" s="62">
        <f t="shared" ca="1" si="59"/>
        <v>-16716.004616439077</v>
      </c>
      <c r="AF76" s="62">
        <f t="shared" ca="1" si="60"/>
        <v>1651069.4860997591</v>
      </c>
      <c r="AG76" s="35"/>
      <c r="AH76" s="35"/>
      <c r="AI76" s="35"/>
      <c r="AJ76" s="65">
        <v>90</v>
      </c>
      <c r="AK76" s="66">
        <f>'SA85-90'!F82*(1+$AH$22)</f>
        <v>0.22926200000000002</v>
      </c>
      <c r="AL76" s="66">
        <f>'SA85-90 (light)'!F82*(1+$AH$22)</f>
        <v>0.230549</v>
      </c>
      <c r="AM76" s="66">
        <f t="shared" si="83"/>
        <v>134</v>
      </c>
      <c r="AN76" s="66">
        <f t="shared" si="84"/>
        <v>0</v>
      </c>
      <c r="AO76" s="67">
        <f t="shared" si="85"/>
        <v>2.3591494769026569E-5</v>
      </c>
      <c r="AP76" s="68">
        <f t="shared" ca="1" si="78"/>
        <v>6.6345933578335831E-8</v>
      </c>
      <c r="AR76" s="69">
        <f t="shared" si="79"/>
        <v>7</v>
      </c>
      <c r="AS76" s="70">
        <f t="shared" si="86"/>
        <v>73</v>
      </c>
      <c r="AT76" s="71">
        <f t="shared" si="87"/>
        <v>0.60672767734913124</v>
      </c>
      <c r="AU76" s="72">
        <f t="shared" si="61"/>
        <v>6.8214933659622723E-3</v>
      </c>
      <c r="AV76" s="73">
        <f t="shared" si="80"/>
        <v>1.0068214933659623</v>
      </c>
      <c r="AW76" s="74">
        <f>PRODUCT(AV$4:AV76)</f>
        <v>1.6425965536316294</v>
      </c>
      <c r="AY76" s="75">
        <f t="shared" si="88"/>
        <v>73</v>
      </c>
      <c r="AZ76" s="76">
        <f t="shared" ca="1" si="90"/>
        <v>1.0068214933659623</v>
      </c>
      <c r="BA76" s="76">
        <f t="shared" ca="1" si="90"/>
        <v>1.0068214933659623</v>
      </c>
      <c r="BB76" s="76">
        <f t="shared" ca="1" si="90"/>
        <v>1.0068214933659623</v>
      </c>
      <c r="BC76" s="76">
        <f t="shared" ca="1" si="90"/>
        <v>1.0068214933659623</v>
      </c>
      <c r="BD76" s="76">
        <f t="shared" ca="1" si="90"/>
        <v>1.0068214933659623</v>
      </c>
      <c r="BE76" s="76">
        <f t="shared" ca="1" si="90"/>
        <v>1.0068214933659623</v>
      </c>
      <c r="BF76" s="76">
        <f t="shared" ca="1" si="90"/>
        <v>1.0068214933659623</v>
      </c>
      <c r="BG76" s="76">
        <f t="shared" ca="1" si="90"/>
        <v>1.0068214933659623</v>
      </c>
      <c r="BH76" s="76">
        <f t="shared" ca="1" si="90"/>
        <v>1.0068214933659623</v>
      </c>
      <c r="BI76" s="76">
        <f t="shared" ca="1" si="90"/>
        <v>1.0068214933659623</v>
      </c>
      <c r="BJ76" s="76">
        <f t="shared" ca="1" si="90"/>
        <v>1.0068214933659623</v>
      </c>
      <c r="BK76" s="76">
        <f t="shared" ca="1" si="90"/>
        <v>1.0068214933659623</v>
      </c>
      <c r="BL76" s="76">
        <f t="shared" ca="1" si="62"/>
        <v>8.5000000000000853E-2</v>
      </c>
      <c r="BM76" s="77">
        <f t="shared" ca="1" si="81"/>
        <v>385.80769677724533</v>
      </c>
    </row>
    <row r="77" spans="5:65">
      <c r="E77">
        <f t="shared" si="82"/>
        <v>74</v>
      </c>
      <c r="F77" s="64">
        <f t="shared" si="63"/>
        <v>67.84</v>
      </c>
      <c r="G77" s="55">
        <f t="shared" si="64"/>
        <v>2.9921707961534372E-3</v>
      </c>
      <c r="H77" s="78">
        <f t="shared" si="89"/>
        <v>0.84622180326891128</v>
      </c>
      <c r="I77" s="79">
        <f t="shared" ca="1" si="65"/>
        <v>1397170.997849613</v>
      </c>
      <c r="J77" s="79">
        <f t="shared" ca="1" si="66"/>
        <v>9530.7926929460227</v>
      </c>
      <c r="K77" s="80">
        <f t="shared" ca="1" si="67"/>
        <v>-16.924436065378224</v>
      </c>
      <c r="L77" s="80">
        <f t="shared" ca="1" si="68"/>
        <v>0</v>
      </c>
      <c r="M77" s="80">
        <f t="shared" ca="1" si="69"/>
        <v>0</v>
      </c>
      <c r="N77" s="80">
        <f t="shared" ca="1" si="70"/>
        <v>0</v>
      </c>
      <c r="O77" s="81">
        <f t="shared" ca="1" si="52"/>
        <v>-14145.447569974522</v>
      </c>
      <c r="P77" s="79">
        <f t="shared" ca="1" si="53"/>
        <v>1392539.4185365192</v>
      </c>
      <c r="Q77" s="35"/>
      <c r="R77">
        <f t="shared" ca="1" si="71"/>
        <v>74</v>
      </c>
      <c r="S77" s="78">
        <f t="shared" ca="1" si="72"/>
        <v>67.84</v>
      </c>
      <c r="T77" s="55">
        <f t="shared" ca="1" si="73"/>
        <v>2.9921707961534372E-3</v>
      </c>
      <c r="U77" s="78">
        <f t="shared" ca="1" si="74"/>
        <v>0.84622180326891128</v>
      </c>
      <c r="V77" s="79">
        <f t="shared" ca="1" si="75"/>
        <v>1397170.997849613</v>
      </c>
      <c r="W77" s="79">
        <f t="shared" ca="1" si="54"/>
        <v>9530.7926929460227</v>
      </c>
      <c r="X77" s="80">
        <f t="shared" ca="1" si="55"/>
        <v>-16.924436065378224</v>
      </c>
      <c r="Y77" s="80">
        <f t="shared" ca="1" si="76"/>
        <v>0</v>
      </c>
      <c r="Z77" s="80">
        <f t="shared" ca="1" si="56"/>
        <v>0</v>
      </c>
      <c r="AA77" s="80">
        <f t="shared" ca="1" si="77"/>
        <v>0</v>
      </c>
      <c r="AB77" s="81">
        <f t="shared" ca="1" si="57"/>
        <v>-14145.447569974522</v>
      </c>
      <c r="AC77" s="79">
        <f t="shared" ca="1" si="58"/>
        <v>1392539.4185365192</v>
      </c>
      <c r="AD77" s="35"/>
      <c r="AE77" s="62">
        <f t="shared" ca="1" si="59"/>
        <v>-16716.004616439077</v>
      </c>
      <c r="AF77" s="62">
        <f t="shared" ca="1" si="60"/>
        <v>1645596.2410294926</v>
      </c>
      <c r="AG77" s="35"/>
      <c r="AH77" s="35"/>
      <c r="AI77" s="35"/>
      <c r="AJ77" s="65">
        <v>91</v>
      </c>
      <c r="AK77" s="66">
        <f>'SA85-90'!F83*(1+$AH$22)</f>
        <v>0.24838000000000002</v>
      </c>
      <c r="AL77" s="66">
        <f>'SA85-90 (light)'!F83*(1+$AH$22)</f>
        <v>0.24985400000000002</v>
      </c>
      <c r="AM77" s="66">
        <f t="shared" si="83"/>
        <v>135</v>
      </c>
      <c r="AN77" s="66">
        <f t="shared" si="84"/>
        <v>0</v>
      </c>
      <c r="AO77" s="67">
        <f t="shared" si="85"/>
        <v>2.3591494769026569E-5</v>
      </c>
      <c r="AP77" s="68">
        <f t="shared" ca="1" si="78"/>
        <v>6.1148325878650477E-8</v>
      </c>
      <c r="AR77" s="69">
        <f t="shared" si="79"/>
        <v>7</v>
      </c>
      <c r="AS77" s="70">
        <f t="shared" si="86"/>
        <v>74</v>
      </c>
      <c r="AT77" s="71">
        <f t="shared" si="87"/>
        <v>0.6025888885231484</v>
      </c>
      <c r="AU77" s="72">
        <f t="shared" si="61"/>
        <v>6.8214933659622723E-3</v>
      </c>
      <c r="AV77" s="73">
        <f t="shared" si="80"/>
        <v>1.0068214933659623</v>
      </c>
      <c r="AW77" s="74">
        <f>PRODUCT(AV$4:AV77)</f>
        <v>1.6538015151251799</v>
      </c>
      <c r="AY77" s="75">
        <f t="shared" si="88"/>
        <v>74</v>
      </c>
      <c r="AZ77" s="76">
        <f t="shared" ca="1" si="90"/>
        <v>1.0068214933659623</v>
      </c>
      <c r="BA77" s="76">
        <f t="shared" ca="1" si="90"/>
        <v>1.0068214933659623</v>
      </c>
      <c r="BB77" s="76">
        <f t="shared" ca="1" si="90"/>
        <v>1.0068214933659623</v>
      </c>
      <c r="BC77" s="76">
        <f t="shared" ca="1" si="90"/>
        <v>1.0068214933659623</v>
      </c>
      <c r="BD77" s="76">
        <f t="shared" ca="1" si="90"/>
        <v>1.0068214933659623</v>
      </c>
      <c r="BE77" s="76">
        <f t="shared" ca="1" si="90"/>
        <v>1.0068214933659623</v>
      </c>
      <c r="BF77" s="76">
        <f t="shared" ca="1" si="90"/>
        <v>1.0068214933659623</v>
      </c>
      <c r="BG77" s="76">
        <f t="shared" ca="1" si="90"/>
        <v>1.0068214933659623</v>
      </c>
      <c r="BH77" s="76">
        <f t="shared" ca="1" si="90"/>
        <v>1.0068214933659623</v>
      </c>
      <c r="BI77" s="76">
        <f t="shared" ca="1" si="90"/>
        <v>1.0068214933659623</v>
      </c>
      <c r="BJ77" s="76">
        <f t="shared" ca="1" si="90"/>
        <v>1.0068214933659623</v>
      </c>
      <c r="BK77" s="76">
        <f t="shared" ca="1" si="90"/>
        <v>1.0068214933659623</v>
      </c>
      <c r="BL77" s="76">
        <f t="shared" ca="1" si="62"/>
        <v>8.5000000000000853E-2</v>
      </c>
      <c r="BM77" s="77">
        <f t="shared" ca="1" si="81"/>
        <v>418.60135100331149</v>
      </c>
    </row>
    <row r="78" spans="5:65">
      <c r="E78">
        <f t="shared" si="82"/>
        <v>75</v>
      </c>
      <c r="F78" s="64">
        <f t="shared" si="63"/>
        <v>67.92</v>
      </c>
      <c r="G78" s="55">
        <f t="shared" si="64"/>
        <v>2.9921707961534372E-3</v>
      </c>
      <c r="H78" s="78">
        <f t="shared" si="89"/>
        <v>0.84368976310210175</v>
      </c>
      <c r="I78" s="79">
        <f t="shared" ca="1" si="65"/>
        <v>1388372.7027558817</v>
      </c>
      <c r="J78" s="79">
        <f t="shared" ca="1" si="66"/>
        <v>9470.7751813323575</v>
      </c>
      <c r="K78" s="80">
        <f t="shared" ca="1" si="67"/>
        <v>-16.873795262042034</v>
      </c>
      <c r="L78" s="80">
        <f t="shared" ca="1" si="68"/>
        <v>0</v>
      </c>
      <c r="M78" s="80">
        <f t="shared" ca="1" si="69"/>
        <v>0</v>
      </c>
      <c r="N78" s="80">
        <f t="shared" ca="1" si="70"/>
        <v>0</v>
      </c>
      <c r="O78" s="81">
        <f t="shared" ca="1" si="52"/>
        <v>-14103.121974857126</v>
      </c>
      <c r="P78" s="79">
        <f t="shared" ca="1" si="53"/>
        <v>1383723.4821670949</v>
      </c>
      <c r="Q78" s="35"/>
      <c r="R78">
        <f t="shared" ca="1" si="71"/>
        <v>75</v>
      </c>
      <c r="S78" s="78">
        <f t="shared" ca="1" si="72"/>
        <v>67.92</v>
      </c>
      <c r="T78" s="55">
        <f t="shared" ca="1" si="73"/>
        <v>2.9921707961534372E-3</v>
      </c>
      <c r="U78" s="78">
        <f t="shared" ca="1" si="74"/>
        <v>0.84368976310210175</v>
      </c>
      <c r="V78" s="79">
        <f t="shared" ca="1" si="75"/>
        <v>1388372.7027558817</v>
      </c>
      <c r="W78" s="79">
        <f t="shared" ca="1" si="54"/>
        <v>9470.7751813323575</v>
      </c>
      <c r="X78" s="80">
        <f t="shared" ca="1" si="55"/>
        <v>-16.873795262042034</v>
      </c>
      <c r="Y78" s="80">
        <f t="shared" ca="1" si="76"/>
        <v>0</v>
      </c>
      <c r="Z78" s="80">
        <f t="shared" ca="1" si="56"/>
        <v>0</v>
      </c>
      <c r="AA78" s="80">
        <f t="shared" ca="1" si="77"/>
        <v>0</v>
      </c>
      <c r="AB78" s="81">
        <f t="shared" ca="1" si="57"/>
        <v>-14103.121974857126</v>
      </c>
      <c r="AC78" s="79">
        <f t="shared" ca="1" si="58"/>
        <v>1383723.4821670949</v>
      </c>
      <c r="AD78" s="35"/>
      <c r="AE78" s="62">
        <f t="shared" ca="1" si="59"/>
        <v>-16716.004616439081</v>
      </c>
      <c r="AF78" s="62">
        <f t="shared" ca="1" si="60"/>
        <v>1640085.6602542887</v>
      </c>
      <c r="AG78" s="35"/>
      <c r="AH78" s="35"/>
      <c r="AI78" s="35"/>
      <c r="AJ78" s="65">
        <v>92</v>
      </c>
      <c r="AK78" s="66">
        <f>'SA85-90'!F84*(1+$AH$22)</f>
        <v>0.26884000000000002</v>
      </c>
      <c r="AL78" s="66">
        <f>'SA85-90 (light)'!F84*(1+$AH$22)</f>
        <v>0.27052300000000001</v>
      </c>
      <c r="AM78" s="66">
        <f t="shared" si="83"/>
        <v>136</v>
      </c>
      <c r="AN78" s="66">
        <f t="shared" si="84"/>
        <v>0</v>
      </c>
      <c r="AO78" s="67">
        <f t="shared" si="85"/>
        <v>2.3591494769026569E-5</v>
      </c>
      <c r="AP78" s="68">
        <f t="shared" ca="1" si="78"/>
        <v>5.6357904035622523E-8</v>
      </c>
      <c r="AR78" s="69">
        <f t="shared" si="79"/>
        <v>7</v>
      </c>
      <c r="AS78" s="70">
        <f t="shared" si="86"/>
        <v>75</v>
      </c>
      <c r="AT78" s="71">
        <f t="shared" si="87"/>
        <v>0.59847833241768522</v>
      </c>
      <c r="AU78" s="72">
        <f t="shared" si="61"/>
        <v>6.8214933659622723E-3</v>
      </c>
      <c r="AV78" s="73">
        <f t="shared" si="80"/>
        <v>1.0068214933659623</v>
      </c>
      <c r="AW78" s="74">
        <f>PRODUCT(AV$4:AV78)</f>
        <v>1.6650829111892247</v>
      </c>
      <c r="AY78" s="75">
        <f t="shared" si="88"/>
        <v>75</v>
      </c>
      <c r="AZ78" s="76">
        <f t="shared" ca="1" si="90"/>
        <v>1.0068214933659623</v>
      </c>
      <c r="BA78" s="76">
        <f t="shared" ca="1" si="90"/>
        <v>1.0068214933659623</v>
      </c>
      <c r="BB78" s="76">
        <f t="shared" ca="1" si="90"/>
        <v>1.0068214933659623</v>
      </c>
      <c r="BC78" s="76">
        <f t="shared" ca="1" si="90"/>
        <v>1.0068214933659623</v>
      </c>
      <c r="BD78" s="76">
        <f t="shared" ca="1" si="90"/>
        <v>1.0068214933659623</v>
      </c>
      <c r="BE78" s="76">
        <f t="shared" ca="1" si="90"/>
        <v>1.0068214933659623</v>
      </c>
      <c r="BF78" s="76">
        <f t="shared" ca="1" si="90"/>
        <v>1.0068214933659623</v>
      </c>
      <c r="BG78" s="76">
        <f t="shared" ca="1" si="90"/>
        <v>1.0068214933659623</v>
      </c>
      <c r="BH78" s="76">
        <f t="shared" ca="1" si="90"/>
        <v>1.0068214933659623</v>
      </c>
      <c r="BI78" s="76">
        <f t="shared" ca="1" si="90"/>
        <v>1.0068214933659623</v>
      </c>
      <c r="BJ78" s="76">
        <f t="shared" ca="1" si="90"/>
        <v>1.0068214933659623</v>
      </c>
      <c r="BK78" s="76">
        <f t="shared" ca="1" si="90"/>
        <v>1.0068214933659623</v>
      </c>
      <c r="BL78" s="76">
        <f t="shared" ca="1" si="62"/>
        <v>8.5000000000000853E-2</v>
      </c>
      <c r="BM78" s="77">
        <f t="shared" ca="1" si="81"/>
        <v>454.18246583859332</v>
      </c>
    </row>
    <row r="79" spans="5:65">
      <c r="E79">
        <f t="shared" si="82"/>
        <v>76</v>
      </c>
      <c r="F79" s="64">
        <f t="shared" si="63"/>
        <v>68</v>
      </c>
      <c r="G79" s="55">
        <f t="shared" si="64"/>
        <v>2.9921707961534372E-3</v>
      </c>
      <c r="H79" s="78">
        <f t="shared" si="89"/>
        <v>0.84116529923193406</v>
      </c>
      <c r="I79" s="79">
        <f t="shared" ca="1" si="65"/>
        <v>1379583.1451738027</v>
      </c>
      <c r="J79" s="79">
        <f t="shared" ca="1" si="66"/>
        <v>9410.8172725964614</v>
      </c>
      <c r="K79" s="80">
        <f t="shared" ca="1" si="67"/>
        <v>-16.823305984638679</v>
      </c>
      <c r="L79" s="80">
        <f t="shared" ca="1" si="68"/>
        <v>0</v>
      </c>
      <c r="M79" s="80">
        <f t="shared" ca="1" si="69"/>
        <v>0</v>
      </c>
      <c r="N79" s="80">
        <f t="shared" ca="1" si="70"/>
        <v>0</v>
      </c>
      <c r="O79" s="81">
        <f t="shared" ca="1" si="52"/>
        <v>-14060.92302514937</v>
      </c>
      <c r="P79" s="79">
        <f t="shared" ca="1" si="53"/>
        <v>1374916.2161152652</v>
      </c>
      <c r="Q79" s="35"/>
      <c r="R79">
        <f t="shared" ca="1" si="71"/>
        <v>76</v>
      </c>
      <c r="S79" s="78">
        <f t="shared" ca="1" si="72"/>
        <v>68</v>
      </c>
      <c r="T79" s="55">
        <f t="shared" ca="1" si="73"/>
        <v>2.9921707961534372E-3</v>
      </c>
      <c r="U79" s="78">
        <f t="shared" ca="1" si="74"/>
        <v>0.84116529923193406</v>
      </c>
      <c r="V79" s="79">
        <f t="shared" ca="1" si="75"/>
        <v>1379583.1451738027</v>
      </c>
      <c r="W79" s="79">
        <f t="shared" ca="1" si="54"/>
        <v>9410.8172725964614</v>
      </c>
      <c r="X79" s="80">
        <f t="shared" ca="1" si="55"/>
        <v>-16.823305984638679</v>
      </c>
      <c r="Y79" s="80">
        <f t="shared" ca="1" si="76"/>
        <v>0</v>
      </c>
      <c r="Z79" s="80">
        <f t="shared" ca="1" si="56"/>
        <v>0</v>
      </c>
      <c r="AA79" s="80">
        <f t="shared" ca="1" si="77"/>
        <v>0</v>
      </c>
      <c r="AB79" s="81">
        <f t="shared" ca="1" si="57"/>
        <v>-14060.92302514937</v>
      </c>
      <c r="AC79" s="79">
        <f t="shared" ca="1" si="58"/>
        <v>1374916.2161152652</v>
      </c>
      <c r="AD79" s="35"/>
      <c r="AE79" s="62">
        <f t="shared" ca="1" si="59"/>
        <v>-16716.004616439081</v>
      </c>
      <c r="AF79" s="62">
        <f t="shared" ca="1" si="60"/>
        <v>1634537.4890888839</v>
      </c>
      <c r="AG79" s="35"/>
      <c r="AH79" s="35"/>
      <c r="AI79" s="35"/>
      <c r="AJ79" s="65">
        <v>93</v>
      </c>
      <c r="AK79" s="66">
        <f>'SA85-90'!F85*(1+$AH$22)</f>
        <v>0.29067500000000002</v>
      </c>
      <c r="AL79" s="66">
        <f>'SA85-90 (light)'!F85*(1+$AH$22)</f>
        <v>0.292578</v>
      </c>
      <c r="AM79" s="66">
        <f t="shared" si="83"/>
        <v>137</v>
      </c>
      <c r="AN79" s="66">
        <f t="shared" si="84"/>
        <v>0</v>
      </c>
      <c r="AO79" s="67">
        <f t="shared" si="85"/>
        <v>2.3591494769026569E-5</v>
      </c>
      <c r="AP79" s="68">
        <f t="shared" ca="1" si="78"/>
        <v>5.194276869642625E-8</v>
      </c>
      <c r="AR79" s="69">
        <f t="shared" si="79"/>
        <v>7</v>
      </c>
      <c r="AS79" s="70">
        <f t="shared" si="86"/>
        <v>76</v>
      </c>
      <c r="AT79" s="71">
        <f t="shared" si="87"/>
        <v>0.59439581644342587</v>
      </c>
      <c r="AU79" s="72">
        <f t="shared" si="61"/>
        <v>6.8214933659622723E-3</v>
      </c>
      <c r="AV79" s="73">
        <f t="shared" si="80"/>
        <v>1.0068214933659623</v>
      </c>
      <c r="AW79" s="74">
        <f>PRODUCT(AV$4:AV79)</f>
        <v>1.6764412632216792</v>
      </c>
      <c r="AY79" s="75">
        <f t="shared" si="88"/>
        <v>76</v>
      </c>
      <c r="AZ79" s="76">
        <f t="shared" ca="1" si="90"/>
        <v>1.0068214933659623</v>
      </c>
      <c r="BA79" s="76">
        <f t="shared" ca="1" si="90"/>
        <v>1.0068214933659623</v>
      </c>
      <c r="BB79" s="76">
        <f t="shared" ca="1" si="90"/>
        <v>1.0068214933659623</v>
      </c>
      <c r="BC79" s="76">
        <f t="shared" ca="1" si="90"/>
        <v>1.0068214933659623</v>
      </c>
      <c r="BD79" s="76">
        <f t="shared" ca="1" si="90"/>
        <v>1.0068214933659623</v>
      </c>
      <c r="BE79" s="76">
        <f t="shared" ca="1" si="90"/>
        <v>1.0068214933659623</v>
      </c>
      <c r="BF79" s="76">
        <f t="shared" ca="1" si="90"/>
        <v>1.0068214933659623</v>
      </c>
      <c r="BG79" s="76">
        <f t="shared" ca="1" si="90"/>
        <v>1.0068214933659623</v>
      </c>
      <c r="BH79" s="76">
        <f t="shared" ca="1" si="90"/>
        <v>1.0068214933659623</v>
      </c>
      <c r="BI79" s="76">
        <f t="shared" ca="1" si="90"/>
        <v>1.0068214933659623</v>
      </c>
      <c r="BJ79" s="76">
        <f t="shared" ca="1" si="90"/>
        <v>1.0068214933659623</v>
      </c>
      <c r="BK79" s="76">
        <f t="shared" ca="1" si="90"/>
        <v>1.0068214933659623</v>
      </c>
      <c r="BL79" s="76">
        <f t="shared" ca="1" si="62"/>
        <v>8.5000000000000853E-2</v>
      </c>
      <c r="BM79" s="77">
        <f t="shared" ca="1" si="81"/>
        <v>492.78797543487411</v>
      </c>
    </row>
    <row r="80" spans="5:65">
      <c r="E80">
        <f t="shared" si="82"/>
        <v>77</v>
      </c>
      <c r="F80" s="64">
        <f t="shared" si="63"/>
        <v>68.08</v>
      </c>
      <c r="G80" s="55">
        <f t="shared" si="64"/>
        <v>2.9921707961534372E-3</v>
      </c>
      <c r="H80" s="78">
        <f t="shared" si="89"/>
        <v>0.83864838898883465</v>
      </c>
      <c r="I80" s="79">
        <f t="shared" ca="1" si="65"/>
        <v>1370802.2319662473</v>
      </c>
      <c r="J80" s="79">
        <f t="shared" ca="1" si="66"/>
        <v>9350.9183314040329</v>
      </c>
      <c r="K80" s="80">
        <f t="shared" ca="1" si="67"/>
        <v>-16.772967779776693</v>
      </c>
      <c r="L80" s="80">
        <f t="shared" ca="1" si="68"/>
        <v>0</v>
      </c>
      <c r="M80" s="80">
        <f t="shared" ca="1" si="69"/>
        <v>0</v>
      </c>
      <c r="N80" s="80">
        <f t="shared" ca="1" si="70"/>
        <v>0</v>
      </c>
      <c r="O80" s="81">
        <f t="shared" ca="1" si="52"/>
        <v>-14018.850341906555</v>
      </c>
      <c r="P80" s="79">
        <f t="shared" ca="1" si="53"/>
        <v>1366117.526987965</v>
      </c>
      <c r="Q80" s="35"/>
      <c r="R80">
        <f t="shared" ca="1" si="71"/>
        <v>77</v>
      </c>
      <c r="S80" s="78">
        <f t="shared" ca="1" si="72"/>
        <v>68.08</v>
      </c>
      <c r="T80" s="55">
        <f t="shared" ca="1" si="73"/>
        <v>2.9921707961534372E-3</v>
      </c>
      <c r="U80" s="78">
        <f t="shared" ca="1" si="74"/>
        <v>0.83864838898883465</v>
      </c>
      <c r="V80" s="79">
        <f t="shared" ca="1" si="75"/>
        <v>1370802.2319662473</v>
      </c>
      <c r="W80" s="79">
        <f t="shared" ca="1" si="54"/>
        <v>9350.9183314040329</v>
      </c>
      <c r="X80" s="80">
        <f t="shared" ca="1" si="55"/>
        <v>-16.772967779776693</v>
      </c>
      <c r="Y80" s="80">
        <f t="shared" ca="1" si="76"/>
        <v>0</v>
      </c>
      <c r="Z80" s="80">
        <f t="shared" ca="1" si="56"/>
        <v>0</v>
      </c>
      <c r="AA80" s="80">
        <f t="shared" ca="1" si="77"/>
        <v>0</v>
      </c>
      <c r="AB80" s="81">
        <f t="shared" ca="1" si="57"/>
        <v>-14018.850341906555</v>
      </c>
      <c r="AC80" s="79">
        <f t="shared" ca="1" si="58"/>
        <v>1366117.526987965</v>
      </c>
      <c r="AD80" s="35"/>
      <c r="AE80" s="62">
        <f t="shared" ca="1" si="59"/>
        <v>-16716.004616439077</v>
      </c>
      <c r="AF80" s="62">
        <f t="shared" ca="1" si="60"/>
        <v>1628951.4711106811</v>
      </c>
      <c r="AG80" s="35"/>
      <c r="AH80" s="35"/>
      <c r="AI80" s="35"/>
      <c r="AJ80" s="65">
        <v>94</v>
      </c>
      <c r="AK80" s="66">
        <f>'SA85-90'!F86*(1+$AH$22)</f>
        <v>0.31391800000000003</v>
      </c>
      <c r="AL80" s="66">
        <f>'SA85-90 (light)'!F86*(1+$AH$22)</f>
        <v>0.31607400000000002</v>
      </c>
      <c r="AM80" s="66">
        <f t="shared" si="83"/>
        <v>138</v>
      </c>
      <c r="AN80" s="66">
        <f t="shared" si="84"/>
        <v>0</v>
      </c>
      <c r="AO80" s="67">
        <f t="shared" si="85"/>
        <v>2.3591494769026569E-5</v>
      </c>
      <c r="AP80" s="68">
        <f t="shared" ca="1" si="78"/>
        <v>4.7873519535876689E-8</v>
      </c>
      <c r="AR80" s="69">
        <f t="shared" si="79"/>
        <v>7</v>
      </c>
      <c r="AS80" s="70">
        <f t="shared" si="86"/>
        <v>77</v>
      </c>
      <c r="AT80" s="71">
        <f t="shared" si="87"/>
        <v>0.59034114932480131</v>
      </c>
      <c r="AU80" s="72">
        <f t="shared" si="61"/>
        <v>6.8214933659622723E-3</v>
      </c>
      <c r="AV80" s="73">
        <f t="shared" si="80"/>
        <v>1.0068214933659623</v>
      </c>
      <c r="AW80" s="74">
        <f>PRODUCT(AV$4:AV80)</f>
        <v>1.6878770961771712</v>
      </c>
      <c r="AY80" s="75">
        <f t="shared" si="88"/>
        <v>77</v>
      </c>
      <c r="AZ80" s="76">
        <f t="shared" ca="1" si="90"/>
        <v>1.0068214933659623</v>
      </c>
      <c r="BA80" s="76">
        <f t="shared" ca="1" si="90"/>
        <v>1.0068214933659623</v>
      </c>
      <c r="BB80" s="76">
        <f t="shared" ca="1" si="90"/>
        <v>1.0068214933659623</v>
      </c>
      <c r="BC80" s="76">
        <f t="shared" ca="1" si="90"/>
        <v>1.0068214933659623</v>
      </c>
      <c r="BD80" s="76">
        <f t="shared" ca="1" si="90"/>
        <v>1.0068214933659623</v>
      </c>
      <c r="BE80" s="76">
        <f t="shared" ca="1" si="90"/>
        <v>1.0068214933659623</v>
      </c>
      <c r="BF80" s="76">
        <f t="shared" ca="1" si="90"/>
        <v>1.0068214933659623</v>
      </c>
      <c r="BG80" s="76">
        <f t="shared" ca="1" si="90"/>
        <v>1.0068214933659623</v>
      </c>
      <c r="BH80" s="76">
        <f t="shared" ca="1" si="90"/>
        <v>1.0068214933659623</v>
      </c>
      <c r="BI80" s="76">
        <f t="shared" ca="1" si="90"/>
        <v>1.0068214933659623</v>
      </c>
      <c r="BJ80" s="76">
        <f t="shared" ca="1" si="90"/>
        <v>1.0068214933659623</v>
      </c>
      <c r="BK80" s="76">
        <f t="shared" ca="1" si="90"/>
        <v>1.0068214933659623</v>
      </c>
      <c r="BL80" s="76">
        <f t="shared" ca="1" si="62"/>
        <v>8.5000000000000853E-2</v>
      </c>
      <c r="BM80" s="77">
        <f t="shared" ca="1" si="81"/>
        <v>534.67495334683883</v>
      </c>
    </row>
    <row r="81" spans="5:65">
      <c r="E81">
        <f t="shared" si="82"/>
        <v>78</v>
      </c>
      <c r="F81" s="64">
        <f t="shared" si="63"/>
        <v>68.16</v>
      </c>
      <c r="G81" s="55">
        <f t="shared" si="64"/>
        <v>2.9921707961534372E-3</v>
      </c>
      <c r="H81" s="78">
        <f t="shared" si="89"/>
        <v>0.83613900977106115</v>
      </c>
      <c r="I81" s="79">
        <f t="shared" ca="1" si="65"/>
        <v>1362029.8700195982</v>
      </c>
      <c r="J81" s="79">
        <f t="shared" ca="1" si="66"/>
        <v>9291.0777225811453</v>
      </c>
      <c r="K81" s="80">
        <f t="shared" ca="1" si="67"/>
        <v>-16.722780195421223</v>
      </c>
      <c r="L81" s="80">
        <f t="shared" ca="1" si="68"/>
        <v>0</v>
      </c>
      <c r="M81" s="80">
        <f t="shared" ca="1" si="69"/>
        <v>0</v>
      </c>
      <c r="N81" s="80">
        <f t="shared" ca="1" si="70"/>
        <v>0</v>
      </c>
      <c r="O81" s="81">
        <f t="shared" ca="1" si="52"/>
        <v>-13976.903547317857</v>
      </c>
      <c r="P81" s="79">
        <f t="shared" ca="1" si="53"/>
        <v>1357327.3214146658</v>
      </c>
      <c r="Q81" s="35"/>
      <c r="R81">
        <f t="shared" ca="1" si="71"/>
        <v>78</v>
      </c>
      <c r="S81" s="78">
        <f t="shared" ca="1" si="72"/>
        <v>68.16</v>
      </c>
      <c r="T81" s="55">
        <f t="shared" ca="1" si="73"/>
        <v>2.9921707961534372E-3</v>
      </c>
      <c r="U81" s="78">
        <f t="shared" ca="1" si="74"/>
        <v>0.83613900977106115</v>
      </c>
      <c r="V81" s="79">
        <f t="shared" ca="1" si="75"/>
        <v>1362029.8700195982</v>
      </c>
      <c r="W81" s="79">
        <f t="shared" ca="1" si="54"/>
        <v>9291.0777225811453</v>
      </c>
      <c r="X81" s="80">
        <f t="shared" ca="1" si="55"/>
        <v>-16.722780195421223</v>
      </c>
      <c r="Y81" s="80">
        <f t="shared" ca="1" si="76"/>
        <v>0</v>
      </c>
      <c r="Z81" s="80">
        <f t="shared" ca="1" si="56"/>
        <v>0</v>
      </c>
      <c r="AA81" s="80">
        <f t="shared" ca="1" si="77"/>
        <v>0</v>
      </c>
      <c r="AB81" s="81">
        <f t="shared" ca="1" si="57"/>
        <v>-13976.903547317857</v>
      </c>
      <c r="AC81" s="79">
        <f t="shared" ca="1" si="58"/>
        <v>1357327.3214146658</v>
      </c>
      <c r="AD81" s="35"/>
      <c r="AE81" s="62">
        <f t="shared" ca="1" si="59"/>
        <v>-16716.004616439077</v>
      </c>
      <c r="AF81" s="62">
        <f t="shared" ca="1" si="60"/>
        <v>1623327.3481478977</v>
      </c>
      <c r="AG81" s="35"/>
      <c r="AH81" s="35"/>
      <c r="AI81" s="35"/>
      <c r="AJ81" s="65">
        <v>95</v>
      </c>
      <c r="AK81" s="66">
        <f>'SA85-90'!F87*(1+$AH$22)</f>
        <v>0.33862400000000004</v>
      </c>
      <c r="AL81" s="66">
        <f>'SA85-90 (light)'!F87*(1+$AH$22)</f>
        <v>0.34103299999999998</v>
      </c>
      <c r="AM81" s="66">
        <f t="shared" si="83"/>
        <v>139</v>
      </c>
      <c r="AN81" s="66">
        <f t="shared" si="84"/>
        <v>0</v>
      </c>
      <c r="AO81" s="67">
        <f t="shared" si="85"/>
        <v>2.3591494769026569E-5</v>
      </c>
      <c r="AP81" s="68">
        <f t="shared" ca="1" si="78"/>
        <v>4.4123059480070646E-8</v>
      </c>
      <c r="AR81" s="69">
        <f t="shared" si="79"/>
        <v>7</v>
      </c>
      <c r="AS81" s="70">
        <f t="shared" si="86"/>
        <v>78</v>
      </c>
      <c r="AT81" s="71">
        <f t="shared" si="87"/>
        <v>0.58631414109102764</v>
      </c>
      <c r="AU81" s="72">
        <f t="shared" si="61"/>
        <v>6.8214933659622723E-3</v>
      </c>
      <c r="AV81" s="73">
        <f t="shared" si="80"/>
        <v>1.0068214933659623</v>
      </c>
      <c r="AW81" s="74">
        <f>PRODUCT(AV$4:AV81)</f>
        <v>1.6993909385913035</v>
      </c>
      <c r="AY81" s="75">
        <f t="shared" si="88"/>
        <v>78</v>
      </c>
      <c r="AZ81" s="76">
        <f t="shared" ca="1" si="90"/>
        <v>1.0068214933659623</v>
      </c>
      <c r="BA81" s="76">
        <f t="shared" ca="1" si="90"/>
        <v>1.0068214933659623</v>
      </c>
      <c r="BB81" s="76">
        <f t="shared" ca="1" si="90"/>
        <v>1.0068214933659623</v>
      </c>
      <c r="BC81" s="76">
        <f t="shared" ca="1" si="90"/>
        <v>1.0068214933659623</v>
      </c>
      <c r="BD81" s="76">
        <f t="shared" ca="1" si="90"/>
        <v>1.0068214933659623</v>
      </c>
      <c r="BE81" s="76">
        <f t="shared" ca="1" si="90"/>
        <v>1.0068214933659623</v>
      </c>
      <c r="BF81" s="76">
        <f t="shared" ca="1" si="90"/>
        <v>1.0068214933659623</v>
      </c>
      <c r="BG81" s="76">
        <f t="shared" ca="1" si="90"/>
        <v>1.0068214933659623</v>
      </c>
      <c r="BH81" s="76">
        <f t="shared" ca="1" si="90"/>
        <v>1.0068214933659623</v>
      </c>
      <c r="BI81" s="76">
        <f t="shared" ca="1" si="90"/>
        <v>1.0068214933659623</v>
      </c>
      <c r="BJ81" s="76">
        <f t="shared" ca="1" si="90"/>
        <v>1.0068214933659623</v>
      </c>
      <c r="BK81" s="76">
        <f t="shared" ca="1" si="90"/>
        <v>1.0068214933659623</v>
      </c>
      <c r="BL81" s="76">
        <f t="shared" ca="1" si="62"/>
        <v>8.5000000000000853E-2</v>
      </c>
      <c r="BM81" s="77">
        <f t="shared" ca="1" si="81"/>
        <v>580.1223243813206</v>
      </c>
    </row>
    <row r="82" spans="5:65">
      <c r="E82">
        <f t="shared" si="82"/>
        <v>79</v>
      </c>
      <c r="F82" s="64">
        <f t="shared" si="63"/>
        <v>68.239999999999995</v>
      </c>
      <c r="G82" s="55">
        <f t="shared" si="64"/>
        <v>2.9921707961534372E-3</v>
      </c>
      <c r="H82" s="78">
        <f t="shared" si="89"/>
        <v>0.83363713904449954</v>
      </c>
      <c r="I82" s="79">
        <f t="shared" ca="1" si="65"/>
        <v>1353265.9662427076</v>
      </c>
      <c r="J82" s="79">
        <f t="shared" ca="1" si="66"/>
        <v>9231.2948111071546</v>
      </c>
      <c r="K82" s="80">
        <f t="shared" ca="1" si="67"/>
        <v>-16.67274278088999</v>
      </c>
      <c r="L82" s="80">
        <f t="shared" ca="1" si="68"/>
        <v>0</v>
      </c>
      <c r="M82" s="80">
        <f t="shared" ca="1" si="69"/>
        <v>0</v>
      </c>
      <c r="N82" s="80">
        <f t="shared" ca="1" si="70"/>
        <v>0</v>
      </c>
      <c r="O82" s="81">
        <f t="shared" ca="1" si="52"/>
        <v>-13935.08226470292</v>
      </c>
      <c r="P82" s="79">
        <f t="shared" ca="1" si="53"/>
        <v>1348545.5060463308</v>
      </c>
      <c r="Q82" s="35"/>
      <c r="R82">
        <f t="shared" ca="1" si="71"/>
        <v>79</v>
      </c>
      <c r="S82" s="78">
        <f t="shared" ca="1" si="72"/>
        <v>68.239999999999995</v>
      </c>
      <c r="T82" s="55">
        <f t="shared" ca="1" si="73"/>
        <v>2.9921707961534372E-3</v>
      </c>
      <c r="U82" s="78">
        <f t="shared" ca="1" si="74"/>
        <v>0.83363713904449954</v>
      </c>
      <c r="V82" s="79">
        <f t="shared" ca="1" si="75"/>
        <v>1353265.9662427076</v>
      </c>
      <c r="W82" s="79">
        <f t="shared" ca="1" si="54"/>
        <v>9231.2948111071546</v>
      </c>
      <c r="X82" s="80">
        <f t="shared" ca="1" si="55"/>
        <v>-16.67274278088999</v>
      </c>
      <c r="Y82" s="80">
        <f t="shared" ca="1" si="76"/>
        <v>0</v>
      </c>
      <c r="Z82" s="80">
        <f t="shared" ca="1" si="56"/>
        <v>0</v>
      </c>
      <c r="AA82" s="80">
        <f t="shared" ca="1" si="77"/>
        <v>0</v>
      </c>
      <c r="AB82" s="81">
        <f t="shared" ca="1" si="57"/>
        <v>-13935.08226470292</v>
      </c>
      <c r="AC82" s="79">
        <f t="shared" ca="1" si="58"/>
        <v>1348545.5060463308</v>
      </c>
      <c r="AD82" s="35"/>
      <c r="AE82" s="62">
        <f t="shared" ca="1" si="59"/>
        <v>-16716.004616439077</v>
      </c>
      <c r="AF82" s="62">
        <f t="shared" ca="1" si="60"/>
        <v>1617664.8602676343</v>
      </c>
      <c r="AG82" s="35"/>
      <c r="AH82" s="35"/>
      <c r="AI82" s="35"/>
      <c r="AJ82" s="65">
        <v>96</v>
      </c>
      <c r="AK82" s="66">
        <f>'SA85-90'!F88*(1+$AH$22)</f>
        <v>0.36477100000000007</v>
      </c>
      <c r="AL82" s="66">
        <f>'SA85-90 (light)'!F88*(1+$AH$22)</f>
        <v>0.36745500000000003</v>
      </c>
      <c r="AM82" s="66">
        <f t="shared" si="83"/>
        <v>140</v>
      </c>
      <c r="AN82" s="66">
        <f t="shared" si="84"/>
        <v>0</v>
      </c>
      <c r="AO82" s="67">
        <f t="shared" si="85"/>
        <v>2.3591494769026569E-5</v>
      </c>
      <c r="AP82" s="68">
        <f t="shared" ca="1" si="78"/>
        <v>4.0666414267346185E-8</v>
      </c>
      <c r="AR82" s="69">
        <f t="shared" si="79"/>
        <v>7</v>
      </c>
      <c r="AS82" s="70">
        <f t="shared" si="86"/>
        <v>79</v>
      </c>
      <c r="AT82" s="71">
        <f t="shared" si="87"/>
        <v>0.58231460306720528</v>
      </c>
      <c r="AU82" s="72">
        <f t="shared" si="61"/>
        <v>6.8214933659622723E-3</v>
      </c>
      <c r="AV82" s="73">
        <f t="shared" si="80"/>
        <v>1.0068214933659623</v>
      </c>
      <c r="AW82" s="74">
        <f>PRODUCT(AV$4:AV82)</f>
        <v>1.7109833226050806</v>
      </c>
      <c r="AY82" s="75">
        <f t="shared" si="88"/>
        <v>79</v>
      </c>
      <c r="AZ82" s="76">
        <f t="shared" ca="1" si="90"/>
        <v>1.0068214933659623</v>
      </c>
      <c r="BA82" s="76">
        <f t="shared" ca="1" si="90"/>
        <v>1.0068214933659623</v>
      </c>
      <c r="BB82" s="76">
        <f t="shared" ca="1" si="90"/>
        <v>1.0068214933659623</v>
      </c>
      <c r="BC82" s="76">
        <f t="shared" ca="1" si="90"/>
        <v>1.0068214933659623</v>
      </c>
      <c r="BD82" s="76">
        <f t="shared" ca="1" si="90"/>
        <v>1.0068214933659623</v>
      </c>
      <c r="BE82" s="76">
        <f t="shared" ca="1" si="90"/>
        <v>1.0068214933659623</v>
      </c>
      <c r="BF82" s="76">
        <f t="shared" ca="1" si="90"/>
        <v>1.0068214933659623</v>
      </c>
      <c r="BG82" s="76">
        <f t="shared" ca="1" si="90"/>
        <v>1.0068214933659623</v>
      </c>
      <c r="BH82" s="76">
        <f t="shared" ca="1" si="90"/>
        <v>1.0068214933659623</v>
      </c>
      <c r="BI82" s="76">
        <f t="shared" ca="1" si="90"/>
        <v>1.0068214933659623</v>
      </c>
      <c r="BJ82" s="76">
        <f t="shared" ca="1" si="90"/>
        <v>1.0068214933659623</v>
      </c>
      <c r="BK82" s="76">
        <f t="shared" ca="1" si="90"/>
        <v>1.0068214933659623</v>
      </c>
      <c r="BL82" s="76">
        <f t="shared" ca="1" si="62"/>
        <v>8.5000000000000853E-2</v>
      </c>
      <c r="BM82" s="77">
        <f t="shared" ca="1" si="81"/>
        <v>629.43272195373333</v>
      </c>
    </row>
    <row r="83" spans="5:65">
      <c r="E83">
        <f t="shared" si="82"/>
        <v>80</v>
      </c>
      <c r="F83" s="64">
        <f t="shared" si="63"/>
        <v>68.319999999999993</v>
      </c>
      <c r="G83" s="55">
        <f t="shared" si="64"/>
        <v>2.9921707961534372E-3</v>
      </c>
      <c r="H83" s="78">
        <f t="shared" si="89"/>
        <v>0.83114275434246165</v>
      </c>
      <c r="I83" s="79">
        <f t="shared" ca="1" si="65"/>
        <v>1344510.427565855</v>
      </c>
      <c r="J83" s="79">
        <f t="shared" ca="1" si="66"/>
        <v>9171.568962107578</v>
      </c>
      <c r="K83" s="80">
        <f t="shared" ca="1" si="67"/>
        <v>-16.622855086849235</v>
      </c>
      <c r="L83" s="80">
        <f t="shared" ca="1" si="68"/>
        <v>0</v>
      </c>
      <c r="M83" s="80">
        <f t="shared" ca="1" si="69"/>
        <v>0</v>
      </c>
      <c r="N83" s="80">
        <f t="shared" ca="1" si="70"/>
        <v>0</v>
      </c>
      <c r="O83" s="81">
        <f t="shared" ca="1" si="52"/>
        <v>-13893.386118508481</v>
      </c>
      <c r="P83" s="79">
        <f t="shared" ca="1" si="53"/>
        <v>1339771.9875543674</v>
      </c>
      <c r="Q83" s="35"/>
      <c r="R83">
        <f t="shared" ca="1" si="71"/>
        <v>80</v>
      </c>
      <c r="S83" s="78">
        <f t="shared" ca="1" si="72"/>
        <v>68.319999999999993</v>
      </c>
      <c r="T83" s="55">
        <f t="shared" ca="1" si="73"/>
        <v>2.9921707961534372E-3</v>
      </c>
      <c r="U83" s="78">
        <f t="shared" ca="1" si="74"/>
        <v>0.83114275434246165</v>
      </c>
      <c r="V83" s="79">
        <f t="shared" ca="1" si="75"/>
        <v>1344510.427565855</v>
      </c>
      <c r="W83" s="79">
        <f t="shared" ca="1" si="54"/>
        <v>9171.568962107578</v>
      </c>
      <c r="X83" s="80">
        <f t="shared" ca="1" si="55"/>
        <v>-16.622855086849235</v>
      </c>
      <c r="Y83" s="80">
        <f t="shared" ca="1" si="76"/>
        <v>0</v>
      </c>
      <c r="Z83" s="80">
        <f t="shared" ca="1" si="56"/>
        <v>0</v>
      </c>
      <c r="AA83" s="80">
        <f t="shared" ca="1" si="77"/>
        <v>0</v>
      </c>
      <c r="AB83" s="81">
        <f t="shared" ca="1" si="57"/>
        <v>-13893.386118508481</v>
      </c>
      <c r="AC83" s="79">
        <f t="shared" ca="1" si="58"/>
        <v>1339771.9875543674</v>
      </c>
      <c r="AD83" s="35"/>
      <c r="AE83" s="62">
        <f t="shared" ca="1" si="59"/>
        <v>-16716.004616439081</v>
      </c>
      <c r="AF83" s="62">
        <f t="shared" ca="1" si="60"/>
        <v>1611963.7457638613</v>
      </c>
      <c r="AG83" s="35"/>
      <c r="AH83" s="35"/>
      <c r="AI83" s="35"/>
      <c r="AJ83" s="65">
        <v>97</v>
      </c>
      <c r="AK83" s="66">
        <f>'SA85-90'!F89*(1+$AH$22)</f>
        <v>0.39238100000000004</v>
      </c>
      <c r="AL83" s="66">
        <f>'SA85-90 (light)'!F89*(1+$AH$22)</f>
        <v>0.39535100000000006</v>
      </c>
      <c r="AM83" s="66">
        <f t="shared" si="83"/>
        <v>141</v>
      </c>
      <c r="AN83" s="66">
        <f t="shared" si="84"/>
        <v>0</v>
      </c>
      <c r="AO83" s="67">
        <f t="shared" si="85"/>
        <v>2.3591494769026569E-5</v>
      </c>
      <c r="AP83" s="68">
        <f t="shared" ca="1" si="78"/>
        <v>3.7480566145019496E-8</v>
      </c>
      <c r="AR83" s="69">
        <f t="shared" si="79"/>
        <v>7</v>
      </c>
      <c r="AS83" s="70">
        <f t="shared" si="86"/>
        <v>80</v>
      </c>
      <c r="AT83" s="71">
        <f t="shared" si="87"/>
        <v>0.57834234786547933</v>
      </c>
      <c r="AU83" s="72">
        <f t="shared" si="61"/>
        <v>6.8214933659622723E-3</v>
      </c>
      <c r="AV83" s="73">
        <f t="shared" si="80"/>
        <v>1.0068214933659623</v>
      </c>
      <c r="AW83" s="74">
        <f>PRODUCT(AV$4:AV83)</f>
        <v>1.7226547839895032</v>
      </c>
      <c r="AY83" s="75">
        <f t="shared" si="88"/>
        <v>80</v>
      </c>
      <c r="AZ83" s="76">
        <f t="shared" ca="1" si="90"/>
        <v>1.0068214933659623</v>
      </c>
      <c r="BA83" s="76">
        <f t="shared" ca="1" si="90"/>
        <v>1.0068214933659623</v>
      </c>
      <c r="BB83" s="76">
        <f t="shared" ca="1" si="90"/>
        <v>1.0068214933659623</v>
      </c>
      <c r="BC83" s="76">
        <f t="shared" ca="1" si="90"/>
        <v>1.0068214933659623</v>
      </c>
      <c r="BD83" s="76">
        <f t="shared" ca="1" si="90"/>
        <v>1.0068214933659623</v>
      </c>
      <c r="BE83" s="76">
        <f t="shared" ca="1" si="90"/>
        <v>1.0068214933659623</v>
      </c>
      <c r="BF83" s="76">
        <f t="shared" ca="1" si="90"/>
        <v>1.0068214933659623</v>
      </c>
      <c r="BG83" s="76">
        <f t="shared" ca="1" si="90"/>
        <v>1.0068214933659623</v>
      </c>
      <c r="BH83" s="76">
        <f t="shared" ca="1" si="90"/>
        <v>1.0068214933659623</v>
      </c>
      <c r="BI83" s="76">
        <f t="shared" ca="1" si="90"/>
        <v>1.0068214933659623</v>
      </c>
      <c r="BJ83" s="76">
        <f t="shared" ca="1" si="90"/>
        <v>1.0068214933659623</v>
      </c>
      <c r="BK83" s="76">
        <f t="shared" ca="1" si="90"/>
        <v>1.0068214933659623</v>
      </c>
      <c r="BL83" s="76">
        <f t="shared" ca="1" si="62"/>
        <v>8.5000000000000853E-2</v>
      </c>
      <c r="BM83" s="77">
        <f t="shared" ca="1" si="81"/>
        <v>682.93450331980125</v>
      </c>
    </row>
    <row r="84" spans="5:65">
      <c r="E84">
        <f t="shared" si="82"/>
        <v>81</v>
      </c>
      <c r="F84" s="64">
        <f t="shared" si="63"/>
        <v>68.400000000000006</v>
      </c>
      <c r="G84" s="55">
        <f t="shared" si="64"/>
        <v>2.9921707961534372E-3</v>
      </c>
      <c r="H84" s="78">
        <f t="shared" si="89"/>
        <v>0.82865583326548364</v>
      </c>
      <c r="I84" s="79">
        <f t="shared" ca="1" si="65"/>
        <v>1335763.1609397028</v>
      </c>
      <c r="J84" s="79">
        <f t="shared" ca="1" si="66"/>
        <v>9111.8995408469782</v>
      </c>
      <c r="K84" s="80">
        <f t="shared" ca="1" si="67"/>
        <v>-16.573116665309673</v>
      </c>
      <c r="L84" s="80">
        <f t="shared" ca="1" si="68"/>
        <v>0</v>
      </c>
      <c r="M84" s="80">
        <f t="shared" ca="1" si="69"/>
        <v>0</v>
      </c>
      <c r="N84" s="80">
        <f t="shared" ca="1" si="70"/>
        <v>0</v>
      </c>
      <c r="O84" s="81">
        <f t="shared" ca="1" si="52"/>
        <v>-13851.814734304995</v>
      </c>
      <c r="P84" s="79">
        <f t="shared" ca="1" si="53"/>
        <v>1331006.6726295794</v>
      </c>
      <c r="Q84" s="35"/>
      <c r="R84">
        <f t="shared" ca="1" si="71"/>
        <v>81</v>
      </c>
      <c r="S84" s="78">
        <f t="shared" ca="1" si="72"/>
        <v>68.400000000000006</v>
      </c>
      <c r="T84" s="55">
        <f t="shared" ca="1" si="73"/>
        <v>2.9921707961534372E-3</v>
      </c>
      <c r="U84" s="78">
        <f t="shared" ca="1" si="74"/>
        <v>0.82865583326548364</v>
      </c>
      <c r="V84" s="79">
        <f t="shared" ca="1" si="75"/>
        <v>1335763.1609397028</v>
      </c>
      <c r="W84" s="79">
        <f t="shared" ca="1" si="54"/>
        <v>9111.8995408469782</v>
      </c>
      <c r="X84" s="80">
        <f t="shared" ca="1" si="55"/>
        <v>-16.573116665309673</v>
      </c>
      <c r="Y84" s="80">
        <f t="shared" ca="1" si="76"/>
        <v>0</v>
      </c>
      <c r="Z84" s="80">
        <f t="shared" ca="1" si="56"/>
        <v>0</v>
      </c>
      <c r="AA84" s="80">
        <f t="shared" ca="1" si="77"/>
        <v>0</v>
      </c>
      <c r="AB84" s="81">
        <f t="shared" ca="1" si="57"/>
        <v>-13851.814734304995</v>
      </c>
      <c r="AC84" s="79">
        <f t="shared" ca="1" si="58"/>
        <v>1331006.6726295794</v>
      </c>
      <c r="AD84" s="35"/>
      <c r="AE84" s="62">
        <f t="shared" ca="1" si="59"/>
        <v>-16716.004616439077</v>
      </c>
      <c r="AF84" s="62">
        <f t="shared" ca="1" si="60"/>
        <v>1606223.7411453221</v>
      </c>
      <c r="AG84" s="35"/>
      <c r="AH84" s="35"/>
      <c r="AI84" s="35"/>
      <c r="AJ84" s="65">
        <v>98</v>
      </c>
      <c r="AK84" s="66">
        <f>'SA85-90'!F90*(1+$AH$22)</f>
        <v>0.42142100000000005</v>
      </c>
      <c r="AL84" s="66">
        <f>'SA85-90 (light)'!F90*(1+$AH$22)</f>
        <v>0.42469900000000005</v>
      </c>
      <c r="AM84" s="66">
        <f t="shared" si="83"/>
        <v>142</v>
      </c>
      <c r="AN84" s="66">
        <f t="shared" si="84"/>
        <v>0</v>
      </c>
      <c r="AO84" s="67">
        <f t="shared" si="85"/>
        <v>2.3591494769026569E-5</v>
      </c>
      <c r="AP84" s="68">
        <f t="shared" ca="1" si="78"/>
        <v>3.4544300594487987E-8</v>
      </c>
      <c r="AR84" s="69">
        <f t="shared" si="79"/>
        <v>7</v>
      </c>
      <c r="AS84" s="70">
        <f t="shared" si="86"/>
        <v>81</v>
      </c>
      <c r="AT84" s="71">
        <f t="shared" si="87"/>
        <v>0.57439718937625994</v>
      </c>
      <c r="AU84" s="72">
        <f t="shared" si="61"/>
        <v>6.8214933659622723E-3</v>
      </c>
      <c r="AV84" s="73">
        <f t="shared" si="80"/>
        <v>1.0068214933659623</v>
      </c>
      <c r="AW84" s="74">
        <f>PRODUCT(AV$4:AV84)</f>
        <v>1.7344058621703309</v>
      </c>
      <c r="AY84" s="75">
        <f t="shared" si="88"/>
        <v>81</v>
      </c>
      <c r="AZ84" s="76">
        <f t="shared" ca="1" si="90"/>
        <v>1.0068214933659623</v>
      </c>
      <c r="BA84" s="76">
        <f t="shared" ca="1" si="90"/>
        <v>1.0068214933659623</v>
      </c>
      <c r="BB84" s="76">
        <f t="shared" ca="1" si="90"/>
        <v>1.0068214933659623</v>
      </c>
      <c r="BC84" s="76">
        <f t="shared" ca="1" si="90"/>
        <v>1.0068214933659623</v>
      </c>
      <c r="BD84" s="76">
        <f t="shared" ca="1" si="90"/>
        <v>1.0068214933659623</v>
      </c>
      <c r="BE84" s="76">
        <f t="shared" ca="1" si="90"/>
        <v>1.0068214933659623</v>
      </c>
      <c r="BF84" s="76">
        <f t="shared" ca="1" si="90"/>
        <v>1.0068214933659623</v>
      </c>
      <c r="BG84" s="76">
        <f t="shared" ca="1" si="90"/>
        <v>1.0068214933659623</v>
      </c>
      <c r="BH84" s="76">
        <f t="shared" ca="1" si="90"/>
        <v>1.0068214933659623</v>
      </c>
      <c r="BI84" s="76">
        <f t="shared" ca="1" si="90"/>
        <v>1.0068214933659623</v>
      </c>
      <c r="BJ84" s="76">
        <f t="shared" ca="1" si="90"/>
        <v>1.0068214933659623</v>
      </c>
      <c r="BK84" s="76">
        <f t="shared" ca="1" si="90"/>
        <v>1.0068214933659623</v>
      </c>
      <c r="BL84" s="76">
        <f t="shared" ca="1" si="62"/>
        <v>8.5000000000000853E-2</v>
      </c>
      <c r="BM84" s="77">
        <f t="shared" ca="1" si="81"/>
        <v>740.98393610198491</v>
      </c>
    </row>
    <row r="85" spans="5:65">
      <c r="E85">
        <f t="shared" si="82"/>
        <v>82</v>
      </c>
      <c r="F85" s="64">
        <f t="shared" si="63"/>
        <v>68.48</v>
      </c>
      <c r="G85" s="55">
        <f t="shared" si="64"/>
        <v>2.9921707961534372E-3</v>
      </c>
      <c r="H85" s="78">
        <f t="shared" si="89"/>
        <v>0.8261763534811245</v>
      </c>
      <c r="I85" s="79">
        <f t="shared" ca="1" si="65"/>
        <v>1327024.0733342518</v>
      </c>
      <c r="J85" s="79">
        <f t="shared" ca="1" si="66"/>
        <v>9052.2859127218308</v>
      </c>
      <c r="K85" s="80">
        <f t="shared" ca="1" si="67"/>
        <v>-16.523527069622489</v>
      </c>
      <c r="L85" s="80">
        <f t="shared" ca="1" si="68"/>
        <v>0</v>
      </c>
      <c r="M85" s="80">
        <f t="shared" ca="1" si="69"/>
        <v>0</v>
      </c>
      <c r="N85" s="80">
        <f t="shared" ca="1" si="70"/>
        <v>0</v>
      </c>
      <c r="O85" s="81">
        <f t="shared" ca="1" si="52"/>
        <v>-13810.367738783281</v>
      </c>
      <c r="P85" s="79">
        <f t="shared" ca="1" si="53"/>
        <v>1322249.4679811206</v>
      </c>
      <c r="Q85" s="35"/>
      <c r="R85">
        <f t="shared" ca="1" si="71"/>
        <v>82</v>
      </c>
      <c r="S85" s="78">
        <f t="shared" ca="1" si="72"/>
        <v>68.48</v>
      </c>
      <c r="T85" s="55">
        <f t="shared" ca="1" si="73"/>
        <v>2.9921707961534372E-3</v>
      </c>
      <c r="U85" s="78">
        <f t="shared" ca="1" si="74"/>
        <v>0.8261763534811245</v>
      </c>
      <c r="V85" s="79">
        <f t="shared" ca="1" si="75"/>
        <v>1327024.0733342518</v>
      </c>
      <c r="W85" s="79">
        <f t="shared" ca="1" si="54"/>
        <v>9052.2859127218308</v>
      </c>
      <c r="X85" s="80">
        <f t="shared" ca="1" si="55"/>
        <v>-16.523527069622489</v>
      </c>
      <c r="Y85" s="80">
        <f t="shared" ca="1" si="76"/>
        <v>0</v>
      </c>
      <c r="Z85" s="80">
        <f t="shared" ca="1" si="56"/>
        <v>0</v>
      </c>
      <c r="AA85" s="80">
        <f t="shared" ca="1" si="77"/>
        <v>0</v>
      </c>
      <c r="AB85" s="81">
        <f t="shared" ca="1" si="57"/>
        <v>-13810.367738783281</v>
      </c>
      <c r="AC85" s="79">
        <f t="shared" ca="1" si="58"/>
        <v>1322249.4679811206</v>
      </c>
      <c r="AD85" s="35"/>
      <c r="AE85" s="62">
        <f t="shared" ca="1" si="59"/>
        <v>-16716.004616439077</v>
      </c>
      <c r="AF85" s="62">
        <f t="shared" ca="1" si="60"/>
        <v>1600444.5811233567</v>
      </c>
      <c r="AG85" s="35"/>
      <c r="AH85" s="35"/>
      <c r="AI85" s="35"/>
      <c r="AJ85" s="65">
        <v>99</v>
      </c>
      <c r="AK85" s="66">
        <f>'SA85-90'!F91*(1+$AH$22)</f>
        <v>0.45185800000000004</v>
      </c>
      <c r="AL85" s="66">
        <f>'SA85-90 (light)'!F91*(1+$AH$22)</f>
        <v>0.45544400000000007</v>
      </c>
      <c r="AM85" s="66">
        <f t="shared" si="83"/>
        <v>143</v>
      </c>
      <c r="AN85" s="66">
        <f t="shared" si="84"/>
        <v>0</v>
      </c>
      <c r="AO85" s="67">
        <f t="shared" si="85"/>
        <v>2.3591494769026569E-5</v>
      </c>
      <c r="AP85" s="68">
        <f t="shared" ca="1" si="78"/>
        <v>3.1838065064044202E-8</v>
      </c>
      <c r="AR85" s="69">
        <f t="shared" si="79"/>
        <v>7</v>
      </c>
      <c r="AS85" s="70">
        <f t="shared" si="86"/>
        <v>82</v>
      </c>
      <c r="AT85" s="71">
        <f t="shared" si="87"/>
        <v>0.57047894275950239</v>
      </c>
      <c r="AU85" s="72">
        <f t="shared" si="61"/>
        <v>6.8214933659622723E-3</v>
      </c>
      <c r="AV85" s="73">
        <f t="shared" si="80"/>
        <v>1.0068214933659623</v>
      </c>
      <c r="AW85" s="74">
        <f>PRODUCT(AV$4:AV85)</f>
        <v>1.7462371002530119</v>
      </c>
      <c r="AY85" s="75">
        <f t="shared" si="88"/>
        <v>82</v>
      </c>
      <c r="AZ85" s="76">
        <f t="shared" ref="AZ85:BK94" ca="1" si="91">OFFSET($AV$3,($AY85*12-12)+AZ$3,0)</f>
        <v>1.0068214933659623</v>
      </c>
      <c r="BA85" s="76">
        <f t="shared" ca="1" si="91"/>
        <v>1.0068214933659623</v>
      </c>
      <c r="BB85" s="76">
        <f t="shared" ca="1" si="91"/>
        <v>1.0068214933659623</v>
      </c>
      <c r="BC85" s="76">
        <f t="shared" ca="1" si="91"/>
        <v>1.0068214933659623</v>
      </c>
      <c r="BD85" s="76">
        <f t="shared" ca="1" si="91"/>
        <v>1.0068214933659623</v>
      </c>
      <c r="BE85" s="76">
        <f t="shared" ca="1" si="91"/>
        <v>1.0068214933659623</v>
      </c>
      <c r="BF85" s="76">
        <f t="shared" ca="1" si="91"/>
        <v>1.0068214933659623</v>
      </c>
      <c r="BG85" s="76">
        <f t="shared" ca="1" si="91"/>
        <v>1.0068214933659623</v>
      </c>
      <c r="BH85" s="76">
        <f t="shared" ca="1" si="91"/>
        <v>1.0068214933659623</v>
      </c>
      <c r="BI85" s="76">
        <f t="shared" ca="1" si="91"/>
        <v>1.0068214933659623</v>
      </c>
      <c r="BJ85" s="76">
        <f t="shared" ca="1" si="91"/>
        <v>1.0068214933659623</v>
      </c>
      <c r="BK85" s="76">
        <f t="shared" ca="1" si="91"/>
        <v>1.0068214933659623</v>
      </c>
      <c r="BL85" s="76">
        <f t="shared" ca="1" si="62"/>
        <v>8.5000000000000853E-2</v>
      </c>
      <c r="BM85" s="77">
        <f t="shared" ca="1" si="81"/>
        <v>803.96757067065425</v>
      </c>
    </row>
    <row r="86" spans="5:65">
      <c r="E86">
        <f t="shared" si="82"/>
        <v>83</v>
      </c>
      <c r="F86" s="64">
        <f t="shared" si="63"/>
        <v>68.56</v>
      </c>
      <c r="G86" s="55">
        <f t="shared" si="64"/>
        <v>3.2787340871175408E-3</v>
      </c>
      <c r="H86" s="78">
        <f t="shared" si="89"/>
        <v>0.82346754090899543</v>
      </c>
      <c r="I86" s="79">
        <f t="shared" ca="1" si="65"/>
        <v>1317914.1635787778</v>
      </c>
      <c r="J86" s="79">
        <f t="shared" ca="1" si="66"/>
        <v>8990.1427237603493</v>
      </c>
      <c r="K86" s="80">
        <f t="shared" ca="1" si="67"/>
        <v>-16.469350818179908</v>
      </c>
      <c r="L86" s="80">
        <f t="shared" ca="1" si="68"/>
        <v>0</v>
      </c>
      <c r="M86" s="80">
        <f t="shared" ca="1" si="69"/>
        <v>0</v>
      </c>
      <c r="N86" s="80">
        <f t="shared" ca="1" si="70"/>
        <v>0</v>
      </c>
      <c r="O86" s="81">
        <f t="shared" ca="1" si="52"/>
        <v>-13765.087215322505</v>
      </c>
      <c r="P86" s="79">
        <f t="shared" ca="1" si="53"/>
        <v>1313122.7497363975</v>
      </c>
      <c r="Q86" s="35"/>
      <c r="R86">
        <f t="shared" ca="1" si="71"/>
        <v>83</v>
      </c>
      <c r="S86" s="78">
        <f t="shared" ca="1" si="72"/>
        <v>68.56</v>
      </c>
      <c r="T86" s="55">
        <f t="shared" ca="1" si="73"/>
        <v>3.2787340871175408E-3</v>
      </c>
      <c r="U86" s="78">
        <f t="shared" ca="1" si="74"/>
        <v>0.82346754090899543</v>
      </c>
      <c r="V86" s="79">
        <f t="shared" ca="1" si="75"/>
        <v>1317914.1635787778</v>
      </c>
      <c r="W86" s="79">
        <f t="shared" ca="1" si="54"/>
        <v>8990.1427237603493</v>
      </c>
      <c r="X86" s="80">
        <f t="shared" ca="1" si="55"/>
        <v>-16.469350818179908</v>
      </c>
      <c r="Y86" s="80">
        <f t="shared" ca="1" si="76"/>
        <v>0</v>
      </c>
      <c r="Z86" s="80">
        <f t="shared" ca="1" si="56"/>
        <v>0</v>
      </c>
      <c r="AA86" s="80">
        <f t="shared" ca="1" si="77"/>
        <v>0</v>
      </c>
      <c r="AB86" s="81">
        <f t="shared" ca="1" si="57"/>
        <v>-13765.087215322505</v>
      </c>
      <c r="AC86" s="79">
        <f t="shared" ca="1" si="58"/>
        <v>1313122.7497363975</v>
      </c>
      <c r="AD86" s="35"/>
      <c r="AE86" s="62">
        <f t="shared" ca="1" si="59"/>
        <v>-16716.004616439081</v>
      </c>
      <c r="AF86" s="62">
        <f t="shared" ca="1" si="60"/>
        <v>1594625.998599641</v>
      </c>
      <c r="AG86" s="35"/>
      <c r="AH86" s="35"/>
      <c r="AI86" s="35"/>
      <c r="AJ86" s="65">
        <v>100</v>
      </c>
      <c r="AK86" s="66">
        <f>'SA85-90'!F92*(1+$AH$22)</f>
        <v>0.48362600000000006</v>
      </c>
      <c r="AL86" s="66">
        <f>'SA85-90 (light)'!F92*(1+$AH$22)</f>
        <v>0.48752000000000001</v>
      </c>
      <c r="AM86" s="66">
        <f t="shared" si="83"/>
        <v>144</v>
      </c>
      <c r="AN86" s="66">
        <f t="shared" si="84"/>
        <v>0</v>
      </c>
      <c r="AO86" s="67">
        <f t="shared" si="85"/>
        <v>2.3591494769026569E-5</v>
      </c>
      <c r="AP86" s="68">
        <f t="shared" ca="1" si="78"/>
        <v>2.9343838768704313E-8</v>
      </c>
      <c r="AR86" s="69">
        <f t="shared" si="79"/>
        <v>7</v>
      </c>
      <c r="AS86" s="70">
        <f t="shared" si="86"/>
        <v>83</v>
      </c>
      <c r="AT86" s="71">
        <f t="shared" si="87"/>
        <v>0.56658742443604726</v>
      </c>
      <c r="AU86" s="72">
        <f t="shared" si="61"/>
        <v>6.8214933659622723E-3</v>
      </c>
      <c r="AV86" s="73">
        <f t="shared" si="80"/>
        <v>1.0068214933659623</v>
      </c>
      <c r="AW86" s="74">
        <f>PRODUCT(AV$4:AV86)</f>
        <v>1.758149045047785</v>
      </c>
      <c r="AY86" s="75">
        <f t="shared" si="88"/>
        <v>83</v>
      </c>
      <c r="AZ86" s="76">
        <f t="shared" ca="1" si="91"/>
        <v>1.0068214933659623</v>
      </c>
      <c r="BA86" s="76">
        <f t="shared" ca="1" si="91"/>
        <v>1.0068214933659623</v>
      </c>
      <c r="BB86" s="76">
        <f t="shared" ca="1" si="91"/>
        <v>1.0068214933659623</v>
      </c>
      <c r="BC86" s="76">
        <f t="shared" ca="1" si="91"/>
        <v>1.0068214933659623</v>
      </c>
      <c r="BD86" s="76">
        <f t="shared" ca="1" si="91"/>
        <v>1.0068214933659623</v>
      </c>
      <c r="BE86" s="76">
        <f t="shared" ca="1" si="91"/>
        <v>1.0068214933659623</v>
      </c>
      <c r="BF86" s="76">
        <f t="shared" ca="1" si="91"/>
        <v>1.0068214933659623</v>
      </c>
      <c r="BG86" s="76">
        <f t="shared" ca="1" si="91"/>
        <v>1.0068214933659623</v>
      </c>
      <c r="BH86" s="76">
        <f t="shared" ca="1" si="91"/>
        <v>1.0068214933659623</v>
      </c>
      <c r="BI86" s="76">
        <f t="shared" ca="1" si="91"/>
        <v>1.0068214933659623</v>
      </c>
      <c r="BJ86" s="76">
        <f t="shared" ca="1" si="91"/>
        <v>1.0068214933659623</v>
      </c>
      <c r="BK86" s="76">
        <f t="shared" ca="1" si="91"/>
        <v>1.0068214933659623</v>
      </c>
      <c r="BL86" s="76">
        <f t="shared" ca="1" si="62"/>
        <v>8.5000000000000853E-2</v>
      </c>
      <c r="BM86" s="77">
        <f t="shared" ca="1" si="81"/>
        <v>872.30481417766055</v>
      </c>
    </row>
    <row r="87" spans="5:65">
      <c r="E87">
        <f t="shared" si="82"/>
        <v>84</v>
      </c>
      <c r="F87" s="64">
        <f t="shared" si="63"/>
        <v>68.64</v>
      </c>
      <c r="G87" s="55">
        <f t="shared" si="64"/>
        <v>3.2787340871175408E-3</v>
      </c>
      <c r="H87" s="78">
        <f t="shared" si="89"/>
        <v>0.82076760981298225</v>
      </c>
      <c r="I87" s="79">
        <f t="shared" ca="1" si="65"/>
        <v>1308817.3694162674</v>
      </c>
      <c r="J87" s="79">
        <f t="shared" ca="1" si="66"/>
        <v>8928.0890027292608</v>
      </c>
      <c r="K87" s="80">
        <f t="shared" ca="1" si="67"/>
        <v>-16.415352196259644</v>
      </c>
      <c r="L87" s="80">
        <f t="shared" ca="1" si="68"/>
        <v>0</v>
      </c>
      <c r="M87" s="80">
        <f t="shared" ca="1" si="69"/>
        <v>0</v>
      </c>
      <c r="N87" s="80">
        <f t="shared" ca="1" si="70"/>
        <v>0</v>
      </c>
      <c r="O87" s="81">
        <f t="shared" ca="1" si="52"/>
        <v>-13719.95515465748</v>
      </c>
      <c r="P87" s="79">
        <f t="shared" ca="1" si="53"/>
        <v>1304009.0879121427</v>
      </c>
      <c r="Q87" s="35"/>
      <c r="R87">
        <f t="shared" ca="1" si="71"/>
        <v>84</v>
      </c>
      <c r="S87" s="78">
        <f t="shared" ca="1" si="72"/>
        <v>68.64</v>
      </c>
      <c r="T87" s="55">
        <f t="shared" ca="1" si="73"/>
        <v>3.2787340871175408E-3</v>
      </c>
      <c r="U87" s="78">
        <f t="shared" ca="1" si="74"/>
        <v>0.82076760981298225</v>
      </c>
      <c r="V87" s="79">
        <f t="shared" ca="1" si="75"/>
        <v>1308817.3694162674</v>
      </c>
      <c r="W87" s="79">
        <f t="shared" ca="1" si="54"/>
        <v>8928.0890027292608</v>
      </c>
      <c r="X87" s="80">
        <f t="shared" ca="1" si="55"/>
        <v>-16.415352196259644</v>
      </c>
      <c r="Y87" s="80">
        <f t="shared" ca="1" si="76"/>
        <v>0</v>
      </c>
      <c r="Z87" s="80">
        <f t="shared" ca="1" si="56"/>
        <v>0</v>
      </c>
      <c r="AA87" s="80">
        <f t="shared" ca="1" si="77"/>
        <v>0</v>
      </c>
      <c r="AB87" s="81">
        <f t="shared" ca="1" si="57"/>
        <v>-13719.95515465748</v>
      </c>
      <c r="AC87" s="79">
        <f t="shared" ca="1" si="58"/>
        <v>1304009.0879121427</v>
      </c>
      <c r="AD87" s="35"/>
      <c r="AE87" s="62">
        <f t="shared" ca="1" si="59"/>
        <v>-16716.004616439081</v>
      </c>
      <c r="AF87" s="62">
        <f t="shared" ca="1" si="60"/>
        <v>1588767.7246538403</v>
      </c>
      <c r="AG87" s="35"/>
      <c r="AH87" s="35"/>
      <c r="AI87" s="35"/>
      <c r="AJ87" s="65">
        <v>101</v>
      </c>
      <c r="AK87" s="66">
        <f>'SA85-90'!F93*(1+$AH$22)</f>
        <v>0.51662600000000003</v>
      </c>
      <c r="AL87" s="66">
        <f>'SA85-90 (light)'!F93*(1+$AH$22)</f>
        <v>0.52082800000000007</v>
      </c>
      <c r="AM87" s="66">
        <f t="shared" si="83"/>
        <v>145</v>
      </c>
      <c r="AN87" s="66">
        <f t="shared" si="84"/>
        <v>0</v>
      </c>
      <c r="AO87" s="67">
        <f t="shared" si="85"/>
        <v>2.3591494769026569E-5</v>
      </c>
      <c r="AP87" s="68">
        <f t="shared" ca="1" si="78"/>
        <v>2.7045012690050037E-8</v>
      </c>
      <c r="AR87" s="69">
        <f t="shared" si="79"/>
        <v>7</v>
      </c>
      <c r="AS87" s="70">
        <f t="shared" si="86"/>
        <v>84</v>
      </c>
      <c r="AT87" s="71">
        <f t="shared" si="87"/>
        <v>0.56272245207901916</v>
      </c>
      <c r="AU87" s="72">
        <f t="shared" si="61"/>
        <v>6.8214933659622723E-3</v>
      </c>
      <c r="AV87" s="73">
        <f t="shared" si="80"/>
        <v>1.0068214933659623</v>
      </c>
      <c r="AW87" s="74">
        <f>PRODUCT(AV$4:AV87)</f>
        <v>1.7701422470949515</v>
      </c>
      <c r="AY87" s="75">
        <f t="shared" si="88"/>
        <v>84</v>
      </c>
      <c r="AZ87" s="76">
        <f t="shared" ca="1" si="91"/>
        <v>1.0068214933659623</v>
      </c>
      <c r="BA87" s="76">
        <f t="shared" ca="1" si="91"/>
        <v>1.0068214933659623</v>
      </c>
      <c r="BB87" s="76">
        <f t="shared" ca="1" si="91"/>
        <v>1.0068214933659623</v>
      </c>
      <c r="BC87" s="76">
        <f t="shared" ca="1" si="91"/>
        <v>1.0068214933659623</v>
      </c>
      <c r="BD87" s="76">
        <f t="shared" ca="1" si="91"/>
        <v>1.0068214933659623</v>
      </c>
      <c r="BE87" s="76">
        <f t="shared" ca="1" si="91"/>
        <v>1.0068214933659623</v>
      </c>
      <c r="BF87" s="76">
        <f t="shared" ca="1" si="91"/>
        <v>1.0068214933659623</v>
      </c>
      <c r="BG87" s="76">
        <f t="shared" ca="1" si="91"/>
        <v>1.0068214933659623</v>
      </c>
      <c r="BH87" s="76">
        <f t="shared" ca="1" si="91"/>
        <v>1.0068214933659623</v>
      </c>
      <c r="BI87" s="76">
        <f t="shared" ca="1" si="91"/>
        <v>1.0068214933659623</v>
      </c>
      <c r="BJ87" s="76">
        <f t="shared" ca="1" si="91"/>
        <v>1.0068214933659623</v>
      </c>
      <c r="BK87" s="76">
        <f t="shared" ca="1" si="91"/>
        <v>1.0068214933659623</v>
      </c>
      <c r="BL87" s="76">
        <f t="shared" ca="1" si="62"/>
        <v>8.5000000000000853E-2</v>
      </c>
      <c r="BM87" s="77">
        <f t="shared" ca="1" si="81"/>
        <v>946.45072338276248</v>
      </c>
    </row>
    <row r="88" spans="5:65">
      <c r="E88">
        <f t="shared" si="82"/>
        <v>85</v>
      </c>
      <c r="F88" s="64">
        <f t="shared" si="63"/>
        <v>68.72</v>
      </c>
      <c r="G88" s="55">
        <f t="shared" si="64"/>
        <v>3.2787340871175408E-3</v>
      </c>
      <c r="H88" s="78">
        <f t="shared" si="89"/>
        <v>0.81807653107308642</v>
      </c>
      <c r="I88" s="79">
        <f t="shared" ca="1" si="65"/>
        <v>1299733.5888656941</v>
      </c>
      <c r="J88" s="79">
        <f t="shared" ca="1" si="66"/>
        <v>8866.1240539656683</v>
      </c>
      <c r="K88" s="80">
        <f t="shared" ca="1" si="67"/>
        <v>-16.361530621461728</v>
      </c>
      <c r="L88" s="80">
        <f t="shared" ca="1" si="68"/>
        <v>0</v>
      </c>
      <c r="M88" s="80">
        <f t="shared" ca="1" si="69"/>
        <v>0</v>
      </c>
      <c r="N88" s="80">
        <f t="shared" ca="1" si="70"/>
        <v>0</v>
      </c>
      <c r="O88" s="81">
        <f t="shared" ca="1" si="52"/>
        <v>-13674.97107001818</v>
      </c>
      <c r="P88" s="79">
        <f t="shared" ca="1" si="53"/>
        <v>1294908.38031902</v>
      </c>
      <c r="Q88" s="35"/>
      <c r="R88">
        <f t="shared" ca="1" si="71"/>
        <v>85</v>
      </c>
      <c r="S88" s="78">
        <f t="shared" ca="1" si="72"/>
        <v>68.72</v>
      </c>
      <c r="T88" s="55">
        <f t="shared" ca="1" si="73"/>
        <v>3.2787340871175408E-3</v>
      </c>
      <c r="U88" s="78">
        <f t="shared" ca="1" si="74"/>
        <v>0.81807653107308642</v>
      </c>
      <c r="V88" s="79">
        <f t="shared" ca="1" si="75"/>
        <v>1299733.5888656941</v>
      </c>
      <c r="W88" s="79">
        <f t="shared" ca="1" si="54"/>
        <v>8866.1240539656683</v>
      </c>
      <c r="X88" s="80">
        <f t="shared" ca="1" si="55"/>
        <v>-16.361530621461728</v>
      </c>
      <c r="Y88" s="80">
        <f t="shared" ca="1" si="76"/>
        <v>0</v>
      </c>
      <c r="Z88" s="80">
        <f t="shared" ca="1" si="56"/>
        <v>0</v>
      </c>
      <c r="AA88" s="80">
        <f t="shared" ca="1" si="77"/>
        <v>0</v>
      </c>
      <c r="AB88" s="81">
        <f t="shared" ca="1" si="57"/>
        <v>-13674.97107001818</v>
      </c>
      <c r="AC88" s="79">
        <f t="shared" ca="1" si="58"/>
        <v>1294908.38031902</v>
      </c>
      <c r="AD88" s="35"/>
      <c r="AE88" s="62">
        <f t="shared" ca="1" si="59"/>
        <v>-16716.004616439081</v>
      </c>
      <c r="AF88" s="62">
        <f t="shared" ca="1" si="60"/>
        <v>1582869.4885311821</v>
      </c>
      <c r="AG88" s="35"/>
      <c r="AH88" s="35"/>
      <c r="AI88" s="35"/>
      <c r="AJ88" s="65">
        <v>102</v>
      </c>
      <c r="AK88" s="66">
        <f>'SA85-90'!F94*(1+$AH$22)</f>
        <v>0.55073700000000003</v>
      </c>
      <c r="AL88" s="66">
        <f>'SA85-90 (light)'!F94*(1+$AH$22)</f>
        <v>0.55523600000000006</v>
      </c>
      <c r="AM88" s="66">
        <f t="shared" si="83"/>
        <v>146</v>
      </c>
      <c r="AN88" s="66">
        <f t="shared" si="84"/>
        <v>0</v>
      </c>
      <c r="AO88" s="67">
        <f t="shared" si="85"/>
        <v>2.3591494769026569E-5</v>
      </c>
      <c r="AP88" s="68">
        <f t="shared" ca="1" si="78"/>
        <v>2.4926278977004621E-8</v>
      </c>
      <c r="AR88" s="69">
        <f t="shared" si="79"/>
        <v>8</v>
      </c>
      <c r="AS88" s="70">
        <f t="shared" si="86"/>
        <v>85</v>
      </c>
      <c r="AT88" s="71">
        <f t="shared" si="87"/>
        <v>0.55888384460528406</v>
      </c>
      <c r="AU88" s="72">
        <f t="shared" si="61"/>
        <v>6.8214933659622723E-3</v>
      </c>
      <c r="AV88" s="73">
        <f t="shared" si="80"/>
        <v>1.0068214933659623</v>
      </c>
      <c r="AW88" s="74">
        <f>PRODUCT(AV$4:AV88)</f>
        <v>1.7822172606903193</v>
      </c>
      <c r="AY88" s="75">
        <f t="shared" si="88"/>
        <v>85</v>
      </c>
      <c r="AZ88" s="76">
        <f t="shared" ca="1" si="91"/>
        <v>1.0068214933659623</v>
      </c>
      <c r="BA88" s="76">
        <f t="shared" ca="1" si="91"/>
        <v>1.0068214933659623</v>
      </c>
      <c r="BB88" s="76">
        <f t="shared" ca="1" si="91"/>
        <v>1.0068214933659623</v>
      </c>
      <c r="BC88" s="76">
        <f t="shared" ca="1" si="91"/>
        <v>1.0068214933659623</v>
      </c>
      <c r="BD88" s="76">
        <f t="shared" ca="1" si="91"/>
        <v>1.0068214933659623</v>
      </c>
      <c r="BE88" s="76">
        <f t="shared" ca="1" si="91"/>
        <v>1.0068214933659623</v>
      </c>
      <c r="BF88" s="76">
        <f t="shared" ca="1" si="91"/>
        <v>1.0068214933659623</v>
      </c>
      <c r="BG88" s="76">
        <f t="shared" ca="1" si="91"/>
        <v>1.0068214933659623</v>
      </c>
      <c r="BH88" s="76">
        <f t="shared" ca="1" si="91"/>
        <v>1.0068214933659623</v>
      </c>
      <c r="BI88" s="76">
        <f t="shared" ca="1" si="91"/>
        <v>1.0068214933659623</v>
      </c>
      <c r="BJ88" s="76">
        <f t="shared" ca="1" si="91"/>
        <v>1.0068214933659623</v>
      </c>
      <c r="BK88" s="76">
        <f t="shared" ca="1" si="91"/>
        <v>1.0068214933659623</v>
      </c>
      <c r="BL88" s="76">
        <f t="shared" ca="1" si="62"/>
        <v>8.5000000000000853E-2</v>
      </c>
      <c r="BM88" s="77">
        <f t="shared" ca="1" si="81"/>
        <v>1026.899034870298</v>
      </c>
    </row>
    <row r="89" spans="5:65">
      <c r="E89">
        <f t="shared" si="82"/>
        <v>86</v>
      </c>
      <c r="F89" s="64">
        <f t="shared" si="63"/>
        <v>68.8</v>
      </c>
      <c r="G89" s="55">
        <f t="shared" si="64"/>
        <v>3.2787340871175408E-3</v>
      </c>
      <c r="H89" s="78">
        <f t="shared" si="89"/>
        <v>0.81539427566478617</v>
      </c>
      <c r="I89" s="79">
        <f t="shared" ca="1" si="65"/>
        <v>1290662.720072774</v>
      </c>
      <c r="J89" s="79">
        <f t="shared" ca="1" si="66"/>
        <v>8804.2471826712499</v>
      </c>
      <c r="K89" s="80">
        <f t="shared" ca="1" si="67"/>
        <v>-16.307885513295723</v>
      </c>
      <c r="L89" s="80">
        <f t="shared" ca="1" si="68"/>
        <v>0</v>
      </c>
      <c r="M89" s="80">
        <f t="shared" ca="1" si="69"/>
        <v>0</v>
      </c>
      <c r="N89" s="80">
        <f t="shared" ca="1" si="70"/>
        <v>0</v>
      </c>
      <c r="O89" s="81">
        <f t="shared" ca="1" si="52"/>
        <v>-13630.134476230565</v>
      </c>
      <c r="P89" s="79">
        <f t="shared" ca="1" si="53"/>
        <v>1285820.5248937013</v>
      </c>
      <c r="Q89" s="35"/>
      <c r="R89">
        <f t="shared" ca="1" si="71"/>
        <v>86</v>
      </c>
      <c r="S89" s="78">
        <f t="shared" ca="1" si="72"/>
        <v>68.8</v>
      </c>
      <c r="T89" s="55">
        <f t="shared" ca="1" si="73"/>
        <v>3.2787340871175408E-3</v>
      </c>
      <c r="U89" s="78">
        <f t="shared" ca="1" si="74"/>
        <v>0.81539427566478617</v>
      </c>
      <c r="V89" s="79">
        <f t="shared" ca="1" si="75"/>
        <v>1290662.720072774</v>
      </c>
      <c r="W89" s="79">
        <f t="shared" ca="1" si="54"/>
        <v>8804.2471826712499</v>
      </c>
      <c r="X89" s="80">
        <f t="shared" ca="1" si="55"/>
        <v>-16.307885513295723</v>
      </c>
      <c r="Y89" s="80">
        <f t="shared" ca="1" si="76"/>
        <v>0</v>
      </c>
      <c r="Z89" s="80">
        <f t="shared" ca="1" si="56"/>
        <v>0</v>
      </c>
      <c r="AA89" s="80">
        <f t="shared" ca="1" si="77"/>
        <v>0</v>
      </c>
      <c r="AB89" s="81">
        <f t="shared" ca="1" si="57"/>
        <v>-13630.134476230565</v>
      </c>
      <c r="AC89" s="79">
        <f t="shared" ca="1" si="58"/>
        <v>1285820.5248937013</v>
      </c>
      <c r="AD89" s="35"/>
      <c r="AE89" s="62">
        <f t="shared" ca="1" si="59"/>
        <v>-16716.004616439081</v>
      </c>
      <c r="AF89" s="62">
        <f t="shared" ca="1" si="60"/>
        <v>1576931.0176299426</v>
      </c>
      <c r="AG89" s="35"/>
      <c r="AH89" s="35"/>
      <c r="AI89" s="35"/>
      <c r="AJ89" s="65">
        <v>103</v>
      </c>
      <c r="AK89" s="66">
        <f>'SA85-90'!F95*(1+$AH$22)</f>
        <v>0.58580500000000002</v>
      </c>
      <c r="AL89" s="66">
        <f>'SA85-90 (light)'!F95*(1+$AH$22)</f>
        <v>0.59060100000000004</v>
      </c>
      <c r="AM89" s="66">
        <f t="shared" si="83"/>
        <v>147</v>
      </c>
      <c r="AN89" s="66">
        <f t="shared" si="84"/>
        <v>0</v>
      </c>
      <c r="AO89" s="67">
        <f t="shared" si="85"/>
        <v>2.3591494769026569E-5</v>
      </c>
      <c r="AP89" s="68">
        <f t="shared" ca="1" si="78"/>
        <v>2.2973529011064153E-8</v>
      </c>
      <c r="AR89" s="69">
        <f t="shared" si="79"/>
        <v>8</v>
      </c>
      <c r="AS89" s="70">
        <f t="shared" si="86"/>
        <v>86</v>
      </c>
      <c r="AT89" s="71">
        <f t="shared" si="87"/>
        <v>0.55507142216696559</v>
      </c>
      <c r="AU89" s="72">
        <f t="shared" si="61"/>
        <v>6.8214933659622723E-3</v>
      </c>
      <c r="AV89" s="73">
        <f t="shared" si="80"/>
        <v>1.0068214933659623</v>
      </c>
      <c r="AW89" s="74">
        <f>PRODUCT(AV$4:AV89)</f>
        <v>1.7943746439108217</v>
      </c>
      <c r="AY89" s="75">
        <f t="shared" si="88"/>
        <v>86</v>
      </c>
      <c r="AZ89" s="76">
        <f t="shared" ca="1" si="91"/>
        <v>1.0068214933659623</v>
      </c>
      <c r="BA89" s="76">
        <f t="shared" ca="1" si="91"/>
        <v>1.0068214933659623</v>
      </c>
      <c r="BB89" s="76">
        <f t="shared" ca="1" si="91"/>
        <v>1.0068214933659623</v>
      </c>
      <c r="BC89" s="76">
        <f t="shared" ca="1" si="91"/>
        <v>1.0068214933659623</v>
      </c>
      <c r="BD89" s="76">
        <f t="shared" ca="1" si="91"/>
        <v>1.0068214933659623</v>
      </c>
      <c r="BE89" s="76">
        <f t="shared" ca="1" si="91"/>
        <v>1.0068214933659623</v>
      </c>
      <c r="BF89" s="76">
        <f t="shared" ca="1" si="91"/>
        <v>1.0068214933659623</v>
      </c>
      <c r="BG89" s="76">
        <f t="shared" ca="1" si="91"/>
        <v>1.0068214933659623</v>
      </c>
      <c r="BH89" s="76">
        <f t="shared" ca="1" si="91"/>
        <v>1.0068214933659623</v>
      </c>
      <c r="BI89" s="76">
        <f t="shared" ca="1" si="91"/>
        <v>1.0068214933659623</v>
      </c>
      <c r="BJ89" s="76">
        <f t="shared" ca="1" si="91"/>
        <v>1.0068214933659623</v>
      </c>
      <c r="BK89" s="76">
        <f t="shared" ca="1" si="91"/>
        <v>1.0068214933659623</v>
      </c>
      <c r="BL89" s="76">
        <f t="shared" ca="1" si="62"/>
        <v>8.5000000000000853E-2</v>
      </c>
      <c r="BM89" s="77">
        <f t="shared" ca="1" si="81"/>
        <v>1114.1854528342742</v>
      </c>
    </row>
    <row r="90" spans="5:65">
      <c r="E90">
        <f t="shared" si="82"/>
        <v>87</v>
      </c>
      <c r="F90" s="64">
        <f t="shared" si="63"/>
        <v>68.88</v>
      </c>
      <c r="G90" s="55">
        <f t="shared" si="64"/>
        <v>3.2787340871175408E-3</v>
      </c>
      <c r="H90" s="78">
        <f t="shared" si="89"/>
        <v>0.81272081465872348</v>
      </c>
      <c r="I90" s="79">
        <f t="shared" ca="1" si="65"/>
        <v>1281604.6613088169</v>
      </c>
      <c r="J90" s="79">
        <f t="shared" ca="1" si="66"/>
        <v>8742.4576949044185</v>
      </c>
      <c r="K90" s="80">
        <f t="shared" ca="1" si="67"/>
        <v>-16.254416293174469</v>
      </c>
      <c r="L90" s="80">
        <f t="shared" ca="1" si="68"/>
        <v>0</v>
      </c>
      <c r="M90" s="80">
        <f t="shared" ca="1" si="69"/>
        <v>0</v>
      </c>
      <c r="N90" s="80">
        <f t="shared" ca="1" si="70"/>
        <v>0</v>
      </c>
      <c r="O90" s="81">
        <f t="shared" ca="1" si="52"/>
        <v>-13585.444889711349</v>
      </c>
      <c r="P90" s="79">
        <f t="shared" ca="1" si="53"/>
        <v>1276745.4196977166</v>
      </c>
      <c r="Q90" s="35"/>
      <c r="R90">
        <f t="shared" ca="1" si="71"/>
        <v>87</v>
      </c>
      <c r="S90" s="78">
        <f t="shared" ca="1" si="72"/>
        <v>68.88</v>
      </c>
      <c r="T90" s="55">
        <f t="shared" ca="1" si="73"/>
        <v>3.2787340871175408E-3</v>
      </c>
      <c r="U90" s="78">
        <f t="shared" ca="1" si="74"/>
        <v>0.81272081465872348</v>
      </c>
      <c r="V90" s="79">
        <f t="shared" ca="1" si="75"/>
        <v>1281604.6613088169</v>
      </c>
      <c r="W90" s="79">
        <f t="shared" ca="1" si="54"/>
        <v>8742.4576949044185</v>
      </c>
      <c r="X90" s="80">
        <f t="shared" ca="1" si="55"/>
        <v>-16.254416293174469</v>
      </c>
      <c r="Y90" s="80">
        <f t="shared" ca="1" si="76"/>
        <v>0</v>
      </c>
      <c r="Z90" s="80">
        <f t="shared" ca="1" si="56"/>
        <v>0</v>
      </c>
      <c r="AA90" s="80">
        <f t="shared" ca="1" si="77"/>
        <v>0</v>
      </c>
      <c r="AB90" s="81">
        <f t="shared" ca="1" si="57"/>
        <v>-13585.444889711349</v>
      </c>
      <c r="AC90" s="79">
        <f t="shared" ca="1" si="58"/>
        <v>1276745.4196977166</v>
      </c>
      <c r="AD90" s="35"/>
      <c r="AE90" s="62">
        <f t="shared" ca="1" si="59"/>
        <v>-16716.004616439077</v>
      </c>
      <c r="AF90" s="62">
        <f t="shared" ca="1" si="60"/>
        <v>1570952.0374888461</v>
      </c>
      <c r="AG90" s="35"/>
      <c r="AH90" s="35"/>
      <c r="AI90" s="35"/>
      <c r="AJ90" s="127">
        <v>104</v>
      </c>
      <c r="AK90" s="129">
        <f>'SA85-90'!F96*(1+$AH$22)</f>
        <v>0.62164300000000006</v>
      </c>
      <c r="AL90" s="129">
        <f>'SA85-90 (light)'!F96*(1+$AH$22)</f>
        <v>0.62670300000000001</v>
      </c>
      <c r="AM90" s="66">
        <f t="shared" si="83"/>
        <v>148</v>
      </c>
      <c r="AN90" s="66">
        <f t="shared" si="84"/>
        <v>0</v>
      </c>
      <c r="AO90" s="130">
        <f t="shared" si="85"/>
        <v>2.3591494769026569E-5</v>
      </c>
      <c r="AP90" s="131">
        <f t="shared" ca="1" si="78"/>
        <v>2.1173759457201966E-8</v>
      </c>
      <c r="AR90" s="69">
        <f t="shared" si="79"/>
        <v>8</v>
      </c>
      <c r="AS90" s="70">
        <f t="shared" si="86"/>
        <v>87</v>
      </c>
      <c r="AT90" s="71">
        <f t="shared" si="87"/>
        <v>0.55128500614301834</v>
      </c>
      <c r="AU90" s="72">
        <f t="shared" si="61"/>
        <v>6.8214933659622723E-3</v>
      </c>
      <c r="AV90" s="73">
        <f t="shared" si="80"/>
        <v>1.0068214933659623</v>
      </c>
      <c r="AW90" s="74">
        <f>PRODUCT(AV$4:AV90)</f>
        <v>1.8066149586403102</v>
      </c>
      <c r="AY90" s="75">
        <f t="shared" si="88"/>
        <v>87</v>
      </c>
      <c r="AZ90" s="76">
        <f t="shared" ca="1" si="91"/>
        <v>1.0068214933659623</v>
      </c>
      <c r="BA90" s="76">
        <f t="shared" ca="1" si="91"/>
        <v>1.0068214933659623</v>
      </c>
      <c r="BB90" s="76">
        <f t="shared" ca="1" si="91"/>
        <v>1.0068214933659623</v>
      </c>
      <c r="BC90" s="76">
        <f t="shared" ca="1" si="91"/>
        <v>1.0068214933659623</v>
      </c>
      <c r="BD90" s="76">
        <f t="shared" ca="1" si="91"/>
        <v>1.0068214933659623</v>
      </c>
      <c r="BE90" s="76">
        <f t="shared" ca="1" si="91"/>
        <v>1.0068214933659623</v>
      </c>
      <c r="BF90" s="76">
        <f t="shared" ca="1" si="91"/>
        <v>1.0068214933659623</v>
      </c>
      <c r="BG90" s="76">
        <f t="shared" ca="1" si="91"/>
        <v>1.0068214933659623</v>
      </c>
      <c r="BH90" s="76">
        <f t="shared" ca="1" si="91"/>
        <v>1.0068214933659623</v>
      </c>
      <c r="BI90" s="76">
        <f t="shared" ca="1" si="91"/>
        <v>1.0068214933659623</v>
      </c>
      <c r="BJ90" s="76">
        <f t="shared" ca="1" si="91"/>
        <v>1.0068214933659623</v>
      </c>
      <c r="BK90" s="76">
        <f t="shared" ca="1" si="91"/>
        <v>1.0068214933659623</v>
      </c>
      <c r="BL90" s="76">
        <f t="shared" ca="1" si="62"/>
        <v>8.5000000000000853E-2</v>
      </c>
      <c r="BM90" s="77">
        <f t="shared" ca="1" si="81"/>
        <v>1208.8912163251885</v>
      </c>
    </row>
    <row r="91" spans="5:65">
      <c r="E91">
        <f t="shared" si="82"/>
        <v>88</v>
      </c>
      <c r="F91" s="64">
        <f t="shared" si="63"/>
        <v>68.959999999999994</v>
      </c>
      <c r="G91" s="55">
        <f t="shared" si="64"/>
        <v>3.2787340871175408E-3</v>
      </c>
      <c r="H91" s="78">
        <f t="shared" si="89"/>
        <v>0.810056119220392</v>
      </c>
      <c r="I91" s="79">
        <f t="shared" ca="1" si="65"/>
        <v>1272559.3109695825</v>
      </c>
      <c r="J91" s="79">
        <f t="shared" ca="1" si="66"/>
        <v>8680.7548975725276</v>
      </c>
      <c r="K91" s="80">
        <f t="shared" ca="1" si="67"/>
        <v>-16.201122384407839</v>
      </c>
      <c r="L91" s="80">
        <f t="shared" ca="1" si="68"/>
        <v>0</v>
      </c>
      <c r="M91" s="80">
        <f t="shared" ca="1" si="69"/>
        <v>0</v>
      </c>
      <c r="N91" s="80">
        <f t="shared" ca="1" si="70"/>
        <v>0</v>
      </c>
      <c r="O91" s="81">
        <f t="shared" ca="1" si="52"/>
        <v>-13540.901828462796</v>
      </c>
      <c r="P91" s="79">
        <f t="shared" ca="1" si="53"/>
        <v>1267682.9629163078</v>
      </c>
      <c r="Q91" s="35"/>
      <c r="R91">
        <f t="shared" ca="1" si="71"/>
        <v>88</v>
      </c>
      <c r="S91" s="78">
        <f t="shared" ca="1" si="72"/>
        <v>68.959999999999994</v>
      </c>
      <c r="T91" s="55">
        <f t="shared" ca="1" si="73"/>
        <v>3.2787340871175408E-3</v>
      </c>
      <c r="U91" s="78">
        <f t="shared" ca="1" si="74"/>
        <v>0.810056119220392</v>
      </c>
      <c r="V91" s="79">
        <f t="shared" ca="1" si="75"/>
        <v>1272559.3109695825</v>
      </c>
      <c r="W91" s="79">
        <f t="shared" ca="1" si="54"/>
        <v>8680.7548975725276</v>
      </c>
      <c r="X91" s="80">
        <f t="shared" ca="1" si="55"/>
        <v>-16.201122384407839</v>
      </c>
      <c r="Y91" s="80">
        <f t="shared" ca="1" si="76"/>
        <v>0</v>
      </c>
      <c r="Z91" s="80">
        <f t="shared" ca="1" si="56"/>
        <v>0</v>
      </c>
      <c r="AA91" s="80">
        <f t="shared" ca="1" si="77"/>
        <v>0</v>
      </c>
      <c r="AB91" s="81">
        <f t="shared" ca="1" si="57"/>
        <v>-13540.901828462796</v>
      </c>
      <c r="AC91" s="79">
        <f t="shared" ca="1" si="58"/>
        <v>1267682.9629163078</v>
      </c>
      <c r="AD91" s="35"/>
      <c r="AE91" s="62">
        <f t="shared" ca="1" si="59"/>
        <v>-16716.004616439077</v>
      </c>
      <c r="AF91" s="62">
        <f t="shared" ca="1" si="60"/>
        <v>1564932.2717743821</v>
      </c>
      <c r="AG91" s="35"/>
      <c r="AH91" s="35"/>
      <c r="AK91" s="66"/>
      <c r="AL91" s="66"/>
      <c r="AM91" s="66"/>
      <c r="AN91" s="66"/>
      <c r="AR91" s="69">
        <f t="shared" si="79"/>
        <v>8</v>
      </c>
      <c r="AS91" s="70">
        <f t="shared" si="86"/>
        <v>88</v>
      </c>
      <c r="AT91" s="71">
        <f t="shared" si="87"/>
        <v>0.54752441913085925</v>
      </c>
      <c r="AU91" s="72">
        <f t="shared" si="61"/>
        <v>6.8214933659622723E-3</v>
      </c>
      <c r="AV91" s="73">
        <f t="shared" si="80"/>
        <v>1.0068214933659623</v>
      </c>
      <c r="AW91" s="74">
        <f>PRODUCT(AV$4:AV91)</f>
        <v>1.8189387705955233</v>
      </c>
      <c r="AY91" s="75">
        <f t="shared" si="88"/>
        <v>88</v>
      </c>
      <c r="AZ91" s="76">
        <f t="shared" ca="1" si="91"/>
        <v>1.0068214933659623</v>
      </c>
      <c r="BA91" s="76">
        <f t="shared" ca="1" si="91"/>
        <v>1.0068214933659623</v>
      </c>
      <c r="BB91" s="76">
        <f t="shared" ca="1" si="91"/>
        <v>1.0068214933659623</v>
      </c>
      <c r="BC91" s="76">
        <f t="shared" ca="1" si="91"/>
        <v>1.0068214933659623</v>
      </c>
      <c r="BD91" s="76">
        <f t="shared" ca="1" si="91"/>
        <v>1.0068214933659623</v>
      </c>
      <c r="BE91" s="76">
        <f t="shared" ca="1" si="91"/>
        <v>1.0068214933659623</v>
      </c>
      <c r="BF91" s="76">
        <f t="shared" ca="1" si="91"/>
        <v>1.0068214933659623</v>
      </c>
      <c r="BG91" s="76">
        <f t="shared" ca="1" si="91"/>
        <v>1.0068214933659623</v>
      </c>
      <c r="BH91" s="76">
        <f t="shared" ca="1" si="91"/>
        <v>1.0068214933659623</v>
      </c>
      <c r="BI91" s="76">
        <f t="shared" ca="1" si="91"/>
        <v>1.0068214933659623</v>
      </c>
      <c r="BJ91" s="76">
        <f t="shared" ca="1" si="91"/>
        <v>1.0068214933659623</v>
      </c>
      <c r="BK91" s="76">
        <f t="shared" ca="1" si="91"/>
        <v>1.0068214933659623</v>
      </c>
      <c r="BL91" s="76">
        <f t="shared" ca="1" si="62"/>
        <v>8.5000000000000853E-2</v>
      </c>
      <c r="BM91" s="77">
        <f t="shared" ca="1" si="81"/>
        <v>1311.6469697128305</v>
      </c>
    </row>
    <row r="92" spans="5:65">
      <c r="E92">
        <f t="shared" si="82"/>
        <v>89</v>
      </c>
      <c r="F92" s="64">
        <f t="shared" si="63"/>
        <v>69.040000000000006</v>
      </c>
      <c r="G92" s="55">
        <f t="shared" si="64"/>
        <v>3.2787340871175408E-3</v>
      </c>
      <c r="H92" s="78">
        <f t="shared" si="89"/>
        <v>0.807400160609826</v>
      </c>
      <c r="I92" s="79">
        <f t="shared" ca="1" si="65"/>
        <v>1263526.567574136</v>
      </c>
      <c r="J92" s="79">
        <f t="shared" ca="1" si="66"/>
        <v>8619.1380984240495</v>
      </c>
      <c r="K92" s="80">
        <f t="shared" ca="1" si="67"/>
        <v>-16.148003212196521</v>
      </c>
      <c r="L92" s="80">
        <f t="shared" ca="1" si="68"/>
        <v>0</v>
      </c>
      <c r="M92" s="80">
        <f t="shared" ca="1" si="69"/>
        <v>0</v>
      </c>
      <c r="N92" s="80">
        <f t="shared" ca="1" si="70"/>
        <v>0</v>
      </c>
      <c r="O92" s="81">
        <f t="shared" ca="1" si="52"/>
        <v>-13496.504812067506</v>
      </c>
      <c r="P92" s="79">
        <f t="shared" ca="1" si="53"/>
        <v>1258633.0528572802</v>
      </c>
      <c r="Q92" s="35"/>
      <c r="R92">
        <f t="shared" ca="1" si="71"/>
        <v>89</v>
      </c>
      <c r="S92" s="78">
        <f t="shared" ca="1" si="72"/>
        <v>69.040000000000006</v>
      </c>
      <c r="T92" s="55">
        <f t="shared" ca="1" si="73"/>
        <v>3.2787340871175408E-3</v>
      </c>
      <c r="U92" s="78">
        <f t="shared" ca="1" si="74"/>
        <v>0.807400160609826</v>
      </c>
      <c r="V92" s="79">
        <f t="shared" ca="1" si="75"/>
        <v>1263526.567574136</v>
      </c>
      <c r="W92" s="79">
        <f t="shared" ca="1" si="54"/>
        <v>8619.1380984240495</v>
      </c>
      <c r="X92" s="80">
        <f t="shared" ca="1" si="55"/>
        <v>-16.148003212196521</v>
      </c>
      <c r="Y92" s="80">
        <f t="shared" ca="1" si="76"/>
        <v>0</v>
      </c>
      <c r="Z92" s="80">
        <f t="shared" ca="1" si="56"/>
        <v>0</v>
      </c>
      <c r="AA92" s="80">
        <f t="shared" ca="1" si="77"/>
        <v>0</v>
      </c>
      <c r="AB92" s="81">
        <f t="shared" ca="1" si="57"/>
        <v>-13496.504812067506</v>
      </c>
      <c r="AC92" s="79">
        <f t="shared" ca="1" si="58"/>
        <v>1258633.0528572802</v>
      </c>
      <c r="AD92" s="35"/>
      <c r="AE92" s="62">
        <f t="shared" ca="1" si="59"/>
        <v>-16716.004616439081</v>
      </c>
      <c r="AF92" s="62">
        <f t="shared" ca="1" si="60"/>
        <v>1558871.4422680321</v>
      </c>
      <c r="AG92" s="35"/>
      <c r="AH92" s="35"/>
      <c r="AK92" s="66"/>
      <c r="AL92" s="66"/>
      <c r="AM92" s="66"/>
      <c r="AN92" s="66"/>
      <c r="AR92" s="69">
        <f t="shared" si="79"/>
        <v>8</v>
      </c>
      <c r="AS92" s="70">
        <f t="shared" si="86"/>
        <v>89</v>
      </c>
      <c r="AT92" s="71">
        <f t="shared" si="87"/>
        <v>0.54378948493805579</v>
      </c>
      <c r="AU92" s="72">
        <f t="shared" si="61"/>
        <v>6.8214933659622723E-3</v>
      </c>
      <c r="AV92" s="73">
        <f t="shared" si="80"/>
        <v>1.0068214933659623</v>
      </c>
      <c r="AW92" s="74">
        <f>PRODUCT(AV$4:AV92)</f>
        <v>1.8313466493522323</v>
      </c>
      <c r="AY92" s="75">
        <f t="shared" si="88"/>
        <v>89</v>
      </c>
      <c r="AZ92" s="76">
        <f t="shared" ca="1" si="91"/>
        <v>1.0068214933659623</v>
      </c>
      <c r="BA92" s="76">
        <f t="shared" ca="1" si="91"/>
        <v>1.0068214933659623</v>
      </c>
      <c r="BB92" s="76">
        <f t="shared" ca="1" si="91"/>
        <v>1.0068214933659623</v>
      </c>
      <c r="BC92" s="76">
        <f t="shared" ca="1" si="91"/>
        <v>1.0068214933659623</v>
      </c>
      <c r="BD92" s="76">
        <f t="shared" ca="1" si="91"/>
        <v>1.0068214933659623</v>
      </c>
      <c r="BE92" s="76">
        <f t="shared" ca="1" si="91"/>
        <v>1.0068214933659623</v>
      </c>
      <c r="BF92" s="76">
        <f t="shared" ca="1" si="91"/>
        <v>1.0068214933659623</v>
      </c>
      <c r="BG92" s="76">
        <f t="shared" ca="1" si="91"/>
        <v>1.0068214933659623</v>
      </c>
      <c r="BH92" s="76">
        <f t="shared" ca="1" si="91"/>
        <v>1.0068214933659623</v>
      </c>
      <c r="BI92" s="76">
        <f t="shared" ca="1" si="91"/>
        <v>1.0068214933659623</v>
      </c>
      <c r="BJ92" s="76">
        <f t="shared" ca="1" si="91"/>
        <v>1.0068214933659623</v>
      </c>
      <c r="BK92" s="76">
        <f t="shared" ca="1" si="91"/>
        <v>1.0068214933659623</v>
      </c>
      <c r="BL92" s="76">
        <f t="shared" ca="1" si="62"/>
        <v>8.5000000000000853E-2</v>
      </c>
      <c r="BM92" s="77">
        <f t="shared" ca="1" si="81"/>
        <v>1423.1369621384222</v>
      </c>
    </row>
    <row r="93" spans="5:65">
      <c r="E93">
        <f t="shared" si="82"/>
        <v>90</v>
      </c>
      <c r="F93" s="64">
        <f t="shared" si="63"/>
        <v>69.12</v>
      </c>
      <c r="G93" s="55">
        <f t="shared" si="64"/>
        <v>3.2787340871175408E-3</v>
      </c>
      <c r="H93" s="78">
        <f t="shared" si="89"/>
        <v>0.80475291018129036</v>
      </c>
      <c r="I93" s="79">
        <f t="shared" ca="1" si="65"/>
        <v>1254506.3297637042</v>
      </c>
      <c r="J93" s="79">
        <f t="shared" ca="1" si="66"/>
        <v>8557.6066060407866</v>
      </c>
      <c r="K93" s="80">
        <f t="shared" ca="1" si="67"/>
        <v>-16.095058203625808</v>
      </c>
      <c r="L93" s="80">
        <f t="shared" ca="1" si="68"/>
        <v>0</v>
      </c>
      <c r="M93" s="80">
        <f t="shared" ca="1" si="69"/>
        <v>0</v>
      </c>
      <c r="N93" s="80">
        <f t="shared" ca="1" si="70"/>
        <v>0</v>
      </c>
      <c r="O93" s="81">
        <f t="shared" ca="1" si="52"/>
        <v>-13452.253361683232</v>
      </c>
      <c r="P93" s="79">
        <f t="shared" ca="1" si="53"/>
        <v>1249595.587949858</v>
      </c>
      <c r="Q93" s="35"/>
      <c r="R93">
        <f t="shared" ca="1" si="71"/>
        <v>90</v>
      </c>
      <c r="S93" s="78">
        <f t="shared" ca="1" si="72"/>
        <v>69.12</v>
      </c>
      <c r="T93" s="55">
        <f t="shared" ca="1" si="73"/>
        <v>3.2787340871175408E-3</v>
      </c>
      <c r="U93" s="78">
        <f t="shared" ca="1" si="74"/>
        <v>0.80475291018129036</v>
      </c>
      <c r="V93" s="79">
        <f t="shared" ca="1" si="75"/>
        <v>1254506.3297637042</v>
      </c>
      <c r="W93" s="79">
        <f t="shared" ca="1" si="54"/>
        <v>8557.6066060407866</v>
      </c>
      <c r="X93" s="80">
        <f t="shared" ca="1" si="55"/>
        <v>-16.095058203625808</v>
      </c>
      <c r="Y93" s="80">
        <f t="shared" ca="1" si="76"/>
        <v>0</v>
      </c>
      <c r="Z93" s="80">
        <f t="shared" ca="1" si="56"/>
        <v>0</v>
      </c>
      <c r="AA93" s="80">
        <f t="shared" ca="1" si="77"/>
        <v>0</v>
      </c>
      <c r="AB93" s="81">
        <f t="shared" ca="1" si="57"/>
        <v>-13452.253361683232</v>
      </c>
      <c r="AC93" s="79">
        <f t="shared" ca="1" si="58"/>
        <v>1249595.587949858</v>
      </c>
      <c r="AD93" s="35"/>
      <c r="AE93" s="62">
        <f t="shared" ca="1" si="59"/>
        <v>-16716.004616439077</v>
      </c>
      <c r="AF93" s="62">
        <f t="shared" ca="1" si="60"/>
        <v>1552769.2688534122</v>
      </c>
      <c r="AG93" s="35"/>
      <c r="AH93" s="35"/>
      <c r="AK93" s="66"/>
      <c r="AL93" s="66"/>
      <c r="AM93" s="66"/>
      <c r="AN93" s="66"/>
      <c r="AR93" s="69">
        <f t="shared" si="79"/>
        <v>8</v>
      </c>
      <c r="AS93" s="70">
        <f t="shared" si="86"/>
        <v>90</v>
      </c>
      <c r="AT93" s="71">
        <f t="shared" si="87"/>
        <v>0.54008002857407078</v>
      </c>
      <c r="AU93" s="72">
        <f t="shared" si="61"/>
        <v>6.8214933659622723E-3</v>
      </c>
      <c r="AV93" s="73">
        <f t="shared" si="80"/>
        <v>1.0068214933659623</v>
      </c>
      <c r="AW93" s="74">
        <f>PRODUCT(AV$4:AV93)</f>
        <v>1.8438391683715658</v>
      </c>
      <c r="AY93" s="75">
        <f t="shared" si="88"/>
        <v>90</v>
      </c>
      <c r="AZ93" s="76">
        <f t="shared" ca="1" si="91"/>
        <v>1.0068214933659623</v>
      </c>
      <c r="BA93" s="76">
        <f t="shared" ca="1" si="91"/>
        <v>1.0068214933659623</v>
      </c>
      <c r="BB93" s="76">
        <f t="shared" ca="1" si="91"/>
        <v>1.0068214933659623</v>
      </c>
      <c r="BC93" s="76">
        <f t="shared" ca="1" si="91"/>
        <v>1.0068214933659623</v>
      </c>
      <c r="BD93" s="76">
        <f t="shared" ca="1" si="91"/>
        <v>1.0068214933659623</v>
      </c>
      <c r="BE93" s="76">
        <f t="shared" ca="1" si="91"/>
        <v>1.0068214933659623</v>
      </c>
      <c r="BF93" s="76">
        <f t="shared" ca="1" si="91"/>
        <v>1.0068214933659623</v>
      </c>
      <c r="BG93" s="76">
        <f t="shared" ca="1" si="91"/>
        <v>1.0068214933659623</v>
      </c>
      <c r="BH93" s="76">
        <f t="shared" ca="1" si="91"/>
        <v>1.0068214933659623</v>
      </c>
      <c r="BI93" s="76">
        <f t="shared" ca="1" si="91"/>
        <v>1.0068214933659623</v>
      </c>
      <c r="BJ93" s="76">
        <f t="shared" ca="1" si="91"/>
        <v>1.0068214933659623</v>
      </c>
      <c r="BK93" s="76">
        <f t="shared" ca="1" si="91"/>
        <v>1.0068214933659623</v>
      </c>
      <c r="BL93" s="76">
        <f t="shared" ca="1" si="62"/>
        <v>8.5000000000000853E-2</v>
      </c>
      <c r="BM93" s="77">
        <f t="shared" ca="1" si="81"/>
        <v>1544.1036039201892</v>
      </c>
    </row>
    <row r="94" spans="5:65">
      <c r="E94">
        <f t="shared" si="82"/>
        <v>91</v>
      </c>
      <c r="F94" s="64">
        <f t="shared" si="63"/>
        <v>69.2</v>
      </c>
      <c r="G94" s="55">
        <f t="shared" si="64"/>
        <v>3.2787340871175408E-3</v>
      </c>
      <c r="H94" s="78">
        <f t="shared" si="89"/>
        <v>0.80211433938297194</v>
      </c>
      <c r="I94" s="79">
        <f t="shared" ca="1" si="65"/>
        <v>1245498.4963005353</v>
      </c>
      <c r="J94" s="79">
        <f t="shared" ca="1" si="66"/>
        <v>8496.1597298300876</v>
      </c>
      <c r="K94" s="80">
        <f t="shared" ca="1" si="67"/>
        <v>-16.042286787659439</v>
      </c>
      <c r="L94" s="80">
        <f t="shared" ca="1" si="68"/>
        <v>0</v>
      </c>
      <c r="M94" s="80">
        <f t="shared" ca="1" si="69"/>
        <v>0</v>
      </c>
      <c r="N94" s="80">
        <f t="shared" ca="1" si="70"/>
        <v>0</v>
      </c>
      <c r="O94" s="81">
        <f t="shared" ca="1" si="52"/>
        <v>-13408.147000037739</v>
      </c>
      <c r="P94" s="79">
        <f t="shared" ca="1" si="53"/>
        <v>1240570.4667435398</v>
      </c>
      <c r="Q94" s="35"/>
      <c r="R94">
        <f t="shared" ca="1" si="71"/>
        <v>91</v>
      </c>
      <c r="S94" s="78">
        <f t="shared" ca="1" si="72"/>
        <v>69.2</v>
      </c>
      <c r="T94" s="55">
        <f t="shared" ca="1" si="73"/>
        <v>3.2787340871175408E-3</v>
      </c>
      <c r="U94" s="78">
        <f t="shared" ca="1" si="74"/>
        <v>0.80211433938297194</v>
      </c>
      <c r="V94" s="79">
        <f t="shared" ca="1" si="75"/>
        <v>1245498.4963005353</v>
      </c>
      <c r="W94" s="79">
        <f t="shared" ca="1" si="54"/>
        <v>8496.1597298300876</v>
      </c>
      <c r="X94" s="80">
        <f t="shared" ca="1" si="55"/>
        <v>-16.042286787659439</v>
      </c>
      <c r="Y94" s="80">
        <f t="shared" ca="1" si="76"/>
        <v>0</v>
      </c>
      <c r="Z94" s="80">
        <f t="shared" ca="1" si="56"/>
        <v>0</v>
      </c>
      <c r="AA94" s="80">
        <f t="shared" ca="1" si="77"/>
        <v>0</v>
      </c>
      <c r="AB94" s="81">
        <f t="shared" ca="1" si="57"/>
        <v>-13408.147000037739</v>
      </c>
      <c r="AC94" s="79">
        <f t="shared" ca="1" si="58"/>
        <v>1240570.4667435398</v>
      </c>
      <c r="AD94" s="35"/>
      <c r="AE94" s="62">
        <f t="shared" ca="1" si="59"/>
        <v>-16716.004616439077</v>
      </c>
      <c r="AF94" s="62">
        <f t="shared" ca="1" si="60"/>
        <v>1546625.4695033268</v>
      </c>
      <c r="AG94" s="35"/>
      <c r="AH94" s="35"/>
      <c r="AK94" s="66"/>
      <c r="AL94" s="66"/>
      <c r="AM94" s="66"/>
      <c r="AN94" s="66"/>
      <c r="AR94" s="69">
        <f t="shared" si="79"/>
        <v>8</v>
      </c>
      <c r="AS94" s="70">
        <f t="shared" si="86"/>
        <v>91</v>
      </c>
      <c r="AT94" s="71">
        <f t="shared" si="87"/>
        <v>0.53639587624206408</v>
      </c>
      <c r="AU94" s="72">
        <f t="shared" si="61"/>
        <v>6.8214933659622723E-3</v>
      </c>
      <c r="AV94" s="73">
        <f t="shared" si="80"/>
        <v>1.0068214933659623</v>
      </c>
      <c r="AW94" s="74">
        <f>PRODUCT(AV$4:AV94)</f>
        <v>1.8564169050265138</v>
      </c>
      <c r="AY94" s="75">
        <f t="shared" si="88"/>
        <v>91</v>
      </c>
      <c r="AZ94" s="76">
        <f t="shared" ca="1" si="91"/>
        <v>1.0068214933659623</v>
      </c>
      <c r="BA94" s="76">
        <f t="shared" ca="1" si="91"/>
        <v>1.0068214933659623</v>
      </c>
      <c r="BB94" s="76">
        <f t="shared" ca="1" si="91"/>
        <v>1.0068214933659623</v>
      </c>
      <c r="BC94" s="76">
        <f t="shared" ca="1" si="91"/>
        <v>1.0068214933659623</v>
      </c>
      <c r="BD94" s="76">
        <f t="shared" ca="1" si="91"/>
        <v>1.0068214933659623</v>
      </c>
      <c r="BE94" s="76">
        <f t="shared" ca="1" si="91"/>
        <v>1.0068214933659623</v>
      </c>
      <c r="BF94" s="76">
        <f t="shared" ca="1" si="91"/>
        <v>1.0068214933659623</v>
      </c>
      <c r="BG94" s="76">
        <f t="shared" ca="1" si="91"/>
        <v>1.0068214933659623</v>
      </c>
      <c r="BH94" s="76">
        <f t="shared" ca="1" si="91"/>
        <v>1.0068214933659623</v>
      </c>
      <c r="BI94" s="76">
        <f t="shared" ca="1" si="91"/>
        <v>1.0068214933659623</v>
      </c>
      <c r="BJ94" s="76">
        <f t="shared" ca="1" si="91"/>
        <v>1.0068214933659623</v>
      </c>
      <c r="BK94" s="76">
        <f t="shared" ca="1" si="91"/>
        <v>1.0068214933659623</v>
      </c>
      <c r="BL94" s="76">
        <f t="shared" ca="1" si="62"/>
        <v>8.5000000000000853E-2</v>
      </c>
      <c r="BM94" s="77">
        <f t="shared" ca="1" si="81"/>
        <v>1675.3524102534066</v>
      </c>
    </row>
    <row r="95" spans="5:65">
      <c r="E95">
        <f t="shared" si="82"/>
        <v>92</v>
      </c>
      <c r="F95" s="64">
        <f t="shared" si="63"/>
        <v>69.28</v>
      </c>
      <c r="G95" s="55">
        <f t="shared" si="64"/>
        <v>3.2787340871175408E-3</v>
      </c>
      <c r="H95" s="78">
        <f t="shared" si="89"/>
        <v>0.79948441975667117</v>
      </c>
      <c r="I95" s="79">
        <f t="shared" ca="1" si="65"/>
        <v>1236502.9660667565</v>
      </c>
      <c r="J95" s="79">
        <f t="shared" ca="1" si="66"/>
        <v>8434.7967800170518</v>
      </c>
      <c r="K95" s="80">
        <f t="shared" ca="1" si="67"/>
        <v>-15.989688395133424</v>
      </c>
      <c r="L95" s="80">
        <f t="shared" ca="1" si="68"/>
        <v>0</v>
      </c>
      <c r="M95" s="80">
        <f t="shared" ca="1" si="69"/>
        <v>0</v>
      </c>
      <c r="N95" s="80">
        <f t="shared" ca="1" si="70"/>
        <v>0</v>
      </c>
      <c r="O95" s="81">
        <f t="shared" ca="1" si="52"/>
        <v>-13364.185251423633</v>
      </c>
      <c r="P95" s="79">
        <f t="shared" ca="1" si="53"/>
        <v>1231557.5879069548</v>
      </c>
      <c r="Q95" s="35"/>
      <c r="R95">
        <f t="shared" ca="1" si="71"/>
        <v>92</v>
      </c>
      <c r="S95" s="78">
        <f t="shared" ca="1" si="72"/>
        <v>69.28</v>
      </c>
      <c r="T95" s="55">
        <f t="shared" ca="1" si="73"/>
        <v>3.2787340871175408E-3</v>
      </c>
      <c r="U95" s="78">
        <f t="shared" ca="1" si="74"/>
        <v>0.79948441975667117</v>
      </c>
      <c r="V95" s="79">
        <f t="shared" ca="1" si="75"/>
        <v>1236502.9660667565</v>
      </c>
      <c r="W95" s="79">
        <f t="shared" ca="1" si="54"/>
        <v>8434.7967800170518</v>
      </c>
      <c r="X95" s="80">
        <f t="shared" ca="1" si="55"/>
        <v>-15.989688395133424</v>
      </c>
      <c r="Y95" s="80">
        <f t="shared" ca="1" si="76"/>
        <v>0</v>
      </c>
      <c r="Z95" s="80">
        <f t="shared" ca="1" si="56"/>
        <v>0</v>
      </c>
      <c r="AA95" s="80">
        <f t="shared" ca="1" si="77"/>
        <v>0</v>
      </c>
      <c r="AB95" s="81">
        <f t="shared" ca="1" si="57"/>
        <v>-13364.185251423633</v>
      </c>
      <c r="AC95" s="79">
        <f t="shared" ca="1" si="58"/>
        <v>1231557.5879069548</v>
      </c>
      <c r="AD95" s="35"/>
      <c r="AE95" s="62">
        <f t="shared" ca="1" si="59"/>
        <v>-16716.004616439077</v>
      </c>
      <c r="AF95" s="62">
        <f t="shared" ca="1" si="60"/>
        <v>1540439.7602667331</v>
      </c>
      <c r="AG95" s="35"/>
      <c r="AH95" s="35"/>
      <c r="AK95" s="66"/>
      <c r="AL95" s="66"/>
      <c r="AM95" s="66"/>
      <c r="AN95" s="66"/>
      <c r="AR95" s="69">
        <f t="shared" si="79"/>
        <v>8</v>
      </c>
      <c r="AS95" s="70">
        <f t="shared" si="86"/>
        <v>92</v>
      </c>
      <c r="AT95" s="71">
        <f t="shared" si="87"/>
        <v>0.53273685533074933</v>
      </c>
      <c r="AU95" s="72">
        <f t="shared" si="61"/>
        <v>6.8214933659622723E-3</v>
      </c>
      <c r="AV95" s="73">
        <f t="shared" si="80"/>
        <v>1.0068214933659623</v>
      </c>
      <c r="AW95" s="74">
        <f>PRODUCT(AV$4:AV95)</f>
        <v>1.8690804406286123</v>
      </c>
      <c r="AY95" s="75">
        <f t="shared" si="88"/>
        <v>92</v>
      </c>
      <c r="AZ95" s="76">
        <f t="shared" ref="AZ95:BK104" ca="1" si="92">OFFSET($AV$3,($AY95*12-12)+AZ$3,0)</f>
        <v>1.0068214933659623</v>
      </c>
      <c r="BA95" s="76">
        <f t="shared" ca="1" si="92"/>
        <v>1.0068214933659623</v>
      </c>
      <c r="BB95" s="76">
        <f t="shared" ca="1" si="92"/>
        <v>1.0068214933659623</v>
      </c>
      <c r="BC95" s="76">
        <f t="shared" ca="1" si="92"/>
        <v>1.0068214933659623</v>
      </c>
      <c r="BD95" s="76">
        <f t="shared" ca="1" si="92"/>
        <v>1.0068214933659623</v>
      </c>
      <c r="BE95" s="76">
        <f t="shared" ca="1" si="92"/>
        <v>1.0068214933659623</v>
      </c>
      <c r="BF95" s="76">
        <f t="shared" ca="1" si="92"/>
        <v>1.0068214933659623</v>
      </c>
      <c r="BG95" s="76">
        <f t="shared" ca="1" si="92"/>
        <v>1.0068214933659623</v>
      </c>
      <c r="BH95" s="76">
        <f t="shared" ca="1" si="92"/>
        <v>1.0068214933659623</v>
      </c>
      <c r="BI95" s="76">
        <f t="shared" ca="1" si="92"/>
        <v>1.0068214933659623</v>
      </c>
      <c r="BJ95" s="76">
        <f t="shared" ca="1" si="92"/>
        <v>1.0068214933659623</v>
      </c>
      <c r="BK95" s="76">
        <f t="shared" ca="1" si="92"/>
        <v>1.0068214933659623</v>
      </c>
      <c r="BL95" s="76">
        <f t="shared" ca="1" si="62"/>
        <v>8.5000000000000853E-2</v>
      </c>
      <c r="BM95" s="77">
        <f t="shared" ca="1" si="81"/>
        <v>1817.7573651249475</v>
      </c>
    </row>
    <row r="96" spans="5:65">
      <c r="E96">
        <f t="shared" si="82"/>
        <v>93</v>
      </c>
      <c r="F96" s="64">
        <f t="shared" si="63"/>
        <v>69.36</v>
      </c>
      <c r="G96" s="55">
        <f t="shared" si="64"/>
        <v>3.2787340871175408E-3</v>
      </c>
      <c r="H96" s="78">
        <f t="shared" si="89"/>
        <v>0.79686312293749562</v>
      </c>
      <c r="I96" s="79">
        <f t="shared" ca="1" si="65"/>
        <v>1227519.6380632359</v>
      </c>
      <c r="J96" s="79">
        <f t="shared" ca="1" si="66"/>
        <v>8373.5170676367725</v>
      </c>
      <c r="K96" s="80">
        <f t="shared" ca="1" si="67"/>
        <v>-15.937262458749913</v>
      </c>
      <c r="L96" s="80">
        <f t="shared" ca="1" si="68"/>
        <v>0</v>
      </c>
      <c r="M96" s="80">
        <f t="shared" ca="1" si="69"/>
        <v>0</v>
      </c>
      <c r="N96" s="80">
        <f t="shared" ca="1" si="70"/>
        <v>0</v>
      </c>
      <c r="O96" s="81">
        <f t="shared" ca="1" si="52"/>
        <v>-13320.367641693238</v>
      </c>
      <c r="P96" s="79">
        <f t="shared" ca="1" si="53"/>
        <v>1222556.8502267208</v>
      </c>
      <c r="Q96" s="35"/>
      <c r="R96">
        <f t="shared" ca="1" si="71"/>
        <v>93</v>
      </c>
      <c r="S96" s="78">
        <f t="shared" ca="1" si="72"/>
        <v>69.36</v>
      </c>
      <c r="T96" s="55">
        <f t="shared" ca="1" si="73"/>
        <v>3.2787340871175408E-3</v>
      </c>
      <c r="U96" s="78">
        <f t="shared" ca="1" si="74"/>
        <v>0.79686312293749562</v>
      </c>
      <c r="V96" s="79">
        <f t="shared" ca="1" si="75"/>
        <v>1227519.6380632359</v>
      </c>
      <c r="W96" s="79">
        <f t="shared" ca="1" si="54"/>
        <v>8373.5170676367725</v>
      </c>
      <c r="X96" s="80">
        <f t="shared" ca="1" si="55"/>
        <v>-15.937262458749913</v>
      </c>
      <c r="Y96" s="80">
        <f t="shared" ca="1" si="76"/>
        <v>0</v>
      </c>
      <c r="Z96" s="80">
        <f t="shared" ca="1" si="56"/>
        <v>0</v>
      </c>
      <c r="AA96" s="80">
        <f t="shared" ca="1" si="77"/>
        <v>0</v>
      </c>
      <c r="AB96" s="81">
        <f t="shared" ca="1" si="57"/>
        <v>-13320.367641693238</v>
      </c>
      <c r="AC96" s="79">
        <f t="shared" ca="1" si="58"/>
        <v>1222556.8502267208</v>
      </c>
      <c r="AD96" s="35"/>
      <c r="AE96" s="62">
        <f t="shared" ca="1" si="59"/>
        <v>-16716.004616439077</v>
      </c>
      <c r="AF96" s="62">
        <f t="shared" ca="1" si="60"/>
        <v>1534211.855255618</v>
      </c>
      <c r="AG96" s="35"/>
      <c r="AH96" s="35"/>
      <c r="AK96" s="66"/>
      <c r="AL96" s="66"/>
      <c r="AM96" s="66"/>
      <c r="AN96" s="66"/>
      <c r="AR96" s="69">
        <f t="shared" si="79"/>
        <v>8</v>
      </c>
      <c r="AS96" s="70">
        <f t="shared" si="86"/>
        <v>93</v>
      </c>
      <c r="AT96" s="71">
        <f t="shared" si="87"/>
        <v>0.52910279440630703</v>
      </c>
      <c r="AU96" s="72">
        <f t="shared" si="61"/>
        <v>6.8214933659622723E-3</v>
      </c>
      <c r="AV96" s="73">
        <f t="shared" si="80"/>
        <v>1.0068214933659623</v>
      </c>
      <c r="AW96" s="74">
        <f>PRODUCT(AV$4:AV96)</f>
        <v>1.8818303604548103</v>
      </c>
      <c r="AY96" s="75">
        <f t="shared" si="88"/>
        <v>93</v>
      </c>
      <c r="AZ96" s="76">
        <f t="shared" ca="1" si="92"/>
        <v>1.0068214933659623</v>
      </c>
      <c r="BA96" s="76">
        <f t="shared" ca="1" si="92"/>
        <v>1.0068214933659623</v>
      </c>
      <c r="BB96" s="76">
        <f t="shared" ca="1" si="92"/>
        <v>1.0068214933659623</v>
      </c>
      <c r="BC96" s="76">
        <f t="shared" ca="1" si="92"/>
        <v>1.0068214933659623</v>
      </c>
      <c r="BD96" s="76">
        <f t="shared" ca="1" si="92"/>
        <v>1.0068214933659623</v>
      </c>
      <c r="BE96" s="76">
        <f t="shared" ca="1" si="92"/>
        <v>1.0068214933659623</v>
      </c>
      <c r="BF96" s="76">
        <f t="shared" ca="1" si="92"/>
        <v>1.0068214933659623</v>
      </c>
      <c r="BG96" s="76">
        <f t="shared" ca="1" si="92"/>
        <v>1.0068214933659623</v>
      </c>
      <c r="BH96" s="76">
        <f t="shared" ca="1" si="92"/>
        <v>1.0068214933659623</v>
      </c>
      <c r="BI96" s="76">
        <f t="shared" ca="1" si="92"/>
        <v>1.0068214933659623</v>
      </c>
      <c r="BJ96" s="76">
        <f t="shared" ca="1" si="92"/>
        <v>1.0068214933659623</v>
      </c>
      <c r="BK96" s="76">
        <f t="shared" ca="1" si="92"/>
        <v>1.0068214933659623</v>
      </c>
      <c r="BL96" s="76">
        <f t="shared" ca="1" si="62"/>
        <v>8.5000000000000853E-2</v>
      </c>
      <c r="BM96" s="77">
        <f t="shared" ca="1" si="81"/>
        <v>1972.2667411605696</v>
      </c>
    </row>
    <row r="97" spans="5:65">
      <c r="E97">
        <f t="shared" si="82"/>
        <v>94</v>
      </c>
      <c r="F97" s="64">
        <f t="shared" si="63"/>
        <v>69.44</v>
      </c>
      <c r="G97" s="55">
        <f t="shared" si="64"/>
        <v>3.2787340871175408E-3</v>
      </c>
      <c r="H97" s="78">
        <f t="shared" si="89"/>
        <v>0.79425042065355356</v>
      </c>
      <c r="I97" s="79">
        <f t="shared" ca="1" si="65"/>
        <v>1218548.4114084435</v>
      </c>
      <c r="J97" s="79">
        <f t="shared" ca="1" si="66"/>
        <v>8312.3199045265628</v>
      </c>
      <c r="K97" s="80">
        <f t="shared" ca="1" si="67"/>
        <v>-15.885008413071072</v>
      </c>
      <c r="L97" s="80">
        <f t="shared" ca="1" si="68"/>
        <v>0</v>
      </c>
      <c r="M97" s="80">
        <f t="shared" ca="1" si="69"/>
        <v>0</v>
      </c>
      <c r="N97" s="80">
        <f t="shared" ca="1" si="70"/>
        <v>0</v>
      </c>
      <c r="O97" s="81">
        <f t="shared" ca="1" si="52"/>
        <v>-13276.693698253481</v>
      </c>
      <c r="P97" s="79">
        <f t="shared" ca="1" si="53"/>
        <v>1213568.1526063033</v>
      </c>
      <c r="Q97" s="35"/>
      <c r="R97">
        <f t="shared" ca="1" si="71"/>
        <v>94</v>
      </c>
      <c r="S97" s="78">
        <f t="shared" ca="1" si="72"/>
        <v>69.44</v>
      </c>
      <c r="T97" s="55">
        <f t="shared" ca="1" si="73"/>
        <v>3.2787340871175408E-3</v>
      </c>
      <c r="U97" s="78">
        <f t="shared" ca="1" si="74"/>
        <v>0.79425042065355356</v>
      </c>
      <c r="V97" s="79">
        <f t="shared" ca="1" si="75"/>
        <v>1218548.4114084435</v>
      </c>
      <c r="W97" s="79">
        <f t="shared" ca="1" si="54"/>
        <v>8312.3199045265628</v>
      </c>
      <c r="X97" s="80">
        <f t="shared" ca="1" si="55"/>
        <v>-15.885008413071072</v>
      </c>
      <c r="Y97" s="80">
        <f t="shared" ca="1" si="76"/>
        <v>0</v>
      </c>
      <c r="Z97" s="80">
        <f t="shared" ca="1" si="56"/>
        <v>0</v>
      </c>
      <c r="AA97" s="80">
        <f t="shared" ca="1" si="77"/>
        <v>0</v>
      </c>
      <c r="AB97" s="81">
        <f t="shared" ca="1" si="57"/>
        <v>-13276.693698253481</v>
      </c>
      <c r="AC97" s="79">
        <f t="shared" ca="1" si="58"/>
        <v>1213568.1526063033</v>
      </c>
      <c r="AD97" s="35"/>
      <c r="AE97" s="62">
        <f t="shared" ca="1" si="59"/>
        <v>-16716.004616439077</v>
      </c>
      <c r="AF97" s="62">
        <f t="shared" ca="1" si="60"/>
        <v>1527941.4666317857</v>
      </c>
      <c r="AG97" s="35"/>
      <c r="AH97" s="35"/>
      <c r="AK97" s="66"/>
      <c r="AL97" s="66"/>
      <c r="AM97" s="66"/>
      <c r="AN97" s="66"/>
      <c r="AR97" s="69">
        <f t="shared" si="79"/>
        <v>8</v>
      </c>
      <c r="AS97" s="70">
        <f t="shared" si="86"/>
        <v>94</v>
      </c>
      <c r="AT97" s="71">
        <f t="shared" si="87"/>
        <v>0.52549352320435228</v>
      </c>
      <c r="AU97" s="72">
        <f t="shared" si="61"/>
        <v>6.8214933659622723E-3</v>
      </c>
      <c r="AV97" s="73">
        <f t="shared" si="80"/>
        <v>1.0068214933659623</v>
      </c>
      <c r="AW97" s="74">
        <f>PRODUCT(AV$4:AV97)</f>
        <v>1.8946672537745193</v>
      </c>
      <c r="AY97" s="75">
        <f t="shared" si="88"/>
        <v>94</v>
      </c>
      <c r="AZ97" s="76">
        <f t="shared" ca="1" si="92"/>
        <v>1.0068214933659623</v>
      </c>
      <c r="BA97" s="76">
        <f t="shared" ca="1" si="92"/>
        <v>1.0068214933659623</v>
      </c>
      <c r="BB97" s="76">
        <f t="shared" ca="1" si="92"/>
        <v>1.0068214933659623</v>
      </c>
      <c r="BC97" s="76">
        <f t="shared" ca="1" si="92"/>
        <v>1.0068214933659623</v>
      </c>
      <c r="BD97" s="76">
        <f t="shared" ca="1" si="92"/>
        <v>1.0068214933659623</v>
      </c>
      <c r="BE97" s="76">
        <f t="shared" ca="1" si="92"/>
        <v>1.0068214933659623</v>
      </c>
      <c r="BF97" s="76">
        <f t="shared" ca="1" si="92"/>
        <v>1.0068214933659623</v>
      </c>
      <c r="BG97" s="76">
        <f t="shared" ca="1" si="92"/>
        <v>1.0068214933659623</v>
      </c>
      <c r="BH97" s="76">
        <f t="shared" ca="1" si="92"/>
        <v>1.0068214933659623</v>
      </c>
      <c r="BI97" s="76">
        <f t="shared" ca="1" si="92"/>
        <v>1.0068214933659623</v>
      </c>
      <c r="BJ97" s="76">
        <f t="shared" ca="1" si="92"/>
        <v>1.0068214933659623</v>
      </c>
      <c r="BK97" s="76">
        <f t="shared" ca="1" si="92"/>
        <v>1.0068214933659623</v>
      </c>
      <c r="BL97" s="76">
        <f t="shared" ca="1" si="62"/>
        <v>8.5000000000000853E-2</v>
      </c>
      <c r="BM97" s="77">
        <f t="shared" ca="1" si="81"/>
        <v>2139.9094141592195</v>
      </c>
    </row>
    <row r="98" spans="5:65">
      <c r="E98">
        <f t="shared" si="82"/>
        <v>95</v>
      </c>
      <c r="F98" s="64">
        <f t="shared" si="63"/>
        <v>69.52</v>
      </c>
      <c r="G98" s="55">
        <f t="shared" si="64"/>
        <v>3.5900448504841975E-3</v>
      </c>
      <c r="H98" s="78">
        <f t="shared" si="89"/>
        <v>0.79139902602089141</v>
      </c>
      <c r="I98" s="79">
        <f t="shared" ca="1" si="65"/>
        <v>1209211.3885093275</v>
      </c>
      <c r="J98" s="79">
        <f t="shared" ca="1" si="66"/>
        <v>8248.627464762405</v>
      </c>
      <c r="K98" s="80">
        <f t="shared" ca="1" si="67"/>
        <v>-15.827980520417828</v>
      </c>
      <c r="L98" s="80">
        <f t="shared" ca="1" si="68"/>
        <v>0</v>
      </c>
      <c r="M98" s="80">
        <f t="shared" ca="1" si="69"/>
        <v>0</v>
      </c>
      <c r="N98" s="80">
        <f t="shared" ca="1" si="70"/>
        <v>0</v>
      </c>
      <c r="O98" s="81">
        <f t="shared" ca="1" si="52"/>
        <v>-13229.029772410611</v>
      </c>
      <c r="P98" s="79">
        <f t="shared" ca="1" si="53"/>
        <v>1204215.1582211589</v>
      </c>
      <c r="Q98" s="35"/>
      <c r="R98">
        <f t="shared" ca="1" si="71"/>
        <v>95</v>
      </c>
      <c r="S98" s="78">
        <f t="shared" ca="1" si="72"/>
        <v>69.52</v>
      </c>
      <c r="T98" s="55">
        <f t="shared" ca="1" si="73"/>
        <v>3.5900448504841975E-3</v>
      </c>
      <c r="U98" s="78">
        <f t="shared" ca="1" si="74"/>
        <v>0.79139902602089141</v>
      </c>
      <c r="V98" s="79">
        <f t="shared" ca="1" si="75"/>
        <v>1209211.3885093275</v>
      </c>
      <c r="W98" s="79">
        <f t="shared" ca="1" si="54"/>
        <v>8248.627464762405</v>
      </c>
      <c r="X98" s="80">
        <f t="shared" ca="1" si="55"/>
        <v>-15.827980520417828</v>
      </c>
      <c r="Y98" s="80">
        <f t="shared" ca="1" si="76"/>
        <v>0</v>
      </c>
      <c r="Z98" s="80">
        <f t="shared" ca="1" si="56"/>
        <v>0</v>
      </c>
      <c r="AA98" s="80">
        <f t="shared" ca="1" si="77"/>
        <v>0</v>
      </c>
      <c r="AB98" s="81">
        <f t="shared" ca="1" si="57"/>
        <v>-13229.029772410611</v>
      </c>
      <c r="AC98" s="79">
        <f t="shared" ca="1" si="58"/>
        <v>1204215.1582211589</v>
      </c>
      <c r="AD98" s="35"/>
      <c r="AE98" s="62">
        <f t="shared" ca="1" si="59"/>
        <v>-16716.004616439077</v>
      </c>
      <c r="AF98" s="62">
        <f t="shared" ca="1" si="60"/>
        <v>1521628.304593554</v>
      </c>
      <c r="AG98" s="35"/>
      <c r="AH98" s="35"/>
      <c r="AK98" s="66"/>
      <c r="AL98" s="66"/>
      <c r="AM98" s="66"/>
      <c r="AN98" s="66"/>
      <c r="AR98" s="69">
        <f t="shared" si="79"/>
        <v>8</v>
      </c>
      <c r="AS98" s="70">
        <f t="shared" si="86"/>
        <v>95</v>
      </c>
      <c r="AT98" s="71">
        <f t="shared" si="87"/>
        <v>0.52190887262195762</v>
      </c>
      <c r="AU98" s="72">
        <f t="shared" si="61"/>
        <v>6.8214933659622723E-3</v>
      </c>
      <c r="AV98" s="73">
        <f t="shared" si="80"/>
        <v>1.0068214933659623</v>
      </c>
      <c r="AW98" s="74">
        <f>PRODUCT(AV$4:AV98)</f>
        <v>1.9075917138768481</v>
      </c>
      <c r="AY98" s="75">
        <f t="shared" si="88"/>
        <v>95</v>
      </c>
      <c r="AZ98" s="76">
        <f t="shared" ca="1" si="92"/>
        <v>1.0068214933659623</v>
      </c>
      <c r="BA98" s="76">
        <f t="shared" ca="1" si="92"/>
        <v>1.0068214933659623</v>
      </c>
      <c r="BB98" s="76">
        <f t="shared" ca="1" si="92"/>
        <v>1.0068214933659623</v>
      </c>
      <c r="BC98" s="76">
        <f t="shared" ca="1" si="92"/>
        <v>1.0068214933659623</v>
      </c>
      <c r="BD98" s="76">
        <f t="shared" ca="1" si="92"/>
        <v>1.0068214933659623</v>
      </c>
      <c r="BE98" s="76">
        <f t="shared" ca="1" si="92"/>
        <v>1.0068214933659623</v>
      </c>
      <c r="BF98" s="76">
        <f t="shared" ca="1" si="92"/>
        <v>1.0068214933659623</v>
      </c>
      <c r="BG98" s="76">
        <f t="shared" ca="1" si="92"/>
        <v>1.0068214933659623</v>
      </c>
      <c r="BH98" s="76">
        <f t="shared" ca="1" si="92"/>
        <v>1.0068214933659623</v>
      </c>
      <c r="BI98" s="76">
        <f t="shared" ca="1" si="92"/>
        <v>1.0068214933659623</v>
      </c>
      <c r="BJ98" s="76">
        <f t="shared" ca="1" si="92"/>
        <v>1.0068214933659623</v>
      </c>
      <c r="BK98" s="76">
        <f t="shared" ca="1" si="92"/>
        <v>1.0068214933659623</v>
      </c>
      <c r="BL98" s="76">
        <f t="shared" ca="1" si="62"/>
        <v>8.5000000000000853E-2</v>
      </c>
      <c r="BM98" s="77">
        <f t="shared" ca="1" si="81"/>
        <v>2321.8017143627549</v>
      </c>
    </row>
    <row r="99" spans="5:65">
      <c r="E99">
        <f t="shared" si="82"/>
        <v>96</v>
      </c>
      <c r="F99" s="64">
        <f t="shared" si="63"/>
        <v>69.599999999999994</v>
      </c>
      <c r="G99" s="55">
        <f t="shared" si="64"/>
        <v>3.5900448504841975E-3</v>
      </c>
      <c r="H99" s="78">
        <f t="shared" si="89"/>
        <v>0.78855786802284689</v>
      </c>
      <c r="I99" s="79">
        <f t="shared" ca="1" si="65"/>
        <v>1199891.9717935121</v>
      </c>
      <c r="J99" s="79">
        <f t="shared" ca="1" si="66"/>
        <v>8185.0551254608326</v>
      </c>
      <c r="K99" s="80">
        <f t="shared" ca="1" si="67"/>
        <v>-15.771157360456938</v>
      </c>
      <c r="L99" s="80">
        <f t="shared" ca="1" si="68"/>
        <v>0</v>
      </c>
      <c r="M99" s="80">
        <f t="shared" ca="1" si="69"/>
        <v>0</v>
      </c>
      <c r="N99" s="80">
        <f t="shared" ca="1" si="70"/>
        <v>0</v>
      </c>
      <c r="O99" s="81">
        <f t="shared" ca="1" si="52"/>
        <v>-13181.536962199265</v>
      </c>
      <c r="P99" s="79">
        <f t="shared" ca="1" si="53"/>
        <v>1194879.7187994132</v>
      </c>
      <c r="Q99" s="35"/>
      <c r="R99">
        <f t="shared" ca="1" si="71"/>
        <v>96</v>
      </c>
      <c r="S99" s="78">
        <f t="shared" ca="1" si="72"/>
        <v>69.599999999999994</v>
      </c>
      <c r="T99" s="55">
        <f t="shared" ca="1" si="73"/>
        <v>3.5900448504841975E-3</v>
      </c>
      <c r="U99" s="78">
        <f t="shared" ca="1" si="74"/>
        <v>0.78855786802284689</v>
      </c>
      <c r="V99" s="79">
        <f t="shared" ca="1" si="75"/>
        <v>1199891.9717935121</v>
      </c>
      <c r="W99" s="79">
        <f t="shared" ca="1" si="54"/>
        <v>8185.0551254608326</v>
      </c>
      <c r="X99" s="80">
        <f t="shared" ca="1" si="55"/>
        <v>-15.771157360456938</v>
      </c>
      <c r="Y99" s="80">
        <f t="shared" ca="1" si="76"/>
        <v>0</v>
      </c>
      <c r="Z99" s="80">
        <f t="shared" ca="1" si="56"/>
        <v>0</v>
      </c>
      <c r="AA99" s="80">
        <f t="shared" ca="1" si="77"/>
        <v>0</v>
      </c>
      <c r="AB99" s="81">
        <f t="shared" ca="1" si="57"/>
        <v>-13181.536962199265</v>
      </c>
      <c r="AC99" s="79">
        <f t="shared" ca="1" si="58"/>
        <v>1194879.7187994132</v>
      </c>
      <c r="AD99" s="35"/>
      <c r="AE99" s="62">
        <f t="shared" ca="1" si="59"/>
        <v>-16716.004616439077</v>
      </c>
      <c r="AF99" s="62">
        <f t="shared" ca="1" si="60"/>
        <v>1515272.0773623604</v>
      </c>
      <c r="AG99" s="35"/>
      <c r="AH99" s="35"/>
      <c r="AK99" s="66"/>
      <c r="AL99" s="66"/>
      <c r="AM99" s="66"/>
      <c r="AN99" s="66"/>
      <c r="AR99" s="69">
        <f t="shared" si="79"/>
        <v>8</v>
      </c>
      <c r="AS99" s="70">
        <f t="shared" si="86"/>
        <v>96</v>
      </c>
      <c r="AT99" s="71">
        <f t="shared" si="87"/>
        <v>0.51834867470973012</v>
      </c>
      <c r="AU99" s="72">
        <f t="shared" si="61"/>
        <v>6.8214933659622723E-3</v>
      </c>
      <c r="AV99" s="73">
        <f t="shared" si="80"/>
        <v>1.0068214933659623</v>
      </c>
      <c r="AW99" s="74">
        <f>PRODUCT(AV$4:AV99)</f>
        <v>1.9206043380980236</v>
      </c>
      <c r="AY99" s="75">
        <f t="shared" si="88"/>
        <v>96</v>
      </c>
      <c r="AZ99" s="76">
        <f t="shared" ca="1" si="92"/>
        <v>1.0068214933659623</v>
      </c>
      <c r="BA99" s="76">
        <f t="shared" ca="1" si="92"/>
        <v>1.0068214933659623</v>
      </c>
      <c r="BB99" s="76">
        <f t="shared" ca="1" si="92"/>
        <v>1.0068214933659623</v>
      </c>
      <c r="BC99" s="76">
        <f t="shared" ca="1" si="92"/>
        <v>1.0068214933659623</v>
      </c>
      <c r="BD99" s="76">
        <f t="shared" ca="1" si="92"/>
        <v>1.0068214933659623</v>
      </c>
      <c r="BE99" s="76">
        <f t="shared" ca="1" si="92"/>
        <v>1.0068214933659623</v>
      </c>
      <c r="BF99" s="76">
        <f t="shared" ca="1" si="92"/>
        <v>1.0068214933659623</v>
      </c>
      <c r="BG99" s="76">
        <f t="shared" ca="1" si="92"/>
        <v>1.0068214933659623</v>
      </c>
      <c r="BH99" s="76">
        <f t="shared" ca="1" si="92"/>
        <v>1.0068214933659623</v>
      </c>
      <c r="BI99" s="76">
        <f t="shared" ca="1" si="92"/>
        <v>1.0068214933659623</v>
      </c>
      <c r="BJ99" s="76">
        <f t="shared" ca="1" si="92"/>
        <v>1.0068214933659623</v>
      </c>
      <c r="BK99" s="76">
        <f t="shared" ca="1" si="92"/>
        <v>1.0068214933659623</v>
      </c>
      <c r="BL99" s="76">
        <f t="shared" ca="1" si="62"/>
        <v>8.5000000000000853E-2</v>
      </c>
      <c r="BM99" s="77">
        <f t="shared" ca="1" si="81"/>
        <v>2519.1548600835908</v>
      </c>
    </row>
    <row r="100" spans="5:65">
      <c r="E100">
        <f t="shared" si="82"/>
        <v>97</v>
      </c>
      <c r="F100" s="64">
        <f t="shared" si="63"/>
        <v>69.680000000000007</v>
      </c>
      <c r="G100" s="55">
        <f t="shared" si="64"/>
        <v>3.5900448504841975E-3</v>
      </c>
      <c r="H100" s="78">
        <f t="shared" si="89"/>
        <v>0.78572690990944272</v>
      </c>
      <c r="I100" s="79">
        <f t="shared" ca="1" si="65"/>
        <v>1190590.0470179894</v>
      </c>
      <c r="J100" s="79">
        <f t="shared" ca="1" si="66"/>
        <v>8121.6021073139245</v>
      </c>
      <c r="K100" s="80">
        <f t="shared" ca="1" si="67"/>
        <v>-15.714538198188855</v>
      </c>
      <c r="L100" s="80">
        <f t="shared" ca="1" si="68"/>
        <v>0</v>
      </c>
      <c r="M100" s="80">
        <f t="shared" ca="1" si="69"/>
        <v>0</v>
      </c>
      <c r="N100" s="80">
        <f t="shared" ca="1" si="70"/>
        <v>0</v>
      </c>
      <c r="O100" s="81">
        <f t="shared" ca="1" si="52"/>
        <v>-13134.214653306655</v>
      </c>
      <c r="P100" s="79">
        <f t="shared" ca="1" si="53"/>
        <v>1185561.7199337985</v>
      </c>
      <c r="Q100" s="35"/>
      <c r="R100">
        <f t="shared" ca="1" si="71"/>
        <v>97</v>
      </c>
      <c r="S100" s="78">
        <f t="shared" ca="1" si="72"/>
        <v>69.680000000000007</v>
      </c>
      <c r="T100" s="55">
        <f t="shared" ca="1" si="73"/>
        <v>3.5900448504841975E-3</v>
      </c>
      <c r="U100" s="78">
        <f t="shared" ca="1" si="74"/>
        <v>0.78572690990944272</v>
      </c>
      <c r="V100" s="79">
        <f t="shared" ca="1" si="75"/>
        <v>1190590.0470179894</v>
      </c>
      <c r="W100" s="79">
        <f t="shared" ca="1" si="54"/>
        <v>8121.6021073139245</v>
      </c>
      <c r="X100" s="80">
        <f t="shared" ca="1" si="55"/>
        <v>-15.714538198188855</v>
      </c>
      <c r="Y100" s="80">
        <f t="shared" ca="1" si="76"/>
        <v>0</v>
      </c>
      <c r="Z100" s="80">
        <f t="shared" ca="1" si="56"/>
        <v>0</v>
      </c>
      <c r="AA100" s="80">
        <f t="shared" ca="1" si="77"/>
        <v>0</v>
      </c>
      <c r="AB100" s="81">
        <f t="shared" ca="1" si="57"/>
        <v>-13134.214653306655</v>
      </c>
      <c r="AC100" s="79">
        <f t="shared" ca="1" si="58"/>
        <v>1185561.7199337985</v>
      </c>
      <c r="AD100" s="35"/>
      <c r="AE100" s="62">
        <f t="shared" ca="1" si="59"/>
        <v>-16716.004616439077</v>
      </c>
      <c r="AF100" s="62">
        <f t="shared" ca="1" si="60"/>
        <v>1508872.4911692764</v>
      </c>
      <c r="AG100" s="35"/>
      <c r="AH100" s="35"/>
      <c r="AK100" s="66"/>
      <c r="AL100" s="66"/>
      <c r="AM100" s="66"/>
      <c r="AN100" s="66"/>
      <c r="AR100" s="69">
        <f t="shared" si="79"/>
        <v>9</v>
      </c>
      <c r="AS100" s="70">
        <f t="shared" si="86"/>
        <v>97</v>
      </c>
      <c r="AT100" s="71">
        <f t="shared" si="87"/>
        <v>0.51481276266394238</v>
      </c>
      <c r="AU100" s="72">
        <f t="shared" si="61"/>
        <v>6.8214933659622723E-3</v>
      </c>
      <c r="AV100" s="73">
        <f t="shared" si="80"/>
        <v>1.0068214933659623</v>
      </c>
      <c r="AW100" s="74">
        <f>PRODUCT(AV$4:AV100)</f>
        <v>1.9337057278489975</v>
      </c>
      <c r="AY100" s="75">
        <f t="shared" si="88"/>
        <v>97</v>
      </c>
      <c r="AZ100" s="76">
        <f t="shared" ca="1" si="92"/>
        <v>1.0068214933659623</v>
      </c>
      <c r="BA100" s="76">
        <f t="shared" ca="1" si="92"/>
        <v>1.0068214933659623</v>
      </c>
      <c r="BB100" s="76">
        <f t="shared" ca="1" si="92"/>
        <v>1.0068214933659623</v>
      </c>
      <c r="BC100" s="76">
        <f t="shared" ca="1" si="92"/>
        <v>1.0068214933659623</v>
      </c>
      <c r="BD100" s="76">
        <f t="shared" ca="1" si="92"/>
        <v>1.0068214933659623</v>
      </c>
      <c r="BE100" s="76">
        <f t="shared" ca="1" si="92"/>
        <v>1.0068214933659623</v>
      </c>
      <c r="BF100" s="76">
        <f t="shared" ca="1" si="92"/>
        <v>1.0068214933659623</v>
      </c>
      <c r="BG100" s="76">
        <f t="shared" ca="1" si="92"/>
        <v>1.0068214933659623</v>
      </c>
      <c r="BH100" s="76">
        <f t="shared" ca="1" si="92"/>
        <v>1.0068214933659623</v>
      </c>
      <c r="BI100" s="76">
        <f t="shared" ca="1" si="92"/>
        <v>1.0068214933659623</v>
      </c>
      <c r="BJ100" s="76">
        <f t="shared" ca="1" si="92"/>
        <v>1.0068214933659623</v>
      </c>
      <c r="BK100" s="76">
        <f t="shared" ca="1" si="92"/>
        <v>1.0068214933659623</v>
      </c>
      <c r="BL100" s="76">
        <f t="shared" ref="BL100:BL131" ca="1" si="93">PRODUCT(AZ100:BK100)-1</f>
        <v>8.5000000000000853E-2</v>
      </c>
      <c r="BM100" s="77">
        <f t="shared" ca="1" si="81"/>
        <v>2733.2830231906983</v>
      </c>
    </row>
    <row r="101" spans="5:65">
      <c r="E101">
        <f t="shared" si="82"/>
        <v>98</v>
      </c>
      <c r="F101" s="64">
        <f t="shared" si="63"/>
        <v>69.760000000000005</v>
      </c>
      <c r="G101" s="55">
        <f t="shared" si="64"/>
        <v>3.5900448504841975E-3</v>
      </c>
      <c r="H101" s="78">
        <f t="shared" si="89"/>
        <v>0.78290611506263541</v>
      </c>
      <c r="I101" s="79">
        <f t="shared" ca="1" si="65"/>
        <v>1181305.5001862191</v>
      </c>
      <c r="J101" s="79">
        <f t="shared" ca="1" si="66"/>
        <v>8058.2676326950377</v>
      </c>
      <c r="K101" s="80">
        <f t="shared" ca="1" si="67"/>
        <v>-15.658122301252709</v>
      </c>
      <c r="L101" s="80">
        <f t="shared" ca="1" si="68"/>
        <v>0</v>
      </c>
      <c r="M101" s="80">
        <f t="shared" ca="1" si="69"/>
        <v>0</v>
      </c>
      <c r="N101" s="80">
        <f t="shared" ca="1" si="70"/>
        <v>0</v>
      </c>
      <c r="O101" s="81">
        <f t="shared" ca="1" si="52"/>
        <v>-13087.062233625396</v>
      </c>
      <c r="P101" s="79">
        <f t="shared" ca="1" si="53"/>
        <v>1176261.0474629875</v>
      </c>
      <c r="Q101" s="35"/>
      <c r="R101">
        <f t="shared" ca="1" si="71"/>
        <v>98</v>
      </c>
      <c r="S101" s="78">
        <f t="shared" ca="1" si="72"/>
        <v>69.760000000000005</v>
      </c>
      <c r="T101" s="55">
        <f t="shared" ca="1" si="73"/>
        <v>3.5900448504841975E-3</v>
      </c>
      <c r="U101" s="78">
        <f t="shared" ca="1" si="74"/>
        <v>0.78290611506263541</v>
      </c>
      <c r="V101" s="79">
        <f t="shared" ca="1" si="75"/>
        <v>1181305.5001862191</v>
      </c>
      <c r="W101" s="79">
        <f t="shared" ca="1" si="54"/>
        <v>8058.2676326950377</v>
      </c>
      <c r="X101" s="80">
        <f t="shared" ca="1" si="55"/>
        <v>-15.658122301252709</v>
      </c>
      <c r="Y101" s="80">
        <f t="shared" ca="1" si="76"/>
        <v>0</v>
      </c>
      <c r="Z101" s="80">
        <f t="shared" ca="1" si="56"/>
        <v>0</v>
      </c>
      <c r="AA101" s="80">
        <f t="shared" ca="1" si="77"/>
        <v>0</v>
      </c>
      <c r="AB101" s="81">
        <f t="shared" ca="1" si="57"/>
        <v>-13087.062233625396</v>
      </c>
      <c r="AC101" s="79">
        <f t="shared" ca="1" si="58"/>
        <v>1176261.0474629875</v>
      </c>
      <c r="AD101" s="35"/>
      <c r="AE101" s="62">
        <f t="shared" ca="1" si="59"/>
        <v>-16716.004616439077</v>
      </c>
      <c r="AF101" s="62">
        <f t="shared" ca="1" si="60"/>
        <v>1502429.2502414319</v>
      </c>
      <c r="AG101" s="35"/>
      <c r="AH101" s="35"/>
      <c r="AK101" s="66"/>
      <c r="AL101" s="66"/>
      <c r="AM101" s="66"/>
      <c r="AN101" s="66"/>
      <c r="AR101" s="69">
        <f t="shared" si="79"/>
        <v>9</v>
      </c>
      <c r="AS101" s="70">
        <f t="shared" si="86"/>
        <v>98</v>
      </c>
      <c r="AT101" s="71">
        <f t="shared" si="87"/>
        <v>0.51130097081871761</v>
      </c>
      <c r="AU101" s="72">
        <f t="shared" si="61"/>
        <v>6.8214933659622723E-3</v>
      </c>
      <c r="AV101" s="73">
        <f t="shared" si="80"/>
        <v>1.0068214933659623</v>
      </c>
      <c r="AW101" s="74">
        <f>PRODUCT(AV$4:AV101)</f>
        <v>1.9468964886432427</v>
      </c>
      <c r="AY101" s="75">
        <f t="shared" si="88"/>
        <v>98</v>
      </c>
      <c r="AZ101" s="76">
        <f t="shared" ca="1" si="92"/>
        <v>1.0068214933659623</v>
      </c>
      <c r="BA101" s="76">
        <f t="shared" ca="1" si="92"/>
        <v>1.0068214933659623</v>
      </c>
      <c r="BB101" s="76">
        <f t="shared" ca="1" si="92"/>
        <v>1.0068214933659623</v>
      </c>
      <c r="BC101" s="76">
        <f t="shared" ca="1" si="92"/>
        <v>1.0068214933659623</v>
      </c>
      <c r="BD101" s="76">
        <f t="shared" ca="1" si="92"/>
        <v>1.0068214933659623</v>
      </c>
      <c r="BE101" s="76">
        <f t="shared" ca="1" si="92"/>
        <v>1.0068214933659623</v>
      </c>
      <c r="BF101" s="76">
        <f t="shared" ca="1" si="92"/>
        <v>1.0068214933659623</v>
      </c>
      <c r="BG101" s="76">
        <f t="shared" ca="1" si="92"/>
        <v>1.0068214933659623</v>
      </c>
      <c r="BH101" s="76">
        <f t="shared" ca="1" si="92"/>
        <v>1.0068214933659623</v>
      </c>
      <c r="BI101" s="76">
        <f t="shared" ca="1" si="92"/>
        <v>1.0068214933659623</v>
      </c>
      <c r="BJ101" s="76">
        <f t="shared" ca="1" si="92"/>
        <v>1.0068214933659623</v>
      </c>
      <c r="BK101" s="76">
        <f t="shared" ca="1" si="92"/>
        <v>1.0068214933659623</v>
      </c>
      <c r="BL101" s="76">
        <f t="shared" ca="1" si="93"/>
        <v>8.5000000000000853E-2</v>
      </c>
      <c r="BM101" s="77">
        <f t="shared" ref="BM101:BM132" ca="1" si="94">PRODUCT(AZ101:BK101)*BM100</f>
        <v>2965.6120801619099</v>
      </c>
    </row>
    <row r="102" spans="5:65">
      <c r="E102">
        <f t="shared" si="82"/>
        <v>99</v>
      </c>
      <c r="F102" s="64">
        <f t="shared" si="63"/>
        <v>69.84</v>
      </c>
      <c r="G102" s="55">
        <f t="shared" si="64"/>
        <v>3.5900448504841975E-3</v>
      </c>
      <c r="H102" s="78">
        <f t="shared" si="89"/>
        <v>0.78009544699584221</v>
      </c>
      <c r="I102" s="79">
        <f t="shared" ca="1" si="65"/>
        <v>1172038.2175467177</v>
      </c>
      <c r="J102" s="79">
        <f t="shared" ca="1" si="66"/>
        <v>7995.0509256491814</v>
      </c>
      <c r="K102" s="80">
        <f t="shared" ca="1" si="67"/>
        <v>-15.601908939916845</v>
      </c>
      <c r="L102" s="80">
        <f t="shared" ca="1" si="68"/>
        <v>0</v>
      </c>
      <c r="M102" s="80">
        <f t="shared" ca="1" si="69"/>
        <v>0</v>
      </c>
      <c r="N102" s="80">
        <f t="shared" ca="1" si="70"/>
        <v>0</v>
      </c>
      <c r="O102" s="81">
        <f t="shared" ca="1" si="52"/>
        <v>-13040.079093245606</v>
      </c>
      <c r="P102" s="79">
        <f t="shared" ca="1" si="53"/>
        <v>1166977.5874701815</v>
      </c>
      <c r="Q102" s="35"/>
      <c r="R102">
        <f t="shared" ca="1" si="71"/>
        <v>99</v>
      </c>
      <c r="S102" s="78">
        <f t="shared" ca="1" si="72"/>
        <v>69.84</v>
      </c>
      <c r="T102" s="55">
        <f t="shared" ca="1" si="73"/>
        <v>3.5900448504841975E-3</v>
      </c>
      <c r="U102" s="78">
        <f t="shared" ca="1" si="74"/>
        <v>0.78009544699584221</v>
      </c>
      <c r="V102" s="79">
        <f t="shared" ca="1" si="75"/>
        <v>1172038.2175467177</v>
      </c>
      <c r="W102" s="79">
        <f t="shared" ca="1" si="54"/>
        <v>7995.0509256491814</v>
      </c>
      <c r="X102" s="80">
        <f t="shared" ca="1" si="55"/>
        <v>-15.601908939916845</v>
      </c>
      <c r="Y102" s="80">
        <f t="shared" ca="1" si="76"/>
        <v>0</v>
      </c>
      <c r="Z102" s="80">
        <f t="shared" ca="1" si="56"/>
        <v>0</v>
      </c>
      <c r="AA102" s="80">
        <f t="shared" ca="1" si="77"/>
        <v>0</v>
      </c>
      <c r="AB102" s="81">
        <f t="shared" ca="1" si="57"/>
        <v>-13040.079093245606</v>
      </c>
      <c r="AC102" s="79">
        <f t="shared" ca="1" si="58"/>
        <v>1166977.5874701815</v>
      </c>
      <c r="AD102" s="35"/>
      <c r="AE102" s="62">
        <f t="shared" ca="1" si="59"/>
        <v>-16716.004616439081</v>
      </c>
      <c r="AF102" s="62">
        <f t="shared" ca="1" si="60"/>
        <v>1495942.0567883423</v>
      </c>
      <c r="AG102" s="35"/>
      <c r="AH102" s="35"/>
      <c r="AK102" s="66"/>
      <c r="AL102" s="66"/>
      <c r="AM102" s="66"/>
      <c r="AN102" s="66"/>
      <c r="AR102" s="69">
        <f t="shared" si="79"/>
        <v>9</v>
      </c>
      <c r="AS102" s="70">
        <f t="shared" si="86"/>
        <v>99</v>
      </c>
      <c r="AT102" s="71">
        <f t="shared" si="87"/>
        <v>0.50781313463826772</v>
      </c>
      <c r="AU102" s="72">
        <f t="shared" si="61"/>
        <v>6.8214933659622723E-3</v>
      </c>
      <c r="AV102" s="73">
        <f t="shared" si="80"/>
        <v>1.0068214933659623</v>
      </c>
      <c r="AW102" s="74">
        <f>PRODUCT(AV$4:AV102)</f>
        <v>1.9601772301247378</v>
      </c>
      <c r="AY102" s="75">
        <f t="shared" si="88"/>
        <v>99</v>
      </c>
      <c r="AZ102" s="76">
        <f t="shared" ca="1" si="92"/>
        <v>1.0068214933659623</v>
      </c>
      <c r="BA102" s="76">
        <f t="shared" ca="1" si="92"/>
        <v>1.0068214933659623</v>
      </c>
      <c r="BB102" s="76">
        <f t="shared" ca="1" si="92"/>
        <v>1.0068214933659623</v>
      </c>
      <c r="BC102" s="76">
        <f t="shared" ca="1" si="92"/>
        <v>1.0068214933659623</v>
      </c>
      <c r="BD102" s="76">
        <f t="shared" ca="1" si="92"/>
        <v>1.0068214933659623</v>
      </c>
      <c r="BE102" s="76">
        <f t="shared" ca="1" si="92"/>
        <v>1.0068214933659623</v>
      </c>
      <c r="BF102" s="76">
        <f t="shared" ca="1" si="92"/>
        <v>1.0068214933659623</v>
      </c>
      <c r="BG102" s="76">
        <f t="shared" ca="1" si="92"/>
        <v>1.0068214933659623</v>
      </c>
      <c r="BH102" s="76">
        <f t="shared" ca="1" si="92"/>
        <v>1.0068214933659623</v>
      </c>
      <c r="BI102" s="76">
        <f t="shared" ca="1" si="92"/>
        <v>1.0068214933659623</v>
      </c>
      <c r="BJ102" s="76">
        <f t="shared" ca="1" si="92"/>
        <v>1.0068214933659623</v>
      </c>
      <c r="BK102" s="76">
        <f t="shared" ca="1" si="92"/>
        <v>1.0068214933659623</v>
      </c>
      <c r="BL102" s="76">
        <f t="shared" ca="1" si="93"/>
        <v>8.5000000000000853E-2</v>
      </c>
      <c r="BM102" s="77">
        <f t="shared" ca="1" si="94"/>
        <v>3217.6891069756748</v>
      </c>
    </row>
    <row r="103" spans="5:65">
      <c r="E103">
        <f t="shared" si="82"/>
        <v>100</v>
      </c>
      <c r="F103" s="64">
        <f t="shared" si="63"/>
        <v>69.92</v>
      </c>
      <c r="G103" s="55">
        <f t="shared" si="64"/>
        <v>3.5900448504841975E-3</v>
      </c>
      <c r="H103" s="78">
        <f t="shared" si="89"/>
        <v>0.77729486935346859</v>
      </c>
      <c r="I103" s="79">
        <f t="shared" ca="1" si="65"/>
        <v>1162788.0855916538</v>
      </c>
      <c r="J103" s="79">
        <f t="shared" ca="1" si="66"/>
        <v>7931.9512118834373</v>
      </c>
      <c r="K103" s="80">
        <f t="shared" ca="1" si="67"/>
        <v>-15.545897387069372</v>
      </c>
      <c r="L103" s="80">
        <f t="shared" ca="1" si="68"/>
        <v>0</v>
      </c>
      <c r="M103" s="80">
        <f t="shared" ca="1" si="69"/>
        <v>0</v>
      </c>
      <c r="N103" s="80">
        <f t="shared" ca="1" si="70"/>
        <v>0</v>
      </c>
      <c r="O103" s="81">
        <f t="shared" ca="1" si="52"/>
        <v>-12993.264624446992</v>
      </c>
      <c r="P103" s="79">
        <f t="shared" ca="1" si="53"/>
        <v>1157711.2262817032</v>
      </c>
      <c r="Q103" s="35"/>
      <c r="R103">
        <f t="shared" ca="1" si="71"/>
        <v>100</v>
      </c>
      <c r="S103" s="78">
        <f t="shared" ca="1" si="72"/>
        <v>69.92</v>
      </c>
      <c r="T103" s="55">
        <f t="shared" ca="1" si="73"/>
        <v>3.5900448504841975E-3</v>
      </c>
      <c r="U103" s="78">
        <f t="shared" ca="1" si="74"/>
        <v>0.77729486935346859</v>
      </c>
      <c r="V103" s="79">
        <f t="shared" ca="1" si="75"/>
        <v>1162788.0855916538</v>
      </c>
      <c r="W103" s="79">
        <f t="shared" ca="1" si="54"/>
        <v>7931.9512118834373</v>
      </c>
      <c r="X103" s="80">
        <f t="shared" ca="1" si="55"/>
        <v>-15.545897387069372</v>
      </c>
      <c r="Y103" s="80">
        <f t="shared" ca="1" si="76"/>
        <v>0</v>
      </c>
      <c r="Z103" s="80">
        <f t="shared" ca="1" si="56"/>
        <v>0</v>
      </c>
      <c r="AA103" s="80">
        <f t="shared" ca="1" si="77"/>
        <v>0</v>
      </c>
      <c r="AB103" s="81">
        <f t="shared" ca="1" si="57"/>
        <v>-12993.264624446992</v>
      </c>
      <c r="AC103" s="79">
        <f t="shared" ca="1" si="58"/>
        <v>1157711.2262817032</v>
      </c>
      <c r="AD103" s="35"/>
      <c r="AE103" s="62">
        <f t="shared" ca="1" si="59"/>
        <v>-16716.004616439081</v>
      </c>
      <c r="AF103" s="62">
        <f t="shared" ca="1" si="60"/>
        <v>1489410.6109881492</v>
      </c>
      <c r="AG103" s="35"/>
      <c r="AH103" s="35"/>
      <c r="AK103" s="66"/>
      <c r="AL103" s="66"/>
      <c r="AM103" s="66"/>
      <c r="AN103" s="66"/>
      <c r="AR103" s="69">
        <f t="shared" si="79"/>
        <v>9</v>
      </c>
      <c r="AS103" s="70">
        <f t="shared" si="86"/>
        <v>100</v>
      </c>
      <c r="AT103" s="71">
        <f t="shared" si="87"/>
        <v>0.50434909070918421</v>
      </c>
      <c r="AU103" s="72">
        <f t="shared" si="61"/>
        <v>6.8214933659622723E-3</v>
      </c>
      <c r="AV103" s="73">
        <f t="shared" si="80"/>
        <v>1.0068214933659623</v>
      </c>
      <c r="AW103" s="74">
        <f>PRODUCT(AV$4:AV103)</f>
        <v>1.973548566096144</v>
      </c>
      <c r="AY103" s="75">
        <f t="shared" si="88"/>
        <v>100</v>
      </c>
      <c r="AZ103" s="76">
        <f t="shared" ca="1" si="92"/>
        <v>1.0068214933659623</v>
      </c>
      <c r="BA103" s="76">
        <f t="shared" ca="1" si="92"/>
        <v>1.0068214933659623</v>
      </c>
      <c r="BB103" s="76">
        <f t="shared" ca="1" si="92"/>
        <v>1.0068214933659623</v>
      </c>
      <c r="BC103" s="76">
        <f t="shared" ca="1" si="92"/>
        <v>1.0068214933659623</v>
      </c>
      <c r="BD103" s="76">
        <f t="shared" ca="1" si="92"/>
        <v>1.0068214933659623</v>
      </c>
      <c r="BE103" s="76">
        <f t="shared" ca="1" si="92"/>
        <v>1.0068214933659623</v>
      </c>
      <c r="BF103" s="76">
        <f t="shared" ca="1" si="92"/>
        <v>1.0068214933659623</v>
      </c>
      <c r="BG103" s="76">
        <f t="shared" ca="1" si="92"/>
        <v>1.0068214933659623</v>
      </c>
      <c r="BH103" s="76">
        <f t="shared" ca="1" si="92"/>
        <v>1.0068214933659623</v>
      </c>
      <c r="BI103" s="76">
        <f t="shared" ca="1" si="92"/>
        <v>1.0068214933659623</v>
      </c>
      <c r="BJ103" s="76">
        <f t="shared" ca="1" si="92"/>
        <v>1.0068214933659623</v>
      </c>
      <c r="BK103" s="76">
        <f t="shared" ca="1" si="92"/>
        <v>1.0068214933659623</v>
      </c>
      <c r="BL103" s="76">
        <f t="shared" ca="1" si="93"/>
        <v>8.5000000000000853E-2</v>
      </c>
      <c r="BM103" s="77">
        <f t="shared" ca="1" si="94"/>
        <v>3491.19268106861</v>
      </c>
    </row>
    <row r="104" spans="5:65">
      <c r="E104">
        <f t="shared" si="82"/>
        <v>101</v>
      </c>
      <c r="F104" s="64">
        <f t="shared" si="63"/>
        <v>70</v>
      </c>
      <c r="G104" s="55">
        <f t="shared" si="64"/>
        <v>3.5900448504841975E-3</v>
      </c>
      <c r="H104" s="78">
        <f t="shared" si="89"/>
        <v>0.77450434591043837</v>
      </c>
      <c r="I104" s="79">
        <f t="shared" ca="1" si="65"/>
        <v>1153554.991055443</v>
      </c>
      <c r="J104" s="79">
        <f t="shared" ca="1" si="66"/>
        <v>7868.9677187573725</v>
      </c>
      <c r="K104" s="80">
        <f t="shared" ca="1" si="67"/>
        <v>-15.490086918208767</v>
      </c>
      <c r="L104" s="80">
        <f t="shared" ca="1" si="68"/>
        <v>0</v>
      </c>
      <c r="M104" s="80">
        <f t="shared" ca="1" si="69"/>
        <v>0</v>
      </c>
      <c r="N104" s="80">
        <f t="shared" ca="1" si="70"/>
        <v>0</v>
      </c>
      <c r="O104" s="81">
        <f t="shared" ca="1" si="52"/>
        <v>-12946.618221691017</v>
      </c>
      <c r="P104" s="79">
        <f t="shared" ca="1" si="53"/>
        <v>1148461.8504655911</v>
      </c>
      <c r="Q104" s="35"/>
      <c r="R104">
        <f t="shared" ca="1" si="71"/>
        <v>101</v>
      </c>
      <c r="S104" s="78">
        <f t="shared" ca="1" si="72"/>
        <v>70</v>
      </c>
      <c r="T104" s="55">
        <f t="shared" ca="1" si="73"/>
        <v>3.5900448504841975E-3</v>
      </c>
      <c r="U104" s="78">
        <f t="shared" ca="1" si="74"/>
        <v>0.77450434591043837</v>
      </c>
      <c r="V104" s="79">
        <f t="shared" ca="1" si="75"/>
        <v>1153554.991055443</v>
      </c>
      <c r="W104" s="79">
        <f t="shared" ca="1" si="54"/>
        <v>7868.9677187573725</v>
      </c>
      <c r="X104" s="80">
        <f t="shared" ca="1" si="55"/>
        <v>-15.490086918208767</v>
      </c>
      <c r="Y104" s="80">
        <f t="shared" ca="1" si="76"/>
        <v>0</v>
      </c>
      <c r="Z104" s="80">
        <f t="shared" ca="1" si="56"/>
        <v>0</v>
      </c>
      <c r="AA104" s="80">
        <f t="shared" ca="1" si="77"/>
        <v>0</v>
      </c>
      <c r="AB104" s="81">
        <f t="shared" ca="1" si="57"/>
        <v>-12946.618221691017</v>
      </c>
      <c r="AC104" s="79">
        <f t="shared" ca="1" si="58"/>
        <v>1148461.8504655911</v>
      </c>
      <c r="AD104" s="35"/>
      <c r="AE104" s="62">
        <f t="shared" ca="1" si="59"/>
        <v>-16716.004616439077</v>
      </c>
      <c r="AF104" s="62">
        <f t="shared" ca="1" si="60"/>
        <v>1482834.6109737596</v>
      </c>
      <c r="AG104" s="35"/>
      <c r="AH104" s="35"/>
      <c r="AK104" s="66"/>
      <c r="AL104" s="66"/>
      <c r="AM104" s="66"/>
      <c r="AN104" s="66"/>
      <c r="AR104" s="69">
        <f t="shared" si="79"/>
        <v>9</v>
      </c>
      <c r="AS104" s="70">
        <f t="shared" si="86"/>
        <v>101</v>
      </c>
      <c r="AT104" s="71">
        <f t="shared" si="87"/>
        <v>0.50090867673278239</v>
      </c>
      <c r="AU104" s="72">
        <f t="shared" si="61"/>
        <v>6.8214933659622723E-3</v>
      </c>
      <c r="AV104" s="73">
        <f t="shared" si="80"/>
        <v>1.0068214933659623</v>
      </c>
      <c r="AW104" s="74">
        <f>PRODUCT(AV$4:AV104)</f>
        <v>1.9870111145471732</v>
      </c>
      <c r="AY104" s="75">
        <f t="shared" si="88"/>
        <v>101</v>
      </c>
      <c r="AZ104" s="76">
        <f t="shared" ca="1" si="92"/>
        <v>1.0068214933659623</v>
      </c>
      <c r="BA104" s="76">
        <f t="shared" ca="1" si="92"/>
        <v>1.0068214933659623</v>
      </c>
      <c r="BB104" s="76">
        <f t="shared" ca="1" si="92"/>
        <v>1.0068214933659623</v>
      </c>
      <c r="BC104" s="76">
        <f t="shared" ca="1" si="92"/>
        <v>1.0068214933659623</v>
      </c>
      <c r="BD104" s="76">
        <f t="shared" ca="1" si="92"/>
        <v>1.0068214933659623</v>
      </c>
      <c r="BE104" s="76">
        <f t="shared" ca="1" si="92"/>
        <v>1.0068214933659623</v>
      </c>
      <c r="BF104" s="76">
        <f t="shared" ca="1" si="92"/>
        <v>1.0068214933659623</v>
      </c>
      <c r="BG104" s="76">
        <f t="shared" ca="1" si="92"/>
        <v>1.0068214933659623</v>
      </c>
      <c r="BH104" s="76">
        <f t="shared" ca="1" si="92"/>
        <v>1.0068214933659623</v>
      </c>
      <c r="BI104" s="76">
        <f t="shared" ca="1" si="92"/>
        <v>1.0068214933659623</v>
      </c>
      <c r="BJ104" s="76">
        <f t="shared" ca="1" si="92"/>
        <v>1.0068214933659623</v>
      </c>
      <c r="BK104" s="76">
        <f t="shared" ca="1" si="92"/>
        <v>1.0068214933659623</v>
      </c>
      <c r="BL104" s="76">
        <f t="shared" ca="1" si="93"/>
        <v>8.5000000000000853E-2</v>
      </c>
      <c r="BM104" s="77">
        <f t="shared" ca="1" si="94"/>
        <v>3787.9440589594446</v>
      </c>
    </row>
    <row r="105" spans="5:65">
      <c r="E105">
        <f t="shared" si="82"/>
        <v>102</v>
      </c>
      <c r="F105" s="64">
        <f t="shared" si="63"/>
        <v>70.08</v>
      </c>
      <c r="G105" s="55">
        <f t="shared" si="64"/>
        <v>3.5900448504841975E-3</v>
      </c>
      <c r="H105" s="78">
        <f t="shared" si="89"/>
        <v>0.77172384057172494</v>
      </c>
      <c r="I105" s="79">
        <f t="shared" ca="1" si="65"/>
        <v>1144338.8209133495</v>
      </c>
      <c r="J105" s="79">
        <f t="shared" ca="1" si="66"/>
        <v>7806.0996752735027</v>
      </c>
      <c r="K105" s="80">
        <f t="shared" ca="1" si="67"/>
        <v>-15.434476811434498</v>
      </c>
      <c r="L105" s="80">
        <f t="shared" ca="1" si="68"/>
        <v>0</v>
      </c>
      <c r="M105" s="80">
        <f t="shared" ca="1" si="69"/>
        <v>0</v>
      </c>
      <c r="N105" s="80">
        <f t="shared" ca="1" si="70"/>
        <v>0</v>
      </c>
      <c r="O105" s="81">
        <f t="shared" ca="1" si="52"/>
        <v>-12900.139281613048</v>
      </c>
      <c r="P105" s="79">
        <f t="shared" ca="1" si="53"/>
        <v>1139229.3468301985</v>
      </c>
      <c r="Q105" s="35"/>
      <c r="R105">
        <f t="shared" ca="1" si="71"/>
        <v>102</v>
      </c>
      <c r="S105" s="78">
        <f t="shared" ca="1" si="72"/>
        <v>70.08</v>
      </c>
      <c r="T105" s="55">
        <f t="shared" ca="1" si="73"/>
        <v>3.5900448504841975E-3</v>
      </c>
      <c r="U105" s="78">
        <f t="shared" ca="1" si="74"/>
        <v>0.77172384057172494</v>
      </c>
      <c r="V105" s="79">
        <f t="shared" ca="1" si="75"/>
        <v>1144338.8209133495</v>
      </c>
      <c r="W105" s="79">
        <f t="shared" ca="1" si="54"/>
        <v>7806.0996752735027</v>
      </c>
      <c r="X105" s="80">
        <f t="shared" ca="1" si="55"/>
        <v>-15.434476811434498</v>
      </c>
      <c r="Y105" s="80">
        <f t="shared" ca="1" si="76"/>
        <v>0</v>
      </c>
      <c r="Z105" s="80">
        <f t="shared" ca="1" si="56"/>
        <v>0</v>
      </c>
      <c r="AA105" s="80">
        <f t="shared" ca="1" si="77"/>
        <v>0</v>
      </c>
      <c r="AB105" s="81">
        <f t="shared" ca="1" si="57"/>
        <v>-12900.139281613048</v>
      </c>
      <c r="AC105" s="79">
        <f t="shared" ca="1" si="58"/>
        <v>1139229.3468301985</v>
      </c>
      <c r="AD105" s="35"/>
      <c r="AE105" s="62">
        <f t="shared" ca="1" si="59"/>
        <v>-16716.004616439077</v>
      </c>
      <c r="AF105" s="62">
        <f t="shared" ca="1" si="60"/>
        <v>1476213.7528188974</v>
      </c>
      <c r="AG105" s="35"/>
      <c r="AH105" s="35"/>
      <c r="AK105" s="66"/>
      <c r="AL105" s="66"/>
      <c r="AM105" s="66"/>
      <c r="AN105" s="66"/>
      <c r="AR105" s="69">
        <f t="shared" si="79"/>
        <v>9</v>
      </c>
      <c r="AS105" s="70">
        <f t="shared" si="86"/>
        <v>102</v>
      </c>
      <c r="AT105" s="71">
        <f t="shared" si="87"/>
        <v>0.49749173151749676</v>
      </c>
      <c r="AU105" s="72">
        <f t="shared" si="61"/>
        <v>6.8214933659622723E-3</v>
      </c>
      <c r="AV105" s="73">
        <f t="shared" si="80"/>
        <v>1.0068214933659623</v>
      </c>
      <c r="AW105" s="74">
        <f>PRODUCT(AV$4:AV105)</f>
        <v>2.0005654976831502</v>
      </c>
      <c r="AY105" s="75">
        <f t="shared" si="88"/>
        <v>102</v>
      </c>
      <c r="AZ105" s="76">
        <f t="shared" ref="AZ105:BK114" ca="1" si="95">OFFSET($AV$3,($AY105*12-12)+AZ$3,0)</f>
        <v>1.0068214933659623</v>
      </c>
      <c r="BA105" s="76">
        <f t="shared" ca="1" si="95"/>
        <v>1.0068214933659623</v>
      </c>
      <c r="BB105" s="76">
        <f t="shared" ca="1" si="95"/>
        <v>1.0068214933659623</v>
      </c>
      <c r="BC105" s="76">
        <f t="shared" ca="1" si="95"/>
        <v>1.0068214933659623</v>
      </c>
      <c r="BD105" s="76">
        <f t="shared" ca="1" si="95"/>
        <v>1.0068214933659623</v>
      </c>
      <c r="BE105" s="76">
        <f t="shared" ca="1" si="95"/>
        <v>1.0068214933659623</v>
      </c>
      <c r="BF105" s="76">
        <f t="shared" ca="1" si="95"/>
        <v>1.0068214933659623</v>
      </c>
      <c r="BG105" s="76">
        <f t="shared" ca="1" si="95"/>
        <v>1.0068214933659623</v>
      </c>
      <c r="BH105" s="76">
        <f t="shared" ca="1" si="95"/>
        <v>1.0068214933659623</v>
      </c>
      <c r="BI105" s="76">
        <f t="shared" ca="1" si="95"/>
        <v>1.0068214933659623</v>
      </c>
      <c r="BJ105" s="76">
        <f t="shared" ca="1" si="95"/>
        <v>1.0068214933659623</v>
      </c>
      <c r="BK105" s="76">
        <f t="shared" ca="1" si="95"/>
        <v>1.0068214933659623</v>
      </c>
      <c r="BL105" s="76">
        <f t="shared" ca="1" si="93"/>
        <v>8.5000000000000853E-2</v>
      </c>
      <c r="BM105" s="77">
        <f t="shared" ca="1" si="94"/>
        <v>4109.9193039710008</v>
      </c>
    </row>
    <row r="106" spans="5:65">
      <c r="E106">
        <f t="shared" si="82"/>
        <v>103</v>
      </c>
      <c r="F106" s="64">
        <f t="shared" si="63"/>
        <v>70.16</v>
      </c>
      <c r="G106" s="55">
        <f t="shared" si="64"/>
        <v>3.5900448504841975E-3</v>
      </c>
      <c r="H106" s="78">
        <f t="shared" si="89"/>
        <v>0.76895331737188455</v>
      </c>
      <c r="I106" s="79">
        <f t="shared" ca="1" si="65"/>
        <v>1135139.4623800903</v>
      </c>
      <c r="J106" s="79">
        <f t="shared" ca="1" si="66"/>
        <v>7743.3463120677661</v>
      </c>
      <c r="K106" s="80">
        <f t="shared" ca="1" si="67"/>
        <v>-15.379066347437691</v>
      </c>
      <c r="L106" s="80">
        <f t="shared" ca="1" si="68"/>
        <v>0</v>
      </c>
      <c r="M106" s="80">
        <f t="shared" ca="1" si="69"/>
        <v>0</v>
      </c>
      <c r="N106" s="80">
        <f t="shared" ca="1" si="70"/>
        <v>0</v>
      </c>
      <c r="O106" s="81">
        <f t="shared" ca="1" si="52"/>
        <v>-12853.827203014565</v>
      </c>
      <c r="P106" s="79">
        <f t="shared" ca="1" si="53"/>
        <v>1130013.602422796</v>
      </c>
      <c r="Q106" s="35"/>
      <c r="R106">
        <f t="shared" ca="1" si="71"/>
        <v>103</v>
      </c>
      <c r="S106" s="78">
        <f t="shared" ca="1" si="72"/>
        <v>70.16</v>
      </c>
      <c r="T106" s="55">
        <f t="shared" ca="1" si="73"/>
        <v>3.5900448504841975E-3</v>
      </c>
      <c r="U106" s="78">
        <f t="shared" ca="1" si="74"/>
        <v>0.76895331737188455</v>
      </c>
      <c r="V106" s="79">
        <f t="shared" ca="1" si="75"/>
        <v>1135139.4623800903</v>
      </c>
      <c r="W106" s="79">
        <f t="shared" ca="1" si="54"/>
        <v>7743.3463120677661</v>
      </c>
      <c r="X106" s="80">
        <f t="shared" ca="1" si="55"/>
        <v>-15.379066347437691</v>
      </c>
      <c r="Y106" s="80">
        <f t="shared" ca="1" si="76"/>
        <v>0</v>
      </c>
      <c r="Z106" s="80">
        <f t="shared" ca="1" si="56"/>
        <v>0</v>
      </c>
      <c r="AA106" s="80">
        <f t="shared" ca="1" si="77"/>
        <v>0</v>
      </c>
      <c r="AB106" s="81">
        <f t="shared" ca="1" si="57"/>
        <v>-12853.827203014565</v>
      </c>
      <c r="AC106" s="79">
        <f t="shared" ca="1" si="58"/>
        <v>1130013.602422796</v>
      </c>
      <c r="AD106" s="35"/>
      <c r="AE106" s="62">
        <f t="shared" ca="1" si="59"/>
        <v>-16716.004616439077</v>
      </c>
      <c r="AF106" s="62">
        <f t="shared" ca="1" si="60"/>
        <v>1469547.7305240545</v>
      </c>
      <c r="AG106" s="35"/>
      <c r="AH106" s="35"/>
      <c r="AK106" s="66"/>
      <c r="AL106" s="66"/>
      <c r="AM106" s="66"/>
      <c r="AN106" s="66"/>
      <c r="AR106" s="69">
        <f t="shared" si="79"/>
        <v>9</v>
      </c>
      <c r="AS106" s="70">
        <f t="shared" si="86"/>
        <v>103</v>
      </c>
      <c r="AT106" s="71">
        <f t="shared" si="87"/>
        <v>0.49409809497132906</v>
      </c>
      <c r="AU106" s="72">
        <f t="shared" si="61"/>
        <v>6.8214933659622723E-3</v>
      </c>
      <c r="AV106" s="73">
        <f t="shared" si="80"/>
        <v>1.0068214933659623</v>
      </c>
      <c r="AW106" s="74">
        <f>PRODUCT(AV$4:AV106)</f>
        <v>2.014212341953769</v>
      </c>
      <c r="AY106" s="75">
        <f t="shared" si="88"/>
        <v>103</v>
      </c>
      <c r="AZ106" s="76">
        <f t="shared" ca="1" si="95"/>
        <v>1.0068214933659623</v>
      </c>
      <c r="BA106" s="76">
        <f t="shared" ca="1" si="95"/>
        <v>1.0068214933659623</v>
      </c>
      <c r="BB106" s="76">
        <f t="shared" ca="1" si="95"/>
        <v>1.0068214933659623</v>
      </c>
      <c r="BC106" s="76">
        <f t="shared" ca="1" si="95"/>
        <v>1.0068214933659623</v>
      </c>
      <c r="BD106" s="76">
        <f t="shared" ca="1" si="95"/>
        <v>1.0068214933659623</v>
      </c>
      <c r="BE106" s="76">
        <f t="shared" ca="1" si="95"/>
        <v>1.0068214933659623</v>
      </c>
      <c r="BF106" s="76">
        <f t="shared" ca="1" si="95"/>
        <v>1.0068214933659623</v>
      </c>
      <c r="BG106" s="76">
        <f t="shared" ca="1" si="95"/>
        <v>1.0068214933659623</v>
      </c>
      <c r="BH106" s="76">
        <f t="shared" ca="1" si="95"/>
        <v>1.0068214933659623</v>
      </c>
      <c r="BI106" s="76">
        <f t="shared" ca="1" si="95"/>
        <v>1.0068214933659623</v>
      </c>
      <c r="BJ106" s="76">
        <f t="shared" ca="1" si="95"/>
        <v>1.0068214933659623</v>
      </c>
      <c r="BK106" s="76">
        <f t="shared" ca="1" si="95"/>
        <v>1.0068214933659623</v>
      </c>
      <c r="BL106" s="76">
        <f t="shared" ca="1" si="93"/>
        <v>8.5000000000000853E-2</v>
      </c>
      <c r="BM106" s="77">
        <f t="shared" ca="1" si="94"/>
        <v>4459.2624448085389</v>
      </c>
    </row>
    <row r="107" spans="5:65">
      <c r="E107">
        <f t="shared" si="82"/>
        <v>104</v>
      </c>
      <c r="F107" s="64">
        <f t="shared" si="63"/>
        <v>70.239999999999995</v>
      </c>
      <c r="G107" s="55">
        <f t="shared" si="64"/>
        <v>3.5900448504841975E-3</v>
      </c>
      <c r="H107" s="78">
        <f t="shared" si="89"/>
        <v>0.76619274047459085</v>
      </c>
      <c r="I107" s="79">
        <f t="shared" ca="1" si="65"/>
        <v>1125956.8029084408</v>
      </c>
      <c r="J107" s="79">
        <f t="shared" ca="1" si="66"/>
        <v>7680.7068614000191</v>
      </c>
      <c r="K107" s="80">
        <f t="shared" ca="1" si="67"/>
        <v>-15.323854809491817</v>
      </c>
      <c r="L107" s="80">
        <f t="shared" ca="1" si="68"/>
        <v>0</v>
      </c>
      <c r="M107" s="80">
        <f t="shared" ca="1" si="69"/>
        <v>0</v>
      </c>
      <c r="N107" s="80">
        <f t="shared" ca="1" si="70"/>
        <v>0</v>
      </c>
      <c r="O107" s="81">
        <f t="shared" ca="1" si="52"/>
        <v>-12807.681386855371</v>
      </c>
      <c r="P107" s="79">
        <f t="shared" ca="1" si="53"/>
        <v>1120814.504528176</v>
      </c>
      <c r="Q107" s="35"/>
      <c r="R107">
        <f t="shared" ca="1" si="71"/>
        <v>104</v>
      </c>
      <c r="S107" s="78">
        <f t="shared" ca="1" si="72"/>
        <v>70.239999999999995</v>
      </c>
      <c r="T107" s="55">
        <f t="shared" ca="1" si="73"/>
        <v>3.5900448504841975E-3</v>
      </c>
      <c r="U107" s="78">
        <f t="shared" ca="1" si="74"/>
        <v>0.76619274047459085</v>
      </c>
      <c r="V107" s="79">
        <f t="shared" ca="1" si="75"/>
        <v>1125956.8029084408</v>
      </c>
      <c r="W107" s="79">
        <f t="shared" ca="1" si="54"/>
        <v>7680.7068614000191</v>
      </c>
      <c r="X107" s="80">
        <f t="shared" ca="1" si="55"/>
        <v>-15.323854809491817</v>
      </c>
      <c r="Y107" s="80">
        <f t="shared" ca="1" si="76"/>
        <v>0</v>
      </c>
      <c r="Z107" s="80">
        <f t="shared" ca="1" si="56"/>
        <v>0</v>
      </c>
      <c r="AA107" s="80">
        <f t="shared" ca="1" si="77"/>
        <v>0</v>
      </c>
      <c r="AB107" s="81">
        <f t="shared" ca="1" si="57"/>
        <v>-12807.681386855371</v>
      </c>
      <c r="AC107" s="79">
        <f t="shared" ca="1" si="58"/>
        <v>1120814.504528176</v>
      </c>
      <c r="AD107" s="35"/>
      <c r="AE107" s="62">
        <f t="shared" ca="1" si="59"/>
        <v>-16716.004616439081</v>
      </c>
      <c r="AF107" s="62">
        <f t="shared" ca="1" si="60"/>
        <v>1462836.2360023502</v>
      </c>
      <c r="AG107" s="35"/>
      <c r="AH107" s="35"/>
      <c r="AK107" s="66"/>
      <c r="AL107" s="66"/>
      <c r="AM107" s="66"/>
      <c r="AN107" s="66"/>
      <c r="AR107" s="69">
        <f t="shared" si="79"/>
        <v>9</v>
      </c>
      <c r="AS107" s="70">
        <f t="shared" si="86"/>
        <v>104</v>
      </c>
      <c r="AT107" s="71">
        <f t="shared" si="87"/>
        <v>0.49072760809434757</v>
      </c>
      <c r="AU107" s="72">
        <f t="shared" si="61"/>
        <v>6.8214933659622723E-3</v>
      </c>
      <c r="AV107" s="73">
        <f t="shared" si="80"/>
        <v>1.0068214933659623</v>
      </c>
      <c r="AW107" s="74">
        <f>PRODUCT(AV$4:AV107)</f>
        <v>2.0279522780820458</v>
      </c>
      <c r="AY107" s="75">
        <f t="shared" si="88"/>
        <v>104</v>
      </c>
      <c r="AZ107" s="76">
        <f t="shared" ca="1" si="95"/>
        <v>1.0068214933659623</v>
      </c>
      <c r="BA107" s="76">
        <f t="shared" ca="1" si="95"/>
        <v>1.0068214933659623</v>
      </c>
      <c r="BB107" s="76">
        <f t="shared" ca="1" si="95"/>
        <v>1.0068214933659623</v>
      </c>
      <c r="BC107" s="76">
        <f t="shared" ca="1" si="95"/>
        <v>1.0068214933659623</v>
      </c>
      <c r="BD107" s="76">
        <f t="shared" ca="1" si="95"/>
        <v>1.0068214933659623</v>
      </c>
      <c r="BE107" s="76">
        <f t="shared" ca="1" si="95"/>
        <v>1.0068214933659623</v>
      </c>
      <c r="BF107" s="76">
        <f t="shared" ca="1" si="95"/>
        <v>1.0068214933659623</v>
      </c>
      <c r="BG107" s="76">
        <f t="shared" ca="1" si="95"/>
        <v>1.0068214933659623</v>
      </c>
      <c r="BH107" s="76">
        <f t="shared" ca="1" si="95"/>
        <v>1.0068214933659623</v>
      </c>
      <c r="BI107" s="76">
        <f t="shared" ca="1" si="95"/>
        <v>1.0068214933659623</v>
      </c>
      <c r="BJ107" s="76">
        <f t="shared" ca="1" si="95"/>
        <v>1.0068214933659623</v>
      </c>
      <c r="BK107" s="76">
        <f t="shared" ca="1" si="95"/>
        <v>1.0068214933659623</v>
      </c>
      <c r="BL107" s="76">
        <f t="shared" ca="1" si="93"/>
        <v>8.5000000000000853E-2</v>
      </c>
      <c r="BM107" s="77">
        <f t="shared" ca="1" si="94"/>
        <v>4838.2997526172685</v>
      </c>
    </row>
    <row r="108" spans="5:65">
      <c r="E108">
        <f t="shared" si="82"/>
        <v>105</v>
      </c>
      <c r="F108" s="64">
        <f t="shared" si="63"/>
        <v>70.319999999999993</v>
      </c>
      <c r="G108" s="55">
        <f t="shared" si="64"/>
        <v>3.5900448504841975E-3</v>
      </c>
      <c r="H108" s="78">
        <f t="shared" si="89"/>
        <v>0.76344207417217169</v>
      </c>
      <c r="I108" s="79">
        <f t="shared" ca="1" si="65"/>
        <v>1116790.7301878466</v>
      </c>
      <c r="J108" s="79">
        <f t="shared" ca="1" si="66"/>
        <v>7618.1805571445575</v>
      </c>
      <c r="K108" s="80">
        <f t="shared" ca="1" si="67"/>
        <v>-15.268841483443435</v>
      </c>
      <c r="L108" s="80">
        <f t="shared" ca="1" si="68"/>
        <v>0</v>
      </c>
      <c r="M108" s="80">
        <f t="shared" ca="1" si="69"/>
        <v>0</v>
      </c>
      <c r="N108" s="80">
        <f t="shared" ca="1" si="70"/>
        <v>0</v>
      </c>
      <c r="O108" s="81">
        <f t="shared" ca="1" si="52"/>
        <v>-12761.701236245848</v>
      </c>
      <c r="P108" s="79">
        <f t="shared" ca="1" si="53"/>
        <v>1111631.9406672618</v>
      </c>
      <c r="Q108" s="35"/>
      <c r="R108">
        <f t="shared" ca="1" si="71"/>
        <v>105</v>
      </c>
      <c r="S108" s="78">
        <f t="shared" ca="1" si="72"/>
        <v>70.319999999999993</v>
      </c>
      <c r="T108" s="55">
        <f t="shared" ca="1" si="73"/>
        <v>3.5900448504841975E-3</v>
      </c>
      <c r="U108" s="78">
        <f t="shared" ca="1" si="74"/>
        <v>0.76344207417217169</v>
      </c>
      <c r="V108" s="79">
        <f t="shared" ca="1" si="75"/>
        <v>1116790.7301878466</v>
      </c>
      <c r="W108" s="79">
        <f t="shared" ca="1" si="54"/>
        <v>7618.1805571445575</v>
      </c>
      <c r="X108" s="80">
        <f t="shared" ca="1" si="55"/>
        <v>-15.268841483443435</v>
      </c>
      <c r="Y108" s="80">
        <f t="shared" ca="1" si="76"/>
        <v>0</v>
      </c>
      <c r="Z108" s="80">
        <f t="shared" ca="1" si="56"/>
        <v>0</v>
      </c>
      <c r="AA108" s="80">
        <f t="shared" ca="1" si="77"/>
        <v>0</v>
      </c>
      <c r="AB108" s="81">
        <f t="shared" ca="1" si="57"/>
        <v>-12761.701236245848</v>
      </c>
      <c r="AC108" s="79">
        <f t="shared" ca="1" si="58"/>
        <v>1111631.9406672618</v>
      </c>
      <c r="AD108" s="35"/>
      <c r="AE108" s="62">
        <f t="shared" ca="1" si="59"/>
        <v>-16716.004616439081</v>
      </c>
      <c r="AF108" s="62">
        <f t="shared" ca="1" si="60"/>
        <v>1456078.9590652902</v>
      </c>
      <c r="AG108" s="35"/>
      <c r="AH108" s="35"/>
      <c r="AK108" s="66"/>
      <c r="AL108" s="66"/>
      <c r="AM108" s="66"/>
      <c r="AN108" s="66"/>
      <c r="AR108" s="69">
        <f t="shared" si="79"/>
        <v>9</v>
      </c>
      <c r="AS108" s="70">
        <f t="shared" si="86"/>
        <v>105</v>
      </c>
      <c r="AT108" s="71">
        <f t="shared" si="87"/>
        <v>0.48738011297123746</v>
      </c>
      <c r="AU108" s="72">
        <f t="shared" si="61"/>
        <v>6.8214933659622723E-3</v>
      </c>
      <c r="AV108" s="73">
        <f t="shared" si="80"/>
        <v>1.0068214933659623</v>
      </c>
      <c r="AW108" s="74">
        <f>PRODUCT(AV$4:AV108)</f>
        <v>2.0417859410934707</v>
      </c>
      <c r="AY108" s="75">
        <f t="shared" si="88"/>
        <v>105</v>
      </c>
      <c r="AZ108" s="76">
        <f t="shared" ca="1" si="95"/>
        <v>1.0068214933659623</v>
      </c>
      <c r="BA108" s="76">
        <f t="shared" ca="1" si="95"/>
        <v>1.0068214933659623</v>
      </c>
      <c r="BB108" s="76">
        <f t="shared" ca="1" si="95"/>
        <v>1.0068214933659623</v>
      </c>
      <c r="BC108" s="76">
        <f t="shared" ca="1" si="95"/>
        <v>1.0068214933659623</v>
      </c>
      <c r="BD108" s="76">
        <f t="shared" ca="1" si="95"/>
        <v>1.0068214933659623</v>
      </c>
      <c r="BE108" s="76">
        <f t="shared" ca="1" si="95"/>
        <v>1.0068214933659623</v>
      </c>
      <c r="BF108" s="76">
        <f t="shared" ca="1" si="95"/>
        <v>1.0068214933659623</v>
      </c>
      <c r="BG108" s="76">
        <f t="shared" ca="1" si="95"/>
        <v>1.0068214933659623</v>
      </c>
      <c r="BH108" s="76">
        <f t="shared" ca="1" si="95"/>
        <v>1.0068214933659623</v>
      </c>
      <c r="BI108" s="76">
        <f t="shared" ca="1" si="95"/>
        <v>1.0068214933659623</v>
      </c>
      <c r="BJ108" s="76">
        <f t="shared" ca="1" si="95"/>
        <v>1.0068214933659623</v>
      </c>
      <c r="BK108" s="76">
        <f t="shared" ca="1" si="95"/>
        <v>1.0068214933659623</v>
      </c>
      <c r="BL108" s="76">
        <f t="shared" ca="1" si="93"/>
        <v>8.5000000000000853E-2</v>
      </c>
      <c r="BM108" s="77">
        <f t="shared" ca="1" si="94"/>
        <v>5249.5552315897403</v>
      </c>
    </row>
    <row r="109" spans="5:65">
      <c r="E109">
        <f t="shared" si="82"/>
        <v>106</v>
      </c>
      <c r="F109" s="64">
        <f t="shared" si="63"/>
        <v>70.400000000000006</v>
      </c>
      <c r="G109" s="55">
        <f t="shared" si="64"/>
        <v>3.5900448504841975E-3</v>
      </c>
      <c r="H109" s="78">
        <f t="shared" si="89"/>
        <v>0.76070128288514693</v>
      </c>
      <c r="I109" s="79">
        <f t="shared" ca="1" si="65"/>
        <v>1107641.1321430355</v>
      </c>
      <c r="J109" s="79">
        <f t="shared" ca="1" si="66"/>
        <v>7555.7666347806571</v>
      </c>
      <c r="K109" s="80">
        <f t="shared" ca="1" si="67"/>
        <v>-15.214025657702939</v>
      </c>
      <c r="L109" s="80">
        <f t="shared" ca="1" si="68"/>
        <v>0</v>
      </c>
      <c r="M109" s="80">
        <f t="shared" ca="1" si="69"/>
        <v>0</v>
      </c>
      <c r="N109" s="80">
        <f t="shared" ca="1" si="70"/>
        <v>0</v>
      </c>
      <c r="O109" s="81">
        <f t="shared" ca="1" si="52"/>
        <v>-12715.886156439245</v>
      </c>
      <c r="P109" s="79">
        <f t="shared" ca="1" si="53"/>
        <v>1102465.7985957193</v>
      </c>
      <c r="Q109" s="35"/>
      <c r="R109">
        <f t="shared" ca="1" si="71"/>
        <v>106</v>
      </c>
      <c r="S109" s="78">
        <f t="shared" ca="1" si="72"/>
        <v>70.400000000000006</v>
      </c>
      <c r="T109" s="55">
        <f t="shared" ca="1" si="73"/>
        <v>3.5900448504841975E-3</v>
      </c>
      <c r="U109" s="78">
        <f t="shared" ca="1" si="74"/>
        <v>0.76070128288514693</v>
      </c>
      <c r="V109" s="79">
        <f t="shared" ca="1" si="75"/>
        <v>1107641.1321430355</v>
      </c>
      <c r="W109" s="79">
        <f t="shared" ca="1" si="54"/>
        <v>7555.7666347806571</v>
      </c>
      <c r="X109" s="80">
        <f t="shared" ca="1" si="55"/>
        <v>-15.214025657702939</v>
      </c>
      <c r="Y109" s="80">
        <f t="shared" ca="1" si="76"/>
        <v>0</v>
      </c>
      <c r="Z109" s="80">
        <f t="shared" ca="1" si="56"/>
        <v>0</v>
      </c>
      <c r="AA109" s="80">
        <f t="shared" ca="1" si="77"/>
        <v>0</v>
      </c>
      <c r="AB109" s="81">
        <f t="shared" ca="1" si="57"/>
        <v>-12715.886156439245</v>
      </c>
      <c r="AC109" s="79">
        <f t="shared" ca="1" si="58"/>
        <v>1102465.7985957193</v>
      </c>
      <c r="AD109" s="35"/>
      <c r="AE109" s="62">
        <f t="shared" ca="1" si="59"/>
        <v>-16716.004616439077</v>
      </c>
      <c r="AF109" s="62">
        <f t="shared" ca="1" si="60"/>
        <v>1449275.5874084323</v>
      </c>
      <c r="AG109" s="35"/>
      <c r="AH109" s="35"/>
      <c r="AK109" s="66"/>
      <c r="AL109" s="66"/>
      <c r="AM109" s="66"/>
      <c r="AN109" s="66"/>
      <c r="AR109" s="69">
        <f t="shared" si="79"/>
        <v>9</v>
      </c>
      <c r="AS109" s="70">
        <f t="shared" si="86"/>
        <v>106</v>
      </c>
      <c r="AT109" s="71">
        <f t="shared" si="87"/>
        <v>0.48405545276390222</v>
      </c>
      <c r="AU109" s="72">
        <f t="shared" si="61"/>
        <v>6.8214933659622723E-3</v>
      </c>
      <c r="AV109" s="73">
        <f t="shared" si="80"/>
        <v>1.0068214933659623</v>
      </c>
      <c r="AW109" s="74">
        <f>PRODUCT(AV$4:AV109)</f>
        <v>2.0557139703453546</v>
      </c>
      <c r="AY109" s="75">
        <f t="shared" si="88"/>
        <v>106</v>
      </c>
      <c r="AZ109" s="76">
        <f t="shared" ca="1" si="95"/>
        <v>1.0068214933659623</v>
      </c>
      <c r="BA109" s="76">
        <f t="shared" ca="1" si="95"/>
        <v>1.0068214933659623</v>
      </c>
      <c r="BB109" s="76">
        <f t="shared" ca="1" si="95"/>
        <v>1.0068214933659623</v>
      </c>
      <c r="BC109" s="76">
        <f t="shared" ca="1" si="95"/>
        <v>1.0068214933659623</v>
      </c>
      <c r="BD109" s="76">
        <f t="shared" ca="1" si="95"/>
        <v>1.0068214933659623</v>
      </c>
      <c r="BE109" s="76">
        <f t="shared" ca="1" si="95"/>
        <v>1.0068214933659623</v>
      </c>
      <c r="BF109" s="76">
        <f t="shared" ca="1" si="95"/>
        <v>1.0068214933659623</v>
      </c>
      <c r="BG109" s="76">
        <f t="shared" ca="1" si="95"/>
        <v>1.0068214933659623</v>
      </c>
      <c r="BH109" s="76">
        <f t="shared" ca="1" si="95"/>
        <v>1.0068214933659623</v>
      </c>
      <c r="BI109" s="76">
        <f t="shared" ca="1" si="95"/>
        <v>1.0068214933659623</v>
      </c>
      <c r="BJ109" s="76">
        <f t="shared" ca="1" si="95"/>
        <v>1.0068214933659623</v>
      </c>
      <c r="BK109" s="76">
        <f t="shared" ca="1" si="95"/>
        <v>1.0068214933659623</v>
      </c>
      <c r="BL109" s="76">
        <f t="shared" ca="1" si="93"/>
        <v>8.5000000000000853E-2</v>
      </c>
      <c r="BM109" s="77">
        <f t="shared" ca="1" si="94"/>
        <v>5695.7674262748724</v>
      </c>
    </row>
    <row r="110" spans="5:65">
      <c r="E110">
        <f t="shared" si="82"/>
        <v>107</v>
      </c>
      <c r="F110" s="64">
        <f t="shared" si="63"/>
        <v>70.48</v>
      </c>
      <c r="G110" s="55">
        <f t="shared" si="64"/>
        <v>3.5900448504841975E-3</v>
      </c>
      <c r="H110" s="78">
        <f t="shared" si="89"/>
        <v>0.75797033116176837</v>
      </c>
      <c r="I110" s="79">
        <f t="shared" ca="1" si="65"/>
        <v>1098507.8969326357</v>
      </c>
      <c r="J110" s="79">
        <f t="shared" ca="1" si="66"/>
        <v>7493.4643313831421</v>
      </c>
      <c r="K110" s="80">
        <f t="shared" ca="1" si="67"/>
        <v>-15.159406623235368</v>
      </c>
      <c r="L110" s="80">
        <f t="shared" ca="1" si="68"/>
        <v>0</v>
      </c>
      <c r="M110" s="80">
        <f t="shared" ca="1" si="69"/>
        <v>0</v>
      </c>
      <c r="N110" s="80">
        <f t="shared" ca="1" si="70"/>
        <v>0</v>
      </c>
      <c r="O110" s="81">
        <f t="shared" ca="1" si="52"/>
        <v>-12670.235554823978</v>
      </c>
      <c r="P110" s="79">
        <f t="shared" ca="1" si="53"/>
        <v>1093315.9663025716</v>
      </c>
      <c r="Q110" s="35"/>
      <c r="R110">
        <f t="shared" ca="1" si="71"/>
        <v>107</v>
      </c>
      <c r="S110" s="78">
        <f t="shared" ca="1" si="72"/>
        <v>70.48</v>
      </c>
      <c r="T110" s="55">
        <f t="shared" ca="1" si="73"/>
        <v>3.5900448504841975E-3</v>
      </c>
      <c r="U110" s="78">
        <f t="shared" ca="1" si="74"/>
        <v>0.75797033116176837</v>
      </c>
      <c r="V110" s="79">
        <f t="shared" ca="1" si="75"/>
        <v>1098507.8969326357</v>
      </c>
      <c r="W110" s="79">
        <f t="shared" ca="1" si="54"/>
        <v>7493.4643313831421</v>
      </c>
      <c r="X110" s="80">
        <f t="shared" ca="1" si="55"/>
        <v>-15.159406623235368</v>
      </c>
      <c r="Y110" s="80">
        <f t="shared" ca="1" si="76"/>
        <v>0</v>
      </c>
      <c r="Z110" s="80">
        <f t="shared" ca="1" si="56"/>
        <v>0</v>
      </c>
      <c r="AA110" s="80">
        <f t="shared" ca="1" si="77"/>
        <v>0</v>
      </c>
      <c r="AB110" s="81">
        <f t="shared" ca="1" si="57"/>
        <v>-12670.235554823978</v>
      </c>
      <c r="AC110" s="79">
        <f t="shared" ca="1" si="58"/>
        <v>1093315.9663025716</v>
      </c>
      <c r="AD110" s="35"/>
      <c r="AE110" s="62">
        <f t="shared" ca="1" si="59"/>
        <v>-16716.004616439081</v>
      </c>
      <c r="AF110" s="62">
        <f t="shared" ca="1" si="60"/>
        <v>1442425.8065969506</v>
      </c>
      <c r="AG110" s="35"/>
      <c r="AH110" s="35"/>
      <c r="AK110" s="66"/>
      <c r="AL110" s="66"/>
      <c r="AM110" s="66"/>
      <c r="AN110" s="66"/>
      <c r="AR110" s="69">
        <f t="shared" si="79"/>
        <v>9</v>
      </c>
      <c r="AS110" s="70">
        <f t="shared" si="86"/>
        <v>107</v>
      </c>
      <c r="AT110" s="71">
        <f t="shared" si="87"/>
        <v>0.48075347170411542</v>
      </c>
      <c r="AU110" s="72">
        <f t="shared" si="61"/>
        <v>6.8214933659622723E-3</v>
      </c>
      <c r="AV110" s="73">
        <f t="shared" si="80"/>
        <v>1.0068214933659623</v>
      </c>
      <c r="AW110" s="74">
        <f>PRODUCT(AV$4:AV110)</f>
        <v>2.0697370095563814</v>
      </c>
      <c r="AY110" s="75">
        <f t="shared" si="88"/>
        <v>107</v>
      </c>
      <c r="AZ110" s="76">
        <f t="shared" ca="1" si="95"/>
        <v>1.0068214933659623</v>
      </c>
      <c r="BA110" s="76">
        <f t="shared" ca="1" si="95"/>
        <v>1.0068214933659623</v>
      </c>
      <c r="BB110" s="76">
        <f t="shared" ca="1" si="95"/>
        <v>1.0068214933659623</v>
      </c>
      <c r="BC110" s="76">
        <f t="shared" ca="1" si="95"/>
        <v>1.0068214933659623</v>
      </c>
      <c r="BD110" s="76">
        <f t="shared" ca="1" si="95"/>
        <v>1.0068214933659623</v>
      </c>
      <c r="BE110" s="76">
        <f t="shared" ca="1" si="95"/>
        <v>1.0068214933659623</v>
      </c>
      <c r="BF110" s="76">
        <f t="shared" ca="1" si="95"/>
        <v>1.0068214933659623</v>
      </c>
      <c r="BG110" s="76">
        <f t="shared" ca="1" si="95"/>
        <v>1.0068214933659623</v>
      </c>
      <c r="BH110" s="76">
        <f t="shared" ca="1" si="95"/>
        <v>1.0068214933659623</v>
      </c>
      <c r="BI110" s="76">
        <f t="shared" ca="1" si="95"/>
        <v>1.0068214933659623</v>
      </c>
      <c r="BJ110" s="76">
        <f t="shared" ca="1" si="95"/>
        <v>1.0068214933659623</v>
      </c>
      <c r="BK110" s="76">
        <f t="shared" ca="1" si="95"/>
        <v>1.0068214933659623</v>
      </c>
      <c r="BL110" s="76">
        <f t="shared" ca="1" si="93"/>
        <v>8.5000000000000853E-2</v>
      </c>
      <c r="BM110" s="77">
        <f t="shared" ca="1" si="94"/>
        <v>6179.9076575082418</v>
      </c>
    </row>
    <row r="111" spans="5:65">
      <c r="E111">
        <f t="shared" si="82"/>
        <v>108</v>
      </c>
      <c r="F111" s="64">
        <f t="shared" si="63"/>
        <v>70.56</v>
      </c>
      <c r="G111" s="55">
        <f t="shared" si="64"/>
        <v>3.9263561977341821E-3</v>
      </c>
      <c r="H111" s="78">
        <f t="shared" si="89"/>
        <v>0.75499426965431271</v>
      </c>
      <c r="I111" s="79">
        <f t="shared" ca="1" si="65"/>
        <v>1089023.2183821977</v>
      </c>
      <c r="J111" s="79">
        <f t="shared" ca="1" si="66"/>
        <v>7428.7646595730439</v>
      </c>
      <c r="K111" s="80">
        <f t="shared" ca="1" si="67"/>
        <v>-15.099885393086254</v>
      </c>
      <c r="L111" s="80">
        <f t="shared" ca="1" si="68"/>
        <v>0</v>
      </c>
      <c r="M111" s="80">
        <f t="shared" ca="1" si="69"/>
        <v>0</v>
      </c>
      <c r="N111" s="80">
        <f t="shared" ca="1" si="70"/>
        <v>0</v>
      </c>
      <c r="O111" s="81">
        <f t="shared" ca="1" si="52"/>
        <v>-12620.487696926541</v>
      </c>
      <c r="P111" s="79">
        <f t="shared" ca="1" si="53"/>
        <v>1083816.395459451</v>
      </c>
      <c r="Q111" s="35"/>
      <c r="R111">
        <f t="shared" ca="1" si="71"/>
        <v>108</v>
      </c>
      <c r="S111" s="78">
        <f t="shared" ca="1" si="72"/>
        <v>70.56</v>
      </c>
      <c r="T111" s="55">
        <f t="shared" ca="1" si="73"/>
        <v>3.9263561977341821E-3</v>
      </c>
      <c r="U111" s="78">
        <f t="shared" ca="1" si="74"/>
        <v>0.75499426965431271</v>
      </c>
      <c r="V111" s="79">
        <f t="shared" ca="1" si="75"/>
        <v>1089023.2183821977</v>
      </c>
      <c r="W111" s="79">
        <f t="shared" ca="1" si="54"/>
        <v>7428.7646595730439</v>
      </c>
      <c r="X111" s="80">
        <f t="shared" ca="1" si="55"/>
        <v>-15.099885393086254</v>
      </c>
      <c r="Y111" s="80">
        <f t="shared" ca="1" si="76"/>
        <v>0</v>
      </c>
      <c r="Z111" s="80">
        <f t="shared" ca="1" si="56"/>
        <v>0</v>
      </c>
      <c r="AA111" s="80">
        <f t="shared" ca="1" si="77"/>
        <v>0</v>
      </c>
      <c r="AB111" s="81">
        <f t="shared" ca="1" si="57"/>
        <v>-12620.487696926541</v>
      </c>
      <c r="AC111" s="79">
        <f t="shared" ca="1" si="58"/>
        <v>1083816.395459451</v>
      </c>
      <c r="AD111" s="35"/>
      <c r="AE111" s="62">
        <f t="shared" ca="1" si="59"/>
        <v>-16716.004616439077</v>
      </c>
      <c r="AF111" s="62">
        <f t="shared" ca="1" si="60"/>
        <v>1435529.3000511054</v>
      </c>
      <c r="AG111" s="35"/>
      <c r="AH111" s="35"/>
      <c r="AK111" s="66"/>
      <c r="AL111" s="66"/>
      <c r="AM111" s="66"/>
      <c r="AN111" s="66"/>
      <c r="AR111" s="69">
        <f t="shared" si="79"/>
        <v>9</v>
      </c>
      <c r="AS111" s="70">
        <f t="shared" si="86"/>
        <v>108</v>
      </c>
      <c r="AT111" s="71">
        <f t="shared" si="87"/>
        <v>0.47747401508622245</v>
      </c>
      <c r="AU111" s="72">
        <f t="shared" si="61"/>
        <v>6.8214933659622723E-3</v>
      </c>
      <c r="AV111" s="73">
        <f t="shared" si="80"/>
        <v>1.0068214933659623</v>
      </c>
      <c r="AW111" s="74">
        <f>PRODUCT(AV$4:AV111)</f>
        <v>2.0838557068363568</v>
      </c>
      <c r="AY111" s="75">
        <f t="shared" si="88"/>
        <v>108</v>
      </c>
      <c r="AZ111" s="76">
        <f t="shared" ca="1" si="95"/>
        <v>1.0068214933659623</v>
      </c>
      <c r="BA111" s="76">
        <f t="shared" ca="1" si="95"/>
        <v>1.0068214933659623</v>
      </c>
      <c r="BB111" s="76">
        <f t="shared" ca="1" si="95"/>
        <v>1.0068214933659623</v>
      </c>
      <c r="BC111" s="76">
        <f t="shared" ca="1" si="95"/>
        <v>1.0068214933659623</v>
      </c>
      <c r="BD111" s="76">
        <f t="shared" ca="1" si="95"/>
        <v>1.0068214933659623</v>
      </c>
      <c r="BE111" s="76">
        <f t="shared" ca="1" si="95"/>
        <v>1.0068214933659623</v>
      </c>
      <c r="BF111" s="76">
        <f t="shared" ca="1" si="95"/>
        <v>1.0068214933659623</v>
      </c>
      <c r="BG111" s="76">
        <f t="shared" ca="1" si="95"/>
        <v>1.0068214933659623</v>
      </c>
      <c r="BH111" s="76">
        <f t="shared" ca="1" si="95"/>
        <v>1.0068214933659623</v>
      </c>
      <c r="BI111" s="76">
        <f t="shared" ca="1" si="95"/>
        <v>1.0068214933659623</v>
      </c>
      <c r="BJ111" s="76">
        <f t="shared" ca="1" si="95"/>
        <v>1.0068214933659623</v>
      </c>
      <c r="BK111" s="76">
        <f t="shared" ca="1" si="95"/>
        <v>1.0068214933659623</v>
      </c>
      <c r="BL111" s="76">
        <f t="shared" ca="1" si="93"/>
        <v>8.5000000000000853E-2</v>
      </c>
      <c r="BM111" s="77">
        <f t="shared" ca="1" si="94"/>
        <v>6705.1998083964472</v>
      </c>
    </row>
    <row r="112" spans="5:65">
      <c r="E112">
        <f t="shared" si="82"/>
        <v>109</v>
      </c>
      <c r="F112" s="64">
        <f t="shared" si="63"/>
        <v>70.64</v>
      </c>
      <c r="G112" s="55">
        <f t="shared" si="64"/>
        <v>3.9263561977341821E-3</v>
      </c>
      <c r="H112" s="78">
        <f t="shared" si="89"/>
        <v>0.75202989322440172</v>
      </c>
      <c r="I112" s="79">
        <f t="shared" ca="1" si="65"/>
        <v>1079560.9462379329</v>
      </c>
      <c r="J112" s="79">
        <f t="shared" ca="1" si="66"/>
        <v>7364.2178329140124</v>
      </c>
      <c r="K112" s="80">
        <f t="shared" ca="1" si="67"/>
        <v>-15.040597864488035</v>
      </c>
      <c r="L112" s="80">
        <f t="shared" ca="1" si="68"/>
        <v>0</v>
      </c>
      <c r="M112" s="80">
        <f t="shared" ca="1" si="69"/>
        <v>0</v>
      </c>
      <c r="N112" s="80">
        <f t="shared" ca="1" si="70"/>
        <v>0</v>
      </c>
      <c r="O112" s="81">
        <f t="shared" ca="1" si="52"/>
        <v>-12570.935166839286</v>
      </c>
      <c r="P112" s="79">
        <f t="shared" ca="1" si="53"/>
        <v>1074339.1883061433</v>
      </c>
      <c r="Q112" s="35"/>
      <c r="R112">
        <f t="shared" ca="1" si="71"/>
        <v>109</v>
      </c>
      <c r="S112" s="78">
        <f t="shared" ca="1" si="72"/>
        <v>70.64</v>
      </c>
      <c r="T112" s="55">
        <f t="shared" ca="1" si="73"/>
        <v>3.9263561977341821E-3</v>
      </c>
      <c r="U112" s="78">
        <f t="shared" ca="1" si="74"/>
        <v>0.75202989322440172</v>
      </c>
      <c r="V112" s="79">
        <f t="shared" ca="1" si="75"/>
        <v>1079560.9462379329</v>
      </c>
      <c r="W112" s="79">
        <f t="shared" ca="1" si="54"/>
        <v>7364.2178329140124</v>
      </c>
      <c r="X112" s="80">
        <f t="shared" ca="1" si="55"/>
        <v>-15.040597864488035</v>
      </c>
      <c r="Y112" s="80">
        <f t="shared" ca="1" si="76"/>
        <v>0</v>
      </c>
      <c r="Z112" s="80">
        <f t="shared" ca="1" si="56"/>
        <v>0</v>
      </c>
      <c r="AA112" s="80">
        <f t="shared" ca="1" si="77"/>
        <v>0</v>
      </c>
      <c r="AB112" s="81">
        <f t="shared" ca="1" si="57"/>
        <v>-12570.935166839286</v>
      </c>
      <c r="AC112" s="79">
        <f t="shared" ca="1" si="58"/>
        <v>1074339.1883061433</v>
      </c>
      <c r="AD112" s="35"/>
      <c r="AE112" s="62">
        <f t="shared" ca="1" si="59"/>
        <v>-16716.004616439077</v>
      </c>
      <c r="AF112" s="62">
        <f t="shared" ca="1" si="60"/>
        <v>1428585.7490316096</v>
      </c>
      <c r="AG112" s="35"/>
      <c r="AH112" s="35"/>
      <c r="AK112" s="66"/>
      <c r="AL112" s="66"/>
      <c r="AM112" s="66"/>
      <c r="AN112" s="66"/>
      <c r="AR112" s="69">
        <f t="shared" si="79"/>
        <v>10</v>
      </c>
      <c r="AS112" s="70">
        <f t="shared" si="86"/>
        <v>109</v>
      </c>
      <c r="AT112" s="71">
        <f t="shared" si="87"/>
        <v>0.47421692925989239</v>
      </c>
      <c r="AU112" s="72">
        <f t="shared" si="61"/>
        <v>6.8214933659622723E-3</v>
      </c>
      <c r="AV112" s="73">
        <f t="shared" si="80"/>
        <v>1.0068214933659623</v>
      </c>
      <c r="AW112" s="74">
        <f>PRODUCT(AV$4:AV112)</f>
        <v>2.0980707147161635</v>
      </c>
      <c r="AY112" s="75">
        <f t="shared" si="88"/>
        <v>109</v>
      </c>
      <c r="AZ112" s="76">
        <f t="shared" ca="1" si="95"/>
        <v>1.0068214933659623</v>
      </c>
      <c r="BA112" s="76">
        <f t="shared" ca="1" si="95"/>
        <v>1.0068214933659623</v>
      </c>
      <c r="BB112" s="76">
        <f t="shared" ca="1" si="95"/>
        <v>1.0068214933659623</v>
      </c>
      <c r="BC112" s="76">
        <f t="shared" ca="1" si="95"/>
        <v>1.0068214933659623</v>
      </c>
      <c r="BD112" s="76">
        <f t="shared" ca="1" si="95"/>
        <v>1.0068214933659623</v>
      </c>
      <c r="BE112" s="76">
        <f t="shared" ca="1" si="95"/>
        <v>1.0068214933659623</v>
      </c>
      <c r="BF112" s="76">
        <f t="shared" ca="1" si="95"/>
        <v>1.0068214933659623</v>
      </c>
      <c r="BG112" s="76">
        <f t="shared" ca="1" si="95"/>
        <v>1.0068214933659623</v>
      </c>
      <c r="BH112" s="76">
        <f t="shared" ca="1" si="95"/>
        <v>1.0068214933659623</v>
      </c>
      <c r="BI112" s="76">
        <f t="shared" ca="1" si="95"/>
        <v>1.0068214933659623</v>
      </c>
      <c r="BJ112" s="76">
        <f t="shared" ca="1" si="95"/>
        <v>1.0068214933659623</v>
      </c>
      <c r="BK112" s="76">
        <f t="shared" ca="1" si="95"/>
        <v>1.0068214933659623</v>
      </c>
      <c r="BL112" s="76">
        <f t="shared" ca="1" si="93"/>
        <v>8.5000000000000853E-2</v>
      </c>
      <c r="BM112" s="77">
        <f t="shared" ca="1" si="94"/>
        <v>7275.1417921101511</v>
      </c>
    </row>
    <row r="113" spans="5:65">
      <c r="E113">
        <f t="shared" si="82"/>
        <v>110</v>
      </c>
      <c r="F113" s="64">
        <f t="shared" si="63"/>
        <v>70.72</v>
      </c>
      <c r="G113" s="55">
        <f t="shared" si="64"/>
        <v>3.9263561977341821E-3</v>
      </c>
      <c r="H113" s="78">
        <f t="shared" si="89"/>
        <v>0.74907715599225877</v>
      </c>
      <c r="I113" s="79">
        <f t="shared" ca="1" si="65"/>
        <v>1070120.9499756687</v>
      </c>
      <c r="J113" s="79">
        <f t="shared" ca="1" si="66"/>
        <v>7299.8229610362687</v>
      </c>
      <c r="K113" s="80">
        <f t="shared" ca="1" si="67"/>
        <v>-14.981543119845176</v>
      </c>
      <c r="L113" s="80">
        <f t="shared" ca="1" si="68"/>
        <v>0</v>
      </c>
      <c r="M113" s="80">
        <f t="shared" ca="1" si="69"/>
        <v>0</v>
      </c>
      <c r="N113" s="80">
        <f t="shared" ca="1" si="70"/>
        <v>0</v>
      </c>
      <c r="O113" s="81">
        <f t="shared" ca="1" si="52"/>
        <v>-12521.577197635654</v>
      </c>
      <c r="P113" s="79">
        <f t="shared" ca="1" si="53"/>
        <v>1064884.2141959497</v>
      </c>
      <c r="Q113" s="35"/>
      <c r="R113">
        <f t="shared" ca="1" si="71"/>
        <v>110</v>
      </c>
      <c r="S113" s="78">
        <f t="shared" ca="1" si="72"/>
        <v>70.72</v>
      </c>
      <c r="T113" s="55">
        <f t="shared" ca="1" si="73"/>
        <v>3.9263561977341821E-3</v>
      </c>
      <c r="U113" s="78">
        <f t="shared" ca="1" si="74"/>
        <v>0.74907715599225877</v>
      </c>
      <c r="V113" s="79">
        <f t="shared" ca="1" si="75"/>
        <v>1070120.9499756687</v>
      </c>
      <c r="W113" s="79">
        <f t="shared" ca="1" si="54"/>
        <v>7299.8229610362687</v>
      </c>
      <c r="X113" s="80">
        <f t="shared" ca="1" si="55"/>
        <v>-14.981543119845176</v>
      </c>
      <c r="Y113" s="80">
        <f t="shared" ca="1" si="76"/>
        <v>0</v>
      </c>
      <c r="Z113" s="80">
        <f t="shared" ca="1" si="56"/>
        <v>0</v>
      </c>
      <c r="AA113" s="80">
        <f t="shared" ca="1" si="77"/>
        <v>0</v>
      </c>
      <c r="AB113" s="81">
        <f t="shared" ca="1" si="57"/>
        <v>-12521.577197635654</v>
      </c>
      <c r="AC113" s="79">
        <f t="shared" ca="1" si="58"/>
        <v>1064884.2141959497</v>
      </c>
      <c r="AD113" s="35"/>
      <c r="AE113" s="62">
        <f t="shared" ca="1" si="59"/>
        <v>-16716.004616439081</v>
      </c>
      <c r="AF113" s="62">
        <f t="shared" ca="1" si="60"/>
        <v>1421594.8326248981</v>
      </c>
      <c r="AG113" s="35"/>
      <c r="AH113" s="35"/>
      <c r="AK113" s="66"/>
      <c r="AL113" s="66"/>
      <c r="AM113" s="66"/>
      <c r="AN113" s="66"/>
      <c r="AR113" s="69">
        <f t="shared" si="79"/>
        <v>10</v>
      </c>
      <c r="AS113" s="70">
        <f t="shared" si="86"/>
        <v>110</v>
      </c>
      <c r="AT113" s="71">
        <f t="shared" si="87"/>
        <v>0.47098206162291906</v>
      </c>
      <c r="AU113" s="72">
        <f t="shared" si="61"/>
        <v>6.8214933659622723E-3</v>
      </c>
      <c r="AV113" s="73">
        <f t="shared" si="80"/>
        <v>1.0068214933659623</v>
      </c>
      <c r="AW113" s="74">
        <f>PRODUCT(AV$4:AV113)</f>
        <v>2.1123826901779195</v>
      </c>
      <c r="AY113" s="75">
        <f t="shared" si="88"/>
        <v>110</v>
      </c>
      <c r="AZ113" s="76">
        <f t="shared" ca="1" si="95"/>
        <v>1.0068214933659623</v>
      </c>
      <c r="BA113" s="76">
        <f t="shared" ca="1" si="95"/>
        <v>1.0068214933659623</v>
      </c>
      <c r="BB113" s="76">
        <f t="shared" ca="1" si="95"/>
        <v>1.0068214933659623</v>
      </c>
      <c r="BC113" s="76">
        <f t="shared" ca="1" si="95"/>
        <v>1.0068214933659623</v>
      </c>
      <c r="BD113" s="76">
        <f t="shared" ca="1" si="95"/>
        <v>1.0068214933659623</v>
      </c>
      <c r="BE113" s="76">
        <f t="shared" ca="1" si="95"/>
        <v>1.0068214933659623</v>
      </c>
      <c r="BF113" s="76">
        <f t="shared" ca="1" si="95"/>
        <v>1.0068214933659623</v>
      </c>
      <c r="BG113" s="76">
        <f t="shared" ca="1" si="95"/>
        <v>1.0068214933659623</v>
      </c>
      <c r="BH113" s="76">
        <f t="shared" ca="1" si="95"/>
        <v>1.0068214933659623</v>
      </c>
      <c r="BI113" s="76">
        <f t="shared" ca="1" si="95"/>
        <v>1.0068214933659623</v>
      </c>
      <c r="BJ113" s="76">
        <f t="shared" ca="1" si="95"/>
        <v>1.0068214933659623</v>
      </c>
      <c r="BK113" s="76">
        <f t="shared" ca="1" si="95"/>
        <v>1.0068214933659623</v>
      </c>
      <c r="BL113" s="76">
        <f t="shared" ca="1" si="93"/>
        <v>8.5000000000000853E-2</v>
      </c>
      <c r="BM113" s="77">
        <f t="shared" ca="1" si="94"/>
        <v>7893.5288444395201</v>
      </c>
    </row>
    <row r="114" spans="5:65">
      <c r="E114">
        <f t="shared" si="82"/>
        <v>111</v>
      </c>
      <c r="F114" s="64">
        <f t="shared" si="63"/>
        <v>70.8</v>
      </c>
      <c r="G114" s="55">
        <f t="shared" si="64"/>
        <v>3.9263561977341821E-3</v>
      </c>
      <c r="H114" s="78">
        <f t="shared" si="89"/>
        <v>0.74613601225824744</v>
      </c>
      <c r="I114" s="79">
        <f t="shared" ca="1" si="65"/>
        <v>1060703.0994616721</v>
      </c>
      <c r="J114" s="79">
        <f t="shared" ca="1" si="66"/>
        <v>7235.5791562334171</v>
      </c>
      <c r="K114" s="80">
        <f t="shared" ca="1" si="67"/>
        <v>-14.92272024516495</v>
      </c>
      <c r="L114" s="80">
        <f t="shared" ca="1" si="68"/>
        <v>0</v>
      </c>
      <c r="M114" s="80">
        <f t="shared" ca="1" si="69"/>
        <v>0</v>
      </c>
      <c r="N114" s="80">
        <f t="shared" ca="1" si="70"/>
        <v>0</v>
      </c>
      <c r="O114" s="81">
        <f t="shared" ca="1" si="52"/>
        <v>-12472.413025400308</v>
      </c>
      <c r="P114" s="79">
        <f t="shared" ca="1" si="53"/>
        <v>1055451.3428722601</v>
      </c>
      <c r="Q114" s="35"/>
      <c r="R114">
        <f t="shared" ca="1" si="71"/>
        <v>111</v>
      </c>
      <c r="S114" s="78">
        <f t="shared" ca="1" si="72"/>
        <v>70.8</v>
      </c>
      <c r="T114" s="55">
        <f t="shared" ca="1" si="73"/>
        <v>3.9263561977341821E-3</v>
      </c>
      <c r="U114" s="78">
        <f t="shared" ca="1" si="74"/>
        <v>0.74613601225824744</v>
      </c>
      <c r="V114" s="79">
        <f t="shared" ca="1" si="75"/>
        <v>1060703.0994616721</v>
      </c>
      <c r="W114" s="79">
        <f t="shared" ca="1" si="54"/>
        <v>7235.5791562334171</v>
      </c>
      <c r="X114" s="80">
        <f t="shared" ca="1" si="55"/>
        <v>-14.92272024516495</v>
      </c>
      <c r="Y114" s="80">
        <f t="shared" ca="1" si="76"/>
        <v>0</v>
      </c>
      <c r="Z114" s="80">
        <f t="shared" ca="1" si="56"/>
        <v>0</v>
      </c>
      <c r="AA114" s="80">
        <f t="shared" ca="1" si="77"/>
        <v>0</v>
      </c>
      <c r="AB114" s="81">
        <f t="shared" ca="1" si="57"/>
        <v>-12472.413025400308</v>
      </c>
      <c r="AC114" s="79">
        <f t="shared" ca="1" si="58"/>
        <v>1055451.3428722601</v>
      </c>
      <c r="AD114" s="35"/>
      <c r="AE114" s="62">
        <f t="shared" ca="1" si="59"/>
        <v>-16716.004616439077</v>
      </c>
      <c r="AF114" s="62">
        <f t="shared" ca="1" si="60"/>
        <v>1414556.2277282961</v>
      </c>
      <c r="AG114" s="35"/>
      <c r="AH114" s="35"/>
      <c r="AK114" s="66"/>
      <c r="AL114" s="66"/>
      <c r="AM114" s="66"/>
      <c r="AN114" s="66"/>
      <c r="AR114" s="69">
        <f t="shared" si="79"/>
        <v>10</v>
      </c>
      <c r="AS114" s="70">
        <f t="shared" si="86"/>
        <v>111</v>
      </c>
      <c r="AT114" s="71">
        <f t="shared" si="87"/>
        <v>0.46776926061407109</v>
      </c>
      <c r="AU114" s="72">
        <f t="shared" si="61"/>
        <v>6.8214933659622723E-3</v>
      </c>
      <c r="AV114" s="73">
        <f t="shared" si="80"/>
        <v>1.0068214933659623</v>
      </c>
      <c r="AW114" s="74">
        <f>PRODUCT(AV$4:AV114)</f>
        <v>2.1267922946853415</v>
      </c>
      <c r="AY114" s="75">
        <f t="shared" si="88"/>
        <v>111</v>
      </c>
      <c r="AZ114" s="76">
        <f t="shared" ca="1" si="95"/>
        <v>1.0068214933659623</v>
      </c>
      <c r="BA114" s="76">
        <f t="shared" ca="1" si="95"/>
        <v>1.0068214933659623</v>
      </c>
      <c r="BB114" s="76">
        <f t="shared" ca="1" si="95"/>
        <v>1.0068214933659623</v>
      </c>
      <c r="BC114" s="76">
        <f t="shared" ca="1" si="95"/>
        <v>1.0068214933659623</v>
      </c>
      <c r="BD114" s="76">
        <f t="shared" ca="1" si="95"/>
        <v>1.0068214933659623</v>
      </c>
      <c r="BE114" s="76">
        <f t="shared" ca="1" si="95"/>
        <v>1.0068214933659623</v>
      </c>
      <c r="BF114" s="76">
        <f t="shared" ca="1" si="95"/>
        <v>1.0068214933659623</v>
      </c>
      <c r="BG114" s="76">
        <f t="shared" ca="1" si="95"/>
        <v>1.0068214933659623</v>
      </c>
      <c r="BH114" s="76">
        <f t="shared" ca="1" si="95"/>
        <v>1.0068214933659623</v>
      </c>
      <c r="BI114" s="76">
        <f t="shared" ca="1" si="95"/>
        <v>1.0068214933659623</v>
      </c>
      <c r="BJ114" s="76">
        <f t="shared" ca="1" si="95"/>
        <v>1.0068214933659623</v>
      </c>
      <c r="BK114" s="76">
        <f t="shared" ca="1" si="95"/>
        <v>1.0068214933659623</v>
      </c>
      <c r="BL114" s="76">
        <f t="shared" ca="1" si="93"/>
        <v>8.5000000000000853E-2</v>
      </c>
      <c r="BM114" s="77">
        <f t="shared" ca="1" si="94"/>
        <v>8564.4787962168866</v>
      </c>
    </row>
    <row r="115" spans="5:65">
      <c r="E115">
        <f t="shared" si="82"/>
        <v>112</v>
      </c>
      <c r="F115" s="64">
        <f t="shared" si="63"/>
        <v>70.88</v>
      </c>
      <c r="G115" s="55">
        <f t="shared" si="64"/>
        <v>3.9263561977341821E-3</v>
      </c>
      <c r="H115" s="78">
        <f t="shared" si="89"/>
        <v>0.74320641650216457</v>
      </c>
      <c r="I115" s="79">
        <f t="shared" ca="1" si="65"/>
        <v>1051307.2649507667</v>
      </c>
      <c r="J115" s="79">
        <f t="shared" ca="1" si="66"/>
        <v>7171.485533449596</v>
      </c>
      <c r="K115" s="80">
        <f t="shared" ca="1" si="67"/>
        <v>-14.864128330043291</v>
      </c>
      <c r="L115" s="80">
        <f t="shared" ca="1" si="68"/>
        <v>0</v>
      </c>
      <c r="M115" s="80">
        <f t="shared" ca="1" si="69"/>
        <v>0</v>
      </c>
      <c r="N115" s="80">
        <f t="shared" ca="1" si="70"/>
        <v>0</v>
      </c>
      <c r="O115" s="81">
        <f t="shared" ca="1" si="52"/>
        <v>-12423.441889217327</v>
      </c>
      <c r="P115" s="79">
        <f t="shared" ca="1" si="53"/>
        <v>1046040.4444666689</v>
      </c>
      <c r="Q115" s="35"/>
      <c r="R115">
        <f t="shared" ca="1" si="71"/>
        <v>112</v>
      </c>
      <c r="S115" s="78">
        <f t="shared" ca="1" si="72"/>
        <v>70.88</v>
      </c>
      <c r="T115" s="55">
        <f t="shared" ca="1" si="73"/>
        <v>3.9263561977341821E-3</v>
      </c>
      <c r="U115" s="78">
        <f t="shared" ca="1" si="74"/>
        <v>0.74320641650216457</v>
      </c>
      <c r="V115" s="79">
        <f t="shared" ca="1" si="75"/>
        <v>1051307.2649507667</v>
      </c>
      <c r="W115" s="79">
        <f t="shared" ca="1" si="54"/>
        <v>7171.485533449596</v>
      </c>
      <c r="X115" s="80">
        <f t="shared" ca="1" si="55"/>
        <v>-14.864128330043291</v>
      </c>
      <c r="Y115" s="80">
        <f t="shared" ca="1" si="76"/>
        <v>0</v>
      </c>
      <c r="Z115" s="80">
        <f t="shared" ca="1" si="56"/>
        <v>0</v>
      </c>
      <c r="AA115" s="80">
        <f t="shared" ca="1" si="77"/>
        <v>0</v>
      </c>
      <c r="AB115" s="81">
        <f t="shared" ca="1" si="57"/>
        <v>-12423.441889217327</v>
      </c>
      <c r="AC115" s="79">
        <f t="shared" ca="1" si="58"/>
        <v>1046040.4444666689</v>
      </c>
      <c r="AD115" s="35"/>
      <c r="AE115" s="62">
        <f t="shared" ca="1" si="59"/>
        <v>-16716.004616439077</v>
      </c>
      <c r="AF115" s="62">
        <f t="shared" ca="1" si="60"/>
        <v>1407469.6090350861</v>
      </c>
      <c r="AG115" s="35"/>
      <c r="AH115" s="35"/>
      <c r="AK115" s="66"/>
      <c r="AL115" s="66"/>
      <c r="AM115" s="66"/>
      <c r="AN115" s="66"/>
      <c r="AR115" s="69">
        <f t="shared" si="79"/>
        <v>10</v>
      </c>
      <c r="AS115" s="70">
        <f t="shared" si="86"/>
        <v>112</v>
      </c>
      <c r="AT115" s="71">
        <f t="shared" si="87"/>
        <v>0.46457837570599114</v>
      </c>
      <c r="AU115" s="72">
        <f t="shared" si="61"/>
        <v>6.8214933659622723E-3</v>
      </c>
      <c r="AV115" s="73">
        <f t="shared" si="80"/>
        <v>1.0068214933659623</v>
      </c>
      <c r="AW115" s="74">
        <f>PRODUCT(AV$4:AV115)</f>
        <v>2.1413001942143173</v>
      </c>
      <c r="AY115" s="75">
        <f t="shared" si="88"/>
        <v>112</v>
      </c>
      <c r="AZ115" s="76">
        <f t="shared" ref="AZ115:BK124" ca="1" si="96">OFFSET($AV$3,($AY115*12-12)+AZ$3,0)</f>
        <v>1.0068214933659623</v>
      </c>
      <c r="BA115" s="76">
        <f t="shared" ca="1" si="96"/>
        <v>1.0068214933659623</v>
      </c>
      <c r="BB115" s="76">
        <f t="shared" ca="1" si="96"/>
        <v>1.0068214933659623</v>
      </c>
      <c r="BC115" s="76">
        <f t="shared" ca="1" si="96"/>
        <v>1.0068214933659623</v>
      </c>
      <c r="BD115" s="76">
        <f t="shared" ca="1" si="96"/>
        <v>1.0068214933659623</v>
      </c>
      <c r="BE115" s="76">
        <f t="shared" ca="1" si="96"/>
        <v>1.0068214933659623</v>
      </c>
      <c r="BF115" s="76">
        <f t="shared" ca="1" si="96"/>
        <v>1.0068214933659623</v>
      </c>
      <c r="BG115" s="76">
        <f t="shared" ca="1" si="96"/>
        <v>1.0068214933659623</v>
      </c>
      <c r="BH115" s="76">
        <f t="shared" ca="1" si="96"/>
        <v>1.0068214933659623</v>
      </c>
      <c r="BI115" s="76">
        <f t="shared" ca="1" si="96"/>
        <v>1.0068214933659623</v>
      </c>
      <c r="BJ115" s="76">
        <f t="shared" ca="1" si="96"/>
        <v>1.0068214933659623</v>
      </c>
      <c r="BK115" s="76">
        <f t="shared" ca="1" si="96"/>
        <v>1.0068214933659623</v>
      </c>
      <c r="BL115" s="76">
        <f t="shared" ca="1" si="93"/>
        <v>8.5000000000000853E-2</v>
      </c>
      <c r="BM115" s="77">
        <f t="shared" ca="1" si="94"/>
        <v>9292.4594938953287</v>
      </c>
    </row>
    <row r="116" spans="5:65">
      <c r="E116">
        <f t="shared" si="82"/>
        <v>113</v>
      </c>
      <c r="F116" s="64">
        <f t="shared" si="63"/>
        <v>70.959999999999994</v>
      </c>
      <c r="G116" s="55">
        <f t="shared" si="64"/>
        <v>3.9263561977341821E-3</v>
      </c>
      <c r="H116" s="78">
        <f t="shared" si="89"/>
        <v>0.74028832338253547</v>
      </c>
      <c r="I116" s="79">
        <f t="shared" ca="1" si="65"/>
        <v>1041933.3170844566</v>
      </c>
      <c r="J116" s="79">
        <f t="shared" ca="1" si="66"/>
        <v>7107.5412102666851</v>
      </c>
      <c r="K116" s="80">
        <f t="shared" ca="1" si="67"/>
        <v>-14.805766467650709</v>
      </c>
      <c r="L116" s="80">
        <f t="shared" ca="1" si="68"/>
        <v>0</v>
      </c>
      <c r="M116" s="80">
        <f t="shared" ca="1" si="69"/>
        <v>0</v>
      </c>
      <c r="N116" s="80">
        <f t="shared" ca="1" si="70"/>
        <v>0</v>
      </c>
      <c r="O116" s="81">
        <f t="shared" ca="1" si="52"/>
        <v>-12374.663031158409</v>
      </c>
      <c r="P116" s="79">
        <f t="shared" ca="1" si="53"/>
        <v>1036651.3894970972</v>
      </c>
      <c r="Q116" s="35"/>
      <c r="R116">
        <f t="shared" ca="1" si="71"/>
        <v>113</v>
      </c>
      <c r="S116" s="78">
        <f t="shared" ca="1" si="72"/>
        <v>70.959999999999994</v>
      </c>
      <c r="T116" s="55">
        <f t="shared" ca="1" si="73"/>
        <v>3.9263561977341821E-3</v>
      </c>
      <c r="U116" s="78">
        <f t="shared" ca="1" si="74"/>
        <v>0.74028832338253547</v>
      </c>
      <c r="V116" s="79">
        <f t="shared" ca="1" si="75"/>
        <v>1041933.3170844566</v>
      </c>
      <c r="W116" s="79">
        <f t="shared" ca="1" si="54"/>
        <v>7107.5412102666851</v>
      </c>
      <c r="X116" s="80">
        <f t="shared" ca="1" si="55"/>
        <v>-14.805766467650709</v>
      </c>
      <c r="Y116" s="80">
        <f t="shared" ca="1" si="76"/>
        <v>0</v>
      </c>
      <c r="Z116" s="80">
        <f t="shared" ca="1" si="56"/>
        <v>0</v>
      </c>
      <c r="AA116" s="80">
        <f t="shared" ca="1" si="77"/>
        <v>0</v>
      </c>
      <c r="AB116" s="81">
        <f t="shared" ca="1" si="57"/>
        <v>-12374.663031158409</v>
      </c>
      <c r="AC116" s="79">
        <f t="shared" ca="1" si="58"/>
        <v>1036651.3894970972</v>
      </c>
      <c r="AD116" s="35"/>
      <c r="AE116" s="62">
        <f t="shared" ca="1" si="59"/>
        <v>-16716.004616439077</v>
      </c>
      <c r="AF116" s="62">
        <f t="shared" ca="1" si="60"/>
        <v>1400334.6490194735</v>
      </c>
      <c r="AG116" s="35"/>
      <c r="AH116" s="35"/>
      <c r="AK116" s="66"/>
      <c r="AL116" s="66"/>
      <c r="AM116" s="66"/>
      <c r="AN116" s="66"/>
      <c r="AR116" s="69">
        <f t="shared" si="79"/>
        <v>10</v>
      </c>
      <c r="AS116" s="70">
        <f t="shared" si="86"/>
        <v>113</v>
      </c>
      <c r="AT116" s="71">
        <f t="shared" si="87"/>
        <v>0.4614092573981432</v>
      </c>
      <c r="AU116" s="72">
        <f t="shared" si="61"/>
        <v>6.8214933659622723E-3</v>
      </c>
      <c r="AV116" s="73">
        <f t="shared" si="80"/>
        <v>1.0068214933659623</v>
      </c>
      <c r="AW116" s="74">
        <f>PRODUCT(AV$4:AV116)</f>
        <v>2.1559070592836838</v>
      </c>
      <c r="AY116" s="75">
        <f t="shared" si="88"/>
        <v>113</v>
      </c>
      <c r="AZ116" s="76">
        <f t="shared" ca="1" si="96"/>
        <v>1.0068214933659623</v>
      </c>
      <c r="BA116" s="76">
        <f t="shared" ca="1" si="96"/>
        <v>1.0068214933659623</v>
      </c>
      <c r="BB116" s="76">
        <f t="shared" ca="1" si="96"/>
        <v>1.0068214933659623</v>
      </c>
      <c r="BC116" s="76">
        <f t="shared" ca="1" si="96"/>
        <v>1.0068214933659623</v>
      </c>
      <c r="BD116" s="76">
        <f t="shared" ca="1" si="96"/>
        <v>1.0068214933659623</v>
      </c>
      <c r="BE116" s="76">
        <f t="shared" ca="1" si="96"/>
        <v>1.0068214933659623</v>
      </c>
      <c r="BF116" s="76">
        <f t="shared" ca="1" si="96"/>
        <v>1.0068214933659623</v>
      </c>
      <c r="BG116" s="76">
        <f t="shared" ca="1" si="96"/>
        <v>1.0068214933659623</v>
      </c>
      <c r="BH116" s="76">
        <f t="shared" ca="1" si="96"/>
        <v>1.0068214933659623</v>
      </c>
      <c r="BI116" s="76">
        <f t="shared" ca="1" si="96"/>
        <v>1.0068214933659623</v>
      </c>
      <c r="BJ116" s="76">
        <f t="shared" ca="1" si="96"/>
        <v>1.0068214933659623</v>
      </c>
      <c r="BK116" s="76">
        <f t="shared" ca="1" si="96"/>
        <v>1.0068214933659623</v>
      </c>
      <c r="BL116" s="76">
        <f t="shared" ca="1" si="93"/>
        <v>8.5000000000000853E-2</v>
      </c>
      <c r="BM116" s="77">
        <f t="shared" ca="1" si="94"/>
        <v>10082.31855087644</v>
      </c>
    </row>
    <row r="117" spans="5:65">
      <c r="E117">
        <f t="shared" si="82"/>
        <v>114</v>
      </c>
      <c r="F117" s="64">
        <f t="shared" si="63"/>
        <v>71.040000000000006</v>
      </c>
      <c r="G117" s="55">
        <f t="shared" si="64"/>
        <v>3.9263561977341821E-3</v>
      </c>
      <c r="H117" s="78">
        <f t="shared" si="89"/>
        <v>0.73738168773591217</v>
      </c>
      <c r="I117" s="79">
        <f t="shared" ca="1" si="65"/>
        <v>1032581.1268890556</v>
      </c>
      <c r="J117" s="79">
        <f t="shared" ca="1" si="66"/>
        <v>7043.7453068915402</v>
      </c>
      <c r="K117" s="80">
        <f t="shared" ca="1" si="67"/>
        <v>-14.747633754718244</v>
      </c>
      <c r="L117" s="80">
        <f t="shared" ca="1" si="68"/>
        <v>0</v>
      </c>
      <c r="M117" s="80">
        <f t="shared" ca="1" si="69"/>
        <v>0</v>
      </c>
      <c r="N117" s="80">
        <f t="shared" ca="1" si="70"/>
        <v>0</v>
      </c>
      <c r="O117" s="81">
        <f t="shared" ca="1" si="52"/>
        <v>-12326.075696271146</v>
      </c>
      <c r="P117" s="79">
        <f t="shared" ca="1" si="53"/>
        <v>1027284.0488659212</v>
      </c>
      <c r="Q117" s="35"/>
      <c r="R117">
        <f t="shared" ca="1" si="71"/>
        <v>114</v>
      </c>
      <c r="S117" s="78">
        <f t="shared" ca="1" si="72"/>
        <v>71.040000000000006</v>
      </c>
      <c r="T117" s="55">
        <f t="shared" ca="1" si="73"/>
        <v>3.9263561977341821E-3</v>
      </c>
      <c r="U117" s="78">
        <f t="shared" ca="1" si="74"/>
        <v>0.73738168773591217</v>
      </c>
      <c r="V117" s="79">
        <f t="shared" ca="1" si="75"/>
        <v>1032581.1268890556</v>
      </c>
      <c r="W117" s="79">
        <f t="shared" ca="1" si="54"/>
        <v>7043.7453068915402</v>
      </c>
      <c r="X117" s="80">
        <f t="shared" ca="1" si="55"/>
        <v>-14.747633754718244</v>
      </c>
      <c r="Y117" s="80">
        <f t="shared" ca="1" si="76"/>
        <v>0</v>
      </c>
      <c r="Z117" s="80">
        <f t="shared" ca="1" si="56"/>
        <v>0</v>
      </c>
      <c r="AA117" s="80">
        <f t="shared" ca="1" si="77"/>
        <v>0</v>
      </c>
      <c r="AB117" s="81">
        <f t="shared" ca="1" si="57"/>
        <v>-12326.075696271146</v>
      </c>
      <c r="AC117" s="79">
        <f t="shared" ca="1" si="58"/>
        <v>1027284.0488659212</v>
      </c>
      <c r="AD117" s="35"/>
      <c r="AE117" s="62">
        <f t="shared" ca="1" si="59"/>
        <v>-16716.004616439077</v>
      </c>
      <c r="AF117" s="62">
        <f t="shared" ca="1" si="60"/>
        <v>1393151.0179214478</v>
      </c>
      <c r="AG117" s="35"/>
      <c r="AH117" s="35"/>
      <c r="AK117" s="66"/>
      <c r="AL117" s="66"/>
      <c r="AM117" s="66"/>
      <c r="AN117" s="66"/>
      <c r="AR117" s="69">
        <f t="shared" si="79"/>
        <v>10</v>
      </c>
      <c r="AS117" s="70">
        <f t="shared" si="86"/>
        <v>114</v>
      </c>
      <c r="AT117" s="71">
        <f t="shared" si="87"/>
        <v>0.45826175720980816</v>
      </c>
      <c r="AU117" s="72">
        <f t="shared" si="61"/>
        <v>6.8214933659622723E-3</v>
      </c>
      <c r="AV117" s="73">
        <f t="shared" si="80"/>
        <v>1.0068214933659623</v>
      </c>
      <c r="AW117" s="74">
        <f>PRODUCT(AV$4:AV117)</f>
        <v>2.1706135649862186</v>
      </c>
      <c r="AY117" s="75">
        <f t="shared" si="88"/>
        <v>114</v>
      </c>
      <c r="AZ117" s="76">
        <f t="shared" ca="1" si="96"/>
        <v>1.0068214933659623</v>
      </c>
      <c r="BA117" s="76">
        <f t="shared" ca="1" si="96"/>
        <v>1.0068214933659623</v>
      </c>
      <c r="BB117" s="76">
        <f t="shared" ca="1" si="96"/>
        <v>1.0068214933659623</v>
      </c>
      <c r="BC117" s="76">
        <f t="shared" ca="1" si="96"/>
        <v>1.0068214933659623</v>
      </c>
      <c r="BD117" s="76">
        <f t="shared" ca="1" si="96"/>
        <v>1.0068214933659623</v>
      </c>
      <c r="BE117" s="76">
        <f t="shared" ca="1" si="96"/>
        <v>1.0068214933659623</v>
      </c>
      <c r="BF117" s="76">
        <f t="shared" ca="1" si="96"/>
        <v>1.0068214933659623</v>
      </c>
      <c r="BG117" s="76">
        <f t="shared" ca="1" si="96"/>
        <v>1.0068214933659623</v>
      </c>
      <c r="BH117" s="76">
        <f t="shared" ca="1" si="96"/>
        <v>1.0068214933659623</v>
      </c>
      <c r="BI117" s="76">
        <f t="shared" ca="1" si="96"/>
        <v>1.0068214933659623</v>
      </c>
      <c r="BJ117" s="76">
        <f t="shared" ca="1" si="96"/>
        <v>1.0068214933659623</v>
      </c>
      <c r="BK117" s="76">
        <f t="shared" ca="1" si="96"/>
        <v>1.0068214933659623</v>
      </c>
      <c r="BL117" s="76">
        <f t="shared" ca="1" si="93"/>
        <v>8.5000000000000853E-2</v>
      </c>
      <c r="BM117" s="77">
        <f t="shared" ca="1" si="94"/>
        <v>10939.315627700946</v>
      </c>
    </row>
    <row r="118" spans="5:65">
      <c r="E118">
        <f t="shared" si="82"/>
        <v>115</v>
      </c>
      <c r="F118" s="64">
        <f t="shared" si="63"/>
        <v>71.12</v>
      </c>
      <c r="G118" s="55">
        <f t="shared" si="64"/>
        <v>3.9263561977341821E-3</v>
      </c>
      <c r="H118" s="78">
        <f t="shared" si="89"/>
        <v>0.73448646457617461</v>
      </c>
      <c r="I118" s="79">
        <f t="shared" ca="1" si="65"/>
        <v>1023250.5657738231</v>
      </c>
      <c r="J118" s="79">
        <f t="shared" ca="1" si="66"/>
        <v>6980.096946143276</v>
      </c>
      <c r="K118" s="80">
        <f t="shared" ca="1" si="67"/>
        <v>-14.689729291523491</v>
      </c>
      <c r="L118" s="80">
        <f t="shared" ca="1" si="68"/>
        <v>0</v>
      </c>
      <c r="M118" s="80">
        <f t="shared" ca="1" si="69"/>
        <v>0</v>
      </c>
      <c r="N118" s="80">
        <f t="shared" ca="1" si="70"/>
        <v>0</v>
      </c>
      <c r="O118" s="81">
        <f t="shared" ca="1" si="52"/>
        <v>-12277.679132567353</v>
      </c>
      <c r="P118" s="79">
        <f t="shared" ca="1" si="53"/>
        <v>1017938.2938581075</v>
      </c>
      <c r="Q118" s="35"/>
      <c r="R118">
        <f t="shared" ca="1" si="71"/>
        <v>115</v>
      </c>
      <c r="S118" s="78">
        <f t="shared" ca="1" si="72"/>
        <v>71.12</v>
      </c>
      <c r="T118" s="55">
        <f t="shared" ca="1" si="73"/>
        <v>3.9263561977341821E-3</v>
      </c>
      <c r="U118" s="78">
        <f t="shared" ca="1" si="74"/>
        <v>0.73448646457617461</v>
      </c>
      <c r="V118" s="79">
        <f t="shared" ca="1" si="75"/>
        <v>1023250.5657738231</v>
      </c>
      <c r="W118" s="79">
        <f t="shared" ca="1" si="54"/>
        <v>6980.096946143276</v>
      </c>
      <c r="X118" s="80">
        <f t="shared" ca="1" si="55"/>
        <v>-14.689729291523491</v>
      </c>
      <c r="Y118" s="80">
        <f t="shared" ca="1" si="76"/>
        <v>0</v>
      </c>
      <c r="Z118" s="80">
        <f t="shared" ca="1" si="56"/>
        <v>0</v>
      </c>
      <c r="AA118" s="80">
        <f t="shared" ca="1" si="77"/>
        <v>0</v>
      </c>
      <c r="AB118" s="81">
        <f t="shared" ca="1" si="57"/>
        <v>-12277.679132567353</v>
      </c>
      <c r="AC118" s="79">
        <f t="shared" ca="1" si="58"/>
        <v>1017938.2938581075</v>
      </c>
      <c r="AD118" s="35"/>
      <c r="AE118" s="62">
        <f t="shared" ca="1" si="59"/>
        <v>-16716.004616439081</v>
      </c>
      <c r="AF118" s="62">
        <f t="shared" ca="1" si="60"/>
        <v>1385918.3837315436</v>
      </c>
      <c r="AG118" s="35"/>
      <c r="AH118" s="35"/>
      <c r="AK118" s="66"/>
      <c r="AL118" s="66"/>
      <c r="AM118" s="66"/>
      <c r="AN118" s="66"/>
      <c r="AR118" s="69">
        <f t="shared" si="79"/>
        <v>10</v>
      </c>
      <c r="AS118" s="70">
        <f t="shared" si="86"/>
        <v>115</v>
      </c>
      <c r="AT118" s="71">
        <f t="shared" si="87"/>
        <v>0.45513572767312727</v>
      </c>
      <c r="AU118" s="72">
        <f t="shared" si="61"/>
        <v>6.8214933659622723E-3</v>
      </c>
      <c r="AV118" s="73">
        <f t="shared" si="80"/>
        <v>1.0068214933659623</v>
      </c>
      <c r="AW118" s="74">
        <f>PRODUCT(AV$4:AV118)</f>
        <v>2.1854203910198398</v>
      </c>
      <c r="AY118" s="75">
        <f t="shared" si="88"/>
        <v>115</v>
      </c>
      <c r="AZ118" s="76">
        <f t="shared" ca="1" si="96"/>
        <v>1.0068214933659623</v>
      </c>
      <c r="BA118" s="76">
        <f t="shared" ca="1" si="96"/>
        <v>1.0068214933659623</v>
      </c>
      <c r="BB118" s="76">
        <f t="shared" ca="1" si="96"/>
        <v>1.0068214933659623</v>
      </c>
      <c r="BC118" s="76">
        <f t="shared" ca="1" si="96"/>
        <v>1.0068214933659623</v>
      </c>
      <c r="BD118" s="76">
        <f t="shared" ca="1" si="96"/>
        <v>1.0068214933659623</v>
      </c>
      <c r="BE118" s="76">
        <f t="shared" ca="1" si="96"/>
        <v>1.0068214933659623</v>
      </c>
      <c r="BF118" s="76">
        <f t="shared" ca="1" si="96"/>
        <v>1.0068214933659623</v>
      </c>
      <c r="BG118" s="76">
        <f t="shared" ca="1" si="96"/>
        <v>1.0068214933659623</v>
      </c>
      <c r="BH118" s="76">
        <f t="shared" ca="1" si="96"/>
        <v>1.0068214933659623</v>
      </c>
      <c r="BI118" s="76">
        <f t="shared" ca="1" si="96"/>
        <v>1.0068214933659623</v>
      </c>
      <c r="BJ118" s="76">
        <f t="shared" ca="1" si="96"/>
        <v>1.0068214933659623</v>
      </c>
      <c r="BK118" s="76">
        <f t="shared" ca="1" si="96"/>
        <v>1.0068214933659623</v>
      </c>
      <c r="BL118" s="76">
        <f t="shared" ca="1" si="93"/>
        <v>8.5000000000000853E-2</v>
      </c>
      <c r="BM118" s="77">
        <f t="shared" ca="1" si="94"/>
        <v>11869.157456055535</v>
      </c>
    </row>
    <row r="119" spans="5:65">
      <c r="E119">
        <f t="shared" si="82"/>
        <v>116</v>
      </c>
      <c r="F119" s="64">
        <f t="shared" si="63"/>
        <v>71.2</v>
      </c>
      <c r="G119" s="55">
        <f t="shared" si="64"/>
        <v>3.9263561977341821E-3</v>
      </c>
      <c r="H119" s="78">
        <f t="shared" si="89"/>
        <v>0.73160260909383412</v>
      </c>
      <c r="I119" s="79">
        <f t="shared" ca="1" si="65"/>
        <v>1013941.5055291068</v>
      </c>
      <c r="J119" s="79">
        <f t="shared" ca="1" si="66"/>
        <v>6916.5952534406006</v>
      </c>
      <c r="K119" s="80">
        <f t="shared" ca="1" si="67"/>
        <v>-14.632052181876682</v>
      </c>
      <c r="L119" s="80">
        <f t="shared" ca="1" si="68"/>
        <v>0</v>
      </c>
      <c r="M119" s="80">
        <f t="shared" ca="1" si="69"/>
        <v>0</v>
      </c>
      <c r="N119" s="80">
        <f t="shared" ca="1" si="70"/>
        <v>0</v>
      </c>
      <c r="O119" s="81">
        <f t="shared" ca="1" si="52"/>
        <v>-12229.472591011407</v>
      </c>
      <c r="P119" s="79">
        <f t="shared" ca="1" si="53"/>
        <v>1008613.9961393541</v>
      </c>
      <c r="Q119" s="35"/>
      <c r="R119">
        <f t="shared" ca="1" si="71"/>
        <v>116</v>
      </c>
      <c r="S119" s="78">
        <f t="shared" ca="1" si="72"/>
        <v>71.2</v>
      </c>
      <c r="T119" s="55">
        <f t="shared" ca="1" si="73"/>
        <v>3.9263561977341821E-3</v>
      </c>
      <c r="U119" s="78">
        <f t="shared" ca="1" si="74"/>
        <v>0.73160260909383412</v>
      </c>
      <c r="V119" s="79">
        <f t="shared" ca="1" si="75"/>
        <v>1013941.5055291068</v>
      </c>
      <c r="W119" s="79">
        <f t="shared" ca="1" si="54"/>
        <v>6916.5952534406006</v>
      </c>
      <c r="X119" s="80">
        <f t="shared" ca="1" si="55"/>
        <v>-14.632052181876682</v>
      </c>
      <c r="Y119" s="80">
        <f t="shared" ca="1" si="76"/>
        <v>0</v>
      </c>
      <c r="Z119" s="80">
        <f t="shared" ca="1" si="56"/>
        <v>0</v>
      </c>
      <c r="AA119" s="80">
        <f t="shared" ca="1" si="77"/>
        <v>0</v>
      </c>
      <c r="AB119" s="81">
        <f t="shared" ca="1" si="57"/>
        <v>-12229.472591011407</v>
      </c>
      <c r="AC119" s="79">
        <f t="shared" ca="1" si="58"/>
        <v>1008613.9961393541</v>
      </c>
      <c r="AD119" s="35"/>
      <c r="AE119" s="62">
        <f t="shared" ca="1" si="59"/>
        <v>-16716.004616439081</v>
      </c>
      <c r="AF119" s="62">
        <f t="shared" ca="1" si="60"/>
        <v>1378636.4121754942</v>
      </c>
      <c r="AG119" s="35"/>
      <c r="AH119" s="35"/>
      <c r="AK119" s="66"/>
      <c r="AL119" s="66"/>
      <c r="AM119" s="66"/>
      <c r="AN119" s="66"/>
      <c r="AR119" s="69">
        <f t="shared" si="79"/>
        <v>10</v>
      </c>
      <c r="AS119" s="70">
        <f t="shared" si="86"/>
        <v>116</v>
      </c>
      <c r="AT119" s="71">
        <f t="shared" si="87"/>
        <v>0.45203102232619263</v>
      </c>
      <c r="AU119" s="72">
        <f t="shared" si="61"/>
        <v>6.8214933659622723E-3</v>
      </c>
      <c r="AV119" s="73">
        <f t="shared" si="80"/>
        <v>1.0068214933659623</v>
      </c>
      <c r="AW119" s="74">
        <f>PRODUCT(AV$4:AV119)</f>
        <v>2.2003282217190203</v>
      </c>
      <c r="AY119" s="75">
        <f t="shared" si="88"/>
        <v>116</v>
      </c>
      <c r="AZ119" s="76">
        <f t="shared" ca="1" si="96"/>
        <v>1.0068214933659623</v>
      </c>
      <c r="BA119" s="76">
        <f t="shared" ca="1" si="96"/>
        <v>1.0068214933659623</v>
      </c>
      <c r="BB119" s="76">
        <f t="shared" ca="1" si="96"/>
        <v>1.0068214933659623</v>
      </c>
      <c r="BC119" s="76">
        <f t="shared" ca="1" si="96"/>
        <v>1.0068214933659623</v>
      </c>
      <c r="BD119" s="76">
        <f t="shared" ca="1" si="96"/>
        <v>1.0068214933659623</v>
      </c>
      <c r="BE119" s="76">
        <f t="shared" ca="1" si="96"/>
        <v>1.0068214933659623</v>
      </c>
      <c r="BF119" s="76">
        <f t="shared" ca="1" si="96"/>
        <v>1.0068214933659623</v>
      </c>
      <c r="BG119" s="76">
        <f t="shared" ca="1" si="96"/>
        <v>1.0068214933659623</v>
      </c>
      <c r="BH119" s="76">
        <f t="shared" ca="1" si="96"/>
        <v>1.0068214933659623</v>
      </c>
      <c r="BI119" s="76">
        <f t="shared" ca="1" si="96"/>
        <v>1.0068214933659623</v>
      </c>
      <c r="BJ119" s="76">
        <f t="shared" ca="1" si="96"/>
        <v>1.0068214933659623</v>
      </c>
      <c r="BK119" s="76">
        <f t="shared" ca="1" si="96"/>
        <v>1.0068214933659623</v>
      </c>
      <c r="BL119" s="76">
        <f t="shared" ca="1" si="93"/>
        <v>8.5000000000000853E-2</v>
      </c>
      <c r="BM119" s="77">
        <f t="shared" ca="1" si="94"/>
        <v>12878.035839820264</v>
      </c>
    </row>
    <row r="120" spans="5:65">
      <c r="E120">
        <f t="shared" si="82"/>
        <v>117</v>
      </c>
      <c r="F120" s="64">
        <f t="shared" si="63"/>
        <v>71.28</v>
      </c>
      <c r="G120" s="55">
        <f t="shared" si="64"/>
        <v>3.9263561977341821E-3</v>
      </c>
      <c r="H120" s="78">
        <f t="shared" si="89"/>
        <v>0.72873007665534006</v>
      </c>
      <c r="I120" s="79">
        <f t="shared" ca="1" si="65"/>
        <v>1004653.8183244909</v>
      </c>
      <c r="J120" s="79">
        <f t="shared" ca="1" si="66"/>
        <v>6853.2393567891804</v>
      </c>
      <c r="K120" s="80">
        <f t="shared" ca="1" si="67"/>
        <v>-14.574601533106801</v>
      </c>
      <c r="L120" s="80">
        <f t="shared" ca="1" si="68"/>
        <v>0</v>
      </c>
      <c r="M120" s="80">
        <f t="shared" ca="1" si="69"/>
        <v>0</v>
      </c>
      <c r="N120" s="80">
        <f t="shared" ca="1" si="70"/>
        <v>0</v>
      </c>
      <c r="O120" s="81">
        <f t="shared" ca="1" si="52"/>
        <v>-12181.455325508667</v>
      </c>
      <c r="P120" s="79">
        <f t="shared" ca="1" si="53"/>
        <v>999311.02775423822</v>
      </c>
      <c r="Q120" s="35"/>
      <c r="R120">
        <f t="shared" ca="1" si="71"/>
        <v>117</v>
      </c>
      <c r="S120" s="78">
        <f t="shared" ca="1" si="72"/>
        <v>71.28</v>
      </c>
      <c r="T120" s="55">
        <f t="shared" ca="1" si="73"/>
        <v>3.9263561977341821E-3</v>
      </c>
      <c r="U120" s="78">
        <f t="shared" ca="1" si="74"/>
        <v>0.72873007665534006</v>
      </c>
      <c r="V120" s="79">
        <f t="shared" ca="1" si="75"/>
        <v>1004653.8183244909</v>
      </c>
      <c r="W120" s="79">
        <f t="shared" ca="1" si="54"/>
        <v>6853.2393567891804</v>
      </c>
      <c r="X120" s="80">
        <f t="shared" ca="1" si="55"/>
        <v>-14.574601533106801</v>
      </c>
      <c r="Y120" s="80">
        <f t="shared" ca="1" si="76"/>
        <v>0</v>
      </c>
      <c r="Z120" s="80">
        <f t="shared" ca="1" si="56"/>
        <v>0</v>
      </c>
      <c r="AA120" s="80">
        <f t="shared" ca="1" si="77"/>
        <v>0</v>
      </c>
      <c r="AB120" s="81">
        <f t="shared" ca="1" si="57"/>
        <v>-12181.455325508667</v>
      </c>
      <c r="AC120" s="79">
        <f t="shared" ca="1" si="58"/>
        <v>999311.02775423822</v>
      </c>
      <c r="AD120" s="35"/>
      <c r="AE120" s="62">
        <f t="shared" ca="1" si="59"/>
        <v>-16716.004616439077</v>
      </c>
      <c r="AF120" s="62">
        <f t="shared" ca="1" si="60"/>
        <v>1371304.7666987842</v>
      </c>
      <c r="AG120" s="35"/>
      <c r="AH120" s="35"/>
      <c r="AK120" s="66"/>
      <c r="AL120" s="66"/>
      <c r="AM120" s="66"/>
      <c r="AN120" s="66"/>
      <c r="AR120" s="69">
        <f t="shared" si="79"/>
        <v>10</v>
      </c>
      <c r="AS120" s="70">
        <f t="shared" si="86"/>
        <v>117</v>
      </c>
      <c r="AT120" s="71">
        <f t="shared" si="87"/>
        <v>0.44894749570618536</v>
      </c>
      <c r="AU120" s="72">
        <f t="shared" si="61"/>
        <v>6.8214933659622723E-3</v>
      </c>
      <c r="AV120" s="73">
        <f t="shared" si="80"/>
        <v>1.0068214933659623</v>
      </c>
      <c r="AW120" s="74">
        <f>PRODUCT(AV$4:AV120)</f>
        <v>2.2153377460864161</v>
      </c>
      <c r="AY120" s="75">
        <f t="shared" si="88"/>
        <v>117</v>
      </c>
      <c r="AZ120" s="76">
        <f t="shared" ca="1" si="96"/>
        <v>1.0068214933659623</v>
      </c>
      <c r="BA120" s="76">
        <f t="shared" ca="1" si="96"/>
        <v>1.0068214933659623</v>
      </c>
      <c r="BB120" s="76">
        <f t="shared" ca="1" si="96"/>
        <v>1.0068214933659623</v>
      </c>
      <c r="BC120" s="76">
        <f t="shared" ca="1" si="96"/>
        <v>1.0068214933659623</v>
      </c>
      <c r="BD120" s="76">
        <f t="shared" ca="1" si="96"/>
        <v>1.0068214933659623</v>
      </c>
      <c r="BE120" s="76">
        <f t="shared" ca="1" si="96"/>
        <v>1.0068214933659623</v>
      </c>
      <c r="BF120" s="76">
        <f t="shared" ca="1" si="96"/>
        <v>1.0068214933659623</v>
      </c>
      <c r="BG120" s="76">
        <f t="shared" ca="1" si="96"/>
        <v>1.0068214933659623</v>
      </c>
      <c r="BH120" s="76">
        <f t="shared" ca="1" si="96"/>
        <v>1.0068214933659623</v>
      </c>
      <c r="BI120" s="76">
        <f t="shared" ca="1" si="96"/>
        <v>1.0068214933659623</v>
      </c>
      <c r="BJ120" s="76">
        <f t="shared" ca="1" si="96"/>
        <v>1.0068214933659623</v>
      </c>
      <c r="BK120" s="76">
        <f t="shared" ca="1" si="96"/>
        <v>1.0068214933659623</v>
      </c>
      <c r="BL120" s="76">
        <f t="shared" ca="1" si="93"/>
        <v>8.5000000000000853E-2</v>
      </c>
      <c r="BM120" s="77">
        <f t="shared" ca="1" si="94"/>
        <v>13972.668886204998</v>
      </c>
    </row>
    <row r="121" spans="5:65">
      <c r="E121">
        <f t="shared" si="82"/>
        <v>118</v>
      </c>
      <c r="F121" s="64">
        <f t="shared" si="63"/>
        <v>71.36</v>
      </c>
      <c r="G121" s="55">
        <f t="shared" si="64"/>
        <v>3.9263561977341821E-3</v>
      </c>
      <c r="H121" s="78">
        <f t="shared" si="89"/>
        <v>0.72586882280238907</v>
      </c>
      <c r="I121" s="79">
        <f t="shared" ca="1" si="65"/>
        <v>995387.3767069513</v>
      </c>
      <c r="J121" s="79">
        <f t="shared" ca="1" si="66"/>
        <v>6790.0283867690578</v>
      </c>
      <c r="K121" s="80">
        <f t="shared" ca="1" si="67"/>
        <v>-14.517376456047781</v>
      </c>
      <c r="L121" s="80">
        <f t="shared" ca="1" si="68"/>
        <v>0</v>
      </c>
      <c r="M121" s="80">
        <f t="shared" ca="1" si="69"/>
        <v>0</v>
      </c>
      <c r="N121" s="80">
        <f t="shared" ca="1" si="70"/>
        <v>0</v>
      </c>
      <c r="O121" s="81">
        <f t="shared" ca="1" si="52"/>
        <v>-12133.626592893934</v>
      </c>
      <c r="P121" s="79">
        <f t="shared" ca="1" si="53"/>
        <v>990029.26112437027</v>
      </c>
      <c r="Q121" s="35"/>
      <c r="R121">
        <f t="shared" ca="1" si="71"/>
        <v>118</v>
      </c>
      <c r="S121" s="78">
        <f t="shared" ca="1" si="72"/>
        <v>71.36</v>
      </c>
      <c r="T121" s="55">
        <f t="shared" ca="1" si="73"/>
        <v>3.9263561977341821E-3</v>
      </c>
      <c r="U121" s="78">
        <f t="shared" ca="1" si="74"/>
        <v>0.72586882280238907</v>
      </c>
      <c r="V121" s="79">
        <f t="shared" ca="1" si="75"/>
        <v>995387.3767069513</v>
      </c>
      <c r="W121" s="79">
        <f t="shared" ca="1" si="54"/>
        <v>6790.0283867690578</v>
      </c>
      <c r="X121" s="80">
        <f t="shared" ca="1" si="55"/>
        <v>-14.517376456047781</v>
      </c>
      <c r="Y121" s="80">
        <f t="shared" ca="1" si="76"/>
        <v>0</v>
      </c>
      <c r="Z121" s="80">
        <f t="shared" ca="1" si="56"/>
        <v>0</v>
      </c>
      <c r="AA121" s="80">
        <f t="shared" ca="1" si="77"/>
        <v>0</v>
      </c>
      <c r="AB121" s="81">
        <f t="shared" ca="1" si="57"/>
        <v>-12133.626592893934</v>
      </c>
      <c r="AC121" s="79">
        <f t="shared" ca="1" si="58"/>
        <v>990029.26112437027</v>
      </c>
      <c r="AD121" s="35"/>
      <c r="AE121" s="62">
        <f t="shared" ca="1" si="59"/>
        <v>-16716.004616439077</v>
      </c>
      <c r="AF121" s="62">
        <f t="shared" ca="1" si="60"/>
        <v>1363923.1084510933</v>
      </c>
      <c r="AG121" s="35"/>
      <c r="AH121" s="35"/>
      <c r="AR121" s="69">
        <f t="shared" si="79"/>
        <v>10</v>
      </c>
      <c r="AS121" s="70">
        <f t="shared" si="86"/>
        <v>118</v>
      </c>
      <c r="AT121" s="71">
        <f t="shared" si="87"/>
        <v>0.44588500334256026</v>
      </c>
      <c r="AU121" s="72">
        <f t="shared" si="61"/>
        <v>6.8214933659622723E-3</v>
      </c>
      <c r="AV121" s="73">
        <f t="shared" si="80"/>
        <v>1.0068214933659623</v>
      </c>
      <c r="AW121" s="74">
        <f>PRODUCT(AV$4:AV121)</f>
        <v>2.2304496578247104</v>
      </c>
      <c r="AY121" s="75">
        <f t="shared" si="88"/>
        <v>118</v>
      </c>
      <c r="AZ121" s="76">
        <f t="shared" ca="1" si="96"/>
        <v>1.0068214933659623</v>
      </c>
      <c r="BA121" s="76">
        <f t="shared" ca="1" si="96"/>
        <v>1.0068214933659623</v>
      </c>
      <c r="BB121" s="76">
        <f t="shared" ca="1" si="96"/>
        <v>1.0068214933659623</v>
      </c>
      <c r="BC121" s="76">
        <f t="shared" ca="1" si="96"/>
        <v>1.0068214933659623</v>
      </c>
      <c r="BD121" s="76">
        <f t="shared" ca="1" si="96"/>
        <v>1.0068214933659623</v>
      </c>
      <c r="BE121" s="76">
        <f t="shared" ca="1" si="96"/>
        <v>1.0068214933659623</v>
      </c>
      <c r="BF121" s="76">
        <f t="shared" ca="1" si="96"/>
        <v>1.0068214933659623</v>
      </c>
      <c r="BG121" s="76">
        <f t="shared" ca="1" si="96"/>
        <v>1.0068214933659623</v>
      </c>
      <c r="BH121" s="76">
        <f t="shared" ca="1" si="96"/>
        <v>1.0068214933659623</v>
      </c>
      <c r="BI121" s="76">
        <f t="shared" ca="1" si="96"/>
        <v>1.0068214933659623</v>
      </c>
      <c r="BJ121" s="76">
        <f t="shared" ca="1" si="96"/>
        <v>1.0068214933659623</v>
      </c>
      <c r="BK121" s="76">
        <f t="shared" ca="1" si="96"/>
        <v>1.0068214933659623</v>
      </c>
      <c r="BL121" s="76">
        <f t="shared" ca="1" si="93"/>
        <v>8.5000000000000853E-2</v>
      </c>
      <c r="BM121" s="77">
        <f t="shared" ca="1" si="94"/>
        <v>15160.345741532434</v>
      </c>
    </row>
    <row r="122" spans="5:65">
      <c r="E122">
        <f t="shared" si="82"/>
        <v>119</v>
      </c>
      <c r="F122" s="64">
        <f t="shared" si="63"/>
        <v>71.44</v>
      </c>
      <c r="G122" s="55">
        <f t="shared" si="64"/>
        <v>3.9263561977341821E-3</v>
      </c>
      <c r="H122" s="78">
        <f t="shared" si="89"/>
        <v>0.72301880325123691</v>
      </c>
      <c r="I122" s="79">
        <f t="shared" ca="1" si="65"/>
        <v>986142.05359901639</v>
      </c>
      <c r="J122" s="79">
        <f t="shared" ca="1" si="66"/>
        <v>6726.9614765221022</v>
      </c>
      <c r="K122" s="80">
        <f t="shared" ca="1" si="67"/>
        <v>-14.460376065024738</v>
      </c>
      <c r="L122" s="80">
        <f t="shared" ca="1" si="68"/>
        <v>0</v>
      </c>
      <c r="M122" s="80">
        <f t="shared" ca="1" si="69"/>
        <v>0</v>
      </c>
      <c r="N122" s="80">
        <f t="shared" ca="1" si="70"/>
        <v>0</v>
      </c>
      <c r="O122" s="81">
        <f t="shared" ca="1" si="52"/>
        <v>-12085.985652919933</v>
      </c>
      <c r="P122" s="79">
        <f t="shared" ca="1" si="53"/>
        <v>980768.56904655357</v>
      </c>
      <c r="Q122" s="35"/>
      <c r="R122">
        <f t="shared" ca="1" si="71"/>
        <v>119</v>
      </c>
      <c r="S122" s="78">
        <f t="shared" ca="1" si="72"/>
        <v>71.44</v>
      </c>
      <c r="T122" s="55">
        <f t="shared" ca="1" si="73"/>
        <v>3.9263561977341821E-3</v>
      </c>
      <c r="U122" s="78">
        <f t="shared" ca="1" si="74"/>
        <v>0.72301880325123691</v>
      </c>
      <c r="V122" s="79">
        <f t="shared" ca="1" si="75"/>
        <v>986142.05359901639</v>
      </c>
      <c r="W122" s="79">
        <f t="shared" ca="1" si="54"/>
        <v>6726.9614765221022</v>
      </c>
      <c r="X122" s="80">
        <f t="shared" ca="1" si="55"/>
        <v>-14.460376065024738</v>
      </c>
      <c r="Y122" s="80">
        <f t="shared" ca="1" si="76"/>
        <v>0</v>
      </c>
      <c r="Z122" s="80">
        <f t="shared" ca="1" si="56"/>
        <v>0</v>
      </c>
      <c r="AA122" s="80">
        <f t="shared" ca="1" si="77"/>
        <v>0</v>
      </c>
      <c r="AB122" s="81">
        <f t="shared" ca="1" si="57"/>
        <v>-12085.985652919933</v>
      </c>
      <c r="AC122" s="79">
        <f t="shared" ca="1" si="58"/>
        <v>980768.56904655357</v>
      </c>
      <c r="AD122" s="35"/>
      <c r="AE122" s="62">
        <f t="shared" ca="1" si="59"/>
        <v>-16716.004616439077</v>
      </c>
      <c r="AF122" s="62">
        <f t="shared" ca="1" si="60"/>
        <v>1356491.096270636</v>
      </c>
      <c r="AG122" s="35"/>
      <c r="AH122" s="35"/>
      <c r="AR122" s="69">
        <f t="shared" si="79"/>
        <v>10</v>
      </c>
      <c r="AS122" s="70">
        <f t="shared" si="86"/>
        <v>119</v>
      </c>
      <c r="AT122" s="71">
        <f t="shared" si="87"/>
        <v>0.44284340175027692</v>
      </c>
      <c r="AU122" s="72">
        <f t="shared" si="61"/>
        <v>6.8214933659622723E-3</v>
      </c>
      <c r="AV122" s="73">
        <f t="shared" si="80"/>
        <v>1.0068214933659623</v>
      </c>
      <c r="AW122" s="74">
        <f>PRODUCT(AV$4:AV122)</f>
        <v>2.2456646553686745</v>
      </c>
      <c r="AY122" s="75">
        <f t="shared" si="88"/>
        <v>119</v>
      </c>
      <c r="AZ122" s="76">
        <f t="shared" ca="1" si="96"/>
        <v>1.0068214933659623</v>
      </c>
      <c r="BA122" s="76">
        <f t="shared" ca="1" si="96"/>
        <v>1.0068214933659623</v>
      </c>
      <c r="BB122" s="76">
        <f t="shared" ca="1" si="96"/>
        <v>1.0068214933659623</v>
      </c>
      <c r="BC122" s="76">
        <f t="shared" ca="1" si="96"/>
        <v>1.0068214933659623</v>
      </c>
      <c r="BD122" s="76">
        <f t="shared" ca="1" si="96"/>
        <v>1.0068214933659623</v>
      </c>
      <c r="BE122" s="76">
        <f t="shared" ca="1" si="96"/>
        <v>1.0068214933659623</v>
      </c>
      <c r="BF122" s="76">
        <f t="shared" ca="1" si="96"/>
        <v>1.0068214933659623</v>
      </c>
      <c r="BG122" s="76">
        <f t="shared" ca="1" si="96"/>
        <v>1.0068214933659623</v>
      </c>
      <c r="BH122" s="76">
        <f t="shared" ca="1" si="96"/>
        <v>1.0068214933659623</v>
      </c>
      <c r="BI122" s="76">
        <f t="shared" ca="1" si="96"/>
        <v>1.0068214933659623</v>
      </c>
      <c r="BJ122" s="76">
        <f t="shared" ca="1" si="96"/>
        <v>1.0068214933659623</v>
      </c>
      <c r="BK122" s="76">
        <f t="shared" ca="1" si="96"/>
        <v>1.0068214933659623</v>
      </c>
      <c r="BL122" s="76">
        <f t="shared" ca="1" si="93"/>
        <v>8.5000000000000853E-2</v>
      </c>
      <c r="BM122" s="77">
        <f t="shared" ca="1" si="94"/>
        <v>16448.975129562703</v>
      </c>
    </row>
    <row r="123" spans="5:65">
      <c r="E123">
        <f t="shared" si="82"/>
        <v>120</v>
      </c>
      <c r="F123" s="64">
        <f t="shared" si="63"/>
        <v>71.52</v>
      </c>
      <c r="G123" s="55">
        <f t="shared" si="64"/>
        <v>4.2908271543715681E-3</v>
      </c>
      <c r="H123" s="78">
        <f t="shared" si="89"/>
        <v>0.71991645453712527</v>
      </c>
      <c r="I123" s="79">
        <f t="shared" ca="1" si="65"/>
        <v>976560.26063833444</v>
      </c>
      <c r="J123" s="79">
        <f t="shared" ca="1" si="66"/>
        <v>6661.5993394067855</v>
      </c>
      <c r="K123" s="80">
        <f t="shared" ca="1" si="67"/>
        <v>-14.398329090742505</v>
      </c>
      <c r="L123" s="80">
        <f t="shared" ca="1" si="68"/>
        <v>0</v>
      </c>
      <c r="M123" s="80">
        <f t="shared" ca="1" si="69"/>
        <v>0</v>
      </c>
      <c r="N123" s="80">
        <f t="shared" ca="1" si="70"/>
        <v>0</v>
      </c>
      <c r="O123" s="81">
        <f t="shared" ca="1" si="52"/>
        <v>-12034.12677749304</v>
      </c>
      <c r="P123" s="79">
        <f t="shared" ca="1" si="53"/>
        <v>971173.33487115742</v>
      </c>
      <c r="Q123" s="35"/>
      <c r="R123">
        <f t="shared" ca="1" si="71"/>
        <v>120</v>
      </c>
      <c r="S123" s="78">
        <f t="shared" ca="1" si="72"/>
        <v>71.52</v>
      </c>
      <c r="T123" s="55">
        <f t="shared" ca="1" si="73"/>
        <v>4.2908271543715681E-3</v>
      </c>
      <c r="U123" s="78">
        <f t="shared" ca="1" si="74"/>
        <v>0.71991645453712527</v>
      </c>
      <c r="V123" s="79">
        <f t="shared" ca="1" si="75"/>
        <v>976560.26063833444</v>
      </c>
      <c r="W123" s="79">
        <f t="shared" ca="1" si="54"/>
        <v>6661.5993394067855</v>
      </c>
      <c r="X123" s="80">
        <f t="shared" ca="1" si="55"/>
        <v>-14.398329090742505</v>
      </c>
      <c r="Y123" s="80">
        <f t="shared" ca="1" si="76"/>
        <v>0</v>
      </c>
      <c r="Z123" s="80">
        <f t="shared" ca="1" si="56"/>
        <v>0</v>
      </c>
      <c r="AA123" s="80">
        <f t="shared" ca="1" si="77"/>
        <v>0</v>
      </c>
      <c r="AB123" s="81">
        <f t="shared" ca="1" si="57"/>
        <v>-12034.12677749304</v>
      </c>
      <c r="AC123" s="79">
        <f t="shared" ca="1" si="58"/>
        <v>971173.33487115742</v>
      </c>
      <c r="AD123" s="35"/>
      <c r="AE123" s="62">
        <f t="shared" ca="1" si="59"/>
        <v>-16716.004616439081</v>
      </c>
      <c r="AF123" s="62">
        <f t="shared" ca="1" si="60"/>
        <v>1349008.3866683939</v>
      </c>
      <c r="AG123" s="35"/>
      <c r="AH123" s="35"/>
      <c r="AR123" s="69">
        <f t="shared" si="79"/>
        <v>10</v>
      </c>
      <c r="AS123" s="70">
        <f t="shared" si="86"/>
        <v>120</v>
      </c>
      <c r="AT123" s="71">
        <f t="shared" si="87"/>
        <v>0.43982254842307722</v>
      </c>
      <c r="AU123" s="72">
        <f t="shared" si="61"/>
        <v>6.8214933659622723E-3</v>
      </c>
      <c r="AV123" s="73">
        <f t="shared" si="80"/>
        <v>1.0068214933659623</v>
      </c>
      <c r="AW123" s="74">
        <f>PRODUCT(AV$4:AV123)</f>
        <v>2.2609834419174479</v>
      </c>
      <c r="AY123" s="75">
        <f t="shared" si="88"/>
        <v>120</v>
      </c>
      <c r="AZ123" s="76">
        <f t="shared" ca="1" si="96"/>
        <v>1.0068214933659623</v>
      </c>
      <c r="BA123" s="76">
        <f t="shared" ca="1" si="96"/>
        <v>1.0068214933659623</v>
      </c>
      <c r="BB123" s="76">
        <f t="shared" ca="1" si="96"/>
        <v>1.0068214933659623</v>
      </c>
      <c r="BC123" s="76">
        <f t="shared" ca="1" si="96"/>
        <v>1.0068214933659623</v>
      </c>
      <c r="BD123" s="76">
        <f t="shared" ca="1" si="96"/>
        <v>1.0068214933659623</v>
      </c>
      <c r="BE123" s="76">
        <f t="shared" ca="1" si="96"/>
        <v>1.0068214933659623</v>
      </c>
      <c r="BF123" s="76">
        <f t="shared" ca="1" si="96"/>
        <v>1.0068214933659623</v>
      </c>
      <c r="BG123" s="76">
        <f t="shared" ca="1" si="96"/>
        <v>1.0068214933659623</v>
      </c>
      <c r="BH123" s="76">
        <f t="shared" ca="1" si="96"/>
        <v>1.0068214933659623</v>
      </c>
      <c r="BI123" s="76">
        <f t="shared" ca="1" si="96"/>
        <v>1.0068214933659623</v>
      </c>
      <c r="BJ123" s="76">
        <f t="shared" ca="1" si="96"/>
        <v>1.0068214933659623</v>
      </c>
      <c r="BK123" s="76">
        <f t="shared" ca="1" si="96"/>
        <v>1.0068214933659623</v>
      </c>
      <c r="BL123" s="76">
        <f t="shared" ca="1" si="93"/>
        <v>8.5000000000000853E-2</v>
      </c>
      <c r="BM123" s="77">
        <f t="shared" ca="1" si="94"/>
        <v>17847.138015575547</v>
      </c>
    </row>
    <row r="124" spans="5:65">
      <c r="E124">
        <f t="shared" si="82"/>
        <v>121</v>
      </c>
      <c r="F124" s="64">
        <f t="shared" si="63"/>
        <v>71.599999999999994</v>
      </c>
      <c r="G124" s="55">
        <f t="shared" si="64"/>
        <v>4.2908271543715681E-3</v>
      </c>
      <c r="H124" s="78">
        <f t="shared" si="89"/>
        <v>0.71682741746511847</v>
      </c>
      <c r="I124" s="79">
        <f t="shared" ca="1" si="65"/>
        <v>967006.19795429066</v>
      </c>
      <c r="J124" s="79">
        <f t="shared" ca="1" si="66"/>
        <v>6596.4263641895932</v>
      </c>
      <c r="K124" s="80">
        <f t="shared" ca="1" si="67"/>
        <v>-14.336548349302369</v>
      </c>
      <c r="L124" s="80">
        <f t="shared" ca="1" si="68"/>
        <v>0</v>
      </c>
      <c r="M124" s="80">
        <f t="shared" ca="1" si="69"/>
        <v>0</v>
      </c>
      <c r="N124" s="80">
        <f t="shared" ca="1" si="70"/>
        <v>0</v>
      </c>
      <c r="O124" s="81">
        <f t="shared" ca="1" si="52"/>
        <v>-11982.490419537024</v>
      </c>
      <c r="P124" s="79">
        <f t="shared" ca="1" si="53"/>
        <v>961605.79735059384</v>
      </c>
      <c r="Q124" s="35"/>
      <c r="R124">
        <f t="shared" ca="1" si="71"/>
        <v>121</v>
      </c>
      <c r="S124" s="78">
        <f t="shared" ca="1" si="72"/>
        <v>71.599999999999994</v>
      </c>
      <c r="T124" s="55">
        <f t="shared" ca="1" si="73"/>
        <v>4.2908271543715681E-3</v>
      </c>
      <c r="U124" s="78">
        <f t="shared" ca="1" si="74"/>
        <v>0.71682741746511847</v>
      </c>
      <c r="V124" s="79">
        <f t="shared" ca="1" si="75"/>
        <v>967006.19795429066</v>
      </c>
      <c r="W124" s="79">
        <f t="shared" ca="1" si="54"/>
        <v>6596.4263641895932</v>
      </c>
      <c r="X124" s="80">
        <f t="shared" ca="1" si="55"/>
        <v>-14.336548349302369</v>
      </c>
      <c r="Y124" s="80">
        <f t="shared" ca="1" si="76"/>
        <v>0</v>
      </c>
      <c r="Z124" s="80">
        <f t="shared" ca="1" si="56"/>
        <v>0</v>
      </c>
      <c r="AA124" s="80">
        <f t="shared" ca="1" si="77"/>
        <v>0</v>
      </c>
      <c r="AB124" s="81">
        <f t="shared" ca="1" si="57"/>
        <v>-11982.490419537024</v>
      </c>
      <c r="AC124" s="79">
        <f t="shared" ca="1" si="58"/>
        <v>961605.79735059384</v>
      </c>
      <c r="AD124" s="35"/>
      <c r="AE124" s="62">
        <f t="shared" ca="1" si="59"/>
        <v>-16716.004616439081</v>
      </c>
      <c r="AF124" s="62">
        <f t="shared" ca="1" si="60"/>
        <v>1341474.6338122406</v>
      </c>
      <c r="AG124" s="35"/>
      <c r="AH124" s="35"/>
      <c r="AR124" s="69">
        <f t="shared" si="79"/>
        <v>11</v>
      </c>
      <c r="AS124" s="70">
        <f t="shared" si="86"/>
        <v>121</v>
      </c>
      <c r="AT124" s="71">
        <f t="shared" si="87"/>
        <v>0.43682230182680859</v>
      </c>
      <c r="AU124" s="72">
        <f t="shared" si="61"/>
        <v>6.8214933659622723E-3</v>
      </c>
      <c r="AV124" s="73">
        <f t="shared" si="80"/>
        <v>1.0068214933659623</v>
      </c>
      <c r="AW124" s="74">
        <f>PRODUCT(AV$4:AV124)</f>
        <v>2.2764067254670382</v>
      </c>
      <c r="AY124" s="75">
        <f t="shared" si="88"/>
        <v>121</v>
      </c>
      <c r="AZ124" s="76">
        <f t="shared" ca="1" si="96"/>
        <v>1.0068214933659623</v>
      </c>
      <c r="BA124" s="76">
        <f t="shared" ca="1" si="96"/>
        <v>1.0068214933659623</v>
      </c>
      <c r="BB124" s="76">
        <f t="shared" ca="1" si="96"/>
        <v>1.0068214933659623</v>
      </c>
      <c r="BC124" s="76">
        <f t="shared" ca="1" si="96"/>
        <v>1.0068214933659623</v>
      </c>
      <c r="BD124" s="76">
        <f t="shared" ca="1" si="96"/>
        <v>1.0068214933659623</v>
      </c>
      <c r="BE124" s="76">
        <f t="shared" ca="1" si="96"/>
        <v>1.0068214933659623</v>
      </c>
      <c r="BF124" s="76">
        <f t="shared" ca="1" si="96"/>
        <v>1.0068214933659623</v>
      </c>
      <c r="BG124" s="76">
        <f t="shared" ca="1" si="96"/>
        <v>1.0068214933659623</v>
      </c>
      <c r="BH124" s="76">
        <f t="shared" ca="1" si="96"/>
        <v>1.0068214933659623</v>
      </c>
      <c r="BI124" s="76">
        <f t="shared" ca="1" si="96"/>
        <v>1.0068214933659623</v>
      </c>
      <c r="BJ124" s="76">
        <f t="shared" ca="1" si="96"/>
        <v>1.0068214933659623</v>
      </c>
      <c r="BK124" s="76">
        <f t="shared" ca="1" si="96"/>
        <v>1.0068214933659623</v>
      </c>
      <c r="BL124" s="76">
        <f t="shared" ca="1" si="93"/>
        <v>8.5000000000000853E-2</v>
      </c>
      <c r="BM124" s="77">
        <f t="shared" ca="1" si="94"/>
        <v>19364.144746899485</v>
      </c>
    </row>
    <row r="125" spans="5:65">
      <c r="E125">
        <f t="shared" si="82"/>
        <v>122</v>
      </c>
      <c r="F125" s="64">
        <f t="shared" si="63"/>
        <v>71.680000000000007</v>
      </c>
      <c r="G125" s="55">
        <f t="shared" si="64"/>
        <v>4.2908271543715681E-3</v>
      </c>
      <c r="H125" s="78">
        <f t="shared" si="89"/>
        <v>0.71375163491726112</v>
      </c>
      <c r="I125" s="79">
        <f t="shared" ca="1" si="65"/>
        <v>957479.71308352076</v>
      </c>
      <c r="J125" s="79">
        <f t="shared" ca="1" si="66"/>
        <v>6531.4415108426965</v>
      </c>
      <c r="K125" s="80">
        <f t="shared" ca="1" si="67"/>
        <v>-14.275032698345223</v>
      </c>
      <c r="L125" s="80">
        <f t="shared" ca="1" si="68"/>
        <v>0</v>
      </c>
      <c r="M125" s="80">
        <f t="shared" ca="1" si="69"/>
        <v>0</v>
      </c>
      <c r="N125" s="80">
        <f t="shared" ca="1" si="70"/>
        <v>0</v>
      </c>
      <c r="O125" s="81">
        <f t="shared" ca="1" si="52"/>
        <v>-11931.075624267876</v>
      </c>
      <c r="P125" s="79">
        <f t="shared" ca="1" si="53"/>
        <v>952065.8039373972</v>
      </c>
      <c r="Q125" s="35"/>
      <c r="R125">
        <f t="shared" ca="1" si="71"/>
        <v>122</v>
      </c>
      <c r="S125" s="78">
        <f t="shared" ca="1" si="72"/>
        <v>71.680000000000007</v>
      </c>
      <c r="T125" s="55">
        <f t="shared" ca="1" si="73"/>
        <v>4.2908271543715681E-3</v>
      </c>
      <c r="U125" s="78">
        <f t="shared" ca="1" si="74"/>
        <v>0.71375163491726112</v>
      </c>
      <c r="V125" s="79">
        <f t="shared" ca="1" si="75"/>
        <v>957479.71308352076</v>
      </c>
      <c r="W125" s="79">
        <f t="shared" ca="1" si="54"/>
        <v>6531.4415108426965</v>
      </c>
      <c r="X125" s="80">
        <f t="shared" ca="1" si="55"/>
        <v>-14.275032698345223</v>
      </c>
      <c r="Y125" s="80">
        <f t="shared" ca="1" si="76"/>
        <v>0</v>
      </c>
      <c r="Z125" s="80">
        <f t="shared" ca="1" si="56"/>
        <v>0</v>
      </c>
      <c r="AA125" s="80">
        <f t="shared" ca="1" si="77"/>
        <v>0</v>
      </c>
      <c r="AB125" s="81">
        <f t="shared" ca="1" si="57"/>
        <v>-11931.075624267876</v>
      </c>
      <c r="AC125" s="79">
        <f t="shared" ca="1" si="58"/>
        <v>952065.8039373972</v>
      </c>
      <c r="AD125" s="35"/>
      <c r="AE125" s="62">
        <f t="shared" ca="1" si="59"/>
        <v>-16716.004616439077</v>
      </c>
      <c r="AF125" s="62">
        <f t="shared" ca="1" si="60"/>
        <v>1333889.4895109581</v>
      </c>
      <c r="AG125" s="35"/>
      <c r="AH125" s="35"/>
      <c r="AR125" s="69">
        <f t="shared" si="79"/>
        <v>11</v>
      </c>
      <c r="AS125" s="70">
        <f t="shared" si="86"/>
        <v>122</v>
      </c>
      <c r="AT125" s="71">
        <f t="shared" si="87"/>
        <v>0.43384252139279267</v>
      </c>
      <c r="AU125" s="72">
        <f t="shared" si="61"/>
        <v>6.8214933659622723E-3</v>
      </c>
      <c r="AV125" s="73">
        <f t="shared" si="80"/>
        <v>1.0068214933659623</v>
      </c>
      <c r="AW125" s="74">
        <f>PRODUCT(AV$4:AV125)</f>
        <v>2.2919352188430433</v>
      </c>
      <c r="AY125" s="75">
        <f t="shared" si="88"/>
        <v>122</v>
      </c>
      <c r="AZ125" s="76">
        <f t="shared" ref="AZ125:BK134" ca="1" si="97">OFFSET($AV$3,($AY125*12-12)+AZ$3,0)</f>
        <v>1.0068214933659623</v>
      </c>
      <c r="BA125" s="76">
        <f t="shared" ca="1" si="97"/>
        <v>1.0068214933659623</v>
      </c>
      <c r="BB125" s="76">
        <f t="shared" ca="1" si="97"/>
        <v>1.0068214933659623</v>
      </c>
      <c r="BC125" s="76">
        <f t="shared" ca="1" si="97"/>
        <v>1.0068214933659623</v>
      </c>
      <c r="BD125" s="76">
        <f t="shared" ca="1" si="97"/>
        <v>1.0068214933659623</v>
      </c>
      <c r="BE125" s="76">
        <f t="shared" ca="1" si="97"/>
        <v>1.0068214933659623</v>
      </c>
      <c r="BF125" s="76">
        <f t="shared" ca="1" si="97"/>
        <v>1.0068214933659623</v>
      </c>
      <c r="BG125" s="76">
        <f t="shared" ca="1" si="97"/>
        <v>1.0068214933659623</v>
      </c>
      <c r="BH125" s="76">
        <f t="shared" ca="1" si="97"/>
        <v>1.0068214933659623</v>
      </c>
      <c r="BI125" s="76">
        <f t="shared" ca="1" si="97"/>
        <v>1.0068214933659623</v>
      </c>
      <c r="BJ125" s="76">
        <f t="shared" ca="1" si="97"/>
        <v>1.0068214933659623</v>
      </c>
      <c r="BK125" s="76">
        <f t="shared" ca="1" si="97"/>
        <v>1.0068214933659623</v>
      </c>
      <c r="BL125" s="76">
        <f t="shared" ca="1" si="93"/>
        <v>8.5000000000000853E-2</v>
      </c>
      <c r="BM125" s="77">
        <f t="shared" ca="1" si="94"/>
        <v>21010.097050385957</v>
      </c>
    </row>
    <row r="126" spans="5:65">
      <c r="E126">
        <f t="shared" si="82"/>
        <v>123</v>
      </c>
      <c r="F126" s="64">
        <f t="shared" si="63"/>
        <v>71.760000000000005</v>
      </c>
      <c r="G126" s="55">
        <f t="shared" si="64"/>
        <v>4.2908271543715681E-3</v>
      </c>
      <c r="H126" s="78">
        <f t="shared" si="89"/>
        <v>0.71068905002068106</v>
      </c>
      <c r="I126" s="79">
        <f t="shared" ca="1" si="65"/>
        <v>947980.65413311403</v>
      </c>
      <c r="J126" s="79">
        <f t="shared" ca="1" si="66"/>
        <v>6466.6437432296125</v>
      </c>
      <c r="K126" s="80">
        <f t="shared" ca="1" si="67"/>
        <v>-14.213781000413622</v>
      </c>
      <c r="L126" s="80">
        <f t="shared" ca="1" si="68"/>
        <v>0</v>
      </c>
      <c r="M126" s="80">
        <f t="shared" ca="1" si="69"/>
        <v>0</v>
      </c>
      <c r="N126" s="80">
        <f t="shared" ca="1" si="70"/>
        <v>0</v>
      </c>
      <c r="O126" s="81">
        <f t="shared" ca="1" si="52"/>
        <v>-11879.881440998406</v>
      </c>
      <c r="P126" s="79">
        <f t="shared" ca="1" si="53"/>
        <v>942553.20265434473</v>
      </c>
      <c r="Q126" s="35"/>
      <c r="R126">
        <f t="shared" ca="1" si="71"/>
        <v>123</v>
      </c>
      <c r="S126" s="78">
        <f t="shared" ca="1" si="72"/>
        <v>71.760000000000005</v>
      </c>
      <c r="T126" s="55">
        <f t="shared" ca="1" si="73"/>
        <v>4.2908271543715681E-3</v>
      </c>
      <c r="U126" s="78">
        <f t="shared" ca="1" si="74"/>
        <v>0.71068905002068106</v>
      </c>
      <c r="V126" s="79">
        <f t="shared" ca="1" si="75"/>
        <v>947980.65413311403</v>
      </c>
      <c r="W126" s="79">
        <f t="shared" ca="1" si="54"/>
        <v>6466.6437432296125</v>
      </c>
      <c r="X126" s="80">
        <f t="shared" ca="1" si="55"/>
        <v>-14.213781000413622</v>
      </c>
      <c r="Y126" s="80">
        <f t="shared" ca="1" si="76"/>
        <v>0</v>
      </c>
      <c r="Z126" s="80">
        <f t="shared" ca="1" si="56"/>
        <v>0</v>
      </c>
      <c r="AA126" s="80">
        <f t="shared" ca="1" si="77"/>
        <v>0</v>
      </c>
      <c r="AB126" s="81">
        <f t="shared" ca="1" si="57"/>
        <v>-11879.881440998406</v>
      </c>
      <c r="AC126" s="79">
        <f t="shared" ca="1" si="58"/>
        <v>942553.20265434473</v>
      </c>
      <c r="AD126" s="35"/>
      <c r="AE126" s="62">
        <f t="shared" ca="1" si="59"/>
        <v>-16716.004616439077</v>
      </c>
      <c r="AF126" s="62">
        <f t="shared" ca="1" si="60"/>
        <v>1326252.6031981448</v>
      </c>
      <c r="AG126" s="35"/>
      <c r="AH126" s="35"/>
      <c r="AR126" s="69">
        <f t="shared" si="79"/>
        <v>11</v>
      </c>
      <c r="AS126" s="70">
        <f t="shared" si="86"/>
        <v>123</v>
      </c>
      <c r="AT126" s="71">
        <f t="shared" si="87"/>
        <v>0.43088306751123939</v>
      </c>
      <c r="AU126" s="72">
        <f t="shared" si="61"/>
        <v>6.8214933659622723E-3</v>
      </c>
      <c r="AV126" s="73">
        <f t="shared" si="80"/>
        <v>1.0068214933659623</v>
      </c>
      <c r="AW126" s="74">
        <f>PRODUCT(AV$4:AV126)</f>
        <v>2.3075696397335963</v>
      </c>
      <c r="AY126" s="75">
        <f t="shared" si="88"/>
        <v>123</v>
      </c>
      <c r="AZ126" s="76">
        <f t="shared" ca="1" si="97"/>
        <v>1.0068214933659623</v>
      </c>
      <c r="BA126" s="76">
        <f t="shared" ca="1" si="97"/>
        <v>1.0068214933659623</v>
      </c>
      <c r="BB126" s="76">
        <f t="shared" ca="1" si="97"/>
        <v>1.0068214933659623</v>
      </c>
      <c r="BC126" s="76">
        <f t="shared" ca="1" si="97"/>
        <v>1.0068214933659623</v>
      </c>
      <c r="BD126" s="76">
        <f t="shared" ca="1" si="97"/>
        <v>1.0068214933659623</v>
      </c>
      <c r="BE126" s="76">
        <f t="shared" ca="1" si="97"/>
        <v>1.0068214933659623</v>
      </c>
      <c r="BF126" s="76">
        <f t="shared" ca="1" si="97"/>
        <v>1.0068214933659623</v>
      </c>
      <c r="BG126" s="76">
        <f t="shared" ca="1" si="97"/>
        <v>1.0068214933659623</v>
      </c>
      <c r="BH126" s="76">
        <f t="shared" ca="1" si="97"/>
        <v>1.0068214933659623</v>
      </c>
      <c r="BI126" s="76">
        <f t="shared" ca="1" si="97"/>
        <v>1.0068214933659623</v>
      </c>
      <c r="BJ126" s="76">
        <f t="shared" ca="1" si="97"/>
        <v>1.0068214933659623</v>
      </c>
      <c r="BK126" s="76">
        <f t="shared" ca="1" si="97"/>
        <v>1.0068214933659623</v>
      </c>
      <c r="BL126" s="76">
        <f t="shared" ca="1" si="93"/>
        <v>8.5000000000000853E-2</v>
      </c>
      <c r="BM126" s="77">
        <f t="shared" ca="1" si="94"/>
        <v>22795.955299668782</v>
      </c>
    </row>
    <row r="127" spans="5:65">
      <c r="E127">
        <f t="shared" si="82"/>
        <v>124</v>
      </c>
      <c r="F127" s="64">
        <f t="shared" si="63"/>
        <v>71.84</v>
      </c>
      <c r="G127" s="55">
        <f t="shared" si="64"/>
        <v>4.2908271543715681E-3</v>
      </c>
      <c r="H127" s="78">
        <f t="shared" si="89"/>
        <v>0.70763960614653776</v>
      </c>
      <c r="I127" s="79">
        <f t="shared" ca="1" si="65"/>
        <v>938508.86977795558</v>
      </c>
      <c r="J127" s="79">
        <f t="shared" ca="1" si="66"/>
        <v>6402.0320290870741</v>
      </c>
      <c r="K127" s="80">
        <f t="shared" ca="1" si="67"/>
        <v>-14.152792122930755</v>
      </c>
      <c r="L127" s="80">
        <f t="shared" ca="1" si="68"/>
        <v>0</v>
      </c>
      <c r="M127" s="80">
        <f t="shared" ca="1" si="69"/>
        <v>0</v>
      </c>
      <c r="N127" s="80">
        <f t="shared" ca="1" si="70"/>
        <v>0</v>
      </c>
      <c r="O127" s="81">
        <f t="shared" ca="1" si="52"/>
        <v>-11828.906923120658</v>
      </c>
      <c r="P127" s="79">
        <f t="shared" ca="1" si="53"/>
        <v>933067.84209179913</v>
      </c>
      <c r="Q127" s="35"/>
      <c r="R127">
        <f t="shared" ca="1" si="71"/>
        <v>124</v>
      </c>
      <c r="S127" s="78">
        <f t="shared" ca="1" si="72"/>
        <v>71.84</v>
      </c>
      <c r="T127" s="55">
        <f t="shared" ca="1" si="73"/>
        <v>4.2908271543715681E-3</v>
      </c>
      <c r="U127" s="78">
        <f t="shared" ca="1" si="74"/>
        <v>0.70763960614653776</v>
      </c>
      <c r="V127" s="79">
        <f t="shared" ca="1" si="75"/>
        <v>938508.86977795558</v>
      </c>
      <c r="W127" s="79">
        <f t="shared" ca="1" si="54"/>
        <v>6402.0320290870741</v>
      </c>
      <c r="X127" s="80">
        <f t="shared" ca="1" si="55"/>
        <v>-14.152792122930755</v>
      </c>
      <c r="Y127" s="80">
        <f t="shared" ca="1" si="76"/>
        <v>0</v>
      </c>
      <c r="Z127" s="80">
        <f t="shared" ca="1" si="56"/>
        <v>0</v>
      </c>
      <c r="AA127" s="80">
        <f t="shared" ca="1" si="77"/>
        <v>0</v>
      </c>
      <c r="AB127" s="81">
        <f t="shared" ca="1" si="57"/>
        <v>-11828.906923120658</v>
      </c>
      <c r="AC127" s="79">
        <f t="shared" ca="1" si="58"/>
        <v>933067.84209179913</v>
      </c>
      <c r="AD127" s="35"/>
      <c r="AE127" s="62">
        <f t="shared" ca="1" si="59"/>
        <v>-16716.004616439081</v>
      </c>
      <c r="AF127" s="62">
        <f t="shared" ca="1" si="60"/>
        <v>1318563.6219160121</v>
      </c>
      <c r="AG127" s="35"/>
      <c r="AH127" s="35"/>
      <c r="AR127" s="69">
        <f t="shared" si="79"/>
        <v>11</v>
      </c>
      <c r="AS127" s="70">
        <f t="shared" si="86"/>
        <v>124</v>
      </c>
      <c r="AT127" s="71">
        <f t="shared" si="87"/>
        <v>0.42794380152470601</v>
      </c>
      <c r="AU127" s="72">
        <f t="shared" si="61"/>
        <v>6.8214933659622723E-3</v>
      </c>
      <c r="AV127" s="73">
        <f t="shared" si="80"/>
        <v>1.0068214933659623</v>
      </c>
      <c r="AW127" s="74">
        <f>PRODUCT(AV$4:AV127)</f>
        <v>2.3233107107225348</v>
      </c>
      <c r="AY127" s="75">
        <f t="shared" si="88"/>
        <v>124</v>
      </c>
      <c r="AZ127" s="76">
        <f t="shared" ca="1" si="97"/>
        <v>1.0068214933659623</v>
      </c>
      <c r="BA127" s="76">
        <f t="shared" ca="1" si="97"/>
        <v>1.0068214933659623</v>
      </c>
      <c r="BB127" s="76">
        <f t="shared" ca="1" si="97"/>
        <v>1.0068214933659623</v>
      </c>
      <c r="BC127" s="76">
        <f t="shared" ca="1" si="97"/>
        <v>1.0068214933659623</v>
      </c>
      <c r="BD127" s="76">
        <f t="shared" ca="1" si="97"/>
        <v>1.0068214933659623</v>
      </c>
      <c r="BE127" s="76">
        <f t="shared" ca="1" si="97"/>
        <v>1.0068214933659623</v>
      </c>
      <c r="BF127" s="76">
        <f t="shared" ca="1" si="97"/>
        <v>1.0068214933659623</v>
      </c>
      <c r="BG127" s="76">
        <f t="shared" ca="1" si="97"/>
        <v>1.0068214933659623</v>
      </c>
      <c r="BH127" s="76">
        <f t="shared" ca="1" si="97"/>
        <v>1.0068214933659623</v>
      </c>
      <c r="BI127" s="76">
        <f t="shared" ca="1" si="97"/>
        <v>1.0068214933659623</v>
      </c>
      <c r="BJ127" s="76">
        <f t="shared" ca="1" si="97"/>
        <v>1.0068214933659623</v>
      </c>
      <c r="BK127" s="76">
        <f t="shared" ca="1" si="97"/>
        <v>1.0068214933659623</v>
      </c>
      <c r="BL127" s="76">
        <f t="shared" ca="1" si="93"/>
        <v>8.5000000000000853E-2</v>
      </c>
      <c r="BM127" s="77">
        <f t="shared" ca="1" si="94"/>
        <v>24733.611500140647</v>
      </c>
    </row>
    <row r="128" spans="5:65">
      <c r="E128">
        <f t="shared" si="82"/>
        <v>125</v>
      </c>
      <c r="F128" s="64">
        <f t="shared" si="63"/>
        <v>71.92</v>
      </c>
      <c r="G128" s="55">
        <f t="shared" si="64"/>
        <v>4.2908271543715681E-3</v>
      </c>
      <c r="H128" s="78">
        <f t="shared" si="89"/>
        <v>0.70460324690897536</v>
      </c>
      <c r="I128" s="79">
        <f t="shared" ca="1" si="65"/>
        <v>929064.20925808081</v>
      </c>
      <c r="J128" s="79">
        <f t="shared" ca="1" si="66"/>
        <v>6337.6053400069823</v>
      </c>
      <c r="K128" s="80">
        <f t="shared" ca="1" si="67"/>
        <v>-14.092064938179508</v>
      </c>
      <c r="L128" s="80">
        <f t="shared" ca="1" si="68"/>
        <v>0</v>
      </c>
      <c r="M128" s="80">
        <f t="shared" ca="1" si="69"/>
        <v>0</v>
      </c>
      <c r="N128" s="80">
        <f t="shared" ca="1" si="70"/>
        <v>0</v>
      </c>
      <c r="O128" s="81">
        <f t="shared" ca="1" si="52"/>
        <v>-11778.151128088395</v>
      </c>
      <c r="P128" s="79">
        <f t="shared" ca="1" si="53"/>
        <v>923609.57140506129</v>
      </c>
      <c r="Q128" s="35"/>
      <c r="R128">
        <f t="shared" ca="1" si="71"/>
        <v>125</v>
      </c>
      <c r="S128" s="78">
        <f t="shared" ca="1" si="72"/>
        <v>71.92</v>
      </c>
      <c r="T128" s="55">
        <f t="shared" ca="1" si="73"/>
        <v>4.2908271543715681E-3</v>
      </c>
      <c r="U128" s="78">
        <f t="shared" ca="1" si="74"/>
        <v>0.70460324690897536</v>
      </c>
      <c r="V128" s="79">
        <f t="shared" ca="1" si="75"/>
        <v>929064.20925808081</v>
      </c>
      <c r="W128" s="79">
        <f t="shared" ca="1" si="54"/>
        <v>6337.6053400069823</v>
      </c>
      <c r="X128" s="80">
        <f t="shared" ca="1" si="55"/>
        <v>-14.092064938179508</v>
      </c>
      <c r="Y128" s="80">
        <f t="shared" ca="1" si="76"/>
        <v>0</v>
      </c>
      <c r="Z128" s="80">
        <f t="shared" ca="1" si="56"/>
        <v>0</v>
      </c>
      <c r="AA128" s="80">
        <f t="shared" ca="1" si="77"/>
        <v>0</v>
      </c>
      <c r="AB128" s="81">
        <f t="shared" ca="1" si="57"/>
        <v>-11778.151128088395</v>
      </c>
      <c r="AC128" s="79">
        <f t="shared" ca="1" si="58"/>
        <v>923609.57140506129</v>
      </c>
      <c r="AD128" s="35"/>
      <c r="AE128" s="62">
        <f t="shared" ca="1" si="59"/>
        <v>-16716.004616439077</v>
      </c>
      <c r="AF128" s="62">
        <f t="shared" ca="1" si="60"/>
        <v>1310822.1902990725</v>
      </c>
      <c r="AG128" s="35"/>
      <c r="AH128" s="35"/>
      <c r="AR128" s="69">
        <f t="shared" si="79"/>
        <v>11</v>
      </c>
      <c r="AS128" s="70">
        <f t="shared" si="86"/>
        <v>125</v>
      </c>
      <c r="AT128" s="71">
        <f t="shared" si="87"/>
        <v>0.42502458572160057</v>
      </c>
      <c r="AU128" s="72">
        <f t="shared" si="61"/>
        <v>6.8214933659622723E-3</v>
      </c>
      <c r="AV128" s="73">
        <f t="shared" si="80"/>
        <v>1.0068214933659623</v>
      </c>
      <c r="AW128" s="74">
        <f>PRODUCT(AV$4:AV128)</f>
        <v>2.3391591593227976</v>
      </c>
      <c r="AY128" s="75">
        <f t="shared" si="88"/>
        <v>125</v>
      </c>
      <c r="AZ128" s="76">
        <f t="shared" ca="1" si="97"/>
        <v>1.0068214933659623</v>
      </c>
      <c r="BA128" s="76">
        <f t="shared" ca="1" si="97"/>
        <v>1.0068214933659623</v>
      </c>
      <c r="BB128" s="76">
        <f t="shared" ca="1" si="97"/>
        <v>1.0068214933659623</v>
      </c>
      <c r="BC128" s="76">
        <f t="shared" ca="1" si="97"/>
        <v>1.0068214933659623</v>
      </c>
      <c r="BD128" s="76">
        <f t="shared" ca="1" si="97"/>
        <v>1.0068214933659623</v>
      </c>
      <c r="BE128" s="76">
        <f t="shared" ca="1" si="97"/>
        <v>1.0068214933659623</v>
      </c>
      <c r="BF128" s="76">
        <f t="shared" ca="1" si="97"/>
        <v>1.0068214933659623</v>
      </c>
      <c r="BG128" s="76">
        <f t="shared" ca="1" si="97"/>
        <v>1.0068214933659623</v>
      </c>
      <c r="BH128" s="76">
        <f t="shared" ca="1" si="97"/>
        <v>1.0068214933659623</v>
      </c>
      <c r="BI128" s="76">
        <f t="shared" ca="1" si="97"/>
        <v>1.0068214933659623</v>
      </c>
      <c r="BJ128" s="76">
        <f t="shared" ca="1" si="97"/>
        <v>1.0068214933659623</v>
      </c>
      <c r="BK128" s="76">
        <f t="shared" ca="1" si="97"/>
        <v>1.0068214933659623</v>
      </c>
      <c r="BL128" s="76">
        <f t="shared" ca="1" si="93"/>
        <v>8.5000000000000853E-2</v>
      </c>
      <c r="BM128" s="77">
        <f t="shared" ca="1" si="94"/>
        <v>26835.968477652623</v>
      </c>
    </row>
    <row r="129" spans="5:65">
      <c r="E129">
        <f t="shared" si="82"/>
        <v>126</v>
      </c>
      <c r="F129" s="64">
        <f t="shared" si="63"/>
        <v>72</v>
      </c>
      <c r="G129" s="55">
        <f t="shared" si="64"/>
        <v>4.2908271543715681E-3</v>
      </c>
      <c r="H129" s="78">
        <f t="shared" si="89"/>
        <v>0.70157991616408</v>
      </c>
      <c r="I129" s="79">
        <f t="shared" ca="1" si="65"/>
        <v>919646.52237603895</v>
      </c>
      <c r="J129" s="79">
        <f t="shared" ca="1" si="66"/>
        <v>6273.3626514184243</v>
      </c>
      <c r="K129" s="80">
        <f t="shared" ca="1" si="67"/>
        <v>-14.0315983232816</v>
      </c>
      <c r="L129" s="80">
        <f t="shared" ca="1" si="68"/>
        <v>0</v>
      </c>
      <c r="M129" s="80">
        <f t="shared" ca="1" si="69"/>
        <v>0</v>
      </c>
      <c r="N129" s="80">
        <f t="shared" ca="1" si="70"/>
        <v>0</v>
      </c>
      <c r="O129" s="81">
        <f t="shared" ca="1" si="52"/>
        <v>-11727.613117399704</v>
      </c>
      <c r="P129" s="79">
        <f t="shared" ca="1" si="53"/>
        <v>914178.24031173438</v>
      </c>
      <c r="Q129" s="35"/>
      <c r="R129">
        <f t="shared" ca="1" si="71"/>
        <v>126</v>
      </c>
      <c r="S129" s="78">
        <f t="shared" ca="1" si="72"/>
        <v>72</v>
      </c>
      <c r="T129" s="55">
        <f t="shared" ca="1" si="73"/>
        <v>4.2908271543715681E-3</v>
      </c>
      <c r="U129" s="78">
        <f t="shared" ca="1" si="74"/>
        <v>0.70157991616408</v>
      </c>
      <c r="V129" s="79">
        <f t="shared" ca="1" si="75"/>
        <v>919646.52237603895</v>
      </c>
      <c r="W129" s="79">
        <f t="shared" ca="1" si="54"/>
        <v>6273.3626514184243</v>
      </c>
      <c r="X129" s="80">
        <f t="shared" ca="1" si="55"/>
        <v>-14.0315983232816</v>
      </c>
      <c r="Y129" s="80">
        <f t="shared" ca="1" si="76"/>
        <v>0</v>
      </c>
      <c r="Z129" s="80">
        <f t="shared" ca="1" si="56"/>
        <v>0</v>
      </c>
      <c r="AA129" s="80">
        <f t="shared" ca="1" si="77"/>
        <v>0</v>
      </c>
      <c r="AB129" s="81">
        <f t="shared" ca="1" si="57"/>
        <v>-11727.613117399704</v>
      </c>
      <c r="AC129" s="79">
        <f t="shared" ca="1" si="58"/>
        <v>914178.24031173438</v>
      </c>
      <c r="AD129" s="35"/>
      <c r="AE129" s="62">
        <f t="shared" ca="1" si="59"/>
        <v>-16716.004616439081</v>
      </c>
      <c r="AF129" s="62">
        <f t="shared" ca="1" si="60"/>
        <v>1303027.9505577146</v>
      </c>
      <c r="AG129" s="35"/>
      <c r="AH129" s="35"/>
      <c r="AR129" s="69">
        <f t="shared" si="79"/>
        <v>11</v>
      </c>
      <c r="AS129" s="70">
        <f t="shared" si="86"/>
        <v>126</v>
      </c>
      <c r="AT129" s="71">
        <f t="shared" si="87"/>
        <v>0.42212528332972982</v>
      </c>
      <c r="AU129" s="72">
        <f t="shared" si="61"/>
        <v>6.8214933659622723E-3</v>
      </c>
      <c r="AV129" s="73">
        <f t="shared" si="80"/>
        <v>1.0068214933659623</v>
      </c>
      <c r="AW129" s="74">
        <f>PRODUCT(AV$4:AV129)</f>
        <v>2.3551157180100479</v>
      </c>
      <c r="AY129" s="75">
        <f t="shared" si="88"/>
        <v>126</v>
      </c>
      <c r="AZ129" s="76">
        <f t="shared" ca="1" si="97"/>
        <v>1.0068214933659623</v>
      </c>
      <c r="BA129" s="76">
        <f t="shared" ca="1" si="97"/>
        <v>1.0068214933659623</v>
      </c>
      <c r="BB129" s="76">
        <f t="shared" ca="1" si="97"/>
        <v>1.0068214933659623</v>
      </c>
      <c r="BC129" s="76">
        <f t="shared" ca="1" si="97"/>
        <v>1.0068214933659623</v>
      </c>
      <c r="BD129" s="76">
        <f t="shared" ca="1" si="97"/>
        <v>1.0068214933659623</v>
      </c>
      <c r="BE129" s="76">
        <f t="shared" ca="1" si="97"/>
        <v>1.0068214933659623</v>
      </c>
      <c r="BF129" s="76">
        <f t="shared" ca="1" si="97"/>
        <v>1.0068214933659623</v>
      </c>
      <c r="BG129" s="76">
        <f t="shared" ca="1" si="97"/>
        <v>1.0068214933659623</v>
      </c>
      <c r="BH129" s="76">
        <f t="shared" ca="1" si="97"/>
        <v>1.0068214933659623</v>
      </c>
      <c r="BI129" s="76">
        <f t="shared" ca="1" si="97"/>
        <v>1.0068214933659623</v>
      </c>
      <c r="BJ129" s="76">
        <f t="shared" ca="1" si="97"/>
        <v>1.0068214933659623</v>
      </c>
      <c r="BK129" s="76">
        <f t="shared" ca="1" si="97"/>
        <v>1.0068214933659623</v>
      </c>
      <c r="BL129" s="76">
        <f t="shared" ca="1" si="93"/>
        <v>8.5000000000000853E-2</v>
      </c>
      <c r="BM129" s="77">
        <f t="shared" ca="1" si="94"/>
        <v>29117.025798253118</v>
      </c>
    </row>
    <row r="130" spans="5:65">
      <c r="E130">
        <f t="shared" si="82"/>
        <v>127</v>
      </c>
      <c r="F130" s="64">
        <f t="shared" si="63"/>
        <v>72.08</v>
      </c>
      <c r="G130" s="55">
        <f t="shared" si="64"/>
        <v>4.2908271543715681E-3</v>
      </c>
      <c r="H130" s="78">
        <f t="shared" si="89"/>
        <v>0.69856955800884146</v>
      </c>
      <c r="I130" s="79">
        <f t="shared" ca="1" si="65"/>
        <v>910255.65949426917</v>
      </c>
      <c r="J130" s="79">
        <f t="shared" ca="1" si="66"/>
        <v>6209.3029425697705</v>
      </c>
      <c r="K130" s="80">
        <f t="shared" ca="1" si="67"/>
        <v>-13.971391160176829</v>
      </c>
      <c r="L130" s="80">
        <f t="shared" ca="1" si="68"/>
        <v>0</v>
      </c>
      <c r="M130" s="80">
        <f t="shared" ca="1" si="69"/>
        <v>0</v>
      </c>
      <c r="N130" s="80">
        <f t="shared" ca="1" si="70"/>
        <v>0</v>
      </c>
      <c r="O130" s="81">
        <f t="shared" ca="1" si="52"/>
        <v>-11677.291956579602</v>
      </c>
      <c r="P130" s="79">
        <f t="shared" ca="1" si="53"/>
        <v>904773.69908909919</v>
      </c>
      <c r="Q130" s="35"/>
      <c r="R130">
        <f t="shared" ca="1" si="71"/>
        <v>127</v>
      </c>
      <c r="S130" s="78">
        <f t="shared" ca="1" si="72"/>
        <v>72.08</v>
      </c>
      <c r="T130" s="55">
        <f t="shared" ca="1" si="73"/>
        <v>4.2908271543715681E-3</v>
      </c>
      <c r="U130" s="78">
        <f t="shared" ca="1" si="74"/>
        <v>0.69856955800884146</v>
      </c>
      <c r="V130" s="79">
        <f t="shared" ca="1" si="75"/>
        <v>910255.65949426917</v>
      </c>
      <c r="W130" s="79">
        <f t="shared" ca="1" si="54"/>
        <v>6209.3029425697705</v>
      </c>
      <c r="X130" s="80">
        <f t="shared" ca="1" si="55"/>
        <v>-13.971391160176829</v>
      </c>
      <c r="Y130" s="80">
        <f t="shared" ca="1" si="76"/>
        <v>0</v>
      </c>
      <c r="Z130" s="80">
        <f t="shared" ca="1" si="56"/>
        <v>0</v>
      </c>
      <c r="AA130" s="80">
        <f t="shared" ca="1" si="77"/>
        <v>0</v>
      </c>
      <c r="AB130" s="81">
        <f t="shared" ca="1" si="57"/>
        <v>-11677.291956579602</v>
      </c>
      <c r="AC130" s="79">
        <f t="shared" ca="1" si="58"/>
        <v>904773.69908909919</v>
      </c>
      <c r="AD130" s="35"/>
      <c r="AE130" s="62">
        <f t="shared" ca="1" si="59"/>
        <v>-16716.004616439081</v>
      </c>
      <c r="AF130" s="62">
        <f t="shared" ca="1" si="60"/>
        <v>1295180.5424616684</v>
      </c>
      <c r="AG130" s="35"/>
      <c r="AH130" s="35"/>
      <c r="AR130" s="69">
        <f t="shared" si="79"/>
        <v>11</v>
      </c>
      <c r="AS130" s="70">
        <f t="shared" si="86"/>
        <v>127</v>
      </c>
      <c r="AT130" s="71">
        <f t="shared" si="87"/>
        <v>0.4192457585098911</v>
      </c>
      <c r="AU130" s="72">
        <f t="shared" si="61"/>
        <v>6.8214933659622723E-3</v>
      </c>
      <c r="AV130" s="73">
        <f t="shared" si="80"/>
        <v>1.0068214933659623</v>
      </c>
      <c r="AW130" s="74">
        <f>PRODUCT(AV$4:AV130)</f>
        <v>2.3711811242565268</v>
      </c>
      <c r="AY130" s="75">
        <f t="shared" si="88"/>
        <v>127</v>
      </c>
      <c r="AZ130" s="76">
        <f t="shared" ca="1" si="97"/>
        <v>1.0068214933659623</v>
      </c>
      <c r="BA130" s="76">
        <f t="shared" ca="1" si="97"/>
        <v>1.0068214933659623</v>
      </c>
      <c r="BB130" s="76">
        <f t="shared" ca="1" si="97"/>
        <v>1.0068214933659623</v>
      </c>
      <c r="BC130" s="76">
        <f t="shared" ca="1" si="97"/>
        <v>1.0068214933659623</v>
      </c>
      <c r="BD130" s="76">
        <f t="shared" ca="1" si="97"/>
        <v>1.0068214933659623</v>
      </c>
      <c r="BE130" s="76">
        <f t="shared" ca="1" si="97"/>
        <v>1.0068214933659623</v>
      </c>
      <c r="BF130" s="76">
        <f t="shared" ca="1" si="97"/>
        <v>1.0068214933659623</v>
      </c>
      <c r="BG130" s="76">
        <f t="shared" ca="1" si="97"/>
        <v>1.0068214933659623</v>
      </c>
      <c r="BH130" s="76">
        <f t="shared" ca="1" si="97"/>
        <v>1.0068214933659623</v>
      </c>
      <c r="BI130" s="76">
        <f t="shared" ca="1" si="97"/>
        <v>1.0068214933659623</v>
      </c>
      <c r="BJ130" s="76">
        <f t="shared" ca="1" si="97"/>
        <v>1.0068214933659623</v>
      </c>
      <c r="BK130" s="76">
        <f t="shared" ca="1" si="97"/>
        <v>1.0068214933659623</v>
      </c>
      <c r="BL130" s="76">
        <f t="shared" ca="1" si="93"/>
        <v>8.5000000000000853E-2</v>
      </c>
      <c r="BM130" s="77">
        <f t="shared" ca="1" si="94"/>
        <v>31591.97299110466</v>
      </c>
    </row>
    <row r="131" spans="5:65">
      <c r="E131">
        <f t="shared" si="82"/>
        <v>128</v>
      </c>
      <c r="F131" s="64">
        <f t="shared" si="63"/>
        <v>72.16</v>
      </c>
      <c r="G131" s="55">
        <f t="shared" si="64"/>
        <v>4.2908271543715681E-3</v>
      </c>
      <c r="H131" s="78">
        <f t="shared" si="89"/>
        <v>0.69557211678011976</v>
      </c>
      <c r="I131" s="79">
        <f t="shared" ca="1" si="65"/>
        <v>900891.4715324865</v>
      </c>
      <c r="J131" s="79">
        <f t="shared" ca="1" si="66"/>
        <v>6145.425196510846</v>
      </c>
      <c r="K131" s="80">
        <f t="shared" ca="1" si="67"/>
        <v>-13.911442335602395</v>
      </c>
      <c r="L131" s="80">
        <f t="shared" ca="1" si="68"/>
        <v>0</v>
      </c>
      <c r="M131" s="80">
        <f t="shared" ca="1" si="69"/>
        <v>0</v>
      </c>
      <c r="N131" s="80">
        <f t="shared" ca="1" si="70"/>
        <v>0</v>
      </c>
      <c r="O131" s="81">
        <f t="shared" ca="1" si="52"/>
        <v>-11627.186715162783</v>
      </c>
      <c r="P131" s="79">
        <f t="shared" ca="1" si="53"/>
        <v>895395.79857149895</v>
      </c>
      <c r="Q131" s="35"/>
      <c r="R131">
        <f t="shared" ca="1" si="71"/>
        <v>128</v>
      </c>
      <c r="S131" s="78">
        <f t="shared" ca="1" si="72"/>
        <v>72.16</v>
      </c>
      <c r="T131" s="55">
        <f t="shared" ca="1" si="73"/>
        <v>4.2908271543715681E-3</v>
      </c>
      <c r="U131" s="78">
        <f t="shared" ca="1" si="74"/>
        <v>0.69557211678011976</v>
      </c>
      <c r="V131" s="79">
        <f t="shared" ca="1" si="75"/>
        <v>900891.4715324865</v>
      </c>
      <c r="W131" s="79">
        <f t="shared" ca="1" si="54"/>
        <v>6145.425196510846</v>
      </c>
      <c r="X131" s="80">
        <f t="shared" ca="1" si="55"/>
        <v>-13.911442335602395</v>
      </c>
      <c r="Y131" s="80">
        <f t="shared" ca="1" si="76"/>
        <v>0</v>
      </c>
      <c r="Z131" s="80">
        <f t="shared" ca="1" si="56"/>
        <v>0</v>
      </c>
      <c r="AA131" s="80">
        <f t="shared" ca="1" si="77"/>
        <v>0</v>
      </c>
      <c r="AB131" s="81">
        <f t="shared" ca="1" si="57"/>
        <v>-11627.186715162783</v>
      </c>
      <c r="AC131" s="79">
        <f t="shared" ca="1" si="58"/>
        <v>895395.79857149895</v>
      </c>
      <c r="AD131" s="35"/>
      <c r="AE131" s="62">
        <f t="shared" ca="1" si="59"/>
        <v>-16716.004616439077</v>
      </c>
      <c r="AF131" s="62">
        <f t="shared" ca="1" si="60"/>
        <v>1287279.6033233551</v>
      </c>
      <c r="AG131" s="35"/>
      <c r="AH131" s="35"/>
      <c r="AR131" s="69">
        <f t="shared" si="79"/>
        <v>11</v>
      </c>
      <c r="AS131" s="70">
        <f t="shared" si="86"/>
        <v>128</v>
      </c>
      <c r="AT131" s="71">
        <f t="shared" si="87"/>
        <v>0.41638587634950808</v>
      </c>
      <c r="AU131" s="72">
        <f t="shared" si="61"/>
        <v>6.8214933659622723E-3</v>
      </c>
      <c r="AV131" s="73">
        <f t="shared" si="80"/>
        <v>1.0068214933659623</v>
      </c>
      <c r="AW131" s="74">
        <f>PRODUCT(AV$4:AV131)</f>
        <v>2.3873561205651379</v>
      </c>
      <c r="AY131" s="75">
        <f t="shared" si="88"/>
        <v>128</v>
      </c>
      <c r="AZ131" s="76">
        <f t="shared" ca="1" si="97"/>
        <v>1.0068214933659623</v>
      </c>
      <c r="BA131" s="76">
        <f t="shared" ca="1" si="97"/>
        <v>1.0068214933659623</v>
      </c>
      <c r="BB131" s="76">
        <f t="shared" ca="1" si="97"/>
        <v>1.0068214933659623</v>
      </c>
      <c r="BC131" s="76">
        <f t="shared" ca="1" si="97"/>
        <v>1.0068214933659623</v>
      </c>
      <c r="BD131" s="76">
        <f t="shared" ca="1" si="97"/>
        <v>1.0068214933659623</v>
      </c>
      <c r="BE131" s="76">
        <f t="shared" ca="1" si="97"/>
        <v>1.0068214933659623</v>
      </c>
      <c r="BF131" s="76">
        <f t="shared" ca="1" si="97"/>
        <v>1.0068214933659623</v>
      </c>
      <c r="BG131" s="76">
        <f t="shared" ca="1" si="97"/>
        <v>1.0068214933659623</v>
      </c>
      <c r="BH131" s="76">
        <f t="shared" ca="1" si="97"/>
        <v>1.0068214933659623</v>
      </c>
      <c r="BI131" s="76">
        <f t="shared" ca="1" si="97"/>
        <v>1.0068214933659623</v>
      </c>
      <c r="BJ131" s="76">
        <f t="shared" ca="1" si="97"/>
        <v>1.0068214933659623</v>
      </c>
      <c r="BK131" s="76">
        <f t="shared" ca="1" si="97"/>
        <v>1.0068214933659623</v>
      </c>
      <c r="BL131" s="76">
        <f t="shared" ca="1" si="93"/>
        <v>8.5000000000000853E-2</v>
      </c>
      <c r="BM131" s="77">
        <f t="shared" ca="1" si="94"/>
        <v>34277.29069534858</v>
      </c>
    </row>
    <row r="132" spans="5:65">
      <c r="E132">
        <f t="shared" si="82"/>
        <v>129</v>
      </c>
      <c r="F132" s="64">
        <f t="shared" si="63"/>
        <v>72.239999999999995</v>
      </c>
      <c r="G132" s="55">
        <f t="shared" si="64"/>
        <v>4.2908271543715681E-3</v>
      </c>
      <c r="H132" s="78">
        <f t="shared" si="89"/>
        <v>0.69258753705361586</v>
      </c>
      <c r="I132" s="79">
        <f t="shared" ca="1" si="65"/>
        <v>891553.80996507814</v>
      </c>
      <c r="J132" s="79">
        <f t="shared" ca="1" si="66"/>
        <v>6081.7284000751688</v>
      </c>
      <c r="K132" s="80">
        <f t="shared" ca="1" si="67"/>
        <v>-13.851750741072317</v>
      </c>
      <c r="L132" s="80">
        <f t="shared" ca="1" si="68"/>
        <v>0</v>
      </c>
      <c r="M132" s="80">
        <f t="shared" ca="1" si="69"/>
        <v>0</v>
      </c>
      <c r="N132" s="80">
        <f t="shared" ca="1" si="70"/>
        <v>0</v>
      </c>
      <c r="O132" s="81">
        <f t="shared" ref="O132:O195" ca="1" si="98">-MIN(IF(MOD(R132,IF($C$5="Annual",12,1))=0,1,0)*$C$33*U132/IF($C$5="Monthly",12,1),I132)</f>
        <v>-11577.296466676415</v>
      </c>
      <c r="P132" s="79">
        <f t="shared" ref="P132:P195" ca="1" si="99">SUM(I132:O132)</f>
        <v>886044.39014773595</v>
      </c>
      <c r="Q132" s="35"/>
      <c r="R132">
        <f t="shared" ca="1" si="71"/>
        <v>129</v>
      </c>
      <c r="S132" s="78">
        <f t="shared" ca="1" si="72"/>
        <v>72.239999999999995</v>
      </c>
      <c r="T132" s="55">
        <f t="shared" ca="1" si="73"/>
        <v>4.2908271543715681E-3</v>
      </c>
      <c r="U132" s="78">
        <f t="shared" ca="1" si="74"/>
        <v>0.69258753705361586</v>
      </c>
      <c r="V132" s="79">
        <f t="shared" ca="1" si="75"/>
        <v>891553.80996507814</v>
      </c>
      <c r="W132" s="79">
        <f t="shared" ref="W132:W195" ca="1" si="100">(V132)*$AU132</f>
        <v>6081.7284000751688</v>
      </c>
      <c r="X132" s="80">
        <f t="shared" ref="X132:X195" ca="1" si="101">IF(V132=0,0,-$C$19)*U132</f>
        <v>-13.851750741072317</v>
      </c>
      <c r="Y132" s="80">
        <f t="shared" ca="1" si="76"/>
        <v>0</v>
      </c>
      <c r="Z132" s="80">
        <f t="shared" ref="Z132:Z195" ca="1" si="102">-IF(MOD(R132-1,12)=0,1,0)*V132*($C$17)</f>
        <v>0</v>
      </c>
      <c r="AA132" s="80">
        <f t="shared" ca="1" si="77"/>
        <v>0</v>
      </c>
      <c r="AB132" s="81">
        <f t="shared" ref="AB132:AB195" ca="1" si="103">-MIN(IF(MOD(R132,IF($C$5="Annual",12,1))=0,1,0)*$C$33*U132/IF($C$5="Monthly",12,1),V132)</f>
        <v>-11577.296466676415</v>
      </c>
      <c r="AC132" s="79">
        <f t="shared" ref="AC132:AC195" ca="1" si="104">SUM(V132:AB132)</f>
        <v>886044.39014773595</v>
      </c>
      <c r="AD132" s="35"/>
      <c r="AE132" s="62">
        <f t="shared" ref="AE132:AE195" ca="1" si="105">AB132/U132</f>
        <v>-16716.004616439081</v>
      </c>
      <c r="AF132" s="62">
        <f t="shared" ref="AF132:AF195" ca="1" si="106">AC132/U132</f>
        <v>1279324.767981125</v>
      </c>
      <c r="AG132" s="35"/>
      <c r="AH132" s="35"/>
      <c r="AR132" s="69">
        <f t="shared" si="79"/>
        <v>11</v>
      </c>
      <c r="AS132" s="70">
        <f t="shared" si="86"/>
        <v>129</v>
      </c>
      <c r="AT132" s="71">
        <f t="shared" si="87"/>
        <v>0.41354550285630953</v>
      </c>
      <c r="AU132" s="72">
        <f t="shared" ref="AU132:AU195" si="107">((1+$AH$21)^(1/12))-1</f>
        <v>6.8214933659622723E-3</v>
      </c>
      <c r="AV132" s="73">
        <f t="shared" si="80"/>
        <v>1.0068214933659623</v>
      </c>
      <c r="AW132" s="74">
        <f>PRODUCT(AV$4:AV132)</f>
        <v>2.4036414545037625</v>
      </c>
      <c r="AY132" s="75">
        <f t="shared" si="88"/>
        <v>129</v>
      </c>
      <c r="AZ132" s="76">
        <f t="shared" ca="1" si="97"/>
        <v>1.0068214933659623</v>
      </c>
      <c r="BA132" s="76">
        <f t="shared" ca="1" si="97"/>
        <v>1.0068214933659623</v>
      </c>
      <c r="BB132" s="76">
        <f t="shared" ca="1" si="97"/>
        <v>1.0068214933659623</v>
      </c>
      <c r="BC132" s="76">
        <f t="shared" ca="1" si="97"/>
        <v>1.0068214933659623</v>
      </c>
      <c r="BD132" s="76">
        <f t="shared" ca="1" si="97"/>
        <v>1.0068214933659623</v>
      </c>
      <c r="BE132" s="76">
        <f t="shared" ca="1" si="97"/>
        <v>1.0068214933659623</v>
      </c>
      <c r="BF132" s="76">
        <f t="shared" ca="1" si="97"/>
        <v>1.0068214933659623</v>
      </c>
      <c r="BG132" s="76">
        <f t="shared" ca="1" si="97"/>
        <v>1.0068214933659623</v>
      </c>
      <c r="BH132" s="76">
        <f t="shared" ca="1" si="97"/>
        <v>1.0068214933659623</v>
      </c>
      <c r="BI132" s="76">
        <f t="shared" ca="1" si="97"/>
        <v>1.0068214933659623</v>
      </c>
      <c r="BJ132" s="76">
        <f t="shared" ca="1" si="97"/>
        <v>1.0068214933659623</v>
      </c>
      <c r="BK132" s="76">
        <f t="shared" ca="1" si="97"/>
        <v>1.0068214933659623</v>
      </c>
      <c r="BL132" s="76">
        <f t="shared" ref="BL132:BL153" ca="1" si="108">PRODUCT(AZ132:BK132)-1</f>
        <v>8.5000000000000853E-2</v>
      </c>
      <c r="BM132" s="77">
        <f t="shared" ca="1" si="94"/>
        <v>37190.86040445324</v>
      </c>
    </row>
    <row r="133" spans="5:65">
      <c r="E133">
        <f t="shared" si="82"/>
        <v>130</v>
      </c>
      <c r="F133" s="64">
        <f t="shared" ref="F133:F196" si="109">ROUND((E133-E132)/12+F132,2)</f>
        <v>72.319999999999993</v>
      </c>
      <c r="G133" s="55">
        <f t="shared" ref="G133:G196" si="110">(1-(1-IF(F133&gt;$AJ$90,0,VLOOKUP(ROUND(F133,0),$AJ$4:$AK$90,2,FALSE)))^(1/12))</f>
        <v>4.2908271543715681E-3</v>
      </c>
      <c r="H133" s="78">
        <f t="shared" si="89"/>
        <v>0.68961576364284694</v>
      </c>
      <c r="I133" s="79">
        <f t="shared" ref="I133:I196" ca="1" si="111">MAX(P132,0)*(1-G133)</f>
        <v>882242.52681851143</v>
      </c>
      <c r="J133" s="79">
        <f t="shared" ref="J133:J196" ca="1" si="112">(I133)*$AU133</f>
        <v>6018.2115438622677</v>
      </c>
      <c r="K133" s="80">
        <f t="shared" ref="K133:K196" ca="1" si="113">IF(I133=0,0,-$C$19)*H133</f>
        <v>-13.792315272856939</v>
      </c>
      <c r="L133" s="80">
        <f t="shared" ref="L133:L196" ca="1" si="114">IF(OR(I132+O132=0,K132=0),0,-I133*($C$16/12))</f>
        <v>0</v>
      </c>
      <c r="M133" s="80">
        <f t="shared" ref="M133:M196" ca="1" si="115">IF(OR(I132+O132=0,K132=0),0,-IF(MOD(E133-1,12)=0,1,0)*I133*($C$17))</f>
        <v>0</v>
      </c>
      <c r="N133" s="80">
        <f t="shared" ref="N133:N196" ca="1" si="116">IF(OR(I132+O132=0,K132=0),0,-I133*($C$18*(1+$C$20))/12)</f>
        <v>0</v>
      </c>
      <c r="O133" s="81">
        <f t="shared" ca="1" si="98"/>
        <v>-11527.620288622989</v>
      </c>
      <c r="P133" s="79">
        <f t="shared" ca="1" si="99"/>
        <v>876719.32575847779</v>
      </c>
      <c r="Q133" s="35"/>
      <c r="R133">
        <f t="shared" ref="R133:R196" ca="1" si="117">R132+1</f>
        <v>130</v>
      </c>
      <c r="S133" s="78">
        <f t="shared" ref="S133:S196" ca="1" si="118">ROUND((R133-R132)/12+S132,2)</f>
        <v>72.319999999999993</v>
      </c>
      <c r="T133" s="55">
        <f t="shared" ref="T133:T196" ca="1" si="119">(1-(1-IF(S133&gt;$AJ$90,0,VLOOKUP(ROUND(S133,0),$AJ$4:$AK$90,2,FALSE)))^(1/12))</f>
        <v>4.2908271543715681E-3</v>
      </c>
      <c r="U133" s="78">
        <f t="shared" ref="U133:U196" ca="1" si="120">U132*(1-T133)</f>
        <v>0.68961576364284694</v>
      </c>
      <c r="V133" s="79">
        <f t="shared" ref="V133:V196" ca="1" si="121">MAX(AC132,0)*(1-T133)</f>
        <v>882242.52681851143</v>
      </c>
      <c r="W133" s="79">
        <f t="shared" ca="1" si="100"/>
        <v>6018.2115438622677</v>
      </c>
      <c r="X133" s="80">
        <f t="shared" ca="1" si="101"/>
        <v>-13.792315272856939</v>
      </c>
      <c r="Y133" s="80">
        <f t="shared" ref="Y133:Y196" ca="1" si="122">IF(OR(V132+AB132=0,X132=0),0,-V133*($C$16/12))</f>
        <v>0</v>
      </c>
      <c r="Z133" s="80">
        <f t="shared" ca="1" si="102"/>
        <v>0</v>
      </c>
      <c r="AA133" s="80">
        <f t="shared" ref="AA133:AA196" ca="1" si="123">IF(OR(V132+AB132=0,X132=0),0,-V133*($C$18*(1+$C$20))/12)</f>
        <v>0</v>
      </c>
      <c r="AB133" s="81">
        <f t="shared" ca="1" si="103"/>
        <v>-11527.620288622989</v>
      </c>
      <c r="AC133" s="79">
        <f t="shared" ca="1" si="104"/>
        <v>876719.32575847779</v>
      </c>
      <c r="AD133" s="35"/>
      <c r="AE133" s="62">
        <f t="shared" ca="1" si="105"/>
        <v>-16716.004616439077</v>
      </c>
      <c r="AF133" s="62">
        <f t="shared" ca="1" si="106"/>
        <v>1271315.6687823802</v>
      </c>
      <c r="AG133" s="35"/>
      <c r="AH133" s="35"/>
      <c r="AR133" s="69">
        <f t="shared" ref="AR133:AR196" si="124">ROUNDDOWN((AS133-1)/12,0)+1</f>
        <v>11</v>
      </c>
      <c r="AS133" s="70">
        <f t="shared" si="86"/>
        <v>130</v>
      </c>
      <c r="AT133" s="71">
        <f t="shared" si="87"/>
        <v>0.41072450495205171</v>
      </c>
      <c r="AU133" s="72">
        <f t="shared" si="107"/>
        <v>6.8214933659622723E-3</v>
      </c>
      <c r="AV133" s="73">
        <f t="shared" ref="AV133:AV196" si="125">(1+AU133)</f>
        <v>1.0068214933659623</v>
      </c>
      <c r="AW133" s="74">
        <f>PRODUCT(AV$4:AV133)</f>
        <v>2.4200378787398118</v>
      </c>
      <c r="AY133" s="75">
        <f t="shared" si="88"/>
        <v>130</v>
      </c>
      <c r="AZ133" s="76">
        <f t="shared" ca="1" si="97"/>
        <v>1.0068214933659623</v>
      </c>
      <c r="BA133" s="76">
        <f t="shared" ca="1" si="97"/>
        <v>1.0068214933659623</v>
      </c>
      <c r="BB133" s="76">
        <f t="shared" ca="1" si="97"/>
        <v>1.0068214933659623</v>
      </c>
      <c r="BC133" s="76">
        <f t="shared" ca="1" si="97"/>
        <v>1.0068214933659623</v>
      </c>
      <c r="BD133" s="76">
        <f t="shared" ca="1" si="97"/>
        <v>1.0068214933659623</v>
      </c>
      <c r="BE133" s="76">
        <f t="shared" ca="1" si="97"/>
        <v>1.0068214933659623</v>
      </c>
      <c r="BF133" s="76">
        <f t="shared" ca="1" si="97"/>
        <v>1.0068214933659623</v>
      </c>
      <c r="BG133" s="76">
        <f t="shared" ca="1" si="97"/>
        <v>1.0068214933659623</v>
      </c>
      <c r="BH133" s="76">
        <f t="shared" ca="1" si="97"/>
        <v>1.0068214933659623</v>
      </c>
      <c r="BI133" s="76">
        <f t="shared" ca="1" si="97"/>
        <v>1.0068214933659623</v>
      </c>
      <c r="BJ133" s="76">
        <f t="shared" ca="1" si="97"/>
        <v>1.0068214933659623</v>
      </c>
      <c r="BK133" s="76">
        <f t="shared" ca="1" si="97"/>
        <v>1.0068214933659623</v>
      </c>
      <c r="BL133" s="76">
        <f t="shared" ca="1" si="108"/>
        <v>8.5000000000000853E-2</v>
      </c>
      <c r="BM133" s="77">
        <f t="shared" ref="BM133:BM153" ca="1" si="126">PRODUCT(AZ133:BK133)*BM132</f>
        <v>40352.083538831801</v>
      </c>
    </row>
    <row r="134" spans="5:65">
      <c r="E134">
        <f t="shared" ref="E134:E197" si="127">E133+1</f>
        <v>131</v>
      </c>
      <c r="F134" s="64">
        <f t="shared" si="109"/>
        <v>72.400000000000006</v>
      </c>
      <c r="G134" s="55">
        <f t="shared" si="110"/>
        <v>4.2908271543715681E-3</v>
      </c>
      <c r="H134" s="78">
        <f t="shared" si="89"/>
        <v>0.68665674159812551</v>
      </c>
      <c r="I134" s="79">
        <f t="shared" ca="1" si="111"/>
        <v>872957.47466875101</v>
      </c>
      <c r="J134" s="79">
        <f t="shared" ca="1" si="112"/>
        <v>5954.8736222200632</v>
      </c>
      <c r="K134" s="80">
        <f t="shared" ca="1" si="113"/>
        <v>-13.733134831962509</v>
      </c>
      <c r="L134" s="80">
        <f t="shared" ca="1" si="114"/>
        <v>0</v>
      </c>
      <c r="M134" s="80">
        <f t="shared" ca="1" si="115"/>
        <v>0</v>
      </c>
      <c r="N134" s="80">
        <f t="shared" ca="1" si="116"/>
        <v>0</v>
      </c>
      <c r="O134" s="81">
        <f t="shared" ca="1" si="98"/>
        <v>-11478.157262463281</v>
      </c>
      <c r="P134" s="79">
        <f t="shared" ca="1" si="99"/>
        <v>867420.45789367578</v>
      </c>
      <c r="Q134" s="35"/>
      <c r="R134">
        <f t="shared" ca="1" si="117"/>
        <v>131</v>
      </c>
      <c r="S134" s="78">
        <f t="shared" ca="1" si="118"/>
        <v>72.400000000000006</v>
      </c>
      <c r="T134" s="55">
        <f t="shared" ca="1" si="119"/>
        <v>4.2908271543715681E-3</v>
      </c>
      <c r="U134" s="78">
        <f t="shared" ca="1" si="120"/>
        <v>0.68665674159812551</v>
      </c>
      <c r="V134" s="79">
        <f t="shared" ca="1" si="121"/>
        <v>872957.47466875101</v>
      </c>
      <c r="W134" s="79">
        <f t="shared" ca="1" si="100"/>
        <v>5954.8736222200632</v>
      </c>
      <c r="X134" s="80">
        <f t="shared" ca="1" si="101"/>
        <v>-13.733134831962509</v>
      </c>
      <c r="Y134" s="80">
        <f t="shared" ca="1" si="122"/>
        <v>0</v>
      </c>
      <c r="Z134" s="80">
        <f t="shared" ca="1" si="102"/>
        <v>0</v>
      </c>
      <c r="AA134" s="80">
        <f t="shared" ca="1" si="123"/>
        <v>0</v>
      </c>
      <c r="AB134" s="81">
        <f t="shared" ca="1" si="103"/>
        <v>-11478.157262463281</v>
      </c>
      <c r="AC134" s="79">
        <f t="shared" ca="1" si="104"/>
        <v>867420.45789367578</v>
      </c>
      <c r="AD134" s="35"/>
      <c r="AE134" s="62">
        <f t="shared" ca="1" si="105"/>
        <v>-16716.004616439077</v>
      </c>
      <c r="AF134" s="62">
        <f t="shared" ca="1" si="106"/>
        <v>1263251.9355665841</v>
      </c>
      <c r="AG134" s="35"/>
      <c r="AH134" s="35"/>
      <c r="AR134" s="69">
        <f t="shared" si="124"/>
        <v>11</v>
      </c>
      <c r="AS134" s="70">
        <f t="shared" ref="AS134:AS197" si="128">AS133+1</f>
        <v>131</v>
      </c>
      <c r="AT134" s="71">
        <f t="shared" ref="AT134:AT197" si="129">(1-AU134)*AT133</f>
        <v>0.40792275046628312</v>
      </c>
      <c r="AU134" s="72">
        <f t="shared" si="107"/>
        <v>6.8214933659622723E-3</v>
      </c>
      <c r="AV134" s="73">
        <f t="shared" si="125"/>
        <v>1.0068214933659623</v>
      </c>
      <c r="AW134" s="74">
        <f>PRODUCT(AV$4:AV134)</f>
        <v>2.4365461510750128</v>
      </c>
      <c r="AY134" s="75">
        <f t="shared" ref="AY134:AY153" si="130">AY133+1</f>
        <v>131</v>
      </c>
      <c r="AZ134" s="76">
        <f t="shared" ca="1" si="97"/>
        <v>1.0068214933659623</v>
      </c>
      <c r="BA134" s="76">
        <f t="shared" ca="1" si="97"/>
        <v>1.0068214933659623</v>
      </c>
      <c r="BB134" s="76">
        <f t="shared" ca="1" si="97"/>
        <v>1.0068214933659623</v>
      </c>
      <c r="BC134" s="76">
        <f t="shared" ca="1" si="97"/>
        <v>1.0068214933659623</v>
      </c>
      <c r="BD134" s="76">
        <f t="shared" ca="1" si="97"/>
        <v>1.0068214933659623</v>
      </c>
      <c r="BE134" s="76">
        <f t="shared" ca="1" si="97"/>
        <v>1.0068214933659623</v>
      </c>
      <c r="BF134" s="76">
        <f t="shared" ca="1" si="97"/>
        <v>1.0068214933659623</v>
      </c>
      <c r="BG134" s="76">
        <f t="shared" ca="1" si="97"/>
        <v>1.0068214933659623</v>
      </c>
      <c r="BH134" s="76">
        <f t="shared" ca="1" si="97"/>
        <v>1.0068214933659623</v>
      </c>
      <c r="BI134" s="76">
        <f t="shared" ca="1" si="97"/>
        <v>1.0068214933659623</v>
      </c>
      <c r="BJ134" s="76">
        <f t="shared" ca="1" si="97"/>
        <v>1.0068214933659623</v>
      </c>
      <c r="BK134" s="76">
        <f t="shared" ca="1" si="97"/>
        <v>1.0068214933659623</v>
      </c>
      <c r="BL134" s="76">
        <f t="shared" ca="1" si="108"/>
        <v>8.5000000000000853E-2</v>
      </c>
      <c r="BM134" s="77">
        <f t="shared" ca="1" si="126"/>
        <v>43782.010639632535</v>
      </c>
    </row>
    <row r="135" spans="5:65">
      <c r="E135">
        <f t="shared" si="127"/>
        <v>132</v>
      </c>
      <c r="F135" s="64">
        <f t="shared" si="109"/>
        <v>72.48</v>
      </c>
      <c r="G135" s="55">
        <f t="shared" si="110"/>
        <v>4.2908271543715681E-3</v>
      </c>
      <c r="H135" s="78">
        <f t="shared" ref="H135:H198" si="131">H134*(1-G135)</f>
        <v>0.68371041620554396</v>
      </c>
      <c r="I135" s="79">
        <f t="shared" ca="1" si="111"/>
        <v>863698.50663868815</v>
      </c>
      <c r="J135" s="79">
        <f t="shared" ca="1" si="112"/>
        <v>5891.713633227333</v>
      </c>
      <c r="K135" s="80">
        <f t="shared" ca="1" si="113"/>
        <v>-13.674208324110879</v>
      </c>
      <c r="L135" s="80">
        <f t="shared" ca="1" si="114"/>
        <v>0</v>
      </c>
      <c r="M135" s="80">
        <f t="shared" ca="1" si="115"/>
        <v>0</v>
      </c>
      <c r="N135" s="80">
        <f t="shared" ca="1" si="116"/>
        <v>0</v>
      </c>
      <c r="O135" s="81">
        <f t="shared" ca="1" si="98"/>
        <v>-11428.906473599358</v>
      </c>
      <c r="P135" s="79">
        <f t="shared" ca="1" si="99"/>
        <v>858147.639589992</v>
      </c>
      <c r="Q135" s="35"/>
      <c r="R135">
        <f t="shared" ca="1" si="117"/>
        <v>132</v>
      </c>
      <c r="S135" s="78">
        <f t="shared" ca="1" si="118"/>
        <v>72.48</v>
      </c>
      <c r="T135" s="55">
        <f t="shared" ca="1" si="119"/>
        <v>4.2908271543715681E-3</v>
      </c>
      <c r="U135" s="78">
        <f t="shared" ca="1" si="120"/>
        <v>0.68371041620554396</v>
      </c>
      <c r="V135" s="79">
        <f t="shared" ca="1" si="121"/>
        <v>863698.50663868815</v>
      </c>
      <c r="W135" s="79">
        <f t="shared" ca="1" si="100"/>
        <v>5891.713633227333</v>
      </c>
      <c r="X135" s="80">
        <f t="shared" ca="1" si="101"/>
        <v>-13.674208324110879</v>
      </c>
      <c r="Y135" s="80">
        <f t="shared" ca="1" si="122"/>
        <v>0</v>
      </c>
      <c r="Z135" s="80">
        <f t="shared" ca="1" si="102"/>
        <v>0</v>
      </c>
      <c r="AA135" s="80">
        <f t="shared" ca="1" si="123"/>
        <v>0</v>
      </c>
      <c r="AB135" s="81">
        <f t="shared" ca="1" si="103"/>
        <v>-11428.906473599358</v>
      </c>
      <c r="AC135" s="79">
        <f t="shared" ca="1" si="104"/>
        <v>858147.639589992</v>
      </c>
      <c r="AD135" s="35"/>
      <c r="AE135" s="62">
        <f t="shared" ca="1" si="105"/>
        <v>-16716.004616439081</v>
      </c>
      <c r="AF135" s="62">
        <f t="shared" ca="1" si="106"/>
        <v>1255133.1956481514</v>
      </c>
      <c r="AG135" s="35"/>
      <c r="AH135" s="35"/>
      <c r="AR135" s="69">
        <f t="shared" si="124"/>
        <v>11</v>
      </c>
      <c r="AS135" s="70">
        <f t="shared" si="128"/>
        <v>132</v>
      </c>
      <c r="AT135" s="71">
        <f t="shared" si="129"/>
        <v>0.40514010813015228</v>
      </c>
      <c r="AU135" s="72">
        <f t="shared" si="107"/>
        <v>6.8214933659622723E-3</v>
      </c>
      <c r="AV135" s="73">
        <f t="shared" si="125"/>
        <v>1.0068214933659623</v>
      </c>
      <c r="AW135" s="74">
        <f>PRODUCT(AV$4:AV135)</f>
        <v>2.4531670344804319</v>
      </c>
      <c r="AY135" s="75">
        <f t="shared" si="130"/>
        <v>132</v>
      </c>
      <c r="AZ135" s="76">
        <f t="shared" ref="AZ135:BK144" ca="1" si="132">OFFSET($AV$3,($AY135*12-12)+AZ$3,0)</f>
        <v>1.0068214933659623</v>
      </c>
      <c r="BA135" s="76">
        <f t="shared" ca="1" si="132"/>
        <v>1.0068214933659623</v>
      </c>
      <c r="BB135" s="76">
        <f t="shared" ca="1" si="132"/>
        <v>1.0068214933659623</v>
      </c>
      <c r="BC135" s="76">
        <f t="shared" ca="1" si="132"/>
        <v>1.0068214933659623</v>
      </c>
      <c r="BD135" s="76">
        <f t="shared" ca="1" si="132"/>
        <v>1.0068214933659623</v>
      </c>
      <c r="BE135" s="76">
        <f t="shared" ca="1" si="132"/>
        <v>1.0068214933659623</v>
      </c>
      <c r="BF135" s="76">
        <f t="shared" ca="1" si="132"/>
        <v>1.0068214933659623</v>
      </c>
      <c r="BG135" s="76">
        <f t="shared" ca="1" si="132"/>
        <v>1.0068214933659623</v>
      </c>
      <c r="BH135" s="76">
        <f t="shared" ca="1" si="132"/>
        <v>1.0068214933659623</v>
      </c>
      <c r="BI135" s="76">
        <f t="shared" ca="1" si="132"/>
        <v>1.0068214933659623</v>
      </c>
      <c r="BJ135" s="76">
        <f t="shared" ca="1" si="132"/>
        <v>1.0068214933659623</v>
      </c>
      <c r="BK135" s="76">
        <f t="shared" ca="1" si="132"/>
        <v>1.0068214933659623</v>
      </c>
      <c r="BL135" s="76">
        <f t="shared" ca="1" si="108"/>
        <v>8.5000000000000853E-2</v>
      </c>
      <c r="BM135" s="77">
        <f t="shared" ca="1" si="126"/>
        <v>47503.481544001341</v>
      </c>
    </row>
    <row r="136" spans="5:65">
      <c r="E136">
        <f t="shared" si="127"/>
        <v>133</v>
      </c>
      <c r="F136" s="64">
        <f t="shared" si="109"/>
        <v>72.56</v>
      </c>
      <c r="G136" s="55">
        <f t="shared" si="110"/>
        <v>4.6837945252553581E-3</v>
      </c>
      <c r="H136" s="78">
        <f t="shared" si="131"/>
        <v>0.68050805710126039</v>
      </c>
      <c r="I136" s="79">
        <f t="shared" ca="1" si="111"/>
        <v>854128.25237381959</v>
      </c>
      <c r="J136" s="79">
        <f t="shared" ca="1" si="112"/>
        <v>5826.43020724896</v>
      </c>
      <c r="K136" s="80">
        <f t="shared" ca="1" si="113"/>
        <v>-13.610161142025207</v>
      </c>
      <c r="L136" s="80">
        <f t="shared" ca="1" si="114"/>
        <v>0</v>
      </c>
      <c r="M136" s="80">
        <f t="shared" ca="1" si="115"/>
        <v>0</v>
      </c>
      <c r="N136" s="80">
        <f t="shared" ca="1" si="116"/>
        <v>0</v>
      </c>
      <c r="O136" s="81">
        <f t="shared" ca="1" si="98"/>
        <v>-11375.375824028657</v>
      </c>
      <c r="P136" s="79">
        <f t="shared" ca="1" si="99"/>
        <v>848565.6965958979</v>
      </c>
      <c r="Q136" s="35"/>
      <c r="R136">
        <f t="shared" ca="1" si="117"/>
        <v>133</v>
      </c>
      <c r="S136" s="78">
        <f t="shared" ca="1" si="118"/>
        <v>72.56</v>
      </c>
      <c r="T136" s="55">
        <f t="shared" ca="1" si="119"/>
        <v>4.6837945252553581E-3</v>
      </c>
      <c r="U136" s="78">
        <f t="shared" ca="1" si="120"/>
        <v>0.68050805710126039</v>
      </c>
      <c r="V136" s="79">
        <f t="shared" ca="1" si="121"/>
        <v>854128.25237381959</v>
      </c>
      <c r="W136" s="79">
        <f t="shared" ca="1" si="100"/>
        <v>5826.43020724896</v>
      </c>
      <c r="X136" s="80">
        <f t="shared" ca="1" si="101"/>
        <v>-13.610161142025207</v>
      </c>
      <c r="Y136" s="80">
        <f t="shared" ca="1" si="122"/>
        <v>0</v>
      </c>
      <c r="Z136" s="80">
        <f t="shared" ca="1" si="102"/>
        <v>0</v>
      </c>
      <c r="AA136" s="80">
        <f t="shared" ca="1" si="123"/>
        <v>0</v>
      </c>
      <c r="AB136" s="81">
        <f t="shared" ca="1" si="103"/>
        <v>-11375.375824028657</v>
      </c>
      <c r="AC136" s="79">
        <f t="shared" ca="1" si="104"/>
        <v>848565.6965958979</v>
      </c>
      <c r="AD136" s="35"/>
      <c r="AE136" s="62">
        <f t="shared" ca="1" si="105"/>
        <v>-16716.004616439081</v>
      </c>
      <c r="AF136" s="62">
        <f t="shared" ca="1" si="106"/>
        <v>1246959.0737992253</v>
      </c>
      <c r="AG136" s="35"/>
      <c r="AH136" s="35"/>
      <c r="AR136" s="69">
        <f t="shared" si="124"/>
        <v>12</v>
      </c>
      <c r="AS136" s="70">
        <f t="shared" si="128"/>
        <v>133</v>
      </c>
      <c r="AT136" s="71">
        <f t="shared" si="129"/>
        <v>0.4023764475702572</v>
      </c>
      <c r="AU136" s="72">
        <f t="shared" si="107"/>
        <v>6.8214933659622723E-3</v>
      </c>
      <c r="AV136" s="73">
        <f t="shared" si="125"/>
        <v>1.0068214933659623</v>
      </c>
      <c r="AW136" s="74">
        <f>PRODUCT(AV$4:AV136)</f>
        <v>2.4699012971317376</v>
      </c>
      <c r="AY136" s="75">
        <f t="shared" si="130"/>
        <v>133</v>
      </c>
      <c r="AZ136" s="76">
        <f t="shared" ca="1" si="132"/>
        <v>1.0068214933659623</v>
      </c>
      <c r="BA136" s="76">
        <f t="shared" ca="1" si="132"/>
        <v>1.0068214933659623</v>
      </c>
      <c r="BB136" s="76">
        <f t="shared" ca="1" si="132"/>
        <v>1.0068214933659623</v>
      </c>
      <c r="BC136" s="76">
        <f t="shared" ca="1" si="132"/>
        <v>1.0068214933659623</v>
      </c>
      <c r="BD136" s="76">
        <f t="shared" ca="1" si="132"/>
        <v>1.0068214933659623</v>
      </c>
      <c r="BE136" s="76">
        <f t="shared" ca="1" si="132"/>
        <v>1.0068214933659623</v>
      </c>
      <c r="BF136" s="76">
        <f t="shared" ca="1" si="132"/>
        <v>1.0068214933659623</v>
      </c>
      <c r="BG136" s="76">
        <f t="shared" ca="1" si="132"/>
        <v>1.0068214933659623</v>
      </c>
      <c r="BH136" s="76">
        <f t="shared" ca="1" si="132"/>
        <v>1.0068214933659623</v>
      </c>
      <c r="BI136" s="76">
        <f t="shared" ca="1" si="132"/>
        <v>1.0068214933659623</v>
      </c>
      <c r="BJ136" s="76">
        <f t="shared" ca="1" si="132"/>
        <v>1.0068214933659623</v>
      </c>
      <c r="BK136" s="76">
        <f t="shared" ca="1" si="132"/>
        <v>1.0068214933659623</v>
      </c>
      <c r="BL136" s="76">
        <f t="shared" ca="1" si="108"/>
        <v>8.5000000000000853E-2</v>
      </c>
      <c r="BM136" s="77">
        <f t="shared" ca="1" si="126"/>
        <v>51541.277475241499</v>
      </c>
    </row>
    <row r="137" spans="5:65">
      <c r="E137">
        <f t="shared" si="127"/>
        <v>134</v>
      </c>
      <c r="F137" s="64">
        <f t="shared" si="109"/>
        <v>72.64</v>
      </c>
      <c r="G137" s="55">
        <f t="shared" si="110"/>
        <v>4.6837945252553581E-3</v>
      </c>
      <c r="H137" s="78">
        <f t="shared" si="131"/>
        <v>0.67732069718901733</v>
      </c>
      <c r="I137" s="79">
        <f t="shared" ca="1" si="111"/>
        <v>844591.18923186255</v>
      </c>
      <c r="J137" s="79">
        <f t="shared" ca="1" si="112"/>
        <v>5761.3731942953364</v>
      </c>
      <c r="K137" s="80">
        <f t="shared" ca="1" si="113"/>
        <v>-13.546413943780347</v>
      </c>
      <c r="L137" s="80">
        <f t="shared" ca="1" si="114"/>
        <v>0</v>
      </c>
      <c r="M137" s="80">
        <f t="shared" ca="1" si="115"/>
        <v>0</v>
      </c>
      <c r="N137" s="80">
        <f t="shared" ca="1" si="116"/>
        <v>0</v>
      </c>
      <c r="O137" s="81">
        <f t="shared" ca="1" si="98"/>
        <v>-11322.095901021348</v>
      </c>
      <c r="P137" s="79">
        <f t="shared" ca="1" si="99"/>
        <v>839016.92011119274</v>
      </c>
      <c r="Q137" s="35"/>
      <c r="R137">
        <f t="shared" ca="1" si="117"/>
        <v>134</v>
      </c>
      <c r="S137" s="78">
        <f t="shared" ca="1" si="118"/>
        <v>72.64</v>
      </c>
      <c r="T137" s="55">
        <f t="shared" ca="1" si="119"/>
        <v>4.6837945252553581E-3</v>
      </c>
      <c r="U137" s="78">
        <f t="shared" ca="1" si="120"/>
        <v>0.67732069718901733</v>
      </c>
      <c r="V137" s="79">
        <f t="shared" ca="1" si="121"/>
        <v>844591.18923186255</v>
      </c>
      <c r="W137" s="79">
        <f t="shared" ca="1" si="100"/>
        <v>5761.3731942953364</v>
      </c>
      <c r="X137" s="80">
        <f t="shared" ca="1" si="101"/>
        <v>-13.546413943780347</v>
      </c>
      <c r="Y137" s="80">
        <f t="shared" ca="1" si="122"/>
        <v>0</v>
      </c>
      <c r="Z137" s="80">
        <f t="shared" ca="1" si="102"/>
        <v>0</v>
      </c>
      <c r="AA137" s="80">
        <f t="shared" ca="1" si="123"/>
        <v>0</v>
      </c>
      <c r="AB137" s="81">
        <f t="shared" ca="1" si="103"/>
        <v>-11322.095901021348</v>
      </c>
      <c r="AC137" s="79">
        <f t="shared" ca="1" si="104"/>
        <v>839016.92011119274</v>
      </c>
      <c r="AD137" s="35"/>
      <c r="AE137" s="62">
        <f t="shared" ca="1" si="105"/>
        <v>-16716.004616439077</v>
      </c>
      <c r="AF137" s="62">
        <f t="shared" ca="1" si="106"/>
        <v>1238729.1922323341</v>
      </c>
      <c r="AG137" s="35"/>
      <c r="AH137" s="35"/>
      <c r="AR137" s="69">
        <f t="shared" si="124"/>
        <v>12</v>
      </c>
      <c r="AS137" s="70">
        <f t="shared" si="128"/>
        <v>134</v>
      </c>
      <c r="AT137" s="71">
        <f t="shared" si="129"/>
        <v>0.3996316393025372</v>
      </c>
      <c r="AU137" s="72">
        <f t="shared" si="107"/>
        <v>6.8214933659622723E-3</v>
      </c>
      <c r="AV137" s="73">
        <f t="shared" si="125"/>
        <v>1.0068214933659623</v>
      </c>
      <c r="AW137" s="74">
        <f>PRODUCT(AV$4:AV137)</f>
        <v>2.4867497124447033</v>
      </c>
      <c r="AY137" s="75">
        <f t="shared" si="130"/>
        <v>134</v>
      </c>
      <c r="AZ137" s="76">
        <f t="shared" ca="1" si="132"/>
        <v>1.0068214933659623</v>
      </c>
      <c r="BA137" s="76">
        <f t="shared" ca="1" si="132"/>
        <v>1.0068214933659623</v>
      </c>
      <c r="BB137" s="76">
        <f t="shared" ca="1" si="132"/>
        <v>1.0068214933659623</v>
      </c>
      <c r="BC137" s="76">
        <f t="shared" ca="1" si="132"/>
        <v>1.0068214933659623</v>
      </c>
      <c r="BD137" s="76">
        <f t="shared" ca="1" si="132"/>
        <v>1.0068214933659623</v>
      </c>
      <c r="BE137" s="76">
        <f t="shared" ca="1" si="132"/>
        <v>1.0068214933659623</v>
      </c>
      <c r="BF137" s="76">
        <f t="shared" ca="1" si="132"/>
        <v>1.0068214933659623</v>
      </c>
      <c r="BG137" s="76">
        <f t="shared" ca="1" si="132"/>
        <v>1.0068214933659623</v>
      </c>
      <c r="BH137" s="76">
        <f t="shared" ca="1" si="132"/>
        <v>1.0068214933659623</v>
      </c>
      <c r="BI137" s="76">
        <f t="shared" ca="1" si="132"/>
        <v>1.0068214933659623</v>
      </c>
      <c r="BJ137" s="76">
        <f t="shared" ca="1" si="132"/>
        <v>1.0068214933659623</v>
      </c>
      <c r="BK137" s="76">
        <f t="shared" ca="1" si="132"/>
        <v>1.0068214933659623</v>
      </c>
      <c r="BL137" s="76">
        <f t="shared" ca="1" si="108"/>
        <v>8.5000000000000853E-2</v>
      </c>
      <c r="BM137" s="77">
        <f t="shared" ca="1" si="126"/>
        <v>55922.286060637067</v>
      </c>
    </row>
    <row r="138" spans="5:65">
      <c r="E138">
        <f t="shared" si="127"/>
        <v>135</v>
      </c>
      <c r="F138" s="64">
        <f t="shared" si="109"/>
        <v>72.72</v>
      </c>
      <c r="G138" s="55">
        <f t="shared" si="110"/>
        <v>4.6837945252553581E-3</v>
      </c>
      <c r="H138" s="78">
        <f t="shared" si="131"/>
        <v>0.67414826621568125</v>
      </c>
      <c r="I138" s="79">
        <f t="shared" ca="1" si="111"/>
        <v>835087.13725417934</v>
      </c>
      <c r="J138" s="79">
        <f t="shared" ca="1" si="112"/>
        <v>5696.5413667798102</v>
      </c>
      <c r="K138" s="80">
        <f t="shared" ca="1" si="113"/>
        <v>-13.482965324313625</v>
      </c>
      <c r="L138" s="80">
        <f t="shared" ca="1" si="114"/>
        <v>0</v>
      </c>
      <c r="M138" s="80">
        <f t="shared" ca="1" si="115"/>
        <v>0</v>
      </c>
      <c r="N138" s="80">
        <f t="shared" ca="1" si="116"/>
        <v>0</v>
      </c>
      <c r="O138" s="81">
        <f t="shared" ca="1" si="98"/>
        <v>-11269.065530225729</v>
      </c>
      <c r="P138" s="79">
        <f t="shared" ca="1" si="99"/>
        <v>829501.13012540911</v>
      </c>
      <c r="Q138" s="35"/>
      <c r="R138">
        <f t="shared" ca="1" si="117"/>
        <v>135</v>
      </c>
      <c r="S138" s="78">
        <f t="shared" ca="1" si="118"/>
        <v>72.72</v>
      </c>
      <c r="T138" s="55">
        <f t="shared" ca="1" si="119"/>
        <v>4.6837945252553581E-3</v>
      </c>
      <c r="U138" s="78">
        <f t="shared" ca="1" si="120"/>
        <v>0.67414826621568125</v>
      </c>
      <c r="V138" s="79">
        <f t="shared" ca="1" si="121"/>
        <v>835087.13725417934</v>
      </c>
      <c r="W138" s="79">
        <f t="shared" ca="1" si="100"/>
        <v>5696.5413667798102</v>
      </c>
      <c r="X138" s="80">
        <f t="shared" ca="1" si="101"/>
        <v>-13.482965324313625</v>
      </c>
      <c r="Y138" s="80">
        <f t="shared" ca="1" si="122"/>
        <v>0</v>
      </c>
      <c r="Z138" s="80">
        <f t="shared" ca="1" si="102"/>
        <v>0</v>
      </c>
      <c r="AA138" s="80">
        <f t="shared" ca="1" si="123"/>
        <v>0</v>
      </c>
      <c r="AB138" s="81">
        <f t="shared" ca="1" si="103"/>
        <v>-11269.065530225729</v>
      </c>
      <c r="AC138" s="79">
        <f t="shared" ca="1" si="104"/>
        <v>829501.13012540911</v>
      </c>
      <c r="AD138" s="35"/>
      <c r="AE138" s="62">
        <f t="shared" ca="1" si="105"/>
        <v>-16716.004616439081</v>
      </c>
      <c r="AF138" s="62">
        <f t="shared" ca="1" si="106"/>
        <v>1230443.1705829317</v>
      </c>
      <c r="AG138" s="35"/>
      <c r="AH138" s="35"/>
      <c r="AR138" s="69">
        <f t="shared" si="124"/>
        <v>12</v>
      </c>
      <c r="AS138" s="70">
        <f t="shared" si="128"/>
        <v>135</v>
      </c>
      <c r="AT138" s="71">
        <f t="shared" si="129"/>
        <v>0.39690555472620631</v>
      </c>
      <c r="AU138" s="72">
        <f t="shared" si="107"/>
        <v>6.8214933659622723E-3</v>
      </c>
      <c r="AV138" s="73">
        <f t="shared" si="125"/>
        <v>1.0068214933659623</v>
      </c>
      <c r="AW138" s="74">
        <f>PRODUCT(AV$4:AV138)</f>
        <v>2.5037130591109533</v>
      </c>
      <c r="AY138" s="75">
        <f t="shared" si="130"/>
        <v>135</v>
      </c>
      <c r="AZ138" s="76">
        <f t="shared" ca="1" si="132"/>
        <v>1.0068214933659623</v>
      </c>
      <c r="BA138" s="76">
        <f t="shared" ca="1" si="132"/>
        <v>1.0068214933659623</v>
      </c>
      <c r="BB138" s="76">
        <f t="shared" ca="1" si="132"/>
        <v>1.0068214933659623</v>
      </c>
      <c r="BC138" s="76">
        <f t="shared" ca="1" si="132"/>
        <v>1.0068214933659623</v>
      </c>
      <c r="BD138" s="76">
        <f t="shared" ca="1" si="132"/>
        <v>1.0068214933659623</v>
      </c>
      <c r="BE138" s="76">
        <f t="shared" ca="1" si="132"/>
        <v>1.0068214933659623</v>
      </c>
      <c r="BF138" s="76">
        <f t="shared" ca="1" si="132"/>
        <v>1.0068214933659623</v>
      </c>
      <c r="BG138" s="76">
        <f t="shared" ca="1" si="132"/>
        <v>1.0068214933659623</v>
      </c>
      <c r="BH138" s="76">
        <f t="shared" ca="1" si="132"/>
        <v>1.0068214933659623</v>
      </c>
      <c r="BI138" s="76">
        <f t="shared" ca="1" si="132"/>
        <v>1.0068214933659623</v>
      </c>
      <c r="BJ138" s="76">
        <f t="shared" ca="1" si="132"/>
        <v>1.0068214933659623</v>
      </c>
      <c r="BK138" s="76">
        <f t="shared" ca="1" si="132"/>
        <v>1.0068214933659623</v>
      </c>
      <c r="BL138" s="76">
        <f t="shared" ca="1" si="108"/>
        <v>8.5000000000000853E-2</v>
      </c>
      <c r="BM138" s="77">
        <f t="shared" ca="1" si="126"/>
        <v>60675.680375791264</v>
      </c>
    </row>
    <row r="139" spans="5:65">
      <c r="E139">
        <f t="shared" si="127"/>
        <v>136</v>
      </c>
      <c r="F139" s="64">
        <f t="shared" si="109"/>
        <v>72.8</v>
      </c>
      <c r="G139" s="55">
        <f t="shared" si="110"/>
        <v>4.6837945252553581E-3</v>
      </c>
      <c r="H139" s="78">
        <f t="shared" si="131"/>
        <v>0.67099069425716984</v>
      </c>
      <c r="I139" s="79">
        <f t="shared" ca="1" si="111"/>
        <v>825615.91727343458</v>
      </c>
      <c r="J139" s="79">
        <f t="shared" ca="1" si="112"/>
        <v>5631.9335025135906</v>
      </c>
      <c r="K139" s="80">
        <f t="shared" ca="1" si="113"/>
        <v>-13.419813885143396</v>
      </c>
      <c r="L139" s="80">
        <f t="shared" ca="1" si="114"/>
        <v>0</v>
      </c>
      <c r="M139" s="80">
        <f t="shared" ca="1" si="115"/>
        <v>0</v>
      </c>
      <c r="N139" s="80">
        <f t="shared" ca="1" si="116"/>
        <v>0</v>
      </c>
      <c r="O139" s="81">
        <f t="shared" ca="1" si="98"/>
        <v>-11216.283542790514</v>
      </c>
      <c r="P139" s="79">
        <f t="shared" ca="1" si="99"/>
        <v>820018.14741927246</v>
      </c>
      <c r="Q139" s="35"/>
      <c r="R139">
        <f t="shared" ca="1" si="117"/>
        <v>136</v>
      </c>
      <c r="S139" s="78">
        <f t="shared" ca="1" si="118"/>
        <v>72.8</v>
      </c>
      <c r="T139" s="55">
        <f t="shared" ca="1" si="119"/>
        <v>4.6837945252553581E-3</v>
      </c>
      <c r="U139" s="78">
        <f t="shared" ca="1" si="120"/>
        <v>0.67099069425716984</v>
      </c>
      <c r="V139" s="79">
        <f t="shared" ca="1" si="121"/>
        <v>825615.91727343458</v>
      </c>
      <c r="W139" s="79">
        <f t="shared" ca="1" si="100"/>
        <v>5631.9335025135906</v>
      </c>
      <c r="X139" s="80">
        <f t="shared" ca="1" si="101"/>
        <v>-13.419813885143396</v>
      </c>
      <c r="Y139" s="80">
        <f t="shared" ca="1" si="122"/>
        <v>0</v>
      </c>
      <c r="Z139" s="80">
        <f t="shared" ca="1" si="102"/>
        <v>0</v>
      </c>
      <c r="AA139" s="80">
        <f t="shared" ca="1" si="123"/>
        <v>0</v>
      </c>
      <c r="AB139" s="81">
        <f t="shared" ca="1" si="103"/>
        <v>-11216.283542790514</v>
      </c>
      <c r="AC139" s="79">
        <f t="shared" ca="1" si="104"/>
        <v>820018.14741927246</v>
      </c>
      <c r="AD139" s="35"/>
      <c r="AE139" s="62">
        <f t="shared" ca="1" si="105"/>
        <v>-16716.004616439081</v>
      </c>
      <c r="AF139" s="62">
        <f t="shared" ca="1" si="106"/>
        <v>1222100.6258918175</v>
      </c>
      <c r="AG139" s="35"/>
      <c r="AH139" s="35"/>
      <c r="AR139" s="69">
        <f t="shared" si="124"/>
        <v>12</v>
      </c>
      <c r="AS139" s="70">
        <f t="shared" si="128"/>
        <v>136</v>
      </c>
      <c r="AT139" s="71">
        <f t="shared" si="129"/>
        <v>0.3941980661177279</v>
      </c>
      <c r="AU139" s="72">
        <f t="shared" si="107"/>
        <v>6.8214933659622723E-3</v>
      </c>
      <c r="AV139" s="73">
        <f t="shared" si="125"/>
        <v>1.0068214933659623</v>
      </c>
      <c r="AW139" s="74">
        <f>PRODUCT(AV$4:AV139)</f>
        <v>2.5207921211339519</v>
      </c>
      <c r="AY139" s="75">
        <f t="shared" si="130"/>
        <v>136</v>
      </c>
      <c r="AZ139" s="76">
        <f t="shared" ca="1" si="132"/>
        <v>1.0068214933659623</v>
      </c>
      <c r="BA139" s="76">
        <f t="shared" ca="1" si="132"/>
        <v>1.0068214933659623</v>
      </c>
      <c r="BB139" s="76">
        <f t="shared" ca="1" si="132"/>
        <v>1.0068214933659623</v>
      </c>
      <c r="BC139" s="76">
        <f t="shared" ca="1" si="132"/>
        <v>1.0068214933659623</v>
      </c>
      <c r="BD139" s="76">
        <f t="shared" ca="1" si="132"/>
        <v>1.0068214933659623</v>
      </c>
      <c r="BE139" s="76">
        <f t="shared" ca="1" si="132"/>
        <v>1.0068214933659623</v>
      </c>
      <c r="BF139" s="76">
        <f t="shared" ca="1" si="132"/>
        <v>1.0068214933659623</v>
      </c>
      <c r="BG139" s="76">
        <f t="shared" ca="1" si="132"/>
        <v>1.0068214933659623</v>
      </c>
      <c r="BH139" s="76">
        <f t="shared" ca="1" si="132"/>
        <v>1.0068214933659623</v>
      </c>
      <c r="BI139" s="76">
        <f t="shared" ca="1" si="132"/>
        <v>1.0068214933659623</v>
      </c>
      <c r="BJ139" s="76">
        <f t="shared" ca="1" si="132"/>
        <v>1.0068214933659623</v>
      </c>
      <c r="BK139" s="76">
        <f t="shared" ca="1" si="132"/>
        <v>1.0068214933659623</v>
      </c>
      <c r="BL139" s="76">
        <f t="shared" ca="1" si="108"/>
        <v>8.5000000000000853E-2</v>
      </c>
      <c r="BM139" s="77">
        <f t="shared" ca="1" si="126"/>
        <v>65833.113207733579</v>
      </c>
    </row>
    <row r="140" spans="5:65">
      <c r="E140">
        <f t="shared" si="127"/>
        <v>137</v>
      </c>
      <c r="F140" s="64">
        <f t="shared" si="109"/>
        <v>72.88</v>
      </c>
      <c r="G140" s="55">
        <f t="shared" si="110"/>
        <v>4.6837945252553581E-3</v>
      </c>
      <c r="H140" s="78">
        <f t="shared" si="131"/>
        <v>0.66784791171691082</v>
      </c>
      <c r="I140" s="79">
        <f t="shared" ca="1" si="111"/>
        <v>816177.35090978001</v>
      </c>
      <c r="J140" s="79">
        <f t="shared" ca="1" si="112"/>
        <v>5567.548384679726</v>
      </c>
      <c r="K140" s="80">
        <f t="shared" ca="1" si="113"/>
        <v>-13.356958234338217</v>
      </c>
      <c r="L140" s="80">
        <f t="shared" ca="1" si="114"/>
        <v>0</v>
      </c>
      <c r="M140" s="80">
        <f t="shared" ca="1" si="115"/>
        <v>0</v>
      </c>
      <c r="N140" s="80">
        <f t="shared" ca="1" si="116"/>
        <v>0</v>
      </c>
      <c r="O140" s="81">
        <f t="shared" ca="1" si="98"/>
        <v>-11163.74877533908</v>
      </c>
      <c r="P140" s="79">
        <f t="shared" ca="1" si="99"/>
        <v>810567.79356088629</v>
      </c>
      <c r="Q140" s="35"/>
      <c r="R140">
        <f t="shared" ca="1" si="117"/>
        <v>137</v>
      </c>
      <c r="S140" s="78">
        <f t="shared" ca="1" si="118"/>
        <v>72.88</v>
      </c>
      <c r="T140" s="55">
        <f t="shared" ca="1" si="119"/>
        <v>4.6837945252553581E-3</v>
      </c>
      <c r="U140" s="78">
        <f t="shared" ca="1" si="120"/>
        <v>0.66784791171691082</v>
      </c>
      <c r="V140" s="79">
        <f t="shared" ca="1" si="121"/>
        <v>816177.35090978001</v>
      </c>
      <c r="W140" s="79">
        <f t="shared" ca="1" si="100"/>
        <v>5567.548384679726</v>
      </c>
      <c r="X140" s="80">
        <f t="shared" ca="1" si="101"/>
        <v>-13.356958234338217</v>
      </c>
      <c r="Y140" s="80">
        <f t="shared" ca="1" si="122"/>
        <v>0</v>
      </c>
      <c r="Z140" s="80">
        <f t="shared" ca="1" si="102"/>
        <v>0</v>
      </c>
      <c r="AA140" s="80">
        <f t="shared" ca="1" si="123"/>
        <v>0</v>
      </c>
      <c r="AB140" s="81">
        <f t="shared" ca="1" si="103"/>
        <v>-11163.74877533908</v>
      </c>
      <c r="AC140" s="79">
        <f t="shared" ca="1" si="104"/>
        <v>810567.79356088629</v>
      </c>
      <c r="AD140" s="35"/>
      <c r="AE140" s="62">
        <f t="shared" ca="1" si="105"/>
        <v>-16716.004616439081</v>
      </c>
      <c r="AF140" s="62">
        <f t="shared" ca="1" si="106"/>
        <v>1213701.1725874378</v>
      </c>
      <c r="AG140" s="35"/>
      <c r="AH140" s="35"/>
      <c r="AR140" s="69">
        <f t="shared" si="124"/>
        <v>12</v>
      </c>
      <c r="AS140" s="70">
        <f t="shared" si="128"/>
        <v>137</v>
      </c>
      <c r="AT140" s="71">
        <f t="shared" si="129"/>
        <v>0.39150904662483066</v>
      </c>
      <c r="AU140" s="72">
        <f t="shared" si="107"/>
        <v>6.8214933659622723E-3</v>
      </c>
      <c r="AV140" s="73">
        <f t="shared" si="125"/>
        <v>1.0068214933659623</v>
      </c>
      <c r="AW140" s="74">
        <f>PRODUCT(AV$4:AV140)</f>
        <v>2.537987687865237</v>
      </c>
      <c r="AY140" s="75">
        <f t="shared" si="130"/>
        <v>137</v>
      </c>
      <c r="AZ140" s="76">
        <f t="shared" ca="1" si="132"/>
        <v>1.0068214933659623</v>
      </c>
      <c r="BA140" s="76">
        <f t="shared" ca="1" si="132"/>
        <v>1.0068214933659623</v>
      </c>
      <c r="BB140" s="76">
        <f t="shared" ca="1" si="132"/>
        <v>1.0068214933659623</v>
      </c>
      <c r="BC140" s="76">
        <f t="shared" ca="1" si="132"/>
        <v>1.0068214933659623</v>
      </c>
      <c r="BD140" s="76">
        <f t="shared" ca="1" si="132"/>
        <v>1.0068214933659623</v>
      </c>
      <c r="BE140" s="76">
        <f t="shared" ca="1" si="132"/>
        <v>1.0068214933659623</v>
      </c>
      <c r="BF140" s="76">
        <f t="shared" ca="1" si="132"/>
        <v>1.0068214933659623</v>
      </c>
      <c r="BG140" s="76">
        <f t="shared" ca="1" si="132"/>
        <v>1.0068214933659623</v>
      </c>
      <c r="BH140" s="76">
        <f t="shared" ca="1" si="132"/>
        <v>1.0068214933659623</v>
      </c>
      <c r="BI140" s="76">
        <f t="shared" ca="1" si="132"/>
        <v>1.0068214933659623</v>
      </c>
      <c r="BJ140" s="76">
        <f t="shared" ca="1" si="132"/>
        <v>1.0068214933659623</v>
      </c>
      <c r="BK140" s="76">
        <f t="shared" ca="1" si="132"/>
        <v>1.0068214933659623</v>
      </c>
      <c r="BL140" s="76">
        <f t="shared" ca="1" si="108"/>
        <v>8.5000000000000853E-2</v>
      </c>
      <c r="BM140" s="77">
        <f t="shared" ca="1" si="126"/>
        <v>71428.927830390996</v>
      </c>
    </row>
    <row r="141" spans="5:65">
      <c r="E141">
        <f t="shared" si="127"/>
        <v>138</v>
      </c>
      <c r="F141" s="64">
        <f t="shared" si="109"/>
        <v>72.959999999999994</v>
      </c>
      <c r="G141" s="55">
        <f t="shared" si="110"/>
        <v>4.6837945252553581E-3</v>
      </c>
      <c r="H141" s="78">
        <f t="shared" si="131"/>
        <v>0.66471984932430794</v>
      </c>
      <c r="I141" s="79">
        <f t="shared" ca="1" si="111"/>
        <v>806771.26056705753</v>
      </c>
      <c r="J141" s="79">
        <f t="shared" ca="1" si="112"/>
        <v>5503.3848018072031</v>
      </c>
      <c r="K141" s="80">
        <f t="shared" ca="1" si="113"/>
        <v>-13.294396986486159</v>
      </c>
      <c r="L141" s="80">
        <f t="shared" ca="1" si="114"/>
        <v>0</v>
      </c>
      <c r="M141" s="80">
        <f t="shared" ca="1" si="115"/>
        <v>0</v>
      </c>
      <c r="N141" s="80">
        <f t="shared" ca="1" si="116"/>
        <v>0</v>
      </c>
      <c r="O141" s="81">
        <f t="shared" ca="1" si="98"/>
        <v>-11111.460069943822</v>
      </c>
      <c r="P141" s="79">
        <f t="shared" ca="1" si="99"/>
        <v>801149.89090193447</v>
      </c>
      <c r="Q141" s="35"/>
      <c r="R141">
        <f t="shared" ca="1" si="117"/>
        <v>138</v>
      </c>
      <c r="S141" s="78">
        <f t="shared" ca="1" si="118"/>
        <v>72.959999999999994</v>
      </c>
      <c r="T141" s="55">
        <f t="shared" ca="1" si="119"/>
        <v>4.6837945252553581E-3</v>
      </c>
      <c r="U141" s="78">
        <f t="shared" ca="1" si="120"/>
        <v>0.66471984932430794</v>
      </c>
      <c r="V141" s="79">
        <f t="shared" ca="1" si="121"/>
        <v>806771.26056705753</v>
      </c>
      <c r="W141" s="79">
        <f t="shared" ca="1" si="100"/>
        <v>5503.3848018072031</v>
      </c>
      <c r="X141" s="80">
        <f t="shared" ca="1" si="101"/>
        <v>-13.294396986486159</v>
      </c>
      <c r="Y141" s="80">
        <f t="shared" ca="1" si="122"/>
        <v>0</v>
      </c>
      <c r="Z141" s="80">
        <f t="shared" ca="1" si="102"/>
        <v>0</v>
      </c>
      <c r="AA141" s="80">
        <f t="shared" ca="1" si="123"/>
        <v>0</v>
      </c>
      <c r="AB141" s="81">
        <f t="shared" ca="1" si="103"/>
        <v>-11111.460069943822</v>
      </c>
      <c r="AC141" s="79">
        <f t="shared" ca="1" si="104"/>
        <v>801149.89090193447</v>
      </c>
      <c r="AD141" s="35"/>
      <c r="AE141" s="62">
        <f t="shared" ca="1" si="105"/>
        <v>-16716.004616439081</v>
      </c>
      <c r="AF141" s="62">
        <f t="shared" ca="1" si="106"/>
        <v>1205244.4224680646</v>
      </c>
      <c r="AG141" s="35"/>
      <c r="AH141" s="35"/>
      <c r="AR141" s="69">
        <f t="shared" si="124"/>
        <v>12</v>
      </c>
      <c r="AS141" s="70">
        <f t="shared" si="128"/>
        <v>138</v>
      </c>
      <c r="AT141" s="71">
        <f t="shared" si="129"/>
        <v>0.38883837026056517</v>
      </c>
      <c r="AU141" s="72">
        <f t="shared" si="107"/>
        <v>6.8214933659622723E-3</v>
      </c>
      <c r="AV141" s="73">
        <f t="shared" si="125"/>
        <v>1.0068214933659623</v>
      </c>
      <c r="AW141" s="74">
        <f>PRODUCT(AV$4:AV141)</f>
        <v>2.5553005540409037</v>
      </c>
      <c r="AY141" s="75">
        <f t="shared" si="130"/>
        <v>138</v>
      </c>
      <c r="AZ141" s="76">
        <f t="shared" ca="1" si="132"/>
        <v>1.0068214933659623</v>
      </c>
      <c r="BA141" s="76">
        <f t="shared" ca="1" si="132"/>
        <v>1.0068214933659623</v>
      </c>
      <c r="BB141" s="76">
        <f t="shared" ca="1" si="132"/>
        <v>1.0068214933659623</v>
      </c>
      <c r="BC141" s="76">
        <f t="shared" ca="1" si="132"/>
        <v>1.0068214933659623</v>
      </c>
      <c r="BD141" s="76">
        <f t="shared" ca="1" si="132"/>
        <v>1.0068214933659623</v>
      </c>
      <c r="BE141" s="76">
        <f t="shared" ca="1" si="132"/>
        <v>1.0068214933659623</v>
      </c>
      <c r="BF141" s="76">
        <f t="shared" ca="1" si="132"/>
        <v>1.0068214933659623</v>
      </c>
      <c r="BG141" s="76">
        <f t="shared" ca="1" si="132"/>
        <v>1.0068214933659623</v>
      </c>
      <c r="BH141" s="76">
        <f t="shared" ca="1" si="132"/>
        <v>1.0068214933659623</v>
      </c>
      <c r="BI141" s="76">
        <f t="shared" ca="1" si="132"/>
        <v>1.0068214933659623</v>
      </c>
      <c r="BJ141" s="76">
        <f t="shared" ca="1" si="132"/>
        <v>1.0068214933659623</v>
      </c>
      <c r="BK141" s="76">
        <f t="shared" ca="1" si="132"/>
        <v>1.0068214933659623</v>
      </c>
      <c r="BL141" s="76">
        <f t="shared" ca="1" si="108"/>
        <v>8.5000000000000853E-2</v>
      </c>
      <c r="BM141" s="77">
        <f t="shared" ca="1" si="126"/>
        <v>77500.386695974288</v>
      </c>
    </row>
    <row r="142" spans="5:65">
      <c r="E142">
        <f t="shared" si="127"/>
        <v>139</v>
      </c>
      <c r="F142" s="64">
        <f t="shared" si="109"/>
        <v>73.040000000000006</v>
      </c>
      <c r="G142" s="55">
        <f t="shared" si="110"/>
        <v>4.6837945252553581E-3</v>
      </c>
      <c r="H142" s="78">
        <f t="shared" si="131"/>
        <v>0.66160643813321418</v>
      </c>
      <c r="I142" s="79">
        <f t="shared" ca="1" si="111"/>
        <v>797397.46942901902</v>
      </c>
      <c r="J142" s="79">
        <f t="shared" ca="1" si="112"/>
        <v>5439.4415477451575</v>
      </c>
      <c r="K142" s="80">
        <f t="shared" ca="1" si="113"/>
        <v>-13.232128762664283</v>
      </c>
      <c r="L142" s="80">
        <f t="shared" ca="1" si="114"/>
        <v>0</v>
      </c>
      <c r="M142" s="80">
        <f t="shared" ca="1" si="115"/>
        <v>0</v>
      </c>
      <c r="N142" s="80">
        <f t="shared" ca="1" si="116"/>
        <v>0</v>
      </c>
      <c r="O142" s="81">
        <f t="shared" ca="1" si="98"/>
        <v>-11059.416274100624</v>
      </c>
      <c r="P142" s="79">
        <f t="shared" ca="1" si="99"/>
        <v>791764.26257390087</v>
      </c>
      <c r="Q142" s="35"/>
      <c r="R142">
        <f t="shared" ca="1" si="117"/>
        <v>139</v>
      </c>
      <c r="S142" s="78">
        <f t="shared" ca="1" si="118"/>
        <v>73.040000000000006</v>
      </c>
      <c r="T142" s="55">
        <f t="shared" ca="1" si="119"/>
        <v>4.6837945252553581E-3</v>
      </c>
      <c r="U142" s="78">
        <f t="shared" ca="1" si="120"/>
        <v>0.66160643813321418</v>
      </c>
      <c r="V142" s="79">
        <f t="shared" ca="1" si="121"/>
        <v>797397.46942901902</v>
      </c>
      <c r="W142" s="79">
        <f t="shared" ca="1" si="100"/>
        <v>5439.4415477451575</v>
      </c>
      <c r="X142" s="80">
        <f t="shared" ca="1" si="101"/>
        <v>-13.232128762664283</v>
      </c>
      <c r="Y142" s="80">
        <f t="shared" ca="1" si="122"/>
        <v>0</v>
      </c>
      <c r="Z142" s="80">
        <f t="shared" ca="1" si="102"/>
        <v>0</v>
      </c>
      <c r="AA142" s="80">
        <f t="shared" ca="1" si="123"/>
        <v>0</v>
      </c>
      <c r="AB142" s="81">
        <f t="shared" ca="1" si="103"/>
        <v>-11059.416274100624</v>
      </c>
      <c r="AC142" s="79">
        <f t="shared" ca="1" si="104"/>
        <v>791764.26257390087</v>
      </c>
      <c r="AD142" s="35"/>
      <c r="AE142" s="62">
        <f t="shared" ca="1" si="105"/>
        <v>-16716.004616439077</v>
      </c>
      <c r="AF142" s="62">
        <f t="shared" ca="1" si="106"/>
        <v>1196729.9846838545</v>
      </c>
      <c r="AG142" s="35"/>
      <c r="AH142" s="35"/>
      <c r="AR142" s="69">
        <f t="shared" si="124"/>
        <v>12</v>
      </c>
      <c r="AS142" s="70">
        <f t="shared" si="128"/>
        <v>139</v>
      </c>
      <c r="AT142" s="71">
        <f t="shared" si="129"/>
        <v>0.38618591189740115</v>
      </c>
      <c r="AU142" s="72">
        <f t="shared" si="107"/>
        <v>6.8214933659622723E-3</v>
      </c>
      <c r="AV142" s="73">
        <f t="shared" si="125"/>
        <v>1.0068214933659623</v>
      </c>
      <c r="AW142" s="74">
        <f>PRODUCT(AV$4:AV142)</f>
        <v>2.5727315198183334</v>
      </c>
      <c r="AY142" s="75">
        <f t="shared" si="130"/>
        <v>139</v>
      </c>
      <c r="AZ142" s="76">
        <f t="shared" ca="1" si="132"/>
        <v>1.0068214933659623</v>
      </c>
      <c r="BA142" s="76">
        <f t="shared" ca="1" si="132"/>
        <v>1.0068214933659623</v>
      </c>
      <c r="BB142" s="76">
        <f t="shared" ca="1" si="132"/>
        <v>1.0068214933659623</v>
      </c>
      <c r="BC142" s="76">
        <f t="shared" ca="1" si="132"/>
        <v>1.0068214933659623</v>
      </c>
      <c r="BD142" s="76">
        <f t="shared" ca="1" si="132"/>
        <v>1.0068214933659623</v>
      </c>
      <c r="BE142" s="76">
        <f t="shared" ca="1" si="132"/>
        <v>1.0068214933659623</v>
      </c>
      <c r="BF142" s="76">
        <f t="shared" ca="1" si="132"/>
        <v>1.0068214933659623</v>
      </c>
      <c r="BG142" s="76">
        <f t="shared" ca="1" si="132"/>
        <v>1.0068214933659623</v>
      </c>
      <c r="BH142" s="76">
        <f t="shared" ca="1" si="132"/>
        <v>1.0068214933659623</v>
      </c>
      <c r="BI142" s="76">
        <f t="shared" ca="1" si="132"/>
        <v>1.0068214933659623</v>
      </c>
      <c r="BJ142" s="76">
        <f t="shared" ca="1" si="132"/>
        <v>1.0068214933659623</v>
      </c>
      <c r="BK142" s="76">
        <f t="shared" ca="1" si="132"/>
        <v>1.0068214933659623</v>
      </c>
      <c r="BL142" s="76">
        <f t="shared" ca="1" si="108"/>
        <v>8.5000000000000853E-2</v>
      </c>
      <c r="BM142" s="77">
        <f t="shared" ca="1" si="126"/>
        <v>84087.919565132164</v>
      </c>
    </row>
    <row r="143" spans="5:65">
      <c r="E143">
        <f t="shared" si="127"/>
        <v>140</v>
      </c>
      <c r="F143" s="64">
        <f t="shared" si="109"/>
        <v>73.12</v>
      </c>
      <c r="G143" s="55">
        <f t="shared" si="110"/>
        <v>4.6837945252553581E-3</v>
      </c>
      <c r="H143" s="78">
        <f t="shared" si="131"/>
        <v>0.6585076095204121</v>
      </c>
      <c r="I143" s="79">
        <f t="shared" ca="1" si="111"/>
        <v>788055.80145556433</v>
      </c>
      <c r="J143" s="79">
        <f t="shared" ca="1" si="112"/>
        <v>5375.7174216372141</v>
      </c>
      <c r="K143" s="80">
        <f t="shared" ca="1" si="113"/>
        <v>-13.170152190408242</v>
      </c>
      <c r="L143" s="80">
        <f t="shared" ca="1" si="114"/>
        <v>0</v>
      </c>
      <c r="M143" s="80">
        <f t="shared" ca="1" si="115"/>
        <v>0</v>
      </c>
      <c r="N143" s="80">
        <f t="shared" ca="1" si="116"/>
        <v>0</v>
      </c>
      <c r="O143" s="81">
        <f t="shared" ca="1" si="98"/>
        <v>-11007.61624070347</v>
      </c>
      <c r="P143" s="79">
        <f t="shared" ca="1" si="99"/>
        <v>782410.73248430772</v>
      </c>
      <c r="Q143" s="35"/>
      <c r="R143">
        <f t="shared" ca="1" si="117"/>
        <v>140</v>
      </c>
      <c r="S143" s="78">
        <f t="shared" ca="1" si="118"/>
        <v>73.12</v>
      </c>
      <c r="T143" s="55">
        <f t="shared" ca="1" si="119"/>
        <v>4.6837945252553581E-3</v>
      </c>
      <c r="U143" s="78">
        <f t="shared" ca="1" si="120"/>
        <v>0.6585076095204121</v>
      </c>
      <c r="V143" s="79">
        <f t="shared" ca="1" si="121"/>
        <v>788055.80145556433</v>
      </c>
      <c r="W143" s="79">
        <f t="shared" ca="1" si="100"/>
        <v>5375.7174216372141</v>
      </c>
      <c r="X143" s="80">
        <f t="shared" ca="1" si="101"/>
        <v>-13.170152190408242</v>
      </c>
      <c r="Y143" s="80">
        <f t="shared" ca="1" si="122"/>
        <v>0</v>
      </c>
      <c r="Z143" s="80">
        <f t="shared" ca="1" si="102"/>
        <v>0</v>
      </c>
      <c r="AA143" s="80">
        <f t="shared" ca="1" si="123"/>
        <v>0</v>
      </c>
      <c r="AB143" s="81">
        <f t="shared" ca="1" si="103"/>
        <v>-11007.61624070347</v>
      </c>
      <c r="AC143" s="79">
        <f t="shared" ca="1" si="104"/>
        <v>782410.73248430772</v>
      </c>
      <c r="AD143" s="35"/>
      <c r="AE143" s="62">
        <f t="shared" ca="1" si="105"/>
        <v>-16716.004616439077</v>
      </c>
      <c r="AF143" s="62">
        <f t="shared" ca="1" si="106"/>
        <v>1188157.4657187844</v>
      </c>
      <c r="AG143" s="35"/>
      <c r="AH143" s="35"/>
      <c r="AR143" s="69">
        <f t="shared" si="124"/>
        <v>12</v>
      </c>
      <c r="AS143" s="70">
        <f t="shared" si="128"/>
        <v>140</v>
      </c>
      <c r="AT143" s="71">
        <f t="shared" si="129"/>
        <v>0.38355154726136492</v>
      </c>
      <c r="AU143" s="72">
        <f t="shared" si="107"/>
        <v>6.8214933659622723E-3</v>
      </c>
      <c r="AV143" s="73">
        <f t="shared" si="125"/>
        <v>1.0068214933659623</v>
      </c>
      <c r="AW143" s="74">
        <f>PRODUCT(AV$4:AV143)</f>
        <v>2.5902813908131761</v>
      </c>
      <c r="AY143" s="75">
        <f t="shared" si="130"/>
        <v>140</v>
      </c>
      <c r="AZ143" s="76">
        <f t="shared" ca="1" si="132"/>
        <v>1.0068214933659623</v>
      </c>
      <c r="BA143" s="76">
        <f t="shared" ca="1" si="132"/>
        <v>1.0068214933659623</v>
      </c>
      <c r="BB143" s="76">
        <f t="shared" ca="1" si="132"/>
        <v>1.0068214933659623</v>
      </c>
      <c r="BC143" s="76">
        <f t="shared" ca="1" si="132"/>
        <v>1.0068214933659623</v>
      </c>
      <c r="BD143" s="76">
        <f t="shared" ca="1" si="132"/>
        <v>1.0068214933659623</v>
      </c>
      <c r="BE143" s="76">
        <f t="shared" ca="1" si="132"/>
        <v>1.0068214933659623</v>
      </c>
      <c r="BF143" s="76">
        <f t="shared" ca="1" si="132"/>
        <v>1.0068214933659623</v>
      </c>
      <c r="BG143" s="76">
        <f t="shared" ca="1" si="132"/>
        <v>1.0068214933659623</v>
      </c>
      <c r="BH143" s="76">
        <f t="shared" ca="1" si="132"/>
        <v>1.0068214933659623</v>
      </c>
      <c r="BI143" s="76">
        <f t="shared" ca="1" si="132"/>
        <v>1.0068214933659623</v>
      </c>
      <c r="BJ143" s="76">
        <f t="shared" ca="1" si="132"/>
        <v>1.0068214933659623</v>
      </c>
      <c r="BK143" s="76">
        <f t="shared" ca="1" si="132"/>
        <v>1.0068214933659623</v>
      </c>
      <c r="BL143" s="76">
        <f t="shared" ca="1" si="108"/>
        <v>8.5000000000000853E-2</v>
      </c>
      <c r="BM143" s="77">
        <f t="shared" ca="1" si="126"/>
        <v>91235.392728168474</v>
      </c>
    </row>
    <row r="144" spans="5:65">
      <c r="E144">
        <f t="shared" si="127"/>
        <v>141</v>
      </c>
      <c r="F144" s="64">
        <f t="shared" si="109"/>
        <v>73.2</v>
      </c>
      <c r="G144" s="55">
        <f t="shared" si="110"/>
        <v>4.6837945252553581E-3</v>
      </c>
      <c r="H144" s="78">
        <f t="shared" si="131"/>
        <v>0.65542329518410136</v>
      </c>
      <c r="I144" s="79">
        <f t="shared" ca="1" si="111"/>
        <v>778746.08137899672</v>
      </c>
      <c r="J144" s="79">
        <f t="shared" ca="1" si="112"/>
        <v>5312.2112278959421</v>
      </c>
      <c r="K144" s="80">
        <f t="shared" ca="1" si="113"/>
        <v>-13.108465903682028</v>
      </c>
      <c r="L144" s="80">
        <f t="shared" ca="1" si="114"/>
        <v>0</v>
      </c>
      <c r="M144" s="80">
        <f t="shared" ca="1" si="115"/>
        <v>0</v>
      </c>
      <c r="N144" s="80">
        <f t="shared" ca="1" si="116"/>
        <v>0</v>
      </c>
      <c r="O144" s="81">
        <f t="shared" ca="1" si="98"/>
        <v>-10956.058828019151</v>
      </c>
      <c r="P144" s="79">
        <f t="shared" ca="1" si="99"/>
        <v>773089.12531296979</v>
      </c>
      <c r="Q144" s="35"/>
      <c r="R144">
        <f t="shared" ca="1" si="117"/>
        <v>141</v>
      </c>
      <c r="S144" s="78">
        <f t="shared" ca="1" si="118"/>
        <v>73.2</v>
      </c>
      <c r="T144" s="55">
        <f t="shared" ca="1" si="119"/>
        <v>4.6837945252553581E-3</v>
      </c>
      <c r="U144" s="78">
        <f t="shared" ca="1" si="120"/>
        <v>0.65542329518410136</v>
      </c>
      <c r="V144" s="79">
        <f t="shared" ca="1" si="121"/>
        <v>778746.08137899672</v>
      </c>
      <c r="W144" s="79">
        <f t="shared" ca="1" si="100"/>
        <v>5312.2112278959421</v>
      </c>
      <c r="X144" s="80">
        <f t="shared" ca="1" si="101"/>
        <v>-13.108465903682028</v>
      </c>
      <c r="Y144" s="80">
        <f t="shared" ca="1" si="122"/>
        <v>0</v>
      </c>
      <c r="Z144" s="80">
        <f t="shared" ca="1" si="102"/>
        <v>0</v>
      </c>
      <c r="AA144" s="80">
        <f t="shared" ca="1" si="123"/>
        <v>0</v>
      </c>
      <c r="AB144" s="81">
        <f t="shared" ca="1" si="103"/>
        <v>-10956.058828019151</v>
      </c>
      <c r="AC144" s="79">
        <f t="shared" ca="1" si="104"/>
        <v>773089.12531296979</v>
      </c>
      <c r="AD144" s="35"/>
      <c r="AE144" s="62">
        <f t="shared" ca="1" si="105"/>
        <v>-16716.004616439081</v>
      </c>
      <c r="AF144" s="62">
        <f t="shared" ca="1" si="106"/>
        <v>1179526.4693724646</v>
      </c>
      <c r="AG144" s="35"/>
      <c r="AH144" s="35"/>
      <c r="AR144" s="69">
        <f t="shared" si="124"/>
        <v>12</v>
      </c>
      <c r="AS144" s="70">
        <f t="shared" si="128"/>
        <v>141</v>
      </c>
      <c r="AT144" s="71">
        <f t="shared" si="129"/>
        <v>0.38093515292621694</v>
      </c>
      <c r="AU144" s="72">
        <f t="shared" si="107"/>
        <v>6.8214933659622723E-3</v>
      </c>
      <c r="AV144" s="73">
        <f t="shared" si="125"/>
        <v>1.0068214933659623</v>
      </c>
      <c r="AW144" s="74">
        <f>PRODUCT(AV$4:AV144)</f>
        <v>2.6079509781365835</v>
      </c>
      <c r="AY144" s="75">
        <f t="shared" si="130"/>
        <v>141</v>
      </c>
      <c r="AZ144" s="76">
        <f t="shared" ca="1" si="132"/>
        <v>1.0068214933659623</v>
      </c>
      <c r="BA144" s="76">
        <f t="shared" ca="1" si="132"/>
        <v>1.0068214933659623</v>
      </c>
      <c r="BB144" s="76">
        <f t="shared" ca="1" si="132"/>
        <v>1.0068214933659623</v>
      </c>
      <c r="BC144" s="76">
        <f t="shared" ca="1" si="132"/>
        <v>1.0068214933659623</v>
      </c>
      <c r="BD144" s="76">
        <f t="shared" ca="1" si="132"/>
        <v>1.0068214933659623</v>
      </c>
      <c r="BE144" s="76">
        <f t="shared" ca="1" si="132"/>
        <v>1.0068214933659623</v>
      </c>
      <c r="BF144" s="76">
        <f t="shared" ca="1" si="132"/>
        <v>1.0068214933659623</v>
      </c>
      <c r="BG144" s="76">
        <f t="shared" ca="1" si="132"/>
        <v>1.0068214933659623</v>
      </c>
      <c r="BH144" s="76">
        <f t="shared" ca="1" si="132"/>
        <v>1.0068214933659623</v>
      </c>
      <c r="BI144" s="76">
        <f t="shared" ca="1" si="132"/>
        <v>1.0068214933659623</v>
      </c>
      <c r="BJ144" s="76">
        <f t="shared" ca="1" si="132"/>
        <v>1.0068214933659623</v>
      </c>
      <c r="BK144" s="76">
        <f t="shared" ca="1" si="132"/>
        <v>1.0068214933659623</v>
      </c>
      <c r="BL144" s="76">
        <f t="shared" ca="1" si="108"/>
        <v>8.5000000000000853E-2</v>
      </c>
      <c r="BM144" s="77">
        <f t="shared" ca="1" si="126"/>
        <v>98990.40111006287</v>
      </c>
    </row>
    <row r="145" spans="5:65">
      <c r="E145">
        <f t="shared" si="127"/>
        <v>142</v>
      </c>
      <c r="F145" s="64">
        <f t="shared" si="109"/>
        <v>73.28</v>
      </c>
      <c r="G145" s="55">
        <f t="shared" si="110"/>
        <v>4.6837945252553581E-3</v>
      </c>
      <c r="H145" s="78">
        <f t="shared" si="131"/>
        <v>0.65235342714239319</v>
      </c>
      <c r="I145" s="79">
        <f t="shared" ca="1" si="111"/>
        <v>769468.13470029447</v>
      </c>
      <c r="J145" s="79">
        <f t="shared" ca="1" si="112"/>
        <v>5248.9217761774225</v>
      </c>
      <c r="K145" s="80">
        <f t="shared" ca="1" si="113"/>
        <v>-13.047068542847864</v>
      </c>
      <c r="L145" s="80">
        <f t="shared" ca="1" si="114"/>
        <v>0</v>
      </c>
      <c r="M145" s="80">
        <f t="shared" ca="1" si="115"/>
        <v>0</v>
      </c>
      <c r="N145" s="80">
        <f t="shared" ca="1" si="116"/>
        <v>0</v>
      </c>
      <c r="O145" s="81">
        <f t="shared" ca="1" si="98"/>
        <v>-10904.742899662098</v>
      </c>
      <c r="P145" s="79">
        <f t="shared" ca="1" si="99"/>
        <v>763799.26650826703</v>
      </c>
      <c r="Q145" s="35"/>
      <c r="R145">
        <f t="shared" ca="1" si="117"/>
        <v>142</v>
      </c>
      <c r="S145" s="78">
        <f t="shared" ca="1" si="118"/>
        <v>73.28</v>
      </c>
      <c r="T145" s="55">
        <f t="shared" ca="1" si="119"/>
        <v>4.6837945252553581E-3</v>
      </c>
      <c r="U145" s="78">
        <f t="shared" ca="1" si="120"/>
        <v>0.65235342714239319</v>
      </c>
      <c r="V145" s="79">
        <f t="shared" ca="1" si="121"/>
        <v>769468.13470029447</v>
      </c>
      <c r="W145" s="79">
        <f t="shared" ca="1" si="100"/>
        <v>5248.9217761774225</v>
      </c>
      <c r="X145" s="80">
        <f t="shared" ca="1" si="101"/>
        <v>-13.047068542847864</v>
      </c>
      <c r="Y145" s="80">
        <f t="shared" ca="1" si="122"/>
        <v>0</v>
      </c>
      <c r="Z145" s="80">
        <f t="shared" ca="1" si="102"/>
        <v>0</v>
      </c>
      <c r="AA145" s="80">
        <f t="shared" ca="1" si="123"/>
        <v>0</v>
      </c>
      <c r="AB145" s="81">
        <f t="shared" ca="1" si="103"/>
        <v>-10904.742899662098</v>
      </c>
      <c r="AC145" s="79">
        <f t="shared" ca="1" si="104"/>
        <v>763799.26650826703</v>
      </c>
      <c r="AD145" s="35"/>
      <c r="AE145" s="62">
        <f t="shared" ca="1" si="105"/>
        <v>-16716.004616439077</v>
      </c>
      <c r="AF145" s="62">
        <f t="shared" ca="1" si="106"/>
        <v>1170836.596741827</v>
      </c>
      <c r="AG145" s="35"/>
      <c r="AH145" s="35"/>
      <c r="AR145" s="69">
        <f t="shared" si="124"/>
        <v>12</v>
      </c>
      <c r="AS145" s="70">
        <f t="shared" si="128"/>
        <v>142</v>
      </c>
      <c r="AT145" s="71">
        <f t="shared" si="129"/>
        <v>0.37833660630766891</v>
      </c>
      <c r="AU145" s="72">
        <f t="shared" si="107"/>
        <v>6.8214933659622723E-3</v>
      </c>
      <c r="AV145" s="73">
        <f t="shared" si="125"/>
        <v>1.0068214933659623</v>
      </c>
      <c r="AW145" s="74">
        <f>PRODUCT(AV$4:AV145)</f>
        <v>2.6257410984326972</v>
      </c>
      <c r="AY145" s="75">
        <f t="shared" si="130"/>
        <v>142</v>
      </c>
      <c r="AZ145" s="76">
        <f t="shared" ref="AZ145:BK153" ca="1" si="133">OFFSET($AV$3,($AY145*12-12)+AZ$3,0)</f>
        <v>1.0068214933659623</v>
      </c>
      <c r="BA145" s="76">
        <f t="shared" ca="1" si="133"/>
        <v>1.0068214933659623</v>
      </c>
      <c r="BB145" s="76">
        <f t="shared" ca="1" si="133"/>
        <v>1.0068214933659623</v>
      </c>
      <c r="BC145" s="76">
        <f t="shared" ca="1" si="133"/>
        <v>1.0068214933659623</v>
      </c>
      <c r="BD145" s="76">
        <f t="shared" ca="1" si="133"/>
        <v>1.0068214933659623</v>
      </c>
      <c r="BE145" s="76">
        <f t="shared" ca="1" si="133"/>
        <v>1.0068214933659623</v>
      </c>
      <c r="BF145" s="76">
        <f t="shared" ca="1" si="133"/>
        <v>1.0068214933659623</v>
      </c>
      <c r="BG145" s="76">
        <f t="shared" ca="1" si="133"/>
        <v>1.0068214933659623</v>
      </c>
      <c r="BH145" s="76">
        <f t="shared" ca="1" si="133"/>
        <v>1.0068214933659623</v>
      </c>
      <c r="BI145" s="76">
        <f t="shared" ca="1" si="133"/>
        <v>1.0068214933659623</v>
      </c>
      <c r="BJ145" s="76">
        <f t="shared" ca="1" si="133"/>
        <v>1.0068214933659623</v>
      </c>
      <c r="BK145" s="76">
        <f t="shared" ca="1" si="133"/>
        <v>1.0068214933659623</v>
      </c>
      <c r="BL145" s="76">
        <f t="shared" ca="1" si="108"/>
        <v>8.5000000000000853E-2</v>
      </c>
      <c r="BM145" s="77">
        <f t="shared" ca="1" si="126"/>
        <v>107404.5852044183</v>
      </c>
    </row>
    <row r="146" spans="5:65">
      <c r="E146">
        <f t="shared" si="127"/>
        <v>143</v>
      </c>
      <c r="F146" s="64">
        <f t="shared" si="109"/>
        <v>73.36</v>
      </c>
      <c r="G146" s="55">
        <f t="shared" si="110"/>
        <v>4.6837945252553581E-3</v>
      </c>
      <c r="H146" s="78">
        <f t="shared" si="131"/>
        <v>0.6492979377318121</v>
      </c>
      <c r="I146" s="79">
        <f t="shared" ca="1" si="111"/>
        <v>760221.7876854015</v>
      </c>
      <c r="J146" s="79">
        <f t="shared" ca="1" si="112"/>
        <v>5185.847881355945</v>
      </c>
      <c r="K146" s="80">
        <f t="shared" ca="1" si="113"/>
        <v>-12.985958754636242</v>
      </c>
      <c r="L146" s="80">
        <f t="shared" ca="1" si="114"/>
        <v>0</v>
      </c>
      <c r="M146" s="80">
        <f t="shared" ca="1" si="115"/>
        <v>0</v>
      </c>
      <c r="N146" s="80">
        <f t="shared" ca="1" si="116"/>
        <v>0</v>
      </c>
      <c r="O146" s="81">
        <f t="shared" ca="1" si="98"/>
        <v>-10853.667324569344</v>
      </c>
      <c r="P146" s="79">
        <f t="shared" ca="1" si="99"/>
        <v>754540.98228343343</v>
      </c>
      <c r="Q146" s="35"/>
      <c r="R146">
        <f t="shared" ca="1" si="117"/>
        <v>143</v>
      </c>
      <c r="S146" s="78">
        <f t="shared" ca="1" si="118"/>
        <v>73.36</v>
      </c>
      <c r="T146" s="55">
        <f t="shared" ca="1" si="119"/>
        <v>4.6837945252553581E-3</v>
      </c>
      <c r="U146" s="78">
        <f t="shared" ca="1" si="120"/>
        <v>0.6492979377318121</v>
      </c>
      <c r="V146" s="79">
        <f t="shared" ca="1" si="121"/>
        <v>760221.7876854015</v>
      </c>
      <c r="W146" s="79">
        <f t="shared" ca="1" si="100"/>
        <v>5185.847881355945</v>
      </c>
      <c r="X146" s="80">
        <f t="shared" ca="1" si="101"/>
        <v>-12.985958754636242</v>
      </c>
      <c r="Y146" s="80">
        <f t="shared" ca="1" si="122"/>
        <v>0</v>
      </c>
      <c r="Z146" s="80">
        <f t="shared" ca="1" si="102"/>
        <v>0</v>
      </c>
      <c r="AA146" s="80">
        <f t="shared" ca="1" si="123"/>
        <v>0</v>
      </c>
      <c r="AB146" s="81">
        <f t="shared" ca="1" si="103"/>
        <v>-10853.667324569344</v>
      </c>
      <c r="AC146" s="79">
        <f t="shared" ca="1" si="104"/>
        <v>754540.98228343343</v>
      </c>
      <c r="AD146" s="35"/>
      <c r="AE146" s="62">
        <f t="shared" ca="1" si="105"/>
        <v>-16716.004616439077</v>
      </c>
      <c r="AF146" s="62">
        <f t="shared" ca="1" si="106"/>
        <v>1162087.4462026879</v>
      </c>
      <c r="AG146" s="35"/>
      <c r="AH146" s="35"/>
      <c r="AR146" s="69">
        <f t="shared" si="124"/>
        <v>12</v>
      </c>
      <c r="AS146" s="70">
        <f t="shared" si="128"/>
        <v>143</v>
      </c>
      <c r="AT146" s="71">
        <f t="shared" si="129"/>
        <v>0.37575578565764045</v>
      </c>
      <c r="AU146" s="72">
        <f t="shared" si="107"/>
        <v>6.8214933659622723E-3</v>
      </c>
      <c r="AV146" s="73">
        <f t="shared" si="125"/>
        <v>1.0068214933659623</v>
      </c>
      <c r="AW146" s="74">
        <f>PRODUCT(AV$4:AV146)</f>
        <v>2.6436525739163903</v>
      </c>
      <c r="AY146" s="75">
        <f t="shared" si="130"/>
        <v>143</v>
      </c>
      <c r="AZ146" s="76">
        <f t="shared" ca="1" si="133"/>
        <v>1.0068214933659623</v>
      </c>
      <c r="BA146" s="76">
        <f t="shared" ca="1" si="133"/>
        <v>1.0068214933659623</v>
      </c>
      <c r="BB146" s="76">
        <f t="shared" ca="1" si="133"/>
        <v>1.0068214933659623</v>
      </c>
      <c r="BC146" s="76">
        <f t="shared" ca="1" si="133"/>
        <v>1.0068214933659623</v>
      </c>
      <c r="BD146" s="76">
        <f t="shared" ca="1" si="133"/>
        <v>1.0068214933659623</v>
      </c>
      <c r="BE146" s="76">
        <f t="shared" ca="1" si="133"/>
        <v>1.0068214933659623</v>
      </c>
      <c r="BF146" s="76">
        <f t="shared" ca="1" si="133"/>
        <v>1.0068214933659623</v>
      </c>
      <c r="BG146" s="76">
        <f t="shared" ca="1" si="133"/>
        <v>1.0068214933659623</v>
      </c>
      <c r="BH146" s="76">
        <f t="shared" ca="1" si="133"/>
        <v>1.0068214933659623</v>
      </c>
      <c r="BI146" s="76">
        <f t="shared" ca="1" si="133"/>
        <v>1.0068214933659623</v>
      </c>
      <c r="BJ146" s="76">
        <f t="shared" ca="1" si="133"/>
        <v>1.0068214933659623</v>
      </c>
      <c r="BK146" s="76">
        <f t="shared" ca="1" si="133"/>
        <v>1.0068214933659623</v>
      </c>
      <c r="BL146" s="76">
        <f t="shared" ca="1" si="108"/>
        <v>8.5000000000000853E-2</v>
      </c>
      <c r="BM146" s="77">
        <f t="shared" ca="1" si="126"/>
        <v>116533.97494679394</v>
      </c>
    </row>
    <row r="147" spans="5:65">
      <c r="E147">
        <f t="shared" si="127"/>
        <v>144</v>
      </c>
      <c r="F147" s="64">
        <f t="shared" si="109"/>
        <v>73.44</v>
      </c>
      <c r="G147" s="55">
        <f t="shared" si="110"/>
        <v>4.6837945252553581E-3</v>
      </c>
      <c r="H147" s="78">
        <f t="shared" si="131"/>
        <v>0.6462567596058042</v>
      </c>
      <c r="I147" s="79">
        <f t="shared" ca="1" si="111"/>
        <v>751006.86736153346</v>
      </c>
      <c r="J147" s="79">
        <f t="shared" ca="1" si="112"/>
        <v>5122.9883634988082</v>
      </c>
      <c r="K147" s="80">
        <f t="shared" ca="1" si="113"/>
        <v>-12.925135192116084</v>
      </c>
      <c r="L147" s="80">
        <f t="shared" ca="1" si="114"/>
        <v>0</v>
      </c>
      <c r="M147" s="80">
        <f t="shared" ca="1" si="115"/>
        <v>0</v>
      </c>
      <c r="N147" s="80">
        <f t="shared" ca="1" si="116"/>
        <v>0</v>
      </c>
      <c r="O147" s="81">
        <f t="shared" ca="1" si="98"/>
        <v>-10802.830976975582</v>
      </c>
      <c r="P147" s="79">
        <f t="shared" ca="1" si="99"/>
        <v>745314.09961286455</v>
      </c>
      <c r="Q147" s="35"/>
      <c r="R147">
        <f t="shared" ca="1" si="117"/>
        <v>144</v>
      </c>
      <c r="S147" s="78">
        <f t="shared" ca="1" si="118"/>
        <v>73.44</v>
      </c>
      <c r="T147" s="55">
        <f t="shared" ca="1" si="119"/>
        <v>4.6837945252553581E-3</v>
      </c>
      <c r="U147" s="78">
        <f t="shared" ca="1" si="120"/>
        <v>0.6462567596058042</v>
      </c>
      <c r="V147" s="79">
        <f t="shared" ca="1" si="121"/>
        <v>751006.86736153346</v>
      </c>
      <c r="W147" s="79">
        <f t="shared" ca="1" si="100"/>
        <v>5122.9883634988082</v>
      </c>
      <c r="X147" s="80">
        <f t="shared" ca="1" si="101"/>
        <v>-12.925135192116084</v>
      </c>
      <c r="Y147" s="80">
        <f t="shared" ca="1" si="122"/>
        <v>0</v>
      </c>
      <c r="Z147" s="80">
        <f t="shared" ca="1" si="102"/>
        <v>0</v>
      </c>
      <c r="AA147" s="80">
        <f t="shared" ca="1" si="123"/>
        <v>0</v>
      </c>
      <c r="AB147" s="81">
        <f t="shared" ca="1" si="103"/>
        <v>-10802.830976975582</v>
      </c>
      <c r="AC147" s="79">
        <f t="shared" ca="1" si="104"/>
        <v>745314.09961286455</v>
      </c>
      <c r="AD147" s="35"/>
      <c r="AE147" s="62">
        <f t="shared" ca="1" si="105"/>
        <v>-16716.004616439077</v>
      </c>
      <c r="AF147" s="62">
        <f t="shared" ca="1" si="106"/>
        <v>1153278.6133911887</v>
      </c>
      <c r="AG147" s="35"/>
      <c r="AH147" s="35"/>
      <c r="AR147" s="69">
        <f t="shared" si="124"/>
        <v>12</v>
      </c>
      <c r="AS147" s="70">
        <f t="shared" si="128"/>
        <v>144</v>
      </c>
      <c r="AT147" s="71">
        <f t="shared" si="129"/>
        <v>0.37319257005855494</v>
      </c>
      <c r="AU147" s="72">
        <f t="shared" si="107"/>
        <v>6.8214933659622723E-3</v>
      </c>
      <c r="AV147" s="73">
        <f t="shared" si="125"/>
        <v>1.0068214933659623</v>
      </c>
      <c r="AW147" s="74">
        <f>PRODUCT(AV$4:AV147)</f>
        <v>2.6616862324112702</v>
      </c>
      <c r="AY147" s="75">
        <f t="shared" si="130"/>
        <v>144</v>
      </c>
      <c r="AZ147" s="76">
        <f t="shared" ca="1" si="133"/>
        <v>1.0068214933659623</v>
      </c>
      <c r="BA147" s="76">
        <f t="shared" ca="1" si="133"/>
        <v>1.0068214933659623</v>
      </c>
      <c r="BB147" s="76">
        <f t="shared" ca="1" si="133"/>
        <v>1.0068214933659623</v>
      </c>
      <c r="BC147" s="76">
        <f t="shared" ca="1" si="133"/>
        <v>1.0068214933659623</v>
      </c>
      <c r="BD147" s="76">
        <f t="shared" ca="1" si="133"/>
        <v>1.0068214933659623</v>
      </c>
      <c r="BE147" s="76">
        <f t="shared" ca="1" si="133"/>
        <v>1.0068214933659623</v>
      </c>
      <c r="BF147" s="76">
        <f t="shared" ca="1" si="133"/>
        <v>1.0068214933659623</v>
      </c>
      <c r="BG147" s="76">
        <f t="shared" ca="1" si="133"/>
        <v>1.0068214933659623</v>
      </c>
      <c r="BH147" s="76">
        <f t="shared" ca="1" si="133"/>
        <v>1.0068214933659623</v>
      </c>
      <c r="BI147" s="76">
        <f t="shared" ca="1" si="133"/>
        <v>1.0068214933659623</v>
      </c>
      <c r="BJ147" s="76">
        <f t="shared" ca="1" si="133"/>
        <v>1.0068214933659623</v>
      </c>
      <c r="BK147" s="76">
        <f t="shared" ca="1" si="133"/>
        <v>1.0068214933659623</v>
      </c>
      <c r="BL147" s="76">
        <f t="shared" ca="1" si="108"/>
        <v>8.5000000000000853E-2</v>
      </c>
      <c r="BM147" s="77">
        <f t="shared" ca="1" si="126"/>
        <v>126439.36281727153</v>
      </c>
    </row>
    <row r="148" spans="5:65">
      <c r="E148">
        <f t="shared" si="127"/>
        <v>145</v>
      </c>
      <c r="F148" s="64">
        <f t="shared" si="109"/>
        <v>73.52</v>
      </c>
      <c r="G148" s="55">
        <f t="shared" si="110"/>
        <v>5.1085345568211427E-3</v>
      </c>
      <c r="H148" s="78">
        <f t="shared" si="131"/>
        <v>0.64295533461677867</v>
      </c>
      <c r="I148" s="79">
        <f t="shared" ca="1" si="111"/>
        <v>741506.63677930622</v>
      </c>
      <c r="J148" s="79">
        <f t="shared" ca="1" si="112"/>
        <v>5058.1826036070333</v>
      </c>
      <c r="K148" s="80">
        <f t="shared" ca="1" si="113"/>
        <v>-12.859106692335573</v>
      </c>
      <c r="L148" s="80">
        <f t="shared" ca="1" si="114"/>
        <v>0</v>
      </c>
      <c r="M148" s="80">
        <f t="shared" ca="1" si="115"/>
        <v>0</v>
      </c>
      <c r="N148" s="80">
        <f t="shared" ca="1" si="116"/>
        <v>0</v>
      </c>
      <c r="O148" s="81">
        <f t="shared" ca="1" si="98"/>
        <v>-10747.644341618205</v>
      </c>
      <c r="P148" s="79">
        <f t="shared" ca="1" si="99"/>
        <v>735804.31593460275</v>
      </c>
      <c r="Q148" s="35"/>
      <c r="R148">
        <f t="shared" ca="1" si="117"/>
        <v>145</v>
      </c>
      <c r="S148" s="78">
        <f t="shared" ca="1" si="118"/>
        <v>73.52</v>
      </c>
      <c r="T148" s="55">
        <f t="shared" ca="1" si="119"/>
        <v>5.1085345568211427E-3</v>
      </c>
      <c r="U148" s="78">
        <f t="shared" ca="1" si="120"/>
        <v>0.64295533461677867</v>
      </c>
      <c r="V148" s="79">
        <f t="shared" ca="1" si="121"/>
        <v>741506.63677930622</v>
      </c>
      <c r="W148" s="79">
        <f t="shared" ca="1" si="100"/>
        <v>5058.1826036070333</v>
      </c>
      <c r="X148" s="80">
        <f t="shared" ca="1" si="101"/>
        <v>-12.859106692335573</v>
      </c>
      <c r="Y148" s="80">
        <f t="shared" ca="1" si="122"/>
        <v>0</v>
      </c>
      <c r="Z148" s="80">
        <f t="shared" ca="1" si="102"/>
        <v>0</v>
      </c>
      <c r="AA148" s="80">
        <f t="shared" ca="1" si="123"/>
        <v>0</v>
      </c>
      <c r="AB148" s="81">
        <f t="shared" ca="1" si="103"/>
        <v>-10747.644341618205</v>
      </c>
      <c r="AC148" s="79">
        <f t="shared" ca="1" si="104"/>
        <v>735804.31593460275</v>
      </c>
      <c r="AD148" s="35"/>
      <c r="AE148" s="62">
        <f t="shared" ca="1" si="105"/>
        <v>-16716.004616439077</v>
      </c>
      <c r="AF148" s="62">
        <f t="shared" ca="1" si="106"/>
        <v>1144409.6911851037</v>
      </c>
      <c r="AG148" s="35"/>
      <c r="AH148" s="35"/>
      <c r="AR148" s="69">
        <f t="shared" si="124"/>
        <v>13</v>
      </c>
      <c r="AS148" s="70">
        <f t="shared" si="128"/>
        <v>145</v>
      </c>
      <c r="AT148" s="71">
        <f t="shared" si="129"/>
        <v>0.37064683941767412</v>
      </c>
      <c r="AU148" s="72">
        <f t="shared" si="107"/>
        <v>6.8214933659622723E-3</v>
      </c>
      <c r="AV148" s="73">
        <f t="shared" si="125"/>
        <v>1.0068214933659623</v>
      </c>
      <c r="AW148" s="74">
        <f>PRODUCT(AV$4:AV148)</f>
        <v>2.6798429073879366</v>
      </c>
      <c r="AY148" s="75">
        <f t="shared" si="130"/>
        <v>145</v>
      </c>
      <c r="AZ148" s="76">
        <f t="shared" ca="1" si="133"/>
        <v>1.0068214933659623</v>
      </c>
      <c r="BA148" s="76">
        <f t="shared" ca="1" si="133"/>
        <v>1.0068214933659623</v>
      </c>
      <c r="BB148" s="76">
        <f t="shared" ca="1" si="133"/>
        <v>1.0068214933659623</v>
      </c>
      <c r="BC148" s="76">
        <f t="shared" ca="1" si="133"/>
        <v>1.0068214933659623</v>
      </c>
      <c r="BD148" s="76">
        <f t="shared" ca="1" si="133"/>
        <v>1.0068214933659623</v>
      </c>
      <c r="BE148" s="76">
        <f t="shared" ca="1" si="133"/>
        <v>1.0068214933659623</v>
      </c>
      <c r="BF148" s="76">
        <f t="shared" ca="1" si="133"/>
        <v>1.0068214933659623</v>
      </c>
      <c r="BG148" s="76">
        <f t="shared" ca="1" si="133"/>
        <v>1.0068214933659623</v>
      </c>
      <c r="BH148" s="76">
        <f t="shared" ca="1" si="133"/>
        <v>1.0068214933659623</v>
      </c>
      <c r="BI148" s="76">
        <f t="shared" ca="1" si="133"/>
        <v>1.0068214933659623</v>
      </c>
      <c r="BJ148" s="76">
        <f t="shared" ca="1" si="133"/>
        <v>1.0068214933659623</v>
      </c>
      <c r="BK148" s="76">
        <f t="shared" ca="1" si="133"/>
        <v>1.0068214933659623</v>
      </c>
      <c r="BL148" s="76">
        <f t="shared" ca="1" si="108"/>
        <v>8.5000000000000853E-2</v>
      </c>
      <c r="BM148" s="77">
        <f t="shared" ca="1" si="126"/>
        <v>137186.70865673971</v>
      </c>
    </row>
    <row r="149" spans="5:65">
      <c r="E149">
        <f t="shared" si="127"/>
        <v>146</v>
      </c>
      <c r="F149" s="64">
        <f t="shared" si="109"/>
        <v>73.599999999999994</v>
      </c>
      <c r="G149" s="55">
        <f t="shared" si="110"/>
        <v>5.1085345568211427E-3</v>
      </c>
      <c r="H149" s="78">
        <f t="shared" si="131"/>
        <v>0.63967077507139636</v>
      </c>
      <c r="I149" s="79">
        <f t="shared" ca="1" si="111"/>
        <v>732045.43415959273</v>
      </c>
      <c r="J149" s="79">
        <f t="shared" ca="1" si="112"/>
        <v>4993.6430727026336</v>
      </c>
      <c r="K149" s="80">
        <f t="shared" ca="1" si="113"/>
        <v>-12.793415501427926</v>
      </c>
      <c r="L149" s="80">
        <f t="shared" ca="1" si="114"/>
        <v>0</v>
      </c>
      <c r="M149" s="80">
        <f t="shared" ca="1" si="115"/>
        <v>0</v>
      </c>
      <c r="N149" s="80">
        <f t="shared" ca="1" si="116"/>
        <v>0</v>
      </c>
      <c r="O149" s="81">
        <f t="shared" ca="1" si="98"/>
        <v>-10692.739629094625</v>
      </c>
      <c r="P149" s="79">
        <f t="shared" ca="1" si="99"/>
        <v>726333.54418769933</v>
      </c>
      <c r="Q149" s="35"/>
      <c r="R149">
        <f t="shared" ca="1" si="117"/>
        <v>146</v>
      </c>
      <c r="S149" s="78">
        <f t="shared" ca="1" si="118"/>
        <v>73.599999999999994</v>
      </c>
      <c r="T149" s="55">
        <f t="shared" ca="1" si="119"/>
        <v>5.1085345568211427E-3</v>
      </c>
      <c r="U149" s="78">
        <f t="shared" ca="1" si="120"/>
        <v>0.63967077507139636</v>
      </c>
      <c r="V149" s="79">
        <f t="shared" ca="1" si="121"/>
        <v>732045.43415959273</v>
      </c>
      <c r="W149" s="79">
        <f t="shared" ca="1" si="100"/>
        <v>4993.6430727026336</v>
      </c>
      <c r="X149" s="80">
        <f t="shared" ca="1" si="101"/>
        <v>-12.793415501427926</v>
      </c>
      <c r="Y149" s="80">
        <f t="shared" ca="1" si="122"/>
        <v>0</v>
      </c>
      <c r="Z149" s="80">
        <f t="shared" ca="1" si="102"/>
        <v>0</v>
      </c>
      <c r="AA149" s="80">
        <f t="shared" ca="1" si="123"/>
        <v>0</v>
      </c>
      <c r="AB149" s="81">
        <f t="shared" ca="1" si="103"/>
        <v>-10692.739629094625</v>
      </c>
      <c r="AC149" s="79">
        <f t="shared" ca="1" si="104"/>
        <v>726333.54418769933</v>
      </c>
      <c r="AD149" s="35"/>
      <c r="AE149" s="62">
        <f t="shared" ca="1" si="105"/>
        <v>-16716.004616439081</v>
      </c>
      <c r="AF149" s="62">
        <f t="shared" ca="1" si="106"/>
        <v>1135480.269685027</v>
      </c>
      <c r="AG149" s="35"/>
      <c r="AH149" s="35"/>
      <c r="AR149" s="69">
        <f t="shared" si="124"/>
        <v>13</v>
      </c>
      <c r="AS149" s="70">
        <f t="shared" si="128"/>
        <v>146</v>
      </c>
      <c r="AT149" s="71">
        <f t="shared" si="129"/>
        <v>0.36811847446147156</v>
      </c>
      <c r="AU149" s="72">
        <f t="shared" si="107"/>
        <v>6.8214933659622723E-3</v>
      </c>
      <c r="AV149" s="73">
        <f t="shared" si="125"/>
        <v>1.0068214933659623</v>
      </c>
      <c r="AW149" s="74">
        <f>PRODUCT(AV$4:AV149)</f>
        <v>2.6981234380025043</v>
      </c>
      <c r="AY149" s="75">
        <f t="shared" si="130"/>
        <v>146</v>
      </c>
      <c r="AZ149" s="76">
        <f t="shared" ca="1" si="133"/>
        <v>1.0068214933659623</v>
      </c>
      <c r="BA149" s="76">
        <f t="shared" ca="1" si="133"/>
        <v>1.0068214933659623</v>
      </c>
      <c r="BB149" s="76">
        <f t="shared" ca="1" si="133"/>
        <v>1.0068214933659623</v>
      </c>
      <c r="BC149" s="76">
        <f t="shared" ca="1" si="133"/>
        <v>1.0068214933659623</v>
      </c>
      <c r="BD149" s="76">
        <f t="shared" ca="1" si="133"/>
        <v>1.0068214933659623</v>
      </c>
      <c r="BE149" s="76">
        <f t="shared" ca="1" si="133"/>
        <v>1.0068214933659623</v>
      </c>
      <c r="BF149" s="76">
        <f t="shared" ca="1" si="133"/>
        <v>1.0068214933659623</v>
      </c>
      <c r="BG149" s="76">
        <f t="shared" ca="1" si="133"/>
        <v>1.0068214933659623</v>
      </c>
      <c r="BH149" s="76">
        <f t="shared" ca="1" si="133"/>
        <v>1.0068214933659623</v>
      </c>
      <c r="BI149" s="76">
        <f t="shared" ca="1" si="133"/>
        <v>1.0068214933659623</v>
      </c>
      <c r="BJ149" s="76">
        <f t="shared" ca="1" si="133"/>
        <v>1.0068214933659623</v>
      </c>
      <c r="BK149" s="76">
        <f t="shared" ca="1" si="133"/>
        <v>1.0068214933659623</v>
      </c>
      <c r="BL149" s="76">
        <f t="shared" ca="1" si="108"/>
        <v>8.5000000000000853E-2</v>
      </c>
      <c r="BM149" s="77">
        <f t="shared" ca="1" si="126"/>
        <v>148847.57889256268</v>
      </c>
    </row>
    <row r="150" spans="5:65">
      <c r="E150">
        <f t="shared" si="127"/>
        <v>147</v>
      </c>
      <c r="F150" s="64">
        <f t="shared" si="109"/>
        <v>73.680000000000007</v>
      </c>
      <c r="G150" s="55">
        <f t="shared" si="110"/>
        <v>5.1085345568211427E-3</v>
      </c>
      <c r="H150" s="78">
        <f t="shared" si="131"/>
        <v>0.63640299481195561</v>
      </c>
      <c r="I150" s="79">
        <f t="shared" ca="1" si="111"/>
        <v>722623.04417743813</v>
      </c>
      <c r="J150" s="79">
        <f t="shared" ca="1" si="112"/>
        <v>4929.3683019478558</v>
      </c>
      <c r="K150" s="80">
        <f t="shared" ca="1" si="113"/>
        <v>-12.728059896239113</v>
      </c>
      <c r="L150" s="80">
        <f t="shared" ca="1" si="114"/>
        <v>0</v>
      </c>
      <c r="M150" s="80">
        <f t="shared" ca="1" si="115"/>
        <v>0</v>
      </c>
      <c r="N150" s="80">
        <f t="shared" ca="1" si="116"/>
        <v>0</v>
      </c>
      <c r="O150" s="81">
        <f t="shared" ca="1" si="98"/>
        <v>-10638.115399192304</v>
      </c>
      <c r="P150" s="79">
        <f t="shared" ca="1" si="99"/>
        <v>716901.56902029738</v>
      </c>
      <c r="Q150" s="35"/>
      <c r="R150">
        <f t="shared" ca="1" si="117"/>
        <v>147</v>
      </c>
      <c r="S150" s="78">
        <f t="shared" ca="1" si="118"/>
        <v>73.680000000000007</v>
      </c>
      <c r="T150" s="55">
        <f t="shared" ca="1" si="119"/>
        <v>5.1085345568211427E-3</v>
      </c>
      <c r="U150" s="78">
        <f t="shared" ca="1" si="120"/>
        <v>0.63640299481195561</v>
      </c>
      <c r="V150" s="79">
        <f t="shared" ca="1" si="121"/>
        <v>722623.04417743813</v>
      </c>
      <c r="W150" s="79">
        <f t="shared" ca="1" si="100"/>
        <v>4929.3683019478558</v>
      </c>
      <c r="X150" s="80">
        <f t="shared" ca="1" si="101"/>
        <v>-12.728059896239113</v>
      </c>
      <c r="Y150" s="80">
        <f t="shared" ca="1" si="122"/>
        <v>0</v>
      </c>
      <c r="Z150" s="80">
        <f t="shared" ca="1" si="102"/>
        <v>0</v>
      </c>
      <c r="AA150" s="80">
        <f t="shared" ca="1" si="123"/>
        <v>0</v>
      </c>
      <c r="AB150" s="81">
        <f t="shared" ca="1" si="103"/>
        <v>-10638.115399192304</v>
      </c>
      <c r="AC150" s="79">
        <f t="shared" ca="1" si="104"/>
        <v>716901.56902029738</v>
      </c>
      <c r="AD150" s="35"/>
      <c r="AE150" s="62">
        <f t="shared" ca="1" si="105"/>
        <v>-16716.004616439077</v>
      </c>
      <c r="AF150" s="62">
        <f t="shared" ca="1" si="106"/>
        <v>1126489.9361954252</v>
      </c>
      <c r="AG150" s="35"/>
      <c r="AH150" s="35"/>
      <c r="AR150" s="69">
        <f t="shared" si="124"/>
        <v>13</v>
      </c>
      <c r="AS150" s="70">
        <f t="shared" si="128"/>
        <v>147</v>
      </c>
      <c r="AT150" s="71">
        <f t="shared" si="129"/>
        <v>0.36560735673004446</v>
      </c>
      <c r="AU150" s="72">
        <f t="shared" si="107"/>
        <v>6.8214933659622723E-3</v>
      </c>
      <c r="AV150" s="73">
        <f t="shared" si="125"/>
        <v>1.0068214933659623</v>
      </c>
      <c r="AW150" s="74">
        <f>PRODUCT(AV$4:AV150)</f>
        <v>2.7165286691353856</v>
      </c>
      <c r="AY150" s="75">
        <f t="shared" si="130"/>
        <v>147</v>
      </c>
      <c r="AZ150" s="76">
        <f t="shared" ca="1" si="133"/>
        <v>1.0068214933659623</v>
      </c>
      <c r="BA150" s="76">
        <f t="shared" ca="1" si="133"/>
        <v>1.0068214933659623</v>
      </c>
      <c r="BB150" s="76">
        <f t="shared" ca="1" si="133"/>
        <v>1.0068214933659623</v>
      </c>
      <c r="BC150" s="76">
        <f t="shared" ca="1" si="133"/>
        <v>1.0068214933659623</v>
      </c>
      <c r="BD150" s="76">
        <f t="shared" ca="1" si="133"/>
        <v>1.0068214933659623</v>
      </c>
      <c r="BE150" s="76">
        <f t="shared" ca="1" si="133"/>
        <v>1.0068214933659623</v>
      </c>
      <c r="BF150" s="76">
        <f t="shared" ca="1" si="133"/>
        <v>1.0068214933659623</v>
      </c>
      <c r="BG150" s="76">
        <f t="shared" ca="1" si="133"/>
        <v>1.0068214933659623</v>
      </c>
      <c r="BH150" s="76">
        <f t="shared" ca="1" si="133"/>
        <v>1.0068214933659623</v>
      </c>
      <c r="BI150" s="76">
        <f t="shared" ca="1" si="133"/>
        <v>1.0068214933659623</v>
      </c>
      <c r="BJ150" s="76">
        <f t="shared" ca="1" si="133"/>
        <v>1.0068214933659623</v>
      </c>
      <c r="BK150" s="76">
        <f t="shared" ca="1" si="133"/>
        <v>1.0068214933659623</v>
      </c>
      <c r="BL150" s="76">
        <f t="shared" ca="1" si="108"/>
        <v>8.5000000000000853E-2</v>
      </c>
      <c r="BM150" s="77">
        <f t="shared" ca="1" si="126"/>
        <v>161499.62309843063</v>
      </c>
    </row>
    <row r="151" spans="5:65">
      <c r="E151">
        <f t="shared" si="127"/>
        <v>148</v>
      </c>
      <c r="F151" s="64">
        <f t="shared" si="109"/>
        <v>73.760000000000005</v>
      </c>
      <c r="G151" s="55">
        <f t="shared" si="110"/>
        <v>5.1085345568211427E-3</v>
      </c>
      <c r="H151" s="78">
        <f t="shared" si="131"/>
        <v>0.63315190812089428</v>
      </c>
      <c r="I151" s="79">
        <f t="shared" ca="1" si="111"/>
        <v>713239.25258111791</v>
      </c>
      <c r="J151" s="79">
        <f t="shared" ca="1" si="112"/>
        <v>4865.3568298259852</v>
      </c>
      <c r="K151" s="80">
        <f t="shared" ca="1" si="113"/>
        <v>-12.663038162417886</v>
      </c>
      <c r="L151" s="80">
        <f t="shared" ca="1" si="114"/>
        <v>0</v>
      </c>
      <c r="M151" s="80">
        <f t="shared" ca="1" si="115"/>
        <v>0</v>
      </c>
      <c r="N151" s="80">
        <f t="shared" ca="1" si="116"/>
        <v>0</v>
      </c>
      <c r="O151" s="81">
        <f t="shared" ca="1" si="98"/>
        <v>-10583.770219056079</v>
      </c>
      <c r="P151" s="79">
        <f t="shared" ca="1" si="99"/>
        <v>707508.17615372548</v>
      </c>
      <c r="Q151" s="35"/>
      <c r="R151">
        <f t="shared" ca="1" si="117"/>
        <v>148</v>
      </c>
      <c r="S151" s="78">
        <f t="shared" ca="1" si="118"/>
        <v>73.760000000000005</v>
      </c>
      <c r="T151" s="55">
        <f t="shared" ca="1" si="119"/>
        <v>5.1085345568211427E-3</v>
      </c>
      <c r="U151" s="78">
        <f t="shared" ca="1" si="120"/>
        <v>0.63315190812089428</v>
      </c>
      <c r="V151" s="79">
        <f t="shared" ca="1" si="121"/>
        <v>713239.25258111791</v>
      </c>
      <c r="W151" s="79">
        <f t="shared" ca="1" si="100"/>
        <v>4865.3568298259852</v>
      </c>
      <c r="X151" s="80">
        <f t="shared" ca="1" si="101"/>
        <v>-12.663038162417886</v>
      </c>
      <c r="Y151" s="80">
        <f t="shared" ca="1" si="122"/>
        <v>0</v>
      </c>
      <c r="Z151" s="80">
        <f t="shared" ca="1" si="102"/>
        <v>0</v>
      </c>
      <c r="AA151" s="80">
        <f t="shared" ca="1" si="123"/>
        <v>0</v>
      </c>
      <c r="AB151" s="81">
        <f t="shared" ca="1" si="103"/>
        <v>-10583.770219056079</v>
      </c>
      <c r="AC151" s="79">
        <f t="shared" ca="1" si="104"/>
        <v>707508.17615372548</v>
      </c>
      <c r="AD151" s="35"/>
      <c r="AE151" s="62">
        <f t="shared" ca="1" si="105"/>
        <v>-16716.004616439077</v>
      </c>
      <c r="AF151" s="62">
        <f t="shared" ca="1" si="106"/>
        <v>1117438.2752055665</v>
      </c>
      <c r="AG151" s="35"/>
      <c r="AH151" s="35"/>
      <c r="AR151" s="69">
        <f t="shared" si="124"/>
        <v>13</v>
      </c>
      <c r="AS151" s="70">
        <f t="shared" si="128"/>
        <v>148</v>
      </c>
      <c r="AT151" s="71">
        <f t="shared" si="129"/>
        <v>0.36311336857156346</v>
      </c>
      <c r="AU151" s="72">
        <f t="shared" si="107"/>
        <v>6.8214933659622723E-3</v>
      </c>
      <c r="AV151" s="73">
        <f t="shared" si="125"/>
        <v>1.0068214933659623</v>
      </c>
      <c r="AW151" s="74">
        <f>PRODUCT(AV$4:AV151)</f>
        <v>2.735059451430339</v>
      </c>
      <c r="AY151" s="75">
        <f t="shared" si="130"/>
        <v>148</v>
      </c>
      <c r="AZ151" s="76">
        <f t="shared" ca="1" si="133"/>
        <v>1.0068214933659623</v>
      </c>
      <c r="BA151" s="76">
        <f t="shared" ca="1" si="133"/>
        <v>1.0068214933659623</v>
      </c>
      <c r="BB151" s="76">
        <f t="shared" ca="1" si="133"/>
        <v>1.0068214933659623</v>
      </c>
      <c r="BC151" s="76">
        <f t="shared" ca="1" si="133"/>
        <v>1.0068214933659623</v>
      </c>
      <c r="BD151" s="76">
        <f t="shared" ca="1" si="133"/>
        <v>1.0068214933659623</v>
      </c>
      <c r="BE151" s="76">
        <f t="shared" ca="1" si="133"/>
        <v>1.0068214933659623</v>
      </c>
      <c r="BF151" s="76">
        <f t="shared" ca="1" si="133"/>
        <v>1.0068214933659623</v>
      </c>
      <c r="BG151" s="76">
        <f t="shared" ca="1" si="133"/>
        <v>1.0068214933659623</v>
      </c>
      <c r="BH151" s="76">
        <f t="shared" ca="1" si="133"/>
        <v>1.0068214933659623</v>
      </c>
      <c r="BI151" s="76">
        <f t="shared" ca="1" si="133"/>
        <v>1.0068214933659623</v>
      </c>
      <c r="BJ151" s="76">
        <f t="shared" ca="1" si="133"/>
        <v>1.0068214933659623</v>
      </c>
      <c r="BK151" s="76">
        <f t="shared" ca="1" si="133"/>
        <v>1.0068214933659623</v>
      </c>
      <c r="BL151" s="76">
        <f t="shared" ca="1" si="108"/>
        <v>8.5000000000000853E-2</v>
      </c>
      <c r="BM151" s="77">
        <f t="shared" ca="1" si="126"/>
        <v>175227.09106179737</v>
      </c>
    </row>
    <row r="152" spans="5:65">
      <c r="E152">
        <f t="shared" si="127"/>
        <v>149</v>
      </c>
      <c r="F152" s="64">
        <f t="shared" si="109"/>
        <v>73.84</v>
      </c>
      <c r="G152" s="55">
        <f t="shared" si="110"/>
        <v>5.1085345568211427E-3</v>
      </c>
      <c r="H152" s="78">
        <f t="shared" si="131"/>
        <v>0.62991742971854148</v>
      </c>
      <c r="I152" s="79">
        <f t="shared" ca="1" si="111"/>
        <v>703893.84618661064</v>
      </c>
      <c r="J152" s="79">
        <f t="shared" ca="1" si="112"/>
        <v>4801.6072021036325</v>
      </c>
      <c r="K152" s="80">
        <f t="shared" ca="1" si="113"/>
        <v>-12.59834859437083</v>
      </c>
      <c r="L152" s="80">
        <f t="shared" ca="1" si="114"/>
        <v>0</v>
      </c>
      <c r="M152" s="80">
        <f t="shared" ca="1" si="115"/>
        <v>0</v>
      </c>
      <c r="N152" s="80">
        <f t="shared" ca="1" si="116"/>
        <v>0</v>
      </c>
      <c r="O152" s="81">
        <f t="shared" ca="1" si="98"/>
        <v>-10529.702663150578</v>
      </c>
      <c r="P152" s="79">
        <f t="shared" ca="1" si="99"/>
        <v>698153.15237696923</v>
      </c>
      <c r="Q152" s="35"/>
      <c r="R152">
        <f t="shared" ca="1" si="117"/>
        <v>149</v>
      </c>
      <c r="S152" s="78">
        <f t="shared" ca="1" si="118"/>
        <v>73.84</v>
      </c>
      <c r="T152" s="55">
        <f t="shared" ca="1" si="119"/>
        <v>5.1085345568211427E-3</v>
      </c>
      <c r="U152" s="78">
        <f t="shared" ca="1" si="120"/>
        <v>0.62991742971854148</v>
      </c>
      <c r="V152" s="79">
        <f t="shared" ca="1" si="121"/>
        <v>703893.84618661064</v>
      </c>
      <c r="W152" s="79">
        <f t="shared" ca="1" si="100"/>
        <v>4801.6072021036325</v>
      </c>
      <c r="X152" s="80">
        <f t="shared" ca="1" si="101"/>
        <v>-12.59834859437083</v>
      </c>
      <c r="Y152" s="80">
        <f t="shared" ca="1" si="122"/>
        <v>0</v>
      </c>
      <c r="Z152" s="80">
        <f t="shared" ca="1" si="102"/>
        <v>0</v>
      </c>
      <c r="AA152" s="80">
        <f t="shared" ca="1" si="123"/>
        <v>0</v>
      </c>
      <c r="AB152" s="81">
        <f t="shared" ca="1" si="103"/>
        <v>-10529.702663150578</v>
      </c>
      <c r="AC152" s="79">
        <f t="shared" ca="1" si="104"/>
        <v>698153.15237696923</v>
      </c>
      <c r="AD152" s="35"/>
      <c r="AE152" s="62">
        <f t="shared" ca="1" si="105"/>
        <v>-16716.004616439077</v>
      </c>
      <c r="AF152" s="62">
        <f t="shared" ca="1" si="106"/>
        <v>1108324.8683703144</v>
      </c>
      <c r="AG152" s="35"/>
      <c r="AH152" s="35"/>
      <c r="AR152" s="69">
        <f t="shared" si="124"/>
        <v>13</v>
      </c>
      <c r="AS152" s="70">
        <f t="shared" si="128"/>
        <v>149</v>
      </c>
      <c r="AT152" s="71">
        <f t="shared" si="129"/>
        <v>0.36063639313676032</v>
      </c>
      <c r="AU152" s="72">
        <f t="shared" si="107"/>
        <v>6.8214933659622723E-3</v>
      </c>
      <c r="AV152" s="73">
        <f t="shared" si="125"/>
        <v>1.0068214933659623</v>
      </c>
      <c r="AW152" s="74">
        <f>PRODUCT(AV$4:AV152)</f>
        <v>2.7537166413337837</v>
      </c>
      <c r="AY152" s="75">
        <f t="shared" si="130"/>
        <v>149</v>
      </c>
      <c r="AZ152" s="76">
        <f t="shared" ca="1" si="133"/>
        <v>1.0068214933659623</v>
      </c>
      <c r="BA152" s="76">
        <f t="shared" ca="1" si="133"/>
        <v>1.0068214933659623</v>
      </c>
      <c r="BB152" s="76">
        <f t="shared" ca="1" si="133"/>
        <v>1.0068214933659623</v>
      </c>
      <c r="BC152" s="76">
        <f t="shared" ca="1" si="133"/>
        <v>1.0068214933659623</v>
      </c>
      <c r="BD152" s="76">
        <f t="shared" ca="1" si="133"/>
        <v>1.0068214933659623</v>
      </c>
      <c r="BE152" s="76">
        <f t="shared" ca="1" si="133"/>
        <v>1.0068214933659623</v>
      </c>
      <c r="BF152" s="76">
        <f t="shared" ca="1" si="133"/>
        <v>1.0068214933659623</v>
      </c>
      <c r="BG152" s="76">
        <f t="shared" ca="1" si="133"/>
        <v>1.0068214933659623</v>
      </c>
      <c r="BH152" s="76">
        <f t="shared" ca="1" si="133"/>
        <v>1.0068214933659623</v>
      </c>
      <c r="BI152" s="76">
        <f t="shared" ca="1" si="133"/>
        <v>1.0068214933659623</v>
      </c>
      <c r="BJ152" s="76">
        <f t="shared" ca="1" si="133"/>
        <v>1.0068214933659623</v>
      </c>
      <c r="BK152" s="76">
        <f t="shared" ca="1" si="133"/>
        <v>1.0068214933659623</v>
      </c>
      <c r="BL152" s="76">
        <f t="shared" ca="1" si="108"/>
        <v>8.5000000000000853E-2</v>
      </c>
      <c r="BM152" s="77">
        <f t="shared" ca="1" si="126"/>
        <v>190121.3938020503</v>
      </c>
    </row>
    <row r="153" spans="5:65">
      <c r="E153">
        <f t="shared" si="127"/>
        <v>150</v>
      </c>
      <c r="F153" s="64">
        <f t="shared" si="109"/>
        <v>73.92</v>
      </c>
      <c r="G153" s="55">
        <f t="shared" si="110"/>
        <v>5.1085345568211427E-3</v>
      </c>
      <c r="H153" s="78">
        <f t="shared" si="131"/>
        <v>0.62669947476088039</v>
      </c>
      <c r="I153" s="79">
        <f t="shared" ca="1" si="111"/>
        <v>694586.61287209787</v>
      </c>
      <c r="J153" s="79">
        <f t="shared" ca="1" si="112"/>
        <v>4738.1179717932209</v>
      </c>
      <c r="K153" s="80">
        <f t="shared" ca="1" si="113"/>
        <v>-12.533989495217607</v>
      </c>
      <c r="L153" s="80">
        <f t="shared" ca="1" si="114"/>
        <v>0</v>
      </c>
      <c r="M153" s="80">
        <f t="shared" ca="1" si="115"/>
        <v>0</v>
      </c>
      <c r="N153" s="80">
        <f t="shared" ca="1" si="116"/>
        <v>0</v>
      </c>
      <c r="O153" s="81">
        <f t="shared" ca="1" si="98"/>
        <v>-10475.911313222821</v>
      </c>
      <c r="P153" s="79">
        <f t="shared" ca="1" si="99"/>
        <v>688836.28554117295</v>
      </c>
      <c r="Q153" s="35"/>
      <c r="R153">
        <f t="shared" ca="1" si="117"/>
        <v>150</v>
      </c>
      <c r="S153" s="78">
        <f t="shared" ca="1" si="118"/>
        <v>73.92</v>
      </c>
      <c r="T153" s="55">
        <f t="shared" ca="1" si="119"/>
        <v>5.1085345568211427E-3</v>
      </c>
      <c r="U153" s="78">
        <f t="shared" ca="1" si="120"/>
        <v>0.62669947476088039</v>
      </c>
      <c r="V153" s="79">
        <f t="shared" ca="1" si="121"/>
        <v>694586.61287209787</v>
      </c>
      <c r="W153" s="79">
        <f t="shared" ca="1" si="100"/>
        <v>4738.1179717932209</v>
      </c>
      <c r="X153" s="80">
        <f t="shared" ca="1" si="101"/>
        <v>-12.533989495217607</v>
      </c>
      <c r="Y153" s="80">
        <f t="shared" ca="1" si="122"/>
        <v>0</v>
      </c>
      <c r="Z153" s="80">
        <f t="shared" ca="1" si="102"/>
        <v>0</v>
      </c>
      <c r="AA153" s="80">
        <f t="shared" ca="1" si="123"/>
        <v>0</v>
      </c>
      <c r="AB153" s="81">
        <f t="shared" ca="1" si="103"/>
        <v>-10475.911313222821</v>
      </c>
      <c r="AC153" s="79">
        <f t="shared" ca="1" si="104"/>
        <v>688836.28554117295</v>
      </c>
      <c r="AD153" s="35"/>
      <c r="AE153" s="62">
        <f t="shared" ca="1" si="105"/>
        <v>-16716.004616439077</v>
      </c>
      <c r="AF153" s="62">
        <f t="shared" ca="1" si="106"/>
        <v>1099149.2944907942</v>
      </c>
      <c r="AG153" s="35"/>
      <c r="AH153" s="35"/>
      <c r="AR153" s="69">
        <f t="shared" si="124"/>
        <v>13</v>
      </c>
      <c r="AS153" s="70">
        <f t="shared" si="128"/>
        <v>150</v>
      </c>
      <c r="AT153" s="71">
        <f t="shared" si="129"/>
        <v>0.35817631437345337</v>
      </c>
      <c r="AU153" s="72">
        <f t="shared" si="107"/>
        <v>6.8214933659622723E-3</v>
      </c>
      <c r="AV153" s="73">
        <f t="shared" si="125"/>
        <v>1.0068214933659623</v>
      </c>
      <c r="AW153" s="74">
        <f>PRODUCT(AV$4:AV153)</f>
        <v>2.7725011011343819</v>
      </c>
      <c r="AY153" s="132">
        <f t="shared" si="130"/>
        <v>150</v>
      </c>
      <c r="AZ153" s="133">
        <f t="shared" ca="1" si="133"/>
        <v>1.0068214933659623</v>
      </c>
      <c r="BA153" s="133">
        <f t="shared" ca="1" si="133"/>
        <v>1.0068214933659623</v>
      </c>
      <c r="BB153" s="133">
        <f t="shared" ca="1" si="133"/>
        <v>1.0068214933659623</v>
      </c>
      <c r="BC153" s="133">
        <f t="shared" ca="1" si="133"/>
        <v>1.0068214933659623</v>
      </c>
      <c r="BD153" s="133">
        <f t="shared" ca="1" si="133"/>
        <v>1.0068214933659623</v>
      </c>
      <c r="BE153" s="133">
        <f t="shared" ca="1" si="133"/>
        <v>1.0068214933659623</v>
      </c>
      <c r="BF153" s="133">
        <f t="shared" ca="1" si="133"/>
        <v>1.0068214933659623</v>
      </c>
      <c r="BG153" s="133">
        <f t="shared" ca="1" si="133"/>
        <v>1.0068214933659623</v>
      </c>
      <c r="BH153" s="133">
        <f t="shared" ca="1" si="133"/>
        <v>1.0068214933659623</v>
      </c>
      <c r="BI153" s="133">
        <f t="shared" ca="1" si="133"/>
        <v>1.0068214933659623</v>
      </c>
      <c r="BJ153" s="133">
        <f t="shared" ca="1" si="133"/>
        <v>1.0068214933659623</v>
      </c>
      <c r="BK153" s="133">
        <f t="shared" ca="1" si="133"/>
        <v>1.0068214933659623</v>
      </c>
      <c r="BL153" s="133">
        <f t="shared" ca="1" si="108"/>
        <v>8.5000000000000853E-2</v>
      </c>
      <c r="BM153" s="134">
        <f t="shared" ca="1" si="126"/>
        <v>206281.71227522474</v>
      </c>
    </row>
    <row r="154" spans="5:65">
      <c r="E154">
        <f t="shared" si="127"/>
        <v>151</v>
      </c>
      <c r="F154" s="64">
        <f t="shared" si="109"/>
        <v>74</v>
      </c>
      <c r="G154" s="55">
        <f t="shared" si="110"/>
        <v>5.1085345568211427E-3</v>
      </c>
      <c r="H154" s="78">
        <f t="shared" si="131"/>
        <v>0.62349795883732273</v>
      </c>
      <c r="I154" s="79">
        <f t="shared" ca="1" si="111"/>
        <v>685317.34157249355</v>
      </c>
      <c r="J154" s="79">
        <f t="shared" ca="1" si="112"/>
        <v>4674.8876991156649</v>
      </c>
      <c r="K154" s="80">
        <f t="shared" ca="1" si="113"/>
        <v>-12.469959176746455</v>
      </c>
      <c r="L154" s="80">
        <f t="shared" ca="1" si="114"/>
        <v>0</v>
      </c>
      <c r="M154" s="80">
        <f t="shared" ca="1" si="115"/>
        <v>0</v>
      </c>
      <c r="N154" s="80">
        <f t="shared" ca="1" si="116"/>
        <v>0</v>
      </c>
      <c r="O154" s="81">
        <f t="shared" ca="1" si="98"/>
        <v>-10422.394758265029</v>
      </c>
      <c r="P154" s="79">
        <f t="shared" ca="1" si="99"/>
        <v>679557.36455416749</v>
      </c>
      <c r="Q154" s="35"/>
      <c r="R154">
        <f t="shared" ca="1" si="117"/>
        <v>151</v>
      </c>
      <c r="S154" s="78">
        <f t="shared" ca="1" si="118"/>
        <v>74</v>
      </c>
      <c r="T154" s="55">
        <f t="shared" ca="1" si="119"/>
        <v>5.1085345568211427E-3</v>
      </c>
      <c r="U154" s="78">
        <f t="shared" ca="1" si="120"/>
        <v>0.62349795883732273</v>
      </c>
      <c r="V154" s="79">
        <f t="shared" ca="1" si="121"/>
        <v>685317.34157249355</v>
      </c>
      <c r="W154" s="79">
        <f t="shared" ca="1" si="100"/>
        <v>4674.8876991156649</v>
      </c>
      <c r="X154" s="80">
        <f t="shared" ca="1" si="101"/>
        <v>-12.469959176746455</v>
      </c>
      <c r="Y154" s="80">
        <f t="shared" ca="1" si="122"/>
        <v>0</v>
      </c>
      <c r="Z154" s="80">
        <f t="shared" ca="1" si="102"/>
        <v>0</v>
      </c>
      <c r="AA154" s="80">
        <f t="shared" ca="1" si="123"/>
        <v>0</v>
      </c>
      <c r="AB154" s="81">
        <f t="shared" ca="1" si="103"/>
        <v>-10422.394758265029</v>
      </c>
      <c r="AC154" s="79">
        <f t="shared" ca="1" si="104"/>
        <v>679557.36455416749</v>
      </c>
      <c r="AD154" s="35"/>
      <c r="AE154" s="62">
        <f t="shared" ca="1" si="105"/>
        <v>-16716.004616439077</v>
      </c>
      <c r="AF154" s="62">
        <f t="shared" ca="1" si="106"/>
        <v>1089911.1294949264</v>
      </c>
      <c r="AG154" s="35"/>
      <c r="AH154" s="35"/>
      <c r="AR154" s="69">
        <f t="shared" si="124"/>
        <v>13</v>
      </c>
      <c r="AS154" s="70">
        <f t="shared" si="128"/>
        <v>151</v>
      </c>
      <c r="AT154" s="71">
        <f t="shared" si="129"/>
        <v>0.35573301702111004</v>
      </c>
      <c r="AU154" s="72">
        <f t="shared" si="107"/>
        <v>6.8214933659622723E-3</v>
      </c>
      <c r="AV154" s="73">
        <f t="shared" si="125"/>
        <v>1.0068214933659623</v>
      </c>
      <c r="AW154" s="74">
        <f>PRODUCT(AV$4:AV154)</f>
        <v>2.7914136990028933</v>
      </c>
      <c r="BM154" s="135">
        <f>AW1803</f>
        <v>206281.71227521964</v>
      </c>
    </row>
    <row r="155" spans="5:65">
      <c r="E155">
        <f t="shared" si="127"/>
        <v>152</v>
      </c>
      <c r="F155" s="64">
        <f t="shared" si="109"/>
        <v>74.08</v>
      </c>
      <c r="G155" s="55">
        <f t="shared" si="110"/>
        <v>5.1085345568211427E-3</v>
      </c>
      <c r="H155" s="78">
        <f t="shared" si="131"/>
        <v>0.62031279796849481</v>
      </c>
      <c r="I155" s="79">
        <f t="shared" ca="1" si="111"/>
        <v>676085.82227400027</v>
      </c>
      <c r="J155" s="79">
        <f t="shared" ca="1" si="112"/>
        <v>4611.9149514632409</v>
      </c>
      <c r="K155" s="80">
        <f t="shared" ca="1" si="113"/>
        <v>-12.406255959369897</v>
      </c>
      <c r="L155" s="80">
        <f t="shared" ca="1" si="114"/>
        <v>0</v>
      </c>
      <c r="M155" s="80">
        <f t="shared" ca="1" si="115"/>
        <v>0</v>
      </c>
      <c r="N155" s="80">
        <f t="shared" ca="1" si="116"/>
        <v>0</v>
      </c>
      <c r="O155" s="81">
        <f t="shared" ca="1" si="98"/>
        <v>-10369.1515944776</v>
      </c>
      <c r="P155" s="79">
        <f t="shared" ca="1" si="99"/>
        <v>670316.17937502649</v>
      </c>
      <c r="Q155" s="35"/>
      <c r="R155">
        <f t="shared" ca="1" si="117"/>
        <v>152</v>
      </c>
      <c r="S155" s="78">
        <f t="shared" ca="1" si="118"/>
        <v>74.08</v>
      </c>
      <c r="T155" s="55">
        <f t="shared" ca="1" si="119"/>
        <v>5.1085345568211427E-3</v>
      </c>
      <c r="U155" s="78">
        <f t="shared" ca="1" si="120"/>
        <v>0.62031279796849481</v>
      </c>
      <c r="V155" s="79">
        <f t="shared" ca="1" si="121"/>
        <v>676085.82227400027</v>
      </c>
      <c r="W155" s="79">
        <f t="shared" ca="1" si="100"/>
        <v>4611.9149514632409</v>
      </c>
      <c r="X155" s="80">
        <f t="shared" ca="1" si="101"/>
        <v>-12.406255959369897</v>
      </c>
      <c r="Y155" s="80">
        <f t="shared" ca="1" si="122"/>
        <v>0</v>
      </c>
      <c r="Z155" s="80">
        <f t="shared" ca="1" si="102"/>
        <v>0</v>
      </c>
      <c r="AA155" s="80">
        <f t="shared" ca="1" si="123"/>
        <v>0</v>
      </c>
      <c r="AB155" s="81">
        <f t="shared" ca="1" si="103"/>
        <v>-10369.1515944776</v>
      </c>
      <c r="AC155" s="79">
        <f t="shared" ca="1" si="104"/>
        <v>670316.17937502649</v>
      </c>
      <c r="AD155" s="35"/>
      <c r="AE155" s="62">
        <f t="shared" ca="1" si="105"/>
        <v>-16716.004616439077</v>
      </c>
      <c r="AF155" s="62">
        <f t="shared" ca="1" si="106"/>
        <v>1080609.9464178253</v>
      </c>
      <c r="AG155" s="35"/>
      <c r="AH155" s="35"/>
      <c r="AR155" s="69">
        <f t="shared" si="124"/>
        <v>13</v>
      </c>
      <c r="AS155" s="70">
        <f t="shared" si="128"/>
        <v>152</v>
      </c>
      <c r="AT155" s="71">
        <f t="shared" si="129"/>
        <v>0.35330638660544678</v>
      </c>
      <c r="AU155" s="72">
        <f t="shared" si="107"/>
        <v>6.8214933659622723E-3</v>
      </c>
      <c r="AV155" s="73">
        <f t="shared" si="125"/>
        <v>1.0068214933659623</v>
      </c>
      <c r="AW155" s="74">
        <f>PRODUCT(AV$4:AV155)</f>
        <v>2.8104553090322977</v>
      </c>
    </row>
    <row r="156" spans="5:65">
      <c r="E156">
        <f t="shared" si="127"/>
        <v>153</v>
      </c>
      <c r="F156" s="64">
        <f t="shared" si="109"/>
        <v>74.16</v>
      </c>
      <c r="G156" s="55">
        <f t="shared" si="110"/>
        <v>5.1085345568211427E-3</v>
      </c>
      <c r="H156" s="78">
        <f t="shared" si="131"/>
        <v>0.61714390860403434</v>
      </c>
      <c r="I156" s="79">
        <f t="shared" ca="1" si="111"/>
        <v>666891.84600869287</v>
      </c>
      <c r="J156" s="79">
        <f t="shared" ca="1" si="112"/>
        <v>4549.198303362632</v>
      </c>
      <c r="K156" s="80">
        <f t="shared" ca="1" si="113"/>
        <v>-12.342878172080686</v>
      </c>
      <c r="L156" s="80">
        <f t="shared" ca="1" si="114"/>
        <v>0</v>
      </c>
      <c r="M156" s="80">
        <f t="shared" ca="1" si="115"/>
        <v>0</v>
      </c>
      <c r="N156" s="80">
        <f t="shared" ca="1" si="116"/>
        <v>0</v>
      </c>
      <c r="O156" s="81">
        <f t="shared" ca="1" si="98"/>
        <v>-10316.180425232295</v>
      </c>
      <c r="P156" s="79">
        <f t="shared" ca="1" si="99"/>
        <v>661112.52100865112</v>
      </c>
      <c r="Q156" s="35"/>
      <c r="R156">
        <f t="shared" ca="1" si="117"/>
        <v>153</v>
      </c>
      <c r="S156" s="78">
        <f t="shared" ca="1" si="118"/>
        <v>74.16</v>
      </c>
      <c r="T156" s="55">
        <f t="shared" ca="1" si="119"/>
        <v>5.1085345568211427E-3</v>
      </c>
      <c r="U156" s="78">
        <f t="shared" ca="1" si="120"/>
        <v>0.61714390860403434</v>
      </c>
      <c r="V156" s="79">
        <f t="shared" ca="1" si="121"/>
        <v>666891.84600869287</v>
      </c>
      <c r="W156" s="79">
        <f t="shared" ca="1" si="100"/>
        <v>4549.198303362632</v>
      </c>
      <c r="X156" s="80">
        <f t="shared" ca="1" si="101"/>
        <v>-12.342878172080686</v>
      </c>
      <c r="Y156" s="80">
        <f t="shared" ca="1" si="122"/>
        <v>0</v>
      </c>
      <c r="Z156" s="80">
        <f t="shared" ca="1" si="102"/>
        <v>0</v>
      </c>
      <c r="AA156" s="80">
        <f t="shared" ca="1" si="123"/>
        <v>0</v>
      </c>
      <c r="AB156" s="81">
        <f t="shared" ca="1" si="103"/>
        <v>-10316.180425232295</v>
      </c>
      <c r="AC156" s="79">
        <f t="shared" ca="1" si="104"/>
        <v>661112.52100865112</v>
      </c>
      <c r="AD156" s="35"/>
      <c r="AE156" s="62">
        <f t="shared" ca="1" si="105"/>
        <v>-16716.004616439077</v>
      </c>
      <c r="AF156" s="62">
        <f t="shared" ca="1" si="106"/>
        <v>1071245.3153820683</v>
      </c>
      <c r="AG156" s="35"/>
      <c r="AH156" s="35"/>
      <c r="AR156" s="69">
        <f t="shared" si="124"/>
        <v>13</v>
      </c>
      <c r="AS156" s="70">
        <f t="shared" si="128"/>
        <v>153</v>
      </c>
      <c r="AT156" s="71">
        <f t="shared" si="129"/>
        <v>0.3508963094330656</v>
      </c>
      <c r="AU156" s="72">
        <f t="shared" si="107"/>
        <v>6.8214933659622723E-3</v>
      </c>
      <c r="AV156" s="73">
        <f t="shared" si="125"/>
        <v>1.0068214933659623</v>
      </c>
      <c r="AW156" s="74">
        <f>PRODUCT(AV$4:AV156)</f>
        <v>2.829626811278195</v>
      </c>
    </row>
    <row r="157" spans="5:65">
      <c r="E157">
        <f t="shared" si="127"/>
        <v>154</v>
      </c>
      <c r="F157" s="64">
        <f t="shared" si="109"/>
        <v>74.239999999999995</v>
      </c>
      <c r="G157" s="55">
        <f t="shared" si="110"/>
        <v>5.1085345568211427E-3</v>
      </c>
      <c r="H157" s="78">
        <f t="shared" si="131"/>
        <v>0.61399120762039894</v>
      </c>
      <c r="I157" s="79">
        <f t="shared" ca="1" si="111"/>
        <v>657735.20484913129</v>
      </c>
      <c r="J157" s="79">
        <f t="shared" ca="1" si="112"/>
        <v>4486.7363364381854</v>
      </c>
      <c r="K157" s="80">
        <f t="shared" ca="1" si="113"/>
        <v>-12.279824152407979</v>
      </c>
      <c r="L157" s="80">
        <f t="shared" ca="1" si="114"/>
        <v>0</v>
      </c>
      <c r="M157" s="80">
        <f t="shared" ca="1" si="115"/>
        <v>0</v>
      </c>
      <c r="N157" s="80">
        <f t="shared" ca="1" si="116"/>
        <v>0</v>
      </c>
      <c r="O157" s="81">
        <f t="shared" ca="1" si="98"/>
        <v>-10263.479861035592</v>
      </c>
      <c r="P157" s="79">
        <f t="shared" ca="1" si="99"/>
        <v>651946.18150038156</v>
      </c>
      <c r="Q157" s="35"/>
      <c r="R157">
        <f t="shared" ca="1" si="117"/>
        <v>154</v>
      </c>
      <c r="S157" s="78">
        <f t="shared" ca="1" si="118"/>
        <v>74.239999999999995</v>
      </c>
      <c r="T157" s="55">
        <f t="shared" ca="1" si="119"/>
        <v>5.1085345568211427E-3</v>
      </c>
      <c r="U157" s="78">
        <f t="shared" ca="1" si="120"/>
        <v>0.61399120762039894</v>
      </c>
      <c r="V157" s="79">
        <f t="shared" ca="1" si="121"/>
        <v>657735.20484913129</v>
      </c>
      <c r="W157" s="79">
        <f t="shared" ca="1" si="100"/>
        <v>4486.7363364381854</v>
      </c>
      <c r="X157" s="80">
        <f t="shared" ca="1" si="101"/>
        <v>-12.279824152407979</v>
      </c>
      <c r="Y157" s="80">
        <f t="shared" ca="1" si="122"/>
        <v>0</v>
      </c>
      <c r="Z157" s="80">
        <f t="shared" ca="1" si="102"/>
        <v>0</v>
      </c>
      <c r="AA157" s="80">
        <f t="shared" ca="1" si="123"/>
        <v>0</v>
      </c>
      <c r="AB157" s="81">
        <f t="shared" ca="1" si="103"/>
        <v>-10263.479861035592</v>
      </c>
      <c r="AC157" s="79">
        <f t="shared" ca="1" si="104"/>
        <v>651946.18150038156</v>
      </c>
      <c r="AD157" s="35"/>
      <c r="AE157" s="62">
        <f t="shared" ca="1" si="105"/>
        <v>-16716.004616439077</v>
      </c>
      <c r="AF157" s="62">
        <f t="shared" ca="1" si="106"/>
        <v>1061816.8035778264</v>
      </c>
      <c r="AG157" s="35"/>
      <c r="AH157" s="35"/>
      <c r="AR157" s="69">
        <f t="shared" si="124"/>
        <v>13</v>
      </c>
      <c r="AS157" s="70">
        <f t="shared" si="128"/>
        <v>154</v>
      </c>
      <c r="AT157" s="71">
        <f t="shared" si="129"/>
        <v>0.34850267258612733</v>
      </c>
      <c r="AU157" s="72">
        <f t="shared" si="107"/>
        <v>6.8214933659622723E-3</v>
      </c>
      <c r="AV157" s="73">
        <f t="shared" si="125"/>
        <v>1.0068214933659623</v>
      </c>
      <c r="AW157" s="74">
        <f>PRODUCT(AV$4:AV157)</f>
        <v>2.8489290917994783</v>
      </c>
    </row>
    <row r="158" spans="5:65">
      <c r="E158">
        <f t="shared" si="127"/>
        <v>155</v>
      </c>
      <c r="F158" s="64">
        <f t="shared" si="109"/>
        <v>74.319999999999993</v>
      </c>
      <c r="G158" s="55">
        <f t="shared" si="110"/>
        <v>5.1085345568211427E-3</v>
      </c>
      <c r="H158" s="78">
        <f t="shared" si="131"/>
        <v>0.61085461231868576</v>
      </c>
      <c r="I158" s="79">
        <f t="shared" ca="1" si="111"/>
        <v>648615.6919029993</v>
      </c>
      <c r="J158" s="79">
        <f t="shared" ca="1" si="112"/>
        <v>4424.5276393753393</v>
      </c>
      <c r="K158" s="80">
        <f t="shared" ca="1" si="113"/>
        <v>-12.217092246373715</v>
      </c>
      <c r="L158" s="80">
        <f t="shared" ca="1" si="114"/>
        <v>0</v>
      </c>
      <c r="M158" s="80">
        <f t="shared" ca="1" si="115"/>
        <v>0</v>
      </c>
      <c r="N158" s="80">
        <f t="shared" ca="1" si="116"/>
        <v>0</v>
      </c>
      <c r="O158" s="81">
        <f t="shared" ca="1" si="98"/>
        <v>-10211.048519492255</v>
      </c>
      <c r="P158" s="79">
        <f t="shared" ca="1" si="99"/>
        <v>642816.95393063594</v>
      </c>
      <c r="Q158" s="35"/>
      <c r="R158">
        <f t="shared" ca="1" si="117"/>
        <v>155</v>
      </c>
      <c r="S158" s="78">
        <f t="shared" ca="1" si="118"/>
        <v>74.319999999999993</v>
      </c>
      <c r="T158" s="55">
        <f t="shared" ca="1" si="119"/>
        <v>5.1085345568211427E-3</v>
      </c>
      <c r="U158" s="78">
        <f t="shared" ca="1" si="120"/>
        <v>0.61085461231868576</v>
      </c>
      <c r="V158" s="79">
        <f t="shared" ca="1" si="121"/>
        <v>648615.6919029993</v>
      </c>
      <c r="W158" s="79">
        <f t="shared" ca="1" si="100"/>
        <v>4424.5276393753393</v>
      </c>
      <c r="X158" s="80">
        <f t="shared" ca="1" si="101"/>
        <v>-12.217092246373715</v>
      </c>
      <c r="Y158" s="80">
        <f t="shared" ca="1" si="122"/>
        <v>0</v>
      </c>
      <c r="Z158" s="80">
        <f t="shared" ca="1" si="102"/>
        <v>0</v>
      </c>
      <c r="AA158" s="80">
        <f t="shared" ca="1" si="123"/>
        <v>0</v>
      </c>
      <c r="AB158" s="81">
        <f t="shared" ca="1" si="103"/>
        <v>-10211.048519492255</v>
      </c>
      <c r="AC158" s="79">
        <f t="shared" ca="1" si="104"/>
        <v>642816.95393063594</v>
      </c>
      <c r="AD158" s="35"/>
      <c r="AE158" s="62">
        <f t="shared" ca="1" si="105"/>
        <v>-16716.004616439077</v>
      </c>
      <c r="AF158" s="62">
        <f t="shared" ca="1" si="106"/>
        <v>1052323.9752428606</v>
      </c>
      <c r="AG158" s="35"/>
      <c r="AH158" s="35"/>
      <c r="AR158" s="69">
        <f t="shared" si="124"/>
        <v>13</v>
      </c>
      <c r="AS158" s="70">
        <f t="shared" si="128"/>
        <v>155</v>
      </c>
      <c r="AT158" s="71">
        <f t="shared" si="129"/>
        <v>0.34612536391706095</v>
      </c>
      <c r="AU158" s="72">
        <f t="shared" si="107"/>
        <v>6.8214933659622723E-3</v>
      </c>
      <c r="AV158" s="73">
        <f t="shared" si="125"/>
        <v>1.0068214933659623</v>
      </c>
      <c r="AW158" s="74">
        <f>PRODUCT(AV$4:AV158)</f>
        <v>2.8683630426992854</v>
      </c>
    </row>
    <row r="159" spans="5:65">
      <c r="E159">
        <f t="shared" si="127"/>
        <v>156</v>
      </c>
      <c r="F159" s="64">
        <f t="shared" si="109"/>
        <v>74.400000000000006</v>
      </c>
      <c r="G159" s="55">
        <f t="shared" si="110"/>
        <v>5.1085345568211427E-3</v>
      </c>
      <c r="H159" s="78">
        <f t="shared" si="131"/>
        <v>0.60773404042246215</v>
      </c>
      <c r="I159" s="79">
        <f t="shared" ca="1" si="111"/>
        <v>639533.10130777082</v>
      </c>
      <c r="J159" s="79">
        <f t="shared" ca="1" si="112"/>
        <v>4362.5708078842363</v>
      </c>
      <c r="K159" s="80">
        <f t="shared" ca="1" si="113"/>
        <v>-12.154680808449243</v>
      </c>
      <c r="L159" s="80">
        <f t="shared" ca="1" si="114"/>
        <v>0</v>
      </c>
      <c r="M159" s="80">
        <f t="shared" ca="1" si="115"/>
        <v>0</v>
      </c>
      <c r="N159" s="80">
        <f t="shared" ca="1" si="116"/>
        <v>0</v>
      </c>
      <c r="O159" s="81">
        <f t="shared" ca="1" si="98"/>
        <v>-10158.885025269052</v>
      </c>
      <c r="P159" s="79">
        <f t="shared" ca="1" si="99"/>
        <v>633724.63240957761</v>
      </c>
      <c r="Q159" s="35"/>
      <c r="R159">
        <f t="shared" ca="1" si="117"/>
        <v>156</v>
      </c>
      <c r="S159" s="78">
        <f t="shared" ca="1" si="118"/>
        <v>74.400000000000006</v>
      </c>
      <c r="T159" s="55">
        <f t="shared" ca="1" si="119"/>
        <v>5.1085345568211427E-3</v>
      </c>
      <c r="U159" s="78">
        <f t="shared" ca="1" si="120"/>
        <v>0.60773404042246215</v>
      </c>
      <c r="V159" s="79">
        <f t="shared" ca="1" si="121"/>
        <v>639533.10130777082</v>
      </c>
      <c r="W159" s="79">
        <f t="shared" ca="1" si="100"/>
        <v>4362.5708078842363</v>
      </c>
      <c r="X159" s="80">
        <f t="shared" ca="1" si="101"/>
        <v>-12.154680808449243</v>
      </c>
      <c r="Y159" s="80">
        <f t="shared" ca="1" si="122"/>
        <v>0</v>
      </c>
      <c r="Z159" s="80">
        <f t="shared" ca="1" si="102"/>
        <v>0</v>
      </c>
      <c r="AA159" s="80">
        <f t="shared" ca="1" si="123"/>
        <v>0</v>
      </c>
      <c r="AB159" s="81">
        <f t="shared" ca="1" si="103"/>
        <v>-10158.885025269052</v>
      </c>
      <c r="AC159" s="79">
        <f t="shared" ca="1" si="104"/>
        <v>633724.63240957761</v>
      </c>
      <c r="AD159" s="35"/>
      <c r="AE159" s="62">
        <f t="shared" ca="1" si="105"/>
        <v>-16716.004616439081</v>
      </c>
      <c r="AF159" s="62">
        <f t="shared" ca="1" si="106"/>
        <v>1042766.391642384</v>
      </c>
      <c r="AG159" s="35"/>
      <c r="AH159" s="35"/>
      <c r="AR159" s="69">
        <f t="shared" si="124"/>
        <v>13</v>
      </c>
      <c r="AS159" s="70">
        <f t="shared" si="128"/>
        <v>156</v>
      </c>
      <c r="AT159" s="71">
        <f t="shared" si="129"/>
        <v>0.34376427204330945</v>
      </c>
      <c r="AU159" s="72">
        <f t="shared" si="107"/>
        <v>6.8214933659622723E-3</v>
      </c>
      <c r="AV159" s="73">
        <f t="shared" si="125"/>
        <v>1.0068214933659623</v>
      </c>
      <c r="AW159" s="74">
        <f>PRODUCT(AV$4:AV159)</f>
        <v>2.8879295621662298</v>
      </c>
    </row>
    <row r="160" spans="5:65">
      <c r="E160">
        <f t="shared" si="127"/>
        <v>157</v>
      </c>
      <c r="F160" s="64">
        <f t="shared" si="109"/>
        <v>74.48</v>
      </c>
      <c r="G160" s="55">
        <f t="shared" si="110"/>
        <v>5.1085345568211427E-3</v>
      </c>
      <c r="H160" s="78">
        <f t="shared" si="131"/>
        <v>0.60462941007560744</v>
      </c>
      <c r="I160" s="79">
        <f t="shared" ca="1" si="111"/>
        <v>630487.22822540451</v>
      </c>
      <c r="J160" s="79">
        <f t="shared" ca="1" si="112"/>
        <v>4300.8644446635381</v>
      </c>
      <c r="K160" s="80">
        <f t="shared" ca="1" si="113"/>
        <v>-12.092588201512148</v>
      </c>
      <c r="L160" s="80">
        <f t="shared" ca="1" si="114"/>
        <v>0</v>
      </c>
      <c r="M160" s="80">
        <f t="shared" ca="1" si="115"/>
        <v>0</v>
      </c>
      <c r="N160" s="80">
        <f t="shared" ca="1" si="116"/>
        <v>0</v>
      </c>
      <c r="O160" s="81">
        <f t="shared" ca="1" si="98"/>
        <v>-10106.988010058691</v>
      </c>
      <c r="P160" s="79">
        <f t="shared" ca="1" si="99"/>
        <v>624669.01207180787</v>
      </c>
      <c r="Q160" s="35"/>
      <c r="R160">
        <f t="shared" ca="1" si="117"/>
        <v>157</v>
      </c>
      <c r="S160" s="78">
        <f t="shared" ca="1" si="118"/>
        <v>74.48</v>
      </c>
      <c r="T160" s="55">
        <f t="shared" ca="1" si="119"/>
        <v>5.1085345568211427E-3</v>
      </c>
      <c r="U160" s="78">
        <f t="shared" ca="1" si="120"/>
        <v>0.60462941007560744</v>
      </c>
      <c r="V160" s="79">
        <f t="shared" ca="1" si="121"/>
        <v>630487.22822540451</v>
      </c>
      <c r="W160" s="79">
        <f t="shared" ca="1" si="100"/>
        <v>4300.8644446635381</v>
      </c>
      <c r="X160" s="80">
        <f t="shared" ca="1" si="101"/>
        <v>-12.092588201512148</v>
      </c>
      <c r="Y160" s="80">
        <f t="shared" ca="1" si="122"/>
        <v>0</v>
      </c>
      <c r="Z160" s="80">
        <f t="shared" ca="1" si="102"/>
        <v>0</v>
      </c>
      <c r="AA160" s="80">
        <f t="shared" ca="1" si="123"/>
        <v>0</v>
      </c>
      <c r="AB160" s="81">
        <f t="shared" ca="1" si="103"/>
        <v>-10106.988010058691</v>
      </c>
      <c r="AC160" s="79">
        <f t="shared" ca="1" si="104"/>
        <v>624669.01207180787</v>
      </c>
      <c r="AD160" s="35"/>
      <c r="AE160" s="62">
        <f t="shared" ca="1" si="105"/>
        <v>-16716.004616439077</v>
      </c>
      <c r="AF160" s="62">
        <f t="shared" ca="1" si="106"/>
        <v>1033143.611048782</v>
      </c>
      <c r="AG160" s="35"/>
      <c r="AH160" s="35"/>
      <c r="AR160" s="69">
        <f t="shared" si="124"/>
        <v>14</v>
      </c>
      <c r="AS160" s="70">
        <f t="shared" si="128"/>
        <v>157</v>
      </c>
      <c r="AT160" s="71">
        <f t="shared" si="129"/>
        <v>0.34141928634211116</v>
      </c>
      <c r="AU160" s="72">
        <f t="shared" si="107"/>
        <v>6.8214933659622723E-3</v>
      </c>
      <c r="AV160" s="73">
        <f t="shared" si="125"/>
        <v>1.0068214933659623</v>
      </c>
      <c r="AW160" s="74">
        <f>PRODUCT(AV$4:AV160)</f>
        <v>2.9076295545159132</v>
      </c>
    </row>
    <row r="161" spans="5:49">
      <c r="E161">
        <f t="shared" si="127"/>
        <v>158</v>
      </c>
      <c r="F161" s="64">
        <f t="shared" si="109"/>
        <v>74.56</v>
      </c>
      <c r="G161" s="55">
        <f t="shared" si="110"/>
        <v>5.5703631168392276E-3</v>
      </c>
      <c r="H161" s="78">
        <f t="shared" si="131"/>
        <v>0.60126140471036604</v>
      </c>
      <c r="I161" s="79">
        <f t="shared" ca="1" si="111"/>
        <v>621189.37884673069</v>
      </c>
      <c r="J161" s="79">
        <f t="shared" ca="1" si="112"/>
        <v>4237.4392268091979</v>
      </c>
      <c r="K161" s="80">
        <f t="shared" ca="1" si="113"/>
        <v>-12.025228094207321</v>
      </c>
      <c r="L161" s="80">
        <f t="shared" ca="1" si="114"/>
        <v>0</v>
      </c>
      <c r="M161" s="80">
        <f t="shared" ca="1" si="115"/>
        <v>0</v>
      </c>
      <c r="N161" s="80">
        <f t="shared" ca="1" si="116"/>
        <v>0</v>
      </c>
      <c r="O161" s="81">
        <f t="shared" ca="1" si="98"/>
        <v>-10050.688416825124</v>
      </c>
      <c r="P161" s="79">
        <f t="shared" ca="1" si="99"/>
        <v>615364.10442862054</v>
      </c>
      <c r="Q161" s="35"/>
      <c r="R161">
        <f t="shared" ca="1" si="117"/>
        <v>158</v>
      </c>
      <c r="S161" s="78">
        <f t="shared" ca="1" si="118"/>
        <v>74.56</v>
      </c>
      <c r="T161" s="55">
        <f t="shared" ca="1" si="119"/>
        <v>5.5703631168392276E-3</v>
      </c>
      <c r="U161" s="78">
        <f t="shared" ca="1" si="120"/>
        <v>0.60126140471036604</v>
      </c>
      <c r="V161" s="79">
        <f t="shared" ca="1" si="121"/>
        <v>621189.37884673069</v>
      </c>
      <c r="W161" s="79">
        <f t="shared" ca="1" si="100"/>
        <v>4237.4392268091979</v>
      </c>
      <c r="X161" s="80">
        <f t="shared" ca="1" si="101"/>
        <v>-12.025228094207321</v>
      </c>
      <c r="Y161" s="80">
        <f t="shared" ca="1" si="122"/>
        <v>0</v>
      </c>
      <c r="Z161" s="80">
        <f t="shared" ca="1" si="102"/>
        <v>0</v>
      </c>
      <c r="AA161" s="80">
        <f t="shared" ca="1" si="123"/>
        <v>0</v>
      </c>
      <c r="AB161" s="81">
        <f t="shared" ca="1" si="103"/>
        <v>-10050.688416825124</v>
      </c>
      <c r="AC161" s="79">
        <f t="shared" ca="1" si="104"/>
        <v>615364.10442862054</v>
      </c>
      <c r="AD161" s="35"/>
      <c r="AE161" s="62">
        <f t="shared" ca="1" si="105"/>
        <v>-16716.004616439077</v>
      </c>
      <c r="AF161" s="62">
        <f t="shared" ca="1" si="106"/>
        <v>1023455.1887211985</v>
      </c>
      <c r="AG161" s="35"/>
      <c r="AH161" s="35"/>
      <c r="AR161" s="69">
        <f t="shared" si="124"/>
        <v>14</v>
      </c>
      <c r="AS161" s="70">
        <f t="shared" si="128"/>
        <v>158</v>
      </c>
      <c r="AT161" s="71">
        <f t="shared" si="129"/>
        <v>0.33909029694531689</v>
      </c>
      <c r="AU161" s="72">
        <f t="shared" si="107"/>
        <v>6.8214933659622723E-3</v>
      </c>
      <c r="AV161" s="73">
        <f t="shared" si="125"/>
        <v>1.0068214933659623</v>
      </c>
      <c r="AW161" s="74">
        <f>PRODUCT(AV$4:AV161)</f>
        <v>2.9274639302327192</v>
      </c>
    </row>
    <row r="162" spans="5:49">
      <c r="E162">
        <f t="shared" si="127"/>
        <v>159</v>
      </c>
      <c r="F162" s="64">
        <f t="shared" si="109"/>
        <v>74.64</v>
      </c>
      <c r="G162" s="55">
        <f t="shared" si="110"/>
        <v>5.5703631168392276E-3</v>
      </c>
      <c r="H162" s="78">
        <f t="shared" si="131"/>
        <v>0.59791216035798844</v>
      </c>
      <c r="I162" s="79">
        <f t="shared" ca="1" si="111"/>
        <v>611936.30291788455</v>
      </c>
      <c r="J162" s="79">
        <f t="shared" ca="1" si="112"/>
        <v>4174.3194307458289</v>
      </c>
      <c r="K162" s="80">
        <f t="shared" ca="1" si="113"/>
        <v>-11.958243207159768</v>
      </c>
      <c r="L162" s="80">
        <f t="shared" ca="1" si="114"/>
        <v>0</v>
      </c>
      <c r="M162" s="80">
        <f t="shared" ca="1" si="115"/>
        <v>0</v>
      </c>
      <c r="N162" s="80">
        <f t="shared" ca="1" si="116"/>
        <v>0</v>
      </c>
      <c r="O162" s="81">
        <f t="shared" ca="1" si="98"/>
        <v>-9994.7024327691961</v>
      </c>
      <c r="P162" s="79">
        <f t="shared" ca="1" si="99"/>
        <v>606103.96167265391</v>
      </c>
      <c r="Q162" s="35"/>
      <c r="R162">
        <f t="shared" ca="1" si="117"/>
        <v>159</v>
      </c>
      <c r="S162" s="78">
        <f t="shared" ca="1" si="118"/>
        <v>74.64</v>
      </c>
      <c r="T162" s="55">
        <f t="shared" ca="1" si="119"/>
        <v>5.5703631168392276E-3</v>
      </c>
      <c r="U162" s="78">
        <f t="shared" ca="1" si="120"/>
        <v>0.59791216035798844</v>
      </c>
      <c r="V162" s="79">
        <f t="shared" ca="1" si="121"/>
        <v>611936.30291788455</v>
      </c>
      <c r="W162" s="79">
        <f t="shared" ca="1" si="100"/>
        <v>4174.3194307458289</v>
      </c>
      <c r="X162" s="80">
        <f t="shared" ca="1" si="101"/>
        <v>-11.958243207159768</v>
      </c>
      <c r="Y162" s="80">
        <f t="shared" ca="1" si="122"/>
        <v>0</v>
      </c>
      <c r="Z162" s="80">
        <f t="shared" ca="1" si="102"/>
        <v>0</v>
      </c>
      <c r="AA162" s="80">
        <f t="shared" ca="1" si="123"/>
        <v>0</v>
      </c>
      <c r="AB162" s="81">
        <f t="shared" ca="1" si="103"/>
        <v>-9994.7024327691961</v>
      </c>
      <c r="AC162" s="79">
        <f t="shared" ca="1" si="104"/>
        <v>606103.96167265391</v>
      </c>
      <c r="AD162" s="35"/>
      <c r="AE162" s="62">
        <f t="shared" ca="1" si="105"/>
        <v>-16716.004616439077</v>
      </c>
      <c r="AF162" s="62">
        <f t="shared" ca="1" si="106"/>
        <v>1013700.6768849805</v>
      </c>
      <c r="AG162" s="35"/>
      <c r="AH162" s="35"/>
      <c r="AR162" s="69">
        <f t="shared" si="124"/>
        <v>14</v>
      </c>
      <c r="AS162" s="70">
        <f t="shared" si="128"/>
        <v>159</v>
      </c>
      <c r="AT162" s="71">
        <f t="shared" si="129"/>
        <v>0.33677719473424222</v>
      </c>
      <c r="AU162" s="72">
        <f t="shared" si="107"/>
        <v>6.8214933659622723E-3</v>
      </c>
      <c r="AV162" s="73">
        <f t="shared" si="125"/>
        <v>1.0068214933659623</v>
      </c>
      <c r="AW162" s="74">
        <f>PRODUCT(AV$4:AV162)</f>
        <v>2.9474336060118955</v>
      </c>
    </row>
    <row r="163" spans="5:49">
      <c r="E163">
        <f t="shared" si="127"/>
        <v>160</v>
      </c>
      <c r="F163" s="64">
        <f t="shared" si="109"/>
        <v>74.72</v>
      </c>
      <c r="G163" s="55">
        <f t="shared" si="110"/>
        <v>5.5703631168392276E-3</v>
      </c>
      <c r="H163" s="78">
        <f t="shared" si="131"/>
        <v>0.59458157251282062</v>
      </c>
      <c r="I163" s="79">
        <f t="shared" ca="1" si="111"/>
        <v>602727.74251958239</v>
      </c>
      <c r="J163" s="79">
        <f t="shared" ca="1" si="112"/>
        <v>4111.5032970787479</v>
      </c>
      <c r="K163" s="80">
        <f t="shared" ca="1" si="113"/>
        <v>-11.891631450256412</v>
      </c>
      <c r="L163" s="80">
        <f t="shared" ca="1" si="114"/>
        <v>0</v>
      </c>
      <c r="M163" s="80">
        <f t="shared" ca="1" si="115"/>
        <v>0</v>
      </c>
      <c r="N163" s="80">
        <f t="shared" ca="1" si="116"/>
        <v>0</v>
      </c>
      <c r="O163" s="81">
        <f t="shared" ca="1" si="98"/>
        <v>-9939.0283109739157</v>
      </c>
      <c r="P163" s="79">
        <f t="shared" ca="1" si="99"/>
        <v>596888.32587423699</v>
      </c>
      <c r="Q163" s="35"/>
      <c r="R163">
        <f t="shared" ca="1" si="117"/>
        <v>160</v>
      </c>
      <c r="S163" s="78">
        <f t="shared" ca="1" si="118"/>
        <v>74.72</v>
      </c>
      <c r="T163" s="55">
        <f t="shared" ca="1" si="119"/>
        <v>5.5703631168392276E-3</v>
      </c>
      <c r="U163" s="78">
        <f t="shared" ca="1" si="120"/>
        <v>0.59458157251282062</v>
      </c>
      <c r="V163" s="79">
        <f t="shared" ca="1" si="121"/>
        <v>602727.74251958239</v>
      </c>
      <c r="W163" s="79">
        <f t="shared" ca="1" si="100"/>
        <v>4111.5032970787479</v>
      </c>
      <c r="X163" s="80">
        <f t="shared" ca="1" si="101"/>
        <v>-11.891631450256412</v>
      </c>
      <c r="Y163" s="80">
        <f t="shared" ca="1" si="122"/>
        <v>0</v>
      </c>
      <c r="Z163" s="80">
        <f t="shared" ca="1" si="102"/>
        <v>0</v>
      </c>
      <c r="AA163" s="80">
        <f t="shared" ca="1" si="123"/>
        <v>0</v>
      </c>
      <c r="AB163" s="81">
        <f t="shared" ca="1" si="103"/>
        <v>-9939.0283109739157</v>
      </c>
      <c r="AC163" s="79">
        <f t="shared" ca="1" si="104"/>
        <v>596888.32587423699</v>
      </c>
      <c r="AD163" s="35"/>
      <c r="AE163" s="62">
        <f t="shared" ca="1" si="105"/>
        <v>-16716.004616439077</v>
      </c>
      <c r="AF163" s="62">
        <f t="shared" ca="1" si="106"/>
        <v>1003879.6247109838</v>
      </c>
      <c r="AG163" s="35"/>
      <c r="AH163" s="35"/>
      <c r="AR163" s="69">
        <f t="shared" si="124"/>
        <v>14</v>
      </c>
      <c r="AS163" s="70">
        <f t="shared" si="128"/>
        <v>160</v>
      </c>
      <c r="AT163" s="71">
        <f t="shared" si="129"/>
        <v>0.3344798713345552</v>
      </c>
      <c r="AU163" s="72">
        <f t="shared" si="107"/>
        <v>6.8214933659622723E-3</v>
      </c>
      <c r="AV163" s="73">
        <f t="shared" si="125"/>
        <v>1.0068214933659623</v>
      </c>
      <c r="AW163" s="74">
        <f>PRODUCT(AV$4:AV163)</f>
        <v>2.9675395048019197</v>
      </c>
    </row>
    <row r="164" spans="5:49">
      <c r="E164">
        <f t="shared" si="127"/>
        <v>161</v>
      </c>
      <c r="F164" s="64">
        <f t="shared" si="109"/>
        <v>74.8</v>
      </c>
      <c r="G164" s="55">
        <f t="shared" si="110"/>
        <v>5.5703631168392276E-3</v>
      </c>
      <c r="H164" s="78">
        <f t="shared" si="131"/>
        <v>0.5912695372513429</v>
      </c>
      <c r="I164" s="79">
        <f t="shared" ca="1" si="111"/>
        <v>593563.44115891529</v>
      </c>
      <c r="J164" s="79">
        <f t="shared" ca="1" si="112"/>
        <v>4048.989076143278</v>
      </c>
      <c r="K164" s="80">
        <f t="shared" ca="1" si="113"/>
        <v>-11.825390745026858</v>
      </c>
      <c r="L164" s="80">
        <f t="shared" ca="1" si="114"/>
        <v>0</v>
      </c>
      <c r="M164" s="80">
        <f t="shared" ca="1" si="115"/>
        <v>0</v>
      </c>
      <c r="N164" s="80">
        <f t="shared" ca="1" si="116"/>
        <v>0</v>
      </c>
      <c r="O164" s="81">
        <f t="shared" ca="1" si="98"/>
        <v>-9883.6643142532466</v>
      </c>
      <c r="P164" s="79">
        <f t="shared" ca="1" si="99"/>
        <v>587716.94053006021</v>
      </c>
      <c r="Q164" s="35"/>
      <c r="R164">
        <f t="shared" ca="1" si="117"/>
        <v>161</v>
      </c>
      <c r="S164" s="78">
        <f t="shared" ca="1" si="118"/>
        <v>74.8</v>
      </c>
      <c r="T164" s="55">
        <f t="shared" ca="1" si="119"/>
        <v>5.5703631168392276E-3</v>
      </c>
      <c r="U164" s="78">
        <f t="shared" ca="1" si="120"/>
        <v>0.5912695372513429</v>
      </c>
      <c r="V164" s="79">
        <f t="shared" ca="1" si="121"/>
        <v>593563.44115891529</v>
      </c>
      <c r="W164" s="79">
        <f t="shared" ca="1" si="100"/>
        <v>4048.989076143278</v>
      </c>
      <c r="X164" s="80">
        <f t="shared" ca="1" si="101"/>
        <v>-11.825390745026858</v>
      </c>
      <c r="Y164" s="80">
        <f t="shared" ca="1" si="122"/>
        <v>0</v>
      </c>
      <c r="Z164" s="80">
        <f t="shared" ca="1" si="102"/>
        <v>0</v>
      </c>
      <c r="AA164" s="80">
        <f t="shared" ca="1" si="123"/>
        <v>0</v>
      </c>
      <c r="AB164" s="81">
        <f t="shared" ca="1" si="103"/>
        <v>-9883.6643142532466</v>
      </c>
      <c r="AC164" s="79">
        <f t="shared" ca="1" si="104"/>
        <v>587716.94053006021</v>
      </c>
      <c r="AD164" s="35"/>
      <c r="AE164" s="62">
        <f t="shared" ca="1" si="105"/>
        <v>-16716.004616439081</v>
      </c>
      <c r="AF164" s="62">
        <f t="shared" ca="1" si="106"/>
        <v>993991.5782947354</v>
      </c>
      <c r="AG164" s="35"/>
      <c r="AH164" s="35"/>
      <c r="AR164" s="69">
        <f t="shared" si="124"/>
        <v>14</v>
      </c>
      <c r="AS164" s="70">
        <f t="shared" si="128"/>
        <v>161</v>
      </c>
      <c r="AT164" s="71">
        <f t="shared" si="129"/>
        <v>0.33219821911119862</v>
      </c>
      <c r="AU164" s="72">
        <f t="shared" si="107"/>
        <v>6.8214933659622723E-3</v>
      </c>
      <c r="AV164" s="73">
        <f t="shared" si="125"/>
        <v>1.0068214933659623</v>
      </c>
      <c r="AW164" s="74">
        <f>PRODUCT(AV$4:AV164)</f>
        <v>2.9877825558471569</v>
      </c>
    </row>
    <row r="165" spans="5:49">
      <c r="E165">
        <f t="shared" si="127"/>
        <v>162</v>
      </c>
      <c r="F165" s="64">
        <f t="shared" si="109"/>
        <v>74.88</v>
      </c>
      <c r="G165" s="55">
        <f t="shared" si="110"/>
        <v>5.5703631168392276E-3</v>
      </c>
      <c r="H165" s="78">
        <f t="shared" si="131"/>
        <v>0.58797595122892743</v>
      </c>
      <c r="I165" s="79">
        <f t="shared" ca="1" si="111"/>
        <v>584443.14376139001</v>
      </c>
      <c r="J165" s="79">
        <f t="shared" ca="1" si="112"/>
        <v>3986.7750279504567</v>
      </c>
      <c r="K165" s="80">
        <f t="shared" ca="1" si="113"/>
        <v>-11.759519024578548</v>
      </c>
      <c r="L165" s="80">
        <f t="shared" ca="1" si="114"/>
        <v>0</v>
      </c>
      <c r="M165" s="80">
        <f t="shared" ca="1" si="115"/>
        <v>0</v>
      </c>
      <c r="N165" s="80">
        <f t="shared" ca="1" si="116"/>
        <v>0</v>
      </c>
      <c r="O165" s="81">
        <f t="shared" ca="1" si="98"/>
        <v>-9828.6087150979092</v>
      </c>
      <c r="P165" s="79">
        <f t="shared" ca="1" si="99"/>
        <v>578589.55055521789</v>
      </c>
      <c r="Q165" s="35"/>
      <c r="R165">
        <f t="shared" ca="1" si="117"/>
        <v>162</v>
      </c>
      <c r="S165" s="78">
        <f t="shared" ca="1" si="118"/>
        <v>74.88</v>
      </c>
      <c r="T165" s="55">
        <f t="shared" ca="1" si="119"/>
        <v>5.5703631168392276E-3</v>
      </c>
      <c r="U165" s="78">
        <f t="shared" ca="1" si="120"/>
        <v>0.58797595122892743</v>
      </c>
      <c r="V165" s="79">
        <f t="shared" ca="1" si="121"/>
        <v>584443.14376139001</v>
      </c>
      <c r="W165" s="79">
        <f t="shared" ca="1" si="100"/>
        <v>3986.7750279504567</v>
      </c>
      <c r="X165" s="80">
        <f t="shared" ca="1" si="101"/>
        <v>-11.759519024578548</v>
      </c>
      <c r="Y165" s="80">
        <f t="shared" ca="1" si="122"/>
        <v>0</v>
      </c>
      <c r="Z165" s="80">
        <f t="shared" ca="1" si="102"/>
        <v>0</v>
      </c>
      <c r="AA165" s="80">
        <f t="shared" ca="1" si="123"/>
        <v>0</v>
      </c>
      <c r="AB165" s="81">
        <f t="shared" ca="1" si="103"/>
        <v>-9828.6087150979092</v>
      </c>
      <c r="AC165" s="79">
        <f t="shared" ca="1" si="104"/>
        <v>578589.55055521789</v>
      </c>
      <c r="AD165" s="35"/>
      <c r="AE165" s="62">
        <f t="shared" ca="1" si="105"/>
        <v>-16716.004616439077</v>
      </c>
      <c r="AF165" s="62">
        <f t="shared" ca="1" si="106"/>
        <v>984036.08063545625</v>
      </c>
      <c r="AG165" s="35"/>
      <c r="AH165" s="35"/>
      <c r="AR165" s="69">
        <f t="shared" si="124"/>
        <v>14</v>
      </c>
      <c r="AS165" s="70">
        <f t="shared" si="128"/>
        <v>162</v>
      </c>
      <c r="AT165" s="71">
        <f t="shared" si="129"/>
        <v>0.32993213116334708</v>
      </c>
      <c r="AU165" s="72">
        <f t="shared" si="107"/>
        <v>6.8214933659622723E-3</v>
      </c>
      <c r="AV165" s="73">
        <f t="shared" si="125"/>
        <v>1.0068214933659623</v>
      </c>
      <c r="AW165" s="74">
        <f>PRODUCT(AV$4:AV165)</f>
        <v>3.0081636947308059</v>
      </c>
    </row>
    <row r="166" spans="5:49">
      <c r="E166">
        <f t="shared" si="127"/>
        <v>163</v>
      </c>
      <c r="F166" s="64">
        <f t="shared" si="109"/>
        <v>74.959999999999994</v>
      </c>
      <c r="G166" s="55">
        <f t="shared" si="110"/>
        <v>5.5703631168392276E-3</v>
      </c>
      <c r="H166" s="78">
        <f t="shared" si="131"/>
        <v>0.58470071167661331</v>
      </c>
      <c r="I166" s="79">
        <f t="shared" ca="1" si="111"/>
        <v>575366.59666301648</v>
      </c>
      <c r="J166" s="79">
        <f t="shared" ca="1" si="112"/>
        <v>3924.8594221330573</v>
      </c>
      <c r="K166" s="80">
        <f t="shared" ca="1" si="113"/>
        <v>-11.694014233532267</v>
      </c>
      <c r="L166" s="80">
        <f t="shared" ca="1" si="114"/>
        <v>0</v>
      </c>
      <c r="M166" s="80">
        <f t="shared" ca="1" si="115"/>
        <v>0</v>
      </c>
      <c r="N166" s="80">
        <f t="shared" ca="1" si="116"/>
        <v>0</v>
      </c>
      <c r="O166" s="81">
        <f t="shared" ca="1" si="98"/>
        <v>-9773.8597956214817</v>
      </c>
      <c r="P166" s="79">
        <f t="shared" ca="1" si="99"/>
        <v>569505.90227529453</v>
      </c>
      <c r="Q166" s="35"/>
      <c r="R166">
        <f t="shared" ca="1" si="117"/>
        <v>163</v>
      </c>
      <c r="S166" s="78">
        <f t="shared" ca="1" si="118"/>
        <v>74.959999999999994</v>
      </c>
      <c r="T166" s="55">
        <f t="shared" ca="1" si="119"/>
        <v>5.5703631168392276E-3</v>
      </c>
      <c r="U166" s="78">
        <f t="shared" ca="1" si="120"/>
        <v>0.58470071167661331</v>
      </c>
      <c r="V166" s="79">
        <f t="shared" ca="1" si="121"/>
        <v>575366.59666301648</v>
      </c>
      <c r="W166" s="79">
        <f t="shared" ca="1" si="100"/>
        <v>3924.8594221330573</v>
      </c>
      <c r="X166" s="80">
        <f t="shared" ca="1" si="101"/>
        <v>-11.694014233532267</v>
      </c>
      <c r="Y166" s="80">
        <f t="shared" ca="1" si="122"/>
        <v>0</v>
      </c>
      <c r="Z166" s="80">
        <f t="shared" ca="1" si="102"/>
        <v>0</v>
      </c>
      <c r="AA166" s="80">
        <f t="shared" ca="1" si="123"/>
        <v>0</v>
      </c>
      <c r="AB166" s="81">
        <f t="shared" ca="1" si="103"/>
        <v>-9773.8597956214817</v>
      </c>
      <c r="AC166" s="79">
        <f t="shared" ca="1" si="104"/>
        <v>569505.90227529453</v>
      </c>
      <c r="AD166" s="35"/>
      <c r="AE166" s="62">
        <f t="shared" ca="1" si="105"/>
        <v>-16716.004616439077</v>
      </c>
      <c r="AF166" s="62">
        <f t="shared" ca="1" si="106"/>
        <v>974012.67161493946</v>
      </c>
      <c r="AG166" s="35"/>
      <c r="AH166" s="35"/>
      <c r="AR166" s="69">
        <f t="shared" si="124"/>
        <v>14</v>
      </c>
      <c r="AS166" s="70">
        <f t="shared" si="128"/>
        <v>163</v>
      </c>
      <c r="AT166" s="71">
        <f t="shared" si="129"/>
        <v>0.32768150131939849</v>
      </c>
      <c r="AU166" s="72">
        <f t="shared" si="107"/>
        <v>6.8214933659622723E-3</v>
      </c>
      <c r="AV166" s="73">
        <f t="shared" si="125"/>
        <v>1.0068214933659623</v>
      </c>
      <c r="AW166" s="74">
        <f>PRODUCT(AV$4:AV166)</f>
        <v>3.0286838634181406</v>
      </c>
    </row>
    <row r="167" spans="5:49">
      <c r="E167">
        <f t="shared" si="127"/>
        <v>164</v>
      </c>
      <c r="F167" s="64">
        <f t="shared" si="109"/>
        <v>75.040000000000006</v>
      </c>
      <c r="G167" s="55">
        <f t="shared" si="110"/>
        <v>5.5703631168392276E-3</v>
      </c>
      <c r="H167" s="78">
        <f t="shared" si="131"/>
        <v>0.58144371639790027</v>
      </c>
      <c r="I167" s="79">
        <f t="shared" ca="1" si="111"/>
        <v>566333.54760243802</v>
      </c>
      <c r="J167" s="79">
        <f t="shared" ca="1" si="112"/>
        <v>3863.2405378919098</v>
      </c>
      <c r="K167" s="80">
        <f t="shared" ca="1" si="113"/>
        <v>-11.628874327958005</v>
      </c>
      <c r="L167" s="80">
        <f t="shared" ca="1" si="114"/>
        <v>0</v>
      </c>
      <c r="M167" s="80">
        <f t="shared" ca="1" si="115"/>
        <v>0</v>
      </c>
      <c r="N167" s="80">
        <f t="shared" ca="1" si="116"/>
        <v>0</v>
      </c>
      <c r="O167" s="81">
        <f t="shared" ca="1" si="98"/>
        <v>-9719.4158475067943</v>
      </c>
      <c r="P167" s="79">
        <f t="shared" ca="1" si="99"/>
        <v>560465.74341849505</v>
      </c>
      <c r="Q167" s="35"/>
      <c r="R167">
        <f t="shared" ca="1" si="117"/>
        <v>164</v>
      </c>
      <c r="S167" s="78">
        <f t="shared" ca="1" si="118"/>
        <v>75.040000000000006</v>
      </c>
      <c r="T167" s="55">
        <f t="shared" ca="1" si="119"/>
        <v>5.5703631168392276E-3</v>
      </c>
      <c r="U167" s="78">
        <f t="shared" ca="1" si="120"/>
        <v>0.58144371639790027</v>
      </c>
      <c r="V167" s="79">
        <f t="shared" ca="1" si="121"/>
        <v>566333.54760243802</v>
      </c>
      <c r="W167" s="79">
        <f t="shared" ca="1" si="100"/>
        <v>3863.2405378919098</v>
      </c>
      <c r="X167" s="80">
        <f t="shared" ca="1" si="101"/>
        <v>-11.628874327958005</v>
      </c>
      <c r="Y167" s="80">
        <f t="shared" ca="1" si="122"/>
        <v>0</v>
      </c>
      <c r="Z167" s="80">
        <f t="shared" ca="1" si="102"/>
        <v>0</v>
      </c>
      <c r="AA167" s="80">
        <f t="shared" ca="1" si="123"/>
        <v>0</v>
      </c>
      <c r="AB167" s="81">
        <f t="shared" ca="1" si="103"/>
        <v>-9719.4158475067943</v>
      </c>
      <c r="AC167" s="79">
        <f t="shared" ca="1" si="104"/>
        <v>560465.74341849505</v>
      </c>
      <c r="AD167" s="35"/>
      <c r="AE167" s="62">
        <f t="shared" ca="1" si="105"/>
        <v>-16716.004616439077</v>
      </c>
      <c r="AF167" s="62">
        <f t="shared" ca="1" si="106"/>
        <v>963920.88797628472</v>
      </c>
      <c r="AG167" s="35"/>
      <c r="AH167" s="35"/>
      <c r="AR167" s="69">
        <f t="shared" si="124"/>
        <v>14</v>
      </c>
      <c r="AS167" s="70">
        <f t="shared" si="128"/>
        <v>164</v>
      </c>
      <c r="AT167" s="71">
        <f t="shared" si="129"/>
        <v>0.32544622413199964</v>
      </c>
      <c r="AU167" s="72">
        <f t="shared" si="107"/>
        <v>6.8214933659622723E-3</v>
      </c>
      <c r="AV167" s="73">
        <f t="shared" si="125"/>
        <v>1.0068214933659623</v>
      </c>
      <c r="AW167" s="74">
        <f>PRODUCT(AV$4:AV167)</f>
        <v>3.0493440103000444</v>
      </c>
    </row>
    <row r="168" spans="5:49">
      <c r="E168">
        <f t="shared" si="127"/>
        <v>165</v>
      </c>
      <c r="F168" s="64">
        <f t="shared" si="109"/>
        <v>75.12</v>
      </c>
      <c r="G168" s="55">
        <f t="shared" si="110"/>
        <v>5.5703631168392276E-3</v>
      </c>
      <c r="H168" s="78">
        <f t="shared" si="131"/>
        <v>0.57820486376555946</v>
      </c>
      <c r="I168" s="79">
        <f t="shared" ca="1" si="111"/>
        <v>557343.74571310484</v>
      </c>
      <c r="J168" s="79">
        <f t="shared" ca="1" si="112"/>
        <v>3801.9166639425084</v>
      </c>
      <c r="K168" s="80">
        <f t="shared" ca="1" si="113"/>
        <v>-11.564097275311189</v>
      </c>
      <c r="L168" s="80">
        <f t="shared" ca="1" si="114"/>
        <v>0</v>
      </c>
      <c r="M168" s="80">
        <f t="shared" ca="1" si="115"/>
        <v>0</v>
      </c>
      <c r="N168" s="80">
        <f t="shared" ca="1" si="116"/>
        <v>0</v>
      </c>
      <c r="O168" s="81">
        <f t="shared" ca="1" si="98"/>
        <v>-9665.2751719526204</v>
      </c>
      <c r="P168" s="79">
        <f t="shared" ca="1" si="99"/>
        <v>551468.82310781942</v>
      </c>
      <c r="Q168" s="35"/>
      <c r="R168">
        <f t="shared" ca="1" si="117"/>
        <v>165</v>
      </c>
      <c r="S168" s="78">
        <f t="shared" ca="1" si="118"/>
        <v>75.12</v>
      </c>
      <c r="T168" s="55">
        <f t="shared" ca="1" si="119"/>
        <v>5.5703631168392276E-3</v>
      </c>
      <c r="U168" s="78">
        <f t="shared" ca="1" si="120"/>
        <v>0.57820486376555946</v>
      </c>
      <c r="V168" s="79">
        <f t="shared" ca="1" si="121"/>
        <v>557343.74571310484</v>
      </c>
      <c r="W168" s="79">
        <f t="shared" ca="1" si="100"/>
        <v>3801.9166639425084</v>
      </c>
      <c r="X168" s="80">
        <f t="shared" ca="1" si="101"/>
        <v>-11.564097275311189</v>
      </c>
      <c r="Y168" s="80">
        <f t="shared" ca="1" si="122"/>
        <v>0</v>
      </c>
      <c r="Z168" s="80">
        <f t="shared" ca="1" si="102"/>
        <v>0</v>
      </c>
      <c r="AA168" s="80">
        <f t="shared" ca="1" si="123"/>
        <v>0</v>
      </c>
      <c r="AB168" s="81">
        <f t="shared" ca="1" si="103"/>
        <v>-9665.2751719526204</v>
      </c>
      <c r="AC168" s="79">
        <f t="shared" ca="1" si="104"/>
        <v>551468.82310781942</v>
      </c>
      <c r="AD168" s="35"/>
      <c r="AE168" s="62">
        <f t="shared" ca="1" si="105"/>
        <v>-16716.004616439077</v>
      </c>
      <c r="AF168" s="62">
        <f t="shared" ca="1" si="106"/>
        <v>953760.26330248837</v>
      </c>
      <c r="AG168" s="35"/>
      <c r="AH168" s="35"/>
      <c r="AR168" s="69">
        <f t="shared" si="124"/>
        <v>14</v>
      </c>
      <c r="AS168" s="70">
        <f t="shared" si="128"/>
        <v>165</v>
      </c>
      <c r="AT168" s="71">
        <f t="shared" si="129"/>
        <v>0.32322619487310572</v>
      </c>
      <c r="AU168" s="72">
        <f t="shared" si="107"/>
        <v>6.8214933659622723E-3</v>
      </c>
      <c r="AV168" s="73">
        <f t="shared" si="125"/>
        <v>1.0068214933659623</v>
      </c>
      <c r="AW168" s="74">
        <f>PRODUCT(AV$4:AV168)</f>
        <v>3.070145090236843</v>
      </c>
    </row>
    <row r="169" spans="5:49">
      <c r="E169">
        <f t="shared" si="127"/>
        <v>166</v>
      </c>
      <c r="F169" s="64">
        <f t="shared" si="109"/>
        <v>75.2</v>
      </c>
      <c r="G169" s="55">
        <f t="shared" si="110"/>
        <v>5.5703631168392276E-3</v>
      </c>
      <c r="H169" s="78">
        <f t="shared" si="131"/>
        <v>0.57498405271846276</v>
      </c>
      <c r="I169" s="79">
        <f t="shared" ca="1" si="111"/>
        <v>548396.94151549286</v>
      </c>
      <c r="J169" s="79">
        <f t="shared" ca="1" si="112"/>
        <v>3740.8860984619346</v>
      </c>
      <c r="K169" s="80">
        <f t="shared" ca="1" si="113"/>
        <v>-11.499681054369255</v>
      </c>
      <c r="L169" s="80">
        <f t="shared" ca="1" si="114"/>
        <v>0</v>
      </c>
      <c r="M169" s="80">
        <f t="shared" ca="1" si="115"/>
        <v>0</v>
      </c>
      <c r="N169" s="80">
        <f t="shared" ca="1" si="116"/>
        <v>0</v>
      </c>
      <c r="O169" s="81">
        <f t="shared" ca="1" si="98"/>
        <v>-9611.4360796206729</v>
      </c>
      <c r="P169" s="79">
        <f t="shared" ca="1" si="99"/>
        <v>542514.89185327978</v>
      </c>
      <c r="Q169" s="35"/>
      <c r="R169">
        <f t="shared" ca="1" si="117"/>
        <v>166</v>
      </c>
      <c r="S169" s="78">
        <f t="shared" ca="1" si="118"/>
        <v>75.2</v>
      </c>
      <c r="T169" s="55">
        <f t="shared" ca="1" si="119"/>
        <v>5.5703631168392276E-3</v>
      </c>
      <c r="U169" s="78">
        <f t="shared" ca="1" si="120"/>
        <v>0.57498405271846276</v>
      </c>
      <c r="V169" s="79">
        <f t="shared" ca="1" si="121"/>
        <v>548396.94151549286</v>
      </c>
      <c r="W169" s="79">
        <f t="shared" ca="1" si="100"/>
        <v>3740.8860984619346</v>
      </c>
      <c r="X169" s="80">
        <f t="shared" ca="1" si="101"/>
        <v>-11.499681054369255</v>
      </c>
      <c r="Y169" s="80">
        <f t="shared" ca="1" si="122"/>
        <v>0</v>
      </c>
      <c r="Z169" s="80">
        <f t="shared" ca="1" si="102"/>
        <v>0</v>
      </c>
      <c r="AA169" s="80">
        <f t="shared" ca="1" si="123"/>
        <v>0</v>
      </c>
      <c r="AB169" s="81">
        <f t="shared" ca="1" si="103"/>
        <v>-9611.4360796206729</v>
      </c>
      <c r="AC169" s="79">
        <f t="shared" ca="1" si="104"/>
        <v>542514.89185327978</v>
      </c>
      <c r="AD169" s="35"/>
      <c r="AE169" s="62">
        <f t="shared" ca="1" si="105"/>
        <v>-16716.004616439077</v>
      </c>
      <c r="AF169" s="62">
        <f t="shared" ca="1" si="106"/>
        <v>943530.32799488562</v>
      </c>
      <c r="AG169" s="35"/>
      <c r="AH169" s="35"/>
      <c r="AR169" s="69">
        <f t="shared" si="124"/>
        <v>14</v>
      </c>
      <c r="AS169" s="70">
        <f t="shared" si="128"/>
        <v>166</v>
      </c>
      <c r="AT169" s="71">
        <f t="shared" si="129"/>
        <v>0.3210213095290736</v>
      </c>
      <c r="AU169" s="72">
        <f t="shared" si="107"/>
        <v>6.8214933659622723E-3</v>
      </c>
      <c r="AV169" s="73">
        <f t="shared" si="125"/>
        <v>1.0068214933659623</v>
      </c>
      <c r="AW169" s="74">
        <f>PRODUCT(AV$4:AV169)</f>
        <v>3.0910880646024355</v>
      </c>
    </row>
    <row r="170" spans="5:49">
      <c r="E170">
        <f t="shared" si="127"/>
        <v>167</v>
      </c>
      <c r="F170" s="64">
        <f t="shared" si="109"/>
        <v>75.28</v>
      </c>
      <c r="G170" s="55">
        <f t="shared" si="110"/>
        <v>5.5703631168392276E-3</v>
      </c>
      <c r="H170" s="78">
        <f t="shared" si="131"/>
        <v>0.57178118275842904</v>
      </c>
      <c r="I170" s="79">
        <f t="shared" ca="1" si="111"/>
        <v>539492.88690936426</v>
      </c>
      <c r="J170" s="79">
        <f t="shared" ca="1" si="112"/>
        <v>3680.1471490360627</v>
      </c>
      <c r="K170" s="80">
        <f t="shared" ca="1" si="113"/>
        <v>-11.43562365516858</v>
      </c>
      <c r="L170" s="80">
        <f t="shared" ca="1" si="114"/>
        <v>0</v>
      </c>
      <c r="M170" s="80">
        <f t="shared" ca="1" si="115"/>
        <v>0</v>
      </c>
      <c r="N170" s="80">
        <f t="shared" ca="1" si="116"/>
        <v>0</v>
      </c>
      <c r="O170" s="81">
        <f t="shared" ca="1" si="98"/>
        <v>-9557.896890582897</v>
      </c>
      <c r="P170" s="79">
        <f t="shared" ca="1" si="99"/>
        <v>533603.70154416224</v>
      </c>
      <c r="Q170" s="35"/>
      <c r="R170">
        <f t="shared" ca="1" si="117"/>
        <v>167</v>
      </c>
      <c r="S170" s="78">
        <f t="shared" ca="1" si="118"/>
        <v>75.28</v>
      </c>
      <c r="T170" s="55">
        <f t="shared" ca="1" si="119"/>
        <v>5.5703631168392276E-3</v>
      </c>
      <c r="U170" s="78">
        <f t="shared" ca="1" si="120"/>
        <v>0.57178118275842904</v>
      </c>
      <c r="V170" s="79">
        <f t="shared" ca="1" si="121"/>
        <v>539492.88690936426</v>
      </c>
      <c r="W170" s="79">
        <f t="shared" ca="1" si="100"/>
        <v>3680.1471490360627</v>
      </c>
      <c r="X170" s="80">
        <f t="shared" ca="1" si="101"/>
        <v>-11.43562365516858</v>
      </c>
      <c r="Y170" s="80">
        <f t="shared" ca="1" si="122"/>
        <v>0</v>
      </c>
      <c r="Z170" s="80">
        <f t="shared" ca="1" si="102"/>
        <v>0</v>
      </c>
      <c r="AA170" s="80">
        <f t="shared" ca="1" si="123"/>
        <v>0</v>
      </c>
      <c r="AB170" s="81">
        <f t="shared" ca="1" si="103"/>
        <v>-9557.896890582897</v>
      </c>
      <c r="AC170" s="79">
        <f t="shared" ca="1" si="104"/>
        <v>533603.70154416224</v>
      </c>
      <c r="AD170" s="35"/>
      <c r="AE170" s="62">
        <f t="shared" ca="1" si="105"/>
        <v>-16716.004616439081</v>
      </c>
      <c r="AF170" s="62">
        <f t="shared" ca="1" si="106"/>
        <v>933230.60925144795</v>
      </c>
      <c r="AG170" s="35"/>
      <c r="AH170" s="35"/>
      <c r="AR170" s="69">
        <f t="shared" si="124"/>
        <v>14</v>
      </c>
      <c r="AS170" s="70">
        <f t="shared" si="128"/>
        <v>167</v>
      </c>
      <c r="AT170" s="71">
        <f t="shared" si="129"/>
        <v>0.3188314647957885</v>
      </c>
      <c r="AU170" s="72">
        <f t="shared" si="107"/>
        <v>6.8214933659622723E-3</v>
      </c>
      <c r="AV170" s="73">
        <f t="shared" si="125"/>
        <v>1.0068214933659623</v>
      </c>
      <c r="AW170" s="74">
        <f>PRODUCT(AV$4:AV170)</f>
        <v>3.1121739013287262</v>
      </c>
    </row>
    <row r="171" spans="5:49">
      <c r="E171">
        <f t="shared" si="127"/>
        <v>168</v>
      </c>
      <c r="F171" s="64">
        <f t="shared" si="109"/>
        <v>75.36</v>
      </c>
      <c r="G171" s="55">
        <f t="shared" si="110"/>
        <v>5.5703631168392276E-3</v>
      </c>
      <c r="H171" s="78">
        <f t="shared" si="131"/>
        <v>0.56859615394708873</v>
      </c>
      <c r="I171" s="79">
        <f t="shared" ca="1" si="111"/>
        <v>530631.33516607177</v>
      </c>
      <c r="J171" s="79">
        <f t="shared" ca="1" si="112"/>
        <v>3619.6981326070618</v>
      </c>
      <c r="K171" s="80">
        <f t="shared" ca="1" si="113"/>
        <v>-11.371923078941775</v>
      </c>
      <c r="L171" s="80">
        <f t="shared" ca="1" si="114"/>
        <v>0</v>
      </c>
      <c r="M171" s="80">
        <f t="shared" ca="1" si="115"/>
        <v>0</v>
      </c>
      <c r="N171" s="80">
        <f t="shared" ca="1" si="116"/>
        <v>0</v>
      </c>
      <c r="O171" s="81">
        <f t="shared" ca="1" si="98"/>
        <v>-9504.6559342690398</v>
      </c>
      <c r="P171" s="79">
        <f t="shared" ca="1" si="99"/>
        <v>524735.00544133084</v>
      </c>
      <c r="Q171" s="35"/>
      <c r="R171">
        <f t="shared" ca="1" si="117"/>
        <v>168</v>
      </c>
      <c r="S171" s="78">
        <f t="shared" ca="1" si="118"/>
        <v>75.36</v>
      </c>
      <c r="T171" s="55">
        <f t="shared" ca="1" si="119"/>
        <v>5.5703631168392276E-3</v>
      </c>
      <c r="U171" s="78">
        <f t="shared" ca="1" si="120"/>
        <v>0.56859615394708873</v>
      </c>
      <c r="V171" s="79">
        <f t="shared" ca="1" si="121"/>
        <v>530631.33516607177</v>
      </c>
      <c r="W171" s="79">
        <f t="shared" ca="1" si="100"/>
        <v>3619.6981326070618</v>
      </c>
      <c r="X171" s="80">
        <f t="shared" ca="1" si="101"/>
        <v>-11.371923078941775</v>
      </c>
      <c r="Y171" s="80">
        <f t="shared" ca="1" si="122"/>
        <v>0</v>
      </c>
      <c r="Z171" s="80">
        <f t="shared" ca="1" si="102"/>
        <v>0</v>
      </c>
      <c r="AA171" s="80">
        <f t="shared" ca="1" si="123"/>
        <v>0</v>
      </c>
      <c r="AB171" s="81">
        <f t="shared" ca="1" si="103"/>
        <v>-9504.6559342690398</v>
      </c>
      <c r="AC171" s="79">
        <f t="shared" ca="1" si="104"/>
        <v>524735.00544133084</v>
      </c>
      <c r="AD171" s="35"/>
      <c r="AE171" s="62">
        <f t="shared" ca="1" si="105"/>
        <v>-16716.004616439077</v>
      </c>
      <c r="AF171" s="62">
        <f t="shared" ca="1" si="106"/>
        <v>922860.63104493066</v>
      </c>
      <c r="AG171" s="35"/>
      <c r="AH171" s="35"/>
      <c r="AR171" s="69">
        <f t="shared" si="124"/>
        <v>14</v>
      </c>
      <c r="AS171" s="70">
        <f t="shared" si="128"/>
        <v>168</v>
      </c>
      <c r="AT171" s="71">
        <f t="shared" si="129"/>
        <v>0.31665655807382398</v>
      </c>
      <c r="AU171" s="72">
        <f t="shared" si="107"/>
        <v>6.8214933659622723E-3</v>
      </c>
      <c r="AV171" s="73">
        <f t="shared" si="125"/>
        <v>1.0068214933659623</v>
      </c>
      <c r="AW171" s="74">
        <f>PRODUCT(AV$4:AV171)</f>
        <v>3.133403574950361</v>
      </c>
    </row>
    <row r="172" spans="5:49">
      <c r="E172">
        <f t="shared" si="127"/>
        <v>169</v>
      </c>
      <c r="F172" s="64">
        <f t="shared" si="109"/>
        <v>75.44</v>
      </c>
      <c r="G172" s="55">
        <f t="shared" si="110"/>
        <v>5.5703631168392276E-3</v>
      </c>
      <c r="H172" s="78">
        <f t="shared" si="131"/>
        <v>0.56542886690276528</v>
      </c>
      <c r="I172" s="79">
        <f t="shared" ca="1" si="111"/>
        <v>521812.040920906</v>
      </c>
      <c r="J172" s="79">
        <f t="shared" ca="1" si="112"/>
        <v>3559.5373754211942</v>
      </c>
      <c r="K172" s="80">
        <f t="shared" ca="1" si="113"/>
        <v>-11.308577338055306</v>
      </c>
      <c r="L172" s="80">
        <f t="shared" ca="1" si="114"/>
        <v>0</v>
      </c>
      <c r="M172" s="80">
        <f t="shared" ca="1" si="115"/>
        <v>0</v>
      </c>
      <c r="N172" s="80">
        <f t="shared" ca="1" si="116"/>
        <v>0</v>
      </c>
      <c r="O172" s="81">
        <f t="shared" ca="1" si="98"/>
        <v>-9451.7115494145419</v>
      </c>
      <c r="P172" s="79">
        <f t="shared" ca="1" si="99"/>
        <v>515908.55816957459</v>
      </c>
      <c r="Q172" s="35"/>
      <c r="R172">
        <f t="shared" ca="1" si="117"/>
        <v>169</v>
      </c>
      <c r="S172" s="78">
        <f t="shared" ca="1" si="118"/>
        <v>75.44</v>
      </c>
      <c r="T172" s="55">
        <f t="shared" ca="1" si="119"/>
        <v>5.5703631168392276E-3</v>
      </c>
      <c r="U172" s="78">
        <f t="shared" ca="1" si="120"/>
        <v>0.56542886690276528</v>
      </c>
      <c r="V172" s="79">
        <f t="shared" ca="1" si="121"/>
        <v>521812.040920906</v>
      </c>
      <c r="W172" s="79">
        <f t="shared" ca="1" si="100"/>
        <v>3559.5373754211942</v>
      </c>
      <c r="X172" s="80">
        <f t="shared" ca="1" si="101"/>
        <v>-11.308577338055306</v>
      </c>
      <c r="Y172" s="80">
        <f t="shared" ca="1" si="122"/>
        <v>0</v>
      </c>
      <c r="Z172" s="80">
        <f t="shared" ca="1" si="102"/>
        <v>0</v>
      </c>
      <c r="AA172" s="80">
        <f t="shared" ca="1" si="123"/>
        <v>0</v>
      </c>
      <c r="AB172" s="81">
        <f t="shared" ca="1" si="103"/>
        <v>-9451.7115494145419</v>
      </c>
      <c r="AC172" s="79">
        <f t="shared" ca="1" si="104"/>
        <v>515908.55816957459</v>
      </c>
      <c r="AD172" s="35"/>
      <c r="AE172" s="62">
        <f t="shared" ca="1" si="105"/>
        <v>-16716.004616439081</v>
      </c>
      <c r="AF172" s="62">
        <f t="shared" ca="1" si="106"/>
        <v>912419.91410087224</v>
      </c>
      <c r="AH172" s="35"/>
      <c r="AR172" s="69">
        <f t="shared" si="124"/>
        <v>15</v>
      </c>
      <c r="AS172" s="70">
        <f t="shared" si="128"/>
        <v>169</v>
      </c>
      <c r="AT172" s="71">
        <f t="shared" si="129"/>
        <v>0.31449648746363495</v>
      </c>
      <c r="AU172" s="72">
        <f t="shared" si="107"/>
        <v>6.8214933659622723E-3</v>
      </c>
      <c r="AV172" s="73">
        <f t="shared" si="125"/>
        <v>1.0068214933659623</v>
      </c>
      <c r="AW172" s="74">
        <f>PRODUCT(AV$4:AV172)</f>
        <v>3.1547780666497673</v>
      </c>
    </row>
    <row r="173" spans="5:49">
      <c r="E173">
        <f t="shared" si="127"/>
        <v>170</v>
      </c>
      <c r="F173" s="64">
        <f t="shared" si="109"/>
        <v>75.52</v>
      </c>
      <c r="G173" s="55">
        <f t="shared" si="110"/>
        <v>6.0757230971507648E-3</v>
      </c>
      <c r="H173" s="78">
        <f t="shared" si="131"/>
        <v>0.56199347767632835</v>
      </c>
      <c r="I173" s="79">
        <f t="shared" ca="1" si="111"/>
        <v>512774.04062668595</v>
      </c>
      <c r="J173" s="79">
        <f t="shared" ca="1" si="112"/>
        <v>3497.8847163726068</v>
      </c>
      <c r="K173" s="80">
        <f t="shared" ca="1" si="113"/>
        <v>-11.239869553526567</v>
      </c>
      <c r="L173" s="80">
        <f t="shared" ca="1" si="114"/>
        <v>0</v>
      </c>
      <c r="M173" s="80">
        <f t="shared" ca="1" si="115"/>
        <v>0</v>
      </c>
      <c r="N173" s="80">
        <f t="shared" ca="1" si="116"/>
        <v>0</v>
      </c>
      <c r="O173" s="81">
        <f t="shared" ca="1" si="98"/>
        <v>-9394.2855672461574</v>
      </c>
      <c r="P173" s="79">
        <f t="shared" ca="1" si="99"/>
        <v>506866.39990625886</v>
      </c>
      <c r="Q173" s="35"/>
      <c r="R173">
        <f t="shared" ca="1" si="117"/>
        <v>170</v>
      </c>
      <c r="S173" s="78">
        <f t="shared" ca="1" si="118"/>
        <v>75.52</v>
      </c>
      <c r="T173" s="55">
        <f t="shared" ca="1" si="119"/>
        <v>6.0757230971507648E-3</v>
      </c>
      <c r="U173" s="78">
        <f t="shared" ca="1" si="120"/>
        <v>0.56199347767632835</v>
      </c>
      <c r="V173" s="79">
        <f t="shared" ca="1" si="121"/>
        <v>512774.04062668595</v>
      </c>
      <c r="W173" s="79">
        <f t="shared" ca="1" si="100"/>
        <v>3497.8847163726068</v>
      </c>
      <c r="X173" s="80">
        <f t="shared" ca="1" si="101"/>
        <v>-11.239869553526567</v>
      </c>
      <c r="Y173" s="80">
        <f t="shared" ca="1" si="122"/>
        <v>0</v>
      </c>
      <c r="Z173" s="80">
        <f t="shared" ca="1" si="102"/>
        <v>0</v>
      </c>
      <c r="AA173" s="80">
        <f t="shared" ca="1" si="123"/>
        <v>0</v>
      </c>
      <c r="AB173" s="81">
        <f t="shared" ca="1" si="103"/>
        <v>-9394.2855672461574</v>
      </c>
      <c r="AC173" s="79">
        <f t="shared" ca="1" si="104"/>
        <v>506866.39990625886</v>
      </c>
      <c r="AD173" s="35"/>
      <c r="AE173" s="62">
        <f t="shared" ca="1" si="105"/>
        <v>-16716.004616439081</v>
      </c>
      <c r="AF173" s="62">
        <f t="shared" ca="1" si="106"/>
        <v>901907.97587544401</v>
      </c>
      <c r="AG173" s="35"/>
      <c r="AH173" s="35"/>
      <c r="AR173" s="69">
        <f t="shared" si="124"/>
        <v>15</v>
      </c>
      <c r="AS173" s="70">
        <f t="shared" si="128"/>
        <v>170</v>
      </c>
      <c r="AT173" s="71">
        <f t="shared" si="129"/>
        <v>0.31235115176078332</v>
      </c>
      <c r="AU173" s="72">
        <f t="shared" si="107"/>
        <v>6.8214933659622723E-3</v>
      </c>
      <c r="AV173" s="73">
        <f t="shared" si="125"/>
        <v>1.0068214933659623</v>
      </c>
      <c r="AW173" s="74">
        <f>PRODUCT(AV$4:AV173)</f>
        <v>3.176298364302502</v>
      </c>
    </row>
    <row r="174" spans="5:49">
      <c r="E174">
        <f t="shared" si="127"/>
        <v>171</v>
      </c>
      <c r="F174" s="64">
        <f t="shared" si="109"/>
        <v>75.599999999999994</v>
      </c>
      <c r="G174" s="55">
        <f t="shared" si="110"/>
        <v>6.0757230971507648E-3</v>
      </c>
      <c r="H174" s="78">
        <f t="shared" si="131"/>
        <v>0.55857896092356218</v>
      </c>
      <c r="I174" s="79">
        <f t="shared" ca="1" si="111"/>
        <v>503786.82001317875</v>
      </c>
      <c r="J174" s="79">
        <f t="shared" ca="1" si="112"/>
        <v>3436.578450579128</v>
      </c>
      <c r="K174" s="80">
        <f t="shared" ca="1" si="113"/>
        <v>-11.171579218471244</v>
      </c>
      <c r="L174" s="80">
        <f t="shared" ca="1" si="114"/>
        <v>0</v>
      </c>
      <c r="M174" s="80">
        <f t="shared" ca="1" si="115"/>
        <v>0</v>
      </c>
      <c r="N174" s="80">
        <f t="shared" ca="1" si="116"/>
        <v>0</v>
      </c>
      <c r="O174" s="81">
        <f t="shared" ca="1" si="98"/>
        <v>-9337.2084894440086</v>
      </c>
      <c r="P174" s="79">
        <f t="shared" ca="1" si="99"/>
        <v>497875.01839509542</v>
      </c>
      <c r="Q174" s="35"/>
      <c r="R174">
        <f t="shared" ca="1" si="117"/>
        <v>171</v>
      </c>
      <c r="S174" s="78">
        <f t="shared" ca="1" si="118"/>
        <v>75.599999999999994</v>
      </c>
      <c r="T174" s="55">
        <f t="shared" ca="1" si="119"/>
        <v>6.0757230971507648E-3</v>
      </c>
      <c r="U174" s="78">
        <f t="shared" ca="1" si="120"/>
        <v>0.55857896092356218</v>
      </c>
      <c r="V174" s="79">
        <f t="shared" ca="1" si="121"/>
        <v>503786.82001317875</v>
      </c>
      <c r="W174" s="79">
        <f t="shared" ca="1" si="100"/>
        <v>3436.578450579128</v>
      </c>
      <c r="X174" s="80">
        <f t="shared" ca="1" si="101"/>
        <v>-11.171579218471244</v>
      </c>
      <c r="Y174" s="80">
        <f t="shared" ca="1" si="122"/>
        <v>0</v>
      </c>
      <c r="Z174" s="80">
        <f t="shared" ca="1" si="102"/>
        <v>0</v>
      </c>
      <c r="AA174" s="80">
        <f t="shared" ca="1" si="123"/>
        <v>0</v>
      </c>
      <c r="AB174" s="81">
        <f t="shared" ca="1" si="103"/>
        <v>-9337.2084894440086</v>
      </c>
      <c r="AC174" s="79">
        <f t="shared" ca="1" si="104"/>
        <v>497875.01839509542</v>
      </c>
      <c r="AD174" s="35"/>
      <c r="AE174" s="62">
        <f t="shared" ca="1" si="105"/>
        <v>-16716.004616439077</v>
      </c>
      <c r="AF174" s="62">
        <f t="shared" ca="1" si="106"/>
        <v>891324.33053314791</v>
      </c>
      <c r="AG174" s="35"/>
      <c r="AH174" s="35"/>
      <c r="AR174" s="69">
        <f t="shared" si="124"/>
        <v>15</v>
      </c>
      <c r="AS174" s="70">
        <f t="shared" si="128"/>
        <v>171</v>
      </c>
      <c r="AT174" s="71">
        <f t="shared" si="129"/>
        <v>0.31022045045119645</v>
      </c>
      <c r="AU174" s="72">
        <f t="shared" si="107"/>
        <v>6.8214933659622723E-3</v>
      </c>
      <c r="AV174" s="73">
        <f t="shared" si="125"/>
        <v>1.0068214933659623</v>
      </c>
      <c r="AW174" s="74">
        <f>PRODUCT(AV$4:AV174)</f>
        <v>3.1979654625229084</v>
      </c>
    </row>
    <row r="175" spans="5:49">
      <c r="E175">
        <f t="shared" si="127"/>
        <v>172</v>
      </c>
      <c r="F175" s="64">
        <f t="shared" si="109"/>
        <v>75.680000000000007</v>
      </c>
      <c r="G175" s="55">
        <f t="shared" si="110"/>
        <v>6.0757230971507648E-3</v>
      </c>
      <c r="H175" s="78">
        <f t="shared" si="131"/>
        <v>0.55518518982909637</v>
      </c>
      <c r="I175" s="79">
        <f t="shared" ca="1" si="111"/>
        <v>494850.06764633796</v>
      </c>
      <c r="J175" s="79">
        <f t="shared" ca="1" si="112"/>
        <v>3375.6164535954763</v>
      </c>
      <c r="K175" s="80">
        <f t="shared" ca="1" si="113"/>
        <v>-11.103703796581927</v>
      </c>
      <c r="L175" s="80">
        <f t="shared" ca="1" si="114"/>
        <v>0</v>
      </c>
      <c r="M175" s="80">
        <f t="shared" ca="1" si="115"/>
        <v>0</v>
      </c>
      <c r="N175" s="80">
        <f t="shared" ca="1" si="116"/>
        <v>0</v>
      </c>
      <c r="O175" s="81">
        <f t="shared" ca="1" si="98"/>
        <v>-9280.4781961617809</v>
      </c>
      <c r="P175" s="79">
        <f t="shared" ca="1" si="99"/>
        <v>488934.10219997505</v>
      </c>
      <c r="Q175" s="35"/>
      <c r="R175">
        <f t="shared" ca="1" si="117"/>
        <v>172</v>
      </c>
      <c r="S175" s="78">
        <f t="shared" ca="1" si="118"/>
        <v>75.680000000000007</v>
      </c>
      <c r="T175" s="55">
        <f t="shared" ca="1" si="119"/>
        <v>6.0757230971507648E-3</v>
      </c>
      <c r="U175" s="78">
        <f t="shared" ca="1" si="120"/>
        <v>0.55518518982909637</v>
      </c>
      <c r="V175" s="79">
        <f t="shared" ca="1" si="121"/>
        <v>494850.06764633796</v>
      </c>
      <c r="W175" s="79">
        <f t="shared" ca="1" si="100"/>
        <v>3375.6164535954763</v>
      </c>
      <c r="X175" s="80">
        <f t="shared" ca="1" si="101"/>
        <v>-11.103703796581927</v>
      </c>
      <c r="Y175" s="80">
        <f t="shared" ca="1" si="122"/>
        <v>0</v>
      </c>
      <c r="Z175" s="80">
        <f t="shared" ca="1" si="102"/>
        <v>0</v>
      </c>
      <c r="AA175" s="80">
        <f t="shared" ca="1" si="123"/>
        <v>0</v>
      </c>
      <c r="AB175" s="81">
        <f t="shared" ca="1" si="103"/>
        <v>-9280.4781961617809</v>
      </c>
      <c r="AC175" s="79">
        <f t="shared" ca="1" si="104"/>
        <v>488934.10219997505</v>
      </c>
      <c r="AD175" s="35"/>
      <c r="AE175" s="62">
        <f t="shared" ca="1" si="105"/>
        <v>-16716.004616439077</v>
      </c>
      <c r="AF175" s="62">
        <f t="shared" ca="1" si="106"/>
        <v>880668.48892436142</v>
      </c>
      <c r="AG175" s="35"/>
      <c r="AH175" s="35"/>
      <c r="AR175" s="69">
        <f t="shared" si="124"/>
        <v>15</v>
      </c>
      <c r="AS175" s="70">
        <f t="shared" si="128"/>
        <v>172</v>
      </c>
      <c r="AT175" s="71">
        <f t="shared" si="129"/>
        <v>0.30810428370645776</v>
      </c>
      <c r="AU175" s="72">
        <f t="shared" si="107"/>
        <v>6.8214933659622723E-3</v>
      </c>
      <c r="AV175" s="73">
        <f t="shared" si="125"/>
        <v>1.0068214933659623</v>
      </c>
      <c r="AW175" s="74">
        <f>PRODUCT(AV$4:AV175)</f>
        <v>3.2197803627100847</v>
      </c>
    </row>
    <row r="176" spans="5:49">
      <c r="E176">
        <f t="shared" si="127"/>
        <v>173</v>
      </c>
      <c r="F176" s="64">
        <f t="shared" si="109"/>
        <v>75.760000000000005</v>
      </c>
      <c r="G176" s="55">
        <f t="shared" si="110"/>
        <v>6.0757230971507648E-3</v>
      </c>
      <c r="H176" s="78">
        <f t="shared" si="131"/>
        <v>0.5518120383480557</v>
      </c>
      <c r="I176" s="79">
        <f t="shared" ca="1" si="111"/>
        <v>485963.47398225399</v>
      </c>
      <c r="J176" s="79">
        <f t="shared" ca="1" si="112"/>
        <v>3314.9966138699247</v>
      </c>
      <c r="K176" s="80">
        <f t="shared" ca="1" si="113"/>
        <v>-11.036240766961114</v>
      </c>
      <c r="L176" s="80">
        <f t="shared" ca="1" si="114"/>
        <v>0</v>
      </c>
      <c r="M176" s="80">
        <f t="shared" ca="1" si="115"/>
        <v>0</v>
      </c>
      <c r="N176" s="80">
        <f t="shared" ca="1" si="116"/>
        <v>0</v>
      </c>
      <c r="O176" s="81">
        <f t="shared" ca="1" si="98"/>
        <v>-9224.0925804327562</v>
      </c>
      <c r="P176" s="79">
        <f t="shared" ca="1" si="99"/>
        <v>480043.34177492413</v>
      </c>
      <c r="Q176" s="35"/>
      <c r="R176">
        <f t="shared" ca="1" si="117"/>
        <v>173</v>
      </c>
      <c r="S176" s="78">
        <f t="shared" ca="1" si="118"/>
        <v>75.760000000000005</v>
      </c>
      <c r="T176" s="55">
        <f t="shared" ca="1" si="119"/>
        <v>6.0757230971507648E-3</v>
      </c>
      <c r="U176" s="78">
        <f t="shared" ca="1" si="120"/>
        <v>0.5518120383480557</v>
      </c>
      <c r="V176" s="79">
        <f t="shared" ca="1" si="121"/>
        <v>485963.47398225399</v>
      </c>
      <c r="W176" s="79">
        <f t="shared" ca="1" si="100"/>
        <v>3314.9966138699247</v>
      </c>
      <c r="X176" s="80">
        <f t="shared" ca="1" si="101"/>
        <v>-11.036240766961114</v>
      </c>
      <c r="Y176" s="80">
        <f t="shared" ca="1" si="122"/>
        <v>0</v>
      </c>
      <c r="Z176" s="80">
        <f t="shared" ca="1" si="102"/>
        <v>0</v>
      </c>
      <c r="AA176" s="80">
        <f t="shared" ca="1" si="123"/>
        <v>0</v>
      </c>
      <c r="AB176" s="81">
        <f t="shared" ca="1" si="103"/>
        <v>-9224.0925804327562</v>
      </c>
      <c r="AC176" s="79">
        <f t="shared" ca="1" si="104"/>
        <v>480043.34177492413</v>
      </c>
      <c r="AD176" s="35"/>
      <c r="AE176" s="62">
        <f t="shared" ca="1" si="105"/>
        <v>-16716.004616439077</v>
      </c>
      <c r="AF176" s="62">
        <f t="shared" ca="1" si="106"/>
        <v>869939.95856273174</v>
      </c>
      <c r="AG176" s="35"/>
      <c r="AH176" s="35"/>
      <c r="AR176" s="69">
        <f t="shared" si="124"/>
        <v>15</v>
      </c>
      <c r="AS176" s="70">
        <f t="shared" si="128"/>
        <v>173</v>
      </c>
      <c r="AT176" s="71">
        <f t="shared" si="129"/>
        <v>0.3060025523791296</v>
      </c>
      <c r="AU176" s="72">
        <f t="shared" si="107"/>
        <v>6.8214933659622723E-3</v>
      </c>
      <c r="AV176" s="73">
        <f t="shared" si="125"/>
        <v>1.0068214933659623</v>
      </c>
      <c r="AW176" s="74">
        <f>PRODUCT(AV$4:AV176)</f>
        <v>3.2417440730941673</v>
      </c>
    </row>
    <row r="177" spans="5:49">
      <c r="E177">
        <f t="shared" si="127"/>
        <v>174</v>
      </c>
      <c r="F177" s="64">
        <f t="shared" si="109"/>
        <v>75.84</v>
      </c>
      <c r="G177" s="55">
        <f t="shared" si="110"/>
        <v>6.0757230971507648E-3</v>
      </c>
      <c r="H177" s="78">
        <f t="shared" si="131"/>
        <v>0.5484593812013786</v>
      </c>
      <c r="I177" s="79">
        <f t="shared" ca="1" si="111"/>
        <v>477126.7313556688</v>
      </c>
      <c r="J177" s="79">
        <f t="shared" ca="1" si="112"/>
        <v>3254.716832665958</v>
      </c>
      <c r="K177" s="80">
        <f t="shared" ca="1" si="113"/>
        <v>-10.969187624027573</v>
      </c>
      <c r="L177" s="80">
        <f t="shared" ca="1" si="114"/>
        <v>0</v>
      </c>
      <c r="M177" s="80">
        <f t="shared" ca="1" si="115"/>
        <v>0</v>
      </c>
      <c r="N177" s="80">
        <f t="shared" ca="1" si="116"/>
        <v>0</v>
      </c>
      <c r="O177" s="81">
        <f t="shared" ca="1" si="98"/>
        <v>-9168.0495480915652</v>
      </c>
      <c r="P177" s="79">
        <f t="shared" ca="1" si="99"/>
        <v>471202.42945261917</v>
      </c>
      <c r="Q177" s="35"/>
      <c r="R177">
        <f t="shared" ca="1" si="117"/>
        <v>174</v>
      </c>
      <c r="S177" s="78">
        <f t="shared" ca="1" si="118"/>
        <v>75.84</v>
      </c>
      <c r="T177" s="55">
        <f t="shared" ca="1" si="119"/>
        <v>6.0757230971507648E-3</v>
      </c>
      <c r="U177" s="78">
        <f t="shared" ca="1" si="120"/>
        <v>0.5484593812013786</v>
      </c>
      <c r="V177" s="79">
        <f t="shared" ca="1" si="121"/>
        <v>477126.7313556688</v>
      </c>
      <c r="W177" s="79">
        <f t="shared" ca="1" si="100"/>
        <v>3254.716832665958</v>
      </c>
      <c r="X177" s="80">
        <f t="shared" ca="1" si="101"/>
        <v>-10.969187624027573</v>
      </c>
      <c r="Y177" s="80">
        <f t="shared" ca="1" si="122"/>
        <v>0</v>
      </c>
      <c r="Z177" s="80">
        <f t="shared" ca="1" si="102"/>
        <v>0</v>
      </c>
      <c r="AA177" s="80">
        <f t="shared" ca="1" si="123"/>
        <v>0</v>
      </c>
      <c r="AB177" s="81">
        <f t="shared" ca="1" si="103"/>
        <v>-9168.0495480915652</v>
      </c>
      <c r="AC177" s="79">
        <f t="shared" ca="1" si="104"/>
        <v>471202.42945261917</v>
      </c>
      <c r="AD177" s="35"/>
      <c r="AE177" s="62">
        <f t="shared" ca="1" si="105"/>
        <v>-16716.004616439077</v>
      </c>
      <c r="AF177" s="62">
        <f t="shared" ca="1" si="106"/>
        <v>859138.2436024138</v>
      </c>
      <c r="AG177" s="35"/>
      <c r="AH177" s="35"/>
      <c r="AR177" s="69">
        <f t="shared" si="124"/>
        <v>15</v>
      </c>
      <c r="AS177" s="70">
        <f t="shared" si="128"/>
        <v>174</v>
      </c>
      <c r="AT177" s="71">
        <f t="shared" si="129"/>
        <v>0.30391515799810787</v>
      </c>
      <c r="AU177" s="72">
        <f t="shared" si="107"/>
        <v>6.8214933659622723E-3</v>
      </c>
      <c r="AV177" s="73">
        <f t="shared" si="125"/>
        <v>1.0068214933659623</v>
      </c>
      <c r="AW177" s="74">
        <f>PRODUCT(AV$4:AV177)</f>
        <v>3.2638576087829265</v>
      </c>
    </row>
    <row r="178" spans="5:49">
      <c r="E178">
        <f t="shared" si="127"/>
        <v>175</v>
      </c>
      <c r="F178" s="64">
        <f t="shared" si="109"/>
        <v>75.92</v>
      </c>
      <c r="G178" s="55">
        <f t="shared" si="110"/>
        <v>6.0757230971507648E-3</v>
      </c>
      <c r="H178" s="78">
        <f t="shared" si="131"/>
        <v>0.54512709387116443</v>
      </c>
      <c r="I178" s="79">
        <f t="shared" ca="1" si="111"/>
        <v>468339.53396856034</v>
      </c>
      <c r="J178" s="79">
        <f t="shared" ca="1" si="112"/>
        <v>3194.7750239843967</v>
      </c>
      <c r="K178" s="80">
        <f t="shared" ca="1" si="113"/>
        <v>-10.902541877423289</v>
      </c>
      <c r="L178" s="80">
        <f t="shared" ca="1" si="114"/>
        <v>0</v>
      </c>
      <c r="M178" s="80">
        <f t="shared" ca="1" si="115"/>
        <v>0</v>
      </c>
      <c r="N178" s="80">
        <f t="shared" ca="1" si="116"/>
        <v>0</v>
      </c>
      <c r="O178" s="81">
        <f t="shared" ca="1" si="98"/>
        <v>-9112.3470176964038</v>
      </c>
      <c r="P178" s="79">
        <f t="shared" ca="1" si="99"/>
        <v>462411.05943297088</v>
      </c>
      <c r="Q178" s="35"/>
      <c r="R178">
        <f t="shared" ca="1" si="117"/>
        <v>175</v>
      </c>
      <c r="S178" s="78">
        <f t="shared" ca="1" si="118"/>
        <v>75.92</v>
      </c>
      <c r="T178" s="55">
        <f t="shared" ca="1" si="119"/>
        <v>6.0757230971507648E-3</v>
      </c>
      <c r="U178" s="78">
        <f t="shared" ca="1" si="120"/>
        <v>0.54512709387116443</v>
      </c>
      <c r="V178" s="79">
        <f t="shared" ca="1" si="121"/>
        <v>468339.53396856034</v>
      </c>
      <c r="W178" s="79">
        <f t="shared" ca="1" si="100"/>
        <v>3194.7750239843967</v>
      </c>
      <c r="X178" s="80">
        <f t="shared" ca="1" si="101"/>
        <v>-10.902541877423289</v>
      </c>
      <c r="Y178" s="80">
        <f t="shared" ca="1" si="122"/>
        <v>0</v>
      </c>
      <c r="Z178" s="80">
        <f t="shared" ca="1" si="102"/>
        <v>0</v>
      </c>
      <c r="AA178" s="80">
        <f t="shared" ca="1" si="123"/>
        <v>0</v>
      </c>
      <c r="AB178" s="81">
        <f t="shared" ca="1" si="103"/>
        <v>-9112.3470176964038</v>
      </c>
      <c r="AC178" s="79">
        <f t="shared" ca="1" si="104"/>
        <v>462411.05943297088</v>
      </c>
      <c r="AD178" s="35"/>
      <c r="AE178" s="62">
        <f t="shared" ca="1" si="105"/>
        <v>-16716.004616439081</v>
      </c>
      <c r="AF178" s="62">
        <f t="shared" ca="1" si="106"/>
        <v>848262.84481515293</v>
      </c>
      <c r="AG178" s="35"/>
      <c r="AH178" s="35"/>
      <c r="AR178" s="69">
        <f t="shared" si="124"/>
        <v>15</v>
      </c>
      <c r="AS178" s="70">
        <f t="shared" si="128"/>
        <v>175</v>
      </c>
      <c r="AT178" s="71">
        <f t="shared" si="129"/>
        <v>0.30184200276400841</v>
      </c>
      <c r="AU178" s="72">
        <f t="shared" si="107"/>
        <v>6.8214933659622723E-3</v>
      </c>
      <c r="AV178" s="73">
        <f t="shared" si="125"/>
        <v>1.0068214933659623</v>
      </c>
      <c r="AW178" s="74">
        <f>PRODUCT(AV$4:AV178)</f>
        <v>3.2861219918086846</v>
      </c>
    </row>
    <row r="179" spans="5:49">
      <c r="E179">
        <f t="shared" si="127"/>
        <v>176</v>
      </c>
      <c r="F179" s="64">
        <f t="shared" si="109"/>
        <v>76</v>
      </c>
      <c r="G179" s="55">
        <f t="shared" si="110"/>
        <v>6.0757230971507648E-3</v>
      </c>
      <c r="H179" s="78">
        <f t="shared" si="131"/>
        <v>0.54181505259604867</v>
      </c>
      <c r="I179" s="79">
        <f t="shared" ca="1" si="111"/>
        <v>459601.57787879603</v>
      </c>
      <c r="J179" s="79">
        <f t="shared" ca="1" si="112"/>
        <v>3135.1691144859997</v>
      </c>
      <c r="K179" s="80">
        <f t="shared" ca="1" si="113"/>
        <v>-10.836301051920973</v>
      </c>
      <c r="L179" s="80">
        <f t="shared" ca="1" si="114"/>
        <v>0</v>
      </c>
      <c r="M179" s="80">
        <f t="shared" ca="1" si="115"/>
        <v>0</v>
      </c>
      <c r="N179" s="80">
        <f t="shared" ca="1" si="116"/>
        <v>0</v>
      </c>
      <c r="O179" s="81">
        <f t="shared" ca="1" si="98"/>
        <v>-9056.9829204517318</v>
      </c>
      <c r="P179" s="79">
        <f t="shared" ca="1" si="99"/>
        <v>453668.92777177843</v>
      </c>
      <c r="Q179" s="35"/>
      <c r="R179">
        <f t="shared" ca="1" si="117"/>
        <v>176</v>
      </c>
      <c r="S179" s="78">
        <f t="shared" ca="1" si="118"/>
        <v>76</v>
      </c>
      <c r="T179" s="55">
        <f t="shared" ca="1" si="119"/>
        <v>6.0757230971507648E-3</v>
      </c>
      <c r="U179" s="78">
        <f t="shared" ca="1" si="120"/>
        <v>0.54181505259604867</v>
      </c>
      <c r="V179" s="79">
        <f t="shared" ca="1" si="121"/>
        <v>459601.57787879603</v>
      </c>
      <c r="W179" s="79">
        <f t="shared" ca="1" si="100"/>
        <v>3135.1691144859997</v>
      </c>
      <c r="X179" s="80">
        <f t="shared" ca="1" si="101"/>
        <v>-10.836301051920973</v>
      </c>
      <c r="Y179" s="80">
        <f t="shared" ca="1" si="122"/>
        <v>0</v>
      </c>
      <c r="Z179" s="80">
        <f t="shared" ca="1" si="102"/>
        <v>0</v>
      </c>
      <c r="AA179" s="80">
        <f t="shared" ca="1" si="123"/>
        <v>0</v>
      </c>
      <c r="AB179" s="81">
        <f t="shared" ca="1" si="103"/>
        <v>-9056.9829204517318</v>
      </c>
      <c r="AC179" s="79">
        <f t="shared" ca="1" si="104"/>
        <v>453668.92777177843</v>
      </c>
      <c r="AD179" s="35"/>
      <c r="AE179" s="62">
        <f t="shared" ca="1" si="105"/>
        <v>-16716.004616439077</v>
      </c>
      <c r="AF179" s="62">
        <f t="shared" ca="1" si="106"/>
        <v>837313.2595672129</v>
      </c>
      <c r="AG179" s="35"/>
      <c r="AH179" s="35"/>
      <c r="AR179" s="69">
        <f t="shared" si="124"/>
        <v>15</v>
      </c>
      <c r="AS179" s="70">
        <f t="shared" si="128"/>
        <v>176</v>
      </c>
      <c r="AT179" s="71">
        <f t="shared" si="129"/>
        <v>0.29978298954458499</v>
      </c>
      <c r="AU179" s="72">
        <f t="shared" si="107"/>
        <v>6.8214933659622723E-3</v>
      </c>
      <c r="AV179" s="73">
        <f t="shared" si="125"/>
        <v>1.0068214933659623</v>
      </c>
      <c r="AW179" s="74">
        <f>PRODUCT(AV$4:AV179)</f>
        <v>3.3085382511755501</v>
      </c>
    </row>
    <row r="180" spans="5:49">
      <c r="E180">
        <f t="shared" si="127"/>
        <v>177</v>
      </c>
      <c r="F180" s="64">
        <f t="shared" si="109"/>
        <v>76.08</v>
      </c>
      <c r="G180" s="55">
        <f t="shared" si="110"/>
        <v>6.0757230971507648E-3</v>
      </c>
      <c r="H180" s="78">
        <f t="shared" si="131"/>
        <v>0.53852313436660693</v>
      </c>
      <c r="I180" s="79">
        <f t="shared" ca="1" si="111"/>
        <v>450912.56098885584</v>
      </c>
      <c r="J180" s="79">
        <f t="shared" ca="1" si="112"/>
        <v>3075.8970434145385</v>
      </c>
      <c r="K180" s="80">
        <f t="shared" ca="1" si="113"/>
        <v>-10.770462687332138</v>
      </c>
      <c r="L180" s="80">
        <f t="shared" ca="1" si="114"/>
        <v>0</v>
      </c>
      <c r="M180" s="80">
        <f t="shared" ca="1" si="115"/>
        <v>0</v>
      </c>
      <c r="N180" s="80">
        <f t="shared" ca="1" si="116"/>
        <v>0</v>
      </c>
      <c r="O180" s="81">
        <f t="shared" ca="1" si="98"/>
        <v>-9001.9552001314423</v>
      </c>
      <c r="P180" s="79">
        <f t="shared" ca="1" si="99"/>
        <v>444975.73236945155</v>
      </c>
      <c r="Q180" s="35"/>
      <c r="R180">
        <f t="shared" ca="1" si="117"/>
        <v>177</v>
      </c>
      <c r="S180" s="78">
        <f t="shared" ca="1" si="118"/>
        <v>76.08</v>
      </c>
      <c r="T180" s="55">
        <f t="shared" ca="1" si="119"/>
        <v>6.0757230971507648E-3</v>
      </c>
      <c r="U180" s="78">
        <f t="shared" ca="1" si="120"/>
        <v>0.53852313436660693</v>
      </c>
      <c r="V180" s="79">
        <f t="shared" ca="1" si="121"/>
        <v>450912.56098885584</v>
      </c>
      <c r="W180" s="79">
        <f t="shared" ca="1" si="100"/>
        <v>3075.8970434145385</v>
      </c>
      <c r="X180" s="80">
        <f t="shared" ca="1" si="101"/>
        <v>-10.770462687332138</v>
      </c>
      <c r="Y180" s="80">
        <f t="shared" ca="1" si="122"/>
        <v>0</v>
      </c>
      <c r="Z180" s="80">
        <f t="shared" ca="1" si="102"/>
        <v>0</v>
      </c>
      <c r="AA180" s="80">
        <f t="shared" ca="1" si="123"/>
        <v>0</v>
      </c>
      <c r="AB180" s="81">
        <f t="shared" ca="1" si="103"/>
        <v>-9001.9552001314423</v>
      </c>
      <c r="AC180" s="79">
        <f t="shared" ca="1" si="104"/>
        <v>444975.73236945155</v>
      </c>
      <c r="AD180" s="35"/>
      <c r="AE180" s="62">
        <f t="shared" ca="1" si="105"/>
        <v>-16716.004616439077</v>
      </c>
      <c r="AF180" s="62">
        <f t="shared" ca="1" si="106"/>
        <v>826288.98179614381</v>
      </c>
      <c r="AG180" s="35"/>
      <c r="AH180" s="35"/>
      <c r="AR180" s="69">
        <f t="shared" si="124"/>
        <v>15</v>
      </c>
      <c r="AS180" s="70">
        <f t="shared" si="128"/>
        <v>177</v>
      </c>
      <c r="AT180" s="71">
        <f t="shared" si="129"/>
        <v>0.29773802187017828</v>
      </c>
      <c r="AU180" s="72">
        <f t="shared" si="107"/>
        <v>6.8214933659622723E-3</v>
      </c>
      <c r="AV180" s="73">
        <f t="shared" si="125"/>
        <v>1.0068214933659623</v>
      </c>
      <c r="AW180" s="74">
        <f>PRODUCT(AV$4:AV180)</f>
        <v>3.3311074229069764</v>
      </c>
    </row>
    <row r="181" spans="5:49">
      <c r="E181">
        <f t="shared" si="127"/>
        <v>178</v>
      </c>
      <c r="F181" s="64">
        <f t="shared" si="109"/>
        <v>76.16</v>
      </c>
      <c r="G181" s="55">
        <f t="shared" si="110"/>
        <v>6.0757230971507648E-3</v>
      </c>
      <c r="H181" s="78">
        <f t="shared" si="131"/>
        <v>0.5352512169207857</v>
      </c>
      <c r="I181" s="79">
        <f t="shared" ca="1" si="111"/>
        <v>442272.18303462293</v>
      </c>
      <c r="J181" s="79">
        <f t="shared" ca="1" si="112"/>
        <v>3016.9567625203322</v>
      </c>
      <c r="K181" s="80">
        <f t="shared" ca="1" si="113"/>
        <v>-10.705024338415715</v>
      </c>
      <c r="L181" s="80">
        <f t="shared" ca="1" si="114"/>
        <v>0</v>
      </c>
      <c r="M181" s="80">
        <f t="shared" ca="1" si="115"/>
        <v>0</v>
      </c>
      <c r="N181" s="80">
        <f t="shared" ca="1" si="116"/>
        <v>0</v>
      </c>
      <c r="O181" s="81">
        <f t="shared" ca="1" si="98"/>
        <v>-8947.2618130024875</v>
      </c>
      <c r="P181" s="79">
        <f t="shared" ca="1" si="99"/>
        <v>436331.17295980232</v>
      </c>
      <c r="Q181" s="35"/>
      <c r="R181">
        <f t="shared" ca="1" si="117"/>
        <v>178</v>
      </c>
      <c r="S181" s="78">
        <f t="shared" ca="1" si="118"/>
        <v>76.16</v>
      </c>
      <c r="T181" s="55">
        <f t="shared" ca="1" si="119"/>
        <v>6.0757230971507648E-3</v>
      </c>
      <c r="U181" s="78">
        <f t="shared" ca="1" si="120"/>
        <v>0.5352512169207857</v>
      </c>
      <c r="V181" s="79">
        <f t="shared" ca="1" si="121"/>
        <v>442272.18303462293</v>
      </c>
      <c r="W181" s="79">
        <f t="shared" ca="1" si="100"/>
        <v>3016.9567625203322</v>
      </c>
      <c r="X181" s="80">
        <f t="shared" ca="1" si="101"/>
        <v>-10.705024338415715</v>
      </c>
      <c r="Y181" s="80">
        <f t="shared" ca="1" si="122"/>
        <v>0</v>
      </c>
      <c r="Z181" s="80">
        <f t="shared" ca="1" si="102"/>
        <v>0</v>
      </c>
      <c r="AA181" s="80">
        <f t="shared" ca="1" si="123"/>
        <v>0</v>
      </c>
      <c r="AB181" s="81">
        <f t="shared" ca="1" si="103"/>
        <v>-8947.2618130024875</v>
      </c>
      <c r="AC181" s="79">
        <f t="shared" ca="1" si="104"/>
        <v>436331.17295980232</v>
      </c>
      <c r="AD181" s="35"/>
      <c r="AE181" s="62">
        <f t="shared" ca="1" si="105"/>
        <v>-16716.004616439077</v>
      </c>
      <c r="AF181" s="62">
        <f t="shared" ca="1" si="106"/>
        <v>815189.50198739476</v>
      </c>
      <c r="AG181" s="35"/>
      <c r="AH181" s="35"/>
      <c r="AR181" s="69">
        <f t="shared" si="124"/>
        <v>15</v>
      </c>
      <c r="AS181" s="70">
        <f t="shared" si="128"/>
        <v>178</v>
      </c>
      <c r="AT181" s="71">
        <f t="shared" si="129"/>
        <v>0.29570700392919613</v>
      </c>
      <c r="AU181" s="72">
        <f t="shared" si="107"/>
        <v>6.8214933659622723E-3</v>
      </c>
      <c r="AV181" s="73">
        <f t="shared" si="125"/>
        <v>1.0068214933659623</v>
      </c>
      <c r="AW181" s="74">
        <f>PRODUCT(AV$4:AV181)</f>
        <v>3.3538305500936438</v>
      </c>
    </row>
    <row r="182" spans="5:49">
      <c r="E182">
        <f t="shared" si="127"/>
        <v>179</v>
      </c>
      <c r="F182" s="64">
        <f t="shared" si="109"/>
        <v>76.239999999999995</v>
      </c>
      <c r="G182" s="55">
        <f t="shared" si="110"/>
        <v>6.0757230971507648E-3</v>
      </c>
      <c r="H182" s="78">
        <f t="shared" si="131"/>
        <v>0.53199917873936198</v>
      </c>
      <c r="I182" s="79">
        <f t="shared" ca="1" si="111"/>
        <v>433680.14557424356</v>
      </c>
      <c r="J182" s="79">
        <f t="shared" ca="1" si="112"/>
        <v>2958.3462359842551</v>
      </c>
      <c r="K182" s="80">
        <f t="shared" ca="1" si="113"/>
        <v>-10.639983574787239</v>
      </c>
      <c r="L182" s="80">
        <f t="shared" ca="1" si="114"/>
        <v>0</v>
      </c>
      <c r="M182" s="80">
        <f t="shared" ca="1" si="115"/>
        <v>0</v>
      </c>
      <c r="N182" s="80">
        <f t="shared" ca="1" si="116"/>
        <v>0</v>
      </c>
      <c r="O182" s="81">
        <f t="shared" ca="1" si="98"/>
        <v>-8892.9007277489727</v>
      </c>
      <c r="P182" s="79">
        <f t="shared" ca="1" si="99"/>
        <v>427734.95109890401</v>
      </c>
      <c r="Q182" s="35"/>
      <c r="R182">
        <f t="shared" ca="1" si="117"/>
        <v>179</v>
      </c>
      <c r="S182" s="78">
        <f t="shared" ca="1" si="118"/>
        <v>76.239999999999995</v>
      </c>
      <c r="T182" s="55">
        <f t="shared" ca="1" si="119"/>
        <v>6.0757230971507648E-3</v>
      </c>
      <c r="U182" s="78">
        <f t="shared" ca="1" si="120"/>
        <v>0.53199917873936198</v>
      </c>
      <c r="V182" s="79">
        <f t="shared" ca="1" si="121"/>
        <v>433680.14557424356</v>
      </c>
      <c r="W182" s="79">
        <f t="shared" ca="1" si="100"/>
        <v>2958.3462359842551</v>
      </c>
      <c r="X182" s="80">
        <f t="shared" ca="1" si="101"/>
        <v>-10.639983574787239</v>
      </c>
      <c r="Y182" s="80">
        <f t="shared" ca="1" si="122"/>
        <v>0</v>
      </c>
      <c r="Z182" s="80">
        <f t="shared" ca="1" si="102"/>
        <v>0</v>
      </c>
      <c r="AA182" s="80">
        <f t="shared" ca="1" si="123"/>
        <v>0</v>
      </c>
      <c r="AB182" s="81">
        <f t="shared" ca="1" si="103"/>
        <v>-8892.9007277489727</v>
      </c>
      <c r="AC182" s="79">
        <f t="shared" ca="1" si="104"/>
        <v>427734.95109890401</v>
      </c>
      <c r="AD182" s="35"/>
      <c r="AE182" s="62">
        <f t="shared" ca="1" si="105"/>
        <v>-16716.004616439077</v>
      </c>
      <c r="AF182" s="62">
        <f t="shared" ca="1" si="106"/>
        <v>804014.30715076486</v>
      </c>
      <c r="AG182" s="35"/>
      <c r="AH182" s="35"/>
      <c r="AR182" s="69">
        <f t="shared" si="124"/>
        <v>15</v>
      </c>
      <c r="AS182" s="70">
        <f t="shared" si="128"/>
        <v>179</v>
      </c>
      <c r="AT182" s="71">
        <f t="shared" si="129"/>
        <v>0.29368984056362452</v>
      </c>
      <c r="AU182" s="72">
        <f t="shared" si="107"/>
        <v>6.8214933659622723E-3</v>
      </c>
      <c r="AV182" s="73">
        <f t="shared" si="125"/>
        <v>1.0068214933659623</v>
      </c>
      <c r="AW182" s="74">
        <f>PRODUCT(AV$4:AV182)</f>
        <v>3.3767086829416693</v>
      </c>
    </row>
    <row r="183" spans="5:49">
      <c r="E183">
        <f t="shared" si="127"/>
        <v>180</v>
      </c>
      <c r="F183" s="64">
        <f t="shared" si="109"/>
        <v>76.319999999999993</v>
      </c>
      <c r="G183" s="55">
        <f t="shared" si="110"/>
        <v>6.0757230971507648E-3</v>
      </c>
      <c r="H183" s="78">
        <f t="shared" si="131"/>
        <v>0.52876689904143004</v>
      </c>
      <c r="I183" s="79">
        <f t="shared" ca="1" si="111"/>
        <v>425136.15197705373</v>
      </c>
      <c r="J183" s="79">
        <f t="shared" ca="1" si="112"/>
        <v>2900.0634403422005</v>
      </c>
      <c r="K183" s="80">
        <f t="shared" ca="1" si="113"/>
        <v>-10.5753379808286</v>
      </c>
      <c r="L183" s="80">
        <f t="shared" ca="1" si="114"/>
        <v>0</v>
      </c>
      <c r="M183" s="80">
        <f t="shared" ca="1" si="115"/>
        <v>0</v>
      </c>
      <c r="N183" s="80">
        <f t="shared" ca="1" si="116"/>
        <v>0</v>
      </c>
      <c r="O183" s="81">
        <f t="shared" ca="1" si="98"/>
        <v>-8838.8699253967206</v>
      </c>
      <c r="P183" s="79">
        <f t="shared" ca="1" si="99"/>
        <v>419186.77015401842</v>
      </c>
      <c r="Q183" s="35"/>
      <c r="R183">
        <f t="shared" ca="1" si="117"/>
        <v>180</v>
      </c>
      <c r="S183" s="78">
        <f t="shared" ca="1" si="118"/>
        <v>76.319999999999993</v>
      </c>
      <c r="T183" s="55">
        <f t="shared" ca="1" si="119"/>
        <v>6.0757230971507648E-3</v>
      </c>
      <c r="U183" s="78">
        <f t="shared" ca="1" si="120"/>
        <v>0.52876689904143004</v>
      </c>
      <c r="V183" s="79">
        <f t="shared" ca="1" si="121"/>
        <v>425136.15197705373</v>
      </c>
      <c r="W183" s="79">
        <f t="shared" ca="1" si="100"/>
        <v>2900.0634403422005</v>
      </c>
      <c r="X183" s="80">
        <f t="shared" ca="1" si="101"/>
        <v>-10.5753379808286</v>
      </c>
      <c r="Y183" s="80">
        <f t="shared" ca="1" si="122"/>
        <v>0</v>
      </c>
      <c r="Z183" s="80">
        <f t="shared" ca="1" si="102"/>
        <v>0</v>
      </c>
      <c r="AA183" s="80">
        <f t="shared" ca="1" si="123"/>
        <v>0</v>
      </c>
      <c r="AB183" s="81">
        <f t="shared" ca="1" si="103"/>
        <v>-8838.8699253967206</v>
      </c>
      <c r="AC183" s="79">
        <f t="shared" ca="1" si="104"/>
        <v>419186.77015401842</v>
      </c>
      <c r="AD183" s="35"/>
      <c r="AE183" s="62">
        <f t="shared" ca="1" si="105"/>
        <v>-16716.004616439077</v>
      </c>
      <c r="AF183" s="62">
        <f t="shared" ca="1" si="106"/>
        <v>792762.88079669338</v>
      </c>
      <c r="AG183" s="35"/>
      <c r="AH183" s="35"/>
      <c r="AR183" s="69">
        <f t="shared" si="124"/>
        <v>15</v>
      </c>
      <c r="AS183" s="70">
        <f t="shared" si="128"/>
        <v>180</v>
      </c>
      <c r="AT183" s="71">
        <f t="shared" si="129"/>
        <v>0.29168643726456922</v>
      </c>
      <c r="AU183" s="72">
        <f t="shared" si="107"/>
        <v>6.8214933659622723E-3</v>
      </c>
      <c r="AV183" s="73">
        <f t="shared" si="125"/>
        <v>1.0068214933659623</v>
      </c>
      <c r="AW183" s="74">
        <f>PRODUCT(AV$4:AV183)</f>
        <v>3.3997428788211432</v>
      </c>
    </row>
    <row r="184" spans="5:49">
      <c r="E184">
        <f t="shared" si="127"/>
        <v>181</v>
      </c>
      <c r="F184" s="64">
        <f t="shared" si="109"/>
        <v>76.400000000000006</v>
      </c>
      <c r="G184" s="55">
        <f t="shared" si="110"/>
        <v>6.0757230971507648E-3</v>
      </c>
      <c r="H184" s="78">
        <f t="shared" si="131"/>
        <v>0.52555425777991527</v>
      </c>
      <c r="I184" s="79">
        <f t="shared" ca="1" si="111"/>
        <v>416639.90741257364</v>
      </c>
      <c r="J184" s="79">
        <f t="shared" ca="1" si="112"/>
        <v>2842.1063644100063</v>
      </c>
      <c r="K184" s="80">
        <f t="shared" ca="1" si="113"/>
        <v>-10.511085155598305</v>
      </c>
      <c r="L184" s="80">
        <f t="shared" ca="1" si="114"/>
        <v>0</v>
      </c>
      <c r="M184" s="80">
        <f t="shared" ca="1" si="115"/>
        <v>0</v>
      </c>
      <c r="N184" s="80">
        <f t="shared" ca="1" si="116"/>
        <v>0</v>
      </c>
      <c r="O184" s="81">
        <f t="shared" ca="1" si="98"/>
        <v>-8785.1673992382766</v>
      </c>
      <c r="P184" s="79">
        <f t="shared" ca="1" si="99"/>
        <v>410686.33529258979</v>
      </c>
      <c r="Q184" s="35"/>
      <c r="R184">
        <f t="shared" ca="1" si="117"/>
        <v>181</v>
      </c>
      <c r="S184" s="78">
        <f t="shared" ca="1" si="118"/>
        <v>76.400000000000006</v>
      </c>
      <c r="T184" s="55">
        <f t="shared" ca="1" si="119"/>
        <v>6.0757230971507648E-3</v>
      </c>
      <c r="U184" s="78">
        <f t="shared" ca="1" si="120"/>
        <v>0.52555425777991527</v>
      </c>
      <c r="V184" s="79">
        <f t="shared" ca="1" si="121"/>
        <v>416639.90741257364</v>
      </c>
      <c r="W184" s="79">
        <f t="shared" ca="1" si="100"/>
        <v>2842.1063644100063</v>
      </c>
      <c r="X184" s="80">
        <f t="shared" ca="1" si="101"/>
        <v>-10.511085155598305</v>
      </c>
      <c r="Y184" s="80">
        <f t="shared" ca="1" si="122"/>
        <v>0</v>
      </c>
      <c r="Z184" s="80">
        <f t="shared" ca="1" si="102"/>
        <v>0</v>
      </c>
      <c r="AA184" s="80">
        <f t="shared" ca="1" si="123"/>
        <v>0</v>
      </c>
      <c r="AB184" s="81">
        <f t="shared" ca="1" si="103"/>
        <v>-8785.1673992382766</v>
      </c>
      <c r="AC184" s="79">
        <f t="shared" ca="1" si="104"/>
        <v>410686.33529258979</v>
      </c>
      <c r="AD184" s="35"/>
      <c r="AE184" s="62">
        <f t="shared" ca="1" si="105"/>
        <v>-16716.004616439077</v>
      </c>
      <c r="AF184" s="62">
        <f t="shared" ca="1" si="106"/>
        <v>781434.70291239012</v>
      </c>
      <c r="AG184" s="35"/>
      <c r="AH184" s="35"/>
      <c r="AR184" s="69">
        <f t="shared" si="124"/>
        <v>16</v>
      </c>
      <c r="AS184" s="70">
        <f t="shared" si="128"/>
        <v>181</v>
      </c>
      <c r="AT184" s="71">
        <f t="shared" si="129"/>
        <v>0.28969670016782778</v>
      </c>
      <c r="AU184" s="72">
        <f t="shared" si="107"/>
        <v>6.8214933659622723E-3</v>
      </c>
      <c r="AV184" s="73">
        <f t="shared" si="125"/>
        <v>1.0068214933659623</v>
      </c>
      <c r="AW184" s="74">
        <f>PRODUCT(AV$4:AV184)</f>
        <v>3.4229342023149991</v>
      </c>
    </row>
    <row r="185" spans="5:49">
      <c r="E185">
        <f t="shared" si="127"/>
        <v>182</v>
      </c>
      <c r="F185" s="64">
        <f t="shared" si="109"/>
        <v>76.48</v>
      </c>
      <c r="G185" s="55">
        <f t="shared" si="110"/>
        <v>6.0757230971507648E-3</v>
      </c>
      <c r="H185" s="78">
        <f t="shared" si="131"/>
        <v>0.52236113563711595</v>
      </c>
      <c r="I185" s="79">
        <f t="shared" ca="1" si="111"/>
        <v>408191.1188395684</v>
      </c>
      <c r="J185" s="79">
        <f t="shared" ca="1" si="112"/>
        <v>2784.4730092088334</v>
      </c>
      <c r="K185" s="80">
        <f t="shared" ca="1" si="113"/>
        <v>-10.447222712742319</v>
      </c>
      <c r="L185" s="80">
        <f t="shared" ca="1" si="114"/>
        <v>0</v>
      </c>
      <c r="M185" s="80">
        <f t="shared" ca="1" si="115"/>
        <v>0</v>
      </c>
      <c r="N185" s="80">
        <f t="shared" ca="1" si="116"/>
        <v>0</v>
      </c>
      <c r="O185" s="81">
        <f t="shared" ca="1" si="98"/>
        <v>-8731.7911547583899</v>
      </c>
      <c r="P185" s="79">
        <f t="shared" ca="1" si="99"/>
        <v>402233.35347130615</v>
      </c>
      <c r="Q185" s="35"/>
      <c r="R185">
        <f t="shared" ca="1" si="117"/>
        <v>182</v>
      </c>
      <c r="S185" s="78">
        <f t="shared" ca="1" si="118"/>
        <v>76.48</v>
      </c>
      <c r="T185" s="55">
        <f t="shared" ca="1" si="119"/>
        <v>6.0757230971507648E-3</v>
      </c>
      <c r="U185" s="78">
        <f t="shared" ca="1" si="120"/>
        <v>0.52236113563711595</v>
      </c>
      <c r="V185" s="79">
        <f t="shared" ca="1" si="121"/>
        <v>408191.1188395684</v>
      </c>
      <c r="W185" s="79">
        <f t="shared" ca="1" si="100"/>
        <v>2784.4730092088334</v>
      </c>
      <c r="X185" s="80">
        <f t="shared" ca="1" si="101"/>
        <v>-10.447222712742319</v>
      </c>
      <c r="Y185" s="80">
        <f t="shared" ca="1" si="122"/>
        <v>0</v>
      </c>
      <c r="Z185" s="80">
        <f t="shared" ca="1" si="102"/>
        <v>0</v>
      </c>
      <c r="AA185" s="80">
        <f t="shared" ca="1" si="123"/>
        <v>0</v>
      </c>
      <c r="AB185" s="81">
        <f t="shared" ca="1" si="103"/>
        <v>-8731.7911547583899</v>
      </c>
      <c r="AC185" s="79">
        <f t="shared" ca="1" si="104"/>
        <v>402233.35347130615</v>
      </c>
      <c r="AD185" s="35"/>
      <c r="AE185" s="62">
        <f t="shared" ca="1" si="105"/>
        <v>-16716.004616439077</v>
      </c>
      <c r="AF185" s="62">
        <f t="shared" ca="1" si="106"/>
        <v>770029.24993780069</v>
      </c>
      <c r="AG185" s="35"/>
      <c r="AH185" s="35"/>
      <c r="AR185" s="69">
        <f t="shared" si="124"/>
        <v>16</v>
      </c>
      <c r="AS185" s="70">
        <f t="shared" si="128"/>
        <v>182</v>
      </c>
      <c r="AT185" s="71">
        <f t="shared" si="129"/>
        <v>0.28772053604949177</v>
      </c>
      <c r="AU185" s="72">
        <f t="shared" si="107"/>
        <v>6.8214933659622723E-3</v>
      </c>
      <c r="AV185" s="73">
        <f t="shared" si="125"/>
        <v>1.0068214933659623</v>
      </c>
      <c r="AW185" s="74">
        <f>PRODUCT(AV$4:AV185)</f>
        <v>3.4462837252682164</v>
      </c>
    </row>
    <row r="186" spans="5:49">
      <c r="E186">
        <f t="shared" si="127"/>
        <v>183</v>
      </c>
      <c r="F186" s="64">
        <f t="shared" si="109"/>
        <v>76.56</v>
      </c>
      <c r="G186" s="55">
        <f t="shared" si="110"/>
        <v>6.629281491598138E-3</v>
      </c>
      <c r="H186" s="78">
        <f t="shared" si="131"/>
        <v>0.51889825662870659</v>
      </c>
      <c r="I186" s="79">
        <f t="shared" ca="1" si="111"/>
        <v>399566.83534583537</v>
      </c>
      <c r="J186" s="79">
        <f t="shared" ca="1" si="112"/>
        <v>2725.6425165701557</v>
      </c>
      <c r="K186" s="80">
        <f t="shared" ca="1" si="113"/>
        <v>-10.377965132574133</v>
      </c>
      <c r="L186" s="80">
        <f t="shared" ca="1" si="114"/>
        <v>0</v>
      </c>
      <c r="M186" s="80">
        <f t="shared" ca="1" si="115"/>
        <v>0</v>
      </c>
      <c r="N186" s="80">
        <f t="shared" ca="1" si="116"/>
        <v>0</v>
      </c>
      <c r="O186" s="81">
        <f t="shared" ca="1" si="98"/>
        <v>-8673.9056532676495</v>
      </c>
      <c r="P186" s="79">
        <f t="shared" ca="1" si="99"/>
        <v>393608.19424400531</v>
      </c>
      <c r="Q186" s="35"/>
      <c r="R186">
        <f t="shared" ca="1" si="117"/>
        <v>183</v>
      </c>
      <c r="S186" s="78">
        <f t="shared" ca="1" si="118"/>
        <v>76.56</v>
      </c>
      <c r="T186" s="55">
        <f t="shared" ca="1" si="119"/>
        <v>6.629281491598138E-3</v>
      </c>
      <c r="U186" s="78">
        <f t="shared" ca="1" si="120"/>
        <v>0.51889825662870659</v>
      </c>
      <c r="V186" s="79">
        <f t="shared" ca="1" si="121"/>
        <v>399566.83534583537</v>
      </c>
      <c r="W186" s="79">
        <f t="shared" ca="1" si="100"/>
        <v>2725.6425165701557</v>
      </c>
      <c r="X186" s="80">
        <f t="shared" ca="1" si="101"/>
        <v>-10.377965132574133</v>
      </c>
      <c r="Y186" s="80">
        <f t="shared" ca="1" si="122"/>
        <v>0</v>
      </c>
      <c r="Z186" s="80">
        <f t="shared" ca="1" si="102"/>
        <v>0</v>
      </c>
      <c r="AA186" s="80">
        <f t="shared" ca="1" si="123"/>
        <v>0</v>
      </c>
      <c r="AB186" s="81">
        <f t="shared" ca="1" si="103"/>
        <v>-8673.9056532676495</v>
      </c>
      <c r="AC186" s="79">
        <f t="shared" ca="1" si="104"/>
        <v>393608.19424400531</v>
      </c>
      <c r="AD186" s="35"/>
      <c r="AE186" s="62">
        <f t="shared" ca="1" si="105"/>
        <v>-16716.004616439081</v>
      </c>
      <c r="AF186" s="62">
        <f t="shared" ca="1" si="106"/>
        <v>758545.99474140932</v>
      </c>
      <c r="AG186" s="35"/>
      <c r="AH186" s="35"/>
      <c r="AR186" s="69">
        <f t="shared" si="124"/>
        <v>16</v>
      </c>
      <c r="AS186" s="70">
        <f t="shared" si="128"/>
        <v>183</v>
      </c>
      <c r="AT186" s="71">
        <f t="shared" si="129"/>
        <v>0.28575785232157908</v>
      </c>
      <c r="AU186" s="72">
        <f t="shared" si="107"/>
        <v>6.8214933659622723E-3</v>
      </c>
      <c r="AV186" s="73">
        <f t="shared" si="125"/>
        <v>1.0068214933659623</v>
      </c>
      <c r="AW186" s="74">
        <f>PRODUCT(AV$4:AV186)</f>
        <v>3.4697925268373573</v>
      </c>
    </row>
    <row r="187" spans="5:49">
      <c r="E187">
        <f t="shared" si="127"/>
        <v>184</v>
      </c>
      <c r="F187" s="64">
        <f t="shared" si="109"/>
        <v>76.64</v>
      </c>
      <c r="G187" s="55">
        <f t="shared" si="110"/>
        <v>6.629281491598138E-3</v>
      </c>
      <c r="H187" s="78">
        <f t="shared" si="131"/>
        <v>0.5154583340200154</v>
      </c>
      <c r="I187" s="79">
        <f t="shared" ca="1" si="111"/>
        <v>390998.85472696216</v>
      </c>
      <c r="J187" s="79">
        <f t="shared" ca="1" si="112"/>
        <v>2667.1960936188188</v>
      </c>
      <c r="K187" s="80">
        <f t="shared" ca="1" si="113"/>
        <v>-10.309166680400308</v>
      </c>
      <c r="L187" s="80">
        <f t="shared" ca="1" si="114"/>
        <v>0</v>
      </c>
      <c r="M187" s="80">
        <f t="shared" ca="1" si="115"/>
        <v>0</v>
      </c>
      <c r="N187" s="80">
        <f t="shared" ca="1" si="116"/>
        <v>0</v>
      </c>
      <c r="O187" s="81">
        <f t="shared" ca="1" si="98"/>
        <v>-8616.4038910605741</v>
      </c>
      <c r="P187" s="79">
        <f t="shared" ca="1" si="99"/>
        <v>385039.33776284003</v>
      </c>
      <c r="Q187" s="35"/>
      <c r="R187">
        <f t="shared" ca="1" si="117"/>
        <v>184</v>
      </c>
      <c r="S187" s="78">
        <f t="shared" ca="1" si="118"/>
        <v>76.64</v>
      </c>
      <c r="T187" s="55">
        <f t="shared" ca="1" si="119"/>
        <v>6.629281491598138E-3</v>
      </c>
      <c r="U187" s="78">
        <f t="shared" ca="1" si="120"/>
        <v>0.5154583340200154</v>
      </c>
      <c r="V187" s="79">
        <f t="shared" ca="1" si="121"/>
        <v>390998.85472696216</v>
      </c>
      <c r="W187" s="79">
        <f t="shared" ca="1" si="100"/>
        <v>2667.1960936188188</v>
      </c>
      <c r="X187" s="80">
        <f t="shared" ca="1" si="101"/>
        <v>-10.309166680400308</v>
      </c>
      <c r="Y187" s="80">
        <f t="shared" ca="1" si="122"/>
        <v>0</v>
      </c>
      <c r="Z187" s="80">
        <f t="shared" ca="1" si="102"/>
        <v>0</v>
      </c>
      <c r="AA187" s="80">
        <f t="shared" ca="1" si="123"/>
        <v>0</v>
      </c>
      <c r="AB187" s="81">
        <f t="shared" ca="1" si="103"/>
        <v>-8616.4038910605741</v>
      </c>
      <c r="AC187" s="79">
        <f t="shared" ca="1" si="104"/>
        <v>385039.33776284003</v>
      </c>
      <c r="AD187" s="35"/>
      <c r="AE187" s="62">
        <f t="shared" ca="1" si="105"/>
        <v>-16716.004616439081</v>
      </c>
      <c r="AF187" s="62">
        <f t="shared" ca="1" si="106"/>
        <v>746984.40659587597</v>
      </c>
      <c r="AG187" s="35"/>
      <c r="AH187" s="35"/>
      <c r="AR187" s="69">
        <f t="shared" si="124"/>
        <v>16</v>
      </c>
      <c r="AS187" s="70">
        <f t="shared" si="128"/>
        <v>184</v>
      </c>
      <c r="AT187" s="71">
        <f t="shared" si="129"/>
        <v>0.28380855702769581</v>
      </c>
      <c r="AU187" s="72">
        <f t="shared" si="107"/>
        <v>6.8214933659622723E-3</v>
      </c>
      <c r="AV187" s="73">
        <f t="shared" si="125"/>
        <v>1.0068214933659623</v>
      </c>
      <c r="AW187" s="74">
        <f>PRODUCT(AV$4:AV187)</f>
        <v>3.4934616935404437</v>
      </c>
    </row>
    <row r="188" spans="5:49">
      <c r="E188">
        <f t="shared" si="127"/>
        <v>185</v>
      </c>
      <c r="F188" s="64">
        <f t="shared" si="109"/>
        <v>76.72</v>
      </c>
      <c r="G188" s="55">
        <f t="shared" si="110"/>
        <v>6.629281491598138E-3</v>
      </c>
      <c r="H188" s="78">
        <f t="shared" si="131"/>
        <v>0.51204121562660654</v>
      </c>
      <c r="I188" s="79">
        <f t="shared" ca="1" si="111"/>
        <v>382486.80360747164</v>
      </c>
      <c r="J188" s="79">
        <f t="shared" ca="1" si="112"/>
        <v>2609.1311933764823</v>
      </c>
      <c r="K188" s="80">
        <f t="shared" ca="1" si="113"/>
        <v>-10.24082431253213</v>
      </c>
      <c r="L188" s="80">
        <f t="shared" ca="1" si="114"/>
        <v>0</v>
      </c>
      <c r="M188" s="80">
        <f t="shared" ca="1" si="115"/>
        <v>0</v>
      </c>
      <c r="N188" s="80">
        <f t="shared" ca="1" si="116"/>
        <v>0</v>
      </c>
      <c r="O188" s="81">
        <f t="shared" ca="1" si="98"/>
        <v>-8559.2833242214328</v>
      </c>
      <c r="P188" s="79">
        <f t="shared" ca="1" si="99"/>
        <v>376526.41065231414</v>
      </c>
      <c r="Q188" s="35"/>
      <c r="R188">
        <f t="shared" ca="1" si="117"/>
        <v>185</v>
      </c>
      <c r="S188" s="78">
        <f t="shared" ca="1" si="118"/>
        <v>76.72</v>
      </c>
      <c r="T188" s="55">
        <f t="shared" ca="1" si="119"/>
        <v>6.629281491598138E-3</v>
      </c>
      <c r="U188" s="78">
        <f t="shared" ca="1" si="120"/>
        <v>0.51204121562660654</v>
      </c>
      <c r="V188" s="79">
        <f t="shared" ca="1" si="121"/>
        <v>382486.80360747164</v>
      </c>
      <c r="W188" s="79">
        <f t="shared" ca="1" si="100"/>
        <v>2609.1311933764823</v>
      </c>
      <c r="X188" s="80">
        <f t="shared" ca="1" si="101"/>
        <v>-10.24082431253213</v>
      </c>
      <c r="Y188" s="80">
        <f t="shared" ca="1" si="122"/>
        <v>0</v>
      </c>
      <c r="Z188" s="80">
        <f t="shared" ca="1" si="102"/>
        <v>0</v>
      </c>
      <c r="AA188" s="80">
        <f t="shared" ca="1" si="123"/>
        <v>0</v>
      </c>
      <c r="AB188" s="81">
        <f t="shared" ca="1" si="103"/>
        <v>-8559.2833242214328</v>
      </c>
      <c r="AC188" s="79">
        <f t="shared" ca="1" si="104"/>
        <v>376526.41065231414</v>
      </c>
      <c r="AD188" s="35"/>
      <c r="AE188" s="62">
        <f t="shared" ca="1" si="105"/>
        <v>-16716.004616439081</v>
      </c>
      <c r="AF188" s="62">
        <f t="shared" ca="1" si="106"/>
        <v>735343.95115350781</v>
      </c>
      <c r="AG188" s="35"/>
      <c r="AH188" s="35"/>
      <c r="AR188" s="69">
        <f t="shared" si="124"/>
        <v>16</v>
      </c>
      <c r="AS188" s="70">
        <f t="shared" si="128"/>
        <v>185</v>
      </c>
      <c r="AT188" s="71">
        <f t="shared" si="129"/>
        <v>0.28187255883872808</v>
      </c>
      <c r="AU188" s="72">
        <f t="shared" si="107"/>
        <v>6.8214933659622723E-3</v>
      </c>
      <c r="AV188" s="73">
        <f t="shared" si="125"/>
        <v>1.0068214933659623</v>
      </c>
      <c r="AW188" s="74">
        <f>PRODUCT(AV$4:AV188)</f>
        <v>3.517292319307173</v>
      </c>
    </row>
    <row r="189" spans="5:49">
      <c r="E189">
        <f t="shared" si="127"/>
        <v>186</v>
      </c>
      <c r="F189" s="64">
        <f t="shared" si="109"/>
        <v>76.8</v>
      </c>
      <c r="G189" s="55">
        <f t="shared" si="110"/>
        <v>6.629281491598138E-3</v>
      </c>
      <c r="H189" s="78">
        <f t="shared" si="131"/>
        <v>0.50864675027291761</v>
      </c>
      <c r="I189" s="79">
        <f t="shared" ca="1" si="111"/>
        <v>374030.31108707888</v>
      </c>
      <c r="J189" s="79">
        <f t="shared" ca="1" si="112"/>
        <v>2551.4452857493134</v>
      </c>
      <c r="K189" s="80">
        <f t="shared" ca="1" si="113"/>
        <v>-10.172935005458353</v>
      </c>
      <c r="L189" s="80">
        <f t="shared" ca="1" si="114"/>
        <v>0</v>
      </c>
      <c r="M189" s="80">
        <f t="shared" ca="1" si="115"/>
        <v>0</v>
      </c>
      <c r="N189" s="80">
        <f t="shared" ca="1" si="116"/>
        <v>0</v>
      </c>
      <c r="O189" s="81">
        <f t="shared" ca="1" si="98"/>
        <v>-8502.5414256988261</v>
      </c>
      <c r="P189" s="79">
        <f t="shared" ca="1" si="99"/>
        <v>368069.04201212391</v>
      </c>
      <c r="Q189" s="35"/>
      <c r="R189">
        <f t="shared" ca="1" si="117"/>
        <v>186</v>
      </c>
      <c r="S189" s="78">
        <f t="shared" ca="1" si="118"/>
        <v>76.8</v>
      </c>
      <c r="T189" s="55">
        <f t="shared" ca="1" si="119"/>
        <v>6.629281491598138E-3</v>
      </c>
      <c r="U189" s="78">
        <f t="shared" ca="1" si="120"/>
        <v>0.50864675027291761</v>
      </c>
      <c r="V189" s="79">
        <f t="shared" ca="1" si="121"/>
        <v>374030.31108707888</v>
      </c>
      <c r="W189" s="79">
        <f t="shared" ca="1" si="100"/>
        <v>2551.4452857493134</v>
      </c>
      <c r="X189" s="80">
        <f t="shared" ca="1" si="101"/>
        <v>-10.172935005458353</v>
      </c>
      <c r="Y189" s="80">
        <f t="shared" ca="1" si="122"/>
        <v>0</v>
      </c>
      <c r="Z189" s="80">
        <f t="shared" ca="1" si="102"/>
        <v>0</v>
      </c>
      <c r="AA189" s="80">
        <f t="shared" ca="1" si="123"/>
        <v>0</v>
      </c>
      <c r="AB189" s="81">
        <f t="shared" ca="1" si="103"/>
        <v>-8502.5414256988261</v>
      </c>
      <c r="AC189" s="79">
        <f t="shared" ca="1" si="104"/>
        <v>368069.04201212391</v>
      </c>
      <c r="AD189" s="35"/>
      <c r="AE189" s="62">
        <f t="shared" ca="1" si="105"/>
        <v>-16716.004616439077</v>
      </c>
      <c r="AF189" s="62">
        <f t="shared" ca="1" si="106"/>
        <v>723624.09042156301</v>
      </c>
      <c r="AG189" s="35"/>
      <c r="AH189" s="35"/>
      <c r="AR189" s="69">
        <f t="shared" si="124"/>
        <v>16</v>
      </c>
      <c r="AS189" s="70">
        <f t="shared" si="128"/>
        <v>186</v>
      </c>
      <c r="AT189" s="71">
        <f t="shared" si="129"/>
        <v>0.27994976704856289</v>
      </c>
      <c r="AU189" s="72">
        <f t="shared" si="107"/>
        <v>6.8214933659622723E-3</v>
      </c>
      <c r="AV189" s="73">
        <f t="shared" si="125"/>
        <v>1.0068214933659623</v>
      </c>
      <c r="AW189" s="74">
        <f>PRODUCT(AV$4:AV189)</f>
        <v>3.5412855055294767</v>
      </c>
    </row>
    <row r="190" spans="5:49">
      <c r="E190">
        <f t="shared" si="127"/>
        <v>187</v>
      </c>
      <c r="F190" s="64">
        <f t="shared" si="109"/>
        <v>76.88</v>
      </c>
      <c r="G190" s="55">
        <f t="shared" si="110"/>
        <v>6.629281491598138E-3</v>
      </c>
      <c r="H190" s="78">
        <f t="shared" si="131"/>
        <v>0.50527478778557178</v>
      </c>
      <c r="I190" s="79">
        <f t="shared" ca="1" si="111"/>
        <v>365629.00872428267</v>
      </c>
      <c r="J190" s="79">
        <f t="shared" ca="1" si="112"/>
        <v>2494.1358574160558</v>
      </c>
      <c r="K190" s="80">
        <f t="shared" ca="1" si="113"/>
        <v>-10.105495755711436</v>
      </c>
      <c r="L190" s="80">
        <f t="shared" ca="1" si="114"/>
        <v>0</v>
      </c>
      <c r="M190" s="80">
        <f t="shared" ca="1" si="115"/>
        <v>0</v>
      </c>
      <c r="N190" s="80">
        <f t="shared" ca="1" si="116"/>
        <v>0</v>
      </c>
      <c r="O190" s="81">
        <f t="shared" ca="1" si="98"/>
        <v>-8446.1756851938935</v>
      </c>
      <c r="P190" s="79">
        <f t="shared" ca="1" si="99"/>
        <v>359666.86340074911</v>
      </c>
      <c r="Q190" s="35"/>
      <c r="R190">
        <f t="shared" ca="1" si="117"/>
        <v>187</v>
      </c>
      <c r="S190" s="78">
        <f t="shared" ca="1" si="118"/>
        <v>76.88</v>
      </c>
      <c r="T190" s="55">
        <f t="shared" ca="1" si="119"/>
        <v>6.629281491598138E-3</v>
      </c>
      <c r="U190" s="78">
        <f t="shared" ca="1" si="120"/>
        <v>0.50527478778557178</v>
      </c>
      <c r="V190" s="79">
        <f t="shared" ca="1" si="121"/>
        <v>365629.00872428267</v>
      </c>
      <c r="W190" s="79">
        <f t="shared" ca="1" si="100"/>
        <v>2494.1358574160558</v>
      </c>
      <c r="X190" s="80">
        <f t="shared" ca="1" si="101"/>
        <v>-10.105495755711436</v>
      </c>
      <c r="Y190" s="80">
        <f t="shared" ca="1" si="122"/>
        <v>0</v>
      </c>
      <c r="Z190" s="80">
        <f t="shared" ca="1" si="102"/>
        <v>0</v>
      </c>
      <c r="AA190" s="80">
        <f t="shared" ca="1" si="123"/>
        <v>0</v>
      </c>
      <c r="AB190" s="81">
        <f t="shared" ca="1" si="103"/>
        <v>-8446.1756851938935</v>
      </c>
      <c r="AC190" s="79">
        <f t="shared" ca="1" si="104"/>
        <v>359666.86340074911</v>
      </c>
      <c r="AD190" s="35"/>
      <c r="AE190" s="62">
        <f t="shared" ca="1" si="105"/>
        <v>-16716.004616439077</v>
      </c>
      <c r="AF190" s="62">
        <f t="shared" ca="1" si="106"/>
        <v>711824.28273738513</v>
      </c>
      <c r="AG190" s="35"/>
      <c r="AH190" s="35"/>
      <c r="AR190" s="69">
        <f t="shared" si="124"/>
        <v>16</v>
      </c>
      <c r="AS190" s="70">
        <f t="shared" si="128"/>
        <v>187</v>
      </c>
      <c r="AT190" s="71">
        <f t="shared" si="129"/>
        <v>0.27804009156983844</v>
      </c>
      <c r="AU190" s="72">
        <f t="shared" si="107"/>
        <v>6.8214933659622723E-3</v>
      </c>
      <c r="AV190" s="73">
        <f t="shared" si="125"/>
        <v>1.0068214933659623</v>
      </c>
      <c r="AW190" s="74">
        <f>PRODUCT(AV$4:AV190)</f>
        <v>3.5654423611124244</v>
      </c>
    </row>
    <row r="191" spans="5:49">
      <c r="E191">
        <f t="shared" si="127"/>
        <v>188</v>
      </c>
      <c r="F191" s="64">
        <f t="shared" si="109"/>
        <v>76.959999999999994</v>
      </c>
      <c r="G191" s="55">
        <f t="shared" si="110"/>
        <v>6.629281491598138E-3</v>
      </c>
      <c r="H191" s="78">
        <f t="shared" si="131"/>
        <v>0.50192517898673372</v>
      </c>
      <c r="I191" s="79">
        <f t="shared" ca="1" si="111"/>
        <v>357282.53052006534</v>
      </c>
      <c r="J191" s="79">
        <f t="shared" ca="1" si="112"/>
        <v>2437.200411716839</v>
      </c>
      <c r="K191" s="80">
        <f t="shared" ca="1" si="113"/>
        <v>-10.038503579734675</v>
      </c>
      <c r="L191" s="80">
        <f t="shared" ca="1" si="114"/>
        <v>0</v>
      </c>
      <c r="M191" s="80">
        <f t="shared" ca="1" si="115"/>
        <v>0</v>
      </c>
      <c r="N191" s="80">
        <f t="shared" ca="1" si="116"/>
        <v>0</v>
      </c>
      <c r="O191" s="81">
        <f t="shared" ca="1" si="98"/>
        <v>-8390.1836090492525</v>
      </c>
      <c r="P191" s="79">
        <f t="shared" ca="1" si="99"/>
        <v>351319.50881915318</v>
      </c>
      <c r="Q191" s="35"/>
      <c r="R191">
        <f t="shared" ca="1" si="117"/>
        <v>188</v>
      </c>
      <c r="S191" s="78">
        <f t="shared" ca="1" si="118"/>
        <v>76.959999999999994</v>
      </c>
      <c r="T191" s="55">
        <f t="shared" ca="1" si="119"/>
        <v>6.629281491598138E-3</v>
      </c>
      <c r="U191" s="78">
        <f t="shared" ca="1" si="120"/>
        <v>0.50192517898673372</v>
      </c>
      <c r="V191" s="79">
        <f t="shared" ca="1" si="121"/>
        <v>357282.53052006534</v>
      </c>
      <c r="W191" s="79">
        <f t="shared" ca="1" si="100"/>
        <v>2437.200411716839</v>
      </c>
      <c r="X191" s="80">
        <f t="shared" ca="1" si="101"/>
        <v>-10.038503579734675</v>
      </c>
      <c r="Y191" s="80">
        <f t="shared" ca="1" si="122"/>
        <v>0</v>
      </c>
      <c r="Z191" s="80">
        <f t="shared" ca="1" si="102"/>
        <v>0</v>
      </c>
      <c r="AA191" s="80">
        <f t="shared" ca="1" si="123"/>
        <v>0</v>
      </c>
      <c r="AB191" s="81">
        <f t="shared" ca="1" si="103"/>
        <v>-8390.1836090492525</v>
      </c>
      <c r="AC191" s="79">
        <f t="shared" ca="1" si="104"/>
        <v>351319.50881915318</v>
      </c>
      <c r="AD191" s="35"/>
      <c r="AE191" s="62">
        <f t="shared" ca="1" si="105"/>
        <v>-16716.004616439081</v>
      </c>
      <c r="AF191" s="62">
        <f t="shared" ca="1" si="106"/>
        <v>699943.98274336988</v>
      </c>
      <c r="AG191" s="35"/>
      <c r="AH191" s="35"/>
      <c r="AR191" s="69">
        <f t="shared" si="124"/>
        <v>16</v>
      </c>
      <c r="AS191" s="70">
        <f t="shared" si="128"/>
        <v>188</v>
      </c>
      <c r="AT191" s="71">
        <f t="shared" si="129"/>
        <v>0.27614344292972326</v>
      </c>
      <c r="AU191" s="72">
        <f t="shared" si="107"/>
        <v>6.8214933659622723E-3</v>
      </c>
      <c r="AV191" s="73">
        <f t="shared" si="125"/>
        <v>1.0068214933659623</v>
      </c>
      <c r="AW191" s="74">
        <f>PRODUCT(AV$4:AV191)</f>
        <v>3.5897640025254738</v>
      </c>
    </row>
    <row r="192" spans="5:49">
      <c r="E192">
        <f t="shared" si="127"/>
        <v>189</v>
      </c>
      <c r="F192" s="64">
        <f t="shared" si="109"/>
        <v>77.040000000000006</v>
      </c>
      <c r="G192" s="55">
        <f t="shared" si="110"/>
        <v>6.629281491598138E-3</v>
      </c>
      <c r="H192" s="78">
        <f t="shared" si="131"/>
        <v>0.4985977756875099</v>
      </c>
      <c r="I192" s="79">
        <f t="shared" ca="1" si="111"/>
        <v>348990.51290170103</v>
      </c>
      <c r="J192" s="79">
        <f t="shared" ca="1" si="112"/>
        <v>2380.6364685427243</v>
      </c>
      <c r="K192" s="80">
        <f t="shared" ca="1" si="113"/>
        <v>-9.9719555137501974</v>
      </c>
      <c r="L192" s="80">
        <f t="shared" ca="1" si="114"/>
        <v>0</v>
      </c>
      <c r="M192" s="80">
        <f t="shared" ca="1" si="115"/>
        <v>0</v>
      </c>
      <c r="N192" s="80">
        <f t="shared" ca="1" si="116"/>
        <v>0</v>
      </c>
      <c r="O192" s="81">
        <f t="shared" ca="1" si="98"/>
        <v>-8334.5627201386724</v>
      </c>
      <c r="P192" s="79">
        <f t="shared" ca="1" si="99"/>
        <v>343026.61469459132</v>
      </c>
      <c r="Q192" s="35"/>
      <c r="R192">
        <f t="shared" ca="1" si="117"/>
        <v>189</v>
      </c>
      <c r="S192" s="78">
        <f t="shared" ca="1" si="118"/>
        <v>77.040000000000006</v>
      </c>
      <c r="T192" s="55">
        <f t="shared" ca="1" si="119"/>
        <v>6.629281491598138E-3</v>
      </c>
      <c r="U192" s="78">
        <f t="shared" ca="1" si="120"/>
        <v>0.4985977756875099</v>
      </c>
      <c r="V192" s="79">
        <f t="shared" ca="1" si="121"/>
        <v>348990.51290170103</v>
      </c>
      <c r="W192" s="79">
        <f t="shared" ca="1" si="100"/>
        <v>2380.6364685427243</v>
      </c>
      <c r="X192" s="80">
        <f t="shared" ca="1" si="101"/>
        <v>-9.9719555137501974</v>
      </c>
      <c r="Y192" s="80">
        <f t="shared" ca="1" si="122"/>
        <v>0</v>
      </c>
      <c r="Z192" s="80">
        <f t="shared" ca="1" si="102"/>
        <v>0</v>
      </c>
      <c r="AA192" s="80">
        <f t="shared" ca="1" si="123"/>
        <v>0</v>
      </c>
      <c r="AB192" s="81">
        <f t="shared" ca="1" si="103"/>
        <v>-8334.5627201386724</v>
      </c>
      <c r="AC192" s="79">
        <f t="shared" ca="1" si="104"/>
        <v>343026.61469459132</v>
      </c>
      <c r="AD192" s="35"/>
      <c r="AE192" s="62">
        <f t="shared" ca="1" si="105"/>
        <v>-16716.004616439081</v>
      </c>
      <c r="AF192" s="62">
        <f t="shared" ca="1" si="106"/>
        <v>687982.64136175986</v>
      </c>
      <c r="AG192" s="35"/>
      <c r="AH192" s="35"/>
      <c r="AR192" s="69">
        <f t="shared" si="124"/>
        <v>16</v>
      </c>
      <c r="AS192" s="70">
        <f t="shared" si="128"/>
        <v>189</v>
      </c>
      <c r="AT192" s="71">
        <f t="shared" si="129"/>
        <v>0.2742597322657242</v>
      </c>
      <c r="AU192" s="72">
        <f t="shared" si="107"/>
        <v>6.8214933659622723E-3</v>
      </c>
      <c r="AV192" s="73">
        <f t="shared" si="125"/>
        <v>1.0068214933659623</v>
      </c>
      <c r="AW192" s="74">
        <f>PRODUCT(AV$4:AV192)</f>
        <v>3.6142515538540714</v>
      </c>
    </row>
    <row r="193" spans="5:49">
      <c r="E193">
        <f t="shared" si="127"/>
        <v>190</v>
      </c>
      <c r="F193" s="64">
        <f t="shared" si="109"/>
        <v>77.12</v>
      </c>
      <c r="G193" s="55">
        <f t="shared" si="110"/>
        <v>6.629281491598138E-3</v>
      </c>
      <c r="H193" s="78">
        <f t="shared" si="131"/>
        <v>0.49529243068139267</v>
      </c>
      <c r="I193" s="79">
        <f t="shared" ca="1" si="111"/>
        <v>340752.5947066709</v>
      </c>
      <c r="J193" s="79">
        <f t="shared" ca="1" si="112"/>
        <v>2324.4415642259864</v>
      </c>
      <c r="K193" s="80">
        <f t="shared" ca="1" si="113"/>
        <v>-9.9058486136278532</v>
      </c>
      <c r="L193" s="80">
        <f t="shared" ca="1" si="114"/>
        <v>0</v>
      </c>
      <c r="M193" s="80">
        <f t="shared" ca="1" si="115"/>
        <v>0</v>
      </c>
      <c r="N193" s="80">
        <f t="shared" ca="1" si="116"/>
        <v>0</v>
      </c>
      <c r="O193" s="81">
        <f t="shared" ca="1" si="98"/>
        <v>-8279.3105577574916</v>
      </c>
      <c r="P193" s="79">
        <f t="shared" ca="1" si="99"/>
        <v>334787.81986452575</v>
      </c>
      <c r="Q193" s="35"/>
      <c r="R193">
        <f t="shared" ca="1" si="117"/>
        <v>190</v>
      </c>
      <c r="S193" s="78">
        <f t="shared" ca="1" si="118"/>
        <v>77.12</v>
      </c>
      <c r="T193" s="55">
        <f t="shared" ca="1" si="119"/>
        <v>6.629281491598138E-3</v>
      </c>
      <c r="U193" s="78">
        <f t="shared" ca="1" si="120"/>
        <v>0.49529243068139267</v>
      </c>
      <c r="V193" s="79">
        <f t="shared" ca="1" si="121"/>
        <v>340752.5947066709</v>
      </c>
      <c r="W193" s="79">
        <f t="shared" ca="1" si="100"/>
        <v>2324.4415642259864</v>
      </c>
      <c r="X193" s="80">
        <f t="shared" ca="1" si="101"/>
        <v>-9.9058486136278532</v>
      </c>
      <c r="Y193" s="80">
        <f t="shared" ca="1" si="122"/>
        <v>0</v>
      </c>
      <c r="Z193" s="80">
        <f t="shared" ca="1" si="102"/>
        <v>0</v>
      </c>
      <c r="AA193" s="80">
        <f t="shared" ca="1" si="123"/>
        <v>0</v>
      </c>
      <c r="AB193" s="81">
        <f t="shared" ca="1" si="103"/>
        <v>-8279.3105577574916</v>
      </c>
      <c r="AC193" s="79">
        <f t="shared" ca="1" si="104"/>
        <v>334787.81986452575</v>
      </c>
      <c r="AD193" s="35"/>
      <c r="AE193" s="62">
        <f t="shared" ca="1" si="105"/>
        <v>-16716.004616439077</v>
      </c>
      <c r="AF193" s="62">
        <f t="shared" ca="1" si="106"/>
        <v>675939.70576926728</v>
      </c>
      <c r="AG193" s="35"/>
      <c r="AH193" s="35"/>
      <c r="AR193" s="69">
        <f t="shared" si="124"/>
        <v>16</v>
      </c>
      <c r="AS193" s="70">
        <f t="shared" si="128"/>
        <v>190</v>
      </c>
      <c r="AT193" s="71">
        <f t="shared" si="129"/>
        <v>0.27238887132152295</v>
      </c>
      <c r="AU193" s="72">
        <f t="shared" si="107"/>
        <v>6.8214933659622723E-3</v>
      </c>
      <c r="AV193" s="73">
        <f t="shared" si="125"/>
        <v>1.0068214933659623</v>
      </c>
      <c r="AW193" s="74">
        <f>PRODUCT(AV$4:AV193)</f>
        <v>3.638906146851606</v>
      </c>
    </row>
    <row r="194" spans="5:49">
      <c r="E194">
        <f t="shared" si="127"/>
        <v>191</v>
      </c>
      <c r="F194" s="64">
        <f t="shared" si="109"/>
        <v>77.2</v>
      </c>
      <c r="G194" s="55">
        <f t="shared" si="110"/>
        <v>6.629281491598138E-3</v>
      </c>
      <c r="H194" s="78">
        <f t="shared" si="131"/>
        <v>0.49200899773774787</v>
      </c>
      <c r="I194" s="79">
        <f t="shared" ca="1" si="111"/>
        <v>332568.41716668534</v>
      </c>
      <c r="J194" s="79">
        <f t="shared" ca="1" si="112"/>
        <v>2268.6132514311175</v>
      </c>
      <c r="K194" s="80">
        <f t="shared" ca="1" si="113"/>
        <v>-9.8401799547549569</v>
      </c>
      <c r="L194" s="80">
        <f t="shared" ca="1" si="114"/>
        <v>0</v>
      </c>
      <c r="M194" s="80">
        <f t="shared" ca="1" si="115"/>
        <v>0</v>
      </c>
      <c r="N194" s="80">
        <f t="shared" ca="1" si="116"/>
        <v>0</v>
      </c>
      <c r="O194" s="81">
        <f t="shared" ca="1" si="98"/>
        <v>-8224.4246775137563</v>
      </c>
      <c r="P194" s="79">
        <f t="shared" ca="1" si="99"/>
        <v>326602.76556064794</v>
      </c>
      <c r="Q194" s="35"/>
      <c r="R194">
        <f t="shared" ca="1" si="117"/>
        <v>191</v>
      </c>
      <c r="S194" s="78">
        <f t="shared" ca="1" si="118"/>
        <v>77.2</v>
      </c>
      <c r="T194" s="55">
        <f t="shared" ca="1" si="119"/>
        <v>6.629281491598138E-3</v>
      </c>
      <c r="U194" s="78">
        <f t="shared" ca="1" si="120"/>
        <v>0.49200899773774787</v>
      </c>
      <c r="V194" s="79">
        <f t="shared" ca="1" si="121"/>
        <v>332568.41716668534</v>
      </c>
      <c r="W194" s="79">
        <f t="shared" ca="1" si="100"/>
        <v>2268.6132514311175</v>
      </c>
      <c r="X194" s="80">
        <f t="shared" ca="1" si="101"/>
        <v>-9.8401799547549569</v>
      </c>
      <c r="Y194" s="80">
        <f t="shared" ca="1" si="122"/>
        <v>0</v>
      </c>
      <c r="Z194" s="80">
        <f t="shared" ca="1" si="102"/>
        <v>0</v>
      </c>
      <c r="AA194" s="80">
        <f t="shared" ca="1" si="123"/>
        <v>0</v>
      </c>
      <c r="AB194" s="81">
        <f t="shared" ca="1" si="103"/>
        <v>-8224.4246775137563</v>
      </c>
      <c r="AC194" s="79">
        <f t="shared" ca="1" si="104"/>
        <v>326602.76556064794</v>
      </c>
      <c r="AD194" s="35"/>
      <c r="AE194" s="62">
        <f t="shared" ca="1" si="105"/>
        <v>-16716.004616439077</v>
      </c>
      <c r="AF194" s="62">
        <f t="shared" ca="1" si="106"/>
        <v>663814.61937152361</v>
      </c>
      <c r="AG194" s="35"/>
      <c r="AH194" s="35"/>
      <c r="AR194" s="69">
        <f t="shared" si="124"/>
        <v>16</v>
      </c>
      <c r="AS194" s="70">
        <f t="shared" si="128"/>
        <v>191</v>
      </c>
      <c r="AT194" s="71">
        <f t="shared" si="129"/>
        <v>0.27053077244284124</v>
      </c>
      <c r="AU194" s="72">
        <f t="shared" si="107"/>
        <v>6.8214933659622723E-3</v>
      </c>
      <c r="AV194" s="73">
        <f t="shared" si="125"/>
        <v>1.0068214933659623</v>
      </c>
      <c r="AW194" s="74">
        <f>PRODUCT(AV$4:AV194)</f>
        <v>3.6637289209917134</v>
      </c>
    </row>
    <row r="195" spans="5:49">
      <c r="E195">
        <f t="shared" si="127"/>
        <v>192</v>
      </c>
      <c r="F195" s="64">
        <f t="shared" si="109"/>
        <v>77.28</v>
      </c>
      <c r="G195" s="55">
        <f t="shared" si="110"/>
        <v>6.629281491598138E-3</v>
      </c>
      <c r="H195" s="78">
        <f t="shared" si="131"/>
        <v>0.48874733159534528</v>
      </c>
      <c r="I195" s="79">
        <f t="shared" ca="1" si="111"/>
        <v>324437.62389181199</v>
      </c>
      <c r="J195" s="79">
        <f t="shared" ca="1" si="112"/>
        <v>2213.1490990465581</v>
      </c>
      <c r="K195" s="80">
        <f t="shared" ca="1" si="113"/>
        <v>-9.7749466319069054</v>
      </c>
      <c r="L195" s="80">
        <f t="shared" ca="1" si="114"/>
        <v>0</v>
      </c>
      <c r="M195" s="80">
        <f t="shared" ca="1" si="115"/>
        <v>0</v>
      </c>
      <c r="N195" s="80">
        <f t="shared" ca="1" si="116"/>
        <v>0</v>
      </c>
      <c r="O195" s="81">
        <f t="shared" ca="1" si="98"/>
        <v>-8169.9026512200726</v>
      </c>
      <c r="P195" s="79">
        <f t="shared" ca="1" si="99"/>
        <v>318471.09539300652</v>
      </c>
      <c r="Q195" s="35"/>
      <c r="R195">
        <f t="shared" ca="1" si="117"/>
        <v>192</v>
      </c>
      <c r="S195" s="78">
        <f t="shared" ca="1" si="118"/>
        <v>77.28</v>
      </c>
      <c r="T195" s="55">
        <f t="shared" ca="1" si="119"/>
        <v>6.629281491598138E-3</v>
      </c>
      <c r="U195" s="78">
        <f t="shared" ca="1" si="120"/>
        <v>0.48874733159534528</v>
      </c>
      <c r="V195" s="79">
        <f t="shared" ca="1" si="121"/>
        <v>324437.62389181199</v>
      </c>
      <c r="W195" s="79">
        <f t="shared" ca="1" si="100"/>
        <v>2213.1490990465581</v>
      </c>
      <c r="X195" s="80">
        <f t="shared" ca="1" si="101"/>
        <v>-9.7749466319069054</v>
      </c>
      <c r="Y195" s="80">
        <f t="shared" ca="1" si="122"/>
        <v>0</v>
      </c>
      <c r="Z195" s="80">
        <f t="shared" ca="1" si="102"/>
        <v>0</v>
      </c>
      <c r="AA195" s="80">
        <f t="shared" ca="1" si="123"/>
        <v>0</v>
      </c>
      <c r="AB195" s="81">
        <f t="shared" ca="1" si="103"/>
        <v>-8169.9026512200726</v>
      </c>
      <c r="AC195" s="79">
        <f t="shared" ca="1" si="104"/>
        <v>318471.09539300652</v>
      </c>
      <c r="AD195" s="35"/>
      <c r="AE195" s="62">
        <f t="shared" ca="1" si="105"/>
        <v>-16716.004616439077</v>
      </c>
      <c r="AF195" s="62">
        <f t="shared" ca="1" si="106"/>
        <v>651606.82177735609</v>
      </c>
      <c r="AG195" s="35"/>
      <c r="AH195" s="35"/>
      <c r="AR195" s="69">
        <f t="shared" si="124"/>
        <v>16</v>
      </c>
      <c r="AS195" s="70">
        <f t="shared" si="128"/>
        <v>192</v>
      </c>
      <c r="AT195" s="71">
        <f t="shared" si="129"/>
        <v>0.26868534857333376</v>
      </c>
      <c r="AU195" s="72">
        <f t="shared" si="107"/>
        <v>6.8214933659622723E-3</v>
      </c>
      <c r="AV195" s="73">
        <f t="shared" si="125"/>
        <v>1.0068214933659623</v>
      </c>
      <c r="AW195" s="74">
        <f>PRODUCT(AV$4:AV195)</f>
        <v>3.6887210235209427</v>
      </c>
    </row>
    <row r="196" spans="5:49">
      <c r="E196">
        <f t="shared" si="127"/>
        <v>193</v>
      </c>
      <c r="F196" s="64">
        <f t="shared" si="109"/>
        <v>77.36</v>
      </c>
      <c r="G196" s="55">
        <f t="shared" si="110"/>
        <v>6.629281491598138E-3</v>
      </c>
      <c r="H196" s="78">
        <f t="shared" si="131"/>
        <v>0.48550728795593229</v>
      </c>
      <c r="I196" s="79">
        <f t="shared" ca="1" si="111"/>
        <v>316359.86085470865</v>
      </c>
      <c r="J196" s="79">
        <f t="shared" ca="1" si="112"/>
        <v>2158.0466920771428</v>
      </c>
      <c r="K196" s="80">
        <f t="shared" ca="1" si="113"/>
        <v>-9.710145759118646</v>
      </c>
      <c r="L196" s="80">
        <f t="shared" ca="1" si="114"/>
        <v>0</v>
      </c>
      <c r="M196" s="80">
        <f t="shared" ca="1" si="115"/>
        <v>0</v>
      </c>
      <c r="N196" s="80">
        <f t="shared" ca="1" si="116"/>
        <v>0</v>
      </c>
      <c r="O196" s="81">
        <f t="shared" ref="O196:O259" ca="1" si="134">-MIN(IF(MOD(R196,IF($C$5="Annual",12,1))=0,1,0)*$C$33*U196/IF($C$5="Monthly",12,1),I196)</f>
        <v>-8115.7420667861807</v>
      </c>
      <c r="P196" s="79">
        <f t="shared" ref="P196:P259" ca="1" si="135">SUM(I196:O196)</f>
        <v>310392.45533424051</v>
      </c>
      <c r="Q196" s="35"/>
      <c r="R196">
        <f t="shared" ca="1" si="117"/>
        <v>193</v>
      </c>
      <c r="S196" s="78">
        <f t="shared" ca="1" si="118"/>
        <v>77.36</v>
      </c>
      <c r="T196" s="55">
        <f t="shared" ca="1" si="119"/>
        <v>6.629281491598138E-3</v>
      </c>
      <c r="U196" s="78">
        <f t="shared" ca="1" si="120"/>
        <v>0.48550728795593229</v>
      </c>
      <c r="V196" s="79">
        <f t="shared" ca="1" si="121"/>
        <v>316359.86085470865</v>
      </c>
      <c r="W196" s="79">
        <f t="shared" ref="W196:W259" ca="1" si="136">(V196)*$AU196</f>
        <v>2158.0466920771428</v>
      </c>
      <c r="X196" s="80">
        <f t="shared" ref="X196:X259" ca="1" si="137">IF(V196=0,0,-$C$19)*U196</f>
        <v>-9.710145759118646</v>
      </c>
      <c r="Y196" s="80">
        <f t="shared" ca="1" si="122"/>
        <v>0</v>
      </c>
      <c r="Z196" s="80">
        <f t="shared" ref="Z196:Z259" ca="1" si="138">-IF(MOD(R196-1,12)=0,1,0)*V196*($C$17)</f>
        <v>0</v>
      </c>
      <c r="AA196" s="80">
        <f t="shared" ca="1" si="123"/>
        <v>0</v>
      </c>
      <c r="AB196" s="81">
        <f t="shared" ref="AB196:AB259" ca="1" si="139">-MIN(IF(MOD(R196,IF($C$5="Annual",12,1))=0,1,0)*$C$33*U196/IF($C$5="Monthly",12,1),V196)</f>
        <v>-8115.7420667861807</v>
      </c>
      <c r="AC196" s="79">
        <f t="shared" ref="AC196:AC259" ca="1" si="140">SUM(V196:AB196)</f>
        <v>310392.45533424051</v>
      </c>
      <c r="AD196" s="35"/>
      <c r="AE196" s="62">
        <f t="shared" ref="AE196:AE259" ca="1" si="141">AB196/U196</f>
        <v>-16716.004616439077</v>
      </c>
      <c r="AF196" s="62">
        <f t="shared" ref="AF196:AF259" ca="1" si="142">AC196/U196</f>
        <v>639315.74877288705</v>
      </c>
      <c r="AG196" s="35"/>
      <c r="AH196" s="35"/>
      <c r="AR196" s="69">
        <f t="shared" si="124"/>
        <v>17</v>
      </c>
      <c r="AS196" s="70">
        <f t="shared" si="128"/>
        <v>193</v>
      </c>
      <c r="AT196" s="71">
        <f t="shared" si="129"/>
        <v>0.26685251325050952</v>
      </c>
      <c r="AU196" s="72">
        <f t="shared" ref="AU196:AU259" si="143">((1+$AH$21)^(1/12))-1</f>
        <v>6.8214933659622723E-3</v>
      </c>
      <c r="AV196" s="73">
        <f t="shared" si="125"/>
        <v>1.0068214933659623</v>
      </c>
      <c r="AW196" s="74">
        <f>PRODUCT(AV$4:AV196)</f>
        <v>3.7138836095117762</v>
      </c>
    </row>
    <row r="197" spans="5:49">
      <c r="E197">
        <f t="shared" si="127"/>
        <v>194</v>
      </c>
      <c r="F197" s="64">
        <f t="shared" ref="F197:F260" si="144">ROUND((E197-E196)/12+F196,2)</f>
        <v>77.44</v>
      </c>
      <c r="G197" s="55">
        <f t="shared" ref="G197:G260" si="145">(1-(1-IF(F197&gt;$AJ$90,0,VLOOKUP(ROUND(F197,0),$AJ$4:$AK$90,2,FALSE)))^(1/12))</f>
        <v>6.629281491598138E-3</v>
      </c>
      <c r="H197" s="78">
        <f t="shared" si="131"/>
        <v>0.48228872347785001</v>
      </c>
      <c r="I197" s="79">
        <f t="shared" ref="I197:I260" ca="1" si="146">MAX(P196,0)*(1-G197)</f>
        <v>308334.77637496154</v>
      </c>
      <c r="J197" s="79">
        <f t="shared" ref="J197:J260" ca="1" si="147">(I197)*$AU197</f>
        <v>2103.303631537261</v>
      </c>
      <c r="K197" s="80">
        <f t="shared" ref="K197:K260" ca="1" si="148">IF(I197=0,0,-$C$19)*H197</f>
        <v>-9.6457744695570007</v>
      </c>
      <c r="L197" s="80">
        <f t="shared" ref="L197:L260" ca="1" si="149">IF(OR(I196+O196=0,K196=0),0,-I197*($C$16/12))</f>
        <v>0</v>
      </c>
      <c r="M197" s="80">
        <f t="shared" ref="M197:M260" ca="1" si="150">IF(OR(I196+O196=0,K196=0),0,-IF(MOD(E197-1,12)=0,1,0)*I197*($C$17))</f>
        <v>0</v>
      </c>
      <c r="N197" s="80">
        <f t="shared" ref="N197:N260" ca="1" si="151">IF(OR(I196+O196=0,K196=0),0,-I197*($C$18*(1+$C$20))/12)</f>
        <v>0</v>
      </c>
      <c r="O197" s="81">
        <f t="shared" ca="1" si="134"/>
        <v>-8061.9405281122499</v>
      </c>
      <c r="P197" s="79">
        <f t="shared" ca="1" si="135"/>
        <v>302366.49370391702</v>
      </c>
      <c r="Q197" s="35"/>
      <c r="R197">
        <f t="shared" ref="R197:R260" ca="1" si="152">R196+1</f>
        <v>194</v>
      </c>
      <c r="S197" s="78">
        <f t="shared" ref="S197:S260" ca="1" si="153">ROUND((R197-R196)/12+S196,2)</f>
        <v>77.44</v>
      </c>
      <c r="T197" s="55">
        <f t="shared" ref="T197:T260" ca="1" si="154">(1-(1-IF(S197&gt;$AJ$90,0,VLOOKUP(ROUND(S197,0),$AJ$4:$AK$90,2,FALSE)))^(1/12))</f>
        <v>6.629281491598138E-3</v>
      </c>
      <c r="U197" s="78">
        <f t="shared" ref="U197:U260" ca="1" si="155">U196*(1-T197)</f>
        <v>0.48228872347785001</v>
      </c>
      <c r="V197" s="79">
        <f t="shared" ref="V197:V260" ca="1" si="156">MAX(AC196,0)*(1-T197)</f>
        <v>308334.77637496154</v>
      </c>
      <c r="W197" s="79">
        <f t="shared" ca="1" si="136"/>
        <v>2103.303631537261</v>
      </c>
      <c r="X197" s="80">
        <f t="shared" ca="1" si="137"/>
        <v>-9.6457744695570007</v>
      </c>
      <c r="Y197" s="80">
        <f t="shared" ref="Y197:Y260" ca="1" si="157">IF(OR(V196+AB196=0,X196=0),0,-V197*($C$16/12))</f>
        <v>0</v>
      </c>
      <c r="Z197" s="80">
        <f t="shared" ca="1" si="138"/>
        <v>0</v>
      </c>
      <c r="AA197" s="80">
        <f t="shared" ref="AA197:AA260" ca="1" si="158">IF(OR(V196+AB196=0,X196=0),0,-V197*($C$18*(1+$C$20))/12)</f>
        <v>0</v>
      </c>
      <c r="AB197" s="81">
        <f t="shared" ca="1" si="139"/>
        <v>-8061.9405281122499</v>
      </c>
      <c r="AC197" s="79">
        <f t="shared" ca="1" si="140"/>
        <v>302366.49370391702</v>
      </c>
      <c r="AD197" s="35"/>
      <c r="AE197" s="62">
        <f t="shared" ca="1" si="141"/>
        <v>-16716.004616439077</v>
      </c>
      <c r="AF197" s="62">
        <f t="shared" ca="1" si="142"/>
        <v>626940.83229545748</v>
      </c>
      <c r="AG197" s="35"/>
      <c r="AH197" s="35"/>
      <c r="AR197" s="69">
        <f t="shared" ref="AR197:AR260" si="159">ROUNDDOWN((AS197-1)/12,0)+1</f>
        <v>17</v>
      </c>
      <c r="AS197" s="70">
        <f t="shared" si="128"/>
        <v>194</v>
      </c>
      <c r="AT197" s="71">
        <f t="shared" si="129"/>
        <v>0.26503218060168082</v>
      </c>
      <c r="AU197" s="72">
        <f t="shared" si="143"/>
        <v>6.8214933659622723E-3</v>
      </c>
      <c r="AV197" s="73">
        <f t="shared" ref="AV197:AV260" si="160">(1+AU197)</f>
        <v>1.0068214933659623</v>
      </c>
      <c r="AW197" s="74">
        <f>PRODUCT(AV$4:AV197)</f>
        <v>3.7392178419160169</v>
      </c>
    </row>
    <row r="198" spans="5:49">
      <c r="E198">
        <f t="shared" ref="E198:E261" si="161">E197+1</f>
        <v>195</v>
      </c>
      <c r="F198" s="64">
        <f t="shared" si="144"/>
        <v>77.52</v>
      </c>
      <c r="G198" s="55">
        <f t="shared" si="145"/>
        <v>7.236878175910233E-3</v>
      </c>
      <c r="H198" s="78">
        <f t="shared" si="131"/>
        <v>0.47879845874042554</v>
      </c>
      <c r="I198" s="79">
        <f t="shared" ca="1" si="146"/>
        <v>300178.30422450462</v>
      </c>
      <c r="J198" s="79">
        <f t="shared" ca="1" si="147"/>
        <v>2047.664310873263</v>
      </c>
      <c r="K198" s="80">
        <f t="shared" ca="1" si="148"/>
        <v>-9.5759691748085114</v>
      </c>
      <c r="L198" s="80">
        <f t="shared" ca="1" si="149"/>
        <v>0</v>
      </c>
      <c r="M198" s="80">
        <f t="shared" ca="1" si="150"/>
        <v>0</v>
      </c>
      <c r="N198" s="80">
        <f t="shared" ca="1" si="151"/>
        <v>0</v>
      </c>
      <c r="O198" s="81">
        <f t="shared" ca="1" si="134"/>
        <v>-8003.5972466488683</v>
      </c>
      <c r="P198" s="79">
        <f t="shared" ca="1" si="135"/>
        <v>294212.79531955422</v>
      </c>
      <c r="Q198" s="35"/>
      <c r="R198">
        <f t="shared" ca="1" si="152"/>
        <v>195</v>
      </c>
      <c r="S198" s="78">
        <f t="shared" ca="1" si="153"/>
        <v>77.52</v>
      </c>
      <c r="T198" s="55">
        <f t="shared" ca="1" si="154"/>
        <v>7.236878175910233E-3</v>
      </c>
      <c r="U198" s="78">
        <f t="shared" ca="1" si="155"/>
        <v>0.47879845874042554</v>
      </c>
      <c r="V198" s="79">
        <f t="shared" ca="1" si="156"/>
        <v>300178.30422450462</v>
      </c>
      <c r="W198" s="79">
        <f t="shared" ca="1" si="136"/>
        <v>2047.664310873263</v>
      </c>
      <c r="X198" s="80">
        <f t="shared" ca="1" si="137"/>
        <v>-9.5759691748085114</v>
      </c>
      <c r="Y198" s="80">
        <f t="shared" ca="1" si="157"/>
        <v>0</v>
      </c>
      <c r="Z198" s="80">
        <f t="shared" ca="1" si="138"/>
        <v>0</v>
      </c>
      <c r="AA198" s="80">
        <f t="shared" ca="1" si="158"/>
        <v>0</v>
      </c>
      <c r="AB198" s="81">
        <f t="shared" ca="1" si="139"/>
        <v>-8003.5972466488683</v>
      </c>
      <c r="AC198" s="79">
        <f t="shared" ca="1" si="140"/>
        <v>294212.79531955422</v>
      </c>
      <c r="AD198" s="35"/>
      <c r="AE198" s="62">
        <f t="shared" ca="1" si="141"/>
        <v>-16716.004616439077</v>
      </c>
      <c r="AF198" s="62">
        <f t="shared" ca="1" si="142"/>
        <v>614481.50040737272</v>
      </c>
      <c r="AG198" s="35"/>
      <c r="AH198" s="35"/>
      <c r="AR198" s="69">
        <f t="shared" si="159"/>
        <v>17</v>
      </c>
      <c r="AS198" s="70">
        <f t="shared" ref="AS198:AS261" si="162">AS197+1</f>
        <v>195</v>
      </c>
      <c r="AT198" s="71">
        <f t="shared" ref="AT198:AT261" si="163">(1-AU198)*AT197</f>
        <v>0.26322426533993992</v>
      </c>
      <c r="AU198" s="72">
        <f t="shared" si="143"/>
        <v>6.8214933659622723E-3</v>
      </c>
      <c r="AV198" s="73">
        <f t="shared" si="160"/>
        <v>1.0068214933659623</v>
      </c>
      <c r="AW198" s="74">
        <f>PRODUCT(AV$4:AV198)</f>
        <v>3.7647248916185347</v>
      </c>
    </row>
    <row r="199" spans="5:49">
      <c r="E199">
        <f t="shared" si="161"/>
        <v>196</v>
      </c>
      <c r="F199" s="64">
        <f t="shared" si="144"/>
        <v>77.599999999999994</v>
      </c>
      <c r="G199" s="55">
        <f t="shared" si="145"/>
        <v>7.236878175910233E-3</v>
      </c>
      <c r="H199" s="78">
        <f t="shared" ref="H199:H262" si="164">H198*(1-G199)</f>
        <v>0.47533345262370752</v>
      </c>
      <c r="I199" s="79">
        <f t="shared" ca="1" si="146"/>
        <v>292083.61316203262</v>
      </c>
      <c r="J199" s="79">
        <f t="shared" ca="1" si="147"/>
        <v>1992.4464294910961</v>
      </c>
      <c r="K199" s="80">
        <f t="shared" ca="1" si="148"/>
        <v>-9.50666905247415</v>
      </c>
      <c r="L199" s="80">
        <f t="shared" ca="1" si="149"/>
        <v>0</v>
      </c>
      <c r="M199" s="80">
        <f t="shared" ca="1" si="150"/>
        <v>0</v>
      </c>
      <c r="N199" s="80">
        <f t="shared" ca="1" si="151"/>
        <v>0</v>
      </c>
      <c r="O199" s="81">
        <f t="shared" ca="1" si="134"/>
        <v>-7945.6761884058205</v>
      </c>
      <c r="P199" s="79">
        <f t="shared" ca="1" si="135"/>
        <v>286120.87673406542</v>
      </c>
      <c r="Q199" s="35"/>
      <c r="R199">
        <f t="shared" ca="1" si="152"/>
        <v>196</v>
      </c>
      <c r="S199" s="78">
        <f t="shared" ca="1" si="153"/>
        <v>77.599999999999994</v>
      </c>
      <c r="T199" s="55">
        <f t="shared" ca="1" si="154"/>
        <v>7.236878175910233E-3</v>
      </c>
      <c r="U199" s="78">
        <f t="shared" ca="1" si="155"/>
        <v>0.47533345262370752</v>
      </c>
      <c r="V199" s="79">
        <f t="shared" ca="1" si="156"/>
        <v>292083.61316203262</v>
      </c>
      <c r="W199" s="79">
        <f t="shared" ca="1" si="136"/>
        <v>1992.4464294910961</v>
      </c>
      <c r="X199" s="80">
        <f t="shared" ca="1" si="137"/>
        <v>-9.50666905247415</v>
      </c>
      <c r="Y199" s="80">
        <f t="shared" ca="1" si="157"/>
        <v>0</v>
      </c>
      <c r="Z199" s="80">
        <f t="shared" ca="1" si="138"/>
        <v>0</v>
      </c>
      <c r="AA199" s="80">
        <f t="shared" ca="1" si="158"/>
        <v>0</v>
      </c>
      <c r="AB199" s="81">
        <f t="shared" ca="1" si="139"/>
        <v>-7945.6761884058205</v>
      </c>
      <c r="AC199" s="79">
        <f t="shared" ca="1" si="140"/>
        <v>286120.87673406542</v>
      </c>
      <c r="AD199" s="35"/>
      <c r="AE199" s="62">
        <f t="shared" ca="1" si="141"/>
        <v>-16716.004616439077</v>
      </c>
      <c r="AF199" s="62">
        <f t="shared" ca="1" si="142"/>
        <v>601937.17726946913</v>
      </c>
      <c r="AG199" s="35"/>
      <c r="AH199" s="35"/>
      <c r="AR199" s="69">
        <f t="shared" si="159"/>
        <v>17</v>
      </c>
      <c r="AS199" s="70">
        <f t="shared" si="162"/>
        <v>196</v>
      </c>
      <c r="AT199" s="71">
        <f t="shared" si="163"/>
        <v>0.26142868276016323</v>
      </c>
      <c r="AU199" s="72">
        <f t="shared" si="143"/>
        <v>6.8214933659622723E-3</v>
      </c>
      <c r="AV199" s="73">
        <f t="shared" si="160"/>
        <v>1.0068214933659623</v>
      </c>
      <c r="AW199" s="74">
        <f>PRODUCT(AV$4:AV199)</f>
        <v>3.7904059374913834</v>
      </c>
    </row>
    <row r="200" spans="5:49">
      <c r="E200">
        <f t="shared" si="161"/>
        <v>197</v>
      </c>
      <c r="F200" s="64">
        <f t="shared" si="144"/>
        <v>77.680000000000007</v>
      </c>
      <c r="G200" s="55">
        <f t="shared" si="145"/>
        <v>7.236878175910233E-3</v>
      </c>
      <c r="H200" s="78">
        <f t="shared" si="164"/>
        <v>0.47189352233413495</v>
      </c>
      <c r="I200" s="79">
        <f t="shared" ca="1" si="146"/>
        <v>284050.25480555638</v>
      </c>
      <c r="J200" s="79">
        <f t="shared" ca="1" si="147"/>
        <v>1937.646928755996</v>
      </c>
      <c r="K200" s="80">
        <f t="shared" ca="1" si="148"/>
        <v>-9.4378704466826981</v>
      </c>
      <c r="L200" s="80">
        <f t="shared" ca="1" si="149"/>
        <v>0</v>
      </c>
      <c r="M200" s="80">
        <f t="shared" ca="1" si="150"/>
        <v>0</v>
      </c>
      <c r="N200" s="80">
        <f t="shared" ca="1" si="151"/>
        <v>0</v>
      </c>
      <c r="O200" s="81">
        <f t="shared" ca="1" si="134"/>
        <v>-7888.174297805097</v>
      </c>
      <c r="P200" s="79">
        <f t="shared" ca="1" si="135"/>
        <v>278090.28956606053</v>
      </c>
      <c r="Q200" s="35"/>
      <c r="R200">
        <f t="shared" ca="1" si="152"/>
        <v>197</v>
      </c>
      <c r="S200" s="78">
        <f t="shared" ca="1" si="153"/>
        <v>77.680000000000007</v>
      </c>
      <c r="T200" s="55">
        <f t="shared" ca="1" si="154"/>
        <v>7.236878175910233E-3</v>
      </c>
      <c r="U200" s="78">
        <f t="shared" ca="1" si="155"/>
        <v>0.47189352233413495</v>
      </c>
      <c r="V200" s="79">
        <f t="shared" ca="1" si="156"/>
        <v>284050.25480555638</v>
      </c>
      <c r="W200" s="79">
        <f t="shared" ca="1" si="136"/>
        <v>1937.646928755996</v>
      </c>
      <c r="X200" s="80">
        <f t="shared" ca="1" si="137"/>
        <v>-9.4378704466826981</v>
      </c>
      <c r="Y200" s="80">
        <f t="shared" ca="1" si="157"/>
        <v>0</v>
      </c>
      <c r="Z200" s="80">
        <f t="shared" ca="1" si="138"/>
        <v>0</v>
      </c>
      <c r="AA200" s="80">
        <f t="shared" ca="1" si="158"/>
        <v>0</v>
      </c>
      <c r="AB200" s="81">
        <f t="shared" ca="1" si="139"/>
        <v>-7888.174297805097</v>
      </c>
      <c r="AC200" s="79">
        <f t="shared" ca="1" si="140"/>
        <v>278090.28956606053</v>
      </c>
      <c r="AD200" s="35"/>
      <c r="AE200" s="62">
        <f t="shared" ca="1" si="141"/>
        <v>-16716.004616439077</v>
      </c>
      <c r="AF200" s="62">
        <f t="shared" ca="1" si="142"/>
        <v>589307.28311449965</v>
      </c>
      <c r="AG200" s="35"/>
      <c r="AH200" s="35"/>
      <c r="AR200" s="69">
        <f t="shared" si="159"/>
        <v>17</v>
      </c>
      <c r="AS200" s="70">
        <f t="shared" si="162"/>
        <v>197</v>
      </c>
      <c r="AT200" s="71">
        <f t="shared" si="163"/>
        <v>0.25964534873504252</v>
      </c>
      <c r="AU200" s="72">
        <f t="shared" si="143"/>
        <v>6.8214933659622723E-3</v>
      </c>
      <c r="AV200" s="73">
        <f t="shared" si="160"/>
        <v>1.0068214933659623</v>
      </c>
      <c r="AW200" s="74">
        <f>PRODUCT(AV$4:AV200)</f>
        <v>3.816262166448285</v>
      </c>
    </row>
    <row r="201" spans="5:49">
      <c r="E201">
        <f t="shared" si="161"/>
        <v>198</v>
      </c>
      <c r="F201" s="64">
        <f t="shared" si="144"/>
        <v>77.760000000000005</v>
      </c>
      <c r="G201" s="55">
        <f t="shared" si="145"/>
        <v>7.236878175910233E-3</v>
      </c>
      <c r="H201" s="78">
        <f t="shared" si="164"/>
        <v>0.46847848640100165</v>
      </c>
      <c r="I201" s="79">
        <f t="shared" ca="1" si="146"/>
        <v>276077.78401856736</v>
      </c>
      <c r="J201" s="79">
        <f t="shared" ca="1" si="147"/>
        <v>1883.2627721722222</v>
      </c>
      <c r="K201" s="80">
        <f t="shared" ca="1" si="148"/>
        <v>-9.3695697280200321</v>
      </c>
      <c r="L201" s="80">
        <f t="shared" ca="1" si="149"/>
        <v>0</v>
      </c>
      <c r="M201" s="80">
        <f t="shared" ca="1" si="150"/>
        <v>0</v>
      </c>
      <c r="N201" s="80">
        <f t="shared" ca="1" si="151"/>
        <v>0</v>
      </c>
      <c r="O201" s="81">
        <f t="shared" ca="1" si="134"/>
        <v>-7831.0885413815349</v>
      </c>
      <c r="P201" s="79">
        <f t="shared" ca="1" si="135"/>
        <v>270120.58867963002</v>
      </c>
      <c r="Q201" s="35"/>
      <c r="R201">
        <f t="shared" ca="1" si="152"/>
        <v>198</v>
      </c>
      <c r="S201" s="78">
        <f t="shared" ca="1" si="153"/>
        <v>77.760000000000005</v>
      </c>
      <c r="T201" s="55">
        <f t="shared" ca="1" si="154"/>
        <v>7.236878175910233E-3</v>
      </c>
      <c r="U201" s="78">
        <f t="shared" ca="1" si="155"/>
        <v>0.46847848640100165</v>
      </c>
      <c r="V201" s="79">
        <f t="shared" ca="1" si="156"/>
        <v>276077.78401856736</v>
      </c>
      <c r="W201" s="79">
        <f t="shared" ca="1" si="136"/>
        <v>1883.2627721722222</v>
      </c>
      <c r="X201" s="80">
        <f t="shared" ca="1" si="137"/>
        <v>-9.3695697280200321</v>
      </c>
      <c r="Y201" s="80">
        <f t="shared" ca="1" si="157"/>
        <v>0</v>
      </c>
      <c r="Z201" s="80">
        <f t="shared" ca="1" si="138"/>
        <v>0</v>
      </c>
      <c r="AA201" s="80">
        <f t="shared" ca="1" si="158"/>
        <v>0</v>
      </c>
      <c r="AB201" s="81">
        <f t="shared" ca="1" si="139"/>
        <v>-7831.0885413815349</v>
      </c>
      <c r="AC201" s="79">
        <f t="shared" ca="1" si="140"/>
        <v>270120.58867963002</v>
      </c>
      <c r="AD201" s="35"/>
      <c r="AE201" s="62">
        <f t="shared" ca="1" si="141"/>
        <v>-16716.004616439077</v>
      </c>
      <c r="AF201" s="62">
        <f t="shared" ca="1" si="142"/>
        <v>576591.23422033933</v>
      </c>
      <c r="AG201" s="35"/>
      <c r="AH201" s="35"/>
      <c r="AR201" s="69">
        <f t="shared" si="159"/>
        <v>17</v>
      </c>
      <c r="AS201" s="70">
        <f t="shared" si="162"/>
        <v>198</v>
      </c>
      <c r="AT201" s="71">
        <f t="shared" si="163"/>
        <v>0.25787417971114346</v>
      </c>
      <c r="AU201" s="72">
        <f t="shared" si="143"/>
        <v>6.8214933659622723E-3</v>
      </c>
      <c r="AV201" s="73">
        <f t="shared" si="160"/>
        <v>1.0068214933659623</v>
      </c>
      <c r="AW201" s="74">
        <f>PRODUCT(AV$4:AV201)</f>
        <v>3.8422947734994848</v>
      </c>
    </row>
    <row r="202" spans="5:49">
      <c r="E202">
        <f t="shared" si="161"/>
        <v>199</v>
      </c>
      <c r="F202" s="64">
        <f t="shared" si="144"/>
        <v>77.84</v>
      </c>
      <c r="G202" s="55">
        <f t="shared" si="145"/>
        <v>7.236878175910233E-3</v>
      </c>
      <c r="H202" s="78">
        <f t="shared" si="164"/>
        <v>0.4650881646668828</v>
      </c>
      <c r="I202" s="79">
        <f t="shared" ca="1" si="146"/>
        <v>268165.75888655038</v>
      </c>
      <c r="J202" s="79">
        <f t="shared" ca="1" si="147"/>
        <v>1829.2909452228416</v>
      </c>
      <c r="K202" s="80">
        <f t="shared" ca="1" si="148"/>
        <v>-9.3017632933376557</v>
      </c>
      <c r="L202" s="80">
        <f t="shared" ca="1" si="149"/>
        <v>0</v>
      </c>
      <c r="M202" s="80">
        <f t="shared" ca="1" si="150"/>
        <v>0</v>
      </c>
      <c r="N202" s="80">
        <f t="shared" ca="1" si="151"/>
        <v>0</v>
      </c>
      <c r="O202" s="81">
        <f t="shared" ca="1" si="134"/>
        <v>-7774.4159076227916</v>
      </c>
      <c r="P202" s="79">
        <f t="shared" ca="1" si="135"/>
        <v>262211.3321608571</v>
      </c>
      <c r="Q202" s="35"/>
      <c r="R202">
        <f t="shared" ca="1" si="152"/>
        <v>199</v>
      </c>
      <c r="S202" s="78">
        <f t="shared" ca="1" si="153"/>
        <v>77.84</v>
      </c>
      <c r="T202" s="55">
        <f t="shared" ca="1" si="154"/>
        <v>7.236878175910233E-3</v>
      </c>
      <c r="U202" s="78">
        <f t="shared" ca="1" si="155"/>
        <v>0.4650881646668828</v>
      </c>
      <c r="V202" s="79">
        <f t="shared" ca="1" si="156"/>
        <v>268165.75888655038</v>
      </c>
      <c r="W202" s="79">
        <f t="shared" ca="1" si="136"/>
        <v>1829.2909452228416</v>
      </c>
      <c r="X202" s="80">
        <f t="shared" ca="1" si="137"/>
        <v>-9.3017632933376557</v>
      </c>
      <c r="Y202" s="80">
        <f t="shared" ca="1" si="157"/>
        <v>0</v>
      </c>
      <c r="Z202" s="80">
        <f t="shared" ca="1" si="138"/>
        <v>0</v>
      </c>
      <c r="AA202" s="80">
        <f t="shared" ca="1" si="158"/>
        <v>0</v>
      </c>
      <c r="AB202" s="81">
        <f t="shared" ca="1" si="139"/>
        <v>-7774.4159076227916</v>
      </c>
      <c r="AC202" s="79">
        <f t="shared" ca="1" si="140"/>
        <v>262211.3321608571</v>
      </c>
      <c r="AD202" s="35"/>
      <c r="AE202" s="62">
        <f t="shared" ca="1" si="141"/>
        <v>-16716.004616439081</v>
      </c>
      <c r="AF202" s="62">
        <f t="shared" ca="1" si="142"/>
        <v>563788.4428830063</v>
      </c>
      <c r="AG202" s="35"/>
      <c r="AH202" s="35"/>
      <c r="AR202" s="69">
        <f t="shared" si="159"/>
        <v>17</v>
      </c>
      <c r="AS202" s="70">
        <f t="shared" si="162"/>
        <v>199</v>
      </c>
      <c r="AT202" s="71">
        <f t="shared" si="163"/>
        <v>0.25611509270499094</v>
      </c>
      <c r="AU202" s="72">
        <f t="shared" si="143"/>
        <v>6.8214933659622723E-3</v>
      </c>
      <c r="AV202" s="73">
        <f t="shared" si="160"/>
        <v>1.0068214933659623</v>
      </c>
      <c r="AW202" s="74">
        <f>PRODUCT(AV$4:AV202)</f>
        <v>3.8685049618069831</v>
      </c>
    </row>
    <row r="203" spans="5:49">
      <c r="E203">
        <f t="shared" si="161"/>
        <v>200</v>
      </c>
      <c r="F203" s="64">
        <f t="shared" si="144"/>
        <v>77.92</v>
      </c>
      <c r="G203" s="55">
        <f t="shared" si="145"/>
        <v>7.236878175910233E-3</v>
      </c>
      <c r="H203" s="78">
        <f t="shared" si="164"/>
        <v>0.4617223782781309</v>
      </c>
      <c r="I203" s="79">
        <f t="shared" ca="1" si="146"/>
        <v>260313.74069366584</v>
      </c>
      <c r="J203" s="79">
        <f t="shared" ca="1" si="147"/>
        <v>1775.7284552106646</v>
      </c>
      <c r="K203" s="80">
        <f t="shared" ca="1" si="148"/>
        <v>-9.2344475655626184</v>
      </c>
      <c r="L203" s="80">
        <f t="shared" ca="1" si="149"/>
        <v>0</v>
      </c>
      <c r="M203" s="80">
        <f t="shared" ca="1" si="150"/>
        <v>0</v>
      </c>
      <c r="N203" s="80">
        <f t="shared" ca="1" si="151"/>
        <v>0</v>
      </c>
      <c r="O203" s="81">
        <f t="shared" ca="1" si="134"/>
        <v>-7718.1534068104665</v>
      </c>
      <c r="P203" s="79">
        <f t="shared" ca="1" si="135"/>
        <v>254362.08129450044</v>
      </c>
      <c r="Q203" s="35"/>
      <c r="R203">
        <f t="shared" ca="1" si="152"/>
        <v>200</v>
      </c>
      <c r="S203" s="78">
        <f t="shared" ca="1" si="153"/>
        <v>77.92</v>
      </c>
      <c r="T203" s="55">
        <f t="shared" ca="1" si="154"/>
        <v>7.236878175910233E-3</v>
      </c>
      <c r="U203" s="78">
        <f t="shared" ca="1" si="155"/>
        <v>0.4617223782781309</v>
      </c>
      <c r="V203" s="79">
        <f t="shared" ca="1" si="156"/>
        <v>260313.74069366584</v>
      </c>
      <c r="W203" s="79">
        <f t="shared" ca="1" si="136"/>
        <v>1775.7284552106646</v>
      </c>
      <c r="X203" s="80">
        <f t="shared" ca="1" si="137"/>
        <v>-9.2344475655626184</v>
      </c>
      <c r="Y203" s="80">
        <f t="shared" ca="1" si="157"/>
        <v>0</v>
      </c>
      <c r="Z203" s="80">
        <f t="shared" ca="1" si="138"/>
        <v>0</v>
      </c>
      <c r="AA203" s="80">
        <f t="shared" ca="1" si="158"/>
        <v>0</v>
      </c>
      <c r="AB203" s="81">
        <f t="shared" ca="1" si="139"/>
        <v>-7718.1534068104665</v>
      </c>
      <c r="AC203" s="79">
        <f t="shared" ca="1" si="140"/>
        <v>254362.08129450044</v>
      </c>
      <c r="AD203" s="35"/>
      <c r="AE203" s="62">
        <f t="shared" ca="1" si="141"/>
        <v>-16716.004616439077</v>
      </c>
      <c r="AF203" s="62">
        <f t="shared" ca="1" si="142"/>
        <v>550898.31738949975</v>
      </c>
      <c r="AG203" s="35"/>
      <c r="AH203" s="35"/>
      <c r="AR203" s="69">
        <f t="shared" si="159"/>
        <v>17</v>
      </c>
      <c r="AS203" s="70">
        <f t="shared" si="162"/>
        <v>200</v>
      </c>
      <c r="AT203" s="71">
        <f t="shared" si="163"/>
        <v>0.25436800529918102</v>
      </c>
      <c r="AU203" s="72">
        <f t="shared" si="143"/>
        <v>6.8214933659622723E-3</v>
      </c>
      <c r="AV203" s="73">
        <f t="shared" si="160"/>
        <v>1.0068214933659623</v>
      </c>
      <c r="AW203" s="74">
        <f>PRODUCT(AV$4:AV203)</f>
        <v>3.8948939427401417</v>
      </c>
    </row>
    <row r="204" spans="5:49">
      <c r="E204">
        <f t="shared" si="161"/>
        <v>201</v>
      </c>
      <c r="F204" s="64">
        <f t="shared" si="144"/>
        <v>78</v>
      </c>
      <c r="G204" s="55">
        <f t="shared" si="145"/>
        <v>7.236878175910233E-3</v>
      </c>
      <c r="H204" s="78">
        <f t="shared" si="164"/>
        <v>0.45838094967544052</v>
      </c>
      <c r="I204" s="79">
        <f t="shared" ca="1" si="146"/>
        <v>252521.29389960118</v>
      </c>
      <c r="J204" s="79">
        <f t="shared" ca="1" si="147"/>
        <v>1722.5723311003387</v>
      </c>
      <c r="K204" s="80">
        <f t="shared" ca="1" si="148"/>
        <v>-9.1676189935088104</v>
      </c>
      <c r="L204" s="80">
        <f t="shared" ca="1" si="149"/>
        <v>0</v>
      </c>
      <c r="M204" s="80">
        <f t="shared" ca="1" si="150"/>
        <v>0</v>
      </c>
      <c r="N204" s="80">
        <f t="shared" ca="1" si="151"/>
        <v>0</v>
      </c>
      <c r="O204" s="81">
        <f t="shared" ca="1" si="134"/>
        <v>-7662.2980708623918</v>
      </c>
      <c r="P204" s="79">
        <f t="shared" ca="1" si="135"/>
        <v>246572.40054084564</v>
      </c>
      <c r="Q204" s="35"/>
      <c r="R204">
        <f t="shared" ca="1" si="152"/>
        <v>201</v>
      </c>
      <c r="S204" s="78">
        <f t="shared" ca="1" si="153"/>
        <v>78</v>
      </c>
      <c r="T204" s="55">
        <f t="shared" ca="1" si="154"/>
        <v>7.236878175910233E-3</v>
      </c>
      <c r="U204" s="78">
        <f t="shared" ca="1" si="155"/>
        <v>0.45838094967544052</v>
      </c>
      <c r="V204" s="79">
        <f t="shared" ca="1" si="156"/>
        <v>252521.29389960118</v>
      </c>
      <c r="W204" s="79">
        <f t="shared" ca="1" si="136"/>
        <v>1722.5723311003387</v>
      </c>
      <c r="X204" s="80">
        <f t="shared" ca="1" si="137"/>
        <v>-9.1676189935088104</v>
      </c>
      <c r="Y204" s="80">
        <f t="shared" ca="1" si="157"/>
        <v>0</v>
      </c>
      <c r="Z204" s="80">
        <f t="shared" ca="1" si="138"/>
        <v>0</v>
      </c>
      <c r="AA204" s="80">
        <f t="shared" ca="1" si="158"/>
        <v>0</v>
      </c>
      <c r="AB204" s="81">
        <f t="shared" ca="1" si="139"/>
        <v>-7662.2980708623918</v>
      </c>
      <c r="AC204" s="79">
        <f t="shared" ca="1" si="140"/>
        <v>246572.40054084564</v>
      </c>
      <c r="AD204" s="35"/>
      <c r="AE204" s="62">
        <f t="shared" ca="1" si="141"/>
        <v>-16716.004616439077</v>
      </c>
      <c r="AF204" s="62">
        <f t="shared" ca="1" si="142"/>
        <v>537920.26199045312</v>
      </c>
      <c r="AG204" s="35"/>
      <c r="AH204" s="35"/>
      <c r="AR204" s="69">
        <f t="shared" si="159"/>
        <v>17</v>
      </c>
      <c r="AS204" s="70">
        <f t="shared" si="162"/>
        <v>201</v>
      </c>
      <c r="AT204" s="71">
        <f t="shared" si="163"/>
        <v>0.25263283563851963</v>
      </c>
      <c r="AU204" s="72">
        <f t="shared" si="143"/>
        <v>6.8214933659622723E-3</v>
      </c>
      <c r="AV204" s="73">
        <f t="shared" si="160"/>
        <v>1.0068214933659623</v>
      </c>
      <c r="AW204" s="74">
        <f>PRODUCT(AV$4:AV204)</f>
        <v>3.9214629359316704</v>
      </c>
    </row>
    <row r="205" spans="5:49">
      <c r="E205">
        <f t="shared" si="161"/>
        <v>202</v>
      </c>
      <c r="F205" s="64">
        <f t="shared" si="144"/>
        <v>78.08</v>
      </c>
      <c r="G205" s="55">
        <f t="shared" si="145"/>
        <v>7.236878175910233E-3</v>
      </c>
      <c r="H205" s="78">
        <f t="shared" si="164"/>
        <v>0.45506370258448131</v>
      </c>
      <c r="I205" s="79">
        <f t="shared" ca="1" si="146"/>
        <v>244787.9861165898</v>
      </c>
      <c r="J205" s="79">
        <f t="shared" ca="1" si="147"/>
        <v>1669.8196233615822</v>
      </c>
      <c r="K205" s="80">
        <f t="shared" ca="1" si="148"/>
        <v>-9.1012740516896269</v>
      </c>
      <c r="L205" s="80">
        <f t="shared" ca="1" si="149"/>
        <v>0</v>
      </c>
      <c r="M205" s="80">
        <f t="shared" ca="1" si="150"/>
        <v>0</v>
      </c>
      <c r="N205" s="80">
        <f t="shared" ca="1" si="151"/>
        <v>0</v>
      </c>
      <c r="O205" s="81">
        <f t="shared" ca="1" si="134"/>
        <v>-7606.8469531760493</v>
      </c>
      <c r="P205" s="79">
        <f t="shared" ca="1" si="135"/>
        <v>238841.85751272363</v>
      </c>
      <c r="Q205" s="35"/>
      <c r="R205">
        <f t="shared" ca="1" si="152"/>
        <v>202</v>
      </c>
      <c r="S205" s="78">
        <f t="shared" ca="1" si="153"/>
        <v>78.08</v>
      </c>
      <c r="T205" s="55">
        <f t="shared" ca="1" si="154"/>
        <v>7.236878175910233E-3</v>
      </c>
      <c r="U205" s="78">
        <f t="shared" ca="1" si="155"/>
        <v>0.45506370258448131</v>
      </c>
      <c r="V205" s="79">
        <f t="shared" ca="1" si="156"/>
        <v>244787.9861165898</v>
      </c>
      <c r="W205" s="79">
        <f t="shared" ca="1" si="136"/>
        <v>1669.8196233615822</v>
      </c>
      <c r="X205" s="80">
        <f t="shared" ca="1" si="137"/>
        <v>-9.1012740516896269</v>
      </c>
      <c r="Y205" s="80">
        <f t="shared" ca="1" si="157"/>
        <v>0</v>
      </c>
      <c r="Z205" s="80">
        <f t="shared" ca="1" si="138"/>
        <v>0</v>
      </c>
      <c r="AA205" s="80">
        <f t="shared" ca="1" si="158"/>
        <v>0</v>
      </c>
      <c r="AB205" s="81">
        <f t="shared" ca="1" si="139"/>
        <v>-7606.8469531760493</v>
      </c>
      <c r="AC205" s="79">
        <f t="shared" ca="1" si="140"/>
        <v>238841.85751272363</v>
      </c>
      <c r="AD205" s="35"/>
      <c r="AE205" s="62">
        <f t="shared" ca="1" si="141"/>
        <v>-16716.004616439077</v>
      </c>
      <c r="AF205" s="62">
        <f t="shared" ca="1" si="142"/>
        <v>524853.67687259847</v>
      </c>
      <c r="AG205" s="35"/>
      <c r="AH205" s="35"/>
      <c r="AR205" s="69">
        <f t="shared" si="159"/>
        <v>17</v>
      </c>
      <c r="AS205" s="70">
        <f t="shared" si="162"/>
        <v>202</v>
      </c>
      <c r="AT205" s="71">
        <f t="shared" si="163"/>
        <v>0.2509095024261872</v>
      </c>
      <c r="AU205" s="72">
        <f t="shared" si="143"/>
        <v>6.8214933659622723E-3</v>
      </c>
      <c r="AV205" s="73">
        <f t="shared" si="160"/>
        <v>1.0068214933659623</v>
      </c>
      <c r="AW205" s="74">
        <f>PRODUCT(AV$4:AV205)</f>
        <v>3.9482131693339952</v>
      </c>
    </row>
    <row r="206" spans="5:49">
      <c r="E206">
        <f t="shared" si="161"/>
        <v>203</v>
      </c>
      <c r="F206" s="64">
        <f t="shared" si="144"/>
        <v>78.16</v>
      </c>
      <c r="G206" s="55">
        <f t="shared" si="145"/>
        <v>7.236878175910233E-3</v>
      </c>
      <c r="H206" s="78">
        <f t="shared" si="164"/>
        <v>0.45177046200659876</v>
      </c>
      <c r="I206" s="79">
        <f t="shared" ca="1" si="146"/>
        <v>237113.38808659592</v>
      </c>
      <c r="J206" s="79">
        <f t="shared" ca="1" si="147"/>
        <v>1617.4674038135518</v>
      </c>
      <c r="K206" s="80">
        <f t="shared" ca="1" si="148"/>
        <v>-9.0354092401319761</v>
      </c>
      <c r="L206" s="80">
        <f t="shared" ca="1" si="149"/>
        <v>0</v>
      </c>
      <c r="M206" s="80">
        <f t="shared" ca="1" si="150"/>
        <v>0</v>
      </c>
      <c r="N206" s="80">
        <f t="shared" ca="1" si="151"/>
        <v>0</v>
      </c>
      <c r="O206" s="81">
        <f t="shared" ca="1" si="134"/>
        <v>-7551.7971284731202</v>
      </c>
      <c r="P206" s="79">
        <f t="shared" ca="1" si="135"/>
        <v>231170.02295269622</v>
      </c>
      <c r="Q206" s="35"/>
      <c r="R206">
        <f t="shared" ca="1" si="152"/>
        <v>203</v>
      </c>
      <c r="S206" s="78">
        <f t="shared" ca="1" si="153"/>
        <v>78.16</v>
      </c>
      <c r="T206" s="55">
        <f t="shared" ca="1" si="154"/>
        <v>7.236878175910233E-3</v>
      </c>
      <c r="U206" s="78">
        <f t="shared" ca="1" si="155"/>
        <v>0.45177046200659876</v>
      </c>
      <c r="V206" s="79">
        <f t="shared" ca="1" si="156"/>
        <v>237113.38808659592</v>
      </c>
      <c r="W206" s="79">
        <f t="shared" ca="1" si="136"/>
        <v>1617.4674038135518</v>
      </c>
      <c r="X206" s="80">
        <f t="shared" ca="1" si="137"/>
        <v>-9.0354092401319761</v>
      </c>
      <c r="Y206" s="80">
        <f t="shared" ca="1" si="157"/>
        <v>0</v>
      </c>
      <c r="Z206" s="80">
        <f t="shared" ca="1" si="138"/>
        <v>0</v>
      </c>
      <c r="AA206" s="80">
        <f t="shared" ca="1" si="158"/>
        <v>0</v>
      </c>
      <c r="AB206" s="81">
        <f t="shared" ca="1" si="139"/>
        <v>-7551.7971284731202</v>
      </c>
      <c r="AC206" s="79">
        <f t="shared" ca="1" si="140"/>
        <v>231170.02295269622</v>
      </c>
      <c r="AD206" s="35"/>
      <c r="AE206" s="62">
        <f t="shared" ca="1" si="141"/>
        <v>-16716.004616439077</v>
      </c>
      <c r="AF206" s="62">
        <f t="shared" ca="1" si="142"/>
        <v>511697.95813104673</v>
      </c>
      <c r="AG206" s="35"/>
      <c r="AH206" s="35"/>
      <c r="AR206" s="69">
        <f t="shared" si="159"/>
        <v>17</v>
      </c>
      <c r="AS206" s="70">
        <f t="shared" si="162"/>
        <v>203</v>
      </c>
      <c r="AT206" s="71">
        <f t="shared" si="163"/>
        <v>0.24919792491993006</v>
      </c>
      <c r="AU206" s="72">
        <f t="shared" si="143"/>
        <v>6.8214933659622723E-3</v>
      </c>
      <c r="AV206" s="73">
        <f t="shared" si="160"/>
        <v>1.0068214933659623</v>
      </c>
      <c r="AW206" s="74">
        <f>PRODUCT(AV$4:AV206)</f>
        <v>3.9751458792760119</v>
      </c>
    </row>
    <row r="207" spans="5:49">
      <c r="E207">
        <f t="shared" si="161"/>
        <v>204</v>
      </c>
      <c r="F207" s="64">
        <f t="shared" si="144"/>
        <v>78.239999999999995</v>
      </c>
      <c r="G207" s="55">
        <f t="shared" si="145"/>
        <v>7.236878175910233E-3</v>
      </c>
      <c r="H207" s="78">
        <f t="shared" si="164"/>
        <v>0.44850105420958231</v>
      </c>
      <c r="I207" s="79">
        <f t="shared" ca="1" si="146"/>
        <v>229497.07365866518</v>
      </c>
      <c r="J207" s="79">
        <f t="shared" ca="1" si="147"/>
        <v>1565.5127654703394</v>
      </c>
      <c r="K207" s="80">
        <f t="shared" ca="1" si="148"/>
        <v>-8.9700210841916466</v>
      </c>
      <c r="L207" s="80">
        <f t="shared" ca="1" si="149"/>
        <v>0</v>
      </c>
      <c r="M207" s="80">
        <f t="shared" ca="1" si="150"/>
        <v>0</v>
      </c>
      <c r="N207" s="80">
        <f t="shared" ca="1" si="151"/>
        <v>0</v>
      </c>
      <c r="O207" s="81">
        <f t="shared" ca="1" si="134"/>
        <v>-7497.145692645171</v>
      </c>
      <c r="P207" s="79">
        <f t="shared" ca="1" si="135"/>
        <v>223556.47071040617</v>
      </c>
      <c r="Q207" s="35"/>
      <c r="R207">
        <f t="shared" ca="1" si="152"/>
        <v>204</v>
      </c>
      <c r="S207" s="78">
        <f t="shared" ca="1" si="153"/>
        <v>78.239999999999995</v>
      </c>
      <c r="T207" s="55">
        <f t="shared" ca="1" si="154"/>
        <v>7.236878175910233E-3</v>
      </c>
      <c r="U207" s="78">
        <f t="shared" ca="1" si="155"/>
        <v>0.44850105420958231</v>
      </c>
      <c r="V207" s="79">
        <f t="shared" ca="1" si="156"/>
        <v>229497.07365866518</v>
      </c>
      <c r="W207" s="79">
        <f t="shared" ca="1" si="136"/>
        <v>1565.5127654703394</v>
      </c>
      <c r="X207" s="80">
        <f t="shared" ca="1" si="137"/>
        <v>-8.9700210841916466</v>
      </c>
      <c r="Y207" s="80">
        <f t="shared" ca="1" si="157"/>
        <v>0</v>
      </c>
      <c r="Z207" s="80">
        <f t="shared" ca="1" si="138"/>
        <v>0</v>
      </c>
      <c r="AA207" s="80">
        <f t="shared" ca="1" si="158"/>
        <v>0</v>
      </c>
      <c r="AB207" s="81">
        <f t="shared" ca="1" si="139"/>
        <v>-7497.145692645171</v>
      </c>
      <c r="AC207" s="79">
        <f t="shared" ca="1" si="140"/>
        <v>223556.47071040617</v>
      </c>
      <c r="AD207" s="35"/>
      <c r="AE207" s="62">
        <f t="shared" ca="1" si="141"/>
        <v>-16716.004616439077</v>
      </c>
      <c r="AF207" s="62">
        <f t="shared" ca="1" si="142"/>
        <v>498452.49774137506</v>
      </c>
      <c r="AG207" s="35"/>
      <c r="AH207" s="35"/>
      <c r="AR207" s="69">
        <f t="shared" si="159"/>
        <v>17</v>
      </c>
      <c r="AS207" s="70">
        <f t="shared" si="162"/>
        <v>204</v>
      </c>
      <c r="AT207" s="71">
        <f t="shared" si="163"/>
        <v>0.24749802292827719</v>
      </c>
      <c r="AU207" s="72">
        <f t="shared" si="143"/>
        <v>6.8214933659622723E-3</v>
      </c>
      <c r="AV207" s="73">
        <f t="shared" si="160"/>
        <v>1.0068214933659623</v>
      </c>
      <c r="AW207" s="74">
        <f>PRODUCT(AV$4:AV207)</f>
        <v>4.0022623105202255</v>
      </c>
    </row>
    <row r="208" spans="5:49">
      <c r="E208">
        <f t="shared" si="161"/>
        <v>205</v>
      </c>
      <c r="F208" s="64">
        <f t="shared" si="144"/>
        <v>78.319999999999993</v>
      </c>
      <c r="G208" s="55">
        <f t="shared" si="145"/>
        <v>7.236878175910233E-3</v>
      </c>
      <c r="H208" s="78">
        <f t="shared" si="164"/>
        <v>0.44525530671850022</v>
      </c>
      <c r="I208" s="79">
        <f t="shared" ca="1" si="146"/>
        <v>221938.61976643853</v>
      </c>
      <c r="J208" s="79">
        <f t="shared" ca="1" si="147"/>
        <v>1513.9528223875836</v>
      </c>
      <c r="K208" s="80">
        <f t="shared" ca="1" si="148"/>
        <v>-8.9051061343700049</v>
      </c>
      <c r="L208" s="80">
        <f t="shared" ca="1" si="149"/>
        <v>0</v>
      </c>
      <c r="M208" s="80">
        <f t="shared" ca="1" si="150"/>
        <v>0</v>
      </c>
      <c r="N208" s="80">
        <f t="shared" ca="1" si="151"/>
        <v>0</v>
      </c>
      <c r="O208" s="81">
        <f t="shared" ca="1" si="134"/>
        <v>-7442.8897626004473</v>
      </c>
      <c r="P208" s="79">
        <f t="shared" ca="1" si="135"/>
        <v>216000.77772009131</v>
      </c>
      <c r="Q208" s="35"/>
      <c r="R208">
        <f t="shared" ca="1" si="152"/>
        <v>205</v>
      </c>
      <c r="S208" s="78">
        <f t="shared" ca="1" si="153"/>
        <v>78.319999999999993</v>
      </c>
      <c r="T208" s="55">
        <f t="shared" ca="1" si="154"/>
        <v>7.236878175910233E-3</v>
      </c>
      <c r="U208" s="78">
        <f t="shared" ca="1" si="155"/>
        <v>0.44525530671850022</v>
      </c>
      <c r="V208" s="79">
        <f t="shared" ca="1" si="156"/>
        <v>221938.61976643853</v>
      </c>
      <c r="W208" s="79">
        <f t="shared" ca="1" si="136"/>
        <v>1513.9528223875836</v>
      </c>
      <c r="X208" s="80">
        <f t="shared" ca="1" si="137"/>
        <v>-8.9051061343700049</v>
      </c>
      <c r="Y208" s="80">
        <f t="shared" ca="1" si="157"/>
        <v>0</v>
      </c>
      <c r="Z208" s="80">
        <f t="shared" ca="1" si="138"/>
        <v>0</v>
      </c>
      <c r="AA208" s="80">
        <f t="shared" ca="1" si="158"/>
        <v>0</v>
      </c>
      <c r="AB208" s="81">
        <f t="shared" ca="1" si="139"/>
        <v>-7442.8897626004473</v>
      </c>
      <c r="AC208" s="79">
        <f t="shared" ca="1" si="140"/>
        <v>216000.77772009131</v>
      </c>
      <c r="AD208" s="35"/>
      <c r="AE208" s="62">
        <f t="shared" ca="1" si="141"/>
        <v>-16716.004616439077</v>
      </c>
      <c r="AF208" s="62">
        <f t="shared" ca="1" si="142"/>
        <v>485116.68353152624</v>
      </c>
      <c r="AG208" s="35"/>
      <c r="AH208" s="35"/>
      <c r="AR208" s="69">
        <f t="shared" si="159"/>
        <v>18</v>
      </c>
      <c r="AS208" s="70">
        <f t="shared" si="162"/>
        <v>205</v>
      </c>
      <c r="AT208" s="71">
        <f t="shared" si="163"/>
        <v>0.24580971680678318</v>
      </c>
      <c r="AU208" s="72">
        <f t="shared" si="143"/>
        <v>6.8214933659622723E-3</v>
      </c>
      <c r="AV208" s="73">
        <f t="shared" si="160"/>
        <v>1.0068214933659623</v>
      </c>
      <c r="AW208" s="74">
        <f>PRODUCT(AV$4:AV208)</f>
        <v>4.02956371632028</v>
      </c>
    </row>
    <row r="209" spans="5:49">
      <c r="E209">
        <f t="shared" si="161"/>
        <v>206</v>
      </c>
      <c r="F209" s="64">
        <f t="shared" si="144"/>
        <v>78.400000000000006</v>
      </c>
      <c r="G209" s="55">
        <f t="shared" si="145"/>
        <v>7.236878175910233E-3</v>
      </c>
      <c r="H209" s="78">
        <f t="shared" si="164"/>
        <v>0.4420330483066009</v>
      </c>
      <c r="I209" s="79">
        <f t="shared" ca="1" si="146"/>
        <v>214437.60640582914</v>
      </c>
      <c r="J209" s="79">
        <f t="shared" ca="1" si="147"/>
        <v>1462.7847095101922</v>
      </c>
      <c r="K209" s="80">
        <f t="shared" ca="1" si="148"/>
        <v>-8.8406609661320186</v>
      </c>
      <c r="L209" s="80">
        <f t="shared" ca="1" si="149"/>
        <v>0</v>
      </c>
      <c r="M209" s="80">
        <f t="shared" ca="1" si="150"/>
        <v>0</v>
      </c>
      <c r="N209" s="80">
        <f t="shared" ca="1" si="151"/>
        <v>0</v>
      </c>
      <c r="O209" s="81">
        <f t="shared" ca="1" si="134"/>
        <v>-7389.0264761117787</v>
      </c>
      <c r="P209" s="79">
        <f t="shared" ca="1" si="135"/>
        <v>208502.52397826142</v>
      </c>
      <c r="Q209" s="35"/>
      <c r="R209">
        <f t="shared" ca="1" si="152"/>
        <v>206</v>
      </c>
      <c r="S209" s="78">
        <f t="shared" ca="1" si="153"/>
        <v>78.400000000000006</v>
      </c>
      <c r="T209" s="55">
        <f t="shared" ca="1" si="154"/>
        <v>7.236878175910233E-3</v>
      </c>
      <c r="U209" s="78">
        <f t="shared" ca="1" si="155"/>
        <v>0.4420330483066009</v>
      </c>
      <c r="V209" s="79">
        <f t="shared" ca="1" si="156"/>
        <v>214437.60640582914</v>
      </c>
      <c r="W209" s="79">
        <f t="shared" ca="1" si="136"/>
        <v>1462.7847095101922</v>
      </c>
      <c r="X209" s="80">
        <f t="shared" ca="1" si="137"/>
        <v>-8.8406609661320186</v>
      </c>
      <c r="Y209" s="80">
        <f t="shared" ca="1" si="157"/>
        <v>0</v>
      </c>
      <c r="Z209" s="80">
        <f t="shared" ca="1" si="138"/>
        <v>0</v>
      </c>
      <c r="AA209" s="80">
        <f t="shared" ca="1" si="158"/>
        <v>0</v>
      </c>
      <c r="AB209" s="81">
        <f t="shared" ca="1" si="139"/>
        <v>-7389.0264761117787</v>
      </c>
      <c r="AC209" s="79">
        <f t="shared" ca="1" si="140"/>
        <v>208502.52397826142</v>
      </c>
      <c r="AD209" s="35"/>
      <c r="AE209" s="62">
        <f t="shared" ca="1" si="141"/>
        <v>-16716.004616439077</v>
      </c>
      <c r="AF209" s="62">
        <f t="shared" ca="1" si="142"/>
        <v>471689.89915351506</v>
      </c>
      <c r="AG209" s="35"/>
      <c r="AH209" s="35"/>
      <c r="AR209" s="69">
        <f t="shared" si="159"/>
        <v>18</v>
      </c>
      <c r="AS209" s="70">
        <f t="shared" si="162"/>
        <v>206</v>
      </c>
      <c r="AT209" s="71">
        <f t="shared" si="163"/>
        <v>0.24413292745429666</v>
      </c>
      <c r="AU209" s="72">
        <f t="shared" si="143"/>
        <v>6.8214933659622723E-3</v>
      </c>
      <c r="AV209" s="73">
        <f t="shared" si="160"/>
        <v>1.0068214933659623</v>
      </c>
      <c r="AW209" s="74">
        <f>PRODUCT(AV$4:AV209)</f>
        <v>4.0570513584788808</v>
      </c>
    </row>
    <row r="210" spans="5:49">
      <c r="E210">
        <f t="shared" si="161"/>
        <v>207</v>
      </c>
      <c r="F210" s="64">
        <f t="shared" si="144"/>
        <v>78.48</v>
      </c>
      <c r="G210" s="55">
        <f t="shared" si="145"/>
        <v>7.236878175910233E-3</v>
      </c>
      <c r="H210" s="78">
        <f t="shared" si="164"/>
        <v>0.43883410898627978</v>
      </c>
      <c r="I210" s="79">
        <f t="shared" ca="1" si="146"/>
        <v>206993.61661286093</v>
      </c>
      <c r="J210" s="79">
        <f t="shared" ca="1" si="147"/>
        <v>1412.0055825211689</v>
      </c>
      <c r="K210" s="80">
        <f t="shared" ca="1" si="148"/>
        <v>-8.7766821797255954</v>
      </c>
      <c r="L210" s="80">
        <f t="shared" ca="1" si="149"/>
        <v>0</v>
      </c>
      <c r="M210" s="80">
        <f t="shared" ca="1" si="150"/>
        <v>0</v>
      </c>
      <c r="N210" s="80">
        <f t="shared" ca="1" si="151"/>
        <v>0</v>
      </c>
      <c r="O210" s="81">
        <f t="shared" ca="1" si="134"/>
        <v>-7335.5529916655823</v>
      </c>
      <c r="P210" s="79">
        <f t="shared" ca="1" si="135"/>
        <v>201061.29252153682</v>
      </c>
      <c r="Q210" s="35"/>
      <c r="R210">
        <f t="shared" ca="1" si="152"/>
        <v>207</v>
      </c>
      <c r="S210" s="78">
        <f t="shared" ca="1" si="153"/>
        <v>78.48</v>
      </c>
      <c r="T210" s="55">
        <f t="shared" ca="1" si="154"/>
        <v>7.236878175910233E-3</v>
      </c>
      <c r="U210" s="78">
        <f t="shared" ca="1" si="155"/>
        <v>0.43883410898627978</v>
      </c>
      <c r="V210" s="79">
        <f t="shared" ca="1" si="156"/>
        <v>206993.61661286093</v>
      </c>
      <c r="W210" s="79">
        <f t="shared" ca="1" si="136"/>
        <v>1412.0055825211689</v>
      </c>
      <c r="X210" s="80">
        <f t="shared" ca="1" si="137"/>
        <v>-8.7766821797255954</v>
      </c>
      <c r="Y210" s="80">
        <f t="shared" ca="1" si="157"/>
        <v>0</v>
      </c>
      <c r="Z210" s="80">
        <f t="shared" ca="1" si="138"/>
        <v>0</v>
      </c>
      <c r="AA210" s="80">
        <f t="shared" ca="1" si="158"/>
        <v>0</v>
      </c>
      <c r="AB210" s="81">
        <f t="shared" ca="1" si="139"/>
        <v>-7335.5529916655823</v>
      </c>
      <c r="AC210" s="79">
        <f t="shared" ca="1" si="140"/>
        <v>201061.29252153682</v>
      </c>
      <c r="AD210" s="35"/>
      <c r="AE210" s="62">
        <f t="shared" ca="1" si="141"/>
        <v>-16716.004616439077</v>
      </c>
      <c r="AF210" s="62">
        <f t="shared" ca="1" si="142"/>
        <v>458171.52405494312</v>
      </c>
      <c r="AG210" s="35"/>
      <c r="AH210" s="35"/>
      <c r="AR210" s="69">
        <f t="shared" si="159"/>
        <v>18</v>
      </c>
      <c r="AS210" s="70">
        <f t="shared" si="162"/>
        <v>207</v>
      </c>
      <c r="AT210" s="71">
        <f t="shared" si="163"/>
        <v>0.24246757630925422</v>
      </c>
      <c r="AU210" s="72">
        <f t="shared" si="143"/>
        <v>6.8214933659622723E-3</v>
      </c>
      <c r="AV210" s="73">
        <f t="shared" si="160"/>
        <v>1.0068214933659623</v>
      </c>
      <c r="AW210" s="74">
        <f>PRODUCT(AV$4:AV210)</f>
        <v>4.0847265074061125</v>
      </c>
    </row>
    <row r="211" spans="5:49">
      <c r="E211">
        <f t="shared" si="161"/>
        <v>208</v>
      </c>
      <c r="F211" s="64">
        <f t="shared" si="144"/>
        <v>78.56</v>
      </c>
      <c r="G211" s="55">
        <f t="shared" si="145"/>
        <v>7.9055919619646087E-3</v>
      </c>
      <c r="H211" s="78">
        <f t="shared" si="164"/>
        <v>0.43536486558164195</v>
      </c>
      <c r="I211" s="79">
        <f t="shared" ca="1" si="146"/>
        <v>199471.78398351633</v>
      </c>
      <c r="J211" s="79">
        <f t="shared" ca="1" si="147"/>
        <v>1360.6954511402162</v>
      </c>
      <c r="K211" s="80">
        <f t="shared" ca="1" si="148"/>
        <v>-8.7072973116328392</v>
      </c>
      <c r="L211" s="80">
        <f t="shared" ca="1" si="149"/>
        <v>0</v>
      </c>
      <c r="M211" s="80">
        <f t="shared" ca="1" si="150"/>
        <v>0</v>
      </c>
      <c r="N211" s="80">
        <f t="shared" ca="1" si="151"/>
        <v>0</v>
      </c>
      <c r="O211" s="81">
        <f t="shared" ca="1" si="134"/>
        <v>-7277.5611028981048</v>
      </c>
      <c r="P211" s="79">
        <f t="shared" ca="1" si="135"/>
        <v>193546.21103444684</v>
      </c>
      <c r="Q211" s="35"/>
      <c r="R211">
        <f t="shared" ca="1" si="152"/>
        <v>208</v>
      </c>
      <c r="S211" s="78">
        <f t="shared" ca="1" si="153"/>
        <v>78.56</v>
      </c>
      <c r="T211" s="55">
        <f t="shared" ca="1" si="154"/>
        <v>7.9055919619646087E-3</v>
      </c>
      <c r="U211" s="78">
        <f t="shared" ca="1" si="155"/>
        <v>0.43536486558164195</v>
      </c>
      <c r="V211" s="79">
        <f t="shared" ca="1" si="156"/>
        <v>199471.78398351633</v>
      </c>
      <c r="W211" s="79">
        <f t="shared" ca="1" si="136"/>
        <v>1360.6954511402162</v>
      </c>
      <c r="X211" s="80">
        <f t="shared" ca="1" si="137"/>
        <v>-8.7072973116328392</v>
      </c>
      <c r="Y211" s="80">
        <f t="shared" ca="1" si="157"/>
        <v>0</v>
      </c>
      <c r="Z211" s="80">
        <f t="shared" ca="1" si="138"/>
        <v>0</v>
      </c>
      <c r="AA211" s="80">
        <f t="shared" ca="1" si="158"/>
        <v>0</v>
      </c>
      <c r="AB211" s="81">
        <f t="shared" ca="1" si="139"/>
        <v>-7277.5611028981048</v>
      </c>
      <c r="AC211" s="79">
        <f t="shared" ca="1" si="140"/>
        <v>193546.21103444684</v>
      </c>
      <c r="AD211" s="35"/>
      <c r="AE211" s="62">
        <f t="shared" ca="1" si="141"/>
        <v>-16716.004616439077</v>
      </c>
      <c r="AF211" s="62">
        <f t="shared" ca="1" si="142"/>
        <v>444560.93345031771</v>
      </c>
      <c r="AG211" s="35"/>
      <c r="AH211" s="35"/>
      <c r="AR211" s="69">
        <f t="shared" si="159"/>
        <v>18</v>
      </c>
      <c r="AS211" s="70">
        <f t="shared" si="162"/>
        <v>208</v>
      </c>
      <c r="AT211" s="71">
        <f t="shared" si="163"/>
        <v>0.2408135853459997</v>
      </c>
      <c r="AU211" s="72">
        <f t="shared" si="143"/>
        <v>6.8214933659622723E-3</v>
      </c>
      <c r="AV211" s="73">
        <f t="shared" si="160"/>
        <v>1.0068214933659623</v>
      </c>
      <c r="AW211" s="74">
        <f>PRODUCT(AV$4:AV211)</f>
        <v>4.1125904421781536</v>
      </c>
    </row>
    <row r="212" spans="5:49">
      <c r="E212">
        <f t="shared" si="161"/>
        <v>209</v>
      </c>
      <c r="F212" s="64">
        <f t="shared" si="144"/>
        <v>78.64</v>
      </c>
      <c r="G212" s="55">
        <f t="shared" si="145"/>
        <v>7.9055919619646087E-3</v>
      </c>
      <c r="H212" s="78">
        <f t="shared" si="164"/>
        <v>0.43192304859977793</v>
      </c>
      <c r="I212" s="79">
        <f t="shared" ca="1" si="146"/>
        <v>192016.11366422422</v>
      </c>
      <c r="J212" s="79">
        <f t="shared" ca="1" si="147"/>
        <v>1309.8366455183632</v>
      </c>
      <c r="K212" s="80">
        <f t="shared" ca="1" si="148"/>
        <v>-8.6384609719955581</v>
      </c>
      <c r="L212" s="80">
        <f t="shared" ca="1" si="149"/>
        <v>0</v>
      </c>
      <c r="M212" s="80">
        <f t="shared" ca="1" si="150"/>
        <v>0</v>
      </c>
      <c r="N212" s="80">
        <f t="shared" ca="1" si="151"/>
        <v>0</v>
      </c>
      <c r="O212" s="81">
        <f t="shared" ca="1" si="134"/>
        <v>-7220.0276743403274</v>
      </c>
      <c r="P212" s="79">
        <f t="shared" ca="1" si="135"/>
        <v>186097.28417443027</v>
      </c>
      <c r="Q212" s="35"/>
      <c r="R212">
        <f t="shared" ca="1" si="152"/>
        <v>209</v>
      </c>
      <c r="S212" s="78">
        <f t="shared" ca="1" si="153"/>
        <v>78.64</v>
      </c>
      <c r="T212" s="55">
        <f t="shared" ca="1" si="154"/>
        <v>7.9055919619646087E-3</v>
      </c>
      <c r="U212" s="78">
        <f t="shared" ca="1" si="155"/>
        <v>0.43192304859977793</v>
      </c>
      <c r="V212" s="79">
        <f t="shared" ca="1" si="156"/>
        <v>192016.11366422422</v>
      </c>
      <c r="W212" s="79">
        <f t="shared" ca="1" si="136"/>
        <v>1309.8366455183632</v>
      </c>
      <c r="X212" s="80">
        <f t="shared" ca="1" si="137"/>
        <v>-8.6384609719955581</v>
      </c>
      <c r="Y212" s="80">
        <f t="shared" ca="1" si="157"/>
        <v>0</v>
      </c>
      <c r="Z212" s="80">
        <f t="shared" ca="1" si="138"/>
        <v>0</v>
      </c>
      <c r="AA212" s="80">
        <f t="shared" ca="1" si="158"/>
        <v>0</v>
      </c>
      <c r="AB212" s="81">
        <f t="shared" ca="1" si="139"/>
        <v>-7220.0276743403274</v>
      </c>
      <c r="AC212" s="79">
        <f t="shared" ca="1" si="140"/>
        <v>186097.28417443027</v>
      </c>
      <c r="AD212" s="35"/>
      <c r="AE212" s="62">
        <f t="shared" ca="1" si="141"/>
        <v>-16716.004616439077</v>
      </c>
      <c r="AF212" s="62">
        <f t="shared" ca="1" si="142"/>
        <v>430857.49829217599</v>
      </c>
      <c r="AG212" s="35"/>
      <c r="AH212" s="35"/>
      <c r="AR212" s="69">
        <f t="shared" si="159"/>
        <v>18</v>
      </c>
      <c r="AS212" s="70">
        <f t="shared" si="162"/>
        <v>209</v>
      </c>
      <c r="AT212" s="71">
        <f t="shared" si="163"/>
        <v>0.23917087707112838</v>
      </c>
      <c r="AU212" s="72">
        <f t="shared" si="143"/>
        <v>6.8214933659622723E-3</v>
      </c>
      <c r="AV212" s="73">
        <f t="shared" si="160"/>
        <v>1.0068214933659623</v>
      </c>
      <c r="AW212" s="74">
        <f>PRODUCT(AV$4:AV212)</f>
        <v>4.1406444505963913</v>
      </c>
    </row>
    <row r="213" spans="5:49">
      <c r="E213">
        <f t="shared" si="161"/>
        <v>210</v>
      </c>
      <c r="F213" s="64">
        <f t="shared" si="144"/>
        <v>78.72</v>
      </c>
      <c r="G213" s="55">
        <f t="shared" si="145"/>
        <v>7.9055919619646087E-3</v>
      </c>
      <c r="H213" s="78">
        <f t="shared" si="164"/>
        <v>0.42850844121858028</v>
      </c>
      <c r="I213" s="79">
        <f t="shared" ca="1" si="146"/>
        <v>184626.07498051744</v>
      </c>
      <c r="J213" s="79">
        <f t="shared" ca="1" si="147"/>
        <v>1259.4255456632527</v>
      </c>
      <c r="K213" s="80">
        <f t="shared" ca="1" si="148"/>
        <v>-8.5701688243716063</v>
      </c>
      <c r="L213" s="80">
        <f t="shared" ca="1" si="149"/>
        <v>0</v>
      </c>
      <c r="M213" s="80">
        <f t="shared" ca="1" si="150"/>
        <v>0</v>
      </c>
      <c r="N213" s="80">
        <f t="shared" ca="1" si="151"/>
        <v>0</v>
      </c>
      <c r="O213" s="81">
        <f t="shared" ca="1" si="134"/>
        <v>-7162.9490815929012</v>
      </c>
      <c r="P213" s="79">
        <f t="shared" ca="1" si="135"/>
        <v>178713.98127576342</v>
      </c>
      <c r="Q213" s="35"/>
      <c r="R213">
        <f t="shared" ca="1" si="152"/>
        <v>210</v>
      </c>
      <c r="S213" s="78">
        <f t="shared" ca="1" si="153"/>
        <v>78.72</v>
      </c>
      <c r="T213" s="55">
        <f t="shared" ca="1" si="154"/>
        <v>7.9055919619646087E-3</v>
      </c>
      <c r="U213" s="78">
        <f t="shared" ca="1" si="155"/>
        <v>0.42850844121858028</v>
      </c>
      <c r="V213" s="79">
        <f t="shared" ca="1" si="156"/>
        <v>184626.07498051744</v>
      </c>
      <c r="W213" s="79">
        <f t="shared" ca="1" si="136"/>
        <v>1259.4255456632527</v>
      </c>
      <c r="X213" s="80">
        <f t="shared" ca="1" si="137"/>
        <v>-8.5701688243716063</v>
      </c>
      <c r="Y213" s="80">
        <f t="shared" ca="1" si="157"/>
        <v>0</v>
      </c>
      <c r="Z213" s="80">
        <f t="shared" ca="1" si="138"/>
        <v>0</v>
      </c>
      <c r="AA213" s="80">
        <f t="shared" ca="1" si="158"/>
        <v>0</v>
      </c>
      <c r="AB213" s="81">
        <f t="shared" ca="1" si="139"/>
        <v>-7162.9490815929012</v>
      </c>
      <c r="AC213" s="79">
        <f t="shared" ca="1" si="140"/>
        <v>178713.98127576342</v>
      </c>
      <c r="AD213" s="35"/>
      <c r="AE213" s="62">
        <f t="shared" ca="1" si="141"/>
        <v>-16716.004616439077</v>
      </c>
      <c r="AF213" s="62">
        <f t="shared" ca="1" si="142"/>
        <v>417060.58524201205</v>
      </c>
      <c r="AG213" s="35"/>
      <c r="AH213" s="35"/>
      <c r="AR213" s="69">
        <f t="shared" si="159"/>
        <v>18</v>
      </c>
      <c r="AS213" s="70">
        <f t="shared" si="162"/>
        <v>210</v>
      </c>
      <c r="AT213" s="71">
        <f t="shared" si="163"/>
        <v>0.23753937451985629</v>
      </c>
      <c r="AU213" s="72">
        <f t="shared" si="143"/>
        <v>6.8214933659622723E-3</v>
      </c>
      <c r="AV213" s="73">
        <f t="shared" si="160"/>
        <v>1.0068214933659623</v>
      </c>
      <c r="AW213" s="74">
        <f>PRODUCT(AV$4:AV213)</f>
        <v>4.1688898292469432</v>
      </c>
    </row>
    <row r="214" spans="5:49">
      <c r="E214">
        <f t="shared" si="161"/>
        <v>211</v>
      </c>
      <c r="F214" s="64">
        <f t="shared" si="144"/>
        <v>78.8</v>
      </c>
      <c r="G214" s="55">
        <f t="shared" si="145"/>
        <v>7.9055919619646087E-3</v>
      </c>
      <c r="H214" s="78">
        <f t="shared" si="164"/>
        <v>0.42512082833004872</v>
      </c>
      <c r="I214" s="79">
        <f t="shared" ca="1" si="146"/>
        <v>177301.14146189904</v>
      </c>
      <c r="J214" s="79">
        <f t="shared" ca="1" si="147"/>
        <v>1209.4585602598827</v>
      </c>
      <c r="K214" s="80">
        <f t="shared" ca="1" si="148"/>
        <v>-8.5024165666009743</v>
      </c>
      <c r="L214" s="80">
        <f t="shared" ca="1" si="149"/>
        <v>0</v>
      </c>
      <c r="M214" s="80">
        <f t="shared" ca="1" si="150"/>
        <v>0</v>
      </c>
      <c r="N214" s="80">
        <f t="shared" ca="1" si="151"/>
        <v>0</v>
      </c>
      <c r="O214" s="81">
        <f t="shared" ca="1" si="134"/>
        <v>-7106.3217289095001</v>
      </c>
      <c r="P214" s="79">
        <f t="shared" ca="1" si="135"/>
        <v>171395.77587668283</v>
      </c>
      <c r="Q214" s="35"/>
      <c r="R214">
        <f t="shared" ca="1" si="152"/>
        <v>211</v>
      </c>
      <c r="S214" s="78">
        <f t="shared" ca="1" si="153"/>
        <v>78.8</v>
      </c>
      <c r="T214" s="55">
        <f t="shared" ca="1" si="154"/>
        <v>7.9055919619646087E-3</v>
      </c>
      <c r="U214" s="78">
        <f t="shared" ca="1" si="155"/>
        <v>0.42512082833004872</v>
      </c>
      <c r="V214" s="79">
        <f t="shared" ca="1" si="156"/>
        <v>177301.14146189904</v>
      </c>
      <c r="W214" s="79">
        <f t="shared" ca="1" si="136"/>
        <v>1209.4585602598827</v>
      </c>
      <c r="X214" s="80">
        <f t="shared" ca="1" si="137"/>
        <v>-8.5024165666009743</v>
      </c>
      <c r="Y214" s="80">
        <f t="shared" ca="1" si="157"/>
        <v>0</v>
      </c>
      <c r="Z214" s="80">
        <f t="shared" ca="1" si="138"/>
        <v>0</v>
      </c>
      <c r="AA214" s="80">
        <f t="shared" ca="1" si="158"/>
        <v>0</v>
      </c>
      <c r="AB214" s="81">
        <f t="shared" ca="1" si="139"/>
        <v>-7106.3217289095001</v>
      </c>
      <c r="AC214" s="79">
        <f t="shared" ca="1" si="140"/>
        <v>171395.77587668283</v>
      </c>
      <c r="AD214" s="35"/>
      <c r="AE214" s="62">
        <f t="shared" ca="1" si="141"/>
        <v>-16716.004616439081</v>
      </c>
      <c r="AF214" s="62">
        <f t="shared" ca="1" si="142"/>
        <v>403169.55664100568</v>
      </c>
      <c r="AG214" s="35"/>
      <c r="AH214" s="35"/>
      <c r="AR214" s="69">
        <f t="shared" si="159"/>
        <v>18</v>
      </c>
      <c r="AS214" s="70">
        <f t="shared" si="162"/>
        <v>211</v>
      </c>
      <c r="AT214" s="71">
        <f t="shared" si="163"/>
        <v>0.23591900125241427</v>
      </c>
      <c r="AU214" s="72">
        <f t="shared" si="143"/>
        <v>6.8214933659622723E-3</v>
      </c>
      <c r="AV214" s="73">
        <f t="shared" si="160"/>
        <v>1.0068214933659623</v>
      </c>
      <c r="AW214" s="74">
        <f>PRODUCT(AV$4:AV214)</f>
        <v>4.197327883560579</v>
      </c>
    </row>
    <row r="215" spans="5:49">
      <c r="E215">
        <f t="shared" si="161"/>
        <v>212</v>
      </c>
      <c r="F215" s="64">
        <f t="shared" si="144"/>
        <v>78.88</v>
      </c>
      <c r="G215" s="55">
        <f t="shared" si="145"/>
        <v>7.9055919619646087E-3</v>
      </c>
      <c r="H215" s="78">
        <f t="shared" si="164"/>
        <v>0.42175999652673896</v>
      </c>
      <c r="I215" s="79">
        <f t="shared" ca="1" si="146"/>
        <v>170040.79080859743</v>
      </c>
      <c r="J215" s="79">
        <f t="shared" ca="1" si="147"/>
        <v>1159.9321264438258</v>
      </c>
      <c r="K215" s="80">
        <f t="shared" ca="1" si="148"/>
        <v>-8.4351999305347789</v>
      </c>
      <c r="L215" s="80">
        <f t="shared" ca="1" si="149"/>
        <v>0</v>
      </c>
      <c r="M215" s="80">
        <f t="shared" ca="1" si="150"/>
        <v>0</v>
      </c>
      <c r="N215" s="80">
        <f t="shared" ca="1" si="151"/>
        <v>0</v>
      </c>
      <c r="O215" s="81">
        <f t="shared" ca="1" si="134"/>
        <v>-7050.1420489702978</v>
      </c>
      <c r="P215" s="79">
        <f t="shared" ca="1" si="135"/>
        <v>164142.14568614043</v>
      </c>
      <c r="Q215" s="35"/>
      <c r="R215">
        <f t="shared" ca="1" si="152"/>
        <v>212</v>
      </c>
      <c r="S215" s="78">
        <f t="shared" ca="1" si="153"/>
        <v>78.88</v>
      </c>
      <c r="T215" s="55">
        <f t="shared" ca="1" si="154"/>
        <v>7.9055919619646087E-3</v>
      </c>
      <c r="U215" s="78">
        <f t="shared" ca="1" si="155"/>
        <v>0.42175999652673896</v>
      </c>
      <c r="V215" s="79">
        <f t="shared" ca="1" si="156"/>
        <v>170040.79080859743</v>
      </c>
      <c r="W215" s="79">
        <f t="shared" ca="1" si="136"/>
        <v>1159.9321264438258</v>
      </c>
      <c r="X215" s="80">
        <f t="shared" ca="1" si="137"/>
        <v>-8.4351999305347789</v>
      </c>
      <c r="Y215" s="80">
        <f t="shared" ca="1" si="157"/>
        <v>0</v>
      </c>
      <c r="Z215" s="80">
        <f t="shared" ca="1" si="138"/>
        <v>0</v>
      </c>
      <c r="AA215" s="80">
        <f t="shared" ca="1" si="158"/>
        <v>0</v>
      </c>
      <c r="AB215" s="81">
        <f t="shared" ca="1" si="139"/>
        <v>-7050.1420489702978</v>
      </c>
      <c r="AC215" s="79">
        <f t="shared" ca="1" si="140"/>
        <v>164142.14568614043</v>
      </c>
      <c r="AD215" s="35"/>
      <c r="AE215" s="62">
        <f t="shared" ca="1" si="141"/>
        <v>-16716.004616439077</v>
      </c>
      <c r="AF215" s="62">
        <f t="shared" ca="1" si="142"/>
        <v>389183.77048055117</v>
      </c>
      <c r="AG215" s="35"/>
      <c r="AH215" s="35"/>
      <c r="AR215" s="69">
        <f t="shared" si="159"/>
        <v>18</v>
      </c>
      <c r="AS215" s="70">
        <f t="shared" si="162"/>
        <v>212</v>
      </c>
      <c r="AT215" s="71">
        <f t="shared" si="163"/>
        <v>0.23430968135046648</v>
      </c>
      <c r="AU215" s="72">
        <f t="shared" si="143"/>
        <v>6.8214933659622723E-3</v>
      </c>
      <c r="AV215" s="73">
        <f t="shared" si="160"/>
        <v>1.0068214933659623</v>
      </c>
      <c r="AW215" s="74">
        <f>PRODUCT(AV$4:AV215)</f>
        <v>4.2259599278730562</v>
      </c>
    </row>
    <row r="216" spans="5:49">
      <c r="E216">
        <f t="shared" si="161"/>
        <v>213</v>
      </c>
      <c r="F216" s="64">
        <f t="shared" si="144"/>
        <v>78.959999999999994</v>
      </c>
      <c r="G216" s="55">
        <f t="shared" si="145"/>
        <v>7.9055919619646087E-3</v>
      </c>
      <c r="H216" s="78">
        <f t="shared" si="164"/>
        <v>0.41842573408831896</v>
      </c>
      <c r="I216" s="79">
        <f t="shared" ca="1" si="146"/>
        <v>162844.50485858446</v>
      </c>
      <c r="J216" s="79">
        <f t="shared" ca="1" si="147"/>
        <v>1110.8427095762449</v>
      </c>
      <c r="K216" s="80">
        <f t="shared" ca="1" si="148"/>
        <v>-8.3685146817663796</v>
      </c>
      <c r="L216" s="80">
        <f t="shared" ca="1" si="149"/>
        <v>0</v>
      </c>
      <c r="M216" s="80">
        <f t="shared" ca="1" si="150"/>
        <v>0</v>
      </c>
      <c r="N216" s="80">
        <f t="shared" ca="1" si="151"/>
        <v>0</v>
      </c>
      <c r="O216" s="81">
        <f t="shared" ca="1" si="134"/>
        <v>-6994.4065026572498</v>
      </c>
      <c r="P216" s="79">
        <f t="shared" ca="1" si="135"/>
        <v>156952.5725508217</v>
      </c>
      <c r="Q216" s="35"/>
      <c r="R216">
        <f t="shared" ca="1" si="152"/>
        <v>213</v>
      </c>
      <c r="S216" s="78">
        <f t="shared" ca="1" si="153"/>
        <v>78.959999999999994</v>
      </c>
      <c r="T216" s="55">
        <f t="shared" ca="1" si="154"/>
        <v>7.9055919619646087E-3</v>
      </c>
      <c r="U216" s="78">
        <f t="shared" ca="1" si="155"/>
        <v>0.41842573408831896</v>
      </c>
      <c r="V216" s="79">
        <f t="shared" ca="1" si="156"/>
        <v>162844.50485858446</v>
      </c>
      <c r="W216" s="79">
        <f t="shared" ca="1" si="136"/>
        <v>1110.8427095762449</v>
      </c>
      <c r="X216" s="80">
        <f t="shared" ca="1" si="137"/>
        <v>-8.3685146817663796</v>
      </c>
      <c r="Y216" s="80">
        <f t="shared" ca="1" si="157"/>
        <v>0</v>
      </c>
      <c r="Z216" s="80">
        <f t="shared" ca="1" si="138"/>
        <v>0</v>
      </c>
      <c r="AA216" s="80">
        <f t="shared" ca="1" si="158"/>
        <v>0</v>
      </c>
      <c r="AB216" s="81">
        <f t="shared" ca="1" si="139"/>
        <v>-6994.4065026572498</v>
      </c>
      <c r="AC216" s="79">
        <f t="shared" ca="1" si="140"/>
        <v>156952.5725508217</v>
      </c>
      <c r="AD216" s="35"/>
      <c r="AE216" s="62">
        <f t="shared" ca="1" si="141"/>
        <v>-16716.004616439077</v>
      </c>
      <c r="AF216" s="62">
        <f t="shared" ca="1" si="142"/>
        <v>375102.58037258539</v>
      </c>
      <c r="AG216" s="35"/>
      <c r="AH216" s="35"/>
      <c r="AR216" s="69">
        <f t="shared" si="159"/>
        <v>18</v>
      </c>
      <c r="AS216" s="70">
        <f t="shared" si="162"/>
        <v>213</v>
      </c>
      <c r="AT216" s="71">
        <f t="shared" si="163"/>
        <v>0.23271133941355354</v>
      </c>
      <c r="AU216" s="72">
        <f t="shared" si="143"/>
        <v>6.8214933659622723E-3</v>
      </c>
      <c r="AV216" s="73">
        <f t="shared" si="160"/>
        <v>1.0068214933659623</v>
      </c>
      <c r="AW216" s="74">
        <f>PRODUCT(AV$4:AV216)</f>
        <v>4.2547872854858646</v>
      </c>
    </row>
    <row r="217" spans="5:49">
      <c r="E217">
        <f t="shared" si="161"/>
        <v>214</v>
      </c>
      <c r="F217" s="64">
        <f t="shared" si="144"/>
        <v>79.040000000000006</v>
      </c>
      <c r="G217" s="55">
        <f t="shared" si="145"/>
        <v>7.9055919619646087E-3</v>
      </c>
      <c r="H217" s="78">
        <f t="shared" si="164"/>
        <v>0.41511783096823118</v>
      </c>
      <c r="I217" s="79">
        <f t="shared" ca="1" si="146"/>
        <v>155711.76955485425</v>
      </c>
      <c r="J217" s="79">
        <f t="shared" ca="1" si="147"/>
        <v>1062.1868030206845</v>
      </c>
      <c r="K217" s="80">
        <f t="shared" ca="1" si="148"/>
        <v>-8.3023566193646232</v>
      </c>
      <c r="L217" s="80">
        <f t="shared" ca="1" si="149"/>
        <v>0</v>
      </c>
      <c r="M217" s="80">
        <f t="shared" ca="1" si="150"/>
        <v>0</v>
      </c>
      <c r="N217" s="80">
        <f t="shared" ca="1" si="151"/>
        <v>0</v>
      </c>
      <c r="O217" s="81">
        <f t="shared" ca="1" si="134"/>
        <v>-6939.111578831129</v>
      </c>
      <c r="P217" s="79">
        <f t="shared" ca="1" si="135"/>
        <v>149826.54242242445</v>
      </c>
      <c r="Q217" s="35"/>
      <c r="R217">
        <f t="shared" ca="1" si="152"/>
        <v>214</v>
      </c>
      <c r="S217" s="78">
        <f t="shared" ca="1" si="153"/>
        <v>79.040000000000006</v>
      </c>
      <c r="T217" s="55">
        <f t="shared" ca="1" si="154"/>
        <v>7.9055919619646087E-3</v>
      </c>
      <c r="U217" s="78">
        <f t="shared" ca="1" si="155"/>
        <v>0.41511783096823118</v>
      </c>
      <c r="V217" s="79">
        <f t="shared" ca="1" si="156"/>
        <v>155711.76955485425</v>
      </c>
      <c r="W217" s="79">
        <f t="shared" ca="1" si="136"/>
        <v>1062.1868030206845</v>
      </c>
      <c r="X217" s="80">
        <f t="shared" ca="1" si="137"/>
        <v>-8.3023566193646232</v>
      </c>
      <c r="Y217" s="80">
        <f t="shared" ca="1" si="157"/>
        <v>0</v>
      </c>
      <c r="Z217" s="80">
        <f t="shared" ca="1" si="138"/>
        <v>0</v>
      </c>
      <c r="AA217" s="80">
        <f t="shared" ca="1" si="158"/>
        <v>0</v>
      </c>
      <c r="AB217" s="81">
        <f t="shared" ca="1" si="139"/>
        <v>-6939.111578831129</v>
      </c>
      <c r="AC217" s="79">
        <f t="shared" ca="1" si="140"/>
        <v>149826.54242242445</v>
      </c>
      <c r="AD217" s="35"/>
      <c r="AE217" s="62">
        <f t="shared" ca="1" si="141"/>
        <v>-16716.004616439077</v>
      </c>
      <c r="AF217" s="62">
        <f t="shared" ca="1" si="142"/>
        <v>360925.33551971323</v>
      </c>
      <c r="AG217" s="35"/>
      <c r="AH217" s="35"/>
      <c r="AR217" s="69">
        <f t="shared" si="159"/>
        <v>18</v>
      </c>
      <c r="AS217" s="70">
        <f t="shared" si="162"/>
        <v>214</v>
      </c>
      <c r="AT217" s="71">
        <f t="shared" si="163"/>
        <v>0.23112390055555979</v>
      </c>
      <c r="AU217" s="72">
        <f t="shared" si="143"/>
        <v>6.8214933659622723E-3</v>
      </c>
      <c r="AV217" s="73">
        <f t="shared" si="160"/>
        <v>1.0068214933659623</v>
      </c>
      <c r="AW217" s="74">
        <f>PRODUCT(AV$4:AV217)</f>
        <v>4.2838112887273869</v>
      </c>
    </row>
    <row r="218" spans="5:49">
      <c r="E218">
        <f t="shared" si="161"/>
        <v>215</v>
      </c>
      <c r="F218" s="64">
        <f t="shared" si="144"/>
        <v>79.12</v>
      </c>
      <c r="G218" s="55">
        <f t="shared" si="145"/>
        <v>7.9055919619646087E-3</v>
      </c>
      <c r="H218" s="78">
        <f t="shared" si="164"/>
        <v>0.41183607878046052</v>
      </c>
      <c r="I218" s="79">
        <f t="shared" ca="1" si="146"/>
        <v>148642.07491296079</v>
      </c>
      <c r="J218" s="79">
        <f t="shared" ca="1" si="147"/>
        <v>1013.9609279216291</v>
      </c>
      <c r="K218" s="80">
        <f t="shared" ca="1" si="148"/>
        <v>-8.2367215756092111</v>
      </c>
      <c r="L218" s="80">
        <f t="shared" ca="1" si="149"/>
        <v>0</v>
      </c>
      <c r="M218" s="80">
        <f t="shared" ca="1" si="150"/>
        <v>0</v>
      </c>
      <c r="N218" s="80">
        <f t="shared" ca="1" si="151"/>
        <v>0</v>
      </c>
      <c r="O218" s="81">
        <f t="shared" ca="1" si="134"/>
        <v>-6884.2537941103465</v>
      </c>
      <c r="P218" s="79">
        <f t="shared" ca="1" si="135"/>
        <v>142763.54532519646</v>
      </c>
      <c r="Q218" s="35"/>
      <c r="R218">
        <f t="shared" ca="1" si="152"/>
        <v>215</v>
      </c>
      <c r="S218" s="78">
        <f t="shared" ca="1" si="153"/>
        <v>79.12</v>
      </c>
      <c r="T218" s="55">
        <f t="shared" ca="1" si="154"/>
        <v>7.9055919619646087E-3</v>
      </c>
      <c r="U218" s="78">
        <f t="shared" ca="1" si="155"/>
        <v>0.41183607878046052</v>
      </c>
      <c r="V218" s="79">
        <f t="shared" ca="1" si="156"/>
        <v>148642.07491296079</v>
      </c>
      <c r="W218" s="79">
        <f t="shared" ca="1" si="136"/>
        <v>1013.9609279216291</v>
      </c>
      <c r="X218" s="80">
        <f t="shared" ca="1" si="137"/>
        <v>-8.2367215756092111</v>
      </c>
      <c r="Y218" s="80">
        <f t="shared" ca="1" si="157"/>
        <v>0</v>
      </c>
      <c r="Z218" s="80">
        <f t="shared" ca="1" si="138"/>
        <v>0</v>
      </c>
      <c r="AA218" s="80">
        <f t="shared" ca="1" si="158"/>
        <v>0</v>
      </c>
      <c r="AB218" s="81">
        <f t="shared" ca="1" si="139"/>
        <v>-6884.2537941103465</v>
      </c>
      <c r="AC218" s="79">
        <f t="shared" ca="1" si="140"/>
        <v>142763.54532519646</v>
      </c>
      <c r="AD218" s="35"/>
      <c r="AE218" s="62">
        <f t="shared" ca="1" si="141"/>
        <v>-16716.004616439081</v>
      </c>
      <c r="AF218" s="62">
        <f t="shared" ca="1" si="142"/>
        <v>346651.38068512967</v>
      </c>
      <c r="AG218" s="35"/>
      <c r="AH218" s="35"/>
      <c r="AR218" s="69">
        <f t="shared" si="159"/>
        <v>18</v>
      </c>
      <c r="AS218" s="70">
        <f t="shared" si="162"/>
        <v>215</v>
      </c>
      <c r="AT218" s="71">
        <f t="shared" si="163"/>
        <v>0.22954729040120472</v>
      </c>
      <c r="AU218" s="72">
        <f t="shared" si="143"/>
        <v>6.8214933659622723E-3</v>
      </c>
      <c r="AV218" s="73">
        <f t="shared" si="160"/>
        <v>1.0068214933659623</v>
      </c>
      <c r="AW218" s="74">
        <f>PRODUCT(AV$4:AV218)</f>
        <v>4.3130332790144754</v>
      </c>
    </row>
    <row r="219" spans="5:49">
      <c r="E219">
        <f t="shared" si="161"/>
        <v>216</v>
      </c>
      <c r="F219" s="64">
        <f t="shared" si="144"/>
        <v>79.2</v>
      </c>
      <c r="G219" s="55">
        <f t="shared" si="145"/>
        <v>7.9055919619646087E-3</v>
      </c>
      <c r="H219" s="78">
        <f t="shared" si="164"/>
        <v>0.40858027078640669</v>
      </c>
      <c r="I219" s="79">
        <f t="shared" ca="1" si="146"/>
        <v>141634.91498881203</v>
      </c>
      <c r="J219" s="79">
        <f t="shared" ca="1" si="147"/>
        <v>966.16163298481172</v>
      </c>
      <c r="K219" s="80">
        <f t="shared" ca="1" si="148"/>
        <v>-8.1716054157281341</v>
      </c>
      <c r="L219" s="80">
        <f t="shared" ca="1" si="149"/>
        <v>0</v>
      </c>
      <c r="M219" s="80">
        <f t="shared" ca="1" si="150"/>
        <v>0</v>
      </c>
      <c r="N219" s="80">
        <f t="shared" ca="1" si="151"/>
        <v>0</v>
      </c>
      <c r="O219" s="81">
        <f t="shared" ca="1" si="134"/>
        <v>-6829.8296926515031</v>
      </c>
      <c r="P219" s="79">
        <f t="shared" ca="1" si="135"/>
        <v>135763.0753237296</v>
      </c>
      <c r="Q219" s="35"/>
      <c r="R219">
        <f t="shared" ca="1" si="152"/>
        <v>216</v>
      </c>
      <c r="S219" s="78">
        <f t="shared" ca="1" si="153"/>
        <v>79.2</v>
      </c>
      <c r="T219" s="55">
        <f t="shared" ca="1" si="154"/>
        <v>7.9055919619646087E-3</v>
      </c>
      <c r="U219" s="78">
        <f t="shared" ca="1" si="155"/>
        <v>0.40858027078640669</v>
      </c>
      <c r="V219" s="79">
        <f t="shared" ca="1" si="156"/>
        <v>141634.91498881203</v>
      </c>
      <c r="W219" s="79">
        <f t="shared" ca="1" si="136"/>
        <v>966.16163298481172</v>
      </c>
      <c r="X219" s="80">
        <f t="shared" ca="1" si="137"/>
        <v>-8.1716054157281341</v>
      </c>
      <c r="Y219" s="80">
        <f t="shared" ca="1" si="157"/>
        <v>0</v>
      </c>
      <c r="Z219" s="80">
        <f t="shared" ca="1" si="138"/>
        <v>0</v>
      </c>
      <c r="AA219" s="80">
        <f t="shared" ca="1" si="158"/>
        <v>0</v>
      </c>
      <c r="AB219" s="81">
        <f t="shared" ca="1" si="139"/>
        <v>-6829.8296926515031</v>
      </c>
      <c r="AC219" s="79">
        <f t="shared" ca="1" si="140"/>
        <v>135763.0753237296</v>
      </c>
      <c r="AD219" s="35"/>
      <c r="AE219" s="62">
        <f t="shared" ca="1" si="141"/>
        <v>-16716.004616439081</v>
      </c>
      <c r="AF219" s="62">
        <f t="shared" ca="1" si="142"/>
        <v>332280.05616233585</v>
      </c>
      <c r="AG219" s="35"/>
      <c r="AH219" s="35"/>
      <c r="AR219" s="69">
        <f t="shared" si="159"/>
        <v>18</v>
      </c>
      <c r="AS219" s="70">
        <f t="shared" si="162"/>
        <v>216</v>
      </c>
      <c r="AT219" s="71">
        <f t="shared" si="163"/>
        <v>0.2279814350825583</v>
      </c>
      <c r="AU219" s="72">
        <f t="shared" si="143"/>
        <v>6.8214933659622723E-3</v>
      </c>
      <c r="AV219" s="73">
        <f t="shared" si="160"/>
        <v>1.0068214933659623</v>
      </c>
      <c r="AW219" s="74">
        <f>PRODUCT(AV$4:AV219)</f>
        <v>4.3424546069144467</v>
      </c>
    </row>
    <row r="220" spans="5:49">
      <c r="E220">
        <f t="shared" si="161"/>
        <v>217</v>
      </c>
      <c r="F220" s="64">
        <f t="shared" si="144"/>
        <v>79.28</v>
      </c>
      <c r="G220" s="55">
        <f t="shared" si="145"/>
        <v>7.9055919619646087E-3</v>
      </c>
      <c r="H220" s="78">
        <f t="shared" si="164"/>
        <v>0.40535020188186033</v>
      </c>
      <c r="I220" s="79">
        <f t="shared" ca="1" si="146"/>
        <v>134689.78784671874</v>
      </c>
      <c r="J220" s="79">
        <f t="shared" ca="1" si="147"/>
        <v>918.7854942592578</v>
      </c>
      <c r="K220" s="80">
        <f t="shared" ca="1" si="148"/>
        <v>-8.107004037637207</v>
      </c>
      <c r="L220" s="80">
        <f t="shared" ca="1" si="149"/>
        <v>0</v>
      </c>
      <c r="M220" s="80">
        <f t="shared" ca="1" si="150"/>
        <v>0</v>
      </c>
      <c r="N220" s="80">
        <f t="shared" ca="1" si="151"/>
        <v>0</v>
      </c>
      <c r="O220" s="81">
        <f t="shared" ca="1" si="134"/>
        <v>-6775.8358459316887</v>
      </c>
      <c r="P220" s="79">
        <f t="shared" ca="1" si="135"/>
        <v>128824.63049100866</v>
      </c>
      <c r="Q220" s="35"/>
      <c r="R220">
        <f t="shared" ca="1" si="152"/>
        <v>217</v>
      </c>
      <c r="S220" s="78">
        <f t="shared" ca="1" si="153"/>
        <v>79.28</v>
      </c>
      <c r="T220" s="55">
        <f t="shared" ca="1" si="154"/>
        <v>7.9055919619646087E-3</v>
      </c>
      <c r="U220" s="78">
        <f t="shared" ca="1" si="155"/>
        <v>0.40535020188186033</v>
      </c>
      <c r="V220" s="79">
        <f t="shared" ca="1" si="156"/>
        <v>134689.78784671874</v>
      </c>
      <c r="W220" s="79">
        <f t="shared" ca="1" si="136"/>
        <v>918.7854942592578</v>
      </c>
      <c r="X220" s="80">
        <f t="shared" ca="1" si="137"/>
        <v>-8.107004037637207</v>
      </c>
      <c r="Y220" s="80">
        <f t="shared" ca="1" si="157"/>
        <v>0</v>
      </c>
      <c r="Z220" s="80">
        <f t="shared" ca="1" si="138"/>
        <v>0</v>
      </c>
      <c r="AA220" s="80">
        <f t="shared" ca="1" si="158"/>
        <v>0</v>
      </c>
      <c r="AB220" s="81">
        <f t="shared" ca="1" si="139"/>
        <v>-6775.8358459316887</v>
      </c>
      <c r="AC220" s="79">
        <f t="shared" ca="1" si="140"/>
        <v>128824.63049100866</v>
      </c>
      <c r="AD220" s="35"/>
      <c r="AE220" s="62">
        <f t="shared" ca="1" si="141"/>
        <v>-16716.004616439077</v>
      </c>
      <c r="AF220" s="62">
        <f t="shared" ca="1" si="142"/>
        <v>317810.69774464972</v>
      </c>
      <c r="AG220" s="35"/>
      <c r="AH220" s="35"/>
      <c r="AR220" s="69">
        <f t="shared" si="159"/>
        <v>19</v>
      </c>
      <c r="AS220" s="70">
        <f t="shared" si="162"/>
        <v>217</v>
      </c>
      <c r="AT220" s="71">
        <f t="shared" si="163"/>
        <v>0.22642626123558007</v>
      </c>
      <c r="AU220" s="72">
        <f t="shared" si="143"/>
        <v>6.8214933659622723E-3</v>
      </c>
      <c r="AV220" s="73">
        <f t="shared" si="160"/>
        <v>1.0068214933659623</v>
      </c>
      <c r="AW220" s="74">
        <f>PRODUCT(AV$4:AV220)</f>
        <v>4.3720766322075058</v>
      </c>
    </row>
    <row r="221" spans="5:49">
      <c r="E221">
        <f t="shared" si="161"/>
        <v>218</v>
      </c>
      <c r="F221" s="64">
        <f t="shared" si="144"/>
        <v>79.36</v>
      </c>
      <c r="G221" s="55">
        <f t="shared" si="145"/>
        <v>7.9055919619646087E-3</v>
      </c>
      <c r="H221" s="78">
        <f t="shared" si="164"/>
        <v>0.40214566858408235</v>
      </c>
      <c r="I221" s="79">
        <f t="shared" ca="1" si="146"/>
        <v>127806.19552769588</v>
      </c>
      <c r="J221" s="79">
        <f t="shared" ca="1" si="147"/>
        <v>871.8291149210545</v>
      </c>
      <c r="K221" s="80">
        <f t="shared" ca="1" si="148"/>
        <v>-8.0429133716816477</v>
      </c>
      <c r="L221" s="80">
        <f t="shared" ca="1" si="149"/>
        <v>0</v>
      </c>
      <c r="M221" s="80">
        <f t="shared" ca="1" si="150"/>
        <v>0</v>
      </c>
      <c r="N221" s="80">
        <f t="shared" ca="1" si="151"/>
        <v>0</v>
      </c>
      <c r="O221" s="81">
        <f t="shared" ca="1" si="134"/>
        <v>-6722.2688525325002</v>
      </c>
      <c r="P221" s="79">
        <f t="shared" ca="1" si="135"/>
        <v>121947.71287671274</v>
      </c>
      <c r="Q221" s="35"/>
      <c r="R221">
        <f t="shared" ca="1" si="152"/>
        <v>218</v>
      </c>
      <c r="S221" s="78">
        <f t="shared" ca="1" si="153"/>
        <v>79.36</v>
      </c>
      <c r="T221" s="55">
        <f t="shared" ca="1" si="154"/>
        <v>7.9055919619646087E-3</v>
      </c>
      <c r="U221" s="78">
        <f t="shared" ca="1" si="155"/>
        <v>0.40214566858408235</v>
      </c>
      <c r="V221" s="79">
        <f t="shared" ca="1" si="156"/>
        <v>127806.19552769588</v>
      </c>
      <c r="W221" s="79">
        <f t="shared" ca="1" si="136"/>
        <v>871.8291149210545</v>
      </c>
      <c r="X221" s="80">
        <f t="shared" ca="1" si="137"/>
        <v>-8.0429133716816477</v>
      </c>
      <c r="Y221" s="80">
        <f t="shared" ca="1" si="157"/>
        <v>0</v>
      </c>
      <c r="Z221" s="80">
        <f t="shared" ca="1" si="138"/>
        <v>0</v>
      </c>
      <c r="AA221" s="80">
        <f t="shared" ca="1" si="158"/>
        <v>0</v>
      </c>
      <c r="AB221" s="81">
        <f t="shared" ca="1" si="139"/>
        <v>-6722.2688525325002</v>
      </c>
      <c r="AC221" s="79">
        <f t="shared" ca="1" si="140"/>
        <v>121947.71287671274</v>
      </c>
      <c r="AD221" s="35"/>
      <c r="AE221" s="62">
        <f t="shared" ca="1" si="141"/>
        <v>-16716.004616439077</v>
      </c>
      <c r="AF221" s="62">
        <f t="shared" ca="1" si="142"/>
        <v>303242.63669450762</v>
      </c>
      <c r="AG221" s="35"/>
      <c r="AH221" s="35"/>
      <c r="AR221" s="69">
        <f t="shared" si="159"/>
        <v>19</v>
      </c>
      <c r="AS221" s="70">
        <f t="shared" si="162"/>
        <v>218</v>
      </c>
      <c r="AT221" s="71">
        <f t="shared" si="163"/>
        <v>0.22488169599668192</v>
      </c>
      <c r="AU221" s="72">
        <f t="shared" si="143"/>
        <v>6.8214933659622723E-3</v>
      </c>
      <c r="AV221" s="73">
        <f t="shared" si="160"/>
        <v>1.0068214933659623</v>
      </c>
      <c r="AW221" s="74">
        <f>PRODUCT(AV$4:AV221)</f>
        <v>4.4019007239495878</v>
      </c>
    </row>
    <row r="222" spans="5:49">
      <c r="E222">
        <f t="shared" si="161"/>
        <v>219</v>
      </c>
      <c r="F222" s="64">
        <f t="shared" si="144"/>
        <v>79.44</v>
      </c>
      <c r="G222" s="55">
        <f t="shared" si="145"/>
        <v>7.9055919619646087E-3</v>
      </c>
      <c r="H222" s="78">
        <f t="shared" si="164"/>
        <v>0.39896646901898514</v>
      </c>
      <c r="I222" s="79">
        <f t="shared" ca="1" si="146"/>
        <v>120983.64401801463</v>
      </c>
      <c r="J222" s="79">
        <f t="shared" ca="1" si="147"/>
        <v>825.28912505882795</v>
      </c>
      <c r="K222" s="80">
        <f t="shared" ca="1" si="148"/>
        <v>-7.9793293803797027</v>
      </c>
      <c r="L222" s="80">
        <f t="shared" ca="1" si="149"/>
        <v>0</v>
      </c>
      <c r="M222" s="80">
        <f t="shared" ca="1" si="150"/>
        <v>0</v>
      </c>
      <c r="N222" s="80">
        <f t="shared" ca="1" si="151"/>
        <v>0</v>
      </c>
      <c r="O222" s="81">
        <f t="shared" ca="1" si="134"/>
        <v>-6669.1253379257541</v>
      </c>
      <c r="P222" s="79">
        <f t="shared" ca="1" si="135"/>
        <v>115131.82847576732</v>
      </c>
      <c r="Q222" s="35"/>
      <c r="R222">
        <f t="shared" ca="1" si="152"/>
        <v>219</v>
      </c>
      <c r="S222" s="78">
        <f t="shared" ca="1" si="153"/>
        <v>79.44</v>
      </c>
      <c r="T222" s="55">
        <f t="shared" ca="1" si="154"/>
        <v>7.9055919619646087E-3</v>
      </c>
      <c r="U222" s="78">
        <f t="shared" ca="1" si="155"/>
        <v>0.39896646901898514</v>
      </c>
      <c r="V222" s="79">
        <f t="shared" ca="1" si="156"/>
        <v>120983.64401801463</v>
      </c>
      <c r="W222" s="79">
        <f t="shared" ca="1" si="136"/>
        <v>825.28912505882795</v>
      </c>
      <c r="X222" s="80">
        <f t="shared" ca="1" si="137"/>
        <v>-7.9793293803797027</v>
      </c>
      <c r="Y222" s="80">
        <f t="shared" ca="1" si="157"/>
        <v>0</v>
      </c>
      <c r="Z222" s="80">
        <f t="shared" ca="1" si="138"/>
        <v>0</v>
      </c>
      <c r="AA222" s="80">
        <f t="shared" ca="1" si="158"/>
        <v>0</v>
      </c>
      <c r="AB222" s="81">
        <f t="shared" ca="1" si="139"/>
        <v>-6669.1253379257541</v>
      </c>
      <c r="AC222" s="79">
        <f t="shared" ca="1" si="140"/>
        <v>115131.82847576732</v>
      </c>
      <c r="AD222" s="35"/>
      <c r="AE222" s="62">
        <f t="shared" ca="1" si="141"/>
        <v>-16716.004616439077</v>
      </c>
      <c r="AF222" s="62">
        <f t="shared" ca="1" si="142"/>
        <v>288575.19971255702</v>
      </c>
      <c r="AG222" s="35"/>
      <c r="AH222" s="35"/>
      <c r="AR222" s="69">
        <f t="shared" si="159"/>
        <v>19</v>
      </c>
      <c r="AS222" s="70">
        <f t="shared" si="162"/>
        <v>219</v>
      </c>
      <c r="AT222" s="71">
        <f t="shared" si="163"/>
        <v>0.22334766699931421</v>
      </c>
      <c r="AU222" s="72">
        <f t="shared" si="143"/>
        <v>6.8214933659622723E-3</v>
      </c>
      <c r="AV222" s="73">
        <f t="shared" si="160"/>
        <v>1.0068214933659623</v>
      </c>
      <c r="AW222" s="74">
        <f>PRODUCT(AV$4:AV222)</f>
        <v>4.431928260535634</v>
      </c>
    </row>
    <row r="223" spans="5:49">
      <c r="E223">
        <f t="shared" si="161"/>
        <v>220</v>
      </c>
      <c r="F223" s="64">
        <f t="shared" si="144"/>
        <v>79.52</v>
      </c>
      <c r="G223" s="55">
        <f t="shared" si="145"/>
        <v>8.641806137517527E-3</v>
      </c>
      <c r="H223" s="78">
        <f t="shared" si="164"/>
        <v>0.39551867813835317</v>
      </c>
      <c r="I223" s="79">
        <f t="shared" ca="1" si="146"/>
        <v>114136.88153382183</v>
      </c>
      <c r="J223" s="79">
        <f t="shared" ca="1" si="147"/>
        <v>778.58398019458741</v>
      </c>
      <c r="K223" s="80">
        <f t="shared" ca="1" si="148"/>
        <v>-7.910373562767063</v>
      </c>
      <c r="L223" s="80">
        <f t="shared" ca="1" si="149"/>
        <v>0</v>
      </c>
      <c r="M223" s="80">
        <f t="shared" ca="1" si="150"/>
        <v>0</v>
      </c>
      <c r="N223" s="80">
        <f t="shared" ca="1" si="151"/>
        <v>0</v>
      </c>
      <c r="O223" s="81">
        <f t="shared" ca="1" si="134"/>
        <v>-6611.4920496485938</v>
      </c>
      <c r="P223" s="79">
        <f t="shared" ca="1" si="135"/>
        <v>108296.06309080505</v>
      </c>
      <c r="Q223" s="35"/>
      <c r="R223">
        <f t="shared" ca="1" si="152"/>
        <v>220</v>
      </c>
      <c r="S223" s="78">
        <f t="shared" ca="1" si="153"/>
        <v>79.52</v>
      </c>
      <c r="T223" s="55">
        <f t="shared" ca="1" si="154"/>
        <v>8.641806137517527E-3</v>
      </c>
      <c r="U223" s="78">
        <f t="shared" ca="1" si="155"/>
        <v>0.39551867813835317</v>
      </c>
      <c r="V223" s="79">
        <f t="shared" ca="1" si="156"/>
        <v>114136.88153382183</v>
      </c>
      <c r="W223" s="79">
        <f t="shared" ca="1" si="136"/>
        <v>778.58398019458741</v>
      </c>
      <c r="X223" s="80">
        <f t="shared" ca="1" si="137"/>
        <v>-7.910373562767063</v>
      </c>
      <c r="Y223" s="80">
        <f t="shared" ca="1" si="157"/>
        <v>0</v>
      </c>
      <c r="Z223" s="80">
        <f t="shared" ca="1" si="138"/>
        <v>0</v>
      </c>
      <c r="AA223" s="80">
        <f t="shared" ca="1" si="158"/>
        <v>0</v>
      </c>
      <c r="AB223" s="81">
        <f t="shared" ca="1" si="139"/>
        <v>-6611.4920496485938</v>
      </c>
      <c r="AC223" s="79">
        <f t="shared" ca="1" si="140"/>
        <v>108296.06309080505</v>
      </c>
      <c r="AD223" s="35"/>
      <c r="AE223" s="62">
        <f t="shared" ca="1" si="141"/>
        <v>-16716.004616439081</v>
      </c>
      <c r="AF223" s="62">
        <f t="shared" ca="1" si="142"/>
        <v>273807.70890653838</v>
      </c>
      <c r="AG223" s="35"/>
      <c r="AH223" s="35"/>
      <c r="AR223" s="69">
        <f t="shared" si="159"/>
        <v>19</v>
      </c>
      <c r="AS223" s="70">
        <f t="shared" si="162"/>
        <v>220</v>
      </c>
      <c r="AT223" s="71">
        <f t="shared" si="163"/>
        <v>0.22182410237057523</v>
      </c>
      <c r="AU223" s="72">
        <f t="shared" si="143"/>
        <v>6.8214933659622723E-3</v>
      </c>
      <c r="AV223" s="73">
        <f t="shared" si="160"/>
        <v>1.0068214933659623</v>
      </c>
      <c r="AW223" s="74">
        <f>PRODUCT(AV$4:AV223)</f>
        <v>4.4621606297632983</v>
      </c>
    </row>
    <row r="224" spans="5:49">
      <c r="E224">
        <f t="shared" si="161"/>
        <v>221</v>
      </c>
      <c r="F224" s="64">
        <f t="shared" si="144"/>
        <v>79.599999999999994</v>
      </c>
      <c r="G224" s="55">
        <f t="shared" si="145"/>
        <v>8.641806137517527E-3</v>
      </c>
      <c r="H224" s="78">
        <f t="shared" si="164"/>
        <v>0.39210068239811435</v>
      </c>
      <c r="I224" s="79">
        <f t="shared" ca="1" si="146"/>
        <v>107360.18950811795</v>
      </c>
      <c r="J224" s="79">
        <f t="shared" ca="1" si="147"/>
        <v>732.35682049807895</v>
      </c>
      <c r="K224" s="80">
        <f t="shared" ca="1" si="148"/>
        <v>-7.8420136479622871</v>
      </c>
      <c r="L224" s="80">
        <f t="shared" ca="1" si="149"/>
        <v>0</v>
      </c>
      <c r="M224" s="80">
        <f t="shared" ca="1" si="150"/>
        <v>0</v>
      </c>
      <c r="N224" s="80">
        <f t="shared" ca="1" si="151"/>
        <v>0</v>
      </c>
      <c r="O224" s="81">
        <f t="shared" ca="1" si="134"/>
        <v>-6554.3568170757926</v>
      </c>
      <c r="P224" s="79">
        <f t="shared" ca="1" si="135"/>
        <v>101530.34749789227</v>
      </c>
      <c r="Q224" s="35"/>
      <c r="R224">
        <f t="shared" ca="1" si="152"/>
        <v>221</v>
      </c>
      <c r="S224" s="78">
        <f t="shared" ca="1" si="153"/>
        <v>79.599999999999994</v>
      </c>
      <c r="T224" s="55">
        <f t="shared" ca="1" si="154"/>
        <v>8.641806137517527E-3</v>
      </c>
      <c r="U224" s="78">
        <f t="shared" ca="1" si="155"/>
        <v>0.39210068239811435</v>
      </c>
      <c r="V224" s="79">
        <f t="shared" ca="1" si="156"/>
        <v>107360.18950811795</v>
      </c>
      <c r="W224" s="79">
        <f t="shared" ca="1" si="136"/>
        <v>732.35682049807895</v>
      </c>
      <c r="X224" s="80">
        <f t="shared" ca="1" si="137"/>
        <v>-7.8420136479622871</v>
      </c>
      <c r="Y224" s="80">
        <f t="shared" ca="1" si="157"/>
        <v>0</v>
      </c>
      <c r="Z224" s="80">
        <f t="shared" ca="1" si="138"/>
        <v>0</v>
      </c>
      <c r="AA224" s="80">
        <f t="shared" ca="1" si="158"/>
        <v>0</v>
      </c>
      <c r="AB224" s="81">
        <f t="shared" ca="1" si="139"/>
        <v>-6554.3568170757926</v>
      </c>
      <c r="AC224" s="79">
        <f t="shared" ca="1" si="140"/>
        <v>101530.34749789227</v>
      </c>
      <c r="AD224" s="35"/>
      <c r="AE224" s="62">
        <f t="shared" ca="1" si="141"/>
        <v>-16716.004616439081</v>
      </c>
      <c r="AF224" s="62">
        <f t="shared" ca="1" si="142"/>
        <v>258939.48175995459</v>
      </c>
      <c r="AG224" s="35"/>
      <c r="AH224" s="35"/>
      <c r="AR224" s="69">
        <f t="shared" si="159"/>
        <v>19</v>
      </c>
      <c r="AS224" s="70">
        <f t="shared" si="162"/>
        <v>221</v>
      </c>
      <c r="AT224" s="71">
        <f t="shared" si="163"/>
        <v>0.22031093072784383</v>
      </c>
      <c r="AU224" s="72">
        <f t="shared" si="143"/>
        <v>6.8214933659622723E-3</v>
      </c>
      <c r="AV224" s="73">
        <f t="shared" si="160"/>
        <v>1.0068214933659623</v>
      </c>
      <c r="AW224" s="74">
        <f>PRODUCT(AV$4:AV224)</f>
        <v>4.4925992288970864</v>
      </c>
    </row>
    <row r="225" spans="5:49">
      <c r="E225">
        <f t="shared" si="161"/>
        <v>222</v>
      </c>
      <c r="F225" s="64">
        <f t="shared" si="144"/>
        <v>79.680000000000007</v>
      </c>
      <c r="G225" s="55">
        <f t="shared" si="145"/>
        <v>8.641806137517527E-3</v>
      </c>
      <c r="H225" s="78">
        <f t="shared" si="164"/>
        <v>0.38871222431444152</v>
      </c>
      <c r="I225" s="79">
        <f t="shared" ca="1" si="146"/>
        <v>100652.9419177407</v>
      </c>
      <c r="J225" s="79">
        <f t="shared" ca="1" si="147"/>
        <v>686.60337555645413</v>
      </c>
      <c r="K225" s="80">
        <f t="shared" ca="1" si="148"/>
        <v>-7.7742444862888309</v>
      </c>
      <c r="L225" s="80">
        <f t="shared" ca="1" si="149"/>
        <v>0</v>
      </c>
      <c r="M225" s="80">
        <f t="shared" ca="1" si="150"/>
        <v>0</v>
      </c>
      <c r="N225" s="80">
        <f t="shared" ca="1" si="151"/>
        <v>0</v>
      </c>
      <c r="O225" s="81">
        <f t="shared" ca="1" si="134"/>
        <v>-6497.7153361065066</v>
      </c>
      <c r="P225" s="79">
        <f t="shared" ca="1" si="135"/>
        <v>94834.055712704343</v>
      </c>
      <c r="Q225" s="35"/>
      <c r="R225">
        <f t="shared" ca="1" si="152"/>
        <v>222</v>
      </c>
      <c r="S225" s="78">
        <f t="shared" ca="1" si="153"/>
        <v>79.680000000000007</v>
      </c>
      <c r="T225" s="55">
        <f t="shared" ca="1" si="154"/>
        <v>8.641806137517527E-3</v>
      </c>
      <c r="U225" s="78">
        <f t="shared" ca="1" si="155"/>
        <v>0.38871222431444152</v>
      </c>
      <c r="V225" s="79">
        <f t="shared" ca="1" si="156"/>
        <v>100652.9419177407</v>
      </c>
      <c r="W225" s="79">
        <f t="shared" ca="1" si="136"/>
        <v>686.60337555645413</v>
      </c>
      <c r="X225" s="80">
        <f t="shared" ca="1" si="137"/>
        <v>-7.7742444862888309</v>
      </c>
      <c r="Y225" s="80">
        <f t="shared" ca="1" si="157"/>
        <v>0</v>
      </c>
      <c r="Z225" s="80">
        <f t="shared" ca="1" si="138"/>
        <v>0</v>
      </c>
      <c r="AA225" s="80">
        <f t="shared" ca="1" si="158"/>
        <v>0</v>
      </c>
      <c r="AB225" s="81">
        <f t="shared" ca="1" si="139"/>
        <v>-6497.7153361065066</v>
      </c>
      <c r="AC225" s="79">
        <f t="shared" ca="1" si="140"/>
        <v>94834.055712704343</v>
      </c>
      <c r="AD225" s="35"/>
      <c r="AE225" s="62">
        <f t="shared" ca="1" si="141"/>
        <v>-16716.004616439077</v>
      </c>
      <c r="AF225" s="62">
        <f t="shared" ca="1" si="142"/>
        <v>243969.8311005267</v>
      </c>
      <c r="AG225" s="35"/>
      <c r="AH225" s="35"/>
      <c r="AR225" s="69">
        <f t="shared" si="159"/>
        <v>19</v>
      </c>
      <c r="AS225" s="70">
        <f t="shared" si="162"/>
        <v>222</v>
      </c>
      <c r="AT225" s="71">
        <f t="shared" si="163"/>
        <v>0.21880808117543488</v>
      </c>
      <c r="AU225" s="72">
        <f t="shared" si="143"/>
        <v>6.8214933659622723E-3</v>
      </c>
      <c r="AV225" s="73">
        <f t="shared" si="160"/>
        <v>1.0068214933659623</v>
      </c>
      <c r="AW225" s="74">
        <f>PRODUCT(AV$4:AV225)</f>
        <v>4.523245464732935</v>
      </c>
    </row>
    <row r="226" spans="5:49">
      <c r="E226">
        <f t="shared" si="161"/>
        <v>223</v>
      </c>
      <c r="F226" s="64">
        <f t="shared" si="144"/>
        <v>79.760000000000005</v>
      </c>
      <c r="G226" s="55">
        <f t="shared" si="145"/>
        <v>8.641806137517527E-3</v>
      </c>
      <c r="H226" s="78">
        <f t="shared" si="164"/>
        <v>0.3853530486286329</v>
      </c>
      <c r="I226" s="79">
        <f t="shared" ca="1" si="146"/>
        <v>94014.518188000613</v>
      </c>
      <c r="J226" s="79">
        <f t="shared" ca="1" si="147"/>
        <v>641.31941212358561</v>
      </c>
      <c r="K226" s="80">
        <f t="shared" ca="1" si="148"/>
        <v>-7.7070609725726582</v>
      </c>
      <c r="L226" s="80">
        <f t="shared" ca="1" si="149"/>
        <v>0</v>
      </c>
      <c r="M226" s="80">
        <f t="shared" ca="1" si="150"/>
        <v>0</v>
      </c>
      <c r="N226" s="80">
        <f t="shared" ca="1" si="151"/>
        <v>0</v>
      </c>
      <c r="O226" s="81">
        <f t="shared" ca="1" si="134"/>
        <v>-6441.5633398350992</v>
      </c>
      <c r="P226" s="79">
        <f t="shared" ca="1" si="135"/>
        <v>88206.567199316516</v>
      </c>
      <c r="Q226" s="35"/>
      <c r="R226">
        <f t="shared" ca="1" si="152"/>
        <v>223</v>
      </c>
      <c r="S226" s="78">
        <f t="shared" ca="1" si="153"/>
        <v>79.760000000000005</v>
      </c>
      <c r="T226" s="55">
        <f t="shared" ca="1" si="154"/>
        <v>8.641806137517527E-3</v>
      </c>
      <c r="U226" s="78">
        <f t="shared" ca="1" si="155"/>
        <v>0.3853530486286329</v>
      </c>
      <c r="V226" s="79">
        <f t="shared" ca="1" si="156"/>
        <v>94014.518188000613</v>
      </c>
      <c r="W226" s="79">
        <f t="shared" ca="1" si="136"/>
        <v>641.31941212358561</v>
      </c>
      <c r="X226" s="80">
        <f t="shared" ca="1" si="137"/>
        <v>-7.7070609725726582</v>
      </c>
      <c r="Y226" s="80">
        <f t="shared" ca="1" si="157"/>
        <v>0</v>
      </c>
      <c r="Z226" s="80">
        <f t="shared" ca="1" si="138"/>
        <v>0</v>
      </c>
      <c r="AA226" s="80">
        <f t="shared" ca="1" si="158"/>
        <v>0</v>
      </c>
      <c r="AB226" s="81">
        <f t="shared" ca="1" si="139"/>
        <v>-6441.5633398350992</v>
      </c>
      <c r="AC226" s="79">
        <f t="shared" ca="1" si="140"/>
        <v>88206.567199316516</v>
      </c>
      <c r="AD226" s="35"/>
      <c r="AE226" s="62">
        <f t="shared" ca="1" si="141"/>
        <v>-16716.004616439077</v>
      </c>
      <c r="AF226" s="62">
        <f t="shared" ca="1" si="142"/>
        <v>228898.06506843475</v>
      </c>
      <c r="AG226" s="35"/>
      <c r="AH226" s="35"/>
      <c r="AR226" s="69">
        <f t="shared" si="159"/>
        <v>19</v>
      </c>
      <c r="AS226" s="70">
        <f t="shared" si="162"/>
        <v>223</v>
      </c>
      <c r="AT226" s="71">
        <f t="shared" si="163"/>
        <v>0.2173154833012777</v>
      </c>
      <c r="AU226" s="72">
        <f t="shared" si="143"/>
        <v>6.8214933659622723E-3</v>
      </c>
      <c r="AV226" s="73">
        <f t="shared" si="160"/>
        <v>1.0068214933659623</v>
      </c>
      <c r="AW226" s="74">
        <f>PRODUCT(AV$4:AV226)</f>
        <v>4.5541007536632296</v>
      </c>
    </row>
    <row r="227" spans="5:49">
      <c r="E227">
        <f t="shared" si="161"/>
        <v>224</v>
      </c>
      <c r="F227" s="64">
        <f t="shared" si="144"/>
        <v>79.84</v>
      </c>
      <c r="G227" s="55">
        <f t="shared" si="145"/>
        <v>8.641806137517527E-3</v>
      </c>
      <c r="H227" s="78">
        <f t="shared" si="164"/>
        <v>0.38202290228788288</v>
      </c>
      <c r="I227" s="79">
        <f t="shared" ca="1" si="146"/>
        <v>87444.303145524114</v>
      </c>
      <c r="J227" s="79">
        <f t="shared" ca="1" si="147"/>
        <v>596.50073379838659</v>
      </c>
      <c r="K227" s="80">
        <f t="shared" ca="1" si="148"/>
        <v>-7.6404580457576579</v>
      </c>
      <c r="L227" s="80">
        <f t="shared" ca="1" si="149"/>
        <v>0</v>
      </c>
      <c r="M227" s="80">
        <f t="shared" ca="1" si="150"/>
        <v>0</v>
      </c>
      <c r="N227" s="80">
        <f t="shared" ca="1" si="151"/>
        <v>0</v>
      </c>
      <c r="O227" s="81">
        <f t="shared" ca="1" si="134"/>
        <v>-6385.896598229705</v>
      </c>
      <c r="P227" s="79">
        <f t="shared" ca="1" si="135"/>
        <v>81647.26682304703</v>
      </c>
      <c r="Q227" s="35"/>
      <c r="R227">
        <f t="shared" ca="1" si="152"/>
        <v>224</v>
      </c>
      <c r="S227" s="78">
        <f t="shared" ca="1" si="153"/>
        <v>79.84</v>
      </c>
      <c r="T227" s="55">
        <f t="shared" ca="1" si="154"/>
        <v>8.641806137517527E-3</v>
      </c>
      <c r="U227" s="78">
        <f t="shared" ca="1" si="155"/>
        <v>0.38202290228788288</v>
      </c>
      <c r="V227" s="79">
        <f t="shared" ca="1" si="156"/>
        <v>87444.303145524114</v>
      </c>
      <c r="W227" s="79">
        <f t="shared" ca="1" si="136"/>
        <v>596.50073379838659</v>
      </c>
      <c r="X227" s="80">
        <f t="shared" ca="1" si="137"/>
        <v>-7.6404580457576579</v>
      </c>
      <c r="Y227" s="80">
        <f t="shared" ca="1" si="157"/>
        <v>0</v>
      </c>
      <c r="Z227" s="80">
        <f t="shared" ca="1" si="138"/>
        <v>0</v>
      </c>
      <c r="AA227" s="80">
        <f t="shared" ca="1" si="158"/>
        <v>0</v>
      </c>
      <c r="AB227" s="81">
        <f t="shared" ca="1" si="139"/>
        <v>-6385.896598229705</v>
      </c>
      <c r="AC227" s="79">
        <f t="shared" ca="1" si="140"/>
        <v>81647.26682304703</v>
      </c>
      <c r="AD227" s="35"/>
      <c r="AE227" s="62">
        <f t="shared" ca="1" si="141"/>
        <v>-16716.004616439077</v>
      </c>
      <c r="AF227" s="62">
        <f t="shared" ca="1" si="142"/>
        <v>213723.48708434161</v>
      </c>
      <c r="AG227" s="35"/>
      <c r="AH227" s="35"/>
      <c r="AR227" s="69">
        <f t="shared" si="159"/>
        <v>19</v>
      </c>
      <c r="AS227" s="70">
        <f t="shared" si="162"/>
        <v>224</v>
      </c>
      <c r="AT227" s="71">
        <f t="shared" si="163"/>
        <v>0.21583306717361714</v>
      </c>
      <c r="AU227" s="72">
        <f t="shared" si="143"/>
        <v>6.8214933659622723E-3</v>
      </c>
      <c r="AV227" s="73">
        <f t="shared" si="160"/>
        <v>1.0068214933659623</v>
      </c>
      <c r="AW227" s="74">
        <f>PRODUCT(AV$4:AV227)</f>
        <v>4.5851665217422672</v>
      </c>
    </row>
    <row r="228" spans="5:49">
      <c r="E228">
        <f t="shared" si="161"/>
        <v>225</v>
      </c>
      <c r="F228" s="64">
        <f t="shared" si="144"/>
        <v>79.92</v>
      </c>
      <c r="G228" s="55">
        <f t="shared" si="145"/>
        <v>8.641806137517527E-3</v>
      </c>
      <c r="H228" s="78">
        <f t="shared" si="164"/>
        <v>0.3787215344262192</v>
      </c>
      <c r="I228" s="79">
        <f t="shared" ca="1" si="146"/>
        <v>80941.686971504096</v>
      </c>
      <c r="J228" s="79">
        <f t="shared" ca="1" si="147"/>
        <v>552.14318070591003</v>
      </c>
      <c r="K228" s="80">
        <f t="shared" ca="1" si="148"/>
        <v>-7.5744306885243837</v>
      </c>
      <c r="L228" s="80">
        <f t="shared" ca="1" si="149"/>
        <v>0</v>
      </c>
      <c r="M228" s="80">
        <f t="shared" ca="1" si="150"/>
        <v>0</v>
      </c>
      <c r="N228" s="80">
        <f t="shared" ca="1" si="151"/>
        <v>0</v>
      </c>
      <c r="O228" s="81">
        <f t="shared" ca="1" si="134"/>
        <v>-6330.7109178135715</v>
      </c>
      <c r="P228" s="79">
        <f t="shared" ca="1" si="135"/>
        <v>75155.544803707919</v>
      </c>
      <c r="Q228" s="35"/>
      <c r="R228">
        <f t="shared" ca="1" si="152"/>
        <v>225</v>
      </c>
      <c r="S228" s="78">
        <f t="shared" ca="1" si="153"/>
        <v>79.92</v>
      </c>
      <c r="T228" s="55">
        <f t="shared" ca="1" si="154"/>
        <v>8.641806137517527E-3</v>
      </c>
      <c r="U228" s="78">
        <f t="shared" ca="1" si="155"/>
        <v>0.3787215344262192</v>
      </c>
      <c r="V228" s="79">
        <f t="shared" ca="1" si="156"/>
        <v>80941.686971504096</v>
      </c>
      <c r="W228" s="79">
        <f t="shared" ca="1" si="136"/>
        <v>552.14318070591003</v>
      </c>
      <c r="X228" s="80">
        <f t="shared" ca="1" si="137"/>
        <v>-7.5744306885243837</v>
      </c>
      <c r="Y228" s="80">
        <f t="shared" ca="1" si="157"/>
        <v>0</v>
      </c>
      <c r="Z228" s="80">
        <f t="shared" ca="1" si="138"/>
        <v>0</v>
      </c>
      <c r="AA228" s="80">
        <f t="shared" ca="1" si="158"/>
        <v>0</v>
      </c>
      <c r="AB228" s="81">
        <f t="shared" ca="1" si="139"/>
        <v>-6330.7109178135715</v>
      </c>
      <c r="AC228" s="79">
        <f t="shared" ca="1" si="140"/>
        <v>75155.544803707919</v>
      </c>
      <c r="AD228" s="35"/>
      <c r="AE228" s="62">
        <f t="shared" ca="1" si="141"/>
        <v>-16716.004616439077</v>
      </c>
      <c r="AF228" s="62">
        <f t="shared" ca="1" si="142"/>
        <v>198445.3958171987</v>
      </c>
      <c r="AG228" s="35"/>
      <c r="AH228" s="35"/>
      <c r="AR228" s="69">
        <f t="shared" si="159"/>
        <v>19</v>
      </c>
      <c r="AS228" s="70">
        <f t="shared" si="162"/>
        <v>225</v>
      </c>
      <c r="AT228" s="71">
        <f t="shared" si="163"/>
        <v>0.21436076333773701</v>
      </c>
      <c r="AU228" s="72">
        <f t="shared" si="143"/>
        <v>6.8214933659622723E-3</v>
      </c>
      <c r="AV228" s="73">
        <f t="shared" si="160"/>
        <v>1.0068214933659623</v>
      </c>
      <c r="AW228" s="74">
        <f>PRODUCT(AV$4:AV228)</f>
        <v>4.6164442047521641</v>
      </c>
    </row>
    <row r="229" spans="5:49">
      <c r="E229">
        <f t="shared" si="161"/>
        <v>226</v>
      </c>
      <c r="F229" s="64">
        <f t="shared" si="144"/>
        <v>80</v>
      </c>
      <c r="G229" s="55">
        <f t="shared" si="145"/>
        <v>8.641806137517527E-3</v>
      </c>
      <c r="H229" s="78">
        <f t="shared" si="164"/>
        <v>0.37544869634560463</v>
      </c>
      <c r="I229" s="79">
        <f t="shared" ca="1" si="146"/>
        <v>74506.065155354765</v>
      </c>
      <c r="J229" s="79">
        <f t="shared" ca="1" si="147"/>
        <v>508.24262918120536</v>
      </c>
      <c r="K229" s="80">
        <f t="shared" ca="1" si="148"/>
        <v>-7.508973926912093</v>
      </c>
      <c r="L229" s="80">
        <f t="shared" ca="1" si="149"/>
        <v>0</v>
      </c>
      <c r="M229" s="80">
        <f t="shared" ca="1" si="150"/>
        <v>0</v>
      </c>
      <c r="N229" s="80">
        <f t="shared" ca="1" si="151"/>
        <v>0</v>
      </c>
      <c r="O229" s="81">
        <f t="shared" ca="1" si="134"/>
        <v>-6276.0021413491604</v>
      </c>
      <c r="P229" s="79">
        <f t="shared" ca="1" si="135"/>
        <v>68730.796669259886</v>
      </c>
      <c r="Q229" s="35"/>
      <c r="R229">
        <f t="shared" ca="1" si="152"/>
        <v>226</v>
      </c>
      <c r="S229" s="78">
        <f t="shared" ca="1" si="153"/>
        <v>80</v>
      </c>
      <c r="T229" s="55">
        <f t="shared" ca="1" si="154"/>
        <v>8.641806137517527E-3</v>
      </c>
      <c r="U229" s="78">
        <f t="shared" ca="1" si="155"/>
        <v>0.37544869634560463</v>
      </c>
      <c r="V229" s="79">
        <f t="shared" ca="1" si="156"/>
        <v>74506.065155354765</v>
      </c>
      <c r="W229" s="79">
        <f t="shared" ca="1" si="136"/>
        <v>508.24262918120536</v>
      </c>
      <c r="X229" s="80">
        <f t="shared" ca="1" si="137"/>
        <v>-7.508973926912093</v>
      </c>
      <c r="Y229" s="80">
        <f t="shared" ca="1" si="157"/>
        <v>0</v>
      </c>
      <c r="Z229" s="80">
        <f t="shared" ca="1" si="138"/>
        <v>0</v>
      </c>
      <c r="AA229" s="80">
        <f t="shared" ca="1" si="158"/>
        <v>0</v>
      </c>
      <c r="AB229" s="81">
        <f t="shared" ca="1" si="139"/>
        <v>-6276.0021413491604</v>
      </c>
      <c r="AC229" s="79">
        <f t="shared" ca="1" si="140"/>
        <v>68730.796669259886</v>
      </c>
      <c r="AD229" s="35"/>
      <c r="AE229" s="62">
        <f t="shared" ca="1" si="141"/>
        <v>-16716.004616439077</v>
      </c>
      <c r="AF229" s="62">
        <f t="shared" ca="1" si="142"/>
        <v>183063.08515183241</v>
      </c>
      <c r="AG229" s="35"/>
      <c r="AH229" s="35"/>
      <c r="AR229" s="69">
        <f t="shared" si="159"/>
        <v>19</v>
      </c>
      <c r="AS229" s="70">
        <f t="shared" si="162"/>
        <v>226</v>
      </c>
      <c r="AT229" s="71">
        <f t="shared" si="163"/>
        <v>0.21289850281270603</v>
      </c>
      <c r="AU229" s="72">
        <f t="shared" si="143"/>
        <v>6.8214933659622723E-3</v>
      </c>
      <c r="AV229" s="73">
        <f t="shared" si="160"/>
        <v>1.0068214933659623</v>
      </c>
      <c r="AW229" s="74">
        <f>PRODUCT(AV$4:AV229)</f>
        <v>4.6479352482692162</v>
      </c>
    </row>
    <row r="230" spans="5:49">
      <c r="E230">
        <f t="shared" si="161"/>
        <v>227</v>
      </c>
      <c r="F230" s="64">
        <f t="shared" si="144"/>
        <v>80.08</v>
      </c>
      <c r="G230" s="55">
        <f t="shared" si="145"/>
        <v>8.641806137517527E-3</v>
      </c>
      <c r="H230" s="78">
        <f t="shared" si="164"/>
        <v>0.37220414149720221</v>
      </c>
      <c r="I230" s="79">
        <f t="shared" ca="1" si="146"/>
        <v>68136.838448767012</v>
      </c>
      <c r="J230" s="79">
        <f t="shared" ca="1" si="147"/>
        <v>464.79499145590728</v>
      </c>
      <c r="K230" s="80">
        <f t="shared" ca="1" si="148"/>
        <v>-7.444082829944044</v>
      </c>
      <c r="L230" s="80">
        <f t="shared" ca="1" si="149"/>
        <v>0</v>
      </c>
      <c r="M230" s="80">
        <f t="shared" ca="1" si="150"/>
        <v>0</v>
      </c>
      <c r="N230" s="80">
        <f t="shared" ca="1" si="151"/>
        <v>0</v>
      </c>
      <c r="O230" s="81">
        <f t="shared" ca="1" si="134"/>
        <v>-6221.7661475249761</v>
      </c>
      <c r="P230" s="79">
        <f t="shared" ca="1" si="135"/>
        <v>62372.423209868008</v>
      </c>
      <c r="Q230" s="35"/>
      <c r="R230">
        <f t="shared" ca="1" si="152"/>
        <v>227</v>
      </c>
      <c r="S230" s="78">
        <f t="shared" ca="1" si="153"/>
        <v>80.08</v>
      </c>
      <c r="T230" s="55">
        <f t="shared" ca="1" si="154"/>
        <v>8.641806137517527E-3</v>
      </c>
      <c r="U230" s="78">
        <f t="shared" ca="1" si="155"/>
        <v>0.37220414149720221</v>
      </c>
      <c r="V230" s="79">
        <f t="shared" ca="1" si="156"/>
        <v>68136.838448767012</v>
      </c>
      <c r="W230" s="79">
        <f t="shared" ca="1" si="136"/>
        <v>464.79499145590728</v>
      </c>
      <c r="X230" s="80">
        <f t="shared" ca="1" si="137"/>
        <v>-7.444082829944044</v>
      </c>
      <c r="Y230" s="80">
        <f t="shared" ca="1" si="157"/>
        <v>0</v>
      </c>
      <c r="Z230" s="80">
        <f t="shared" ca="1" si="138"/>
        <v>0</v>
      </c>
      <c r="AA230" s="80">
        <f t="shared" ca="1" si="158"/>
        <v>0</v>
      </c>
      <c r="AB230" s="81">
        <f t="shared" ca="1" si="139"/>
        <v>-6221.7661475249761</v>
      </c>
      <c r="AC230" s="79">
        <f t="shared" ca="1" si="140"/>
        <v>62372.423209868008</v>
      </c>
      <c r="AD230" s="35"/>
      <c r="AE230" s="62">
        <f t="shared" ca="1" si="141"/>
        <v>-16716.004616439077</v>
      </c>
      <c r="AF230" s="62">
        <f t="shared" ca="1" si="142"/>
        <v>167575.84415630918</v>
      </c>
      <c r="AG230" s="35"/>
      <c r="AH230" s="35"/>
      <c r="AR230" s="69">
        <f t="shared" si="159"/>
        <v>19</v>
      </c>
      <c r="AS230" s="70">
        <f t="shared" si="162"/>
        <v>227</v>
      </c>
      <c r="AT230" s="71">
        <f t="shared" si="163"/>
        <v>0.21144621708814584</v>
      </c>
      <c r="AU230" s="72">
        <f t="shared" si="143"/>
        <v>6.8214933659622723E-3</v>
      </c>
      <c r="AV230" s="73">
        <f t="shared" si="160"/>
        <v>1.0068214933659623</v>
      </c>
      <c r="AW230" s="74">
        <f>PRODUCT(AV$4:AV230)</f>
        <v>4.6796411077307072</v>
      </c>
    </row>
    <row r="231" spans="5:49">
      <c r="E231">
        <f t="shared" si="161"/>
        <v>228</v>
      </c>
      <c r="F231" s="64">
        <f t="shared" si="144"/>
        <v>80.16</v>
      </c>
      <c r="G231" s="55">
        <f t="shared" si="145"/>
        <v>8.641806137517527E-3</v>
      </c>
      <c r="H231" s="78">
        <f t="shared" si="164"/>
        <v>0.36898762546280223</v>
      </c>
      <c r="I231" s="79">
        <f t="shared" ca="1" si="146"/>
        <v>61833.412820161131</v>
      </c>
      <c r="J231" s="79">
        <f t="shared" ca="1" si="147"/>
        <v>421.79621534753568</v>
      </c>
      <c r="K231" s="80">
        <f t="shared" ca="1" si="148"/>
        <v>-7.3797525092560443</v>
      </c>
      <c r="L231" s="80">
        <f t="shared" ca="1" si="149"/>
        <v>0</v>
      </c>
      <c r="M231" s="80">
        <f t="shared" ca="1" si="150"/>
        <v>0</v>
      </c>
      <c r="N231" s="80">
        <f t="shared" ca="1" si="151"/>
        <v>0</v>
      </c>
      <c r="O231" s="81">
        <f t="shared" ca="1" si="134"/>
        <v>-6167.9988506450964</v>
      </c>
      <c r="P231" s="79">
        <f t="shared" ca="1" si="135"/>
        <v>56079.830432354313</v>
      </c>
      <c r="Q231" s="35"/>
      <c r="R231">
        <f t="shared" ca="1" si="152"/>
        <v>228</v>
      </c>
      <c r="S231" s="78">
        <f t="shared" ca="1" si="153"/>
        <v>80.16</v>
      </c>
      <c r="T231" s="55">
        <f t="shared" ca="1" si="154"/>
        <v>8.641806137517527E-3</v>
      </c>
      <c r="U231" s="78">
        <f t="shared" ca="1" si="155"/>
        <v>0.36898762546280223</v>
      </c>
      <c r="V231" s="79">
        <f t="shared" ca="1" si="156"/>
        <v>61833.412820161131</v>
      </c>
      <c r="W231" s="79">
        <f t="shared" ca="1" si="136"/>
        <v>421.79621534753568</v>
      </c>
      <c r="X231" s="80">
        <f t="shared" ca="1" si="137"/>
        <v>-7.3797525092560443</v>
      </c>
      <c r="Y231" s="80">
        <f t="shared" ca="1" si="157"/>
        <v>0</v>
      </c>
      <c r="Z231" s="80">
        <f t="shared" ca="1" si="138"/>
        <v>0</v>
      </c>
      <c r="AA231" s="80">
        <f t="shared" ca="1" si="158"/>
        <v>0</v>
      </c>
      <c r="AB231" s="81">
        <f t="shared" ca="1" si="139"/>
        <v>-6167.9988506450964</v>
      </c>
      <c r="AC231" s="79">
        <f t="shared" ca="1" si="140"/>
        <v>56079.830432354313</v>
      </c>
      <c r="AD231" s="35"/>
      <c r="AE231" s="62">
        <f t="shared" ca="1" si="141"/>
        <v>-16716.004616439081</v>
      </c>
      <c r="AF231" s="62">
        <f t="shared" ca="1" si="142"/>
        <v>151982.9570490779</v>
      </c>
      <c r="AG231" s="35"/>
      <c r="AH231" s="35"/>
      <c r="AR231" s="69">
        <f t="shared" si="159"/>
        <v>19</v>
      </c>
      <c r="AS231" s="70">
        <f t="shared" si="162"/>
        <v>228</v>
      </c>
      <c r="AT231" s="71">
        <f t="shared" si="163"/>
        <v>0.21000383812102125</v>
      </c>
      <c r="AU231" s="72">
        <f t="shared" si="143"/>
        <v>6.8214933659622723E-3</v>
      </c>
      <c r="AV231" s="73">
        <f t="shared" si="160"/>
        <v>1.0068214933659623</v>
      </c>
      <c r="AW231" s="74">
        <f>PRODUCT(AV$4:AV231)</f>
        <v>4.7115632485021761</v>
      </c>
    </row>
    <row r="232" spans="5:49">
      <c r="E232">
        <f t="shared" si="161"/>
        <v>229</v>
      </c>
      <c r="F232" s="64">
        <f t="shared" si="144"/>
        <v>80.239999999999995</v>
      </c>
      <c r="G232" s="55">
        <f t="shared" si="145"/>
        <v>8.641806137517527E-3</v>
      </c>
      <c r="H232" s="78">
        <f t="shared" si="164"/>
        <v>0.36579890593640979</v>
      </c>
      <c r="I232" s="79">
        <f t="shared" ca="1" si="146"/>
        <v>55595.199409533052</v>
      </c>
      <c r="J232" s="79">
        <f t="shared" ca="1" si="147"/>
        <v>379.24228395147935</v>
      </c>
      <c r="K232" s="80">
        <f t="shared" ca="1" si="148"/>
        <v>-7.3159781187281956</v>
      </c>
      <c r="L232" s="80">
        <f t="shared" ca="1" si="149"/>
        <v>0</v>
      </c>
      <c r="M232" s="80">
        <f t="shared" ca="1" si="150"/>
        <v>0</v>
      </c>
      <c r="N232" s="80">
        <f t="shared" ca="1" si="151"/>
        <v>0</v>
      </c>
      <c r="O232" s="81">
        <f t="shared" ca="1" si="134"/>
        <v>-6114.6962003213894</v>
      </c>
      <c r="P232" s="79">
        <f t="shared" ca="1" si="135"/>
        <v>49852.429515044409</v>
      </c>
      <c r="Q232" s="35"/>
      <c r="R232">
        <f t="shared" ca="1" si="152"/>
        <v>229</v>
      </c>
      <c r="S232" s="78">
        <f t="shared" ca="1" si="153"/>
        <v>80.239999999999995</v>
      </c>
      <c r="T232" s="55">
        <f t="shared" ca="1" si="154"/>
        <v>8.641806137517527E-3</v>
      </c>
      <c r="U232" s="78">
        <f t="shared" ca="1" si="155"/>
        <v>0.36579890593640979</v>
      </c>
      <c r="V232" s="79">
        <f t="shared" ca="1" si="156"/>
        <v>55595.199409533052</v>
      </c>
      <c r="W232" s="79">
        <f t="shared" ca="1" si="136"/>
        <v>379.24228395147935</v>
      </c>
      <c r="X232" s="80">
        <f t="shared" ca="1" si="137"/>
        <v>-7.3159781187281956</v>
      </c>
      <c r="Y232" s="80">
        <f t="shared" ca="1" si="157"/>
        <v>0</v>
      </c>
      <c r="Z232" s="80">
        <f t="shared" ca="1" si="138"/>
        <v>0</v>
      </c>
      <c r="AA232" s="80">
        <f t="shared" ca="1" si="158"/>
        <v>0</v>
      </c>
      <c r="AB232" s="81">
        <f t="shared" ca="1" si="139"/>
        <v>-6114.6962003213894</v>
      </c>
      <c r="AC232" s="79">
        <f t="shared" ca="1" si="140"/>
        <v>49852.429515044409</v>
      </c>
      <c r="AD232" s="35"/>
      <c r="AE232" s="62">
        <f t="shared" ca="1" si="141"/>
        <v>-16716.004616439077</v>
      </c>
      <c r="AF232" s="62">
        <f t="shared" ca="1" si="142"/>
        <v>136283.70316588841</v>
      </c>
      <c r="AG232" s="35"/>
      <c r="AH232" s="35"/>
      <c r="AR232" s="69">
        <f t="shared" si="159"/>
        <v>20</v>
      </c>
      <c r="AS232" s="70">
        <f t="shared" si="162"/>
        <v>229</v>
      </c>
      <c r="AT232" s="71">
        <f t="shared" si="163"/>
        <v>0.20857129833245208</v>
      </c>
      <c r="AU232" s="72">
        <f t="shared" si="143"/>
        <v>6.8214933659622723E-3</v>
      </c>
      <c r="AV232" s="73">
        <f t="shared" si="160"/>
        <v>1.0068214933659623</v>
      </c>
      <c r="AW232" s="74">
        <f>PRODUCT(AV$4:AV232)</f>
        <v>4.7437031459451457</v>
      </c>
    </row>
    <row r="233" spans="5:49">
      <c r="E233">
        <f t="shared" si="161"/>
        <v>230</v>
      </c>
      <c r="F233" s="64">
        <f t="shared" si="144"/>
        <v>80.319999999999993</v>
      </c>
      <c r="G233" s="55">
        <f t="shared" si="145"/>
        <v>8.641806137517527E-3</v>
      </c>
      <c r="H233" s="78">
        <f t="shared" si="164"/>
        <v>0.36263774270599131</v>
      </c>
      <c r="I233" s="79">
        <f t="shared" ca="1" si="146"/>
        <v>49421.614483691141</v>
      </c>
      <c r="J233" s="79">
        <f t="shared" ca="1" si="147"/>
        <v>337.12921533564406</v>
      </c>
      <c r="K233" s="80">
        <f t="shared" ca="1" si="148"/>
        <v>-7.2527548541198259</v>
      </c>
      <c r="L233" s="80">
        <f t="shared" ca="1" si="149"/>
        <v>0</v>
      </c>
      <c r="M233" s="80">
        <f t="shared" ca="1" si="150"/>
        <v>0</v>
      </c>
      <c r="N233" s="80">
        <f t="shared" ca="1" si="151"/>
        <v>0</v>
      </c>
      <c r="O233" s="81">
        <f t="shared" ca="1" si="134"/>
        <v>-6061.8541811683972</v>
      </c>
      <c r="P233" s="79">
        <f t="shared" ca="1" si="135"/>
        <v>43689.636763004266</v>
      </c>
      <c r="Q233" s="35"/>
      <c r="R233">
        <f t="shared" ca="1" si="152"/>
        <v>230</v>
      </c>
      <c r="S233" s="78">
        <f t="shared" ca="1" si="153"/>
        <v>80.319999999999993</v>
      </c>
      <c r="T233" s="55">
        <f t="shared" ca="1" si="154"/>
        <v>8.641806137517527E-3</v>
      </c>
      <c r="U233" s="78">
        <f t="shared" ca="1" si="155"/>
        <v>0.36263774270599131</v>
      </c>
      <c r="V233" s="79">
        <f t="shared" ca="1" si="156"/>
        <v>49421.614483691141</v>
      </c>
      <c r="W233" s="79">
        <f t="shared" ca="1" si="136"/>
        <v>337.12921533564406</v>
      </c>
      <c r="X233" s="80">
        <f t="shared" ca="1" si="137"/>
        <v>-7.2527548541198259</v>
      </c>
      <c r="Y233" s="80">
        <f t="shared" ca="1" si="157"/>
        <v>0</v>
      </c>
      <c r="Z233" s="80">
        <f t="shared" ca="1" si="138"/>
        <v>0</v>
      </c>
      <c r="AA233" s="80">
        <f t="shared" ca="1" si="158"/>
        <v>0</v>
      </c>
      <c r="AB233" s="81">
        <f t="shared" ca="1" si="139"/>
        <v>-6061.8541811683972</v>
      </c>
      <c r="AC233" s="79">
        <f t="shared" ca="1" si="140"/>
        <v>43689.636763004266</v>
      </c>
      <c r="AD233" s="35"/>
      <c r="AE233" s="62">
        <f t="shared" ca="1" si="141"/>
        <v>-16716.004616439077</v>
      </c>
      <c r="AF233" s="62">
        <f t="shared" ca="1" si="142"/>
        <v>120477.35692648422</v>
      </c>
      <c r="AG233" s="35"/>
      <c r="AH233" s="35"/>
      <c r="AR233" s="69">
        <f t="shared" si="159"/>
        <v>20</v>
      </c>
      <c r="AS233" s="70">
        <f t="shared" si="162"/>
        <v>230</v>
      </c>
      <c r="AT233" s="71">
        <f t="shared" si="163"/>
        <v>0.20714853060454713</v>
      </c>
      <c r="AU233" s="72">
        <f t="shared" si="143"/>
        <v>6.8214933659622723E-3</v>
      </c>
      <c r="AV233" s="73">
        <f t="shared" si="160"/>
        <v>1.0068214933659623</v>
      </c>
      <c r="AW233" s="74">
        <f>PRODUCT(AV$4:AV233)</f>
        <v>4.7760622854853052</v>
      </c>
    </row>
    <row r="234" spans="5:49">
      <c r="E234">
        <f t="shared" si="161"/>
        <v>231</v>
      </c>
      <c r="F234" s="64">
        <f t="shared" si="144"/>
        <v>80.400000000000006</v>
      </c>
      <c r="G234" s="55">
        <f t="shared" si="145"/>
        <v>8.641806137517527E-3</v>
      </c>
      <c r="H234" s="78">
        <f t="shared" si="164"/>
        <v>0.35950389763537915</v>
      </c>
      <c r="I234" s="79">
        <f t="shared" ca="1" si="146"/>
        <v>43312.079391879823</v>
      </c>
      <c r="J234" s="79">
        <f t="shared" ca="1" si="147"/>
        <v>295.45306223773946</v>
      </c>
      <c r="K234" s="80">
        <f t="shared" ca="1" si="148"/>
        <v>-7.1900779527075827</v>
      </c>
      <c r="L234" s="80">
        <f t="shared" ca="1" si="149"/>
        <v>0</v>
      </c>
      <c r="M234" s="80">
        <f t="shared" ca="1" si="150"/>
        <v>0</v>
      </c>
      <c r="N234" s="80">
        <f t="shared" ca="1" si="151"/>
        <v>0</v>
      </c>
      <c r="O234" s="81">
        <f t="shared" ca="1" si="134"/>
        <v>-6009.4688125008397</v>
      </c>
      <c r="P234" s="79">
        <f t="shared" ca="1" si="135"/>
        <v>37590.873563664019</v>
      </c>
      <c r="Q234" s="35"/>
      <c r="R234">
        <f t="shared" ca="1" si="152"/>
        <v>231</v>
      </c>
      <c r="S234" s="78">
        <f t="shared" ca="1" si="153"/>
        <v>80.400000000000006</v>
      </c>
      <c r="T234" s="55">
        <f t="shared" ca="1" si="154"/>
        <v>8.641806137517527E-3</v>
      </c>
      <c r="U234" s="78">
        <f t="shared" ca="1" si="155"/>
        <v>0.35950389763537915</v>
      </c>
      <c r="V234" s="79">
        <f t="shared" ca="1" si="156"/>
        <v>43312.079391879823</v>
      </c>
      <c r="W234" s="79">
        <f t="shared" ca="1" si="136"/>
        <v>295.45306223773946</v>
      </c>
      <c r="X234" s="80">
        <f t="shared" ca="1" si="137"/>
        <v>-7.1900779527075827</v>
      </c>
      <c r="Y234" s="80">
        <f t="shared" ca="1" si="157"/>
        <v>0</v>
      </c>
      <c r="Z234" s="80">
        <f t="shared" ca="1" si="138"/>
        <v>0</v>
      </c>
      <c r="AA234" s="80">
        <f t="shared" ca="1" si="158"/>
        <v>0</v>
      </c>
      <c r="AB234" s="81">
        <f t="shared" ca="1" si="139"/>
        <v>-6009.4688125008397</v>
      </c>
      <c r="AC234" s="79">
        <f t="shared" ca="1" si="140"/>
        <v>37590.873563664019</v>
      </c>
      <c r="AD234" s="35"/>
      <c r="AE234" s="62">
        <f t="shared" ca="1" si="141"/>
        <v>-16716.004616439077</v>
      </c>
      <c r="AF234" s="62">
        <f t="shared" ca="1" si="142"/>
        <v>104563.18780106783</v>
      </c>
      <c r="AG234" s="35"/>
      <c r="AH234" s="35"/>
      <c r="AR234" s="69">
        <f t="shared" si="159"/>
        <v>20</v>
      </c>
      <c r="AS234" s="70">
        <f t="shared" si="162"/>
        <v>231</v>
      </c>
      <c r="AT234" s="71">
        <f t="shared" si="163"/>
        <v>0.20573546827725939</v>
      </c>
      <c r="AU234" s="72">
        <f t="shared" si="143"/>
        <v>6.8214933659622723E-3</v>
      </c>
      <c r="AV234" s="73">
        <f t="shared" si="160"/>
        <v>1.0068214933659623</v>
      </c>
      <c r="AW234" s="74">
        <f>PRODUCT(AV$4:AV234)</f>
        <v>4.8086421626811662</v>
      </c>
    </row>
    <row r="235" spans="5:49">
      <c r="E235">
        <f t="shared" si="161"/>
        <v>232</v>
      </c>
      <c r="F235" s="64">
        <f t="shared" si="144"/>
        <v>80.48</v>
      </c>
      <c r="G235" s="55">
        <f t="shared" si="145"/>
        <v>8.641806137517527E-3</v>
      </c>
      <c r="H235" s="78">
        <f t="shared" si="164"/>
        <v>0.35639713464633227</v>
      </c>
      <c r="I235" s="79">
        <f t="shared" ca="1" si="146"/>
        <v>37266.020521786901</v>
      </c>
      <c r="J235" s="79">
        <f t="shared" ca="1" si="147"/>
        <v>254.20991176518325</v>
      </c>
      <c r="K235" s="80">
        <f t="shared" ca="1" si="148"/>
        <v>-7.127942692926645</v>
      </c>
      <c r="L235" s="80">
        <f t="shared" ca="1" si="149"/>
        <v>0</v>
      </c>
      <c r="M235" s="80">
        <f t="shared" ca="1" si="150"/>
        <v>0</v>
      </c>
      <c r="N235" s="80">
        <f t="shared" ca="1" si="151"/>
        <v>0</v>
      </c>
      <c r="O235" s="81">
        <f t="shared" ca="1" si="134"/>
        <v>-5957.5361480337497</v>
      </c>
      <c r="P235" s="79">
        <f t="shared" ca="1" si="135"/>
        <v>31555.566342825408</v>
      </c>
      <c r="Q235" s="35"/>
      <c r="R235">
        <f t="shared" ca="1" si="152"/>
        <v>232</v>
      </c>
      <c r="S235" s="78">
        <f t="shared" ca="1" si="153"/>
        <v>80.48</v>
      </c>
      <c r="T235" s="55">
        <f t="shared" ca="1" si="154"/>
        <v>8.641806137517527E-3</v>
      </c>
      <c r="U235" s="78">
        <f t="shared" ca="1" si="155"/>
        <v>0.35639713464633227</v>
      </c>
      <c r="V235" s="79">
        <f t="shared" ca="1" si="156"/>
        <v>37266.020521786901</v>
      </c>
      <c r="W235" s="79">
        <f t="shared" ca="1" si="136"/>
        <v>254.20991176518325</v>
      </c>
      <c r="X235" s="80">
        <f t="shared" ca="1" si="137"/>
        <v>-7.127942692926645</v>
      </c>
      <c r="Y235" s="80">
        <f t="shared" ca="1" si="157"/>
        <v>0</v>
      </c>
      <c r="Z235" s="80">
        <f t="shared" ca="1" si="138"/>
        <v>0</v>
      </c>
      <c r="AA235" s="80">
        <f t="shared" ca="1" si="158"/>
        <v>0</v>
      </c>
      <c r="AB235" s="81">
        <f t="shared" ca="1" si="139"/>
        <v>-5957.5361480337497</v>
      </c>
      <c r="AC235" s="79">
        <f t="shared" ca="1" si="140"/>
        <v>31555.566342825408</v>
      </c>
      <c r="AD235" s="35"/>
      <c r="AE235" s="62">
        <f t="shared" ca="1" si="141"/>
        <v>-16716.004616439077</v>
      </c>
      <c r="AF235" s="62">
        <f t="shared" ca="1" si="142"/>
        <v>88540.460276537604</v>
      </c>
      <c r="AG235" s="35"/>
      <c r="AH235" s="35"/>
      <c r="AR235" s="69">
        <f t="shared" si="159"/>
        <v>20</v>
      </c>
      <c r="AS235" s="70">
        <f t="shared" si="162"/>
        <v>232</v>
      </c>
      <c r="AT235" s="71">
        <f t="shared" si="163"/>
        <v>0.20433204514526293</v>
      </c>
      <c r="AU235" s="72">
        <f t="shared" si="143"/>
        <v>6.8214933659622723E-3</v>
      </c>
      <c r="AV235" s="73">
        <f t="shared" si="160"/>
        <v>1.0068214933659623</v>
      </c>
      <c r="AW235" s="74">
        <f>PRODUCT(AV$4:AV235)</f>
        <v>4.8414442832931819</v>
      </c>
    </row>
    <row r="236" spans="5:49">
      <c r="E236">
        <f t="shared" si="161"/>
        <v>233</v>
      </c>
      <c r="F236" s="64">
        <f t="shared" si="144"/>
        <v>80.56</v>
      </c>
      <c r="G236" s="55">
        <f t="shared" si="145"/>
        <v>9.4522381300610192E-3</v>
      </c>
      <c r="H236" s="78">
        <f t="shared" si="164"/>
        <v>0.35302838406078374</v>
      </c>
      <c r="I236" s="79">
        <f t="shared" ca="1" si="146"/>
        <v>31257.295615424086</v>
      </c>
      <c r="J236" s="79">
        <f t="shared" ca="1" si="147"/>
        <v>213.22143467853701</v>
      </c>
      <c r="K236" s="80">
        <f t="shared" ca="1" si="148"/>
        <v>-7.0605676812156748</v>
      </c>
      <c r="L236" s="80">
        <f t="shared" ca="1" si="149"/>
        <v>0</v>
      </c>
      <c r="M236" s="80">
        <f t="shared" ca="1" si="150"/>
        <v>0</v>
      </c>
      <c r="N236" s="80">
        <f t="shared" ca="1" si="151"/>
        <v>0</v>
      </c>
      <c r="O236" s="81">
        <f t="shared" ca="1" si="134"/>
        <v>-5901.2240976940884</v>
      </c>
      <c r="P236" s="79">
        <f t="shared" ca="1" si="135"/>
        <v>25562.232384727318</v>
      </c>
      <c r="Q236" s="35"/>
      <c r="R236">
        <f t="shared" ca="1" si="152"/>
        <v>233</v>
      </c>
      <c r="S236" s="78">
        <f t="shared" ca="1" si="153"/>
        <v>80.56</v>
      </c>
      <c r="T236" s="55">
        <f t="shared" ca="1" si="154"/>
        <v>9.4522381300610192E-3</v>
      </c>
      <c r="U236" s="78">
        <f t="shared" ca="1" si="155"/>
        <v>0.35302838406078374</v>
      </c>
      <c r="V236" s="79">
        <f t="shared" ca="1" si="156"/>
        <v>31257.295615424086</v>
      </c>
      <c r="W236" s="79">
        <f t="shared" ca="1" si="136"/>
        <v>213.22143467853701</v>
      </c>
      <c r="X236" s="80">
        <f t="shared" ca="1" si="137"/>
        <v>-7.0605676812156748</v>
      </c>
      <c r="Y236" s="80">
        <f t="shared" ca="1" si="157"/>
        <v>0</v>
      </c>
      <c r="Z236" s="80">
        <f t="shared" ca="1" si="138"/>
        <v>0</v>
      </c>
      <c r="AA236" s="80">
        <f t="shared" ca="1" si="158"/>
        <v>0</v>
      </c>
      <c r="AB236" s="81">
        <f t="shared" ca="1" si="139"/>
        <v>-5901.2240976940884</v>
      </c>
      <c r="AC236" s="79">
        <f t="shared" ca="1" si="140"/>
        <v>25562.232384727318</v>
      </c>
      <c r="AD236" s="35"/>
      <c r="AE236" s="62">
        <f t="shared" ca="1" si="141"/>
        <v>-16716.004616439077</v>
      </c>
      <c r="AF236" s="62">
        <f t="shared" ca="1" si="142"/>
        <v>72408.433822494175</v>
      </c>
      <c r="AG236" s="35"/>
      <c r="AH236" s="35"/>
      <c r="AR236" s="69">
        <f t="shared" si="159"/>
        <v>20</v>
      </c>
      <c r="AS236" s="70">
        <f t="shared" si="162"/>
        <v>233</v>
      </c>
      <c r="AT236" s="71">
        <f t="shared" si="163"/>
        <v>0.20293819545485101</v>
      </c>
      <c r="AU236" s="72">
        <f t="shared" si="143"/>
        <v>6.8214933659622723E-3</v>
      </c>
      <c r="AV236" s="73">
        <f t="shared" si="160"/>
        <v>1.0068214933659623</v>
      </c>
      <c r="AW236" s="74">
        <f>PRODUCT(AV$4:AV236)</f>
        <v>4.874470163353342</v>
      </c>
    </row>
    <row r="237" spans="5:49">
      <c r="E237">
        <f t="shared" si="161"/>
        <v>234</v>
      </c>
      <c r="F237" s="64">
        <f t="shared" si="144"/>
        <v>80.64</v>
      </c>
      <c r="G237" s="55">
        <f t="shared" si="145"/>
        <v>9.4522381300610192E-3</v>
      </c>
      <c r="H237" s="78">
        <f t="shared" si="164"/>
        <v>0.3496914757079706</v>
      </c>
      <c r="I237" s="79">
        <f t="shared" ca="1" si="146"/>
        <v>25320.612077090918</v>
      </c>
      <c r="J237" s="79">
        <f t="shared" ca="1" si="147"/>
        <v>172.72438730597989</v>
      </c>
      <c r="K237" s="80">
        <f t="shared" ca="1" si="148"/>
        <v>-6.9938295141594118</v>
      </c>
      <c r="L237" s="80">
        <f t="shared" ca="1" si="149"/>
        <v>0</v>
      </c>
      <c r="M237" s="80">
        <f t="shared" ca="1" si="150"/>
        <v>0</v>
      </c>
      <c r="N237" s="80">
        <f t="shared" ca="1" si="151"/>
        <v>0</v>
      </c>
      <c r="O237" s="81">
        <f t="shared" ca="1" si="134"/>
        <v>-5845.4443222638301</v>
      </c>
      <c r="P237" s="79">
        <f t="shared" ca="1" si="135"/>
        <v>19640.898312618912</v>
      </c>
      <c r="Q237" s="35"/>
      <c r="R237">
        <f t="shared" ca="1" si="152"/>
        <v>234</v>
      </c>
      <c r="S237" s="78">
        <f t="shared" ca="1" si="153"/>
        <v>80.64</v>
      </c>
      <c r="T237" s="55">
        <f t="shared" ca="1" si="154"/>
        <v>9.4522381300610192E-3</v>
      </c>
      <c r="U237" s="78">
        <f t="shared" ca="1" si="155"/>
        <v>0.3496914757079706</v>
      </c>
      <c r="V237" s="79">
        <f t="shared" ca="1" si="156"/>
        <v>25320.612077090918</v>
      </c>
      <c r="W237" s="79">
        <f t="shared" ca="1" si="136"/>
        <v>172.72438730597989</v>
      </c>
      <c r="X237" s="80">
        <f t="shared" ca="1" si="137"/>
        <v>-6.9938295141594118</v>
      </c>
      <c r="Y237" s="80">
        <f t="shared" ca="1" si="157"/>
        <v>0</v>
      </c>
      <c r="Z237" s="80">
        <f t="shared" ca="1" si="138"/>
        <v>0</v>
      </c>
      <c r="AA237" s="80">
        <f t="shared" ca="1" si="158"/>
        <v>0</v>
      </c>
      <c r="AB237" s="81">
        <f t="shared" ca="1" si="139"/>
        <v>-5845.4443222638301</v>
      </c>
      <c r="AC237" s="79">
        <f t="shared" ca="1" si="140"/>
        <v>19640.898312618912</v>
      </c>
      <c r="AD237" s="35"/>
      <c r="AE237" s="62">
        <f t="shared" ca="1" si="141"/>
        <v>-16716.004616439077</v>
      </c>
      <c r="AF237" s="62">
        <f t="shared" ca="1" si="142"/>
        <v>56166.362857014967</v>
      </c>
      <c r="AG237" s="35"/>
      <c r="AH237" s="35"/>
      <c r="AR237" s="69">
        <f t="shared" si="159"/>
        <v>20</v>
      </c>
      <c r="AS237" s="70">
        <f t="shared" si="162"/>
        <v>234</v>
      </c>
      <c r="AT237" s="71">
        <f t="shared" si="163"/>
        <v>0.2015538539008554</v>
      </c>
      <c r="AU237" s="72">
        <f t="shared" si="143"/>
        <v>6.8214933659622723E-3</v>
      </c>
      <c r="AV237" s="73">
        <f t="shared" si="160"/>
        <v>1.0068214933659623</v>
      </c>
      <c r="AW237" s="74">
        <f>PRODUCT(AV$4:AV237)</f>
        <v>4.9077213292352377</v>
      </c>
    </row>
    <row r="238" spans="5:49">
      <c r="E238">
        <f t="shared" si="161"/>
        <v>235</v>
      </c>
      <c r="F238" s="64">
        <f t="shared" si="144"/>
        <v>80.72</v>
      </c>
      <c r="G238" s="55">
        <f t="shared" si="145"/>
        <v>9.4522381300610192E-3</v>
      </c>
      <c r="H238" s="78">
        <f t="shared" si="164"/>
        <v>0.34638610860752639</v>
      </c>
      <c r="I238" s="79">
        <f t="shared" ca="1" si="146"/>
        <v>19455.247864679724</v>
      </c>
      <c r="J238" s="79">
        <f t="shared" ca="1" si="147"/>
        <v>132.7138442420644</v>
      </c>
      <c r="K238" s="80">
        <f t="shared" ca="1" si="148"/>
        <v>-6.9277221721505278</v>
      </c>
      <c r="L238" s="80">
        <f t="shared" ca="1" si="149"/>
        <v>0</v>
      </c>
      <c r="M238" s="80">
        <f t="shared" ca="1" si="150"/>
        <v>0</v>
      </c>
      <c r="N238" s="80">
        <f t="shared" ca="1" si="151"/>
        <v>0</v>
      </c>
      <c r="O238" s="81">
        <f t="shared" ca="1" si="134"/>
        <v>-5790.1917905537784</v>
      </c>
      <c r="P238" s="79">
        <f t="shared" ca="1" si="135"/>
        <v>13790.842196195863</v>
      </c>
      <c r="Q238" s="35"/>
      <c r="R238">
        <f t="shared" ca="1" si="152"/>
        <v>235</v>
      </c>
      <c r="S238" s="78">
        <f t="shared" ca="1" si="153"/>
        <v>80.72</v>
      </c>
      <c r="T238" s="55">
        <f t="shared" ca="1" si="154"/>
        <v>9.4522381300610192E-3</v>
      </c>
      <c r="U238" s="78">
        <f t="shared" ca="1" si="155"/>
        <v>0.34638610860752639</v>
      </c>
      <c r="V238" s="79">
        <f t="shared" ca="1" si="156"/>
        <v>19455.247864679724</v>
      </c>
      <c r="W238" s="79">
        <f t="shared" ca="1" si="136"/>
        <v>132.7138442420644</v>
      </c>
      <c r="X238" s="80">
        <f t="shared" ca="1" si="137"/>
        <v>-6.9277221721505278</v>
      </c>
      <c r="Y238" s="80">
        <f t="shared" ca="1" si="157"/>
        <v>0</v>
      </c>
      <c r="Z238" s="80">
        <f t="shared" ca="1" si="138"/>
        <v>0</v>
      </c>
      <c r="AA238" s="80">
        <f t="shared" ca="1" si="158"/>
        <v>0</v>
      </c>
      <c r="AB238" s="81">
        <f t="shared" ca="1" si="139"/>
        <v>-5790.1917905537784</v>
      </c>
      <c r="AC238" s="79">
        <f t="shared" ca="1" si="140"/>
        <v>13790.842196195863</v>
      </c>
      <c r="AD238" s="35"/>
      <c r="AE238" s="62">
        <f t="shared" ca="1" si="141"/>
        <v>-16716.004616439077</v>
      </c>
      <c r="AF238" s="62">
        <f t="shared" ca="1" si="142"/>
        <v>39813.496712195265</v>
      </c>
      <c r="AG238" s="35"/>
      <c r="AH238" s="35"/>
      <c r="AR238" s="69">
        <f t="shared" si="159"/>
        <v>20</v>
      </c>
      <c r="AS238" s="70">
        <f t="shared" si="162"/>
        <v>235</v>
      </c>
      <c r="AT238" s="71">
        <f t="shared" si="163"/>
        <v>0.20017895562358659</v>
      </c>
      <c r="AU238" s="72">
        <f t="shared" si="143"/>
        <v>6.8214933659622723E-3</v>
      </c>
      <c r="AV238" s="73">
        <f t="shared" si="160"/>
        <v>1.0068214933659623</v>
      </c>
      <c r="AW238" s="74">
        <f>PRODUCT(AV$4:AV238)</f>
        <v>4.9411993177246076</v>
      </c>
    </row>
    <row r="239" spans="5:49">
      <c r="E239">
        <f t="shared" si="161"/>
        <v>236</v>
      </c>
      <c r="F239" s="64">
        <f t="shared" si="144"/>
        <v>80.8</v>
      </c>
      <c r="G239" s="55">
        <f t="shared" si="145"/>
        <v>9.4522381300610192E-3</v>
      </c>
      <c r="H239" s="78">
        <f t="shared" si="164"/>
        <v>0.34311198462402287</v>
      </c>
      <c r="I239" s="79">
        <f t="shared" ca="1" si="146"/>
        <v>13660.487871743326</v>
      </c>
      <c r="J239" s="79">
        <f t="shared" ca="1" si="147"/>
        <v>93.18492739290518</v>
      </c>
      <c r="K239" s="80">
        <f t="shared" ca="1" si="148"/>
        <v>-6.8622396924804576</v>
      </c>
      <c r="L239" s="80">
        <f t="shared" ca="1" si="149"/>
        <v>0</v>
      </c>
      <c r="M239" s="80">
        <f t="shared" ca="1" si="150"/>
        <v>0</v>
      </c>
      <c r="N239" s="80">
        <f t="shared" ca="1" si="151"/>
        <v>0</v>
      </c>
      <c r="O239" s="81">
        <f t="shared" ca="1" si="134"/>
        <v>-5735.4615189307406</v>
      </c>
      <c r="P239" s="79">
        <f t="shared" ca="1" si="135"/>
        <v>8011.3490405130106</v>
      </c>
      <c r="Q239" s="35"/>
      <c r="R239">
        <f t="shared" ca="1" si="152"/>
        <v>236</v>
      </c>
      <c r="S239" s="78">
        <f t="shared" ca="1" si="153"/>
        <v>80.8</v>
      </c>
      <c r="T239" s="55">
        <f t="shared" ca="1" si="154"/>
        <v>9.4522381300610192E-3</v>
      </c>
      <c r="U239" s="78">
        <f t="shared" ca="1" si="155"/>
        <v>0.34311198462402287</v>
      </c>
      <c r="V239" s="79">
        <f t="shared" ca="1" si="156"/>
        <v>13660.487871743326</v>
      </c>
      <c r="W239" s="79">
        <f t="shared" ca="1" si="136"/>
        <v>93.18492739290518</v>
      </c>
      <c r="X239" s="80">
        <f t="shared" ca="1" si="137"/>
        <v>-6.8622396924804576</v>
      </c>
      <c r="Y239" s="80">
        <f t="shared" ca="1" si="157"/>
        <v>0</v>
      </c>
      <c r="Z239" s="80">
        <f t="shared" ca="1" si="138"/>
        <v>0</v>
      </c>
      <c r="AA239" s="80">
        <f t="shared" ca="1" si="158"/>
        <v>0</v>
      </c>
      <c r="AB239" s="81">
        <f t="shared" ca="1" si="139"/>
        <v>-5735.4615189307406</v>
      </c>
      <c r="AC239" s="79">
        <f t="shared" ca="1" si="140"/>
        <v>8011.3490405130106</v>
      </c>
      <c r="AD239" s="35"/>
      <c r="AE239" s="62">
        <f t="shared" ca="1" si="141"/>
        <v>-16716.004616439081</v>
      </c>
      <c r="AF239" s="62">
        <f t="shared" ca="1" si="142"/>
        <v>23349.079599454184</v>
      </c>
      <c r="AG239" s="35"/>
      <c r="AH239" s="35"/>
      <c r="AR239" s="69">
        <f t="shared" si="159"/>
        <v>20</v>
      </c>
      <c r="AS239" s="70">
        <f t="shared" si="162"/>
        <v>236</v>
      </c>
      <c r="AT239" s="71">
        <f t="shared" si="163"/>
        <v>0.19881343620579503</v>
      </c>
      <c r="AU239" s="72">
        <f t="shared" si="143"/>
        <v>6.8214933659622723E-3</v>
      </c>
      <c r="AV239" s="73">
        <f t="shared" si="160"/>
        <v>1.0068214933659623</v>
      </c>
      <c r="AW239" s="74">
        <f>PRODUCT(AV$4:AV239)</f>
        <v>4.9749056760903629</v>
      </c>
    </row>
    <row r="240" spans="5:49">
      <c r="E240">
        <f t="shared" si="161"/>
        <v>237</v>
      </c>
      <c r="F240" s="64">
        <f t="shared" si="144"/>
        <v>80.88</v>
      </c>
      <c r="G240" s="55">
        <f t="shared" si="145"/>
        <v>9.4522381300610192E-3</v>
      </c>
      <c r="H240" s="78">
        <f t="shared" si="164"/>
        <v>0.33986880844007877</v>
      </c>
      <c r="I240" s="79">
        <f t="shared" ca="1" si="146"/>
        <v>7935.6238616390456</v>
      </c>
      <c r="J240" s="79">
        <f t="shared" ca="1" si="147"/>
        <v>54.132805526942661</v>
      </c>
      <c r="K240" s="80">
        <f t="shared" ca="1" si="148"/>
        <v>-6.7973761688015752</v>
      </c>
      <c r="L240" s="80">
        <f t="shared" ca="1" si="149"/>
        <v>0</v>
      </c>
      <c r="M240" s="80">
        <f t="shared" ca="1" si="150"/>
        <v>0</v>
      </c>
      <c r="N240" s="80">
        <f t="shared" ca="1" si="151"/>
        <v>0</v>
      </c>
      <c r="O240" s="81">
        <f t="shared" ca="1" si="134"/>
        <v>-5681.248570868006</v>
      </c>
      <c r="P240" s="79">
        <f t="shared" ca="1" si="135"/>
        <v>2301.7107201291801</v>
      </c>
      <c r="Q240" s="35"/>
      <c r="R240">
        <f t="shared" ca="1" si="152"/>
        <v>237</v>
      </c>
      <c r="S240" s="78">
        <f t="shared" ca="1" si="153"/>
        <v>80.88</v>
      </c>
      <c r="T240" s="55">
        <f t="shared" ca="1" si="154"/>
        <v>9.4522381300610192E-3</v>
      </c>
      <c r="U240" s="78">
        <f t="shared" ca="1" si="155"/>
        <v>0.33986880844007877</v>
      </c>
      <c r="V240" s="79">
        <f t="shared" ca="1" si="156"/>
        <v>7935.6238616390456</v>
      </c>
      <c r="W240" s="79">
        <f t="shared" ca="1" si="136"/>
        <v>54.132805526942661</v>
      </c>
      <c r="X240" s="80">
        <f t="shared" ca="1" si="137"/>
        <v>-6.7973761688015752</v>
      </c>
      <c r="Y240" s="80">
        <f t="shared" ca="1" si="157"/>
        <v>0</v>
      </c>
      <c r="Z240" s="80">
        <f t="shared" ca="1" si="138"/>
        <v>0</v>
      </c>
      <c r="AA240" s="80">
        <f t="shared" ca="1" si="158"/>
        <v>0</v>
      </c>
      <c r="AB240" s="81">
        <f t="shared" ca="1" si="139"/>
        <v>-5681.248570868006</v>
      </c>
      <c r="AC240" s="79">
        <f t="shared" ca="1" si="140"/>
        <v>2301.7107201291801</v>
      </c>
      <c r="AD240" s="35"/>
      <c r="AE240" s="62">
        <f t="shared" ca="1" si="141"/>
        <v>-16716.004616439081</v>
      </c>
      <c r="AF240" s="62">
        <f t="shared" ca="1" si="142"/>
        <v>6772.3505746041055</v>
      </c>
      <c r="AG240" s="35"/>
      <c r="AH240" s="35"/>
      <c r="AR240" s="69">
        <f t="shared" si="159"/>
        <v>20</v>
      </c>
      <c r="AS240" s="70">
        <f t="shared" si="162"/>
        <v>237</v>
      </c>
      <c r="AT240" s="71">
        <f t="shared" si="163"/>
        <v>0.19745723166965304</v>
      </c>
      <c r="AU240" s="72">
        <f t="shared" si="143"/>
        <v>6.8214933659622723E-3</v>
      </c>
      <c r="AV240" s="73">
        <f t="shared" si="160"/>
        <v>1.0068214933659623</v>
      </c>
      <c r="AW240" s="74">
        <f>PRODUCT(AV$4:AV240)</f>
        <v>5.0088419621561018</v>
      </c>
    </row>
    <row r="241" spans="5:49">
      <c r="E241">
        <f t="shared" si="161"/>
        <v>238</v>
      </c>
      <c r="F241" s="64">
        <f t="shared" si="144"/>
        <v>80.959999999999994</v>
      </c>
      <c r="G241" s="55">
        <f t="shared" si="145"/>
        <v>9.4522381300610192E-3</v>
      </c>
      <c r="H241" s="78">
        <f t="shared" si="164"/>
        <v>0.33665628752972304</v>
      </c>
      <c r="I241" s="79">
        <f t="shared" ca="1" si="146"/>
        <v>2279.9544022960049</v>
      </c>
      <c r="J241" s="79">
        <f t="shared" ca="1" si="147"/>
        <v>15.552693829958676</v>
      </c>
      <c r="K241" s="80">
        <f t="shared" ca="1" si="148"/>
        <v>-6.7331257505944606</v>
      </c>
      <c r="L241" s="80">
        <f t="shared" ca="1" si="149"/>
        <v>0</v>
      </c>
      <c r="M241" s="80">
        <f t="shared" ca="1" si="150"/>
        <v>0</v>
      </c>
      <c r="N241" s="80">
        <f t="shared" ca="1" si="151"/>
        <v>0</v>
      </c>
      <c r="O241" s="81">
        <f t="shared" ca="1" si="134"/>
        <v>-2279.9544022960049</v>
      </c>
      <c r="P241" s="79">
        <f t="shared" ca="1" si="135"/>
        <v>8.8195680793642168</v>
      </c>
      <c r="Q241" s="35"/>
      <c r="R241">
        <f t="shared" ca="1" si="152"/>
        <v>238</v>
      </c>
      <c r="S241" s="78">
        <f t="shared" ca="1" si="153"/>
        <v>80.959999999999994</v>
      </c>
      <c r="T241" s="55">
        <f t="shared" ca="1" si="154"/>
        <v>9.4522381300610192E-3</v>
      </c>
      <c r="U241" s="78">
        <f t="shared" ca="1" si="155"/>
        <v>0.33665628752972304</v>
      </c>
      <c r="V241" s="79">
        <f t="shared" ca="1" si="156"/>
        <v>2279.9544022960049</v>
      </c>
      <c r="W241" s="79">
        <f t="shared" ca="1" si="136"/>
        <v>15.552693829958676</v>
      </c>
      <c r="X241" s="80">
        <f t="shared" ca="1" si="137"/>
        <v>-6.7331257505944606</v>
      </c>
      <c r="Y241" s="80">
        <f t="shared" ca="1" si="157"/>
        <v>0</v>
      </c>
      <c r="Z241" s="80">
        <f t="shared" ca="1" si="138"/>
        <v>0</v>
      </c>
      <c r="AA241" s="80">
        <f t="shared" ca="1" si="158"/>
        <v>0</v>
      </c>
      <c r="AB241" s="81">
        <f t="shared" ca="1" si="139"/>
        <v>-2279.9544022960049</v>
      </c>
      <c r="AC241" s="79">
        <f t="shared" ca="1" si="140"/>
        <v>8.8195680793642168</v>
      </c>
      <c r="AD241" s="35"/>
      <c r="AE241" s="62">
        <f t="shared" ca="1" si="141"/>
        <v>-6772.3505746041055</v>
      </c>
      <c r="AF241" s="62">
        <f t="shared" ca="1" si="142"/>
        <v>26.197544516632696</v>
      </c>
      <c r="AG241" s="35"/>
      <c r="AH241" s="35"/>
      <c r="AR241" s="69">
        <f t="shared" si="159"/>
        <v>20</v>
      </c>
      <c r="AS241" s="70">
        <f t="shared" si="162"/>
        <v>238</v>
      </c>
      <c r="AT241" s="71">
        <f t="shared" si="163"/>
        <v>0.19611027847375723</v>
      </c>
      <c r="AU241" s="72">
        <f t="shared" si="143"/>
        <v>6.8214933659622723E-3</v>
      </c>
      <c r="AV241" s="73">
        <f t="shared" si="160"/>
        <v>1.0068214933659623</v>
      </c>
      <c r="AW241" s="74">
        <f>PRODUCT(AV$4:AV241)</f>
        <v>5.0430097443721031</v>
      </c>
    </row>
    <row r="242" spans="5:49">
      <c r="E242">
        <f t="shared" si="161"/>
        <v>239</v>
      </c>
      <c r="F242" s="64">
        <f t="shared" si="144"/>
        <v>81.040000000000006</v>
      </c>
      <c r="G242" s="55">
        <f t="shared" si="145"/>
        <v>9.4522381300610192E-3</v>
      </c>
      <c r="H242" s="78">
        <f t="shared" si="164"/>
        <v>0.33347413213200983</v>
      </c>
      <c r="I242" s="79">
        <f t="shared" ca="1" si="146"/>
        <v>8.7362034216737818</v>
      </c>
      <c r="J242" s="79">
        <f t="shared" ca="1" si="147"/>
        <v>5.9593953684644603E-2</v>
      </c>
      <c r="K242" s="80">
        <f t="shared" ca="1" si="148"/>
        <v>-6.6694826426401965</v>
      </c>
      <c r="L242" s="80">
        <f t="shared" ca="1" si="149"/>
        <v>0</v>
      </c>
      <c r="M242" s="80">
        <f t="shared" ca="1" si="150"/>
        <v>0</v>
      </c>
      <c r="N242" s="80">
        <f t="shared" ca="1" si="151"/>
        <v>0</v>
      </c>
      <c r="O242" s="81">
        <f t="shared" ca="1" si="134"/>
        <v>-8.7362034216737818</v>
      </c>
      <c r="P242" s="79">
        <f t="shared" ca="1" si="135"/>
        <v>-6.609888688955551</v>
      </c>
      <c r="Q242" s="35"/>
      <c r="R242">
        <f t="shared" ca="1" si="152"/>
        <v>239</v>
      </c>
      <c r="S242" s="78">
        <f t="shared" ca="1" si="153"/>
        <v>81.040000000000006</v>
      </c>
      <c r="T242" s="55">
        <f t="shared" ca="1" si="154"/>
        <v>9.4522381300610192E-3</v>
      </c>
      <c r="U242" s="78">
        <f t="shared" ca="1" si="155"/>
        <v>0.33347413213200983</v>
      </c>
      <c r="V242" s="79">
        <f t="shared" ca="1" si="156"/>
        <v>8.7362034216737818</v>
      </c>
      <c r="W242" s="79">
        <f t="shared" ca="1" si="136"/>
        <v>5.9593953684644603E-2</v>
      </c>
      <c r="X242" s="80">
        <f t="shared" ca="1" si="137"/>
        <v>-6.6694826426401965</v>
      </c>
      <c r="Y242" s="80">
        <f t="shared" ca="1" si="157"/>
        <v>0</v>
      </c>
      <c r="Z242" s="80">
        <f t="shared" ca="1" si="138"/>
        <v>0</v>
      </c>
      <c r="AA242" s="80">
        <f t="shared" ca="1" si="158"/>
        <v>0</v>
      </c>
      <c r="AB242" s="81">
        <f t="shared" ca="1" si="139"/>
        <v>-8.7362034216737818</v>
      </c>
      <c r="AC242" s="79">
        <f t="shared" ca="1" si="140"/>
        <v>-6.609888688955551</v>
      </c>
      <c r="AD242" s="35"/>
      <c r="AE242" s="62">
        <f t="shared" ca="1" si="141"/>
        <v>-26.197544516632696</v>
      </c>
      <c r="AF242" s="62">
        <f t="shared" ca="1" si="142"/>
        <v>-19.821293623875285</v>
      </c>
      <c r="AG242" s="35"/>
      <c r="AH242" s="35"/>
      <c r="AR242" s="69">
        <f t="shared" si="159"/>
        <v>20</v>
      </c>
      <c r="AS242" s="70">
        <f t="shared" si="162"/>
        <v>239</v>
      </c>
      <c r="AT242" s="71">
        <f t="shared" si="163"/>
        <v>0.19477251351015148</v>
      </c>
      <c r="AU242" s="72">
        <f t="shared" si="143"/>
        <v>6.8214933659622723E-3</v>
      </c>
      <c r="AV242" s="73">
        <f t="shared" si="160"/>
        <v>1.0068214933659623</v>
      </c>
      <c r="AW242" s="74">
        <f>PRODUCT(AV$4:AV242)</f>
        <v>5.0774106018878209</v>
      </c>
    </row>
    <row r="243" spans="5:49">
      <c r="E243">
        <f t="shared" si="161"/>
        <v>240</v>
      </c>
      <c r="F243" s="64">
        <f t="shared" si="144"/>
        <v>81.12</v>
      </c>
      <c r="G243" s="55">
        <f t="shared" si="145"/>
        <v>9.4522381300610192E-3</v>
      </c>
      <c r="H243" s="78">
        <f t="shared" si="164"/>
        <v>0.33032205522488262</v>
      </c>
      <c r="I243" s="79">
        <f t="shared" ca="1" si="146"/>
        <v>0</v>
      </c>
      <c r="J243" s="79">
        <f t="shared" ca="1" si="147"/>
        <v>0</v>
      </c>
      <c r="K243" s="80">
        <f t="shared" ca="1" si="148"/>
        <v>0</v>
      </c>
      <c r="L243" s="80">
        <f t="shared" ca="1" si="149"/>
        <v>0</v>
      </c>
      <c r="M243" s="80">
        <f t="shared" ca="1" si="150"/>
        <v>0</v>
      </c>
      <c r="N243" s="80">
        <f t="shared" ca="1" si="151"/>
        <v>0</v>
      </c>
      <c r="O243" s="81">
        <f t="shared" ca="1" si="134"/>
        <v>0</v>
      </c>
      <c r="P243" s="79">
        <f t="shared" ca="1" si="135"/>
        <v>0</v>
      </c>
      <c r="Q243" s="35"/>
      <c r="R243">
        <f t="shared" ca="1" si="152"/>
        <v>240</v>
      </c>
      <c r="S243" s="78">
        <f t="shared" ca="1" si="153"/>
        <v>81.12</v>
      </c>
      <c r="T243" s="55">
        <f t="shared" ca="1" si="154"/>
        <v>9.4522381300610192E-3</v>
      </c>
      <c r="U243" s="78">
        <f t="shared" ca="1" si="155"/>
        <v>0.33032205522488262</v>
      </c>
      <c r="V243" s="79">
        <f t="shared" ca="1" si="156"/>
        <v>0</v>
      </c>
      <c r="W243" s="79">
        <f t="shared" ca="1" si="136"/>
        <v>0</v>
      </c>
      <c r="X243" s="80">
        <f t="shared" ca="1" si="137"/>
        <v>0</v>
      </c>
      <c r="Y243" s="80">
        <f t="shared" ca="1" si="157"/>
        <v>0</v>
      </c>
      <c r="Z243" s="80">
        <f t="shared" ca="1" si="138"/>
        <v>0</v>
      </c>
      <c r="AA243" s="80">
        <f t="shared" ca="1" si="158"/>
        <v>0</v>
      </c>
      <c r="AB243" s="81">
        <f t="shared" ca="1" si="139"/>
        <v>0</v>
      </c>
      <c r="AC243" s="79">
        <f t="shared" ca="1" si="140"/>
        <v>0</v>
      </c>
      <c r="AD243" s="35"/>
      <c r="AE243" s="62">
        <f t="shared" ca="1" si="141"/>
        <v>0</v>
      </c>
      <c r="AF243" s="62">
        <f t="shared" ca="1" si="142"/>
        <v>0</v>
      </c>
      <c r="AG243" s="35"/>
      <c r="AH243" s="35"/>
      <c r="AR243" s="69">
        <f t="shared" si="159"/>
        <v>20</v>
      </c>
      <c r="AS243" s="70">
        <f t="shared" si="162"/>
        <v>240</v>
      </c>
      <c r="AT243" s="71">
        <f t="shared" si="163"/>
        <v>0.19344387410137018</v>
      </c>
      <c r="AU243" s="72">
        <f t="shared" si="143"/>
        <v>6.8214933659622723E-3</v>
      </c>
      <c r="AV243" s="73">
        <f t="shared" si="160"/>
        <v>1.0068214933659623</v>
      </c>
      <c r="AW243" s="74">
        <f>PRODUCT(AV$4:AV243)</f>
        <v>5.1120461246248654</v>
      </c>
    </row>
    <row r="244" spans="5:49">
      <c r="E244">
        <f t="shared" si="161"/>
        <v>241</v>
      </c>
      <c r="F244" s="64">
        <f t="shared" si="144"/>
        <v>81.2</v>
      </c>
      <c r="G244" s="55">
        <f t="shared" si="145"/>
        <v>9.4522381300610192E-3</v>
      </c>
      <c r="H244" s="78">
        <f t="shared" si="164"/>
        <v>0.32719977249928583</v>
      </c>
      <c r="I244" s="79">
        <f t="shared" ca="1" si="146"/>
        <v>0</v>
      </c>
      <c r="J244" s="79">
        <f t="shared" ca="1" si="147"/>
        <v>0</v>
      </c>
      <c r="K244" s="80">
        <f t="shared" ca="1" si="148"/>
        <v>0</v>
      </c>
      <c r="L244" s="80">
        <f t="shared" ca="1" si="149"/>
        <v>0</v>
      </c>
      <c r="M244" s="80">
        <f t="shared" ca="1" si="150"/>
        <v>0</v>
      </c>
      <c r="N244" s="80">
        <f t="shared" ca="1" si="151"/>
        <v>0</v>
      </c>
      <c r="O244" s="81">
        <f t="shared" ca="1" si="134"/>
        <v>0</v>
      </c>
      <c r="P244" s="79">
        <f t="shared" ca="1" si="135"/>
        <v>0</v>
      </c>
      <c r="Q244" s="35"/>
      <c r="R244">
        <f t="shared" ca="1" si="152"/>
        <v>241</v>
      </c>
      <c r="S244" s="78">
        <f t="shared" ca="1" si="153"/>
        <v>81.2</v>
      </c>
      <c r="T244" s="55">
        <f t="shared" ca="1" si="154"/>
        <v>9.4522381300610192E-3</v>
      </c>
      <c r="U244" s="78">
        <f t="shared" ca="1" si="155"/>
        <v>0.32719977249928583</v>
      </c>
      <c r="V244" s="79">
        <f t="shared" ca="1" si="156"/>
        <v>0</v>
      </c>
      <c r="W244" s="79">
        <f t="shared" ca="1" si="136"/>
        <v>0</v>
      </c>
      <c r="X244" s="80">
        <f t="shared" ca="1" si="137"/>
        <v>0</v>
      </c>
      <c r="Y244" s="80">
        <f t="shared" ca="1" si="157"/>
        <v>0</v>
      </c>
      <c r="Z244" s="80">
        <f t="shared" ca="1" si="138"/>
        <v>0</v>
      </c>
      <c r="AA244" s="80">
        <f t="shared" ca="1" si="158"/>
        <v>0</v>
      </c>
      <c r="AB244" s="81">
        <f t="shared" ca="1" si="139"/>
        <v>0</v>
      </c>
      <c r="AC244" s="79">
        <f t="shared" ca="1" si="140"/>
        <v>0</v>
      </c>
      <c r="AD244" s="35"/>
      <c r="AE244" s="62">
        <f t="shared" ca="1" si="141"/>
        <v>0</v>
      </c>
      <c r="AF244" s="62">
        <f t="shared" ca="1" si="142"/>
        <v>0</v>
      </c>
      <c r="AG244" s="35"/>
      <c r="AH244" s="35"/>
      <c r="AR244" s="69">
        <f t="shared" si="159"/>
        <v>21</v>
      </c>
      <c r="AS244" s="70">
        <f t="shared" si="162"/>
        <v>241</v>
      </c>
      <c r="AT244" s="71">
        <f t="shared" si="163"/>
        <v>0.19212429799750164</v>
      </c>
      <c r="AU244" s="72">
        <f t="shared" si="143"/>
        <v>6.8214933659622723E-3</v>
      </c>
      <c r="AV244" s="73">
        <f t="shared" si="160"/>
        <v>1.0068214933659623</v>
      </c>
      <c r="AW244" s="74">
        <f>PRODUCT(AV$4:AV244)</f>
        <v>5.146917913350487</v>
      </c>
    </row>
    <row r="245" spans="5:49">
      <c r="E245">
        <f t="shared" si="161"/>
        <v>242</v>
      </c>
      <c r="F245" s="64">
        <f t="shared" si="144"/>
        <v>81.28</v>
      </c>
      <c r="G245" s="55">
        <f t="shared" si="145"/>
        <v>9.4522381300610192E-3</v>
      </c>
      <c r="H245" s="78">
        <f t="shared" si="164"/>
        <v>0.3241070023335208</v>
      </c>
      <c r="I245" s="79">
        <f t="shared" ca="1" si="146"/>
        <v>0</v>
      </c>
      <c r="J245" s="79">
        <f t="shared" ca="1" si="147"/>
        <v>0</v>
      </c>
      <c r="K245" s="80">
        <f t="shared" ca="1" si="148"/>
        <v>0</v>
      </c>
      <c r="L245" s="80">
        <f t="shared" ca="1" si="149"/>
        <v>0</v>
      </c>
      <c r="M245" s="80">
        <f t="shared" ca="1" si="150"/>
        <v>0</v>
      </c>
      <c r="N245" s="80">
        <f t="shared" ca="1" si="151"/>
        <v>0</v>
      </c>
      <c r="O245" s="81">
        <f t="shared" ca="1" si="134"/>
        <v>0</v>
      </c>
      <c r="P245" s="79">
        <f t="shared" ca="1" si="135"/>
        <v>0</v>
      </c>
      <c r="Q245" s="35"/>
      <c r="R245">
        <f t="shared" ca="1" si="152"/>
        <v>242</v>
      </c>
      <c r="S245" s="78">
        <f t="shared" ca="1" si="153"/>
        <v>81.28</v>
      </c>
      <c r="T245" s="55">
        <f t="shared" ca="1" si="154"/>
        <v>9.4522381300610192E-3</v>
      </c>
      <c r="U245" s="78">
        <f t="shared" ca="1" si="155"/>
        <v>0.3241070023335208</v>
      </c>
      <c r="V245" s="79">
        <f t="shared" ca="1" si="156"/>
        <v>0</v>
      </c>
      <c r="W245" s="79">
        <f t="shared" ca="1" si="136"/>
        <v>0</v>
      </c>
      <c r="X245" s="80">
        <f t="shared" ca="1" si="137"/>
        <v>0</v>
      </c>
      <c r="Y245" s="80">
        <f t="shared" ca="1" si="157"/>
        <v>0</v>
      </c>
      <c r="Z245" s="80">
        <f t="shared" ca="1" si="138"/>
        <v>0</v>
      </c>
      <c r="AA245" s="80">
        <f t="shared" ca="1" si="158"/>
        <v>0</v>
      </c>
      <c r="AB245" s="81">
        <f t="shared" ca="1" si="139"/>
        <v>0</v>
      </c>
      <c r="AC245" s="79">
        <f t="shared" ca="1" si="140"/>
        <v>0</v>
      </c>
      <c r="AD245" s="35"/>
      <c r="AE245" s="62">
        <f t="shared" ca="1" si="141"/>
        <v>0</v>
      </c>
      <c r="AF245" s="62">
        <f t="shared" ca="1" si="142"/>
        <v>0</v>
      </c>
      <c r="AG245" s="35"/>
      <c r="AH245" s="35"/>
      <c r="AR245" s="69">
        <f t="shared" si="159"/>
        <v>21</v>
      </c>
      <c r="AS245" s="70">
        <f t="shared" si="162"/>
        <v>242</v>
      </c>
      <c r="AT245" s="71">
        <f t="shared" si="163"/>
        <v>0.19081372337327152</v>
      </c>
      <c r="AU245" s="72">
        <f t="shared" si="143"/>
        <v>6.8214933659622723E-3</v>
      </c>
      <c r="AV245" s="73">
        <f t="shared" si="160"/>
        <v>1.0068214933659623</v>
      </c>
      <c r="AW245" s="74">
        <f>PRODUCT(AV$4:AV245)</f>
        <v>5.1820275797515594</v>
      </c>
    </row>
    <row r="246" spans="5:49">
      <c r="E246">
        <f t="shared" si="161"/>
        <v>243</v>
      </c>
      <c r="F246" s="64">
        <f t="shared" si="144"/>
        <v>81.36</v>
      </c>
      <c r="G246" s="55">
        <f t="shared" si="145"/>
        <v>9.4522381300610192E-3</v>
      </c>
      <c r="H246" s="78">
        <f t="shared" si="164"/>
        <v>0.32104346576784409</v>
      </c>
      <c r="I246" s="79">
        <f t="shared" ca="1" si="146"/>
        <v>0</v>
      </c>
      <c r="J246" s="79">
        <f t="shared" ca="1" si="147"/>
        <v>0</v>
      </c>
      <c r="K246" s="80">
        <f t="shared" ca="1" si="148"/>
        <v>0</v>
      </c>
      <c r="L246" s="80">
        <f t="shared" ca="1" si="149"/>
        <v>0</v>
      </c>
      <c r="M246" s="80">
        <f t="shared" ca="1" si="150"/>
        <v>0</v>
      </c>
      <c r="N246" s="80">
        <f t="shared" ca="1" si="151"/>
        <v>0</v>
      </c>
      <c r="O246" s="81">
        <f t="shared" ca="1" si="134"/>
        <v>0</v>
      </c>
      <c r="P246" s="79">
        <f t="shared" ca="1" si="135"/>
        <v>0</v>
      </c>
      <c r="Q246" s="35"/>
      <c r="R246">
        <f t="shared" ca="1" si="152"/>
        <v>243</v>
      </c>
      <c r="S246" s="78">
        <f t="shared" ca="1" si="153"/>
        <v>81.36</v>
      </c>
      <c r="T246" s="55">
        <f t="shared" ca="1" si="154"/>
        <v>9.4522381300610192E-3</v>
      </c>
      <c r="U246" s="78">
        <f t="shared" ca="1" si="155"/>
        <v>0.32104346576784409</v>
      </c>
      <c r="V246" s="79">
        <f t="shared" ca="1" si="156"/>
        <v>0</v>
      </c>
      <c r="W246" s="79">
        <f t="shared" ca="1" si="136"/>
        <v>0</v>
      </c>
      <c r="X246" s="80">
        <f t="shared" ca="1" si="137"/>
        <v>0</v>
      </c>
      <c r="Y246" s="80">
        <f t="shared" ca="1" si="157"/>
        <v>0</v>
      </c>
      <c r="Z246" s="80">
        <f t="shared" ca="1" si="138"/>
        <v>0</v>
      </c>
      <c r="AA246" s="80">
        <f t="shared" ca="1" si="158"/>
        <v>0</v>
      </c>
      <c r="AB246" s="81">
        <f t="shared" ca="1" si="139"/>
        <v>0</v>
      </c>
      <c r="AC246" s="79">
        <f t="shared" ca="1" si="140"/>
        <v>0</v>
      </c>
      <c r="AD246" s="35"/>
      <c r="AE246" s="62">
        <f t="shared" ca="1" si="141"/>
        <v>0</v>
      </c>
      <c r="AF246" s="62">
        <f t="shared" ca="1" si="142"/>
        <v>0</v>
      </c>
      <c r="AG246" s="35"/>
      <c r="AH246" s="35"/>
      <c r="AR246" s="69">
        <f t="shared" si="159"/>
        <v>21</v>
      </c>
      <c r="AS246" s="70">
        <f t="shared" si="162"/>
        <v>243</v>
      </c>
      <c r="AT246" s="71">
        <f t="shared" si="163"/>
        <v>0.1895120888251462</v>
      </c>
      <c r="AU246" s="72">
        <f t="shared" si="143"/>
        <v>6.8214933659622723E-3</v>
      </c>
      <c r="AV246" s="73">
        <f t="shared" si="160"/>
        <v>1.0068214933659623</v>
      </c>
      <c r="AW246" s="74">
        <f>PRODUCT(AV$4:AV246)</f>
        <v>5.2173767465090686</v>
      </c>
    </row>
    <row r="247" spans="5:49">
      <c r="E247">
        <f t="shared" si="161"/>
        <v>244</v>
      </c>
      <c r="F247" s="64">
        <f t="shared" si="144"/>
        <v>81.44</v>
      </c>
      <c r="G247" s="55">
        <f t="shared" si="145"/>
        <v>9.4522381300610192E-3</v>
      </c>
      <c r="H247" s="78">
        <f t="shared" si="164"/>
        <v>0.31800888647930636</v>
      </c>
      <c r="I247" s="79">
        <f t="shared" ca="1" si="146"/>
        <v>0</v>
      </c>
      <c r="J247" s="79">
        <f t="shared" ca="1" si="147"/>
        <v>0</v>
      </c>
      <c r="K247" s="80">
        <f t="shared" ca="1" si="148"/>
        <v>0</v>
      </c>
      <c r="L247" s="80">
        <f t="shared" ca="1" si="149"/>
        <v>0</v>
      </c>
      <c r="M247" s="80">
        <f t="shared" ca="1" si="150"/>
        <v>0</v>
      </c>
      <c r="N247" s="80">
        <f t="shared" ca="1" si="151"/>
        <v>0</v>
      </c>
      <c r="O247" s="81">
        <f t="shared" ca="1" si="134"/>
        <v>0</v>
      </c>
      <c r="P247" s="79">
        <f t="shared" ca="1" si="135"/>
        <v>0</v>
      </c>
      <c r="Q247" s="35"/>
      <c r="R247">
        <f t="shared" ca="1" si="152"/>
        <v>244</v>
      </c>
      <c r="S247" s="78">
        <f t="shared" ca="1" si="153"/>
        <v>81.44</v>
      </c>
      <c r="T247" s="55">
        <f t="shared" ca="1" si="154"/>
        <v>9.4522381300610192E-3</v>
      </c>
      <c r="U247" s="78">
        <f t="shared" ca="1" si="155"/>
        <v>0.31800888647930636</v>
      </c>
      <c r="V247" s="79">
        <f t="shared" ca="1" si="156"/>
        <v>0</v>
      </c>
      <c r="W247" s="79">
        <f t="shared" ca="1" si="136"/>
        <v>0</v>
      </c>
      <c r="X247" s="80">
        <f t="shared" ca="1" si="137"/>
        <v>0</v>
      </c>
      <c r="Y247" s="80">
        <f t="shared" ca="1" si="157"/>
        <v>0</v>
      </c>
      <c r="Z247" s="80">
        <f t="shared" ca="1" si="138"/>
        <v>0</v>
      </c>
      <c r="AA247" s="80">
        <f t="shared" ca="1" si="158"/>
        <v>0</v>
      </c>
      <c r="AB247" s="81">
        <f t="shared" ca="1" si="139"/>
        <v>0</v>
      </c>
      <c r="AC247" s="79">
        <f t="shared" ca="1" si="140"/>
        <v>0</v>
      </c>
      <c r="AD247" s="35"/>
      <c r="AE247" s="62">
        <f t="shared" ca="1" si="141"/>
        <v>0</v>
      </c>
      <c r="AF247" s="62">
        <f t="shared" ca="1" si="142"/>
        <v>0</v>
      </c>
      <c r="AG247" s="35"/>
      <c r="AH247" s="35"/>
      <c r="AR247" s="69">
        <f t="shared" si="159"/>
        <v>21</v>
      </c>
      <c r="AS247" s="70">
        <f t="shared" si="162"/>
        <v>244</v>
      </c>
      <c r="AT247" s="71">
        <f t="shared" si="163"/>
        <v>0.18821933336845581</v>
      </c>
      <c r="AU247" s="72">
        <f t="shared" si="143"/>
        <v>6.8214933659622723E-3</v>
      </c>
      <c r="AV247" s="73">
        <f t="shared" si="160"/>
        <v>1.0068214933659623</v>
      </c>
      <c r="AW247" s="74">
        <f>PRODUCT(AV$4:AV247)</f>
        <v>5.2529670473731063</v>
      </c>
    </row>
    <row r="248" spans="5:49">
      <c r="E248">
        <f t="shared" si="161"/>
        <v>245</v>
      </c>
      <c r="F248" s="64">
        <f t="shared" si="144"/>
        <v>81.52</v>
      </c>
      <c r="G248" s="55">
        <f t="shared" si="145"/>
        <v>1.0343997254147252E-2</v>
      </c>
      <c r="H248" s="78">
        <f t="shared" si="164"/>
        <v>0.31471940343076998</v>
      </c>
      <c r="I248" s="79">
        <f t="shared" ca="1" si="146"/>
        <v>0</v>
      </c>
      <c r="J248" s="79">
        <f t="shared" ca="1" si="147"/>
        <v>0</v>
      </c>
      <c r="K248" s="80">
        <f t="shared" ca="1" si="148"/>
        <v>0</v>
      </c>
      <c r="L248" s="80">
        <f t="shared" ca="1" si="149"/>
        <v>0</v>
      </c>
      <c r="M248" s="80">
        <f t="shared" ca="1" si="150"/>
        <v>0</v>
      </c>
      <c r="N248" s="80">
        <f t="shared" ca="1" si="151"/>
        <v>0</v>
      </c>
      <c r="O248" s="81">
        <f t="shared" ca="1" si="134"/>
        <v>0</v>
      </c>
      <c r="P248" s="79">
        <f t="shared" ca="1" si="135"/>
        <v>0</v>
      </c>
      <c r="Q248" s="35"/>
      <c r="R248">
        <f t="shared" ca="1" si="152"/>
        <v>245</v>
      </c>
      <c r="S248" s="78">
        <f t="shared" ca="1" si="153"/>
        <v>81.52</v>
      </c>
      <c r="T248" s="55">
        <f t="shared" ca="1" si="154"/>
        <v>1.0343997254147252E-2</v>
      </c>
      <c r="U248" s="78">
        <f t="shared" ca="1" si="155"/>
        <v>0.31471940343076998</v>
      </c>
      <c r="V248" s="79">
        <f t="shared" ca="1" si="156"/>
        <v>0</v>
      </c>
      <c r="W248" s="79">
        <f t="shared" ca="1" si="136"/>
        <v>0</v>
      </c>
      <c r="X248" s="80">
        <f t="shared" ca="1" si="137"/>
        <v>0</v>
      </c>
      <c r="Y248" s="80">
        <f t="shared" ca="1" si="157"/>
        <v>0</v>
      </c>
      <c r="Z248" s="80">
        <f t="shared" ca="1" si="138"/>
        <v>0</v>
      </c>
      <c r="AA248" s="80">
        <f t="shared" ca="1" si="158"/>
        <v>0</v>
      </c>
      <c r="AB248" s="81">
        <f t="shared" ca="1" si="139"/>
        <v>0</v>
      </c>
      <c r="AC248" s="79">
        <f t="shared" ca="1" si="140"/>
        <v>0</v>
      </c>
      <c r="AD248" s="35"/>
      <c r="AE248" s="62">
        <f t="shared" ca="1" si="141"/>
        <v>0</v>
      </c>
      <c r="AF248" s="62">
        <f t="shared" ca="1" si="142"/>
        <v>0</v>
      </c>
      <c r="AG248" s="35"/>
      <c r="AH248" s="35"/>
      <c r="AR248" s="69">
        <f t="shared" si="159"/>
        <v>21</v>
      </c>
      <c r="AS248" s="70">
        <f t="shared" si="162"/>
        <v>245</v>
      </c>
      <c r="AT248" s="71">
        <f t="shared" si="163"/>
        <v>0.18693539643453705</v>
      </c>
      <c r="AU248" s="72">
        <f t="shared" si="143"/>
        <v>6.8214933659622723E-3</v>
      </c>
      <c r="AV248" s="73">
        <f t="shared" si="160"/>
        <v>1.0068214933659623</v>
      </c>
      <c r="AW248" s="74">
        <f>PRODUCT(AV$4:AV248)</f>
        <v>5.28880012723838</v>
      </c>
    </row>
    <row r="249" spans="5:49">
      <c r="E249">
        <f t="shared" si="161"/>
        <v>246</v>
      </c>
      <c r="F249" s="64">
        <f t="shared" si="144"/>
        <v>81.599999999999994</v>
      </c>
      <c r="G249" s="55">
        <f t="shared" si="145"/>
        <v>1.0343997254147252E-2</v>
      </c>
      <c r="H249" s="78">
        <f t="shared" si="164"/>
        <v>0.31146394678585526</v>
      </c>
      <c r="I249" s="79">
        <f t="shared" ca="1" si="146"/>
        <v>0</v>
      </c>
      <c r="J249" s="79">
        <f t="shared" ca="1" si="147"/>
        <v>0</v>
      </c>
      <c r="K249" s="80">
        <f t="shared" ca="1" si="148"/>
        <v>0</v>
      </c>
      <c r="L249" s="80">
        <f t="shared" ca="1" si="149"/>
        <v>0</v>
      </c>
      <c r="M249" s="80">
        <f t="shared" ca="1" si="150"/>
        <v>0</v>
      </c>
      <c r="N249" s="80">
        <f t="shared" ca="1" si="151"/>
        <v>0</v>
      </c>
      <c r="O249" s="81">
        <f t="shared" ca="1" si="134"/>
        <v>0</v>
      </c>
      <c r="P249" s="79">
        <f t="shared" ca="1" si="135"/>
        <v>0</v>
      </c>
      <c r="Q249" s="35"/>
      <c r="R249">
        <f t="shared" ca="1" si="152"/>
        <v>246</v>
      </c>
      <c r="S249" s="78">
        <f t="shared" ca="1" si="153"/>
        <v>81.599999999999994</v>
      </c>
      <c r="T249" s="55">
        <f t="shared" ca="1" si="154"/>
        <v>1.0343997254147252E-2</v>
      </c>
      <c r="U249" s="78">
        <f t="shared" ca="1" si="155"/>
        <v>0.31146394678585526</v>
      </c>
      <c r="V249" s="79">
        <f t="shared" ca="1" si="156"/>
        <v>0</v>
      </c>
      <c r="W249" s="79">
        <f t="shared" ca="1" si="136"/>
        <v>0</v>
      </c>
      <c r="X249" s="80">
        <f t="shared" ca="1" si="137"/>
        <v>0</v>
      </c>
      <c r="Y249" s="80">
        <f t="shared" ca="1" si="157"/>
        <v>0</v>
      </c>
      <c r="Z249" s="80">
        <f t="shared" ca="1" si="138"/>
        <v>0</v>
      </c>
      <c r="AA249" s="80">
        <f t="shared" ca="1" si="158"/>
        <v>0</v>
      </c>
      <c r="AB249" s="81">
        <f t="shared" ca="1" si="139"/>
        <v>0</v>
      </c>
      <c r="AC249" s="79">
        <f t="shared" ca="1" si="140"/>
        <v>0</v>
      </c>
      <c r="AD249" s="35"/>
      <c r="AE249" s="62">
        <f t="shared" ca="1" si="141"/>
        <v>0</v>
      </c>
      <c r="AF249" s="62">
        <f t="shared" ca="1" si="142"/>
        <v>0</v>
      </c>
      <c r="AG249" s="35"/>
      <c r="AH249" s="35"/>
      <c r="AR249" s="69">
        <f t="shared" si="159"/>
        <v>21</v>
      </c>
      <c r="AS249" s="70">
        <f t="shared" si="162"/>
        <v>246</v>
      </c>
      <c r="AT249" s="71">
        <f t="shared" si="163"/>
        <v>0.18566021786789533</v>
      </c>
      <c r="AU249" s="72">
        <f t="shared" si="143"/>
        <v>6.8214933659622723E-3</v>
      </c>
      <c r="AV249" s="73">
        <f t="shared" si="160"/>
        <v>1.0068214933659623</v>
      </c>
      <c r="AW249" s="74">
        <f>PRODUCT(AV$4:AV249)</f>
        <v>5.3248776422202369</v>
      </c>
    </row>
    <row r="250" spans="5:49">
      <c r="E250">
        <f t="shared" si="161"/>
        <v>247</v>
      </c>
      <c r="F250" s="64">
        <f t="shared" si="144"/>
        <v>81.680000000000007</v>
      </c>
      <c r="G250" s="55">
        <f t="shared" si="145"/>
        <v>1.0343997254147252E-2</v>
      </c>
      <c r="H250" s="78">
        <f t="shared" si="164"/>
        <v>0.30824216457553649</v>
      </c>
      <c r="I250" s="79">
        <f t="shared" ca="1" si="146"/>
        <v>0</v>
      </c>
      <c r="J250" s="79">
        <f t="shared" ca="1" si="147"/>
        <v>0</v>
      </c>
      <c r="K250" s="80">
        <f t="shared" ca="1" si="148"/>
        <v>0</v>
      </c>
      <c r="L250" s="80">
        <f t="shared" ca="1" si="149"/>
        <v>0</v>
      </c>
      <c r="M250" s="80">
        <f t="shared" ca="1" si="150"/>
        <v>0</v>
      </c>
      <c r="N250" s="80">
        <f t="shared" ca="1" si="151"/>
        <v>0</v>
      </c>
      <c r="O250" s="81">
        <f t="shared" ca="1" si="134"/>
        <v>0</v>
      </c>
      <c r="P250" s="79">
        <f t="shared" ca="1" si="135"/>
        <v>0</v>
      </c>
      <c r="Q250" s="35"/>
      <c r="R250">
        <f t="shared" ca="1" si="152"/>
        <v>247</v>
      </c>
      <c r="S250" s="78">
        <f t="shared" ca="1" si="153"/>
        <v>81.680000000000007</v>
      </c>
      <c r="T250" s="55">
        <f t="shared" ca="1" si="154"/>
        <v>1.0343997254147252E-2</v>
      </c>
      <c r="U250" s="78">
        <f t="shared" ca="1" si="155"/>
        <v>0.30824216457553649</v>
      </c>
      <c r="V250" s="79">
        <f t="shared" ca="1" si="156"/>
        <v>0</v>
      </c>
      <c r="W250" s="79">
        <f t="shared" ca="1" si="136"/>
        <v>0</v>
      </c>
      <c r="X250" s="80">
        <f t="shared" ca="1" si="137"/>
        <v>0</v>
      </c>
      <c r="Y250" s="80">
        <f t="shared" ca="1" si="157"/>
        <v>0</v>
      </c>
      <c r="Z250" s="80">
        <f t="shared" ca="1" si="138"/>
        <v>0</v>
      </c>
      <c r="AA250" s="80">
        <f t="shared" ca="1" si="158"/>
        <v>0</v>
      </c>
      <c r="AB250" s="81">
        <f t="shared" ca="1" si="139"/>
        <v>0</v>
      </c>
      <c r="AC250" s="79">
        <f t="shared" ca="1" si="140"/>
        <v>0</v>
      </c>
      <c r="AD250" s="35"/>
      <c r="AE250" s="62">
        <f t="shared" ca="1" si="141"/>
        <v>0</v>
      </c>
      <c r="AF250" s="62">
        <f t="shared" ca="1" si="142"/>
        <v>0</v>
      </c>
      <c r="AG250" s="35"/>
      <c r="AH250" s="35"/>
      <c r="AR250" s="69">
        <f t="shared" si="159"/>
        <v>21</v>
      </c>
      <c r="AS250" s="70">
        <f t="shared" si="162"/>
        <v>247</v>
      </c>
      <c r="AT250" s="71">
        <f t="shared" si="163"/>
        <v>0.18439373792338637</v>
      </c>
      <c r="AU250" s="72">
        <f t="shared" si="143"/>
        <v>6.8214933659622723E-3</v>
      </c>
      <c r="AV250" s="73">
        <f t="shared" si="160"/>
        <v>1.0068214933659623</v>
      </c>
      <c r="AW250" s="74">
        <f>PRODUCT(AV$4:AV250)</f>
        <v>5.3612012597312031</v>
      </c>
    </row>
    <row r="251" spans="5:49">
      <c r="E251">
        <f t="shared" si="161"/>
        <v>248</v>
      </c>
      <c r="F251" s="64">
        <f t="shared" si="144"/>
        <v>81.760000000000005</v>
      </c>
      <c r="G251" s="55">
        <f t="shared" si="145"/>
        <v>1.0343997254147252E-2</v>
      </c>
      <c r="H251" s="78">
        <f t="shared" si="164"/>
        <v>0.30505370847155472</v>
      </c>
      <c r="I251" s="79">
        <f t="shared" ca="1" si="146"/>
        <v>0</v>
      </c>
      <c r="J251" s="79">
        <f t="shared" ca="1" si="147"/>
        <v>0</v>
      </c>
      <c r="K251" s="80">
        <f t="shared" ca="1" si="148"/>
        <v>0</v>
      </c>
      <c r="L251" s="80">
        <f t="shared" ca="1" si="149"/>
        <v>0</v>
      </c>
      <c r="M251" s="80">
        <f t="shared" ca="1" si="150"/>
        <v>0</v>
      </c>
      <c r="N251" s="80">
        <f t="shared" ca="1" si="151"/>
        <v>0</v>
      </c>
      <c r="O251" s="81">
        <f t="shared" ca="1" si="134"/>
        <v>0</v>
      </c>
      <c r="P251" s="79">
        <f t="shared" ca="1" si="135"/>
        <v>0</v>
      </c>
      <c r="Q251" s="35"/>
      <c r="R251">
        <f t="shared" ca="1" si="152"/>
        <v>248</v>
      </c>
      <c r="S251" s="78">
        <f t="shared" ca="1" si="153"/>
        <v>81.760000000000005</v>
      </c>
      <c r="T251" s="55">
        <f t="shared" ca="1" si="154"/>
        <v>1.0343997254147252E-2</v>
      </c>
      <c r="U251" s="78">
        <f t="shared" ca="1" si="155"/>
        <v>0.30505370847155472</v>
      </c>
      <c r="V251" s="79">
        <f t="shared" ca="1" si="156"/>
        <v>0</v>
      </c>
      <c r="W251" s="79">
        <f t="shared" ca="1" si="136"/>
        <v>0</v>
      </c>
      <c r="X251" s="80">
        <f t="shared" ca="1" si="137"/>
        <v>0</v>
      </c>
      <c r="Y251" s="80">
        <f t="shared" ca="1" si="157"/>
        <v>0</v>
      </c>
      <c r="Z251" s="80">
        <f t="shared" ca="1" si="138"/>
        <v>0</v>
      </c>
      <c r="AA251" s="80">
        <f t="shared" ca="1" si="158"/>
        <v>0</v>
      </c>
      <c r="AB251" s="81">
        <f t="shared" ca="1" si="139"/>
        <v>0</v>
      </c>
      <c r="AC251" s="79">
        <f t="shared" ca="1" si="140"/>
        <v>0</v>
      </c>
      <c r="AD251" s="35"/>
      <c r="AE251" s="62">
        <f t="shared" ca="1" si="141"/>
        <v>0</v>
      </c>
      <c r="AF251" s="62">
        <f t="shared" ca="1" si="142"/>
        <v>0</v>
      </c>
      <c r="AG251" s="35"/>
      <c r="AH251" s="35"/>
      <c r="AR251" s="69">
        <f t="shared" si="159"/>
        <v>21</v>
      </c>
      <c r="AS251" s="70">
        <f t="shared" si="162"/>
        <v>248</v>
      </c>
      <c r="AT251" s="71">
        <f t="shared" si="163"/>
        <v>0.183135897263417</v>
      </c>
      <c r="AU251" s="72">
        <f t="shared" si="143"/>
        <v>6.8214933659622723E-3</v>
      </c>
      <c r="AV251" s="73">
        <f t="shared" si="160"/>
        <v>1.0068214933659623</v>
      </c>
      <c r="AW251" s="74">
        <f>PRODUCT(AV$4:AV251)</f>
        <v>5.3977726585580479</v>
      </c>
    </row>
    <row r="252" spans="5:49">
      <c r="E252">
        <f t="shared" si="161"/>
        <v>249</v>
      </c>
      <c r="F252" s="64">
        <f t="shared" si="144"/>
        <v>81.84</v>
      </c>
      <c r="G252" s="55">
        <f t="shared" si="145"/>
        <v>1.0343997254147252E-2</v>
      </c>
      <c r="H252" s="78">
        <f t="shared" si="164"/>
        <v>0.30189823374875752</v>
      </c>
      <c r="I252" s="79">
        <f t="shared" ca="1" si="146"/>
        <v>0</v>
      </c>
      <c r="J252" s="79">
        <f t="shared" ca="1" si="147"/>
        <v>0</v>
      </c>
      <c r="K252" s="80">
        <f t="shared" ca="1" si="148"/>
        <v>0</v>
      </c>
      <c r="L252" s="80">
        <f t="shared" ca="1" si="149"/>
        <v>0</v>
      </c>
      <c r="M252" s="80">
        <f t="shared" ca="1" si="150"/>
        <v>0</v>
      </c>
      <c r="N252" s="80">
        <f t="shared" ca="1" si="151"/>
        <v>0</v>
      </c>
      <c r="O252" s="81">
        <f t="shared" ca="1" si="134"/>
        <v>0</v>
      </c>
      <c r="P252" s="79">
        <f t="shared" ca="1" si="135"/>
        <v>0</v>
      </c>
      <c r="Q252" s="35"/>
      <c r="R252">
        <f t="shared" ca="1" si="152"/>
        <v>249</v>
      </c>
      <c r="S252" s="78">
        <f t="shared" ca="1" si="153"/>
        <v>81.84</v>
      </c>
      <c r="T252" s="55">
        <f t="shared" ca="1" si="154"/>
        <v>1.0343997254147252E-2</v>
      </c>
      <c r="U252" s="78">
        <f t="shared" ca="1" si="155"/>
        <v>0.30189823374875752</v>
      </c>
      <c r="V252" s="79">
        <f t="shared" ca="1" si="156"/>
        <v>0</v>
      </c>
      <c r="W252" s="79">
        <f t="shared" ca="1" si="136"/>
        <v>0</v>
      </c>
      <c r="X252" s="80">
        <f t="shared" ca="1" si="137"/>
        <v>0</v>
      </c>
      <c r="Y252" s="80">
        <f t="shared" ca="1" si="157"/>
        <v>0</v>
      </c>
      <c r="Z252" s="80">
        <f t="shared" ca="1" si="138"/>
        <v>0</v>
      </c>
      <c r="AA252" s="80">
        <f t="shared" ca="1" si="158"/>
        <v>0</v>
      </c>
      <c r="AB252" s="81">
        <f t="shared" ca="1" si="139"/>
        <v>0</v>
      </c>
      <c r="AC252" s="79">
        <f t="shared" ca="1" si="140"/>
        <v>0</v>
      </c>
      <c r="AD252" s="35"/>
      <c r="AE252" s="62">
        <f t="shared" ca="1" si="141"/>
        <v>0</v>
      </c>
      <c r="AF252" s="62">
        <f t="shared" ca="1" si="142"/>
        <v>0</v>
      </c>
      <c r="AG252" s="35"/>
      <c r="AH252" s="35"/>
      <c r="AR252" s="69">
        <f t="shared" si="159"/>
        <v>21</v>
      </c>
      <c r="AS252" s="70">
        <f t="shared" si="162"/>
        <v>249</v>
      </c>
      <c r="AT252" s="71">
        <f t="shared" si="163"/>
        <v>0.18188663695516505</v>
      </c>
      <c r="AU252" s="72">
        <f t="shared" si="143"/>
        <v>6.8214933659622723E-3</v>
      </c>
      <c r="AV252" s="73">
        <f t="shared" si="160"/>
        <v>1.0068214933659623</v>
      </c>
      <c r="AW252" s="74">
        <f>PRODUCT(AV$4:AV252)</f>
        <v>5.4345935289393745</v>
      </c>
    </row>
    <row r="253" spans="5:49">
      <c r="E253">
        <f t="shared" si="161"/>
        <v>250</v>
      </c>
      <c r="F253" s="64">
        <f t="shared" si="144"/>
        <v>81.92</v>
      </c>
      <c r="G253" s="55">
        <f t="shared" si="145"/>
        <v>1.0343997254147252E-2</v>
      </c>
      <c r="H253" s="78">
        <f t="shared" si="164"/>
        <v>0.29877539924782848</v>
      </c>
      <c r="I253" s="79">
        <f t="shared" ca="1" si="146"/>
        <v>0</v>
      </c>
      <c r="J253" s="79">
        <f t="shared" ca="1" si="147"/>
        <v>0</v>
      </c>
      <c r="K253" s="80">
        <f t="shared" ca="1" si="148"/>
        <v>0</v>
      </c>
      <c r="L253" s="80">
        <f t="shared" ca="1" si="149"/>
        <v>0</v>
      </c>
      <c r="M253" s="80">
        <f t="shared" ca="1" si="150"/>
        <v>0</v>
      </c>
      <c r="N253" s="80">
        <f t="shared" ca="1" si="151"/>
        <v>0</v>
      </c>
      <c r="O253" s="81">
        <f t="shared" ca="1" si="134"/>
        <v>0</v>
      </c>
      <c r="P253" s="79">
        <f t="shared" ca="1" si="135"/>
        <v>0</v>
      </c>
      <c r="Q253" s="35"/>
      <c r="R253">
        <f t="shared" ca="1" si="152"/>
        <v>250</v>
      </c>
      <c r="S253" s="78">
        <f t="shared" ca="1" si="153"/>
        <v>81.92</v>
      </c>
      <c r="T253" s="55">
        <f t="shared" ca="1" si="154"/>
        <v>1.0343997254147252E-2</v>
      </c>
      <c r="U253" s="78">
        <f t="shared" ca="1" si="155"/>
        <v>0.29877539924782848</v>
      </c>
      <c r="V253" s="79">
        <f t="shared" ca="1" si="156"/>
        <v>0</v>
      </c>
      <c r="W253" s="79">
        <f t="shared" ca="1" si="136"/>
        <v>0</v>
      </c>
      <c r="X253" s="80">
        <f t="shared" ca="1" si="137"/>
        <v>0</v>
      </c>
      <c r="Y253" s="80">
        <f t="shared" ca="1" si="157"/>
        <v>0</v>
      </c>
      <c r="Z253" s="80">
        <f t="shared" ca="1" si="138"/>
        <v>0</v>
      </c>
      <c r="AA253" s="80">
        <f t="shared" ca="1" si="158"/>
        <v>0</v>
      </c>
      <c r="AB253" s="81">
        <f t="shared" ca="1" si="139"/>
        <v>0</v>
      </c>
      <c r="AC253" s="79">
        <f t="shared" ca="1" si="140"/>
        <v>0</v>
      </c>
      <c r="AD253" s="35"/>
      <c r="AE253" s="62">
        <f t="shared" ca="1" si="141"/>
        <v>0</v>
      </c>
      <c r="AF253" s="62">
        <f t="shared" ca="1" si="142"/>
        <v>0</v>
      </c>
      <c r="AG253" s="35"/>
      <c r="AH253" s="35"/>
      <c r="AR253" s="69">
        <f t="shared" si="159"/>
        <v>21</v>
      </c>
      <c r="AS253" s="70">
        <f t="shared" si="162"/>
        <v>250</v>
      </c>
      <c r="AT253" s="71">
        <f t="shared" si="163"/>
        <v>0.1806458984678182</v>
      </c>
      <c r="AU253" s="72">
        <f t="shared" si="143"/>
        <v>6.8214933659622723E-3</v>
      </c>
      <c r="AV253" s="73">
        <f t="shared" si="160"/>
        <v>1.0068214933659623</v>
      </c>
      <c r="AW253" s="74">
        <f>PRODUCT(AV$4:AV253)</f>
        <v>5.4716655726437358</v>
      </c>
    </row>
    <row r="254" spans="5:49">
      <c r="E254">
        <f t="shared" si="161"/>
        <v>251</v>
      </c>
      <c r="F254" s="64">
        <f t="shared" si="144"/>
        <v>82</v>
      </c>
      <c r="G254" s="55">
        <f t="shared" si="145"/>
        <v>1.0343997254147252E-2</v>
      </c>
      <c r="H254" s="78">
        <f t="shared" si="164"/>
        <v>0.29568486733840221</v>
      </c>
      <c r="I254" s="79">
        <f t="shared" ca="1" si="146"/>
        <v>0</v>
      </c>
      <c r="J254" s="79">
        <f t="shared" ca="1" si="147"/>
        <v>0</v>
      </c>
      <c r="K254" s="80">
        <f t="shared" ca="1" si="148"/>
        <v>0</v>
      </c>
      <c r="L254" s="80">
        <f t="shared" ca="1" si="149"/>
        <v>0</v>
      </c>
      <c r="M254" s="80">
        <f t="shared" ca="1" si="150"/>
        <v>0</v>
      </c>
      <c r="N254" s="80">
        <f t="shared" ca="1" si="151"/>
        <v>0</v>
      </c>
      <c r="O254" s="81">
        <f t="shared" ca="1" si="134"/>
        <v>0</v>
      </c>
      <c r="P254" s="79">
        <f t="shared" ca="1" si="135"/>
        <v>0</v>
      </c>
      <c r="Q254" s="35"/>
      <c r="R254">
        <f t="shared" ca="1" si="152"/>
        <v>251</v>
      </c>
      <c r="S254" s="78">
        <f t="shared" ca="1" si="153"/>
        <v>82</v>
      </c>
      <c r="T254" s="55">
        <f t="shared" ca="1" si="154"/>
        <v>1.0343997254147252E-2</v>
      </c>
      <c r="U254" s="78">
        <f t="shared" ca="1" si="155"/>
        <v>0.29568486733840221</v>
      </c>
      <c r="V254" s="79">
        <f t="shared" ca="1" si="156"/>
        <v>0</v>
      </c>
      <c r="W254" s="79">
        <f t="shared" ca="1" si="136"/>
        <v>0</v>
      </c>
      <c r="X254" s="80">
        <f t="shared" ca="1" si="137"/>
        <v>0</v>
      </c>
      <c r="Y254" s="80">
        <f t="shared" ca="1" si="157"/>
        <v>0</v>
      </c>
      <c r="Z254" s="80">
        <f t="shared" ca="1" si="138"/>
        <v>0</v>
      </c>
      <c r="AA254" s="80">
        <f t="shared" ca="1" si="158"/>
        <v>0</v>
      </c>
      <c r="AB254" s="81">
        <f t="shared" ca="1" si="139"/>
        <v>0</v>
      </c>
      <c r="AC254" s="79">
        <f t="shared" ca="1" si="140"/>
        <v>0</v>
      </c>
      <c r="AD254" s="35"/>
      <c r="AE254" s="62">
        <f t="shared" ca="1" si="141"/>
        <v>0</v>
      </c>
      <c r="AF254" s="62">
        <f t="shared" ca="1" si="142"/>
        <v>0</v>
      </c>
      <c r="AG254" s="35"/>
      <c r="AH254" s="35"/>
      <c r="AR254" s="69">
        <f t="shared" si="159"/>
        <v>21</v>
      </c>
      <c r="AS254" s="70">
        <f t="shared" si="162"/>
        <v>251</v>
      </c>
      <c r="AT254" s="71">
        <f t="shared" si="163"/>
        <v>0.17941362366983168</v>
      </c>
      <c r="AU254" s="72">
        <f t="shared" si="143"/>
        <v>6.8214933659622723E-3</v>
      </c>
      <c r="AV254" s="73">
        <f t="shared" si="160"/>
        <v>1.0068214933659623</v>
      </c>
      <c r="AW254" s="74">
        <f>PRODUCT(AV$4:AV254)</f>
        <v>5.5089905030482891</v>
      </c>
    </row>
    <row r="255" spans="5:49">
      <c r="E255">
        <f t="shared" si="161"/>
        <v>252</v>
      </c>
      <c r="F255" s="64">
        <f t="shared" si="144"/>
        <v>82.08</v>
      </c>
      <c r="G255" s="55">
        <f t="shared" si="145"/>
        <v>1.0343997254147252E-2</v>
      </c>
      <c r="H255" s="78">
        <f t="shared" si="164"/>
        <v>0.29262630388256089</v>
      </c>
      <c r="I255" s="79">
        <f t="shared" ca="1" si="146"/>
        <v>0</v>
      </c>
      <c r="J255" s="79">
        <f t="shared" ca="1" si="147"/>
        <v>0</v>
      </c>
      <c r="K255" s="80">
        <f t="shared" ca="1" si="148"/>
        <v>0</v>
      </c>
      <c r="L255" s="80">
        <f t="shared" ca="1" si="149"/>
        <v>0</v>
      </c>
      <c r="M255" s="80">
        <f t="shared" ca="1" si="150"/>
        <v>0</v>
      </c>
      <c r="N255" s="80">
        <f t="shared" ca="1" si="151"/>
        <v>0</v>
      </c>
      <c r="O255" s="81">
        <f t="shared" ca="1" si="134"/>
        <v>0</v>
      </c>
      <c r="P255" s="79">
        <f t="shared" ca="1" si="135"/>
        <v>0</v>
      </c>
      <c r="Q255" s="35"/>
      <c r="R255">
        <f t="shared" ca="1" si="152"/>
        <v>252</v>
      </c>
      <c r="S255" s="78">
        <f t="shared" ca="1" si="153"/>
        <v>82.08</v>
      </c>
      <c r="T255" s="55">
        <f t="shared" ca="1" si="154"/>
        <v>1.0343997254147252E-2</v>
      </c>
      <c r="U255" s="78">
        <f t="shared" ca="1" si="155"/>
        <v>0.29262630388256089</v>
      </c>
      <c r="V255" s="79">
        <f t="shared" ca="1" si="156"/>
        <v>0</v>
      </c>
      <c r="W255" s="79">
        <f t="shared" ca="1" si="136"/>
        <v>0</v>
      </c>
      <c r="X255" s="80">
        <f t="shared" ca="1" si="137"/>
        <v>0</v>
      </c>
      <c r="Y255" s="80">
        <f t="shared" ca="1" si="157"/>
        <v>0</v>
      </c>
      <c r="Z255" s="80">
        <f t="shared" ca="1" si="138"/>
        <v>0</v>
      </c>
      <c r="AA255" s="80">
        <f t="shared" ca="1" si="158"/>
        <v>0</v>
      </c>
      <c r="AB255" s="81">
        <f t="shared" ca="1" si="139"/>
        <v>0</v>
      </c>
      <c r="AC255" s="79">
        <f t="shared" ca="1" si="140"/>
        <v>0</v>
      </c>
      <c r="AD255" s="35"/>
      <c r="AE255" s="62">
        <f t="shared" ca="1" si="141"/>
        <v>0</v>
      </c>
      <c r="AF255" s="62">
        <f t="shared" ca="1" si="142"/>
        <v>0</v>
      </c>
      <c r="AG255" s="35"/>
      <c r="AH255" s="35"/>
      <c r="AR255" s="69">
        <f t="shared" si="159"/>
        <v>21</v>
      </c>
      <c r="AS255" s="70">
        <f t="shared" si="162"/>
        <v>252</v>
      </c>
      <c r="AT255" s="71">
        <f t="shared" si="163"/>
        <v>0.17818975482620467</v>
      </c>
      <c r="AU255" s="72">
        <f t="shared" si="143"/>
        <v>6.8214933659622723E-3</v>
      </c>
      <c r="AV255" s="73">
        <f t="shared" si="160"/>
        <v>1.0068214933659623</v>
      </c>
      <c r="AW255" s="74">
        <f>PRODUCT(AV$4:AV255)</f>
        <v>5.5465700452179822</v>
      </c>
    </row>
    <row r="256" spans="5:49">
      <c r="E256">
        <f t="shared" si="161"/>
        <v>253</v>
      </c>
      <c r="F256" s="64">
        <f t="shared" si="144"/>
        <v>82.16</v>
      </c>
      <c r="G256" s="55">
        <f t="shared" si="145"/>
        <v>1.0343997254147252E-2</v>
      </c>
      <c r="H256" s="78">
        <f t="shared" si="164"/>
        <v>0.2895993781987084</v>
      </c>
      <c r="I256" s="79">
        <f t="shared" ca="1" si="146"/>
        <v>0</v>
      </c>
      <c r="J256" s="79">
        <f t="shared" ca="1" si="147"/>
        <v>0</v>
      </c>
      <c r="K256" s="80">
        <f t="shared" ca="1" si="148"/>
        <v>0</v>
      </c>
      <c r="L256" s="80">
        <f t="shared" ca="1" si="149"/>
        <v>0</v>
      </c>
      <c r="M256" s="80">
        <f t="shared" ca="1" si="150"/>
        <v>0</v>
      </c>
      <c r="N256" s="80">
        <f t="shared" ca="1" si="151"/>
        <v>0</v>
      </c>
      <c r="O256" s="81">
        <f t="shared" ca="1" si="134"/>
        <v>0</v>
      </c>
      <c r="P256" s="79">
        <f t="shared" ca="1" si="135"/>
        <v>0</v>
      </c>
      <c r="Q256" s="35"/>
      <c r="R256">
        <f t="shared" ca="1" si="152"/>
        <v>253</v>
      </c>
      <c r="S256" s="78">
        <f t="shared" ca="1" si="153"/>
        <v>82.16</v>
      </c>
      <c r="T256" s="55">
        <f t="shared" ca="1" si="154"/>
        <v>1.0343997254147252E-2</v>
      </c>
      <c r="U256" s="78">
        <f t="shared" ca="1" si="155"/>
        <v>0.2895993781987084</v>
      </c>
      <c r="V256" s="79">
        <f t="shared" ca="1" si="156"/>
        <v>0</v>
      </c>
      <c r="W256" s="79">
        <f t="shared" ca="1" si="136"/>
        <v>0</v>
      </c>
      <c r="X256" s="80">
        <f t="shared" ca="1" si="137"/>
        <v>0</v>
      </c>
      <c r="Y256" s="80">
        <f t="shared" ca="1" si="157"/>
        <v>0</v>
      </c>
      <c r="Z256" s="80">
        <f t="shared" ca="1" si="138"/>
        <v>0</v>
      </c>
      <c r="AA256" s="80">
        <f t="shared" ca="1" si="158"/>
        <v>0</v>
      </c>
      <c r="AB256" s="81">
        <f t="shared" ca="1" si="139"/>
        <v>0</v>
      </c>
      <c r="AC256" s="79">
        <f t="shared" ca="1" si="140"/>
        <v>0</v>
      </c>
      <c r="AD256" s="35"/>
      <c r="AE256" s="62">
        <f t="shared" ca="1" si="141"/>
        <v>0</v>
      </c>
      <c r="AF256" s="62">
        <f t="shared" ca="1" si="142"/>
        <v>0</v>
      </c>
      <c r="AG256" s="35"/>
      <c r="AH256" s="35"/>
      <c r="AR256" s="69">
        <f t="shared" si="159"/>
        <v>22</v>
      </c>
      <c r="AS256" s="70">
        <f t="shared" si="162"/>
        <v>253</v>
      </c>
      <c r="AT256" s="71">
        <f t="shared" si="163"/>
        <v>0.17697423459577527</v>
      </c>
      <c r="AU256" s="72">
        <f t="shared" si="143"/>
        <v>6.8214933659622723E-3</v>
      </c>
      <c r="AV256" s="73">
        <f t="shared" si="160"/>
        <v>1.0068214933659623</v>
      </c>
      <c r="AW256" s="74">
        <f>PRODUCT(AV$4:AV256)</f>
        <v>5.5844059359852816</v>
      </c>
    </row>
    <row r="257" spans="5:49">
      <c r="E257">
        <f t="shared" si="161"/>
        <v>254</v>
      </c>
      <c r="F257" s="64">
        <f t="shared" si="144"/>
        <v>82.24</v>
      </c>
      <c r="G257" s="55">
        <f t="shared" si="145"/>
        <v>1.0343997254147252E-2</v>
      </c>
      <c r="H257" s="78">
        <f t="shared" si="164"/>
        <v>0.28660376302581819</v>
      </c>
      <c r="I257" s="79">
        <f t="shared" ca="1" si="146"/>
        <v>0</v>
      </c>
      <c r="J257" s="79">
        <f t="shared" ca="1" si="147"/>
        <v>0</v>
      </c>
      <c r="K257" s="80">
        <f t="shared" ca="1" si="148"/>
        <v>0</v>
      </c>
      <c r="L257" s="80">
        <f t="shared" ca="1" si="149"/>
        <v>0</v>
      </c>
      <c r="M257" s="80">
        <f t="shared" ca="1" si="150"/>
        <v>0</v>
      </c>
      <c r="N257" s="80">
        <f t="shared" ca="1" si="151"/>
        <v>0</v>
      </c>
      <c r="O257" s="81">
        <f t="shared" ca="1" si="134"/>
        <v>0</v>
      </c>
      <c r="P257" s="79">
        <f t="shared" ca="1" si="135"/>
        <v>0</v>
      </c>
      <c r="Q257" s="35"/>
      <c r="R257">
        <f t="shared" ca="1" si="152"/>
        <v>254</v>
      </c>
      <c r="S257" s="78">
        <f t="shared" ca="1" si="153"/>
        <v>82.24</v>
      </c>
      <c r="T257" s="55">
        <f t="shared" ca="1" si="154"/>
        <v>1.0343997254147252E-2</v>
      </c>
      <c r="U257" s="78">
        <f t="shared" ca="1" si="155"/>
        <v>0.28660376302581819</v>
      </c>
      <c r="V257" s="79">
        <f t="shared" ca="1" si="156"/>
        <v>0</v>
      </c>
      <c r="W257" s="79">
        <f t="shared" ca="1" si="136"/>
        <v>0</v>
      </c>
      <c r="X257" s="80">
        <f t="shared" ca="1" si="137"/>
        <v>0</v>
      </c>
      <c r="Y257" s="80">
        <f t="shared" ca="1" si="157"/>
        <v>0</v>
      </c>
      <c r="Z257" s="80">
        <f t="shared" ca="1" si="138"/>
        <v>0</v>
      </c>
      <c r="AA257" s="80">
        <f t="shared" ca="1" si="158"/>
        <v>0</v>
      </c>
      <c r="AB257" s="81">
        <f t="shared" ca="1" si="139"/>
        <v>0</v>
      </c>
      <c r="AC257" s="79">
        <f t="shared" ca="1" si="140"/>
        <v>0</v>
      </c>
      <c r="AD257" s="35"/>
      <c r="AE257" s="62">
        <f t="shared" ca="1" si="141"/>
        <v>0</v>
      </c>
      <c r="AF257" s="62">
        <f t="shared" ca="1" si="142"/>
        <v>0</v>
      </c>
      <c r="AG257" s="35"/>
      <c r="AH257" s="35"/>
      <c r="AR257" s="69">
        <f t="shared" si="159"/>
        <v>22</v>
      </c>
      <c r="AS257" s="70">
        <f t="shared" si="162"/>
        <v>254</v>
      </c>
      <c r="AT257" s="71">
        <f t="shared" si="163"/>
        <v>0.17576700602853393</v>
      </c>
      <c r="AU257" s="72">
        <f t="shared" si="143"/>
        <v>6.8214933659622723E-3</v>
      </c>
      <c r="AV257" s="73">
        <f t="shared" si="160"/>
        <v>1.0068214933659623</v>
      </c>
      <c r="AW257" s="74">
        <f>PRODUCT(AV$4:AV257)</f>
        <v>5.6224999240304454</v>
      </c>
    </row>
    <row r="258" spans="5:49">
      <c r="E258">
        <f t="shared" si="161"/>
        <v>255</v>
      </c>
      <c r="F258" s="64">
        <f t="shared" si="144"/>
        <v>82.32</v>
      </c>
      <c r="G258" s="55">
        <f t="shared" si="145"/>
        <v>1.0343997254147252E-2</v>
      </c>
      <c r="H258" s="78">
        <f t="shared" si="164"/>
        <v>0.28363913448805084</v>
      </c>
      <c r="I258" s="79">
        <f t="shared" ca="1" si="146"/>
        <v>0</v>
      </c>
      <c r="J258" s="79">
        <f t="shared" ca="1" si="147"/>
        <v>0</v>
      </c>
      <c r="K258" s="80">
        <f t="shared" ca="1" si="148"/>
        <v>0</v>
      </c>
      <c r="L258" s="80">
        <f t="shared" ca="1" si="149"/>
        <v>0</v>
      </c>
      <c r="M258" s="80">
        <f t="shared" ca="1" si="150"/>
        <v>0</v>
      </c>
      <c r="N258" s="80">
        <f t="shared" ca="1" si="151"/>
        <v>0</v>
      </c>
      <c r="O258" s="81">
        <f t="shared" ca="1" si="134"/>
        <v>0</v>
      </c>
      <c r="P258" s="79">
        <f t="shared" ca="1" si="135"/>
        <v>0</v>
      </c>
      <c r="Q258" s="35"/>
      <c r="R258">
        <f t="shared" ca="1" si="152"/>
        <v>255</v>
      </c>
      <c r="S258" s="78">
        <f t="shared" ca="1" si="153"/>
        <v>82.32</v>
      </c>
      <c r="T258" s="55">
        <f t="shared" ca="1" si="154"/>
        <v>1.0343997254147252E-2</v>
      </c>
      <c r="U258" s="78">
        <f t="shared" ca="1" si="155"/>
        <v>0.28363913448805084</v>
      </c>
      <c r="V258" s="79">
        <f t="shared" ca="1" si="156"/>
        <v>0</v>
      </c>
      <c r="W258" s="79">
        <f t="shared" ca="1" si="136"/>
        <v>0</v>
      </c>
      <c r="X258" s="80">
        <f t="shared" ca="1" si="137"/>
        <v>0</v>
      </c>
      <c r="Y258" s="80">
        <f t="shared" ca="1" si="157"/>
        <v>0</v>
      </c>
      <c r="Z258" s="80">
        <f t="shared" ca="1" si="138"/>
        <v>0</v>
      </c>
      <c r="AA258" s="80">
        <f t="shared" ca="1" si="158"/>
        <v>0</v>
      </c>
      <c r="AB258" s="81">
        <f t="shared" ca="1" si="139"/>
        <v>0</v>
      </c>
      <c r="AC258" s="79">
        <f t="shared" ca="1" si="140"/>
        <v>0</v>
      </c>
      <c r="AD258" s="35"/>
      <c r="AE258" s="62">
        <f t="shared" ca="1" si="141"/>
        <v>0</v>
      </c>
      <c r="AF258" s="62">
        <f t="shared" ca="1" si="142"/>
        <v>0</v>
      </c>
      <c r="AG258" s="35"/>
      <c r="AH258" s="35"/>
      <c r="AR258" s="69">
        <f t="shared" si="159"/>
        <v>22</v>
      </c>
      <c r="AS258" s="70">
        <f t="shared" si="162"/>
        <v>255</v>
      </c>
      <c r="AT258" s="71">
        <f t="shared" si="163"/>
        <v>0.17456801256295523</v>
      </c>
      <c r="AU258" s="72">
        <f t="shared" si="143"/>
        <v>6.8214933659622723E-3</v>
      </c>
      <c r="AV258" s="73">
        <f t="shared" si="160"/>
        <v>1.0068214933659623</v>
      </c>
      <c r="AW258" s="74">
        <f>PRODUCT(AV$4:AV258)</f>
        <v>5.6608537699623422</v>
      </c>
    </row>
    <row r="259" spans="5:49">
      <c r="E259">
        <f t="shared" si="161"/>
        <v>256</v>
      </c>
      <c r="F259" s="64">
        <f t="shared" si="144"/>
        <v>82.4</v>
      </c>
      <c r="G259" s="55">
        <f t="shared" si="145"/>
        <v>1.0343997254147252E-2</v>
      </c>
      <c r="H259" s="78">
        <f t="shared" si="164"/>
        <v>0.28070517205973772</v>
      </c>
      <c r="I259" s="79">
        <f t="shared" ca="1" si="146"/>
        <v>0</v>
      </c>
      <c r="J259" s="79">
        <f t="shared" ca="1" si="147"/>
        <v>0</v>
      </c>
      <c r="K259" s="80">
        <f t="shared" ca="1" si="148"/>
        <v>0</v>
      </c>
      <c r="L259" s="80">
        <f t="shared" ca="1" si="149"/>
        <v>0</v>
      </c>
      <c r="M259" s="80">
        <f t="shared" ca="1" si="150"/>
        <v>0</v>
      </c>
      <c r="N259" s="80">
        <f t="shared" ca="1" si="151"/>
        <v>0</v>
      </c>
      <c r="O259" s="81">
        <f t="shared" ca="1" si="134"/>
        <v>0</v>
      </c>
      <c r="P259" s="79">
        <f t="shared" ca="1" si="135"/>
        <v>0</v>
      </c>
      <c r="Q259" s="35"/>
      <c r="R259">
        <f t="shared" ca="1" si="152"/>
        <v>256</v>
      </c>
      <c r="S259" s="78">
        <f t="shared" ca="1" si="153"/>
        <v>82.4</v>
      </c>
      <c r="T259" s="55">
        <f t="shared" ca="1" si="154"/>
        <v>1.0343997254147252E-2</v>
      </c>
      <c r="U259" s="78">
        <f t="shared" ca="1" si="155"/>
        <v>0.28070517205973772</v>
      </c>
      <c r="V259" s="79">
        <f t="shared" ca="1" si="156"/>
        <v>0</v>
      </c>
      <c r="W259" s="79">
        <f t="shared" ca="1" si="136"/>
        <v>0</v>
      </c>
      <c r="X259" s="80">
        <f t="shared" ca="1" si="137"/>
        <v>0</v>
      </c>
      <c r="Y259" s="80">
        <f t="shared" ca="1" si="157"/>
        <v>0</v>
      </c>
      <c r="Z259" s="80">
        <f t="shared" ca="1" si="138"/>
        <v>0</v>
      </c>
      <c r="AA259" s="80">
        <f t="shared" ca="1" si="158"/>
        <v>0</v>
      </c>
      <c r="AB259" s="81">
        <f t="shared" ca="1" si="139"/>
        <v>0</v>
      </c>
      <c r="AC259" s="79">
        <f t="shared" ca="1" si="140"/>
        <v>0</v>
      </c>
      <c r="AD259" s="35"/>
      <c r="AE259" s="62">
        <f t="shared" ca="1" si="141"/>
        <v>0</v>
      </c>
      <c r="AF259" s="62">
        <f t="shared" ca="1" si="142"/>
        <v>0</v>
      </c>
      <c r="AG259" s="35"/>
      <c r="AH259" s="35"/>
      <c r="AR259" s="69">
        <f t="shared" si="159"/>
        <v>22</v>
      </c>
      <c r="AS259" s="70">
        <f t="shared" si="162"/>
        <v>256</v>
      </c>
      <c r="AT259" s="71">
        <f t="shared" si="163"/>
        <v>0.17337719802334781</v>
      </c>
      <c r="AU259" s="72">
        <f t="shared" si="143"/>
        <v>6.8214933659622723E-3</v>
      </c>
      <c r="AV259" s="73">
        <f t="shared" si="160"/>
        <v>1.0068214933659623</v>
      </c>
      <c r="AW259" s="74">
        <f>PRODUCT(AV$4:AV259)</f>
        <v>5.6994692463998229</v>
      </c>
    </row>
    <row r="260" spans="5:49">
      <c r="E260">
        <f t="shared" si="161"/>
        <v>257</v>
      </c>
      <c r="F260" s="64">
        <f t="shared" si="144"/>
        <v>82.48</v>
      </c>
      <c r="G260" s="55">
        <f t="shared" si="145"/>
        <v>1.0343997254147252E-2</v>
      </c>
      <c r="H260" s="78">
        <f t="shared" si="164"/>
        <v>0.27780155853072686</v>
      </c>
      <c r="I260" s="79">
        <f t="shared" ca="1" si="146"/>
        <v>0</v>
      </c>
      <c r="J260" s="79">
        <f t="shared" ca="1" si="147"/>
        <v>0</v>
      </c>
      <c r="K260" s="80">
        <f t="shared" ca="1" si="148"/>
        <v>0</v>
      </c>
      <c r="L260" s="80">
        <f t="shared" ca="1" si="149"/>
        <v>0</v>
      </c>
      <c r="M260" s="80">
        <f t="shared" ca="1" si="150"/>
        <v>0</v>
      </c>
      <c r="N260" s="80">
        <f t="shared" ca="1" si="151"/>
        <v>0</v>
      </c>
      <c r="O260" s="81">
        <f t="shared" ref="O260:O323" ca="1" si="165">-MIN(IF(MOD(R260,IF($C$5="Annual",12,1))=0,1,0)*$C$33*U260/IF($C$5="Monthly",12,1),I260)</f>
        <v>0</v>
      </c>
      <c r="P260" s="79">
        <f t="shared" ref="P260:P323" ca="1" si="166">SUM(I260:O260)</f>
        <v>0</v>
      </c>
      <c r="Q260" s="35"/>
      <c r="R260">
        <f t="shared" ca="1" si="152"/>
        <v>257</v>
      </c>
      <c r="S260" s="78">
        <f t="shared" ca="1" si="153"/>
        <v>82.48</v>
      </c>
      <c r="T260" s="55">
        <f t="shared" ca="1" si="154"/>
        <v>1.0343997254147252E-2</v>
      </c>
      <c r="U260" s="78">
        <f t="shared" ca="1" si="155"/>
        <v>0.27780155853072686</v>
      </c>
      <c r="V260" s="79">
        <f t="shared" ca="1" si="156"/>
        <v>0</v>
      </c>
      <c r="W260" s="79">
        <f t="shared" ref="W260:W323" ca="1" si="167">(V260)*$AU260</f>
        <v>0</v>
      </c>
      <c r="X260" s="80">
        <f t="shared" ref="X260:X323" ca="1" si="168">IF(V260=0,0,-$C$19)*U260</f>
        <v>0</v>
      </c>
      <c r="Y260" s="80">
        <f t="shared" ca="1" si="157"/>
        <v>0</v>
      </c>
      <c r="Z260" s="80">
        <f t="shared" ref="Z260:Z323" ca="1" si="169">-IF(MOD(R260-1,12)=0,1,0)*V260*($C$17)</f>
        <v>0</v>
      </c>
      <c r="AA260" s="80">
        <f t="shared" ca="1" si="158"/>
        <v>0</v>
      </c>
      <c r="AB260" s="81">
        <f t="shared" ref="AB260:AB323" ca="1" si="170">-MIN(IF(MOD(R260,IF($C$5="Annual",12,1))=0,1,0)*$C$33*U260/IF($C$5="Monthly",12,1),V260)</f>
        <v>0</v>
      </c>
      <c r="AC260" s="79">
        <f t="shared" ref="AC260:AC323" ca="1" si="171">SUM(V260:AB260)</f>
        <v>0</v>
      </c>
      <c r="AD260" s="35"/>
      <c r="AE260" s="62">
        <f t="shared" ref="AE260:AE323" ca="1" si="172">AB260/U260</f>
        <v>0</v>
      </c>
      <c r="AF260" s="62">
        <f t="shared" ref="AF260:AF323" ca="1" si="173">AC260/U260</f>
        <v>0</v>
      </c>
      <c r="AG260" s="35"/>
      <c r="AH260" s="35"/>
      <c r="AR260" s="69">
        <f t="shared" si="159"/>
        <v>22</v>
      </c>
      <c r="AS260" s="70">
        <f t="shared" si="162"/>
        <v>257</v>
      </c>
      <c r="AT260" s="71">
        <f t="shared" si="163"/>
        <v>0.17219450661722241</v>
      </c>
      <c r="AU260" s="72">
        <f t="shared" ref="AU260:AU323" si="174">((1+$AH$21)^(1/12))-1</f>
        <v>6.8214933659622723E-3</v>
      </c>
      <c r="AV260" s="73">
        <f t="shared" si="160"/>
        <v>1.0068214933659623</v>
      </c>
      <c r="AW260" s="74">
        <f>PRODUCT(AV$4:AV260)</f>
        <v>5.7383481380536452</v>
      </c>
    </row>
    <row r="261" spans="5:49">
      <c r="E261">
        <f t="shared" si="161"/>
        <v>258</v>
      </c>
      <c r="F261" s="64">
        <f t="shared" ref="F261:F324" si="175">ROUND((E261-E260)/12+F260,2)</f>
        <v>82.56</v>
      </c>
      <c r="G261" s="55">
        <f t="shared" ref="G261:G324" si="176">(1-(1-IF(F261&gt;$AJ$90,0,VLOOKUP(ROUND(F261,0),$AJ$4:$AK$90,2,FALSE)))^(1/12))</f>
        <v>1.1324652332016072E-2</v>
      </c>
      <c r="H261" s="78">
        <f t="shared" si="164"/>
        <v>0.27465555246307416</v>
      </c>
      <c r="I261" s="79">
        <f t="shared" ref="I261:I324" ca="1" si="177">MAX(P260,0)*(1-G261)</f>
        <v>0</v>
      </c>
      <c r="J261" s="79">
        <f t="shared" ref="J261:J324" ca="1" si="178">(I261)*$AU261</f>
        <v>0</v>
      </c>
      <c r="K261" s="80">
        <f t="shared" ref="K261:K324" ca="1" si="179">IF(I261=0,0,-$C$19)*H261</f>
        <v>0</v>
      </c>
      <c r="L261" s="80">
        <f t="shared" ref="L261:L324" ca="1" si="180">IF(OR(I260+O260=0,K260=0),0,-I261*($C$16/12))</f>
        <v>0</v>
      </c>
      <c r="M261" s="80">
        <f t="shared" ref="M261:M324" ca="1" si="181">IF(OR(I260+O260=0,K260=0),0,-IF(MOD(E261-1,12)=0,1,0)*I261*($C$17))</f>
        <v>0</v>
      </c>
      <c r="N261" s="80">
        <f t="shared" ref="N261:N324" ca="1" si="182">IF(OR(I260+O260=0,K260=0),0,-I261*($C$18*(1+$C$20))/12)</f>
        <v>0</v>
      </c>
      <c r="O261" s="81">
        <f t="shared" ca="1" si="165"/>
        <v>0</v>
      </c>
      <c r="P261" s="79">
        <f t="shared" ca="1" si="166"/>
        <v>0</v>
      </c>
      <c r="Q261" s="35"/>
      <c r="R261">
        <f t="shared" ref="R261:R324" ca="1" si="183">R260+1</f>
        <v>258</v>
      </c>
      <c r="S261" s="78">
        <f t="shared" ref="S261:S324" ca="1" si="184">ROUND((R261-R260)/12+S260,2)</f>
        <v>82.56</v>
      </c>
      <c r="T261" s="55">
        <f t="shared" ref="T261:T324" ca="1" si="185">(1-(1-IF(S261&gt;$AJ$90,0,VLOOKUP(ROUND(S261,0),$AJ$4:$AK$90,2,FALSE)))^(1/12))</f>
        <v>1.1324652332016072E-2</v>
      </c>
      <c r="U261" s="78">
        <f t="shared" ref="U261:U324" ca="1" si="186">U260*(1-T261)</f>
        <v>0.27465555246307416</v>
      </c>
      <c r="V261" s="79">
        <f t="shared" ref="V261:V324" ca="1" si="187">MAX(AC260,0)*(1-T261)</f>
        <v>0</v>
      </c>
      <c r="W261" s="79">
        <f t="shared" ca="1" si="167"/>
        <v>0</v>
      </c>
      <c r="X261" s="80">
        <f t="shared" ca="1" si="168"/>
        <v>0</v>
      </c>
      <c r="Y261" s="80">
        <f t="shared" ref="Y261:Y324" ca="1" si="188">IF(OR(V260+AB260=0,X260=0),0,-V261*($C$16/12))</f>
        <v>0</v>
      </c>
      <c r="Z261" s="80">
        <f t="shared" ca="1" si="169"/>
        <v>0</v>
      </c>
      <c r="AA261" s="80">
        <f t="shared" ref="AA261:AA324" ca="1" si="189">IF(OR(V260+AB260=0,X260=0),0,-V261*($C$18*(1+$C$20))/12)</f>
        <v>0</v>
      </c>
      <c r="AB261" s="81">
        <f t="shared" ca="1" si="170"/>
        <v>0</v>
      </c>
      <c r="AC261" s="79">
        <f t="shared" ca="1" si="171"/>
        <v>0</v>
      </c>
      <c r="AD261" s="35"/>
      <c r="AE261" s="62">
        <f t="shared" ca="1" si="172"/>
        <v>0</v>
      </c>
      <c r="AF261" s="62">
        <f t="shared" ca="1" si="173"/>
        <v>0</v>
      </c>
      <c r="AG261" s="35"/>
      <c r="AH261" s="35"/>
      <c r="AR261" s="69">
        <f t="shared" ref="AR261:AR324" si="190">ROUNDDOWN((AS261-1)/12,0)+1</f>
        <v>22</v>
      </c>
      <c r="AS261" s="70">
        <f t="shared" si="162"/>
        <v>258</v>
      </c>
      <c r="AT261" s="71">
        <f t="shared" si="163"/>
        <v>0.17101988293267789</v>
      </c>
      <c r="AU261" s="72">
        <f t="shared" si="174"/>
        <v>6.8214933659622723E-3</v>
      </c>
      <c r="AV261" s="73">
        <f t="shared" ref="AV261:AV324" si="191">(1+AU261)</f>
        <v>1.0068214933659623</v>
      </c>
      <c r="AW261" s="74">
        <f>PRODUCT(AV$4:AV261)</f>
        <v>5.77749224180896</v>
      </c>
    </row>
    <row r="262" spans="5:49">
      <c r="E262">
        <f t="shared" ref="E262:E325" si="192">E261+1</f>
        <v>259</v>
      </c>
      <c r="F262" s="64">
        <f t="shared" si="175"/>
        <v>82.64</v>
      </c>
      <c r="G262" s="55">
        <f t="shared" si="176"/>
        <v>1.1324652332016072E-2</v>
      </c>
      <c r="H262" s="78">
        <f t="shared" si="164"/>
        <v>0.27154517382037202</v>
      </c>
      <c r="I262" s="79">
        <f t="shared" ca="1" si="177"/>
        <v>0</v>
      </c>
      <c r="J262" s="79">
        <f t="shared" ca="1" si="178"/>
        <v>0</v>
      </c>
      <c r="K262" s="80">
        <f t="shared" ca="1" si="179"/>
        <v>0</v>
      </c>
      <c r="L262" s="80">
        <f t="shared" ca="1" si="180"/>
        <v>0</v>
      </c>
      <c r="M262" s="80">
        <f t="shared" ca="1" si="181"/>
        <v>0</v>
      </c>
      <c r="N262" s="80">
        <f t="shared" ca="1" si="182"/>
        <v>0</v>
      </c>
      <c r="O262" s="81">
        <f t="shared" ca="1" si="165"/>
        <v>0</v>
      </c>
      <c r="P262" s="79">
        <f t="shared" ca="1" si="166"/>
        <v>0</v>
      </c>
      <c r="Q262" s="35"/>
      <c r="R262">
        <f t="shared" ca="1" si="183"/>
        <v>259</v>
      </c>
      <c r="S262" s="78">
        <f t="shared" ca="1" si="184"/>
        <v>82.64</v>
      </c>
      <c r="T262" s="55">
        <f t="shared" ca="1" si="185"/>
        <v>1.1324652332016072E-2</v>
      </c>
      <c r="U262" s="78">
        <f t="shared" ca="1" si="186"/>
        <v>0.27154517382037202</v>
      </c>
      <c r="V262" s="79">
        <f t="shared" ca="1" si="187"/>
        <v>0</v>
      </c>
      <c r="W262" s="79">
        <f t="shared" ca="1" si="167"/>
        <v>0</v>
      </c>
      <c r="X262" s="80">
        <f t="shared" ca="1" si="168"/>
        <v>0</v>
      </c>
      <c r="Y262" s="80">
        <f t="shared" ca="1" si="188"/>
        <v>0</v>
      </c>
      <c r="Z262" s="80">
        <f t="shared" ca="1" si="169"/>
        <v>0</v>
      </c>
      <c r="AA262" s="80">
        <f t="shared" ca="1" si="189"/>
        <v>0</v>
      </c>
      <c r="AB262" s="81">
        <f t="shared" ca="1" si="170"/>
        <v>0</v>
      </c>
      <c r="AC262" s="79">
        <f t="shared" ca="1" si="171"/>
        <v>0</v>
      </c>
      <c r="AD262" s="35"/>
      <c r="AE262" s="62">
        <f t="shared" ca="1" si="172"/>
        <v>0</v>
      </c>
      <c r="AF262" s="62">
        <f t="shared" ca="1" si="173"/>
        <v>0</v>
      </c>
      <c r="AG262" s="35"/>
      <c r="AH262" s="35"/>
      <c r="AR262" s="69">
        <f t="shared" si="190"/>
        <v>22</v>
      </c>
      <c r="AS262" s="70">
        <f t="shared" ref="AS262:AS325" si="193">AS261+1</f>
        <v>259</v>
      </c>
      <c r="AT262" s="71">
        <f t="shared" ref="AT262:AT325" si="194">(1-AU262)*AT261</f>
        <v>0.16985327193580499</v>
      </c>
      <c r="AU262" s="72">
        <f t="shared" si="174"/>
        <v>6.8214933659622723E-3</v>
      </c>
      <c r="AV262" s="73">
        <f t="shared" si="191"/>
        <v>1.0068214933659623</v>
      </c>
      <c r="AW262" s="74">
        <f>PRODUCT(AV$4:AV262)</f>
        <v>5.8169033668083587</v>
      </c>
    </row>
    <row r="263" spans="5:49">
      <c r="E263">
        <f t="shared" si="192"/>
        <v>260</v>
      </c>
      <c r="F263" s="64">
        <f t="shared" si="175"/>
        <v>82.72</v>
      </c>
      <c r="G263" s="55">
        <f t="shared" si="176"/>
        <v>1.1324652332016072E-2</v>
      </c>
      <c r="H263" s="78">
        <f t="shared" ref="H263:H326" si="195">H262*(1-G263)</f>
        <v>0.26847001913441942</v>
      </c>
      <c r="I263" s="79">
        <f t="shared" ca="1" si="177"/>
        <v>0</v>
      </c>
      <c r="J263" s="79">
        <f t="shared" ca="1" si="178"/>
        <v>0</v>
      </c>
      <c r="K263" s="80">
        <f t="shared" ca="1" si="179"/>
        <v>0</v>
      </c>
      <c r="L263" s="80">
        <f t="shared" ca="1" si="180"/>
        <v>0</v>
      </c>
      <c r="M263" s="80">
        <f t="shared" ca="1" si="181"/>
        <v>0</v>
      </c>
      <c r="N263" s="80">
        <f t="shared" ca="1" si="182"/>
        <v>0</v>
      </c>
      <c r="O263" s="81">
        <f t="shared" ca="1" si="165"/>
        <v>0</v>
      </c>
      <c r="P263" s="79">
        <f t="shared" ca="1" si="166"/>
        <v>0</v>
      </c>
      <c r="Q263" s="35"/>
      <c r="R263">
        <f t="shared" ca="1" si="183"/>
        <v>260</v>
      </c>
      <c r="S263" s="78">
        <f t="shared" ca="1" si="184"/>
        <v>82.72</v>
      </c>
      <c r="T263" s="55">
        <f t="shared" ca="1" si="185"/>
        <v>1.1324652332016072E-2</v>
      </c>
      <c r="U263" s="78">
        <f t="shared" ca="1" si="186"/>
        <v>0.26847001913441942</v>
      </c>
      <c r="V263" s="79">
        <f t="shared" ca="1" si="187"/>
        <v>0</v>
      </c>
      <c r="W263" s="79">
        <f t="shared" ca="1" si="167"/>
        <v>0</v>
      </c>
      <c r="X263" s="80">
        <f t="shared" ca="1" si="168"/>
        <v>0</v>
      </c>
      <c r="Y263" s="80">
        <f t="shared" ca="1" si="188"/>
        <v>0</v>
      </c>
      <c r="Z263" s="80">
        <f t="shared" ca="1" si="169"/>
        <v>0</v>
      </c>
      <c r="AA263" s="80">
        <f t="shared" ca="1" si="189"/>
        <v>0</v>
      </c>
      <c r="AB263" s="81">
        <f t="shared" ca="1" si="170"/>
        <v>0</v>
      </c>
      <c r="AC263" s="79">
        <f t="shared" ca="1" si="171"/>
        <v>0</v>
      </c>
      <c r="AD263" s="35"/>
      <c r="AE263" s="62">
        <f t="shared" ca="1" si="172"/>
        <v>0</v>
      </c>
      <c r="AF263" s="62">
        <f t="shared" ca="1" si="173"/>
        <v>0</v>
      </c>
      <c r="AG263" s="35"/>
      <c r="AH263" s="35"/>
      <c r="AR263" s="69">
        <f t="shared" si="190"/>
        <v>22</v>
      </c>
      <c r="AS263" s="70">
        <f t="shared" si="193"/>
        <v>260</v>
      </c>
      <c r="AT263" s="71">
        <f t="shared" si="194"/>
        <v>0.16869461896810792</v>
      </c>
      <c r="AU263" s="72">
        <f t="shared" si="174"/>
        <v>6.8214933659622723E-3</v>
      </c>
      <c r="AV263" s="73">
        <f t="shared" si="191"/>
        <v>1.0068214933659623</v>
      </c>
      <c r="AW263" s="74">
        <f>PRODUCT(AV$4:AV263)</f>
        <v>5.8565833345354852</v>
      </c>
    </row>
    <row r="264" spans="5:49">
      <c r="E264">
        <f t="shared" si="192"/>
        <v>261</v>
      </c>
      <c r="F264" s="64">
        <f t="shared" si="175"/>
        <v>82.8</v>
      </c>
      <c r="G264" s="55">
        <f t="shared" si="176"/>
        <v>1.1324652332016072E-2</v>
      </c>
      <c r="H264" s="78">
        <f t="shared" si="195"/>
        <v>0.26542968950615242</v>
      </c>
      <c r="I264" s="79">
        <f t="shared" ca="1" si="177"/>
        <v>0</v>
      </c>
      <c r="J264" s="79">
        <f t="shared" ca="1" si="178"/>
        <v>0</v>
      </c>
      <c r="K264" s="80">
        <f t="shared" ca="1" si="179"/>
        <v>0</v>
      </c>
      <c r="L264" s="80">
        <f t="shared" ca="1" si="180"/>
        <v>0</v>
      </c>
      <c r="M264" s="80">
        <f t="shared" ca="1" si="181"/>
        <v>0</v>
      </c>
      <c r="N264" s="80">
        <f t="shared" ca="1" si="182"/>
        <v>0</v>
      </c>
      <c r="O264" s="81">
        <f t="shared" ca="1" si="165"/>
        <v>0</v>
      </c>
      <c r="P264" s="79">
        <f t="shared" ca="1" si="166"/>
        <v>0</v>
      </c>
      <c r="Q264" s="35"/>
      <c r="R264">
        <f t="shared" ca="1" si="183"/>
        <v>261</v>
      </c>
      <c r="S264" s="78">
        <f t="shared" ca="1" si="184"/>
        <v>82.8</v>
      </c>
      <c r="T264" s="55">
        <f t="shared" ca="1" si="185"/>
        <v>1.1324652332016072E-2</v>
      </c>
      <c r="U264" s="78">
        <f t="shared" ca="1" si="186"/>
        <v>0.26542968950615242</v>
      </c>
      <c r="V264" s="79">
        <f t="shared" ca="1" si="187"/>
        <v>0</v>
      </c>
      <c r="W264" s="79">
        <f t="shared" ca="1" si="167"/>
        <v>0</v>
      </c>
      <c r="X264" s="80">
        <f t="shared" ca="1" si="168"/>
        <v>0</v>
      </c>
      <c r="Y264" s="80">
        <f t="shared" ca="1" si="188"/>
        <v>0</v>
      </c>
      <c r="Z264" s="80">
        <f t="shared" ca="1" si="169"/>
        <v>0</v>
      </c>
      <c r="AA264" s="80">
        <f t="shared" ca="1" si="189"/>
        <v>0</v>
      </c>
      <c r="AB264" s="81">
        <f t="shared" ca="1" si="170"/>
        <v>0</v>
      </c>
      <c r="AC264" s="79">
        <f t="shared" ca="1" si="171"/>
        <v>0</v>
      </c>
      <c r="AD264" s="35"/>
      <c r="AE264" s="62">
        <f t="shared" ca="1" si="172"/>
        <v>0</v>
      </c>
      <c r="AF264" s="62">
        <f t="shared" ca="1" si="173"/>
        <v>0</v>
      </c>
      <c r="AG264" s="35"/>
      <c r="AH264" s="35"/>
      <c r="AR264" s="69">
        <f t="shared" si="190"/>
        <v>22</v>
      </c>
      <c r="AS264" s="70">
        <f t="shared" si="193"/>
        <v>261</v>
      </c>
      <c r="AT264" s="71">
        <f t="shared" si="194"/>
        <v>0.16754386974394345</v>
      </c>
      <c r="AU264" s="72">
        <f t="shared" si="174"/>
        <v>6.8214933659622723E-3</v>
      </c>
      <c r="AV264" s="73">
        <f t="shared" si="191"/>
        <v>1.0068214933659623</v>
      </c>
      <c r="AW264" s="74">
        <f>PRODUCT(AV$4:AV264)</f>
        <v>5.8965339788992246</v>
      </c>
    </row>
    <row r="265" spans="5:49">
      <c r="E265">
        <f t="shared" si="192"/>
        <v>262</v>
      </c>
      <c r="F265" s="64">
        <f t="shared" si="175"/>
        <v>82.88</v>
      </c>
      <c r="G265" s="55">
        <f t="shared" si="176"/>
        <v>1.1324652332016072E-2</v>
      </c>
      <c r="H265" s="78">
        <f t="shared" si="195"/>
        <v>0.26242379055390025</v>
      </c>
      <c r="I265" s="79">
        <f t="shared" ca="1" si="177"/>
        <v>0</v>
      </c>
      <c r="J265" s="79">
        <f t="shared" ca="1" si="178"/>
        <v>0</v>
      </c>
      <c r="K265" s="80">
        <f t="shared" ca="1" si="179"/>
        <v>0</v>
      </c>
      <c r="L265" s="80">
        <f t="shared" ca="1" si="180"/>
        <v>0</v>
      </c>
      <c r="M265" s="80">
        <f t="shared" ca="1" si="181"/>
        <v>0</v>
      </c>
      <c r="N265" s="80">
        <f t="shared" ca="1" si="182"/>
        <v>0</v>
      </c>
      <c r="O265" s="81">
        <f t="shared" ca="1" si="165"/>
        <v>0</v>
      </c>
      <c r="P265" s="79">
        <f t="shared" ca="1" si="166"/>
        <v>0</v>
      </c>
      <c r="Q265" s="35"/>
      <c r="R265">
        <f t="shared" ca="1" si="183"/>
        <v>262</v>
      </c>
      <c r="S265" s="78">
        <f t="shared" ca="1" si="184"/>
        <v>82.88</v>
      </c>
      <c r="T265" s="55">
        <f t="shared" ca="1" si="185"/>
        <v>1.1324652332016072E-2</v>
      </c>
      <c r="U265" s="78">
        <f t="shared" ca="1" si="186"/>
        <v>0.26242379055390025</v>
      </c>
      <c r="V265" s="79">
        <f t="shared" ca="1" si="187"/>
        <v>0</v>
      </c>
      <c r="W265" s="79">
        <f t="shared" ca="1" si="167"/>
        <v>0</v>
      </c>
      <c r="X265" s="80">
        <f t="shared" ca="1" si="168"/>
        <v>0</v>
      </c>
      <c r="Y265" s="80">
        <f t="shared" ca="1" si="188"/>
        <v>0</v>
      </c>
      <c r="Z265" s="80">
        <f t="shared" ca="1" si="169"/>
        <v>0</v>
      </c>
      <c r="AA265" s="80">
        <f t="shared" ca="1" si="189"/>
        <v>0</v>
      </c>
      <c r="AB265" s="81">
        <f t="shared" ca="1" si="170"/>
        <v>0</v>
      </c>
      <c r="AC265" s="79">
        <f t="shared" ca="1" si="171"/>
        <v>0</v>
      </c>
      <c r="AD265" s="35"/>
      <c r="AE265" s="62">
        <f t="shared" ca="1" si="172"/>
        <v>0</v>
      </c>
      <c r="AF265" s="62">
        <f t="shared" ca="1" si="173"/>
        <v>0</v>
      </c>
      <c r="AG265" s="35"/>
      <c r="AH265" s="35"/>
      <c r="AR265" s="69">
        <f t="shared" si="190"/>
        <v>22</v>
      </c>
      <c r="AS265" s="70">
        <f t="shared" si="193"/>
        <v>262</v>
      </c>
      <c r="AT265" s="71">
        <f t="shared" si="194"/>
        <v>0.16640097034797749</v>
      </c>
      <c r="AU265" s="72">
        <f t="shared" si="174"/>
        <v>6.8214933659622723E-3</v>
      </c>
      <c r="AV265" s="73">
        <f t="shared" si="191"/>
        <v>1.0068214933659623</v>
      </c>
      <c r="AW265" s="74">
        <f>PRODUCT(AV$4:AV265)</f>
        <v>5.936757146318457</v>
      </c>
    </row>
    <row r="266" spans="5:49">
      <c r="E266">
        <f t="shared" si="192"/>
        <v>263</v>
      </c>
      <c r="F266" s="64">
        <f t="shared" si="175"/>
        <v>82.96</v>
      </c>
      <c r="G266" s="55">
        <f t="shared" si="176"/>
        <v>1.1324652332016072E-2</v>
      </c>
      <c r="H266" s="78">
        <f t="shared" si="195"/>
        <v>0.25945193236222752</v>
      </c>
      <c r="I266" s="79">
        <f t="shared" ca="1" si="177"/>
        <v>0</v>
      </c>
      <c r="J266" s="79">
        <f t="shared" ca="1" si="178"/>
        <v>0</v>
      </c>
      <c r="K266" s="80">
        <f t="shared" ca="1" si="179"/>
        <v>0</v>
      </c>
      <c r="L266" s="80">
        <f t="shared" ca="1" si="180"/>
        <v>0</v>
      </c>
      <c r="M266" s="80">
        <f t="shared" ca="1" si="181"/>
        <v>0</v>
      </c>
      <c r="N266" s="80">
        <f t="shared" ca="1" si="182"/>
        <v>0</v>
      </c>
      <c r="O266" s="81">
        <f t="shared" ca="1" si="165"/>
        <v>0</v>
      </c>
      <c r="P266" s="79">
        <f t="shared" ca="1" si="166"/>
        <v>0</v>
      </c>
      <c r="Q266" s="35"/>
      <c r="R266">
        <f t="shared" ca="1" si="183"/>
        <v>263</v>
      </c>
      <c r="S266" s="78">
        <f t="shared" ca="1" si="184"/>
        <v>82.96</v>
      </c>
      <c r="T266" s="55">
        <f t="shared" ca="1" si="185"/>
        <v>1.1324652332016072E-2</v>
      </c>
      <c r="U266" s="78">
        <f t="shared" ca="1" si="186"/>
        <v>0.25945193236222752</v>
      </c>
      <c r="V266" s="79">
        <f t="shared" ca="1" si="187"/>
        <v>0</v>
      </c>
      <c r="W266" s="79">
        <f t="shared" ca="1" si="167"/>
        <v>0</v>
      </c>
      <c r="X266" s="80">
        <f t="shared" ca="1" si="168"/>
        <v>0</v>
      </c>
      <c r="Y266" s="80">
        <f t="shared" ca="1" si="188"/>
        <v>0</v>
      </c>
      <c r="Z266" s="80">
        <f t="shared" ca="1" si="169"/>
        <v>0</v>
      </c>
      <c r="AA266" s="80">
        <f t="shared" ca="1" si="189"/>
        <v>0</v>
      </c>
      <c r="AB266" s="81">
        <f t="shared" ca="1" si="170"/>
        <v>0</v>
      </c>
      <c r="AC266" s="79">
        <f t="shared" ca="1" si="171"/>
        <v>0</v>
      </c>
      <c r="AD266" s="35"/>
      <c r="AE266" s="62">
        <f t="shared" ca="1" si="172"/>
        <v>0</v>
      </c>
      <c r="AF266" s="62">
        <f t="shared" ca="1" si="173"/>
        <v>0</v>
      </c>
      <c r="AG266" s="35"/>
      <c r="AH266" s="35"/>
      <c r="AR266" s="69">
        <f t="shared" si="190"/>
        <v>22</v>
      </c>
      <c r="AS266" s="70">
        <f t="shared" si="193"/>
        <v>263</v>
      </c>
      <c r="AT266" s="71">
        <f t="shared" si="194"/>
        <v>0.16526586723265907</v>
      </c>
      <c r="AU266" s="72">
        <f t="shared" si="174"/>
        <v>6.8214933659622723E-3</v>
      </c>
      <c r="AV266" s="73">
        <f t="shared" si="191"/>
        <v>1.0068214933659623</v>
      </c>
      <c r="AW266" s="74">
        <f>PRODUCT(AV$4:AV266)</f>
        <v>5.9772546958073978</v>
      </c>
    </row>
    <row r="267" spans="5:49">
      <c r="E267">
        <f t="shared" si="192"/>
        <v>264</v>
      </c>
      <c r="F267" s="64">
        <f t="shared" si="175"/>
        <v>83.04</v>
      </c>
      <c r="G267" s="55">
        <f t="shared" si="176"/>
        <v>1.1324652332016072E-2</v>
      </c>
      <c r="H267" s="78">
        <f t="shared" si="195"/>
        <v>0.25651372943135553</v>
      </c>
      <c r="I267" s="79">
        <f t="shared" ca="1" si="177"/>
        <v>0</v>
      </c>
      <c r="J267" s="79">
        <f t="shared" ca="1" si="178"/>
        <v>0</v>
      </c>
      <c r="K267" s="80">
        <f t="shared" ca="1" si="179"/>
        <v>0</v>
      </c>
      <c r="L267" s="80">
        <f t="shared" ca="1" si="180"/>
        <v>0</v>
      </c>
      <c r="M267" s="80">
        <f t="shared" ca="1" si="181"/>
        <v>0</v>
      </c>
      <c r="N267" s="80">
        <f t="shared" ca="1" si="182"/>
        <v>0</v>
      </c>
      <c r="O267" s="81">
        <f t="shared" ca="1" si="165"/>
        <v>0</v>
      </c>
      <c r="P267" s="79">
        <f t="shared" ca="1" si="166"/>
        <v>0</v>
      </c>
      <c r="Q267" s="35"/>
      <c r="R267">
        <f t="shared" ca="1" si="183"/>
        <v>264</v>
      </c>
      <c r="S267" s="78">
        <f t="shared" ca="1" si="184"/>
        <v>83.04</v>
      </c>
      <c r="T267" s="55">
        <f t="shared" ca="1" si="185"/>
        <v>1.1324652332016072E-2</v>
      </c>
      <c r="U267" s="78">
        <f t="shared" ca="1" si="186"/>
        <v>0.25651372943135553</v>
      </c>
      <c r="V267" s="79">
        <f t="shared" ca="1" si="187"/>
        <v>0</v>
      </c>
      <c r="W267" s="79">
        <f t="shared" ca="1" si="167"/>
        <v>0</v>
      </c>
      <c r="X267" s="80">
        <f t="shared" ca="1" si="168"/>
        <v>0</v>
      </c>
      <c r="Y267" s="80">
        <f t="shared" ca="1" si="188"/>
        <v>0</v>
      </c>
      <c r="Z267" s="80">
        <f t="shared" ca="1" si="169"/>
        <v>0</v>
      </c>
      <c r="AA267" s="80">
        <f t="shared" ca="1" si="189"/>
        <v>0</v>
      </c>
      <c r="AB267" s="81">
        <f t="shared" ca="1" si="170"/>
        <v>0</v>
      </c>
      <c r="AC267" s="79">
        <f t="shared" ca="1" si="171"/>
        <v>0</v>
      </c>
      <c r="AD267" s="35"/>
      <c r="AE267" s="62">
        <f t="shared" ca="1" si="172"/>
        <v>0</v>
      </c>
      <c r="AF267" s="62">
        <f t="shared" ca="1" si="173"/>
        <v>0</v>
      </c>
      <c r="AG267" s="35"/>
      <c r="AH267" s="35"/>
      <c r="AR267" s="69">
        <f t="shared" si="190"/>
        <v>22</v>
      </c>
      <c r="AS267" s="70">
        <f t="shared" si="193"/>
        <v>264</v>
      </c>
      <c r="AT267" s="71">
        <f t="shared" si="194"/>
        <v>0.16413850721571149</v>
      </c>
      <c r="AU267" s="72">
        <f t="shared" si="174"/>
        <v>6.8214933659622723E-3</v>
      </c>
      <c r="AV267" s="73">
        <f t="shared" si="191"/>
        <v>1.0068214933659623</v>
      </c>
      <c r="AW267" s="74">
        <f>PRODUCT(AV$4:AV267)</f>
        <v>6.0180284990615149</v>
      </c>
    </row>
    <row r="268" spans="5:49">
      <c r="E268">
        <f t="shared" si="192"/>
        <v>265</v>
      </c>
      <c r="F268" s="64">
        <f t="shared" si="175"/>
        <v>83.12</v>
      </c>
      <c r="G268" s="55">
        <f t="shared" si="176"/>
        <v>1.1324652332016072E-2</v>
      </c>
      <c r="H268" s="78">
        <f t="shared" si="195"/>
        <v>0.25360880062715657</v>
      </c>
      <c r="I268" s="79">
        <f t="shared" ca="1" si="177"/>
        <v>0</v>
      </c>
      <c r="J268" s="79">
        <f t="shared" ca="1" si="178"/>
        <v>0</v>
      </c>
      <c r="K268" s="80">
        <f t="shared" ca="1" si="179"/>
        <v>0</v>
      </c>
      <c r="L268" s="80">
        <f t="shared" ca="1" si="180"/>
        <v>0</v>
      </c>
      <c r="M268" s="80">
        <f t="shared" ca="1" si="181"/>
        <v>0</v>
      </c>
      <c r="N268" s="80">
        <f t="shared" ca="1" si="182"/>
        <v>0</v>
      </c>
      <c r="O268" s="81">
        <f t="shared" ca="1" si="165"/>
        <v>0</v>
      </c>
      <c r="P268" s="79">
        <f t="shared" ca="1" si="166"/>
        <v>0</v>
      </c>
      <c r="Q268" s="35"/>
      <c r="R268">
        <f t="shared" ca="1" si="183"/>
        <v>265</v>
      </c>
      <c r="S268" s="78">
        <f t="shared" ca="1" si="184"/>
        <v>83.12</v>
      </c>
      <c r="T268" s="55">
        <f t="shared" ca="1" si="185"/>
        <v>1.1324652332016072E-2</v>
      </c>
      <c r="U268" s="78">
        <f t="shared" ca="1" si="186"/>
        <v>0.25360880062715657</v>
      </c>
      <c r="V268" s="79">
        <f t="shared" ca="1" si="187"/>
        <v>0</v>
      </c>
      <c r="W268" s="79">
        <f t="shared" ca="1" si="167"/>
        <v>0</v>
      </c>
      <c r="X268" s="80">
        <f t="shared" ca="1" si="168"/>
        <v>0</v>
      </c>
      <c r="Y268" s="80">
        <f t="shared" ca="1" si="188"/>
        <v>0</v>
      </c>
      <c r="Z268" s="80">
        <f t="shared" ca="1" si="169"/>
        <v>0</v>
      </c>
      <c r="AA268" s="80">
        <f t="shared" ca="1" si="189"/>
        <v>0</v>
      </c>
      <c r="AB268" s="81">
        <f t="shared" ca="1" si="170"/>
        <v>0</v>
      </c>
      <c r="AC268" s="79">
        <f t="shared" ca="1" si="171"/>
        <v>0</v>
      </c>
      <c r="AD268" s="35"/>
      <c r="AE268" s="62">
        <f t="shared" ca="1" si="172"/>
        <v>0</v>
      </c>
      <c r="AF268" s="62">
        <f t="shared" ca="1" si="173"/>
        <v>0</v>
      </c>
      <c r="AG268" s="35"/>
      <c r="AH268" s="35"/>
      <c r="AR268" s="69">
        <f t="shared" si="190"/>
        <v>23</v>
      </c>
      <c r="AS268" s="70">
        <f t="shared" si="193"/>
        <v>265</v>
      </c>
      <c r="AT268" s="71">
        <f t="shared" si="194"/>
        <v>0.16301883747764057</v>
      </c>
      <c r="AU268" s="72">
        <f t="shared" si="174"/>
        <v>6.8214933659622723E-3</v>
      </c>
      <c r="AV268" s="73">
        <f t="shared" si="191"/>
        <v>1.0068214933659623</v>
      </c>
      <c r="AW268" s="74">
        <f>PRODUCT(AV$4:AV268)</f>
        <v>6.0590804405440348</v>
      </c>
    </row>
    <row r="269" spans="5:49">
      <c r="E269">
        <f t="shared" si="192"/>
        <v>266</v>
      </c>
      <c r="F269" s="64">
        <f t="shared" si="175"/>
        <v>83.2</v>
      </c>
      <c r="G269" s="55">
        <f t="shared" si="176"/>
        <v>1.1324652332016072E-2</v>
      </c>
      <c r="H269" s="78">
        <f t="shared" si="195"/>
        <v>0.25073676913171444</v>
      </c>
      <c r="I269" s="79">
        <f t="shared" ca="1" si="177"/>
        <v>0</v>
      </c>
      <c r="J269" s="79">
        <f t="shared" ca="1" si="178"/>
        <v>0</v>
      </c>
      <c r="K269" s="80">
        <f t="shared" ca="1" si="179"/>
        <v>0</v>
      </c>
      <c r="L269" s="80">
        <f t="shared" ca="1" si="180"/>
        <v>0</v>
      </c>
      <c r="M269" s="80">
        <f t="shared" ca="1" si="181"/>
        <v>0</v>
      </c>
      <c r="N269" s="80">
        <f t="shared" ca="1" si="182"/>
        <v>0</v>
      </c>
      <c r="O269" s="81">
        <f t="shared" ca="1" si="165"/>
        <v>0</v>
      </c>
      <c r="P269" s="79">
        <f t="shared" ca="1" si="166"/>
        <v>0</v>
      </c>
      <c r="Q269" s="35"/>
      <c r="R269">
        <f t="shared" ca="1" si="183"/>
        <v>266</v>
      </c>
      <c r="S269" s="78">
        <f t="shared" ca="1" si="184"/>
        <v>83.2</v>
      </c>
      <c r="T269" s="55">
        <f t="shared" ca="1" si="185"/>
        <v>1.1324652332016072E-2</v>
      </c>
      <c r="U269" s="78">
        <f t="shared" ca="1" si="186"/>
        <v>0.25073676913171444</v>
      </c>
      <c r="V269" s="79">
        <f t="shared" ca="1" si="187"/>
        <v>0</v>
      </c>
      <c r="W269" s="79">
        <f t="shared" ca="1" si="167"/>
        <v>0</v>
      </c>
      <c r="X269" s="80">
        <f t="shared" ca="1" si="168"/>
        <v>0</v>
      </c>
      <c r="Y269" s="80">
        <f t="shared" ca="1" si="188"/>
        <v>0</v>
      </c>
      <c r="Z269" s="80">
        <f t="shared" ca="1" si="169"/>
        <v>0</v>
      </c>
      <c r="AA269" s="80">
        <f t="shared" ca="1" si="189"/>
        <v>0</v>
      </c>
      <c r="AB269" s="81">
        <f t="shared" ca="1" si="170"/>
        <v>0</v>
      </c>
      <c r="AC269" s="79">
        <f t="shared" ca="1" si="171"/>
        <v>0</v>
      </c>
      <c r="AD269" s="35"/>
      <c r="AE269" s="62">
        <f t="shared" ca="1" si="172"/>
        <v>0</v>
      </c>
      <c r="AF269" s="62">
        <f t="shared" ca="1" si="173"/>
        <v>0</v>
      </c>
      <c r="AG269" s="35"/>
      <c r="AH269" s="35"/>
      <c r="AR269" s="69">
        <f t="shared" si="190"/>
        <v>23</v>
      </c>
      <c r="AS269" s="70">
        <f t="shared" si="193"/>
        <v>266</v>
      </c>
      <c r="AT269" s="71">
        <f t="shared" si="194"/>
        <v>0.16190680555925996</v>
      </c>
      <c r="AU269" s="72">
        <f t="shared" si="174"/>
        <v>6.8214933659622723E-3</v>
      </c>
      <c r="AV269" s="73">
        <f t="shared" si="191"/>
        <v>1.0068214933659623</v>
      </c>
      <c r="AW269" s="74">
        <f>PRODUCT(AV$4:AV269)</f>
        <v>6.1004124175730379</v>
      </c>
    </row>
    <row r="270" spans="5:49">
      <c r="E270">
        <f t="shared" si="192"/>
        <v>267</v>
      </c>
      <c r="F270" s="64">
        <f t="shared" si="175"/>
        <v>83.28</v>
      </c>
      <c r="G270" s="55">
        <f t="shared" si="176"/>
        <v>1.1324652332016072E-2</v>
      </c>
      <c r="H270" s="78">
        <f t="shared" si="195"/>
        <v>0.24789726239444479</v>
      </c>
      <c r="I270" s="79">
        <f t="shared" ca="1" si="177"/>
        <v>0</v>
      </c>
      <c r="J270" s="79">
        <f t="shared" ca="1" si="178"/>
        <v>0</v>
      </c>
      <c r="K270" s="80">
        <f t="shared" ca="1" si="179"/>
        <v>0</v>
      </c>
      <c r="L270" s="80">
        <f t="shared" ca="1" si="180"/>
        <v>0</v>
      </c>
      <c r="M270" s="80">
        <f t="shared" ca="1" si="181"/>
        <v>0</v>
      </c>
      <c r="N270" s="80">
        <f t="shared" ca="1" si="182"/>
        <v>0</v>
      </c>
      <c r="O270" s="81">
        <f t="shared" ca="1" si="165"/>
        <v>0</v>
      </c>
      <c r="P270" s="79">
        <f t="shared" ca="1" si="166"/>
        <v>0</v>
      </c>
      <c r="Q270" s="35"/>
      <c r="R270">
        <f t="shared" ca="1" si="183"/>
        <v>267</v>
      </c>
      <c r="S270" s="78">
        <f t="shared" ca="1" si="184"/>
        <v>83.28</v>
      </c>
      <c r="T270" s="55">
        <f t="shared" ca="1" si="185"/>
        <v>1.1324652332016072E-2</v>
      </c>
      <c r="U270" s="78">
        <f t="shared" ca="1" si="186"/>
        <v>0.24789726239444479</v>
      </c>
      <c r="V270" s="79">
        <f t="shared" ca="1" si="187"/>
        <v>0</v>
      </c>
      <c r="W270" s="79">
        <f t="shared" ca="1" si="167"/>
        <v>0</v>
      </c>
      <c r="X270" s="80">
        <f t="shared" ca="1" si="168"/>
        <v>0</v>
      </c>
      <c r="Y270" s="80">
        <f t="shared" ca="1" si="188"/>
        <v>0</v>
      </c>
      <c r="Z270" s="80">
        <f t="shared" ca="1" si="169"/>
        <v>0</v>
      </c>
      <c r="AA270" s="80">
        <f t="shared" ca="1" si="189"/>
        <v>0</v>
      </c>
      <c r="AB270" s="81">
        <f t="shared" ca="1" si="170"/>
        <v>0</v>
      </c>
      <c r="AC270" s="79">
        <f t="shared" ca="1" si="171"/>
        <v>0</v>
      </c>
      <c r="AD270" s="35"/>
      <c r="AE270" s="62">
        <f t="shared" ca="1" si="172"/>
        <v>0</v>
      </c>
      <c r="AF270" s="62">
        <f t="shared" ca="1" si="173"/>
        <v>0</v>
      </c>
      <c r="AG270" s="35"/>
      <c r="AH270" s="35"/>
      <c r="AR270" s="69">
        <f t="shared" si="190"/>
        <v>23</v>
      </c>
      <c r="AS270" s="70">
        <f t="shared" si="193"/>
        <v>267</v>
      </c>
      <c r="AT270" s="71">
        <f t="shared" si="194"/>
        <v>0.16080235935923332</v>
      </c>
      <c r="AU270" s="72">
        <f t="shared" si="174"/>
        <v>6.8214933659622723E-3</v>
      </c>
      <c r="AV270" s="73">
        <f t="shared" si="191"/>
        <v>1.0068214933659623</v>
      </c>
      <c r="AW270" s="74">
        <f>PRODUCT(AV$4:AV270)</f>
        <v>6.1420263404091466</v>
      </c>
    </row>
    <row r="271" spans="5:49">
      <c r="E271">
        <f t="shared" si="192"/>
        <v>268</v>
      </c>
      <c r="F271" s="64">
        <f t="shared" si="175"/>
        <v>83.36</v>
      </c>
      <c r="G271" s="55">
        <f t="shared" si="176"/>
        <v>1.1324652332016072E-2</v>
      </c>
      <c r="H271" s="78">
        <f t="shared" si="195"/>
        <v>0.24508991208376915</v>
      </c>
      <c r="I271" s="79">
        <f t="shared" ca="1" si="177"/>
        <v>0</v>
      </c>
      <c r="J271" s="79">
        <f t="shared" ca="1" si="178"/>
        <v>0</v>
      </c>
      <c r="K271" s="80">
        <f t="shared" ca="1" si="179"/>
        <v>0</v>
      </c>
      <c r="L271" s="80">
        <f t="shared" ca="1" si="180"/>
        <v>0</v>
      </c>
      <c r="M271" s="80">
        <f t="shared" ca="1" si="181"/>
        <v>0</v>
      </c>
      <c r="N271" s="80">
        <f t="shared" ca="1" si="182"/>
        <v>0</v>
      </c>
      <c r="O271" s="81">
        <f t="shared" ca="1" si="165"/>
        <v>0</v>
      </c>
      <c r="P271" s="79">
        <f t="shared" ca="1" si="166"/>
        <v>0</v>
      </c>
      <c r="Q271" s="35"/>
      <c r="R271">
        <f t="shared" ca="1" si="183"/>
        <v>268</v>
      </c>
      <c r="S271" s="78">
        <f t="shared" ca="1" si="184"/>
        <v>83.36</v>
      </c>
      <c r="T271" s="55">
        <f t="shared" ca="1" si="185"/>
        <v>1.1324652332016072E-2</v>
      </c>
      <c r="U271" s="78">
        <f t="shared" ca="1" si="186"/>
        <v>0.24508991208376915</v>
      </c>
      <c r="V271" s="79">
        <f t="shared" ca="1" si="187"/>
        <v>0</v>
      </c>
      <c r="W271" s="79">
        <f t="shared" ca="1" si="167"/>
        <v>0</v>
      </c>
      <c r="X271" s="80">
        <f t="shared" ca="1" si="168"/>
        <v>0</v>
      </c>
      <c r="Y271" s="80">
        <f t="shared" ca="1" si="188"/>
        <v>0</v>
      </c>
      <c r="Z271" s="80">
        <f t="shared" ca="1" si="169"/>
        <v>0</v>
      </c>
      <c r="AA271" s="80">
        <f t="shared" ca="1" si="189"/>
        <v>0</v>
      </c>
      <c r="AB271" s="81">
        <f t="shared" ca="1" si="170"/>
        <v>0</v>
      </c>
      <c r="AC271" s="79">
        <f t="shared" ca="1" si="171"/>
        <v>0</v>
      </c>
      <c r="AD271" s="35"/>
      <c r="AE271" s="62">
        <f t="shared" ca="1" si="172"/>
        <v>0</v>
      </c>
      <c r="AF271" s="62">
        <f t="shared" ca="1" si="173"/>
        <v>0</v>
      </c>
      <c r="AG271" s="35"/>
      <c r="AH271" s="35"/>
      <c r="AR271" s="69">
        <f t="shared" si="190"/>
        <v>23</v>
      </c>
      <c r="AS271" s="70">
        <f t="shared" si="193"/>
        <v>268</v>
      </c>
      <c r="AT271" s="71">
        <f t="shared" si="194"/>
        <v>0.15970544713163323</v>
      </c>
      <c r="AU271" s="72">
        <f t="shared" si="174"/>
        <v>6.8214933659622723E-3</v>
      </c>
      <c r="AV271" s="73">
        <f t="shared" si="191"/>
        <v>1.0068214933659623</v>
      </c>
      <c r="AW271" s="74">
        <f>PRODUCT(AV$4:AV271)</f>
        <v>6.1839241323438134</v>
      </c>
    </row>
    <row r="272" spans="5:49">
      <c r="E272">
        <f t="shared" si="192"/>
        <v>269</v>
      </c>
      <c r="F272" s="64">
        <f t="shared" si="175"/>
        <v>83.44</v>
      </c>
      <c r="G272" s="55">
        <f t="shared" si="176"/>
        <v>1.1324652332016072E-2</v>
      </c>
      <c r="H272" s="78">
        <f t="shared" si="195"/>
        <v>0.24231435403933607</v>
      </c>
      <c r="I272" s="79">
        <f t="shared" ca="1" si="177"/>
        <v>0</v>
      </c>
      <c r="J272" s="79">
        <f t="shared" ca="1" si="178"/>
        <v>0</v>
      </c>
      <c r="K272" s="80">
        <f t="shared" ca="1" si="179"/>
        <v>0</v>
      </c>
      <c r="L272" s="80">
        <f t="shared" ca="1" si="180"/>
        <v>0</v>
      </c>
      <c r="M272" s="80">
        <f t="shared" ca="1" si="181"/>
        <v>0</v>
      </c>
      <c r="N272" s="80">
        <f t="shared" ca="1" si="182"/>
        <v>0</v>
      </c>
      <c r="O272" s="81">
        <f t="shared" ca="1" si="165"/>
        <v>0</v>
      </c>
      <c r="P272" s="79">
        <f t="shared" ca="1" si="166"/>
        <v>0</v>
      </c>
      <c r="Q272" s="35"/>
      <c r="R272">
        <f t="shared" ca="1" si="183"/>
        <v>269</v>
      </c>
      <c r="S272" s="78">
        <f t="shared" ca="1" si="184"/>
        <v>83.44</v>
      </c>
      <c r="T272" s="55">
        <f t="shared" ca="1" si="185"/>
        <v>1.1324652332016072E-2</v>
      </c>
      <c r="U272" s="78">
        <f t="shared" ca="1" si="186"/>
        <v>0.24231435403933607</v>
      </c>
      <c r="V272" s="79">
        <f t="shared" ca="1" si="187"/>
        <v>0</v>
      </c>
      <c r="W272" s="79">
        <f t="shared" ca="1" si="167"/>
        <v>0</v>
      </c>
      <c r="X272" s="80">
        <f t="shared" ca="1" si="168"/>
        <v>0</v>
      </c>
      <c r="Y272" s="80">
        <f t="shared" ca="1" si="188"/>
        <v>0</v>
      </c>
      <c r="Z272" s="80">
        <f t="shared" ca="1" si="169"/>
        <v>0</v>
      </c>
      <c r="AA272" s="80">
        <f t="shared" ca="1" si="189"/>
        <v>0</v>
      </c>
      <c r="AB272" s="81">
        <f t="shared" ca="1" si="170"/>
        <v>0</v>
      </c>
      <c r="AC272" s="79">
        <f t="shared" ca="1" si="171"/>
        <v>0</v>
      </c>
      <c r="AD272" s="35"/>
      <c r="AE272" s="62">
        <f t="shared" ca="1" si="172"/>
        <v>0</v>
      </c>
      <c r="AF272" s="62">
        <f t="shared" ca="1" si="173"/>
        <v>0</v>
      </c>
      <c r="AG272" s="35"/>
      <c r="AH272" s="35"/>
      <c r="AR272" s="69">
        <f t="shared" si="190"/>
        <v>23</v>
      </c>
      <c r="AS272" s="70">
        <f t="shared" si="193"/>
        <v>269</v>
      </c>
      <c r="AT272" s="71">
        <f t="shared" si="194"/>
        <v>0.15861601748351675</v>
      </c>
      <c r="AU272" s="72">
        <f t="shared" si="174"/>
        <v>6.8214933659622723E-3</v>
      </c>
      <c r="AV272" s="73">
        <f t="shared" si="191"/>
        <v>1.0068214933659623</v>
      </c>
      <c r="AW272" s="74">
        <f>PRODUCT(AV$4:AV272)</f>
        <v>6.226107729788211</v>
      </c>
    </row>
    <row r="273" spans="5:49">
      <c r="E273">
        <f t="shared" si="192"/>
        <v>270</v>
      </c>
      <c r="F273" s="64">
        <f t="shared" si="175"/>
        <v>83.52</v>
      </c>
      <c r="G273" s="55">
        <f t="shared" si="176"/>
        <v>1.2403362716826516E-2</v>
      </c>
      <c r="H273" s="78">
        <f t="shared" si="195"/>
        <v>0.23930884121469267</v>
      </c>
      <c r="I273" s="79">
        <f t="shared" ca="1" si="177"/>
        <v>0</v>
      </c>
      <c r="J273" s="79">
        <f t="shared" ca="1" si="178"/>
        <v>0</v>
      </c>
      <c r="K273" s="80">
        <f t="shared" ca="1" si="179"/>
        <v>0</v>
      </c>
      <c r="L273" s="80">
        <f t="shared" ca="1" si="180"/>
        <v>0</v>
      </c>
      <c r="M273" s="80">
        <f t="shared" ca="1" si="181"/>
        <v>0</v>
      </c>
      <c r="N273" s="80">
        <f t="shared" ca="1" si="182"/>
        <v>0</v>
      </c>
      <c r="O273" s="81">
        <f t="shared" ca="1" si="165"/>
        <v>0</v>
      </c>
      <c r="P273" s="79">
        <f t="shared" ca="1" si="166"/>
        <v>0</v>
      </c>
      <c r="Q273" s="35"/>
      <c r="R273">
        <f t="shared" ca="1" si="183"/>
        <v>270</v>
      </c>
      <c r="S273" s="78">
        <f t="shared" ca="1" si="184"/>
        <v>83.52</v>
      </c>
      <c r="T273" s="55">
        <f t="shared" ca="1" si="185"/>
        <v>1.2403362716826516E-2</v>
      </c>
      <c r="U273" s="78">
        <f t="shared" ca="1" si="186"/>
        <v>0.23930884121469267</v>
      </c>
      <c r="V273" s="79">
        <f t="shared" ca="1" si="187"/>
        <v>0</v>
      </c>
      <c r="W273" s="79">
        <f t="shared" ca="1" si="167"/>
        <v>0</v>
      </c>
      <c r="X273" s="80">
        <f t="shared" ca="1" si="168"/>
        <v>0</v>
      </c>
      <c r="Y273" s="80">
        <f t="shared" ca="1" si="188"/>
        <v>0</v>
      </c>
      <c r="Z273" s="80">
        <f t="shared" ca="1" si="169"/>
        <v>0</v>
      </c>
      <c r="AA273" s="80">
        <f t="shared" ca="1" si="189"/>
        <v>0</v>
      </c>
      <c r="AB273" s="81">
        <f t="shared" ca="1" si="170"/>
        <v>0</v>
      </c>
      <c r="AC273" s="79">
        <f t="shared" ca="1" si="171"/>
        <v>0</v>
      </c>
      <c r="AD273" s="35"/>
      <c r="AE273" s="62">
        <f t="shared" ca="1" si="172"/>
        <v>0</v>
      </c>
      <c r="AF273" s="62">
        <f t="shared" ca="1" si="173"/>
        <v>0</v>
      </c>
      <c r="AG273" s="35"/>
      <c r="AH273" s="35"/>
      <c r="AR273" s="69">
        <f t="shared" si="190"/>
        <v>23</v>
      </c>
      <c r="AS273" s="70">
        <f t="shared" si="193"/>
        <v>270</v>
      </c>
      <c r="AT273" s="71">
        <f t="shared" si="194"/>
        <v>0.1575340193725176</v>
      </c>
      <c r="AU273" s="72">
        <f t="shared" si="174"/>
        <v>6.8214933659622723E-3</v>
      </c>
      <c r="AV273" s="73">
        <f t="shared" si="191"/>
        <v>1.0068214933659623</v>
      </c>
      <c r="AW273" s="74">
        <f>PRODUCT(AV$4:AV273)</f>
        <v>6.2685790823627281</v>
      </c>
    </row>
    <row r="274" spans="5:49">
      <c r="E274">
        <f t="shared" si="192"/>
        <v>271</v>
      </c>
      <c r="F274" s="64">
        <f t="shared" si="175"/>
        <v>83.6</v>
      </c>
      <c r="G274" s="55">
        <f t="shared" si="176"/>
        <v>1.2403362716826516E-2</v>
      </c>
      <c r="H274" s="78">
        <f t="shared" si="195"/>
        <v>0.23634060685576339</v>
      </c>
      <c r="I274" s="79">
        <f t="shared" ca="1" si="177"/>
        <v>0</v>
      </c>
      <c r="J274" s="79">
        <f t="shared" ca="1" si="178"/>
        <v>0</v>
      </c>
      <c r="K274" s="80">
        <f t="shared" ca="1" si="179"/>
        <v>0</v>
      </c>
      <c r="L274" s="80">
        <f t="shared" ca="1" si="180"/>
        <v>0</v>
      </c>
      <c r="M274" s="80">
        <f t="shared" ca="1" si="181"/>
        <v>0</v>
      </c>
      <c r="N274" s="80">
        <f t="shared" ca="1" si="182"/>
        <v>0</v>
      </c>
      <c r="O274" s="81">
        <f t="shared" ca="1" si="165"/>
        <v>0</v>
      </c>
      <c r="P274" s="79">
        <f t="shared" ca="1" si="166"/>
        <v>0</v>
      </c>
      <c r="Q274" s="35"/>
      <c r="R274">
        <f t="shared" ca="1" si="183"/>
        <v>271</v>
      </c>
      <c r="S274" s="78">
        <f t="shared" ca="1" si="184"/>
        <v>83.6</v>
      </c>
      <c r="T274" s="55">
        <f t="shared" ca="1" si="185"/>
        <v>1.2403362716826516E-2</v>
      </c>
      <c r="U274" s="78">
        <f t="shared" ca="1" si="186"/>
        <v>0.23634060685576339</v>
      </c>
      <c r="V274" s="79">
        <f t="shared" ca="1" si="187"/>
        <v>0</v>
      </c>
      <c r="W274" s="79">
        <f t="shared" ca="1" si="167"/>
        <v>0</v>
      </c>
      <c r="X274" s="80">
        <f t="shared" ca="1" si="168"/>
        <v>0</v>
      </c>
      <c r="Y274" s="80">
        <f t="shared" ca="1" si="188"/>
        <v>0</v>
      </c>
      <c r="Z274" s="80">
        <f t="shared" ca="1" si="169"/>
        <v>0</v>
      </c>
      <c r="AA274" s="80">
        <f t="shared" ca="1" si="189"/>
        <v>0</v>
      </c>
      <c r="AB274" s="81">
        <f t="shared" ca="1" si="170"/>
        <v>0</v>
      </c>
      <c r="AC274" s="79">
        <f t="shared" ca="1" si="171"/>
        <v>0</v>
      </c>
      <c r="AD274" s="35"/>
      <c r="AE274" s="62">
        <f t="shared" ca="1" si="172"/>
        <v>0</v>
      </c>
      <c r="AF274" s="62">
        <f t="shared" ca="1" si="173"/>
        <v>0</v>
      </c>
      <c r="AG274" s="35"/>
      <c r="AH274" s="35"/>
      <c r="AR274" s="69">
        <f t="shared" si="190"/>
        <v>23</v>
      </c>
      <c r="AS274" s="70">
        <f t="shared" si="193"/>
        <v>271</v>
      </c>
      <c r="AT274" s="71">
        <f t="shared" si="194"/>
        <v>0.15645940210445461</v>
      </c>
      <c r="AU274" s="72">
        <f t="shared" si="174"/>
        <v>6.8214933659622723E-3</v>
      </c>
      <c r="AV274" s="73">
        <f t="shared" si="191"/>
        <v>1.0068214933659623</v>
      </c>
      <c r="AW274" s="74">
        <f>PRODUCT(AV$4:AV274)</f>
        <v>6.311340152987075</v>
      </c>
    </row>
    <row r="275" spans="5:49">
      <c r="E275">
        <f t="shared" si="192"/>
        <v>272</v>
      </c>
      <c r="F275" s="64">
        <f t="shared" si="175"/>
        <v>83.68</v>
      </c>
      <c r="G275" s="55">
        <f t="shared" si="176"/>
        <v>1.2403362716826516E-2</v>
      </c>
      <c r="H275" s="78">
        <f t="shared" si="195"/>
        <v>0.23340918858421647</v>
      </c>
      <c r="I275" s="79">
        <f t="shared" ca="1" si="177"/>
        <v>0</v>
      </c>
      <c r="J275" s="79">
        <f t="shared" ca="1" si="178"/>
        <v>0</v>
      </c>
      <c r="K275" s="80">
        <f t="shared" ca="1" si="179"/>
        <v>0</v>
      </c>
      <c r="L275" s="80">
        <f t="shared" ca="1" si="180"/>
        <v>0</v>
      </c>
      <c r="M275" s="80">
        <f t="shared" ca="1" si="181"/>
        <v>0</v>
      </c>
      <c r="N275" s="80">
        <f t="shared" ca="1" si="182"/>
        <v>0</v>
      </c>
      <c r="O275" s="81">
        <f t="shared" ca="1" si="165"/>
        <v>0</v>
      </c>
      <c r="P275" s="79">
        <f t="shared" ca="1" si="166"/>
        <v>0</v>
      </c>
      <c r="Q275" s="35"/>
      <c r="R275">
        <f t="shared" ca="1" si="183"/>
        <v>272</v>
      </c>
      <c r="S275" s="78">
        <f t="shared" ca="1" si="184"/>
        <v>83.68</v>
      </c>
      <c r="T275" s="55">
        <f t="shared" ca="1" si="185"/>
        <v>1.2403362716826516E-2</v>
      </c>
      <c r="U275" s="78">
        <f t="shared" ca="1" si="186"/>
        <v>0.23340918858421647</v>
      </c>
      <c r="V275" s="79">
        <f t="shared" ca="1" si="187"/>
        <v>0</v>
      </c>
      <c r="W275" s="79">
        <f t="shared" ca="1" si="167"/>
        <v>0</v>
      </c>
      <c r="X275" s="80">
        <f t="shared" ca="1" si="168"/>
        <v>0</v>
      </c>
      <c r="Y275" s="80">
        <f t="shared" ca="1" si="188"/>
        <v>0</v>
      </c>
      <c r="Z275" s="80">
        <f t="shared" ca="1" si="169"/>
        <v>0</v>
      </c>
      <c r="AA275" s="80">
        <f t="shared" ca="1" si="189"/>
        <v>0</v>
      </c>
      <c r="AB275" s="81">
        <f t="shared" ca="1" si="170"/>
        <v>0</v>
      </c>
      <c r="AC275" s="79">
        <f t="shared" ca="1" si="171"/>
        <v>0</v>
      </c>
      <c r="AD275" s="35"/>
      <c r="AE275" s="62">
        <f t="shared" ca="1" si="172"/>
        <v>0</v>
      </c>
      <c r="AF275" s="62">
        <f t="shared" ca="1" si="173"/>
        <v>0</v>
      </c>
      <c r="AG275" s="35"/>
      <c r="AH275" s="35"/>
      <c r="AR275" s="69">
        <f t="shared" si="190"/>
        <v>23</v>
      </c>
      <c r="AS275" s="70">
        <f t="shared" si="193"/>
        <v>272</v>
      </c>
      <c r="AT275" s="71">
        <f t="shared" si="194"/>
        <v>0.15539211533095665</v>
      </c>
      <c r="AU275" s="72">
        <f t="shared" si="174"/>
        <v>6.8214933659622723E-3</v>
      </c>
      <c r="AV275" s="73">
        <f t="shared" si="191"/>
        <v>1.0068214933659623</v>
      </c>
      <c r="AW275" s="74">
        <f>PRODUCT(AV$4:AV275)</f>
        <v>6.3543929179710075</v>
      </c>
    </row>
    <row r="276" spans="5:49">
      <c r="E276">
        <f t="shared" si="192"/>
        <v>273</v>
      </c>
      <c r="F276" s="64">
        <f t="shared" si="175"/>
        <v>83.76</v>
      </c>
      <c r="G276" s="55">
        <f t="shared" si="176"/>
        <v>1.2403362716826516E-2</v>
      </c>
      <c r="H276" s="78">
        <f t="shared" si="195"/>
        <v>0.23051412975676627</v>
      </c>
      <c r="I276" s="79">
        <f t="shared" ca="1" si="177"/>
        <v>0</v>
      </c>
      <c r="J276" s="79">
        <f t="shared" ca="1" si="178"/>
        <v>0</v>
      </c>
      <c r="K276" s="80">
        <f t="shared" ca="1" si="179"/>
        <v>0</v>
      </c>
      <c r="L276" s="80">
        <f t="shared" ca="1" si="180"/>
        <v>0</v>
      </c>
      <c r="M276" s="80">
        <f t="shared" ca="1" si="181"/>
        <v>0</v>
      </c>
      <c r="N276" s="80">
        <f t="shared" ca="1" si="182"/>
        <v>0</v>
      </c>
      <c r="O276" s="81">
        <f t="shared" ca="1" si="165"/>
        <v>0</v>
      </c>
      <c r="P276" s="79">
        <f t="shared" ca="1" si="166"/>
        <v>0</v>
      </c>
      <c r="Q276" s="35"/>
      <c r="R276">
        <f t="shared" ca="1" si="183"/>
        <v>273</v>
      </c>
      <c r="S276" s="78">
        <f t="shared" ca="1" si="184"/>
        <v>83.76</v>
      </c>
      <c r="T276" s="55">
        <f t="shared" ca="1" si="185"/>
        <v>1.2403362716826516E-2</v>
      </c>
      <c r="U276" s="78">
        <f t="shared" ca="1" si="186"/>
        <v>0.23051412975676627</v>
      </c>
      <c r="V276" s="79">
        <f t="shared" ca="1" si="187"/>
        <v>0</v>
      </c>
      <c r="W276" s="79">
        <f t="shared" ca="1" si="167"/>
        <v>0</v>
      </c>
      <c r="X276" s="80">
        <f t="shared" ca="1" si="168"/>
        <v>0</v>
      </c>
      <c r="Y276" s="80">
        <f t="shared" ca="1" si="188"/>
        <v>0</v>
      </c>
      <c r="Z276" s="80">
        <f t="shared" ca="1" si="169"/>
        <v>0</v>
      </c>
      <c r="AA276" s="80">
        <f t="shared" ca="1" si="189"/>
        <v>0</v>
      </c>
      <c r="AB276" s="81">
        <f t="shared" ca="1" si="170"/>
        <v>0</v>
      </c>
      <c r="AC276" s="79">
        <f t="shared" ca="1" si="171"/>
        <v>0</v>
      </c>
      <c r="AD276" s="35"/>
      <c r="AE276" s="62">
        <f t="shared" ca="1" si="172"/>
        <v>0</v>
      </c>
      <c r="AF276" s="62">
        <f t="shared" ca="1" si="173"/>
        <v>0</v>
      </c>
      <c r="AG276" s="35"/>
      <c r="AH276" s="35"/>
      <c r="AR276" s="69">
        <f t="shared" si="190"/>
        <v>23</v>
      </c>
      <c r="AS276" s="70">
        <f t="shared" si="193"/>
        <v>273</v>
      </c>
      <c r="AT276" s="71">
        <f t="shared" si="194"/>
        <v>0.15433210904710368</v>
      </c>
      <c r="AU276" s="72">
        <f t="shared" si="174"/>
        <v>6.8214933659622723E-3</v>
      </c>
      <c r="AV276" s="73">
        <f t="shared" si="191"/>
        <v>1.0068214933659623</v>
      </c>
      <c r="AW276" s="74">
        <f>PRODUCT(AV$4:AV276)</f>
        <v>6.3977393671056646</v>
      </c>
    </row>
    <row r="277" spans="5:49">
      <c r="E277">
        <f t="shared" si="192"/>
        <v>274</v>
      </c>
      <c r="F277" s="64">
        <f t="shared" si="175"/>
        <v>83.84</v>
      </c>
      <c r="G277" s="55">
        <f t="shared" si="176"/>
        <v>1.2403362716826516E-2</v>
      </c>
      <c r="H277" s="78">
        <f t="shared" si="195"/>
        <v>0.22765497939403948</v>
      </c>
      <c r="I277" s="79">
        <f t="shared" ca="1" si="177"/>
        <v>0</v>
      </c>
      <c r="J277" s="79">
        <f t="shared" ca="1" si="178"/>
        <v>0</v>
      </c>
      <c r="K277" s="80">
        <f t="shared" ca="1" si="179"/>
        <v>0</v>
      </c>
      <c r="L277" s="80">
        <f t="shared" ca="1" si="180"/>
        <v>0</v>
      </c>
      <c r="M277" s="80">
        <f t="shared" ca="1" si="181"/>
        <v>0</v>
      </c>
      <c r="N277" s="80">
        <f t="shared" ca="1" si="182"/>
        <v>0</v>
      </c>
      <c r="O277" s="81">
        <f t="shared" ca="1" si="165"/>
        <v>0</v>
      </c>
      <c r="P277" s="79">
        <f t="shared" ca="1" si="166"/>
        <v>0</v>
      </c>
      <c r="Q277" s="35"/>
      <c r="R277">
        <f t="shared" ca="1" si="183"/>
        <v>274</v>
      </c>
      <c r="S277" s="78">
        <f t="shared" ca="1" si="184"/>
        <v>83.84</v>
      </c>
      <c r="T277" s="55">
        <f t="shared" ca="1" si="185"/>
        <v>1.2403362716826516E-2</v>
      </c>
      <c r="U277" s="78">
        <f t="shared" ca="1" si="186"/>
        <v>0.22765497939403948</v>
      </c>
      <c r="V277" s="79">
        <f t="shared" ca="1" si="187"/>
        <v>0</v>
      </c>
      <c r="W277" s="79">
        <f t="shared" ca="1" si="167"/>
        <v>0</v>
      </c>
      <c r="X277" s="80">
        <f t="shared" ca="1" si="168"/>
        <v>0</v>
      </c>
      <c r="Y277" s="80">
        <f t="shared" ca="1" si="188"/>
        <v>0</v>
      </c>
      <c r="Z277" s="80">
        <f t="shared" ca="1" si="169"/>
        <v>0</v>
      </c>
      <c r="AA277" s="80">
        <f t="shared" ca="1" si="189"/>
        <v>0</v>
      </c>
      <c r="AB277" s="81">
        <f t="shared" ca="1" si="170"/>
        <v>0</v>
      </c>
      <c r="AC277" s="79">
        <f t="shared" ca="1" si="171"/>
        <v>0</v>
      </c>
      <c r="AD277" s="35"/>
      <c r="AE277" s="62">
        <f t="shared" ca="1" si="172"/>
        <v>0</v>
      </c>
      <c r="AF277" s="62">
        <f t="shared" ca="1" si="173"/>
        <v>0</v>
      </c>
      <c r="AG277" s="35"/>
      <c r="AH277" s="35"/>
      <c r="AR277" s="69">
        <f t="shared" si="190"/>
        <v>23</v>
      </c>
      <c r="AS277" s="70">
        <f t="shared" si="193"/>
        <v>274</v>
      </c>
      <c r="AT277" s="71">
        <f t="shared" si="194"/>
        <v>0.15327933358908388</v>
      </c>
      <c r="AU277" s="72">
        <f t="shared" si="174"/>
        <v>6.8214933659622723E-3</v>
      </c>
      <c r="AV277" s="73">
        <f t="shared" si="191"/>
        <v>1.0068214933659623</v>
      </c>
      <c r="AW277" s="74">
        <f>PRODUCT(AV$4:AV277)</f>
        <v>6.4413815037555313</v>
      </c>
    </row>
    <row r="278" spans="5:49">
      <c r="E278">
        <f t="shared" si="192"/>
        <v>275</v>
      </c>
      <c r="F278" s="64">
        <f t="shared" si="175"/>
        <v>83.92</v>
      </c>
      <c r="G278" s="55">
        <f t="shared" si="176"/>
        <v>1.2403362716826516E-2</v>
      </c>
      <c r="H278" s="78">
        <f t="shared" si="195"/>
        <v>0.22483129211032354</v>
      </c>
      <c r="I278" s="79">
        <f t="shared" ca="1" si="177"/>
        <v>0</v>
      </c>
      <c r="J278" s="79">
        <f t="shared" ca="1" si="178"/>
        <v>0</v>
      </c>
      <c r="K278" s="80">
        <f t="shared" ca="1" si="179"/>
        <v>0</v>
      </c>
      <c r="L278" s="80">
        <f t="shared" ca="1" si="180"/>
        <v>0</v>
      </c>
      <c r="M278" s="80">
        <f t="shared" ca="1" si="181"/>
        <v>0</v>
      </c>
      <c r="N278" s="80">
        <f t="shared" ca="1" si="182"/>
        <v>0</v>
      </c>
      <c r="O278" s="81">
        <f t="shared" ca="1" si="165"/>
        <v>0</v>
      </c>
      <c r="P278" s="79">
        <f t="shared" ca="1" si="166"/>
        <v>0</v>
      </c>
      <c r="Q278" s="35"/>
      <c r="R278">
        <f t="shared" ca="1" si="183"/>
        <v>275</v>
      </c>
      <c r="S278" s="78">
        <f t="shared" ca="1" si="184"/>
        <v>83.92</v>
      </c>
      <c r="T278" s="55">
        <f t="shared" ca="1" si="185"/>
        <v>1.2403362716826516E-2</v>
      </c>
      <c r="U278" s="78">
        <f t="shared" ca="1" si="186"/>
        <v>0.22483129211032354</v>
      </c>
      <c r="V278" s="79">
        <f t="shared" ca="1" si="187"/>
        <v>0</v>
      </c>
      <c r="W278" s="79">
        <f t="shared" ca="1" si="167"/>
        <v>0</v>
      </c>
      <c r="X278" s="80">
        <f t="shared" ca="1" si="168"/>
        <v>0</v>
      </c>
      <c r="Y278" s="80">
        <f t="shared" ca="1" si="188"/>
        <v>0</v>
      </c>
      <c r="Z278" s="80">
        <f t="shared" ca="1" si="169"/>
        <v>0</v>
      </c>
      <c r="AA278" s="80">
        <f t="shared" ca="1" si="189"/>
        <v>0</v>
      </c>
      <c r="AB278" s="81">
        <f t="shared" ca="1" si="170"/>
        <v>0</v>
      </c>
      <c r="AC278" s="79">
        <f t="shared" ca="1" si="171"/>
        <v>0</v>
      </c>
      <c r="AD278" s="35"/>
      <c r="AE278" s="62">
        <f t="shared" ca="1" si="172"/>
        <v>0</v>
      </c>
      <c r="AF278" s="62">
        <f t="shared" ca="1" si="173"/>
        <v>0</v>
      </c>
      <c r="AG278" s="35"/>
      <c r="AH278" s="35"/>
      <c r="AR278" s="69">
        <f t="shared" si="190"/>
        <v>23</v>
      </c>
      <c r="AS278" s="70">
        <f t="shared" si="193"/>
        <v>275</v>
      </c>
      <c r="AT278" s="71">
        <f t="shared" si="194"/>
        <v>0.15223373963186682</v>
      </c>
      <c r="AU278" s="72">
        <f t="shared" si="174"/>
        <v>6.8214933659622723E-3</v>
      </c>
      <c r="AV278" s="73">
        <f t="shared" si="191"/>
        <v>1.0068214933659623</v>
      </c>
      <c r="AW278" s="74">
        <f>PRODUCT(AV$4:AV278)</f>
        <v>6.4853213449510321</v>
      </c>
    </row>
    <row r="279" spans="5:49">
      <c r="E279">
        <f t="shared" si="192"/>
        <v>276</v>
      </c>
      <c r="F279" s="64">
        <f t="shared" si="175"/>
        <v>84</v>
      </c>
      <c r="G279" s="55">
        <f t="shared" si="176"/>
        <v>1.2403362716826516E-2</v>
      </c>
      <c r="H279" s="78">
        <f t="shared" si="195"/>
        <v>0.22204262804418642</v>
      </c>
      <c r="I279" s="79">
        <f t="shared" ca="1" si="177"/>
        <v>0</v>
      </c>
      <c r="J279" s="79">
        <f t="shared" ca="1" si="178"/>
        <v>0</v>
      </c>
      <c r="K279" s="80">
        <f t="shared" ca="1" si="179"/>
        <v>0</v>
      </c>
      <c r="L279" s="80">
        <f t="shared" ca="1" si="180"/>
        <v>0</v>
      </c>
      <c r="M279" s="80">
        <f t="shared" ca="1" si="181"/>
        <v>0</v>
      </c>
      <c r="N279" s="80">
        <f t="shared" ca="1" si="182"/>
        <v>0</v>
      </c>
      <c r="O279" s="81">
        <f t="shared" ca="1" si="165"/>
        <v>0</v>
      </c>
      <c r="P279" s="79">
        <f t="shared" ca="1" si="166"/>
        <v>0</v>
      </c>
      <c r="Q279" s="35"/>
      <c r="R279">
        <f t="shared" ca="1" si="183"/>
        <v>276</v>
      </c>
      <c r="S279" s="78">
        <f t="shared" ca="1" si="184"/>
        <v>84</v>
      </c>
      <c r="T279" s="55">
        <f t="shared" ca="1" si="185"/>
        <v>1.2403362716826516E-2</v>
      </c>
      <c r="U279" s="78">
        <f t="shared" ca="1" si="186"/>
        <v>0.22204262804418642</v>
      </c>
      <c r="V279" s="79">
        <f t="shared" ca="1" si="187"/>
        <v>0</v>
      </c>
      <c r="W279" s="79">
        <f t="shared" ca="1" si="167"/>
        <v>0</v>
      </c>
      <c r="X279" s="80">
        <f t="shared" ca="1" si="168"/>
        <v>0</v>
      </c>
      <c r="Y279" s="80">
        <f t="shared" ca="1" si="188"/>
        <v>0</v>
      </c>
      <c r="Z279" s="80">
        <f t="shared" ca="1" si="169"/>
        <v>0</v>
      </c>
      <c r="AA279" s="80">
        <f t="shared" ca="1" si="189"/>
        <v>0</v>
      </c>
      <c r="AB279" s="81">
        <f t="shared" ca="1" si="170"/>
        <v>0</v>
      </c>
      <c r="AC279" s="79">
        <f t="shared" ca="1" si="171"/>
        <v>0</v>
      </c>
      <c r="AD279" s="35"/>
      <c r="AE279" s="62">
        <f t="shared" ca="1" si="172"/>
        <v>0</v>
      </c>
      <c r="AF279" s="62">
        <f t="shared" ca="1" si="173"/>
        <v>0</v>
      </c>
      <c r="AG279" s="35"/>
      <c r="AH279" s="35"/>
      <c r="AR279" s="69">
        <f t="shared" si="190"/>
        <v>23</v>
      </c>
      <c r="AS279" s="70">
        <f t="shared" si="193"/>
        <v>276</v>
      </c>
      <c r="AT279" s="71">
        <f t="shared" si="194"/>
        <v>0.15119527818689241</v>
      </c>
      <c r="AU279" s="72">
        <f t="shared" si="174"/>
        <v>6.8214933659622723E-3</v>
      </c>
      <c r="AV279" s="73">
        <f t="shared" si="191"/>
        <v>1.0068214933659623</v>
      </c>
      <c r="AW279" s="74">
        <f>PRODUCT(AV$4:AV279)</f>
        <v>6.5295609214817487</v>
      </c>
    </row>
    <row r="280" spans="5:49">
      <c r="E280">
        <f t="shared" si="192"/>
        <v>277</v>
      </c>
      <c r="F280" s="64">
        <f t="shared" si="175"/>
        <v>84.08</v>
      </c>
      <c r="G280" s="55">
        <f t="shared" si="176"/>
        <v>1.2403362716826516E-2</v>
      </c>
      <c r="H280" s="78">
        <f t="shared" si="195"/>
        <v>0.21928855278995699</v>
      </c>
      <c r="I280" s="79">
        <f t="shared" ca="1" si="177"/>
        <v>0</v>
      </c>
      <c r="J280" s="79">
        <f t="shared" ca="1" si="178"/>
        <v>0</v>
      </c>
      <c r="K280" s="80">
        <f t="shared" ca="1" si="179"/>
        <v>0</v>
      </c>
      <c r="L280" s="80">
        <f t="shared" ca="1" si="180"/>
        <v>0</v>
      </c>
      <c r="M280" s="80">
        <f t="shared" ca="1" si="181"/>
        <v>0</v>
      </c>
      <c r="N280" s="80">
        <f t="shared" ca="1" si="182"/>
        <v>0</v>
      </c>
      <c r="O280" s="81">
        <f t="shared" ca="1" si="165"/>
        <v>0</v>
      </c>
      <c r="P280" s="79">
        <f t="shared" ca="1" si="166"/>
        <v>0</v>
      </c>
      <c r="Q280" s="35"/>
      <c r="R280">
        <f t="shared" ca="1" si="183"/>
        <v>277</v>
      </c>
      <c r="S280" s="78">
        <f t="shared" ca="1" si="184"/>
        <v>84.08</v>
      </c>
      <c r="T280" s="55">
        <f t="shared" ca="1" si="185"/>
        <v>1.2403362716826516E-2</v>
      </c>
      <c r="U280" s="78">
        <f t="shared" ca="1" si="186"/>
        <v>0.21928855278995699</v>
      </c>
      <c r="V280" s="79">
        <f t="shared" ca="1" si="187"/>
        <v>0</v>
      </c>
      <c r="W280" s="79">
        <f t="shared" ca="1" si="167"/>
        <v>0</v>
      </c>
      <c r="X280" s="80">
        <f t="shared" ca="1" si="168"/>
        <v>0</v>
      </c>
      <c r="Y280" s="80">
        <f t="shared" ca="1" si="188"/>
        <v>0</v>
      </c>
      <c r="Z280" s="80">
        <f t="shared" ca="1" si="169"/>
        <v>0</v>
      </c>
      <c r="AA280" s="80">
        <f t="shared" ca="1" si="189"/>
        <v>0</v>
      </c>
      <c r="AB280" s="81">
        <f t="shared" ca="1" si="170"/>
        <v>0</v>
      </c>
      <c r="AC280" s="79">
        <f t="shared" ca="1" si="171"/>
        <v>0</v>
      </c>
      <c r="AD280" s="35"/>
      <c r="AE280" s="62">
        <f t="shared" ca="1" si="172"/>
        <v>0</v>
      </c>
      <c r="AF280" s="62">
        <f t="shared" ca="1" si="173"/>
        <v>0</v>
      </c>
      <c r="AG280" s="35"/>
      <c r="AH280" s="35"/>
      <c r="AR280" s="69">
        <f t="shared" si="190"/>
        <v>24</v>
      </c>
      <c r="AS280" s="70">
        <f t="shared" si="193"/>
        <v>277</v>
      </c>
      <c r="AT280" s="71">
        <f t="shared" si="194"/>
        <v>0.15016390059977569</v>
      </c>
      <c r="AU280" s="72">
        <f t="shared" si="174"/>
        <v>6.8214933659622723E-3</v>
      </c>
      <c r="AV280" s="73">
        <f t="shared" si="191"/>
        <v>1.0068214933659623</v>
      </c>
      <c r="AW280" s="74">
        <f>PRODUCT(AV$4:AV280)</f>
        <v>6.5741022779902831</v>
      </c>
    </row>
    <row r="281" spans="5:49">
      <c r="E281">
        <f t="shared" si="192"/>
        <v>278</v>
      </c>
      <c r="F281" s="64">
        <f t="shared" si="175"/>
        <v>84.16</v>
      </c>
      <c r="G281" s="55">
        <f t="shared" si="176"/>
        <v>1.2403362716826516E-2</v>
      </c>
      <c r="H281" s="78">
        <f t="shared" si="195"/>
        <v>0.21656863733005519</v>
      </c>
      <c r="I281" s="79">
        <f t="shared" ca="1" si="177"/>
        <v>0</v>
      </c>
      <c r="J281" s="79">
        <f t="shared" ca="1" si="178"/>
        <v>0</v>
      </c>
      <c r="K281" s="80">
        <f t="shared" ca="1" si="179"/>
        <v>0</v>
      </c>
      <c r="L281" s="80">
        <f t="shared" ca="1" si="180"/>
        <v>0</v>
      </c>
      <c r="M281" s="80">
        <f t="shared" ca="1" si="181"/>
        <v>0</v>
      </c>
      <c r="N281" s="80">
        <f t="shared" ca="1" si="182"/>
        <v>0</v>
      </c>
      <c r="O281" s="81">
        <f t="shared" ca="1" si="165"/>
        <v>0</v>
      </c>
      <c r="P281" s="79">
        <f t="shared" ca="1" si="166"/>
        <v>0</v>
      </c>
      <c r="Q281" s="35"/>
      <c r="R281">
        <f t="shared" ca="1" si="183"/>
        <v>278</v>
      </c>
      <c r="S281" s="78">
        <f t="shared" ca="1" si="184"/>
        <v>84.16</v>
      </c>
      <c r="T281" s="55">
        <f t="shared" ca="1" si="185"/>
        <v>1.2403362716826516E-2</v>
      </c>
      <c r="U281" s="78">
        <f t="shared" ca="1" si="186"/>
        <v>0.21656863733005519</v>
      </c>
      <c r="V281" s="79">
        <f t="shared" ca="1" si="187"/>
        <v>0</v>
      </c>
      <c r="W281" s="79">
        <f t="shared" ca="1" si="167"/>
        <v>0</v>
      </c>
      <c r="X281" s="80">
        <f t="shared" ca="1" si="168"/>
        <v>0</v>
      </c>
      <c r="Y281" s="80">
        <f t="shared" ca="1" si="188"/>
        <v>0</v>
      </c>
      <c r="Z281" s="80">
        <f t="shared" ca="1" si="169"/>
        <v>0</v>
      </c>
      <c r="AA281" s="80">
        <f t="shared" ca="1" si="189"/>
        <v>0</v>
      </c>
      <c r="AB281" s="81">
        <f t="shared" ca="1" si="170"/>
        <v>0</v>
      </c>
      <c r="AC281" s="79">
        <f t="shared" ca="1" si="171"/>
        <v>0</v>
      </c>
      <c r="AD281" s="35"/>
      <c r="AE281" s="62">
        <f t="shared" ca="1" si="172"/>
        <v>0</v>
      </c>
      <c r="AF281" s="62">
        <f t="shared" ca="1" si="173"/>
        <v>0</v>
      </c>
      <c r="AG281" s="35"/>
      <c r="AH281" s="35"/>
      <c r="AR281" s="69">
        <f t="shared" si="190"/>
        <v>24</v>
      </c>
      <c r="AS281" s="70">
        <f t="shared" si="193"/>
        <v>278</v>
      </c>
      <c r="AT281" s="71">
        <f t="shared" si="194"/>
        <v>0.1491395585480273</v>
      </c>
      <c r="AU281" s="72">
        <f t="shared" si="174"/>
        <v>6.8214933659622723E-3</v>
      </c>
      <c r="AV281" s="73">
        <f t="shared" si="191"/>
        <v>1.0068214933659623</v>
      </c>
      <c r="AW281" s="74">
        <f>PRODUCT(AV$4:AV281)</f>
        <v>6.6189474730667515</v>
      </c>
    </row>
    <row r="282" spans="5:49">
      <c r="E282">
        <f t="shared" si="192"/>
        <v>279</v>
      </c>
      <c r="F282" s="64">
        <f t="shared" si="175"/>
        <v>84.24</v>
      </c>
      <c r="G282" s="55">
        <f t="shared" si="176"/>
        <v>1.2403362716826516E-2</v>
      </c>
      <c r="H282" s="78">
        <f t="shared" si="195"/>
        <v>0.21388245796816166</v>
      </c>
      <c r="I282" s="79">
        <f t="shared" ca="1" si="177"/>
        <v>0</v>
      </c>
      <c r="J282" s="79">
        <f t="shared" ca="1" si="178"/>
        <v>0</v>
      </c>
      <c r="K282" s="80">
        <f t="shared" ca="1" si="179"/>
        <v>0</v>
      </c>
      <c r="L282" s="80">
        <f t="shared" ca="1" si="180"/>
        <v>0</v>
      </c>
      <c r="M282" s="80">
        <f t="shared" ca="1" si="181"/>
        <v>0</v>
      </c>
      <c r="N282" s="80">
        <f t="shared" ca="1" si="182"/>
        <v>0</v>
      </c>
      <c r="O282" s="81">
        <f t="shared" ca="1" si="165"/>
        <v>0</v>
      </c>
      <c r="P282" s="79">
        <f t="shared" ca="1" si="166"/>
        <v>0</v>
      </c>
      <c r="Q282" s="35"/>
      <c r="R282">
        <f t="shared" ca="1" si="183"/>
        <v>279</v>
      </c>
      <c r="S282" s="78">
        <f t="shared" ca="1" si="184"/>
        <v>84.24</v>
      </c>
      <c r="T282" s="55">
        <f t="shared" ca="1" si="185"/>
        <v>1.2403362716826516E-2</v>
      </c>
      <c r="U282" s="78">
        <f t="shared" ca="1" si="186"/>
        <v>0.21388245796816166</v>
      </c>
      <c r="V282" s="79">
        <f t="shared" ca="1" si="187"/>
        <v>0</v>
      </c>
      <c r="W282" s="79">
        <f t="shared" ca="1" si="167"/>
        <v>0</v>
      </c>
      <c r="X282" s="80">
        <f t="shared" ca="1" si="168"/>
        <v>0</v>
      </c>
      <c r="Y282" s="80">
        <f t="shared" ca="1" si="188"/>
        <v>0</v>
      </c>
      <c r="Z282" s="80">
        <f t="shared" ca="1" si="169"/>
        <v>0</v>
      </c>
      <c r="AA282" s="80">
        <f t="shared" ca="1" si="189"/>
        <v>0</v>
      </c>
      <c r="AB282" s="81">
        <f t="shared" ca="1" si="170"/>
        <v>0</v>
      </c>
      <c r="AC282" s="79">
        <f t="shared" ca="1" si="171"/>
        <v>0</v>
      </c>
      <c r="AD282" s="35"/>
      <c r="AE282" s="62">
        <f t="shared" ca="1" si="172"/>
        <v>0</v>
      </c>
      <c r="AF282" s="62">
        <f t="shared" ca="1" si="173"/>
        <v>0</v>
      </c>
      <c r="AG282" s="35"/>
      <c r="AH282" s="35"/>
      <c r="AR282" s="69">
        <f t="shared" si="190"/>
        <v>24</v>
      </c>
      <c r="AS282" s="70">
        <f t="shared" si="193"/>
        <v>279</v>
      </c>
      <c r="AT282" s="71">
        <f t="shared" si="194"/>
        <v>0.1481222040387894</v>
      </c>
      <c r="AU282" s="72">
        <f t="shared" si="174"/>
        <v>6.8214933659622723E-3</v>
      </c>
      <c r="AV282" s="73">
        <f t="shared" si="191"/>
        <v>1.0068214933659623</v>
      </c>
      <c r="AW282" s="74">
        <f>PRODUCT(AV$4:AV282)</f>
        <v>6.6640985793439294</v>
      </c>
    </row>
    <row r="283" spans="5:49">
      <c r="E283">
        <f t="shared" si="192"/>
        <v>280</v>
      </c>
      <c r="F283" s="64">
        <f t="shared" si="175"/>
        <v>84.32</v>
      </c>
      <c r="G283" s="55">
        <f t="shared" si="176"/>
        <v>1.2403362716826516E-2</v>
      </c>
      <c r="H283" s="78">
        <f t="shared" si="195"/>
        <v>0.21122959626321616</v>
      </c>
      <c r="I283" s="79">
        <f t="shared" ca="1" si="177"/>
        <v>0</v>
      </c>
      <c r="J283" s="79">
        <f t="shared" ca="1" si="178"/>
        <v>0</v>
      </c>
      <c r="K283" s="80">
        <f t="shared" ca="1" si="179"/>
        <v>0</v>
      </c>
      <c r="L283" s="80">
        <f t="shared" ca="1" si="180"/>
        <v>0</v>
      </c>
      <c r="M283" s="80">
        <f t="shared" ca="1" si="181"/>
        <v>0</v>
      </c>
      <c r="N283" s="80">
        <f t="shared" ca="1" si="182"/>
        <v>0</v>
      </c>
      <c r="O283" s="81">
        <f t="shared" ca="1" si="165"/>
        <v>0</v>
      </c>
      <c r="P283" s="79">
        <f t="shared" ca="1" si="166"/>
        <v>0</v>
      </c>
      <c r="Q283" s="35"/>
      <c r="R283">
        <f t="shared" ca="1" si="183"/>
        <v>280</v>
      </c>
      <c r="S283" s="78">
        <f t="shared" ca="1" si="184"/>
        <v>84.32</v>
      </c>
      <c r="T283" s="55">
        <f t="shared" ca="1" si="185"/>
        <v>1.2403362716826516E-2</v>
      </c>
      <c r="U283" s="78">
        <f t="shared" ca="1" si="186"/>
        <v>0.21122959626321616</v>
      </c>
      <c r="V283" s="79">
        <f t="shared" ca="1" si="187"/>
        <v>0</v>
      </c>
      <c r="W283" s="79">
        <f t="shared" ca="1" si="167"/>
        <v>0</v>
      </c>
      <c r="X283" s="80">
        <f t="shared" ca="1" si="168"/>
        <v>0</v>
      </c>
      <c r="Y283" s="80">
        <f t="shared" ca="1" si="188"/>
        <v>0</v>
      </c>
      <c r="Z283" s="80">
        <f t="shared" ca="1" si="169"/>
        <v>0</v>
      </c>
      <c r="AA283" s="80">
        <f t="shared" ca="1" si="189"/>
        <v>0</v>
      </c>
      <c r="AB283" s="81">
        <f t="shared" ca="1" si="170"/>
        <v>0</v>
      </c>
      <c r="AC283" s="79">
        <f t="shared" ca="1" si="171"/>
        <v>0</v>
      </c>
      <c r="AD283" s="35"/>
      <c r="AE283" s="62">
        <f t="shared" ca="1" si="172"/>
        <v>0</v>
      </c>
      <c r="AF283" s="62">
        <f t="shared" ca="1" si="173"/>
        <v>0</v>
      </c>
      <c r="AG283" s="35"/>
      <c r="AH283" s="35"/>
      <c r="AR283" s="69">
        <f t="shared" si="190"/>
        <v>24</v>
      </c>
      <c r="AS283" s="70">
        <f t="shared" si="193"/>
        <v>280</v>
      </c>
      <c r="AT283" s="71">
        <f t="shared" si="194"/>
        <v>0.14711178940658709</v>
      </c>
      <c r="AU283" s="72">
        <f t="shared" si="174"/>
        <v>6.8214933659622723E-3</v>
      </c>
      <c r="AV283" s="73">
        <f t="shared" si="191"/>
        <v>1.0068214933659623</v>
      </c>
      <c r="AW283" s="74">
        <f>PRODUCT(AV$4:AV283)</f>
        <v>6.7095576835930428</v>
      </c>
    </row>
    <row r="284" spans="5:49">
      <c r="E284">
        <f t="shared" si="192"/>
        <v>281</v>
      </c>
      <c r="F284" s="64">
        <f t="shared" si="175"/>
        <v>84.4</v>
      </c>
      <c r="G284" s="55">
        <f t="shared" si="176"/>
        <v>1.2403362716826516E-2</v>
      </c>
      <c r="H284" s="78">
        <f t="shared" si="195"/>
        <v>0.20860963896423468</v>
      </c>
      <c r="I284" s="79">
        <f t="shared" ca="1" si="177"/>
        <v>0</v>
      </c>
      <c r="J284" s="79">
        <f t="shared" ca="1" si="178"/>
        <v>0</v>
      </c>
      <c r="K284" s="80">
        <f t="shared" ca="1" si="179"/>
        <v>0</v>
      </c>
      <c r="L284" s="80">
        <f t="shared" ca="1" si="180"/>
        <v>0</v>
      </c>
      <c r="M284" s="80">
        <f t="shared" ca="1" si="181"/>
        <v>0</v>
      </c>
      <c r="N284" s="80">
        <f t="shared" ca="1" si="182"/>
        <v>0</v>
      </c>
      <c r="O284" s="81">
        <f t="shared" ca="1" si="165"/>
        <v>0</v>
      </c>
      <c r="P284" s="79">
        <f t="shared" ca="1" si="166"/>
        <v>0</v>
      </c>
      <c r="Q284" s="35"/>
      <c r="R284">
        <f t="shared" ca="1" si="183"/>
        <v>281</v>
      </c>
      <c r="S284" s="78">
        <f t="shared" ca="1" si="184"/>
        <v>84.4</v>
      </c>
      <c r="T284" s="55">
        <f t="shared" ca="1" si="185"/>
        <v>1.2403362716826516E-2</v>
      </c>
      <c r="U284" s="78">
        <f t="shared" ca="1" si="186"/>
        <v>0.20860963896423468</v>
      </c>
      <c r="V284" s="79">
        <f t="shared" ca="1" si="187"/>
        <v>0</v>
      </c>
      <c r="W284" s="79">
        <f t="shared" ca="1" si="167"/>
        <v>0</v>
      </c>
      <c r="X284" s="80">
        <f t="shared" ca="1" si="168"/>
        <v>0</v>
      </c>
      <c r="Y284" s="80">
        <f t="shared" ca="1" si="188"/>
        <v>0</v>
      </c>
      <c r="Z284" s="80">
        <f t="shared" ca="1" si="169"/>
        <v>0</v>
      </c>
      <c r="AA284" s="80">
        <f t="shared" ca="1" si="189"/>
        <v>0</v>
      </c>
      <c r="AB284" s="81">
        <f t="shared" ca="1" si="170"/>
        <v>0</v>
      </c>
      <c r="AC284" s="79">
        <f t="shared" ca="1" si="171"/>
        <v>0</v>
      </c>
      <c r="AD284" s="35"/>
      <c r="AE284" s="62">
        <f t="shared" ca="1" si="172"/>
        <v>0</v>
      </c>
      <c r="AF284" s="62">
        <f t="shared" ca="1" si="173"/>
        <v>0</v>
      </c>
      <c r="AG284" s="35"/>
      <c r="AH284" s="35"/>
      <c r="AR284" s="69">
        <f t="shared" si="190"/>
        <v>24</v>
      </c>
      <c r="AS284" s="70">
        <f t="shared" si="193"/>
        <v>281</v>
      </c>
      <c r="AT284" s="71">
        <f t="shared" si="194"/>
        <v>0.14610826731109522</v>
      </c>
      <c r="AU284" s="72">
        <f t="shared" si="174"/>
        <v>6.8214933659622723E-3</v>
      </c>
      <c r="AV284" s="73">
        <f t="shared" si="191"/>
        <v>1.0068214933659623</v>
      </c>
      <c r="AW284" s="74">
        <f>PRODUCT(AV$4:AV284)</f>
        <v>6.7553268868202139</v>
      </c>
    </row>
    <row r="285" spans="5:49">
      <c r="E285">
        <f t="shared" si="192"/>
        <v>282</v>
      </c>
      <c r="F285" s="64">
        <f t="shared" si="175"/>
        <v>84.48</v>
      </c>
      <c r="G285" s="55">
        <f t="shared" si="176"/>
        <v>1.2403362716826516E-2</v>
      </c>
      <c r="H285" s="78">
        <f t="shared" si="195"/>
        <v>0.20602217794593505</v>
      </c>
      <c r="I285" s="79">
        <f t="shared" ca="1" si="177"/>
        <v>0</v>
      </c>
      <c r="J285" s="79">
        <f t="shared" ca="1" si="178"/>
        <v>0</v>
      </c>
      <c r="K285" s="80">
        <f t="shared" ca="1" si="179"/>
        <v>0</v>
      </c>
      <c r="L285" s="80">
        <f t="shared" ca="1" si="180"/>
        <v>0</v>
      </c>
      <c r="M285" s="80">
        <f t="shared" ca="1" si="181"/>
        <v>0</v>
      </c>
      <c r="N285" s="80">
        <f t="shared" ca="1" si="182"/>
        <v>0</v>
      </c>
      <c r="O285" s="81">
        <f t="shared" ca="1" si="165"/>
        <v>0</v>
      </c>
      <c r="P285" s="79">
        <f t="shared" ca="1" si="166"/>
        <v>0</v>
      </c>
      <c r="Q285" s="35"/>
      <c r="R285">
        <f t="shared" ca="1" si="183"/>
        <v>282</v>
      </c>
      <c r="S285" s="78">
        <f t="shared" ca="1" si="184"/>
        <v>84.48</v>
      </c>
      <c r="T285" s="55">
        <f t="shared" ca="1" si="185"/>
        <v>1.2403362716826516E-2</v>
      </c>
      <c r="U285" s="78">
        <f t="shared" ca="1" si="186"/>
        <v>0.20602217794593505</v>
      </c>
      <c r="V285" s="79">
        <f t="shared" ca="1" si="187"/>
        <v>0</v>
      </c>
      <c r="W285" s="79">
        <f t="shared" ca="1" si="167"/>
        <v>0</v>
      </c>
      <c r="X285" s="80">
        <f t="shared" ca="1" si="168"/>
        <v>0</v>
      </c>
      <c r="Y285" s="80">
        <f t="shared" ca="1" si="188"/>
        <v>0</v>
      </c>
      <c r="Z285" s="80">
        <f t="shared" ca="1" si="169"/>
        <v>0</v>
      </c>
      <c r="AA285" s="80">
        <f t="shared" ca="1" si="189"/>
        <v>0</v>
      </c>
      <c r="AB285" s="81">
        <f t="shared" ca="1" si="170"/>
        <v>0</v>
      </c>
      <c r="AC285" s="79">
        <f t="shared" ca="1" si="171"/>
        <v>0</v>
      </c>
      <c r="AD285" s="35"/>
      <c r="AE285" s="62">
        <f t="shared" ca="1" si="172"/>
        <v>0</v>
      </c>
      <c r="AF285" s="62">
        <f t="shared" ca="1" si="173"/>
        <v>0</v>
      </c>
      <c r="AG285" s="35"/>
      <c r="AH285" s="35"/>
      <c r="AR285" s="69">
        <f t="shared" si="190"/>
        <v>24</v>
      </c>
      <c r="AS285" s="70">
        <f t="shared" si="193"/>
        <v>282</v>
      </c>
      <c r="AT285" s="71">
        <f t="shared" si="194"/>
        <v>0.14511159073492033</v>
      </c>
      <c r="AU285" s="72">
        <f t="shared" si="174"/>
        <v>6.8214933659622723E-3</v>
      </c>
      <c r="AV285" s="73">
        <f t="shared" si="191"/>
        <v>1.0068214933659623</v>
      </c>
      <c r="AW285" s="74">
        <f>PRODUCT(AV$4:AV285)</f>
        <v>6.8014083043635649</v>
      </c>
    </row>
    <row r="286" spans="5:49">
      <c r="E286">
        <f t="shared" si="192"/>
        <v>283</v>
      </c>
      <c r="F286" s="64">
        <f t="shared" si="175"/>
        <v>84.56</v>
      </c>
      <c r="G286" s="55">
        <f t="shared" si="176"/>
        <v>1.3587845363505768E-2</v>
      </c>
      <c r="H286" s="78">
        <f t="shared" si="195"/>
        <v>0.20322278045055303</v>
      </c>
      <c r="I286" s="79">
        <f t="shared" ca="1" si="177"/>
        <v>0</v>
      </c>
      <c r="J286" s="79">
        <f t="shared" ca="1" si="178"/>
        <v>0</v>
      </c>
      <c r="K286" s="80">
        <f t="shared" ca="1" si="179"/>
        <v>0</v>
      </c>
      <c r="L286" s="80">
        <f t="shared" ca="1" si="180"/>
        <v>0</v>
      </c>
      <c r="M286" s="80">
        <f t="shared" ca="1" si="181"/>
        <v>0</v>
      </c>
      <c r="N286" s="80">
        <f t="shared" ca="1" si="182"/>
        <v>0</v>
      </c>
      <c r="O286" s="81">
        <f t="shared" ca="1" si="165"/>
        <v>0</v>
      </c>
      <c r="P286" s="79">
        <f t="shared" ca="1" si="166"/>
        <v>0</v>
      </c>
      <c r="Q286" s="35"/>
      <c r="R286">
        <f t="shared" ca="1" si="183"/>
        <v>283</v>
      </c>
      <c r="S286" s="78">
        <f t="shared" ca="1" si="184"/>
        <v>84.56</v>
      </c>
      <c r="T286" s="55">
        <f t="shared" ca="1" si="185"/>
        <v>1.3587845363505768E-2</v>
      </c>
      <c r="U286" s="78">
        <f t="shared" ca="1" si="186"/>
        <v>0.20322278045055303</v>
      </c>
      <c r="V286" s="79">
        <f t="shared" ca="1" si="187"/>
        <v>0</v>
      </c>
      <c r="W286" s="79">
        <f t="shared" ca="1" si="167"/>
        <v>0</v>
      </c>
      <c r="X286" s="80">
        <f t="shared" ca="1" si="168"/>
        <v>0</v>
      </c>
      <c r="Y286" s="80">
        <f t="shared" ca="1" si="188"/>
        <v>0</v>
      </c>
      <c r="Z286" s="80">
        <f t="shared" ca="1" si="169"/>
        <v>0</v>
      </c>
      <c r="AA286" s="80">
        <f t="shared" ca="1" si="189"/>
        <v>0</v>
      </c>
      <c r="AB286" s="81">
        <f t="shared" ca="1" si="170"/>
        <v>0</v>
      </c>
      <c r="AC286" s="79">
        <f t="shared" ca="1" si="171"/>
        <v>0</v>
      </c>
      <c r="AD286" s="35"/>
      <c r="AE286" s="62">
        <f t="shared" ca="1" si="172"/>
        <v>0</v>
      </c>
      <c r="AF286" s="62">
        <f t="shared" ca="1" si="173"/>
        <v>0</v>
      </c>
      <c r="AG286" s="35"/>
      <c r="AH286" s="35"/>
      <c r="AR286" s="69">
        <f t="shared" si="190"/>
        <v>24</v>
      </c>
      <c r="AS286" s="70">
        <f t="shared" si="193"/>
        <v>283</v>
      </c>
      <c r="AT286" s="71">
        <f t="shared" si="194"/>
        <v>0.14412171298139784</v>
      </c>
      <c r="AU286" s="72">
        <f t="shared" si="174"/>
        <v>6.8214933659622723E-3</v>
      </c>
      <c r="AV286" s="73">
        <f t="shared" si="191"/>
        <v>1.0068214933659623</v>
      </c>
      <c r="AW286" s="74">
        <f>PRODUCT(AV$4:AV286)</f>
        <v>6.8478040659909816</v>
      </c>
    </row>
    <row r="287" spans="5:49">
      <c r="E287">
        <f t="shared" si="192"/>
        <v>284</v>
      </c>
      <c r="F287" s="64">
        <f t="shared" si="175"/>
        <v>84.64</v>
      </c>
      <c r="G287" s="55">
        <f t="shared" si="176"/>
        <v>1.3587845363505768E-2</v>
      </c>
      <c r="H287" s="78">
        <f t="shared" si="195"/>
        <v>0.20046142073544923</v>
      </c>
      <c r="I287" s="79">
        <f t="shared" ca="1" si="177"/>
        <v>0</v>
      </c>
      <c r="J287" s="79">
        <f t="shared" ca="1" si="178"/>
        <v>0</v>
      </c>
      <c r="K287" s="80">
        <f t="shared" ca="1" si="179"/>
        <v>0</v>
      </c>
      <c r="L287" s="80">
        <f t="shared" ca="1" si="180"/>
        <v>0</v>
      </c>
      <c r="M287" s="80">
        <f t="shared" ca="1" si="181"/>
        <v>0</v>
      </c>
      <c r="N287" s="80">
        <f t="shared" ca="1" si="182"/>
        <v>0</v>
      </c>
      <c r="O287" s="81">
        <f t="shared" ca="1" si="165"/>
        <v>0</v>
      </c>
      <c r="P287" s="79">
        <f t="shared" ca="1" si="166"/>
        <v>0</v>
      </c>
      <c r="Q287" s="35"/>
      <c r="R287">
        <f t="shared" ca="1" si="183"/>
        <v>284</v>
      </c>
      <c r="S287" s="78">
        <f t="shared" ca="1" si="184"/>
        <v>84.64</v>
      </c>
      <c r="T287" s="55">
        <f t="shared" ca="1" si="185"/>
        <v>1.3587845363505768E-2</v>
      </c>
      <c r="U287" s="78">
        <f t="shared" ca="1" si="186"/>
        <v>0.20046142073544923</v>
      </c>
      <c r="V287" s="79">
        <f t="shared" ca="1" si="187"/>
        <v>0</v>
      </c>
      <c r="W287" s="79">
        <f t="shared" ca="1" si="167"/>
        <v>0</v>
      </c>
      <c r="X287" s="80">
        <f t="shared" ca="1" si="168"/>
        <v>0</v>
      </c>
      <c r="Y287" s="80">
        <f t="shared" ca="1" si="188"/>
        <v>0</v>
      </c>
      <c r="Z287" s="80">
        <f t="shared" ca="1" si="169"/>
        <v>0</v>
      </c>
      <c r="AA287" s="80">
        <f t="shared" ca="1" si="189"/>
        <v>0</v>
      </c>
      <c r="AB287" s="81">
        <f t="shared" ca="1" si="170"/>
        <v>0</v>
      </c>
      <c r="AC287" s="79">
        <f t="shared" ca="1" si="171"/>
        <v>0</v>
      </c>
      <c r="AD287" s="35"/>
      <c r="AE287" s="62">
        <f t="shared" ca="1" si="172"/>
        <v>0</v>
      </c>
      <c r="AF287" s="62">
        <f t="shared" ca="1" si="173"/>
        <v>0</v>
      </c>
      <c r="AG287" s="35"/>
      <c r="AH287" s="35"/>
      <c r="AR287" s="69">
        <f t="shared" si="190"/>
        <v>24</v>
      </c>
      <c r="AS287" s="70">
        <f t="shared" si="193"/>
        <v>284</v>
      </c>
      <c r="AT287" s="71">
        <f t="shared" si="194"/>
        <v>0.14313858767240412</v>
      </c>
      <c r="AU287" s="72">
        <f t="shared" si="174"/>
        <v>6.8214933659622723E-3</v>
      </c>
      <c r="AV287" s="73">
        <f t="shared" si="191"/>
        <v>1.0068214933659623</v>
      </c>
      <c r="AW287" s="74">
        <f>PRODUCT(AV$4:AV287)</f>
        <v>6.8945163159985485</v>
      </c>
    </row>
    <row r="288" spans="5:49">
      <c r="E288">
        <f t="shared" si="192"/>
        <v>285</v>
      </c>
      <c r="F288" s="64">
        <f t="shared" si="175"/>
        <v>84.72</v>
      </c>
      <c r="G288" s="55">
        <f t="shared" si="176"/>
        <v>1.3587845363505768E-2</v>
      </c>
      <c r="H288" s="78">
        <f t="shared" si="195"/>
        <v>0.19773758194914728</v>
      </c>
      <c r="I288" s="79">
        <f t="shared" ca="1" si="177"/>
        <v>0</v>
      </c>
      <c r="J288" s="79">
        <f t="shared" ca="1" si="178"/>
        <v>0</v>
      </c>
      <c r="K288" s="80">
        <f t="shared" ca="1" si="179"/>
        <v>0</v>
      </c>
      <c r="L288" s="80">
        <f t="shared" ca="1" si="180"/>
        <v>0</v>
      </c>
      <c r="M288" s="80">
        <f t="shared" ca="1" si="181"/>
        <v>0</v>
      </c>
      <c r="N288" s="80">
        <f t="shared" ca="1" si="182"/>
        <v>0</v>
      </c>
      <c r="O288" s="81">
        <f t="shared" ca="1" si="165"/>
        <v>0</v>
      </c>
      <c r="P288" s="79">
        <f t="shared" ca="1" si="166"/>
        <v>0</v>
      </c>
      <c r="Q288" s="35"/>
      <c r="R288">
        <f t="shared" ca="1" si="183"/>
        <v>285</v>
      </c>
      <c r="S288" s="78">
        <f t="shared" ca="1" si="184"/>
        <v>84.72</v>
      </c>
      <c r="T288" s="55">
        <f t="shared" ca="1" si="185"/>
        <v>1.3587845363505768E-2</v>
      </c>
      <c r="U288" s="78">
        <f t="shared" ca="1" si="186"/>
        <v>0.19773758194914728</v>
      </c>
      <c r="V288" s="79">
        <f t="shared" ca="1" si="187"/>
        <v>0</v>
      </c>
      <c r="W288" s="79">
        <f t="shared" ca="1" si="167"/>
        <v>0</v>
      </c>
      <c r="X288" s="80">
        <f t="shared" ca="1" si="168"/>
        <v>0</v>
      </c>
      <c r="Y288" s="80">
        <f t="shared" ca="1" si="188"/>
        <v>0</v>
      </c>
      <c r="Z288" s="80">
        <f t="shared" ca="1" si="169"/>
        <v>0</v>
      </c>
      <c r="AA288" s="80">
        <f t="shared" ca="1" si="189"/>
        <v>0</v>
      </c>
      <c r="AB288" s="81">
        <f t="shared" ca="1" si="170"/>
        <v>0</v>
      </c>
      <c r="AC288" s="79">
        <f t="shared" ca="1" si="171"/>
        <v>0</v>
      </c>
      <c r="AD288" s="35"/>
      <c r="AE288" s="62">
        <f t="shared" ca="1" si="172"/>
        <v>0</v>
      </c>
      <c r="AF288" s="62">
        <f t="shared" ca="1" si="173"/>
        <v>0</v>
      </c>
      <c r="AG288" s="35"/>
      <c r="AH288" s="35"/>
      <c r="AR288" s="69">
        <f t="shared" si="190"/>
        <v>24</v>
      </c>
      <c r="AS288" s="70">
        <f t="shared" si="193"/>
        <v>285</v>
      </c>
      <c r="AT288" s="71">
        <f t="shared" si="194"/>
        <v>0.14216216874618359</v>
      </c>
      <c r="AU288" s="72">
        <f t="shared" si="174"/>
        <v>6.8214933659622723E-3</v>
      </c>
      <c r="AV288" s="73">
        <f t="shared" si="191"/>
        <v>1.0068214933659623</v>
      </c>
      <c r="AW288" s="74">
        <f>PRODUCT(AV$4:AV288)</f>
        <v>6.9415472133096516</v>
      </c>
    </row>
    <row r="289" spans="5:49">
      <c r="E289">
        <f t="shared" si="192"/>
        <v>286</v>
      </c>
      <c r="F289" s="64">
        <f t="shared" si="175"/>
        <v>84.8</v>
      </c>
      <c r="G289" s="55">
        <f t="shared" si="176"/>
        <v>1.3587845363505768E-2</v>
      </c>
      <c r="H289" s="78">
        <f t="shared" si="195"/>
        <v>0.19505075426306873</v>
      </c>
      <c r="I289" s="79">
        <f t="shared" ca="1" si="177"/>
        <v>0</v>
      </c>
      <c r="J289" s="79">
        <f t="shared" ca="1" si="178"/>
        <v>0</v>
      </c>
      <c r="K289" s="80">
        <f t="shared" ca="1" si="179"/>
        <v>0</v>
      </c>
      <c r="L289" s="80">
        <f t="shared" ca="1" si="180"/>
        <v>0</v>
      </c>
      <c r="M289" s="80">
        <f t="shared" ca="1" si="181"/>
        <v>0</v>
      </c>
      <c r="N289" s="80">
        <f t="shared" ca="1" si="182"/>
        <v>0</v>
      </c>
      <c r="O289" s="81">
        <f t="shared" ca="1" si="165"/>
        <v>0</v>
      </c>
      <c r="P289" s="79">
        <f t="shared" ca="1" si="166"/>
        <v>0</v>
      </c>
      <c r="Q289" s="35"/>
      <c r="R289">
        <f t="shared" ca="1" si="183"/>
        <v>286</v>
      </c>
      <c r="S289" s="78">
        <f t="shared" ca="1" si="184"/>
        <v>84.8</v>
      </c>
      <c r="T289" s="55">
        <f t="shared" ca="1" si="185"/>
        <v>1.3587845363505768E-2</v>
      </c>
      <c r="U289" s="78">
        <f t="shared" ca="1" si="186"/>
        <v>0.19505075426306873</v>
      </c>
      <c r="V289" s="79">
        <f t="shared" ca="1" si="187"/>
        <v>0</v>
      </c>
      <c r="W289" s="79">
        <f t="shared" ca="1" si="167"/>
        <v>0</v>
      </c>
      <c r="X289" s="80">
        <f t="shared" ca="1" si="168"/>
        <v>0</v>
      </c>
      <c r="Y289" s="80">
        <f t="shared" ca="1" si="188"/>
        <v>0</v>
      </c>
      <c r="Z289" s="80">
        <f t="shared" ca="1" si="169"/>
        <v>0</v>
      </c>
      <c r="AA289" s="80">
        <f t="shared" ca="1" si="189"/>
        <v>0</v>
      </c>
      <c r="AB289" s="81">
        <f t="shared" ca="1" si="170"/>
        <v>0</v>
      </c>
      <c r="AC289" s="79">
        <f t="shared" ca="1" si="171"/>
        <v>0</v>
      </c>
      <c r="AD289" s="35"/>
      <c r="AE289" s="62">
        <f t="shared" ca="1" si="172"/>
        <v>0</v>
      </c>
      <c r="AF289" s="62">
        <f t="shared" ca="1" si="173"/>
        <v>0</v>
      </c>
      <c r="AG289" s="35"/>
      <c r="AH289" s="35"/>
      <c r="AR289" s="69">
        <f t="shared" si="190"/>
        <v>24</v>
      </c>
      <c r="AS289" s="70">
        <f t="shared" si="193"/>
        <v>286</v>
      </c>
      <c r="AT289" s="71">
        <f t="shared" si="194"/>
        <v>0.14119241045519068</v>
      </c>
      <c r="AU289" s="72">
        <f t="shared" si="174"/>
        <v>6.8214933659622723E-3</v>
      </c>
      <c r="AV289" s="73">
        <f t="shared" si="191"/>
        <v>1.0068214933659623</v>
      </c>
      <c r="AW289" s="74">
        <f>PRODUCT(AV$4:AV289)</f>
        <v>6.9888989315747576</v>
      </c>
    </row>
    <row r="290" spans="5:49">
      <c r="E290">
        <f t="shared" si="192"/>
        <v>287</v>
      </c>
      <c r="F290" s="64">
        <f t="shared" si="175"/>
        <v>84.88</v>
      </c>
      <c r="G290" s="55">
        <f t="shared" si="176"/>
        <v>1.3587845363505768E-2</v>
      </c>
      <c r="H290" s="78">
        <f t="shared" si="195"/>
        <v>0.19240043477610699</v>
      </c>
      <c r="I290" s="79">
        <f t="shared" ca="1" si="177"/>
        <v>0</v>
      </c>
      <c r="J290" s="79">
        <f t="shared" ca="1" si="178"/>
        <v>0</v>
      </c>
      <c r="K290" s="80">
        <f t="shared" ca="1" si="179"/>
        <v>0</v>
      </c>
      <c r="L290" s="80">
        <f t="shared" ca="1" si="180"/>
        <v>0</v>
      </c>
      <c r="M290" s="80">
        <f t="shared" ca="1" si="181"/>
        <v>0</v>
      </c>
      <c r="N290" s="80">
        <f t="shared" ca="1" si="182"/>
        <v>0</v>
      </c>
      <c r="O290" s="81">
        <f t="shared" ca="1" si="165"/>
        <v>0</v>
      </c>
      <c r="P290" s="79">
        <f t="shared" ca="1" si="166"/>
        <v>0</v>
      </c>
      <c r="Q290" s="35"/>
      <c r="R290">
        <f t="shared" ca="1" si="183"/>
        <v>287</v>
      </c>
      <c r="S290" s="78">
        <f t="shared" ca="1" si="184"/>
        <v>84.88</v>
      </c>
      <c r="T290" s="55">
        <f t="shared" ca="1" si="185"/>
        <v>1.3587845363505768E-2</v>
      </c>
      <c r="U290" s="78">
        <f t="shared" ca="1" si="186"/>
        <v>0.19240043477610699</v>
      </c>
      <c r="V290" s="79">
        <f t="shared" ca="1" si="187"/>
        <v>0</v>
      </c>
      <c r="W290" s="79">
        <f t="shared" ca="1" si="167"/>
        <v>0</v>
      </c>
      <c r="X290" s="80">
        <f t="shared" ca="1" si="168"/>
        <v>0</v>
      </c>
      <c r="Y290" s="80">
        <f t="shared" ca="1" si="188"/>
        <v>0</v>
      </c>
      <c r="Z290" s="80">
        <f t="shared" ca="1" si="169"/>
        <v>0</v>
      </c>
      <c r="AA290" s="80">
        <f t="shared" ca="1" si="189"/>
        <v>0</v>
      </c>
      <c r="AB290" s="81">
        <f t="shared" ca="1" si="170"/>
        <v>0</v>
      </c>
      <c r="AC290" s="79">
        <f t="shared" ca="1" si="171"/>
        <v>0</v>
      </c>
      <c r="AD290" s="35"/>
      <c r="AE290" s="62">
        <f t="shared" ca="1" si="172"/>
        <v>0</v>
      </c>
      <c r="AF290" s="62">
        <f t="shared" ca="1" si="173"/>
        <v>0</v>
      </c>
      <c r="AG290" s="35"/>
      <c r="AH290" s="35"/>
      <c r="AR290" s="69">
        <f t="shared" si="190"/>
        <v>24</v>
      </c>
      <c r="AS290" s="70">
        <f t="shared" si="193"/>
        <v>287</v>
      </c>
      <c r="AT290" s="71">
        <f t="shared" si="194"/>
        <v>0.14022926736394636</v>
      </c>
      <c r="AU290" s="72">
        <f t="shared" si="174"/>
        <v>6.8214933659622723E-3</v>
      </c>
      <c r="AV290" s="73">
        <f t="shared" si="191"/>
        <v>1.0068214933659623</v>
      </c>
      <c r="AW290" s="74">
        <f>PRODUCT(AV$4:AV290)</f>
        <v>7.0365736592718759</v>
      </c>
    </row>
    <row r="291" spans="5:49">
      <c r="E291">
        <f t="shared" si="192"/>
        <v>288</v>
      </c>
      <c r="F291" s="64">
        <f t="shared" si="175"/>
        <v>84.96</v>
      </c>
      <c r="G291" s="55">
        <f t="shared" si="176"/>
        <v>1.3587845363505768E-2</v>
      </c>
      <c r="H291" s="78">
        <f t="shared" si="195"/>
        <v>0.18978612742049797</v>
      </c>
      <c r="I291" s="79">
        <f t="shared" ca="1" si="177"/>
        <v>0</v>
      </c>
      <c r="J291" s="79">
        <f t="shared" ca="1" si="178"/>
        <v>0</v>
      </c>
      <c r="K291" s="80">
        <f t="shared" ca="1" si="179"/>
        <v>0</v>
      </c>
      <c r="L291" s="80">
        <f t="shared" ca="1" si="180"/>
        <v>0</v>
      </c>
      <c r="M291" s="80">
        <f t="shared" ca="1" si="181"/>
        <v>0</v>
      </c>
      <c r="N291" s="80">
        <f t="shared" ca="1" si="182"/>
        <v>0</v>
      </c>
      <c r="O291" s="81">
        <f t="shared" ca="1" si="165"/>
        <v>0</v>
      </c>
      <c r="P291" s="79">
        <f t="shared" ca="1" si="166"/>
        <v>0</v>
      </c>
      <c r="Q291" s="35"/>
      <c r="R291">
        <f t="shared" ca="1" si="183"/>
        <v>288</v>
      </c>
      <c r="S291" s="78">
        <f t="shared" ca="1" si="184"/>
        <v>84.96</v>
      </c>
      <c r="T291" s="55">
        <f t="shared" ca="1" si="185"/>
        <v>1.3587845363505768E-2</v>
      </c>
      <c r="U291" s="78">
        <f t="shared" ca="1" si="186"/>
        <v>0.18978612742049797</v>
      </c>
      <c r="V291" s="79">
        <f t="shared" ca="1" si="187"/>
        <v>0</v>
      </c>
      <c r="W291" s="79">
        <f t="shared" ca="1" si="167"/>
        <v>0</v>
      </c>
      <c r="X291" s="80">
        <f t="shared" ca="1" si="168"/>
        <v>0</v>
      </c>
      <c r="Y291" s="80">
        <f t="shared" ca="1" si="188"/>
        <v>0</v>
      </c>
      <c r="Z291" s="80">
        <f t="shared" ca="1" si="169"/>
        <v>0</v>
      </c>
      <c r="AA291" s="80">
        <f t="shared" ca="1" si="189"/>
        <v>0</v>
      </c>
      <c r="AB291" s="81">
        <f t="shared" ca="1" si="170"/>
        <v>0</v>
      </c>
      <c r="AC291" s="79">
        <f t="shared" ca="1" si="171"/>
        <v>0</v>
      </c>
      <c r="AD291" s="35"/>
      <c r="AE291" s="62">
        <f t="shared" ca="1" si="172"/>
        <v>0</v>
      </c>
      <c r="AF291" s="62">
        <f t="shared" ca="1" si="173"/>
        <v>0</v>
      </c>
      <c r="AG291" s="35"/>
      <c r="AH291" s="35"/>
      <c r="AR291" s="69">
        <f t="shared" si="190"/>
        <v>24</v>
      </c>
      <c r="AS291" s="70">
        <f t="shared" si="193"/>
        <v>288</v>
      </c>
      <c r="AT291" s="71">
        <f t="shared" si="194"/>
        <v>0.13927269434690945</v>
      </c>
      <c r="AU291" s="72">
        <f t="shared" si="174"/>
        <v>6.8214933659622723E-3</v>
      </c>
      <c r="AV291" s="73">
        <f t="shared" si="191"/>
        <v>1.0068214933659623</v>
      </c>
      <c r="AW291" s="74">
        <f>PRODUCT(AV$4:AV291)</f>
        <v>7.0845735998077037</v>
      </c>
    </row>
    <row r="292" spans="5:49">
      <c r="E292">
        <f t="shared" si="192"/>
        <v>289</v>
      </c>
      <c r="F292" s="64">
        <f t="shared" si="175"/>
        <v>85.04</v>
      </c>
      <c r="G292" s="55">
        <f t="shared" si="176"/>
        <v>1.3587845363505768E-2</v>
      </c>
      <c r="H292" s="78">
        <f t="shared" si="195"/>
        <v>0.18720734286896965</v>
      </c>
      <c r="I292" s="79">
        <f t="shared" ca="1" si="177"/>
        <v>0</v>
      </c>
      <c r="J292" s="79">
        <f t="shared" ca="1" si="178"/>
        <v>0</v>
      </c>
      <c r="K292" s="80">
        <f t="shared" ca="1" si="179"/>
        <v>0</v>
      </c>
      <c r="L292" s="80">
        <f t="shared" ca="1" si="180"/>
        <v>0</v>
      </c>
      <c r="M292" s="80">
        <f t="shared" ca="1" si="181"/>
        <v>0</v>
      </c>
      <c r="N292" s="80">
        <f t="shared" ca="1" si="182"/>
        <v>0</v>
      </c>
      <c r="O292" s="81">
        <f t="shared" ca="1" si="165"/>
        <v>0</v>
      </c>
      <c r="P292" s="79">
        <f t="shared" ca="1" si="166"/>
        <v>0</v>
      </c>
      <c r="Q292" s="35"/>
      <c r="R292">
        <f t="shared" ca="1" si="183"/>
        <v>289</v>
      </c>
      <c r="S292" s="78">
        <f t="shared" ca="1" si="184"/>
        <v>85.04</v>
      </c>
      <c r="T292" s="55">
        <f t="shared" ca="1" si="185"/>
        <v>1.3587845363505768E-2</v>
      </c>
      <c r="U292" s="78">
        <f t="shared" ca="1" si="186"/>
        <v>0.18720734286896965</v>
      </c>
      <c r="V292" s="79">
        <f t="shared" ca="1" si="187"/>
        <v>0</v>
      </c>
      <c r="W292" s="79">
        <f t="shared" ca="1" si="167"/>
        <v>0</v>
      </c>
      <c r="X292" s="80">
        <f t="shared" ca="1" si="168"/>
        <v>0</v>
      </c>
      <c r="Y292" s="80">
        <f t="shared" ca="1" si="188"/>
        <v>0</v>
      </c>
      <c r="Z292" s="80">
        <f t="shared" ca="1" si="169"/>
        <v>0</v>
      </c>
      <c r="AA292" s="80">
        <f t="shared" ca="1" si="189"/>
        <v>0</v>
      </c>
      <c r="AB292" s="81">
        <f t="shared" ca="1" si="170"/>
        <v>0</v>
      </c>
      <c r="AC292" s="79">
        <f t="shared" ca="1" si="171"/>
        <v>0</v>
      </c>
      <c r="AD292" s="35"/>
      <c r="AE292" s="62">
        <f t="shared" ca="1" si="172"/>
        <v>0</v>
      </c>
      <c r="AF292" s="62">
        <f t="shared" ca="1" si="173"/>
        <v>0</v>
      </c>
      <c r="AG292" s="35"/>
      <c r="AH292" s="35"/>
      <c r="AR292" s="69">
        <f t="shared" si="190"/>
        <v>25</v>
      </c>
      <c r="AS292" s="70">
        <f t="shared" si="193"/>
        <v>289</v>
      </c>
      <c r="AT292" s="71">
        <f t="shared" si="194"/>
        <v>0.13832264658636231</v>
      </c>
      <c r="AU292" s="72">
        <f t="shared" si="174"/>
        <v>6.8214933659622723E-3</v>
      </c>
      <c r="AV292" s="73">
        <f t="shared" si="191"/>
        <v>1.0068214933659623</v>
      </c>
      <c r="AW292" s="74">
        <f>PRODUCT(AV$4:AV292)</f>
        <v>7.1329009716194633</v>
      </c>
    </row>
    <row r="293" spans="5:49">
      <c r="E293">
        <f t="shared" si="192"/>
        <v>290</v>
      </c>
      <c r="F293" s="64">
        <f t="shared" si="175"/>
        <v>85.12</v>
      </c>
      <c r="G293" s="55">
        <f t="shared" si="176"/>
        <v>1.3587845363505768E-2</v>
      </c>
      <c r="H293" s="78">
        <f t="shared" si="195"/>
        <v>0.18466359844315328</v>
      </c>
      <c r="I293" s="79">
        <f t="shared" ca="1" si="177"/>
        <v>0</v>
      </c>
      <c r="J293" s="79">
        <f t="shared" ca="1" si="178"/>
        <v>0</v>
      </c>
      <c r="K293" s="80">
        <f t="shared" ca="1" si="179"/>
        <v>0</v>
      </c>
      <c r="L293" s="80">
        <f t="shared" ca="1" si="180"/>
        <v>0</v>
      </c>
      <c r="M293" s="80">
        <f t="shared" ca="1" si="181"/>
        <v>0</v>
      </c>
      <c r="N293" s="80">
        <f t="shared" ca="1" si="182"/>
        <v>0</v>
      </c>
      <c r="O293" s="81">
        <f t="shared" ca="1" si="165"/>
        <v>0</v>
      </c>
      <c r="P293" s="79">
        <f t="shared" ca="1" si="166"/>
        <v>0</v>
      </c>
      <c r="Q293" s="35"/>
      <c r="R293">
        <f t="shared" ca="1" si="183"/>
        <v>290</v>
      </c>
      <c r="S293" s="78">
        <f t="shared" ca="1" si="184"/>
        <v>85.12</v>
      </c>
      <c r="T293" s="55">
        <f t="shared" ca="1" si="185"/>
        <v>1.3587845363505768E-2</v>
      </c>
      <c r="U293" s="78">
        <f t="shared" ca="1" si="186"/>
        <v>0.18466359844315328</v>
      </c>
      <c r="V293" s="79">
        <f t="shared" ca="1" si="187"/>
        <v>0</v>
      </c>
      <c r="W293" s="79">
        <f t="shared" ca="1" si="167"/>
        <v>0</v>
      </c>
      <c r="X293" s="80">
        <f t="shared" ca="1" si="168"/>
        <v>0</v>
      </c>
      <c r="Y293" s="80">
        <f t="shared" ca="1" si="188"/>
        <v>0</v>
      </c>
      <c r="Z293" s="80">
        <f t="shared" ca="1" si="169"/>
        <v>0</v>
      </c>
      <c r="AA293" s="80">
        <f t="shared" ca="1" si="189"/>
        <v>0</v>
      </c>
      <c r="AB293" s="81">
        <f t="shared" ca="1" si="170"/>
        <v>0</v>
      </c>
      <c r="AC293" s="79">
        <f t="shared" ca="1" si="171"/>
        <v>0</v>
      </c>
      <c r="AD293" s="35"/>
      <c r="AE293" s="62">
        <f t="shared" ca="1" si="172"/>
        <v>0</v>
      </c>
      <c r="AF293" s="62">
        <f t="shared" ca="1" si="173"/>
        <v>0</v>
      </c>
      <c r="AG293" s="35"/>
      <c r="AH293" s="35"/>
      <c r="AR293" s="69">
        <f t="shared" si="190"/>
        <v>25</v>
      </c>
      <c r="AS293" s="70">
        <f t="shared" si="193"/>
        <v>290</v>
      </c>
      <c r="AT293" s="71">
        <f t="shared" si="194"/>
        <v>0.13737907957031109</v>
      </c>
      <c r="AU293" s="72">
        <f t="shared" si="174"/>
        <v>6.8214933659622723E-3</v>
      </c>
      <c r="AV293" s="73">
        <f t="shared" si="191"/>
        <v>1.0068214933659623</v>
      </c>
      <c r="AW293" s="74">
        <f>PRODUCT(AV$4:AV293)</f>
        <v>7.1815580082774311</v>
      </c>
    </row>
    <row r="294" spans="5:49">
      <c r="E294">
        <f t="shared" si="192"/>
        <v>291</v>
      </c>
      <c r="F294" s="64">
        <f t="shared" si="175"/>
        <v>85.2</v>
      </c>
      <c r="G294" s="55">
        <f t="shared" si="176"/>
        <v>1.3587845363505768E-2</v>
      </c>
      <c r="H294" s="78">
        <f t="shared" si="195"/>
        <v>0.18215441802323917</v>
      </c>
      <c r="I294" s="79">
        <f t="shared" ca="1" si="177"/>
        <v>0</v>
      </c>
      <c r="J294" s="79">
        <f t="shared" ca="1" si="178"/>
        <v>0</v>
      </c>
      <c r="K294" s="80">
        <f t="shared" ca="1" si="179"/>
        <v>0</v>
      </c>
      <c r="L294" s="80">
        <f t="shared" ca="1" si="180"/>
        <v>0</v>
      </c>
      <c r="M294" s="80">
        <f t="shared" ca="1" si="181"/>
        <v>0</v>
      </c>
      <c r="N294" s="80">
        <f t="shared" ca="1" si="182"/>
        <v>0</v>
      </c>
      <c r="O294" s="81">
        <f t="shared" ca="1" si="165"/>
        <v>0</v>
      </c>
      <c r="P294" s="79">
        <f t="shared" ca="1" si="166"/>
        <v>0</v>
      </c>
      <c r="Q294" s="35"/>
      <c r="R294">
        <f t="shared" ca="1" si="183"/>
        <v>291</v>
      </c>
      <c r="S294" s="78">
        <f t="shared" ca="1" si="184"/>
        <v>85.2</v>
      </c>
      <c r="T294" s="55">
        <f t="shared" ca="1" si="185"/>
        <v>1.3587845363505768E-2</v>
      </c>
      <c r="U294" s="78">
        <f t="shared" ca="1" si="186"/>
        <v>0.18215441802323917</v>
      </c>
      <c r="V294" s="79">
        <f t="shared" ca="1" si="187"/>
        <v>0</v>
      </c>
      <c r="W294" s="79">
        <f t="shared" ca="1" si="167"/>
        <v>0</v>
      </c>
      <c r="X294" s="80">
        <f t="shared" ca="1" si="168"/>
        <v>0</v>
      </c>
      <c r="Y294" s="80">
        <f t="shared" ca="1" si="188"/>
        <v>0</v>
      </c>
      <c r="Z294" s="80">
        <f t="shared" ca="1" si="169"/>
        <v>0</v>
      </c>
      <c r="AA294" s="80">
        <f t="shared" ca="1" si="189"/>
        <v>0</v>
      </c>
      <c r="AB294" s="81">
        <f t="shared" ca="1" si="170"/>
        <v>0</v>
      </c>
      <c r="AC294" s="79">
        <f t="shared" ca="1" si="171"/>
        <v>0</v>
      </c>
      <c r="AD294" s="35"/>
      <c r="AE294" s="62">
        <f t="shared" ca="1" si="172"/>
        <v>0</v>
      </c>
      <c r="AF294" s="62">
        <f t="shared" ca="1" si="173"/>
        <v>0</v>
      </c>
      <c r="AG294" s="35"/>
      <c r="AH294" s="35"/>
      <c r="AR294" s="69">
        <f t="shared" si="190"/>
        <v>25</v>
      </c>
      <c r="AS294" s="70">
        <f t="shared" si="193"/>
        <v>291</v>
      </c>
      <c r="AT294" s="71">
        <f t="shared" si="194"/>
        <v>0.13644194909040022</v>
      </c>
      <c r="AU294" s="72">
        <f t="shared" si="174"/>
        <v>6.8214933659622723E-3</v>
      </c>
      <c r="AV294" s="73">
        <f t="shared" si="191"/>
        <v>1.0068214933659623</v>
      </c>
      <c r="AW294" s="74">
        <f>PRODUCT(AV$4:AV294)</f>
        <v>7.2305469585881692</v>
      </c>
    </row>
    <row r="295" spans="5:49">
      <c r="E295">
        <f t="shared" si="192"/>
        <v>292</v>
      </c>
      <c r="F295" s="64">
        <f t="shared" si="175"/>
        <v>85.28</v>
      </c>
      <c r="G295" s="55">
        <f t="shared" si="176"/>
        <v>1.3587845363505768E-2</v>
      </c>
      <c r="H295" s="78">
        <f t="shared" si="195"/>
        <v>0.17967933195886002</v>
      </c>
      <c r="I295" s="79">
        <f t="shared" ca="1" si="177"/>
        <v>0</v>
      </c>
      <c r="J295" s="79">
        <f t="shared" ca="1" si="178"/>
        <v>0</v>
      </c>
      <c r="K295" s="80">
        <f t="shared" ca="1" si="179"/>
        <v>0</v>
      </c>
      <c r="L295" s="80">
        <f t="shared" ca="1" si="180"/>
        <v>0</v>
      </c>
      <c r="M295" s="80">
        <f t="shared" ca="1" si="181"/>
        <v>0</v>
      </c>
      <c r="N295" s="80">
        <f t="shared" ca="1" si="182"/>
        <v>0</v>
      </c>
      <c r="O295" s="81">
        <f t="shared" ca="1" si="165"/>
        <v>0</v>
      </c>
      <c r="P295" s="79">
        <f t="shared" ca="1" si="166"/>
        <v>0</v>
      </c>
      <c r="Q295" s="35"/>
      <c r="R295">
        <f t="shared" ca="1" si="183"/>
        <v>292</v>
      </c>
      <c r="S295" s="78">
        <f t="shared" ca="1" si="184"/>
        <v>85.28</v>
      </c>
      <c r="T295" s="55">
        <f t="shared" ca="1" si="185"/>
        <v>1.3587845363505768E-2</v>
      </c>
      <c r="U295" s="78">
        <f t="shared" ca="1" si="186"/>
        <v>0.17967933195886002</v>
      </c>
      <c r="V295" s="79">
        <f t="shared" ca="1" si="187"/>
        <v>0</v>
      </c>
      <c r="W295" s="79">
        <f t="shared" ca="1" si="167"/>
        <v>0</v>
      </c>
      <c r="X295" s="80">
        <f t="shared" ca="1" si="168"/>
        <v>0</v>
      </c>
      <c r="Y295" s="80">
        <f t="shared" ca="1" si="188"/>
        <v>0</v>
      </c>
      <c r="Z295" s="80">
        <f t="shared" ca="1" si="169"/>
        <v>0</v>
      </c>
      <c r="AA295" s="80">
        <f t="shared" ca="1" si="189"/>
        <v>0</v>
      </c>
      <c r="AB295" s="81">
        <f t="shared" ca="1" si="170"/>
        <v>0</v>
      </c>
      <c r="AC295" s="79">
        <f t="shared" ca="1" si="171"/>
        <v>0</v>
      </c>
      <c r="AD295" s="35"/>
      <c r="AE295" s="62">
        <f t="shared" ca="1" si="172"/>
        <v>0</v>
      </c>
      <c r="AF295" s="62">
        <f t="shared" ca="1" si="173"/>
        <v>0</v>
      </c>
      <c r="AG295" s="35"/>
      <c r="AH295" s="35"/>
      <c r="AR295" s="69">
        <f t="shared" si="190"/>
        <v>25</v>
      </c>
      <c r="AS295" s="70">
        <f t="shared" si="193"/>
        <v>292</v>
      </c>
      <c r="AT295" s="71">
        <f t="shared" si="194"/>
        <v>0.13551121123984108</v>
      </c>
      <c r="AU295" s="72">
        <f t="shared" si="174"/>
        <v>6.8214933659622723E-3</v>
      </c>
      <c r="AV295" s="73">
        <f t="shared" si="191"/>
        <v>1.0068214933659623</v>
      </c>
      <c r="AW295" s="74">
        <f>PRODUCT(AV$4:AV295)</f>
        <v>7.2798700866984571</v>
      </c>
    </row>
    <row r="296" spans="5:49">
      <c r="E296">
        <f t="shared" si="192"/>
        <v>293</v>
      </c>
      <c r="F296" s="64">
        <f t="shared" si="175"/>
        <v>85.36</v>
      </c>
      <c r="G296" s="55">
        <f t="shared" si="176"/>
        <v>1.3587845363505768E-2</v>
      </c>
      <c r="H296" s="78">
        <f t="shared" si="195"/>
        <v>0.17723787698118501</v>
      </c>
      <c r="I296" s="79">
        <f t="shared" ca="1" si="177"/>
        <v>0</v>
      </c>
      <c r="J296" s="79">
        <f t="shared" ca="1" si="178"/>
        <v>0</v>
      </c>
      <c r="K296" s="80">
        <f t="shared" ca="1" si="179"/>
        <v>0</v>
      </c>
      <c r="L296" s="80">
        <f t="shared" ca="1" si="180"/>
        <v>0</v>
      </c>
      <c r="M296" s="80">
        <f t="shared" ca="1" si="181"/>
        <v>0</v>
      </c>
      <c r="N296" s="80">
        <f t="shared" ca="1" si="182"/>
        <v>0</v>
      </c>
      <c r="O296" s="81">
        <f t="shared" ca="1" si="165"/>
        <v>0</v>
      </c>
      <c r="P296" s="79">
        <f t="shared" ca="1" si="166"/>
        <v>0</v>
      </c>
      <c r="Q296" s="35"/>
      <c r="R296">
        <f t="shared" ca="1" si="183"/>
        <v>293</v>
      </c>
      <c r="S296" s="78">
        <f t="shared" ca="1" si="184"/>
        <v>85.36</v>
      </c>
      <c r="T296" s="55">
        <f t="shared" ca="1" si="185"/>
        <v>1.3587845363505768E-2</v>
      </c>
      <c r="U296" s="78">
        <f t="shared" ca="1" si="186"/>
        <v>0.17723787698118501</v>
      </c>
      <c r="V296" s="79">
        <f t="shared" ca="1" si="187"/>
        <v>0</v>
      </c>
      <c r="W296" s="79">
        <f t="shared" ca="1" si="167"/>
        <v>0</v>
      </c>
      <c r="X296" s="80">
        <f t="shared" ca="1" si="168"/>
        <v>0</v>
      </c>
      <c r="Y296" s="80">
        <f t="shared" ca="1" si="188"/>
        <v>0</v>
      </c>
      <c r="Z296" s="80">
        <f t="shared" ca="1" si="169"/>
        <v>0</v>
      </c>
      <c r="AA296" s="80">
        <f t="shared" ca="1" si="189"/>
        <v>0</v>
      </c>
      <c r="AB296" s="81">
        <f t="shared" ca="1" si="170"/>
        <v>0</v>
      </c>
      <c r="AC296" s="79">
        <f t="shared" ca="1" si="171"/>
        <v>0</v>
      </c>
      <c r="AD296" s="35"/>
      <c r="AE296" s="62">
        <f t="shared" ca="1" si="172"/>
        <v>0</v>
      </c>
      <c r="AF296" s="62">
        <f t="shared" ca="1" si="173"/>
        <v>0</v>
      </c>
      <c r="AG296" s="35"/>
      <c r="AH296" s="35"/>
      <c r="AR296" s="69">
        <f t="shared" si="190"/>
        <v>25</v>
      </c>
      <c r="AS296" s="70">
        <f t="shared" si="193"/>
        <v>293</v>
      </c>
      <c r="AT296" s="71">
        <f t="shared" si="194"/>
        <v>0.134586822411355</v>
      </c>
      <c r="AU296" s="72">
        <f t="shared" si="174"/>
        <v>6.8214933659622723E-3</v>
      </c>
      <c r="AV296" s="73">
        <f t="shared" si="191"/>
        <v>1.0068214933659623</v>
      </c>
      <c r="AW296" s="74">
        <f>PRODUCT(AV$4:AV296)</f>
        <v>7.3295296721999375</v>
      </c>
    </row>
    <row r="297" spans="5:49">
      <c r="E297">
        <f t="shared" si="192"/>
        <v>294</v>
      </c>
      <c r="F297" s="64">
        <f t="shared" si="175"/>
        <v>85.44</v>
      </c>
      <c r="G297" s="55">
        <f t="shared" si="176"/>
        <v>1.3587845363505768E-2</v>
      </c>
      <c r="H297" s="78">
        <f t="shared" si="195"/>
        <v>0.1748295961162086</v>
      </c>
      <c r="I297" s="79">
        <f t="shared" ca="1" si="177"/>
        <v>0</v>
      </c>
      <c r="J297" s="79">
        <f t="shared" ca="1" si="178"/>
        <v>0</v>
      </c>
      <c r="K297" s="80">
        <f t="shared" ca="1" si="179"/>
        <v>0</v>
      </c>
      <c r="L297" s="80">
        <f t="shared" ca="1" si="180"/>
        <v>0</v>
      </c>
      <c r="M297" s="80">
        <f t="shared" ca="1" si="181"/>
        <v>0</v>
      </c>
      <c r="N297" s="80">
        <f t="shared" ca="1" si="182"/>
        <v>0</v>
      </c>
      <c r="O297" s="81">
        <f t="shared" ca="1" si="165"/>
        <v>0</v>
      </c>
      <c r="P297" s="79">
        <f t="shared" ca="1" si="166"/>
        <v>0</v>
      </c>
      <c r="Q297" s="35"/>
      <c r="R297">
        <f t="shared" ca="1" si="183"/>
        <v>294</v>
      </c>
      <c r="S297" s="78">
        <f t="shared" ca="1" si="184"/>
        <v>85.44</v>
      </c>
      <c r="T297" s="55">
        <f t="shared" ca="1" si="185"/>
        <v>1.3587845363505768E-2</v>
      </c>
      <c r="U297" s="78">
        <f t="shared" ca="1" si="186"/>
        <v>0.1748295961162086</v>
      </c>
      <c r="V297" s="79">
        <f t="shared" ca="1" si="187"/>
        <v>0</v>
      </c>
      <c r="W297" s="79">
        <f t="shared" ca="1" si="167"/>
        <v>0</v>
      </c>
      <c r="X297" s="80">
        <f t="shared" ca="1" si="168"/>
        <v>0</v>
      </c>
      <c r="Y297" s="80">
        <f t="shared" ca="1" si="188"/>
        <v>0</v>
      </c>
      <c r="Z297" s="80">
        <f t="shared" ca="1" si="169"/>
        <v>0</v>
      </c>
      <c r="AA297" s="80">
        <f t="shared" ca="1" si="189"/>
        <v>0</v>
      </c>
      <c r="AB297" s="81">
        <f t="shared" ca="1" si="170"/>
        <v>0</v>
      </c>
      <c r="AC297" s="79">
        <f t="shared" ca="1" si="171"/>
        <v>0</v>
      </c>
      <c r="AD297" s="35"/>
      <c r="AE297" s="62">
        <f t="shared" ca="1" si="172"/>
        <v>0</v>
      </c>
      <c r="AF297" s="62">
        <f t="shared" ca="1" si="173"/>
        <v>0</v>
      </c>
      <c r="AG297" s="35"/>
      <c r="AH297" s="35"/>
      <c r="AR297" s="69">
        <f t="shared" si="190"/>
        <v>25</v>
      </c>
      <c r="AS297" s="70">
        <f t="shared" si="193"/>
        <v>294</v>
      </c>
      <c r="AT297" s="71">
        <f t="shared" si="194"/>
        <v>0.13366873929513001</v>
      </c>
      <c r="AU297" s="72">
        <f t="shared" si="174"/>
        <v>6.8214933659622723E-3</v>
      </c>
      <c r="AV297" s="73">
        <f t="shared" si="191"/>
        <v>1.0068214933659623</v>
      </c>
      <c r="AW297" s="74">
        <f>PRODUCT(AV$4:AV297)</f>
        <v>7.3795280102344734</v>
      </c>
    </row>
    <row r="298" spans="5:49">
      <c r="E298">
        <f t="shared" si="192"/>
        <v>295</v>
      </c>
      <c r="F298" s="64">
        <f t="shared" si="175"/>
        <v>85.52</v>
      </c>
      <c r="G298" s="55">
        <f t="shared" si="176"/>
        <v>1.4888670873660748E-2</v>
      </c>
      <c r="H298" s="78">
        <f t="shared" si="195"/>
        <v>0.17222661580065934</v>
      </c>
      <c r="I298" s="79">
        <f t="shared" ca="1" si="177"/>
        <v>0</v>
      </c>
      <c r="J298" s="79">
        <f t="shared" ca="1" si="178"/>
        <v>0</v>
      </c>
      <c r="K298" s="80">
        <f t="shared" ca="1" si="179"/>
        <v>0</v>
      </c>
      <c r="L298" s="80">
        <f t="shared" ca="1" si="180"/>
        <v>0</v>
      </c>
      <c r="M298" s="80">
        <f t="shared" ca="1" si="181"/>
        <v>0</v>
      </c>
      <c r="N298" s="80">
        <f t="shared" ca="1" si="182"/>
        <v>0</v>
      </c>
      <c r="O298" s="81">
        <f t="shared" ca="1" si="165"/>
        <v>0</v>
      </c>
      <c r="P298" s="79">
        <f t="shared" ca="1" si="166"/>
        <v>0</v>
      </c>
      <c r="Q298" s="35"/>
      <c r="R298">
        <f t="shared" ca="1" si="183"/>
        <v>295</v>
      </c>
      <c r="S298" s="78">
        <f t="shared" ca="1" si="184"/>
        <v>85.52</v>
      </c>
      <c r="T298" s="55">
        <f t="shared" ca="1" si="185"/>
        <v>1.4888670873660748E-2</v>
      </c>
      <c r="U298" s="78">
        <f t="shared" ca="1" si="186"/>
        <v>0.17222661580065934</v>
      </c>
      <c r="V298" s="79">
        <f t="shared" ca="1" si="187"/>
        <v>0</v>
      </c>
      <c r="W298" s="79">
        <f t="shared" ca="1" si="167"/>
        <v>0</v>
      </c>
      <c r="X298" s="80">
        <f t="shared" ca="1" si="168"/>
        <v>0</v>
      </c>
      <c r="Y298" s="80">
        <f t="shared" ca="1" si="188"/>
        <v>0</v>
      </c>
      <c r="Z298" s="80">
        <f t="shared" ca="1" si="169"/>
        <v>0</v>
      </c>
      <c r="AA298" s="80">
        <f t="shared" ca="1" si="189"/>
        <v>0</v>
      </c>
      <c r="AB298" s="81">
        <f t="shared" ca="1" si="170"/>
        <v>0</v>
      </c>
      <c r="AC298" s="79">
        <f t="shared" ca="1" si="171"/>
        <v>0</v>
      </c>
      <c r="AD298" s="35"/>
      <c r="AE298" s="62">
        <f t="shared" ca="1" si="172"/>
        <v>0</v>
      </c>
      <c r="AF298" s="62">
        <f t="shared" ca="1" si="173"/>
        <v>0</v>
      </c>
      <c r="AG298" s="35"/>
      <c r="AH298" s="35"/>
      <c r="AR298" s="69">
        <f t="shared" si="190"/>
        <v>25</v>
      </c>
      <c r="AS298" s="70">
        <f t="shared" si="193"/>
        <v>295</v>
      </c>
      <c r="AT298" s="71">
        <f t="shared" si="194"/>
        <v>0.13275691887679175</v>
      </c>
      <c r="AU298" s="72">
        <f t="shared" si="174"/>
        <v>6.8214933659622723E-3</v>
      </c>
      <c r="AV298" s="73">
        <f t="shared" si="191"/>
        <v>1.0068214933659623</v>
      </c>
      <c r="AW298" s="74">
        <f>PRODUCT(AV$4:AV298)</f>
        <v>7.4298674116002204</v>
      </c>
    </row>
    <row r="299" spans="5:49">
      <c r="E299">
        <f t="shared" si="192"/>
        <v>296</v>
      </c>
      <c r="F299" s="64">
        <f t="shared" si="175"/>
        <v>85.6</v>
      </c>
      <c r="G299" s="55">
        <f t="shared" si="176"/>
        <v>1.4888670873660748E-2</v>
      </c>
      <c r="H299" s="78">
        <f t="shared" si="195"/>
        <v>0.1696623904023189</v>
      </c>
      <c r="I299" s="79">
        <f t="shared" ca="1" si="177"/>
        <v>0</v>
      </c>
      <c r="J299" s="79">
        <f t="shared" ca="1" si="178"/>
        <v>0</v>
      </c>
      <c r="K299" s="80">
        <f t="shared" ca="1" si="179"/>
        <v>0</v>
      </c>
      <c r="L299" s="80">
        <f t="shared" ca="1" si="180"/>
        <v>0</v>
      </c>
      <c r="M299" s="80">
        <f t="shared" ca="1" si="181"/>
        <v>0</v>
      </c>
      <c r="N299" s="80">
        <f t="shared" ca="1" si="182"/>
        <v>0</v>
      </c>
      <c r="O299" s="81">
        <f t="shared" ca="1" si="165"/>
        <v>0</v>
      </c>
      <c r="P299" s="79">
        <f t="shared" ca="1" si="166"/>
        <v>0</v>
      </c>
      <c r="Q299" s="35"/>
      <c r="R299">
        <f t="shared" ca="1" si="183"/>
        <v>296</v>
      </c>
      <c r="S299" s="78">
        <f t="shared" ca="1" si="184"/>
        <v>85.6</v>
      </c>
      <c r="T299" s="55">
        <f t="shared" ca="1" si="185"/>
        <v>1.4888670873660748E-2</v>
      </c>
      <c r="U299" s="78">
        <f t="shared" ca="1" si="186"/>
        <v>0.1696623904023189</v>
      </c>
      <c r="V299" s="79">
        <f t="shared" ca="1" si="187"/>
        <v>0</v>
      </c>
      <c r="W299" s="79">
        <f t="shared" ca="1" si="167"/>
        <v>0</v>
      </c>
      <c r="X299" s="80">
        <f t="shared" ca="1" si="168"/>
        <v>0</v>
      </c>
      <c r="Y299" s="80">
        <f t="shared" ca="1" si="188"/>
        <v>0</v>
      </c>
      <c r="Z299" s="80">
        <f t="shared" ca="1" si="169"/>
        <v>0</v>
      </c>
      <c r="AA299" s="80">
        <f t="shared" ca="1" si="189"/>
        <v>0</v>
      </c>
      <c r="AB299" s="81">
        <f t="shared" ca="1" si="170"/>
        <v>0</v>
      </c>
      <c r="AC299" s="79">
        <f t="shared" ca="1" si="171"/>
        <v>0</v>
      </c>
      <c r="AD299" s="35"/>
      <c r="AE299" s="62">
        <f t="shared" ca="1" si="172"/>
        <v>0</v>
      </c>
      <c r="AF299" s="62">
        <f t="shared" ca="1" si="173"/>
        <v>0</v>
      </c>
      <c r="AG299" s="35"/>
      <c r="AH299" s="35"/>
      <c r="AR299" s="69">
        <f t="shared" si="190"/>
        <v>25</v>
      </c>
      <c r="AS299" s="70">
        <f t="shared" si="193"/>
        <v>296</v>
      </c>
      <c r="AT299" s="71">
        <f t="shared" si="194"/>
        <v>0.13185131843538814</v>
      </c>
      <c r="AU299" s="72">
        <f t="shared" si="174"/>
        <v>6.8214933659622723E-3</v>
      </c>
      <c r="AV299" s="73">
        <f t="shared" si="191"/>
        <v>1.0068214933659623</v>
      </c>
      <c r="AW299" s="74">
        <f>PRODUCT(AV$4:AV299)</f>
        <v>7.4805502028584305</v>
      </c>
    </row>
    <row r="300" spans="5:49">
      <c r="E300">
        <f t="shared" si="192"/>
        <v>297</v>
      </c>
      <c r="F300" s="64">
        <f t="shared" si="175"/>
        <v>85.68</v>
      </c>
      <c r="G300" s="55">
        <f t="shared" si="176"/>
        <v>1.4888670873660748E-2</v>
      </c>
      <c r="H300" s="78">
        <f t="shared" si="195"/>
        <v>0.16713634291198023</v>
      </c>
      <c r="I300" s="79">
        <f t="shared" ca="1" si="177"/>
        <v>0</v>
      </c>
      <c r="J300" s="79">
        <f t="shared" ca="1" si="178"/>
        <v>0</v>
      </c>
      <c r="K300" s="80">
        <f t="shared" ca="1" si="179"/>
        <v>0</v>
      </c>
      <c r="L300" s="80">
        <f t="shared" ca="1" si="180"/>
        <v>0</v>
      </c>
      <c r="M300" s="80">
        <f t="shared" ca="1" si="181"/>
        <v>0</v>
      </c>
      <c r="N300" s="80">
        <f t="shared" ca="1" si="182"/>
        <v>0</v>
      </c>
      <c r="O300" s="81">
        <f t="shared" ca="1" si="165"/>
        <v>0</v>
      </c>
      <c r="P300" s="79">
        <f t="shared" ca="1" si="166"/>
        <v>0</v>
      </c>
      <c r="Q300" s="35"/>
      <c r="R300">
        <f t="shared" ca="1" si="183"/>
        <v>297</v>
      </c>
      <c r="S300" s="78">
        <f t="shared" ca="1" si="184"/>
        <v>85.68</v>
      </c>
      <c r="T300" s="55">
        <f t="shared" ca="1" si="185"/>
        <v>1.4888670873660748E-2</v>
      </c>
      <c r="U300" s="78">
        <f t="shared" ca="1" si="186"/>
        <v>0.16713634291198023</v>
      </c>
      <c r="V300" s="79">
        <f t="shared" ca="1" si="187"/>
        <v>0</v>
      </c>
      <c r="W300" s="79">
        <f t="shared" ca="1" si="167"/>
        <v>0</v>
      </c>
      <c r="X300" s="80">
        <f t="shared" ca="1" si="168"/>
        <v>0</v>
      </c>
      <c r="Y300" s="80">
        <f t="shared" ca="1" si="188"/>
        <v>0</v>
      </c>
      <c r="Z300" s="80">
        <f t="shared" ca="1" si="169"/>
        <v>0</v>
      </c>
      <c r="AA300" s="80">
        <f t="shared" ca="1" si="189"/>
        <v>0</v>
      </c>
      <c r="AB300" s="81">
        <f t="shared" ca="1" si="170"/>
        <v>0</v>
      </c>
      <c r="AC300" s="79">
        <f t="shared" ca="1" si="171"/>
        <v>0</v>
      </c>
      <c r="AD300" s="35"/>
      <c r="AE300" s="62">
        <f t="shared" ca="1" si="172"/>
        <v>0</v>
      </c>
      <c r="AF300" s="62">
        <f t="shared" ca="1" si="173"/>
        <v>0</v>
      </c>
      <c r="AH300" s="35"/>
      <c r="AR300" s="69">
        <f t="shared" si="190"/>
        <v>25</v>
      </c>
      <c r="AS300" s="70">
        <f t="shared" si="193"/>
        <v>297</v>
      </c>
      <c r="AT300" s="71">
        <f t="shared" si="194"/>
        <v>0.13095189554138775</v>
      </c>
      <c r="AU300" s="72">
        <f t="shared" si="174"/>
        <v>6.8214933659622723E-3</v>
      </c>
      <c r="AV300" s="73">
        <f t="shared" si="191"/>
        <v>1.0068214933659623</v>
      </c>
      <c r="AW300" s="74">
        <f>PRODUCT(AV$4:AV300)</f>
        <v>7.5315787264409773</v>
      </c>
    </row>
    <row r="301" spans="5:49">
      <c r="E301">
        <f t="shared" si="192"/>
        <v>298</v>
      </c>
      <c r="F301" s="64">
        <f t="shared" si="175"/>
        <v>85.76</v>
      </c>
      <c r="G301" s="55">
        <f t="shared" si="176"/>
        <v>1.4888670873660748E-2</v>
      </c>
      <c r="H301" s="78">
        <f t="shared" si="195"/>
        <v>0.16464790491133646</v>
      </c>
      <c r="I301" s="79">
        <f t="shared" ca="1" si="177"/>
        <v>0</v>
      </c>
      <c r="J301" s="79">
        <f t="shared" ca="1" si="178"/>
        <v>0</v>
      </c>
      <c r="K301" s="80">
        <f t="shared" ca="1" si="179"/>
        <v>0</v>
      </c>
      <c r="L301" s="80">
        <f t="shared" ca="1" si="180"/>
        <v>0</v>
      </c>
      <c r="M301" s="80">
        <f t="shared" ca="1" si="181"/>
        <v>0</v>
      </c>
      <c r="N301" s="80">
        <f t="shared" ca="1" si="182"/>
        <v>0</v>
      </c>
      <c r="O301" s="81">
        <f t="shared" ca="1" si="165"/>
        <v>0</v>
      </c>
      <c r="P301" s="79">
        <f t="shared" ca="1" si="166"/>
        <v>0</v>
      </c>
      <c r="Q301" s="35"/>
      <c r="R301">
        <f t="shared" ca="1" si="183"/>
        <v>298</v>
      </c>
      <c r="S301" s="78">
        <f t="shared" ca="1" si="184"/>
        <v>85.76</v>
      </c>
      <c r="T301" s="55">
        <f t="shared" ca="1" si="185"/>
        <v>1.4888670873660748E-2</v>
      </c>
      <c r="U301" s="78">
        <f t="shared" ca="1" si="186"/>
        <v>0.16464790491133646</v>
      </c>
      <c r="V301" s="79">
        <f t="shared" ca="1" si="187"/>
        <v>0</v>
      </c>
      <c r="W301" s="79">
        <f t="shared" ca="1" si="167"/>
        <v>0</v>
      </c>
      <c r="X301" s="80">
        <f t="shared" ca="1" si="168"/>
        <v>0</v>
      </c>
      <c r="Y301" s="80">
        <f t="shared" ca="1" si="188"/>
        <v>0</v>
      </c>
      <c r="Z301" s="80">
        <f t="shared" ca="1" si="169"/>
        <v>0</v>
      </c>
      <c r="AA301" s="80">
        <f t="shared" ca="1" si="189"/>
        <v>0</v>
      </c>
      <c r="AB301" s="81">
        <f t="shared" ca="1" si="170"/>
        <v>0</v>
      </c>
      <c r="AC301" s="79">
        <f t="shared" ca="1" si="171"/>
        <v>0</v>
      </c>
      <c r="AD301" s="35"/>
      <c r="AE301" s="62">
        <f t="shared" ca="1" si="172"/>
        <v>0</v>
      </c>
      <c r="AF301" s="62">
        <f t="shared" ca="1" si="173"/>
        <v>0</v>
      </c>
      <c r="AG301" s="35"/>
      <c r="AH301" s="35"/>
      <c r="AR301" s="69">
        <f t="shared" si="190"/>
        <v>25</v>
      </c>
      <c r="AS301" s="70">
        <f t="shared" si="193"/>
        <v>298</v>
      </c>
      <c r="AT301" s="71">
        <f t="shared" si="194"/>
        <v>0.13005860805469199</v>
      </c>
      <c r="AU301" s="72">
        <f t="shared" si="174"/>
        <v>6.8214933659622723E-3</v>
      </c>
      <c r="AV301" s="73">
        <f t="shared" si="191"/>
        <v>1.0068214933659623</v>
      </c>
      <c r="AW301" s="74">
        <f>PRODUCT(AV$4:AV301)</f>
        <v>7.582955340758617</v>
      </c>
    </row>
    <row r="302" spans="5:49">
      <c r="E302">
        <f t="shared" si="192"/>
        <v>299</v>
      </c>
      <c r="F302" s="64">
        <f t="shared" si="175"/>
        <v>85.84</v>
      </c>
      <c r="G302" s="55">
        <f t="shared" si="176"/>
        <v>1.4888670873660748E-2</v>
      </c>
      <c r="H302" s="78">
        <f t="shared" si="195"/>
        <v>0.1621965164450738</v>
      </c>
      <c r="I302" s="79">
        <f t="shared" ca="1" si="177"/>
        <v>0</v>
      </c>
      <c r="J302" s="79">
        <f t="shared" ca="1" si="178"/>
        <v>0</v>
      </c>
      <c r="K302" s="80">
        <f t="shared" ca="1" si="179"/>
        <v>0</v>
      </c>
      <c r="L302" s="80">
        <f t="shared" ca="1" si="180"/>
        <v>0</v>
      </c>
      <c r="M302" s="80">
        <f t="shared" ca="1" si="181"/>
        <v>0</v>
      </c>
      <c r="N302" s="80">
        <f t="shared" ca="1" si="182"/>
        <v>0</v>
      </c>
      <c r="O302" s="81">
        <f t="shared" ca="1" si="165"/>
        <v>0</v>
      </c>
      <c r="P302" s="79">
        <f t="shared" ca="1" si="166"/>
        <v>0</v>
      </c>
      <c r="Q302" s="35"/>
      <c r="R302">
        <f t="shared" ca="1" si="183"/>
        <v>299</v>
      </c>
      <c r="S302" s="78">
        <f t="shared" ca="1" si="184"/>
        <v>85.84</v>
      </c>
      <c r="T302" s="55">
        <f t="shared" ca="1" si="185"/>
        <v>1.4888670873660748E-2</v>
      </c>
      <c r="U302" s="78">
        <f t="shared" ca="1" si="186"/>
        <v>0.1621965164450738</v>
      </c>
      <c r="V302" s="79">
        <f t="shared" ca="1" si="187"/>
        <v>0</v>
      </c>
      <c r="W302" s="79">
        <f t="shared" ca="1" si="167"/>
        <v>0</v>
      </c>
      <c r="X302" s="80">
        <f t="shared" ca="1" si="168"/>
        <v>0</v>
      </c>
      <c r="Y302" s="80">
        <f t="shared" ca="1" si="188"/>
        <v>0</v>
      </c>
      <c r="Z302" s="80">
        <f t="shared" ca="1" si="169"/>
        <v>0</v>
      </c>
      <c r="AA302" s="80">
        <f t="shared" ca="1" si="189"/>
        <v>0</v>
      </c>
      <c r="AB302" s="81">
        <f t="shared" ca="1" si="170"/>
        <v>0</v>
      </c>
      <c r="AC302" s="79">
        <f t="shared" ca="1" si="171"/>
        <v>0</v>
      </c>
      <c r="AD302" s="35"/>
      <c r="AE302" s="62">
        <f t="shared" ca="1" si="172"/>
        <v>0</v>
      </c>
      <c r="AF302" s="62">
        <f t="shared" ca="1" si="173"/>
        <v>0</v>
      </c>
      <c r="AG302" s="35"/>
      <c r="AH302" s="35"/>
      <c r="AR302" s="69">
        <f t="shared" si="190"/>
        <v>25</v>
      </c>
      <c r="AS302" s="70">
        <f t="shared" si="193"/>
        <v>299</v>
      </c>
      <c r="AT302" s="71">
        <f t="shared" si="194"/>
        <v>0.12917141412266062</v>
      </c>
      <c r="AU302" s="72">
        <f t="shared" si="174"/>
        <v>6.8214933659622723E-3</v>
      </c>
      <c r="AV302" s="73">
        <f t="shared" si="191"/>
        <v>1.0068214933659623</v>
      </c>
      <c r="AW302" s="74">
        <f>PRODUCT(AV$4:AV302)</f>
        <v>7.6346824203099901</v>
      </c>
    </row>
    <row r="303" spans="5:49">
      <c r="E303">
        <f t="shared" si="192"/>
        <v>300</v>
      </c>
      <c r="F303" s="64">
        <f t="shared" si="175"/>
        <v>85.92</v>
      </c>
      <c r="G303" s="55">
        <f t="shared" si="176"/>
        <v>1.4888670873660748E-2</v>
      </c>
      <c r="H303" s="78">
        <f t="shared" si="195"/>
        <v>0.1597816258948688</v>
      </c>
      <c r="I303" s="79">
        <f t="shared" ca="1" si="177"/>
        <v>0</v>
      </c>
      <c r="J303" s="79">
        <f t="shared" ca="1" si="178"/>
        <v>0</v>
      </c>
      <c r="K303" s="80">
        <f t="shared" ca="1" si="179"/>
        <v>0</v>
      </c>
      <c r="L303" s="80">
        <f t="shared" ca="1" si="180"/>
        <v>0</v>
      </c>
      <c r="M303" s="80">
        <f t="shared" ca="1" si="181"/>
        <v>0</v>
      </c>
      <c r="N303" s="80">
        <f t="shared" ca="1" si="182"/>
        <v>0</v>
      </c>
      <c r="O303" s="81">
        <f t="shared" ca="1" si="165"/>
        <v>0</v>
      </c>
      <c r="P303" s="79">
        <f t="shared" ca="1" si="166"/>
        <v>0</v>
      </c>
      <c r="Q303" s="35"/>
      <c r="R303">
        <f t="shared" ca="1" si="183"/>
        <v>300</v>
      </c>
      <c r="S303" s="78">
        <f t="shared" ca="1" si="184"/>
        <v>85.92</v>
      </c>
      <c r="T303" s="55">
        <f t="shared" ca="1" si="185"/>
        <v>1.4888670873660748E-2</v>
      </c>
      <c r="U303" s="78">
        <f t="shared" ca="1" si="186"/>
        <v>0.1597816258948688</v>
      </c>
      <c r="V303" s="79">
        <f t="shared" ca="1" si="187"/>
        <v>0</v>
      </c>
      <c r="W303" s="79">
        <f t="shared" ca="1" si="167"/>
        <v>0</v>
      </c>
      <c r="X303" s="80">
        <f t="shared" ca="1" si="168"/>
        <v>0</v>
      </c>
      <c r="Y303" s="80">
        <f t="shared" ca="1" si="188"/>
        <v>0</v>
      </c>
      <c r="Z303" s="80">
        <f t="shared" ca="1" si="169"/>
        <v>0</v>
      </c>
      <c r="AA303" s="80">
        <f t="shared" ca="1" si="189"/>
        <v>0</v>
      </c>
      <c r="AB303" s="81">
        <f t="shared" ca="1" si="170"/>
        <v>0</v>
      </c>
      <c r="AC303" s="79">
        <f t="shared" ca="1" si="171"/>
        <v>0</v>
      </c>
      <c r="AD303" s="35"/>
      <c r="AE303" s="62">
        <f t="shared" ca="1" si="172"/>
        <v>0</v>
      </c>
      <c r="AF303" s="62">
        <f t="shared" ca="1" si="173"/>
        <v>0</v>
      </c>
      <c r="AG303" s="35"/>
      <c r="AH303" s="35"/>
      <c r="AR303" s="69">
        <f t="shared" si="190"/>
        <v>25</v>
      </c>
      <c r="AS303" s="70">
        <f t="shared" si="193"/>
        <v>300</v>
      </c>
      <c r="AT303" s="71">
        <f t="shared" si="194"/>
        <v>0.12829027217815092</v>
      </c>
      <c r="AU303" s="72">
        <f t="shared" si="174"/>
        <v>6.8214933659622723E-3</v>
      </c>
      <c r="AV303" s="73">
        <f t="shared" si="191"/>
        <v>1.0068214933659623</v>
      </c>
      <c r="AW303" s="74">
        <f>PRODUCT(AV$4:AV303)</f>
        <v>7.6867623557913634</v>
      </c>
    </row>
    <row r="304" spans="5:49">
      <c r="E304">
        <f t="shared" si="192"/>
        <v>301</v>
      </c>
      <c r="F304" s="64">
        <f t="shared" si="175"/>
        <v>86</v>
      </c>
      <c r="G304" s="55">
        <f t="shared" si="176"/>
        <v>1.4888670873660748E-2</v>
      </c>
      <c r="H304" s="78">
        <f t="shared" si="195"/>
        <v>0.15740268985526171</v>
      </c>
      <c r="I304" s="79">
        <f t="shared" ca="1" si="177"/>
        <v>0</v>
      </c>
      <c r="J304" s="79">
        <f t="shared" ca="1" si="178"/>
        <v>0</v>
      </c>
      <c r="K304" s="80">
        <f t="shared" ca="1" si="179"/>
        <v>0</v>
      </c>
      <c r="L304" s="80">
        <f t="shared" ca="1" si="180"/>
        <v>0</v>
      </c>
      <c r="M304" s="80">
        <f t="shared" ca="1" si="181"/>
        <v>0</v>
      </c>
      <c r="N304" s="80">
        <f t="shared" ca="1" si="182"/>
        <v>0</v>
      </c>
      <c r="O304" s="81">
        <f t="shared" ca="1" si="165"/>
        <v>0</v>
      </c>
      <c r="P304" s="79">
        <f t="shared" ca="1" si="166"/>
        <v>0</v>
      </c>
      <c r="Q304" s="35"/>
      <c r="R304">
        <f t="shared" ca="1" si="183"/>
        <v>301</v>
      </c>
      <c r="S304" s="78">
        <f t="shared" ca="1" si="184"/>
        <v>86</v>
      </c>
      <c r="T304" s="55">
        <f t="shared" ca="1" si="185"/>
        <v>1.4888670873660748E-2</v>
      </c>
      <c r="U304" s="78">
        <f t="shared" ca="1" si="186"/>
        <v>0.15740268985526171</v>
      </c>
      <c r="V304" s="79">
        <f t="shared" ca="1" si="187"/>
        <v>0</v>
      </c>
      <c r="W304" s="79">
        <f t="shared" ca="1" si="167"/>
        <v>0</v>
      </c>
      <c r="X304" s="80">
        <f t="shared" ca="1" si="168"/>
        <v>0</v>
      </c>
      <c r="Y304" s="80">
        <f t="shared" ca="1" si="188"/>
        <v>0</v>
      </c>
      <c r="Z304" s="80">
        <f t="shared" ca="1" si="169"/>
        <v>0</v>
      </c>
      <c r="AA304" s="80">
        <f t="shared" ca="1" si="189"/>
        <v>0</v>
      </c>
      <c r="AB304" s="81">
        <f t="shared" ca="1" si="170"/>
        <v>0</v>
      </c>
      <c r="AC304" s="79">
        <f t="shared" ca="1" si="171"/>
        <v>0</v>
      </c>
      <c r="AD304" s="35"/>
      <c r="AE304" s="62">
        <f t="shared" ca="1" si="172"/>
        <v>0</v>
      </c>
      <c r="AF304" s="62">
        <f t="shared" ca="1" si="173"/>
        <v>0</v>
      </c>
      <c r="AG304" s="35"/>
      <c r="AH304" s="35"/>
      <c r="AR304" s="69">
        <f t="shared" si="190"/>
        <v>26</v>
      </c>
      <c r="AS304" s="70">
        <f t="shared" si="193"/>
        <v>301</v>
      </c>
      <c r="AT304" s="71">
        <f t="shared" si="194"/>
        <v>0.12741514093757017</v>
      </c>
      <c r="AU304" s="72">
        <f t="shared" si="174"/>
        <v>6.8214933659622723E-3</v>
      </c>
      <c r="AV304" s="73">
        <f t="shared" si="191"/>
        <v>1.0068214933659623</v>
      </c>
      <c r="AW304" s="74">
        <f>PRODUCT(AV$4:AV304)</f>
        <v>7.7391975542071227</v>
      </c>
    </row>
    <row r="305" spans="5:49">
      <c r="E305">
        <f t="shared" si="192"/>
        <v>302</v>
      </c>
      <c r="F305" s="64">
        <f t="shared" si="175"/>
        <v>86.08</v>
      </c>
      <c r="G305" s="55">
        <f t="shared" si="176"/>
        <v>1.4888670873660748E-2</v>
      </c>
      <c r="H305" s="78">
        <f t="shared" si="195"/>
        <v>0.15505917301137781</v>
      </c>
      <c r="I305" s="79">
        <f t="shared" ca="1" si="177"/>
        <v>0</v>
      </c>
      <c r="J305" s="79">
        <f t="shared" ca="1" si="178"/>
        <v>0</v>
      </c>
      <c r="K305" s="80">
        <f t="shared" ca="1" si="179"/>
        <v>0</v>
      </c>
      <c r="L305" s="80">
        <f t="shared" ca="1" si="180"/>
        <v>0</v>
      </c>
      <c r="M305" s="80">
        <f t="shared" ca="1" si="181"/>
        <v>0</v>
      </c>
      <c r="N305" s="80">
        <f t="shared" ca="1" si="182"/>
        <v>0</v>
      </c>
      <c r="O305" s="81">
        <f t="shared" ca="1" si="165"/>
        <v>0</v>
      </c>
      <c r="P305" s="79">
        <f t="shared" ca="1" si="166"/>
        <v>0</v>
      </c>
      <c r="Q305" s="35"/>
      <c r="R305">
        <f t="shared" ca="1" si="183"/>
        <v>302</v>
      </c>
      <c r="S305" s="78">
        <f t="shared" ca="1" si="184"/>
        <v>86.08</v>
      </c>
      <c r="T305" s="55">
        <f t="shared" ca="1" si="185"/>
        <v>1.4888670873660748E-2</v>
      </c>
      <c r="U305" s="78">
        <f t="shared" ca="1" si="186"/>
        <v>0.15505917301137781</v>
      </c>
      <c r="V305" s="79">
        <f t="shared" ca="1" si="187"/>
        <v>0</v>
      </c>
      <c r="W305" s="79">
        <f t="shared" ca="1" si="167"/>
        <v>0</v>
      </c>
      <c r="X305" s="80">
        <f t="shared" ca="1" si="168"/>
        <v>0</v>
      </c>
      <c r="Y305" s="80">
        <f t="shared" ca="1" si="188"/>
        <v>0</v>
      </c>
      <c r="Z305" s="80">
        <f t="shared" ca="1" si="169"/>
        <v>0</v>
      </c>
      <c r="AA305" s="80">
        <f t="shared" ca="1" si="189"/>
        <v>0</v>
      </c>
      <c r="AB305" s="81">
        <f t="shared" ca="1" si="170"/>
        <v>0</v>
      </c>
      <c r="AC305" s="79">
        <f t="shared" ca="1" si="171"/>
        <v>0</v>
      </c>
      <c r="AD305" s="35"/>
      <c r="AE305" s="62">
        <f t="shared" ca="1" si="172"/>
        <v>0</v>
      </c>
      <c r="AF305" s="62">
        <f t="shared" ca="1" si="173"/>
        <v>0</v>
      </c>
      <c r="AG305" s="35"/>
      <c r="AH305" s="35"/>
      <c r="AR305" s="69">
        <f t="shared" si="190"/>
        <v>26</v>
      </c>
      <c r="AS305" s="70">
        <f t="shared" si="193"/>
        <v>302</v>
      </c>
      <c r="AT305" s="71">
        <f t="shared" si="194"/>
        <v>0.12654597939894138</v>
      </c>
      <c r="AU305" s="72">
        <f t="shared" si="174"/>
        <v>6.8214933659622723E-3</v>
      </c>
      <c r="AV305" s="73">
        <f t="shared" si="191"/>
        <v>1.0068214933659623</v>
      </c>
      <c r="AW305" s="74">
        <f>PRODUCT(AV$4:AV305)</f>
        <v>7.791990438981018</v>
      </c>
    </row>
    <row r="306" spans="5:49">
      <c r="E306">
        <f t="shared" si="192"/>
        <v>303</v>
      </c>
      <c r="F306" s="64">
        <f t="shared" si="175"/>
        <v>86.16</v>
      </c>
      <c r="G306" s="55">
        <f t="shared" si="176"/>
        <v>1.4888670873660748E-2</v>
      </c>
      <c r="H306" s="78">
        <f t="shared" si="195"/>
        <v>0.15275054801846938</v>
      </c>
      <c r="I306" s="79">
        <f t="shared" ca="1" si="177"/>
        <v>0</v>
      </c>
      <c r="J306" s="79">
        <f t="shared" ca="1" si="178"/>
        <v>0</v>
      </c>
      <c r="K306" s="80">
        <f t="shared" ca="1" si="179"/>
        <v>0</v>
      </c>
      <c r="L306" s="80">
        <f t="shared" ca="1" si="180"/>
        <v>0</v>
      </c>
      <c r="M306" s="80">
        <f t="shared" ca="1" si="181"/>
        <v>0</v>
      </c>
      <c r="N306" s="80">
        <f t="shared" ca="1" si="182"/>
        <v>0</v>
      </c>
      <c r="O306" s="81">
        <f t="shared" ca="1" si="165"/>
        <v>0</v>
      </c>
      <c r="P306" s="79">
        <f t="shared" ca="1" si="166"/>
        <v>0</v>
      </c>
      <c r="Q306" s="35"/>
      <c r="R306">
        <f t="shared" ca="1" si="183"/>
        <v>303</v>
      </c>
      <c r="S306" s="78">
        <f t="shared" ca="1" si="184"/>
        <v>86.16</v>
      </c>
      <c r="T306" s="55">
        <f t="shared" ca="1" si="185"/>
        <v>1.4888670873660748E-2</v>
      </c>
      <c r="U306" s="78">
        <f t="shared" ca="1" si="186"/>
        <v>0.15275054801846938</v>
      </c>
      <c r="V306" s="79">
        <f t="shared" ca="1" si="187"/>
        <v>0</v>
      </c>
      <c r="W306" s="79">
        <f t="shared" ca="1" si="167"/>
        <v>0</v>
      </c>
      <c r="X306" s="80">
        <f t="shared" ca="1" si="168"/>
        <v>0</v>
      </c>
      <c r="Y306" s="80">
        <f t="shared" ca="1" si="188"/>
        <v>0</v>
      </c>
      <c r="Z306" s="80">
        <f t="shared" ca="1" si="169"/>
        <v>0</v>
      </c>
      <c r="AA306" s="80">
        <f t="shared" ca="1" si="189"/>
        <v>0</v>
      </c>
      <c r="AB306" s="81">
        <f t="shared" ca="1" si="170"/>
        <v>0</v>
      </c>
      <c r="AC306" s="79">
        <f t="shared" ca="1" si="171"/>
        <v>0</v>
      </c>
      <c r="AD306" s="35"/>
      <c r="AE306" s="62">
        <f t="shared" ca="1" si="172"/>
        <v>0</v>
      </c>
      <c r="AF306" s="62">
        <f t="shared" ca="1" si="173"/>
        <v>0</v>
      </c>
      <c r="AG306" s="35"/>
      <c r="AH306" s="35"/>
      <c r="AR306" s="69">
        <f t="shared" si="190"/>
        <v>26</v>
      </c>
      <c r="AS306" s="70">
        <f t="shared" si="193"/>
        <v>303</v>
      </c>
      <c r="AT306" s="71">
        <f t="shared" si="194"/>
        <v>0.12568274683998232</v>
      </c>
      <c r="AU306" s="72">
        <f t="shared" si="174"/>
        <v>6.8214933659622723E-3</v>
      </c>
      <c r="AV306" s="73">
        <f t="shared" si="191"/>
        <v>1.0068214933659623</v>
      </c>
      <c r="AW306" s="74">
        <f>PRODUCT(AV$4:AV306)</f>
        <v>7.8451434500681687</v>
      </c>
    </row>
    <row r="307" spans="5:49">
      <c r="E307">
        <f t="shared" si="192"/>
        <v>304</v>
      </c>
      <c r="F307" s="64">
        <f t="shared" si="175"/>
        <v>86.24</v>
      </c>
      <c r="G307" s="55">
        <f t="shared" si="176"/>
        <v>1.4888670873660748E-2</v>
      </c>
      <c r="H307" s="78">
        <f t="shared" si="195"/>
        <v>0.15047629538325108</v>
      </c>
      <c r="I307" s="79">
        <f t="shared" ca="1" si="177"/>
        <v>0</v>
      </c>
      <c r="J307" s="79">
        <f t="shared" ca="1" si="178"/>
        <v>0</v>
      </c>
      <c r="K307" s="80">
        <f t="shared" ca="1" si="179"/>
        <v>0</v>
      </c>
      <c r="L307" s="80">
        <f t="shared" ca="1" si="180"/>
        <v>0</v>
      </c>
      <c r="M307" s="80">
        <f t="shared" ca="1" si="181"/>
        <v>0</v>
      </c>
      <c r="N307" s="80">
        <f t="shared" ca="1" si="182"/>
        <v>0</v>
      </c>
      <c r="O307" s="81">
        <f t="shared" ca="1" si="165"/>
        <v>0</v>
      </c>
      <c r="P307" s="79">
        <f t="shared" ca="1" si="166"/>
        <v>0</v>
      </c>
      <c r="Q307" s="35"/>
      <c r="R307">
        <f t="shared" ca="1" si="183"/>
        <v>304</v>
      </c>
      <c r="S307" s="78">
        <f t="shared" ca="1" si="184"/>
        <v>86.24</v>
      </c>
      <c r="T307" s="55">
        <f t="shared" ca="1" si="185"/>
        <v>1.4888670873660748E-2</v>
      </c>
      <c r="U307" s="78">
        <f t="shared" ca="1" si="186"/>
        <v>0.15047629538325108</v>
      </c>
      <c r="V307" s="79">
        <f t="shared" ca="1" si="187"/>
        <v>0</v>
      </c>
      <c r="W307" s="79">
        <f t="shared" ca="1" si="167"/>
        <v>0</v>
      </c>
      <c r="X307" s="80">
        <f t="shared" ca="1" si="168"/>
        <v>0</v>
      </c>
      <c r="Y307" s="80">
        <f t="shared" ca="1" si="188"/>
        <v>0</v>
      </c>
      <c r="Z307" s="80">
        <f t="shared" ca="1" si="169"/>
        <v>0</v>
      </c>
      <c r="AA307" s="80">
        <f t="shared" ca="1" si="189"/>
        <v>0</v>
      </c>
      <c r="AB307" s="81">
        <f t="shared" ca="1" si="170"/>
        <v>0</v>
      </c>
      <c r="AC307" s="79">
        <f t="shared" ca="1" si="171"/>
        <v>0</v>
      </c>
      <c r="AD307" s="35"/>
      <c r="AE307" s="62">
        <f t="shared" ca="1" si="172"/>
        <v>0</v>
      </c>
      <c r="AF307" s="62">
        <f t="shared" ca="1" si="173"/>
        <v>0</v>
      </c>
      <c r="AG307" s="35"/>
      <c r="AH307" s="35"/>
      <c r="AR307" s="69">
        <f t="shared" si="190"/>
        <v>26</v>
      </c>
      <c r="AS307" s="70">
        <f t="shared" si="193"/>
        <v>304</v>
      </c>
      <c r="AT307" s="71">
        <f t="shared" si="194"/>
        <v>0.12482540281619746</v>
      </c>
      <c r="AU307" s="72">
        <f t="shared" si="174"/>
        <v>6.8214933659622723E-3</v>
      </c>
      <c r="AV307" s="73">
        <f t="shared" si="191"/>
        <v>1.0068214933659623</v>
      </c>
      <c r="AW307" s="74">
        <f>PRODUCT(AV$4:AV307)</f>
        <v>7.8986590440678315</v>
      </c>
    </row>
    <row r="308" spans="5:49">
      <c r="E308">
        <f t="shared" si="192"/>
        <v>305</v>
      </c>
      <c r="F308" s="64">
        <f t="shared" si="175"/>
        <v>86.32</v>
      </c>
      <c r="G308" s="55">
        <f t="shared" si="176"/>
        <v>1.4888670873660748E-2</v>
      </c>
      <c r="H308" s="78">
        <f t="shared" si="195"/>
        <v>0.1482359033470021</v>
      </c>
      <c r="I308" s="79">
        <f t="shared" ca="1" si="177"/>
        <v>0</v>
      </c>
      <c r="J308" s="79">
        <f t="shared" ca="1" si="178"/>
        <v>0</v>
      </c>
      <c r="K308" s="80">
        <f t="shared" ca="1" si="179"/>
        <v>0</v>
      </c>
      <c r="L308" s="80">
        <f t="shared" ca="1" si="180"/>
        <v>0</v>
      </c>
      <c r="M308" s="80">
        <f t="shared" ca="1" si="181"/>
        <v>0</v>
      </c>
      <c r="N308" s="80">
        <f t="shared" ca="1" si="182"/>
        <v>0</v>
      </c>
      <c r="O308" s="81">
        <f t="shared" ca="1" si="165"/>
        <v>0</v>
      </c>
      <c r="P308" s="79">
        <f t="shared" ca="1" si="166"/>
        <v>0</v>
      </c>
      <c r="Q308" s="35"/>
      <c r="R308">
        <f t="shared" ca="1" si="183"/>
        <v>305</v>
      </c>
      <c r="S308" s="78">
        <f t="shared" ca="1" si="184"/>
        <v>86.32</v>
      </c>
      <c r="T308" s="55">
        <f t="shared" ca="1" si="185"/>
        <v>1.4888670873660748E-2</v>
      </c>
      <c r="U308" s="78">
        <f t="shared" ca="1" si="186"/>
        <v>0.1482359033470021</v>
      </c>
      <c r="V308" s="79">
        <f t="shared" ca="1" si="187"/>
        <v>0</v>
      </c>
      <c r="W308" s="79">
        <f t="shared" ca="1" si="167"/>
        <v>0</v>
      </c>
      <c r="X308" s="80">
        <f t="shared" ca="1" si="168"/>
        <v>0</v>
      </c>
      <c r="Y308" s="80">
        <f t="shared" ca="1" si="188"/>
        <v>0</v>
      </c>
      <c r="Z308" s="80">
        <f t="shared" ca="1" si="169"/>
        <v>0</v>
      </c>
      <c r="AA308" s="80">
        <f t="shared" ca="1" si="189"/>
        <v>0</v>
      </c>
      <c r="AB308" s="81">
        <f t="shared" ca="1" si="170"/>
        <v>0</v>
      </c>
      <c r="AC308" s="79">
        <f t="shared" ca="1" si="171"/>
        <v>0</v>
      </c>
      <c r="AD308" s="35"/>
      <c r="AE308" s="62">
        <f t="shared" ca="1" si="172"/>
        <v>0</v>
      </c>
      <c r="AF308" s="62">
        <f t="shared" ca="1" si="173"/>
        <v>0</v>
      </c>
      <c r="AG308" s="35"/>
      <c r="AH308" s="35"/>
      <c r="AR308" s="69">
        <f t="shared" si="190"/>
        <v>26</v>
      </c>
      <c r="AS308" s="70">
        <f t="shared" si="193"/>
        <v>305</v>
      </c>
      <c r="AT308" s="71">
        <f t="shared" si="194"/>
        <v>0.1239739071589832</v>
      </c>
      <c r="AU308" s="72">
        <f t="shared" si="174"/>
        <v>6.8214933659622723E-3</v>
      </c>
      <c r="AV308" s="73">
        <f t="shared" si="191"/>
        <v>1.0068214933659623</v>
      </c>
      <c r="AW308" s="74">
        <f>PRODUCT(AV$4:AV308)</f>
        <v>7.952539694336938</v>
      </c>
    </row>
    <row r="309" spans="5:49">
      <c r="E309">
        <f t="shared" si="192"/>
        <v>306</v>
      </c>
      <c r="F309" s="64">
        <f t="shared" si="175"/>
        <v>86.4</v>
      </c>
      <c r="G309" s="55">
        <f t="shared" si="176"/>
        <v>1.4888670873660748E-2</v>
      </c>
      <c r="H309" s="78">
        <f t="shared" si="195"/>
        <v>0.1460288677704088</v>
      </c>
      <c r="I309" s="79">
        <f t="shared" ca="1" si="177"/>
        <v>0</v>
      </c>
      <c r="J309" s="79">
        <f t="shared" ca="1" si="178"/>
        <v>0</v>
      </c>
      <c r="K309" s="80">
        <f t="shared" ca="1" si="179"/>
        <v>0</v>
      </c>
      <c r="L309" s="80">
        <f t="shared" ca="1" si="180"/>
        <v>0</v>
      </c>
      <c r="M309" s="80">
        <f t="shared" ca="1" si="181"/>
        <v>0</v>
      </c>
      <c r="N309" s="80">
        <f t="shared" ca="1" si="182"/>
        <v>0</v>
      </c>
      <c r="O309" s="81">
        <f t="shared" ca="1" si="165"/>
        <v>0</v>
      </c>
      <c r="P309" s="79">
        <f t="shared" ca="1" si="166"/>
        <v>0</v>
      </c>
      <c r="Q309" s="35"/>
      <c r="R309">
        <f t="shared" ca="1" si="183"/>
        <v>306</v>
      </c>
      <c r="S309" s="78">
        <f t="shared" ca="1" si="184"/>
        <v>86.4</v>
      </c>
      <c r="T309" s="55">
        <f t="shared" ca="1" si="185"/>
        <v>1.4888670873660748E-2</v>
      </c>
      <c r="U309" s="78">
        <f t="shared" ca="1" si="186"/>
        <v>0.1460288677704088</v>
      </c>
      <c r="V309" s="79">
        <f t="shared" ca="1" si="187"/>
        <v>0</v>
      </c>
      <c r="W309" s="79">
        <f t="shared" ca="1" si="167"/>
        <v>0</v>
      </c>
      <c r="X309" s="80">
        <f t="shared" ca="1" si="168"/>
        <v>0</v>
      </c>
      <c r="Y309" s="80">
        <f t="shared" ca="1" si="188"/>
        <v>0</v>
      </c>
      <c r="Z309" s="80">
        <f t="shared" ca="1" si="169"/>
        <v>0</v>
      </c>
      <c r="AA309" s="80">
        <f t="shared" ca="1" si="189"/>
        <v>0</v>
      </c>
      <c r="AB309" s="81">
        <f t="shared" ca="1" si="170"/>
        <v>0</v>
      </c>
      <c r="AC309" s="79">
        <f t="shared" ca="1" si="171"/>
        <v>0</v>
      </c>
      <c r="AD309" s="35"/>
      <c r="AE309" s="62">
        <f t="shared" ca="1" si="172"/>
        <v>0</v>
      </c>
      <c r="AF309" s="62">
        <f t="shared" ca="1" si="173"/>
        <v>0</v>
      </c>
      <c r="AG309" s="35"/>
      <c r="AH309" s="35"/>
      <c r="AR309" s="69">
        <f t="shared" si="190"/>
        <v>26</v>
      </c>
      <c r="AS309" s="70">
        <f t="shared" si="193"/>
        <v>306</v>
      </c>
      <c r="AT309" s="71">
        <f t="shared" si="194"/>
        <v>0.12312821997374578</v>
      </c>
      <c r="AU309" s="72">
        <f t="shared" si="174"/>
        <v>6.8214933659622723E-3</v>
      </c>
      <c r="AV309" s="73">
        <f t="shared" si="191"/>
        <v>1.0068214933659623</v>
      </c>
      <c r="AW309" s="74">
        <f>PRODUCT(AV$4:AV309)</f>
        <v>8.006787891104409</v>
      </c>
    </row>
    <row r="310" spans="5:49">
      <c r="E310">
        <f t="shared" si="192"/>
        <v>307</v>
      </c>
      <c r="F310" s="64">
        <f t="shared" si="175"/>
        <v>86.48</v>
      </c>
      <c r="G310" s="55">
        <f t="shared" si="176"/>
        <v>1.4888670873660748E-2</v>
      </c>
      <c r="H310" s="78">
        <f t="shared" si="195"/>
        <v>0.14385469202012185</v>
      </c>
      <c r="I310" s="79">
        <f t="shared" ca="1" si="177"/>
        <v>0</v>
      </c>
      <c r="J310" s="79">
        <f t="shared" ca="1" si="178"/>
        <v>0</v>
      </c>
      <c r="K310" s="80">
        <f t="shared" ca="1" si="179"/>
        <v>0</v>
      </c>
      <c r="L310" s="80">
        <f t="shared" ca="1" si="180"/>
        <v>0</v>
      </c>
      <c r="M310" s="80">
        <f t="shared" ca="1" si="181"/>
        <v>0</v>
      </c>
      <c r="N310" s="80">
        <f t="shared" ca="1" si="182"/>
        <v>0</v>
      </c>
      <c r="O310" s="81">
        <f t="shared" ca="1" si="165"/>
        <v>0</v>
      </c>
      <c r="P310" s="79">
        <f t="shared" ca="1" si="166"/>
        <v>0</v>
      </c>
      <c r="Q310" s="35"/>
      <c r="R310">
        <f t="shared" ca="1" si="183"/>
        <v>307</v>
      </c>
      <c r="S310" s="78">
        <f t="shared" ca="1" si="184"/>
        <v>86.48</v>
      </c>
      <c r="T310" s="55">
        <f t="shared" ca="1" si="185"/>
        <v>1.4888670873660748E-2</v>
      </c>
      <c r="U310" s="78">
        <f t="shared" ca="1" si="186"/>
        <v>0.14385469202012185</v>
      </c>
      <c r="V310" s="79">
        <f t="shared" ca="1" si="187"/>
        <v>0</v>
      </c>
      <c r="W310" s="79">
        <f t="shared" ca="1" si="167"/>
        <v>0</v>
      </c>
      <c r="X310" s="80">
        <f t="shared" ca="1" si="168"/>
        <v>0</v>
      </c>
      <c r="Y310" s="80">
        <f t="shared" ca="1" si="188"/>
        <v>0</v>
      </c>
      <c r="Z310" s="80">
        <f t="shared" ca="1" si="169"/>
        <v>0</v>
      </c>
      <c r="AA310" s="80">
        <f t="shared" ca="1" si="189"/>
        <v>0</v>
      </c>
      <c r="AB310" s="81">
        <f t="shared" ca="1" si="170"/>
        <v>0</v>
      </c>
      <c r="AC310" s="79">
        <f t="shared" ca="1" si="171"/>
        <v>0</v>
      </c>
      <c r="AD310" s="35"/>
      <c r="AE310" s="62">
        <f t="shared" ca="1" si="172"/>
        <v>0</v>
      </c>
      <c r="AF310" s="62">
        <f t="shared" ca="1" si="173"/>
        <v>0</v>
      </c>
      <c r="AG310" s="35"/>
      <c r="AH310" s="35"/>
      <c r="AR310" s="69">
        <f t="shared" si="190"/>
        <v>26</v>
      </c>
      <c r="AS310" s="70">
        <f t="shared" si="193"/>
        <v>307</v>
      </c>
      <c r="AT310" s="71">
        <f t="shared" si="194"/>
        <v>0.12228830163803213</v>
      </c>
      <c r="AU310" s="72">
        <f t="shared" si="174"/>
        <v>6.8214933659622723E-3</v>
      </c>
      <c r="AV310" s="73">
        <f t="shared" si="191"/>
        <v>1.0068214933659623</v>
      </c>
      <c r="AW310" s="74">
        <f>PRODUCT(AV$4:AV310)</f>
        <v>8.0614061415862448</v>
      </c>
    </row>
    <row r="311" spans="5:49">
      <c r="E311">
        <f t="shared" si="192"/>
        <v>308</v>
      </c>
      <c r="F311" s="64">
        <f t="shared" si="175"/>
        <v>86.56</v>
      </c>
      <c r="G311" s="55">
        <f t="shared" si="176"/>
        <v>1.6316258762122726E-2</v>
      </c>
      <c r="H311" s="78">
        <f t="shared" si="195"/>
        <v>0.14150752164097607</v>
      </c>
      <c r="I311" s="79">
        <f t="shared" ca="1" si="177"/>
        <v>0</v>
      </c>
      <c r="J311" s="79">
        <f t="shared" ca="1" si="178"/>
        <v>0</v>
      </c>
      <c r="K311" s="80">
        <f t="shared" ca="1" si="179"/>
        <v>0</v>
      </c>
      <c r="L311" s="80">
        <f t="shared" ca="1" si="180"/>
        <v>0</v>
      </c>
      <c r="M311" s="80">
        <f t="shared" ca="1" si="181"/>
        <v>0</v>
      </c>
      <c r="N311" s="80">
        <f t="shared" ca="1" si="182"/>
        <v>0</v>
      </c>
      <c r="O311" s="81">
        <f t="shared" ca="1" si="165"/>
        <v>0</v>
      </c>
      <c r="P311" s="79">
        <f t="shared" ca="1" si="166"/>
        <v>0</v>
      </c>
      <c r="Q311" s="35"/>
      <c r="R311">
        <f t="shared" ca="1" si="183"/>
        <v>308</v>
      </c>
      <c r="S311" s="78">
        <f t="shared" ca="1" si="184"/>
        <v>86.56</v>
      </c>
      <c r="T311" s="55">
        <f t="shared" ca="1" si="185"/>
        <v>1.6316258762122726E-2</v>
      </c>
      <c r="U311" s="78">
        <f t="shared" ca="1" si="186"/>
        <v>0.14150752164097607</v>
      </c>
      <c r="V311" s="79">
        <f t="shared" ca="1" si="187"/>
        <v>0</v>
      </c>
      <c r="W311" s="79">
        <f t="shared" ca="1" si="167"/>
        <v>0</v>
      </c>
      <c r="X311" s="80">
        <f t="shared" ca="1" si="168"/>
        <v>0</v>
      </c>
      <c r="Y311" s="80">
        <f t="shared" ca="1" si="188"/>
        <v>0</v>
      </c>
      <c r="Z311" s="80">
        <f t="shared" ca="1" si="169"/>
        <v>0</v>
      </c>
      <c r="AA311" s="80">
        <f t="shared" ca="1" si="189"/>
        <v>0</v>
      </c>
      <c r="AB311" s="81">
        <f t="shared" ca="1" si="170"/>
        <v>0</v>
      </c>
      <c r="AC311" s="79">
        <f t="shared" ca="1" si="171"/>
        <v>0</v>
      </c>
      <c r="AD311" s="35"/>
      <c r="AE311" s="62">
        <f t="shared" ca="1" si="172"/>
        <v>0</v>
      </c>
      <c r="AF311" s="62">
        <f t="shared" ca="1" si="173"/>
        <v>0</v>
      </c>
      <c r="AG311" s="35"/>
      <c r="AH311" s="35"/>
      <c r="AR311" s="69">
        <f t="shared" si="190"/>
        <v>26</v>
      </c>
      <c r="AS311" s="70">
        <f t="shared" si="193"/>
        <v>308</v>
      </c>
      <c r="AT311" s="71">
        <f t="shared" si="194"/>
        <v>0.1214541127996735</v>
      </c>
      <c r="AU311" s="72">
        <f t="shared" si="174"/>
        <v>6.8214933659622723E-3</v>
      </c>
      <c r="AV311" s="73">
        <f t="shared" si="191"/>
        <v>1.0068214933659623</v>
      </c>
      <c r="AW311" s="74">
        <f>PRODUCT(AV$4:AV311)</f>
        <v>8.1163969701014036</v>
      </c>
    </row>
    <row r="312" spans="5:49">
      <c r="E312">
        <f t="shared" si="192"/>
        <v>309</v>
      </c>
      <c r="F312" s="64">
        <f t="shared" si="175"/>
        <v>86.64</v>
      </c>
      <c r="G312" s="55">
        <f t="shared" si="176"/>
        <v>1.6316258762122726E-2</v>
      </c>
      <c r="H312" s="78">
        <f t="shared" si="195"/>
        <v>0.13919864830109524</v>
      </c>
      <c r="I312" s="79">
        <f t="shared" ca="1" si="177"/>
        <v>0</v>
      </c>
      <c r="J312" s="79">
        <f t="shared" ca="1" si="178"/>
        <v>0</v>
      </c>
      <c r="K312" s="80">
        <f t="shared" ca="1" si="179"/>
        <v>0</v>
      </c>
      <c r="L312" s="80">
        <f t="shared" ca="1" si="180"/>
        <v>0</v>
      </c>
      <c r="M312" s="80">
        <f t="shared" ca="1" si="181"/>
        <v>0</v>
      </c>
      <c r="N312" s="80">
        <f t="shared" ca="1" si="182"/>
        <v>0</v>
      </c>
      <c r="O312" s="81">
        <f t="shared" ca="1" si="165"/>
        <v>0</v>
      </c>
      <c r="P312" s="79">
        <f t="shared" ca="1" si="166"/>
        <v>0</v>
      </c>
      <c r="Q312" s="35"/>
      <c r="R312">
        <f t="shared" ca="1" si="183"/>
        <v>309</v>
      </c>
      <c r="S312" s="78">
        <f t="shared" ca="1" si="184"/>
        <v>86.64</v>
      </c>
      <c r="T312" s="55">
        <f t="shared" ca="1" si="185"/>
        <v>1.6316258762122726E-2</v>
      </c>
      <c r="U312" s="78">
        <f t="shared" ca="1" si="186"/>
        <v>0.13919864830109524</v>
      </c>
      <c r="V312" s="79">
        <f t="shared" ca="1" si="187"/>
        <v>0</v>
      </c>
      <c r="W312" s="79">
        <f t="shared" ca="1" si="167"/>
        <v>0</v>
      </c>
      <c r="X312" s="80">
        <f t="shared" ca="1" si="168"/>
        <v>0</v>
      </c>
      <c r="Y312" s="80">
        <f t="shared" ca="1" si="188"/>
        <v>0</v>
      </c>
      <c r="Z312" s="80">
        <f t="shared" ca="1" si="169"/>
        <v>0</v>
      </c>
      <c r="AA312" s="80">
        <f t="shared" ca="1" si="189"/>
        <v>0</v>
      </c>
      <c r="AB312" s="81">
        <f t="shared" ca="1" si="170"/>
        <v>0</v>
      </c>
      <c r="AC312" s="79">
        <f t="shared" ca="1" si="171"/>
        <v>0</v>
      </c>
      <c r="AD312" s="35"/>
      <c r="AE312" s="62">
        <f t="shared" ca="1" si="172"/>
        <v>0</v>
      </c>
      <c r="AF312" s="62">
        <f t="shared" ca="1" si="173"/>
        <v>0</v>
      </c>
      <c r="AG312" s="35"/>
      <c r="AH312" s="35"/>
      <c r="AR312" s="69">
        <f t="shared" si="190"/>
        <v>26</v>
      </c>
      <c r="AS312" s="70">
        <f t="shared" si="193"/>
        <v>309</v>
      </c>
      <c r="AT312" s="71">
        <f t="shared" si="194"/>
        <v>0.12062561437494169</v>
      </c>
      <c r="AU312" s="72">
        <f t="shared" si="174"/>
        <v>6.8214933659622723E-3</v>
      </c>
      <c r="AV312" s="73">
        <f t="shared" si="191"/>
        <v>1.0068214933659623</v>
      </c>
      <c r="AW312" s="74">
        <f>PRODUCT(AV$4:AV312)</f>
        <v>8.1717629181884668</v>
      </c>
    </row>
    <row r="313" spans="5:49">
      <c r="E313">
        <f t="shared" si="192"/>
        <v>310</v>
      </c>
      <c r="F313" s="64">
        <f t="shared" si="175"/>
        <v>86.72</v>
      </c>
      <c r="G313" s="55">
        <f t="shared" si="176"/>
        <v>1.6316258762122726E-2</v>
      </c>
      <c r="H313" s="78">
        <f t="shared" si="195"/>
        <v>0.13692744713607685</v>
      </c>
      <c r="I313" s="79">
        <f t="shared" ca="1" si="177"/>
        <v>0</v>
      </c>
      <c r="J313" s="79">
        <f t="shared" ca="1" si="178"/>
        <v>0</v>
      </c>
      <c r="K313" s="80">
        <f t="shared" ca="1" si="179"/>
        <v>0</v>
      </c>
      <c r="L313" s="80">
        <f t="shared" ca="1" si="180"/>
        <v>0</v>
      </c>
      <c r="M313" s="80">
        <f t="shared" ca="1" si="181"/>
        <v>0</v>
      </c>
      <c r="N313" s="80">
        <f t="shared" ca="1" si="182"/>
        <v>0</v>
      </c>
      <c r="O313" s="81">
        <f t="shared" ca="1" si="165"/>
        <v>0</v>
      </c>
      <c r="P313" s="79">
        <f t="shared" ca="1" si="166"/>
        <v>0</v>
      </c>
      <c r="Q313" s="35"/>
      <c r="R313">
        <f t="shared" ca="1" si="183"/>
        <v>310</v>
      </c>
      <c r="S313" s="78">
        <f t="shared" ca="1" si="184"/>
        <v>86.72</v>
      </c>
      <c r="T313" s="55">
        <f t="shared" ca="1" si="185"/>
        <v>1.6316258762122726E-2</v>
      </c>
      <c r="U313" s="78">
        <f t="shared" ca="1" si="186"/>
        <v>0.13692744713607685</v>
      </c>
      <c r="V313" s="79">
        <f t="shared" ca="1" si="187"/>
        <v>0</v>
      </c>
      <c r="W313" s="79">
        <f t="shared" ca="1" si="167"/>
        <v>0</v>
      </c>
      <c r="X313" s="80">
        <f t="shared" ca="1" si="168"/>
        <v>0</v>
      </c>
      <c r="Y313" s="80">
        <f t="shared" ca="1" si="188"/>
        <v>0</v>
      </c>
      <c r="Z313" s="80">
        <f t="shared" ca="1" si="169"/>
        <v>0</v>
      </c>
      <c r="AA313" s="80">
        <f t="shared" ca="1" si="189"/>
        <v>0</v>
      </c>
      <c r="AB313" s="81">
        <f t="shared" ca="1" si="170"/>
        <v>0</v>
      </c>
      <c r="AC313" s="79">
        <f t="shared" ca="1" si="171"/>
        <v>0</v>
      </c>
      <c r="AD313" s="35"/>
      <c r="AE313" s="62">
        <f t="shared" ca="1" si="172"/>
        <v>0</v>
      </c>
      <c r="AF313" s="62">
        <f t="shared" ca="1" si="173"/>
        <v>0</v>
      </c>
      <c r="AG313" s="35"/>
      <c r="AH313" s="35"/>
      <c r="AR313" s="69">
        <f t="shared" si="190"/>
        <v>26</v>
      </c>
      <c r="AS313" s="70">
        <f t="shared" si="193"/>
        <v>310</v>
      </c>
      <c r="AT313" s="71">
        <f t="shared" si="194"/>
        <v>0.11980276754671791</v>
      </c>
      <c r="AU313" s="72">
        <f t="shared" si="174"/>
        <v>6.8214933659622723E-3</v>
      </c>
      <c r="AV313" s="73">
        <f t="shared" si="191"/>
        <v>1.0068214933659623</v>
      </c>
      <c r="AW313" s="74">
        <f>PRODUCT(AV$4:AV313)</f>
        <v>8.2275065447231057</v>
      </c>
    </row>
    <row r="314" spans="5:49">
      <c r="E314">
        <f t="shared" si="192"/>
        <v>311</v>
      </c>
      <c r="F314" s="64">
        <f t="shared" si="175"/>
        <v>86.8</v>
      </c>
      <c r="G314" s="55">
        <f t="shared" si="176"/>
        <v>1.6316258762122726E-2</v>
      </c>
      <c r="H314" s="78">
        <f t="shared" si="195"/>
        <v>0.13469330347696773</v>
      </c>
      <c r="I314" s="79">
        <f t="shared" ca="1" si="177"/>
        <v>0</v>
      </c>
      <c r="J314" s="79">
        <f t="shared" ca="1" si="178"/>
        <v>0</v>
      </c>
      <c r="K314" s="80">
        <f t="shared" ca="1" si="179"/>
        <v>0</v>
      </c>
      <c r="L314" s="80">
        <f t="shared" ca="1" si="180"/>
        <v>0</v>
      </c>
      <c r="M314" s="80">
        <f t="shared" ca="1" si="181"/>
        <v>0</v>
      </c>
      <c r="N314" s="80">
        <f t="shared" ca="1" si="182"/>
        <v>0</v>
      </c>
      <c r="O314" s="81">
        <f t="shared" ca="1" si="165"/>
        <v>0</v>
      </c>
      <c r="P314" s="79">
        <f t="shared" ca="1" si="166"/>
        <v>0</v>
      </c>
      <c r="Q314" s="35"/>
      <c r="R314">
        <f t="shared" ca="1" si="183"/>
        <v>311</v>
      </c>
      <c r="S314" s="78">
        <f t="shared" ca="1" si="184"/>
        <v>86.8</v>
      </c>
      <c r="T314" s="55">
        <f t="shared" ca="1" si="185"/>
        <v>1.6316258762122726E-2</v>
      </c>
      <c r="U314" s="78">
        <f t="shared" ca="1" si="186"/>
        <v>0.13469330347696773</v>
      </c>
      <c r="V314" s="79">
        <f t="shared" ca="1" si="187"/>
        <v>0</v>
      </c>
      <c r="W314" s="79">
        <f t="shared" ca="1" si="167"/>
        <v>0</v>
      </c>
      <c r="X314" s="80">
        <f t="shared" ca="1" si="168"/>
        <v>0</v>
      </c>
      <c r="Y314" s="80">
        <f t="shared" ca="1" si="188"/>
        <v>0</v>
      </c>
      <c r="Z314" s="80">
        <f t="shared" ca="1" si="169"/>
        <v>0</v>
      </c>
      <c r="AA314" s="80">
        <f t="shared" ca="1" si="189"/>
        <v>0</v>
      </c>
      <c r="AB314" s="81">
        <f t="shared" ca="1" si="170"/>
        <v>0</v>
      </c>
      <c r="AC314" s="79">
        <f t="shared" ca="1" si="171"/>
        <v>0</v>
      </c>
      <c r="AD314" s="35"/>
      <c r="AE314" s="62">
        <f t="shared" ca="1" si="172"/>
        <v>0</v>
      </c>
      <c r="AF314" s="62">
        <f t="shared" ca="1" si="173"/>
        <v>0</v>
      </c>
      <c r="AG314" s="35"/>
      <c r="AH314" s="35"/>
      <c r="AR314" s="69">
        <f t="shared" si="190"/>
        <v>26</v>
      </c>
      <c r="AS314" s="70">
        <f t="shared" si="193"/>
        <v>311</v>
      </c>
      <c r="AT314" s="71">
        <f t="shared" si="194"/>
        <v>0.11898553376267405</v>
      </c>
      <c r="AU314" s="72">
        <f t="shared" si="174"/>
        <v>6.8214933659622723E-3</v>
      </c>
      <c r="AV314" s="73">
        <f t="shared" si="191"/>
        <v>1.0068214933659623</v>
      </c>
      <c r="AW314" s="74">
        <f>PRODUCT(AV$4:AV314)</f>
        <v>8.2836304260363463</v>
      </c>
    </row>
    <row r="315" spans="5:49">
      <c r="E315">
        <f t="shared" si="192"/>
        <v>312</v>
      </c>
      <c r="F315" s="64">
        <f t="shared" si="175"/>
        <v>86.88</v>
      </c>
      <c r="G315" s="55">
        <f t="shared" si="176"/>
        <v>1.6316258762122726E-2</v>
      </c>
      <c r="H315" s="78">
        <f t="shared" si="195"/>
        <v>0.13249561268391241</v>
      </c>
      <c r="I315" s="79">
        <f t="shared" ca="1" si="177"/>
        <v>0</v>
      </c>
      <c r="J315" s="79">
        <f t="shared" ca="1" si="178"/>
        <v>0</v>
      </c>
      <c r="K315" s="80">
        <f t="shared" ca="1" si="179"/>
        <v>0</v>
      </c>
      <c r="L315" s="80">
        <f t="shared" ca="1" si="180"/>
        <v>0</v>
      </c>
      <c r="M315" s="80">
        <f t="shared" ca="1" si="181"/>
        <v>0</v>
      </c>
      <c r="N315" s="80">
        <f t="shared" ca="1" si="182"/>
        <v>0</v>
      </c>
      <c r="O315" s="81">
        <f t="shared" ca="1" si="165"/>
        <v>0</v>
      </c>
      <c r="P315" s="79">
        <f t="shared" ca="1" si="166"/>
        <v>0</v>
      </c>
      <c r="Q315" s="35"/>
      <c r="R315">
        <f t="shared" ca="1" si="183"/>
        <v>312</v>
      </c>
      <c r="S315" s="78">
        <f t="shared" ca="1" si="184"/>
        <v>86.88</v>
      </c>
      <c r="T315" s="55">
        <f t="shared" ca="1" si="185"/>
        <v>1.6316258762122726E-2</v>
      </c>
      <c r="U315" s="78">
        <f t="shared" ca="1" si="186"/>
        <v>0.13249561268391241</v>
      </c>
      <c r="V315" s="79">
        <f t="shared" ca="1" si="187"/>
        <v>0</v>
      </c>
      <c r="W315" s="79">
        <f t="shared" ca="1" si="167"/>
        <v>0</v>
      </c>
      <c r="X315" s="80">
        <f t="shared" ca="1" si="168"/>
        <v>0</v>
      </c>
      <c r="Y315" s="80">
        <f t="shared" ca="1" si="188"/>
        <v>0</v>
      </c>
      <c r="Z315" s="80">
        <f t="shared" ca="1" si="169"/>
        <v>0</v>
      </c>
      <c r="AA315" s="80">
        <f t="shared" ca="1" si="189"/>
        <v>0</v>
      </c>
      <c r="AB315" s="81">
        <f t="shared" ca="1" si="170"/>
        <v>0</v>
      </c>
      <c r="AC315" s="79">
        <f t="shared" ca="1" si="171"/>
        <v>0</v>
      </c>
      <c r="AD315" s="35"/>
      <c r="AE315" s="62">
        <f t="shared" ca="1" si="172"/>
        <v>0</v>
      </c>
      <c r="AF315" s="62">
        <f t="shared" ca="1" si="173"/>
        <v>0</v>
      </c>
      <c r="AG315" s="35"/>
      <c r="AH315" s="35"/>
      <c r="AR315" s="69">
        <f t="shared" si="190"/>
        <v>26</v>
      </c>
      <c r="AS315" s="70">
        <f t="shared" si="193"/>
        <v>312</v>
      </c>
      <c r="AT315" s="71">
        <f t="shared" si="194"/>
        <v>0.11817387473346649</v>
      </c>
      <c r="AU315" s="72">
        <f t="shared" si="174"/>
        <v>6.8214933659622723E-3</v>
      </c>
      <c r="AV315" s="73">
        <f t="shared" si="191"/>
        <v>1.0068214933659623</v>
      </c>
      <c r="AW315" s="74">
        <f>PRODUCT(AV$4:AV315)</f>
        <v>8.3401371560336361</v>
      </c>
    </row>
    <row r="316" spans="5:49">
      <c r="E316">
        <f t="shared" si="192"/>
        <v>313</v>
      </c>
      <c r="F316" s="64">
        <f t="shared" si="175"/>
        <v>86.96</v>
      </c>
      <c r="G316" s="55">
        <f t="shared" si="176"/>
        <v>1.6316258762122726E-2</v>
      </c>
      <c r="H316" s="78">
        <f t="shared" si="195"/>
        <v>0.13033377998251572</v>
      </c>
      <c r="I316" s="79">
        <f t="shared" ca="1" si="177"/>
        <v>0</v>
      </c>
      <c r="J316" s="79">
        <f t="shared" ca="1" si="178"/>
        <v>0</v>
      </c>
      <c r="K316" s="80">
        <f t="shared" ca="1" si="179"/>
        <v>0</v>
      </c>
      <c r="L316" s="80">
        <f t="shared" ca="1" si="180"/>
        <v>0</v>
      </c>
      <c r="M316" s="80">
        <f t="shared" ca="1" si="181"/>
        <v>0</v>
      </c>
      <c r="N316" s="80">
        <f t="shared" ca="1" si="182"/>
        <v>0</v>
      </c>
      <c r="O316" s="81">
        <f t="shared" ca="1" si="165"/>
        <v>0</v>
      </c>
      <c r="P316" s="79">
        <f t="shared" ca="1" si="166"/>
        <v>0</v>
      </c>
      <c r="Q316" s="35"/>
      <c r="R316">
        <f t="shared" ca="1" si="183"/>
        <v>313</v>
      </c>
      <c r="S316" s="78">
        <f t="shared" ca="1" si="184"/>
        <v>86.96</v>
      </c>
      <c r="T316" s="55">
        <f t="shared" ca="1" si="185"/>
        <v>1.6316258762122726E-2</v>
      </c>
      <c r="U316" s="78">
        <f t="shared" ca="1" si="186"/>
        <v>0.13033377998251572</v>
      </c>
      <c r="V316" s="79">
        <f t="shared" ca="1" si="187"/>
        <v>0</v>
      </c>
      <c r="W316" s="79">
        <f t="shared" ca="1" si="167"/>
        <v>0</v>
      </c>
      <c r="X316" s="80">
        <f t="shared" ca="1" si="168"/>
        <v>0</v>
      </c>
      <c r="Y316" s="80">
        <f t="shared" ca="1" si="188"/>
        <v>0</v>
      </c>
      <c r="Z316" s="80">
        <f t="shared" ca="1" si="169"/>
        <v>0</v>
      </c>
      <c r="AA316" s="80">
        <f t="shared" ca="1" si="189"/>
        <v>0</v>
      </c>
      <c r="AB316" s="81">
        <f t="shared" ca="1" si="170"/>
        <v>0</v>
      </c>
      <c r="AC316" s="79">
        <f t="shared" ca="1" si="171"/>
        <v>0</v>
      </c>
      <c r="AD316" s="35"/>
      <c r="AE316" s="62">
        <f t="shared" ca="1" si="172"/>
        <v>0</v>
      </c>
      <c r="AF316" s="62">
        <f t="shared" ca="1" si="173"/>
        <v>0</v>
      </c>
      <c r="AG316" s="35"/>
      <c r="AH316" s="35"/>
      <c r="AR316" s="69">
        <f t="shared" si="190"/>
        <v>27</v>
      </c>
      <c r="AS316" s="70">
        <f t="shared" si="193"/>
        <v>313</v>
      </c>
      <c r="AT316" s="71">
        <f t="shared" si="194"/>
        <v>0.11736775243094209</v>
      </c>
      <c r="AU316" s="72">
        <f t="shared" si="174"/>
        <v>6.8214933659622723E-3</v>
      </c>
      <c r="AV316" s="73">
        <f t="shared" si="191"/>
        <v>1.0068214933659623</v>
      </c>
      <c r="AW316" s="74">
        <f>PRODUCT(AV$4:AV316)</f>
        <v>8.397029346314735</v>
      </c>
    </row>
    <row r="317" spans="5:49">
      <c r="E317">
        <f t="shared" si="192"/>
        <v>314</v>
      </c>
      <c r="F317" s="64">
        <f t="shared" si="175"/>
        <v>87.04</v>
      </c>
      <c r="G317" s="55">
        <f t="shared" si="176"/>
        <v>1.6316258762122726E-2</v>
      </c>
      <c r="H317" s="78">
        <f t="shared" si="195"/>
        <v>0.12820722030287543</v>
      </c>
      <c r="I317" s="79">
        <f t="shared" ca="1" si="177"/>
        <v>0</v>
      </c>
      <c r="J317" s="79">
        <f t="shared" ca="1" si="178"/>
        <v>0</v>
      </c>
      <c r="K317" s="80">
        <f t="shared" ca="1" si="179"/>
        <v>0</v>
      </c>
      <c r="L317" s="80">
        <f t="shared" ca="1" si="180"/>
        <v>0</v>
      </c>
      <c r="M317" s="80">
        <f t="shared" ca="1" si="181"/>
        <v>0</v>
      </c>
      <c r="N317" s="80">
        <f t="shared" ca="1" si="182"/>
        <v>0</v>
      </c>
      <c r="O317" s="81">
        <f t="shared" ca="1" si="165"/>
        <v>0</v>
      </c>
      <c r="P317" s="79">
        <f t="shared" ca="1" si="166"/>
        <v>0</v>
      </c>
      <c r="Q317" s="35"/>
      <c r="R317">
        <f t="shared" ca="1" si="183"/>
        <v>314</v>
      </c>
      <c r="S317" s="78">
        <f t="shared" ca="1" si="184"/>
        <v>87.04</v>
      </c>
      <c r="T317" s="55">
        <f t="shared" ca="1" si="185"/>
        <v>1.6316258762122726E-2</v>
      </c>
      <c r="U317" s="78">
        <f t="shared" ca="1" si="186"/>
        <v>0.12820722030287543</v>
      </c>
      <c r="V317" s="79">
        <f t="shared" ca="1" si="187"/>
        <v>0</v>
      </c>
      <c r="W317" s="79">
        <f t="shared" ca="1" si="167"/>
        <v>0</v>
      </c>
      <c r="X317" s="80">
        <f t="shared" ca="1" si="168"/>
        <v>0</v>
      </c>
      <c r="Y317" s="80">
        <f t="shared" ca="1" si="188"/>
        <v>0</v>
      </c>
      <c r="Z317" s="80">
        <f t="shared" ca="1" si="169"/>
        <v>0</v>
      </c>
      <c r="AA317" s="80">
        <f t="shared" ca="1" si="189"/>
        <v>0</v>
      </c>
      <c r="AB317" s="81">
        <f t="shared" ca="1" si="170"/>
        <v>0</v>
      </c>
      <c r="AC317" s="79">
        <f t="shared" ca="1" si="171"/>
        <v>0</v>
      </c>
      <c r="AD317" s="35"/>
      <c r="AE317" s="62">
        <f t="shared" ca="1" si="172"/>
        <v>0</v>
      </c>
      <c r="AF317" s="62">
        <f t="shared" ca="1" si="173"/>
        <v>0</v>
      </c>
      <c r="AG317" s="35"/>
      <c r="AH317" s="35"/>
      <c r="AR317" s="69">
        <f t="shared" si="190"/>
        <v>27</v>
      </c>
      <c r="AS317" s="70">
        <f t="shared" si="193"/>
        <v>314</v>
      </c>
      <c r="AT317" s="71">
        <f t="shared" si="194"/>
        <v>0.11656712908635652</v>
      </c>
      <c r="AU317" s="72">
        <f t="shared" si="174"/>
        <v>6.8214933659622723E-3</v>
      </c>
      <c r="AV317" s="73">
        <f t="shared" si="191"/>
        <v>1.0068214933659623</v>
      </c>
      <c r="AW317" s="74">
        <f>PRODUCT(AV$4:AV317)</f>
        <v>8.4543096262944122</v>
      </c>
    </row>
    <row r="318" spans="5:49">
      <c r="E318">
        <f t="shared" si="192"/>
        <v>315</v>
      </c>
      <c r="F318" s="64">
        <f t="shared" si="175"/>
        <v>87.12</v>
      </c>
      <c r="G318" s="55">
        <f t="shared" si="176"/>
        <v>1.6316258762122726E-2</v>
      </c>
      <c r="H318" s="78">
        <f t="shared" si="195"/>
        <v>0.12611535812124125</v>
      </c>
      <c r="I318" s="79">
        <f t="shared" ca="1" si="177"/>
        <v>0</v>
      </c>
      <c r="J318" s="79">
        <f t="shared" ca="1" si="178"/>
        <v>0</v>
      </c>
      <c r="K318" s="80">
        <f t="shared" ca="1" si="179"/>
        <v>0</v>
      </c>
      <c r="L318" s="80">
        <f t="shared" ca="1" si="180"/>
        <v>0</v>
      </c>
      <c r="M318" s="80">
        <f t="shared" ca="1" si="181"/>
        <v>0</v>
      </c>
      <c r="N318" s="80">
        <f t="shared" ca="1" si="182"/>
        <v>0</v>
      </c>
      <c r="O318" s="81">
        <f t="shared" ca="1" si="165"/>
        <v>0</v>
      </c>
      <c r="P318" s="79">
        <f t="shared" ca="1" si="166"/>
        <v>0</v>
      </c>
      <c r="Q318" s="35"/>
      <c r="R318">
        <f t="shared" ca="1" si="183"/>
        <v>315</v>
      </c>
      <c r="S318" s="78">
        <f t="shared" ca="1" si="184"/>
        <v>87.12</v>
      </c>
      <c r="T318" s="55">
        <f t="shared" ca="1" si="185"/>
        <v>1.6316258762122726E-2</v>
      </c>
      <c r="U318" s="78">
        <f t="shared" ca="1" si="186"/>
        <v>0.12611535812124125</v>
      </c>
      <c r="V318" s="79">
        <f t="shared" ca="1" si="187"/>
        <v>0</v>
      </c>
      <c r="W318" s="79">
        <f t="shared" ca="1" si="167"/>
        <v>0</v>
      </c>
      <c r="X318" s="80">
        <f t="shared" ca="1" si="168"/>
        <v>0</v>
      </c>
      <c r="Y318" s="80">
        <f t="shared" ca="1" si="188"/>
        <v>0</v>
      </c>
      <c r="Z318" s="80">
        <f t="shared" ca="1" si="169"/>
        <v>0</v>
      </c>
      <c r="AA318" s="80">
        <f t="shared" ca="1" si="189"/>
        <v>0</v>
      </c>
      <c r="AB318" s="81">
        <f t="shared" ca="1" si="170"/>
        <v>0</v>
      </c>
      <c r="AC318" s="79">
        <f t="shared" ca="1" si="171"/>
        <v>0</v>
      </c>
      <c r="AD318" s="35"/>
      <c r="AE318" s="62">
        <f t="shared" ca="1" si="172"/>
        <v>0</v>
      </c>
      <c r="AF318" s="62">
        <f t="shared" ca="1" si="173"/>
        <v>0</v>
      </c>
      <c r="AG318" s="35"/>
      <c r="AH318" s="35"/>
      <c r="AR318" s="69">
        <f t="shared" si="190"/>
        <v>27</v>
      </c>
      <c r="AS318" s="70">
        <f t="shared" si="193"/>
        <v>315</v>
      </c>
      <c r="AT318" s="71">
        <f t="shared" si="194"/>
        <v>0.11577196718860468</v>
      </c>
      <c r="AU318" s="72">
        <f t="shared" si="174"/>
        <v>6.8214933659622723E-3</v>
      </c>
      <c r="AV318" s="73">
        <f t="shared" si="191"/>
        <v>1.0068214933659623</v>
      </c>
      <c r="AW318" s="74">
        <f>PRODUCT(AV$4:AV318)</f>
        <v>8.5119806433239713</v>
      </c>
    </row>
    <row r="319" spans="5:49">
      <c r="E319">
        <f t="shared" si="192"/>
        <v>316</v>
      </c>
      <c r="F319" s="64">
        <f t="shared" si="175"/>
        <v>87.2</v>
      </c>
      <c r="G319" s="55">
        <f t="shared" si="176"/>
        <v>1.6316258762122726E-2</v>
      </c>
      <c r="H319" s="78">
        <f t="shared" si="195"/>
        <v>0.1240576273042573</v>
      </c>
      <c r="I319" s="79">
        <f t="shared" ca="1" si="177"/>
        <v>0</v>
      </c>
      <c r="J319" s="79">
        <f t="shared" ca="1" si="178"/>
        <v>0</v>
      </c>
      <c r="K319" s="80">
        <f t="shared" ca="1" si="179"/>
        <v>0</v>
      </c>
      <c r="L319" s="80">
        <f t="shared" ca="1" si="180"/>
        <v>0</v>
      </c>
      <c r="M319" s="80">
        <f t="shared" ca="1" si="181"/>
        <v>0</v>
      </c>
      <c r="N319" s="80">
        <f t="shared" ca="1" si="182"/>
        <v>0</v>
      </c>
      <c r="O319" s="81">
        <f t="shared" ca="1" si="165"/>
        <v>0</v>
      </c>
      <c r="P319" s="79">
        <f t="shared" ca="1" si="166"/>
        <v>0</v>
      </c>
      <c r="Q319" s="35"/>
      <c r="R319">
        <f t="shared" ca="1" si="183"/>
        <v>316</v>
      </c>
      <c r="S319" s="78">
        <f t="shared" ca="1" si="184"/>
        <v>87.2</v>
      </c>
      <c r="T319" s="55">
        <f t="shared" ca="1" si="185"/>
        <v>1.6316258762122726E-2</v>
      </c>
      <c r="U319" s="78">
        <f t="shared" ca="1" si="186"/>
        <v>0.1240576273042573</v>
      </c>
      <c r="V319" s="79">
        <f t="shared" ca="1" si="187"/>
        <v>0</v>
      </c>
      <c r="W319" s="79">
        <f t="shared" ca="1" si="167"/>
        <v>0</v>
      </c>
      <c r="X319" s="80">
        <f t="shared" ca="1" si="168"/>
        <v>0</v>
      </c>
      <c r="Y319" s="80">
        <f t="shared" ca="1" si="188"/>
        <v>0</v>
      </c>
      <c r="Z319" s="80">
        <f t="shared" ca="1" si="169"/>
        <v>0</v>
      </c>
      <c r="AA319" s="80">
        <f t="shared" ca="1" si="189"/>
        <v>0</v>
      </c>
      <c r="AB319" s="81">
        <f t="shared" ca="1" si="170"/>
        <v>0</v>
      </c>
      <c r="AC319" s="79">
        <f t="shared" ca="1" si="171"/>
        <v>0</v>
      </c>
      <c r="AD319" s="35"/>
      <c r="AE319" s="62">
        <f t="shared" ca="1" si="172"/>
        <v>0</v>
      </c>
      <c r="AF319" s="62">
        <f t="shared" ca="1" si="173"/>
        <v>0</v>
      </c>
      <c r="AG319" s="35"/>
      <c r="AH319" s="35"/>
      <c r="AR319" s="69">
        <f t="shared" si="190"/>
        <v>27</v>
      </c>
      <c r="AS319" s="70">
        <f t="shared" si="193"/>
        <v>316</v>
      </c>
      <c r="AT319" s="71">
        <f t="shared" si="194"/>
        <v>0.11498222948246321</v>
      </c>
      <c r="AU319" s="72">
        <f t="shared" si="174"/>
        <v>6.8214933659622723E-3</v>
      </c>
      <c r="AV319" s="73">
        <f t="shared" si="191"/>
        <v>1.0068214933659623</v>
      </c>
      <c r="AW319" s="74">
        <f>PRODUCT(AV$4:AV319)</f>
        <v>8.5700450628136053</v>
      </c>
    </row>
    <row r="320" spans="5:49">
      <c r="E320">
        <f t="shared" si="192"/>
        <v>317</v>
      </c>
      <c r="F320" s="64">
        <f t="shared" si="175"/>
        <v>87.28</v>
      </c>
      <c r="G320" s="55">
        <f t="shared" si="176"/>
        <v>1.6316258762122726E-2</v>
      </c>
      <c r="H320" s="78">
        <f t="shared" si="195"/>
        <v>0.12203347095574606</v>
      </c>
      <c r="I320" s="79">
        <f t="shared" ca="1" si="177"/>
        <v>0</v>
      </c>
      <c r="J320" s="79">
        <f t="shared" ca="1" si="178"/>
        <v>0</v>
      </c>
      <c r="K320" s="80">
        <f t="shared" ca="1" si="179"/>
        <v>0</v>
      </c>
      <c r="L320" s="80">
        <f t="shared" ca="1" si="180"/>
        <v>0</v>
      </c>
      <c r="M320" s="80">
        <f t="shared" ca="1" si="181"/>
        <v>0</v>
      </c>
      <c r="N320" s="80">
        <f t="shared" ca="1" si="182"/>
        <v>0</v>
      </c>
      <c r="O320" s="81">
        <f t="shared" ca="1" si="165"/>
        <v>0</v>
      </c>
      <c r="P320" s="79">
        <f t="shared" ca="1" si="166"/>
        <v>0</v>
      </c>
      <c r="Q320" s="35"/>
      <c r="R320">
        <f t="shared" ca="1" si="183"/>
        <v>317</v>
      </c>
      <c r="S320" s="78">
        <f t="shared" ca="1" si="184"/>
        <v>87.28</v>
      </c>
      <c r="T320" s="55">
        <f t="shared" ca="1" si="185"/>
        <v>1.6316258762122726E-2</v>
      </c>
      <c r="U320" s="78">
        <f t="shared" ca="1" si="186"/>
        <v>0.12203347095574606</v>
      </c>
      <c r="V320" s="79">
        <f t="shared" ca="1" si="187"/>
        <v>0</v>
      </c>
      <c r="W320" s="79">
        <f t="shared" ca="1" si="167"/>
        <v>0</v>
      </c>
      <c r="X320" s="80">
        <f t="shared" ca="1" si="168"/>
        <v>0</v>
      </c>
      <c r="Y320" s="80">
        <f t="shared" ca="1" si="188"/>
        <v>0</v>
      </c>
      <c r="Z320" s="80">
        <f t="shared" ca="1" si="169"/>
        <v>0</v>
      </c>
      <c r="AA320" s="80">
        <f t="shared" ca="1" si="189"/>
        <v>0</v>
      </c>
      <c r="AB320" s="81">
        <f t="shared" ca="1" si="170"/>
        <v>0</v>
      </c>
      <c r="AC320" s="79">
        <f t="shared" ca="1" si="171"/>
        <v>0</v>
      </c>
      <c r="AD320" s="35"/>
      <c r="AE320" s="62">
        <f t="shared" ca="1" si="172"/>
        <v>0</v>
      </c>
      <c r="AF320" s="62">
        <f t="shared" ca="1" si="173"/>
        <v>0</v>
      </c>
      <c r="AG320" s="35"/>
      <c r="AH320" s="35"/>
      <c r="AR320" s="69">
        <f t="shared" si="190"/>
        <v>27</v>
      </c>
      <c r="AS320" s="70">
        <f t="shared" si="193"/>
        <v>317</v>
      </c>
      <c r="AT320" s="71">
        <f t="shared" si="194"/>
        <v>0.11419787896684504</v>
      </c>
      <c r="AU320" s="72">
        <f t="shared" si="174"/>
        <v>6.8214933659622723E-3</v>
      </c>
      <c r="AV320" s="73">
        <f t="shared" si="191"/>
        <v>1.0068214933659623</v>
      </c>
      <c r="AW320" s="74">
        <f>PRODUCT(AV$4:AV320)</f>
        <v>8.6285055683555854</v>
      </c>
    </row>
    <row r="321" spans="5:49">
      <c r="E321">
        <f t="shared" si="192"/>
        <v>318</v>
      </c>
      <c r="F321" s="64">
        <f t="shared" si="175"/>
        <v>87.36</v>
      </c>
      <c r="G321" s="55">
        <f t="shared" si="176"/>
        <v>1.6316258762122726E-2</v>
      </c>
      <c r="H321" s="78">
        <f t="shared" si="195"/>
        <v>0.12004234126599211</v>
      </c>
      <c r="I321" s="79">
        <f t="shared" ca="1" si="177"/>
        <v>0</v>
      </c>
      <c r="J321" s="79">
        <f t="shared" ca="1" si="178"/>
        <v>0</v>
      </c>
      <c r="K321" s="80">
        <f t="shared" ca="1" si="179"/>
        <v>0</v>
      </c>
      <c r="L321" s="80">
        <f t="shared" ca="1" si="180"/>
        <v>0</v>
      </c>
      <c r="M321" s="80">
        <f t="shared" ca="1" si="181"/>
        <v>0</v>
      </c>
      <c r="N321" s="80">
        <f t="shared" ca="1" si="182"/>
        <v>0</v>
      </c>
      <c r="O321" s="81">
        <f t="shared" ca="1" si="165"/>
        <v>0</v>
      </c>
      <c r="P321" s="79">
        <f t="shared" ca="1" si="166"/>
        <v>0</v>
      </c>
      <c r="Q321" s="35"/>
      <c r="R321">
        <f t="shared" ca="1" si="183"/>
        <v>318</v>
      </c>
      <c r="S321" s="78">
        <f t="shared" ca="1" si="184"/>
        <v>87.36</v>
      </c>
      <c r="T321" s="55">
        <f t="shared" ca="1" si="185"/>
        <v>1.6316258762122726E-2</v>
      </c>
      <c r="U321" s="78">
        <f t="shared" ca="1" si="186"/>
        <v>0.12004234126599211</v>
      </c>
      <c r="V321" s="79">
        <f t="shared" ca="1" si="187"/>
        <v>0</v>
      </c>
      <c r="W321" s="79">
        <f t="shared" ca="1" si="167"/>
        <v>0</v>
      </c>
      <c r="X321" s="80">
        <f t="shared" ca="1" si="168"/>
        <v>0</v>
      </c>
      <c r="Y321" s="80">
        <f t="shared" ca="1" si="188"/>
        <v>0</v>
      </c>
      <c r="Z321" s="80">
        <f t="shared" ca="1" si="169"/>
        <v>0</v>
      </c>
      <c r="AA321" s="80">
        <f t="shared" ca="1" si="189"/>
        <v>0</v>
      </c>
      <c r="AB321" s="81">
        <f t="shared" ca="1" si="170"/>
        <v>0</v>
      </c>
      <c r="AC321" s="79">
        <f t="shared" ca="1" si="171"/>
        <v>0</v>
      </c>
      <c r="AD321" s="35"/>
      <c r="AE321" s="62">
        <f t="shared" ca="1" si="172"/>
        <v>0</v>
      </c>
      <c r="AF321" s="62">
        <f t="shared" ca="1" si="173"/>
        <v>0</v>
      </c>
      <c r="AG321" s="35"/>
      <c r="AH321" s="35"/>
      <c r="AR321" s="69">
        <f t="shared" si="190"/>
        <v>27</v>
      </c>
      <c r="AS321" s="70">
        <f t="shared" si="193"/>
        <v>318</v>
      </c>
      <c r="AT321" s="71">
        <f t="shared" si="194"/>
        <v>0.11341887889306575</v>
      </c>
      <c r="AU321" s="72">
        <f t="shared" si="174"/>
        <v>6.8214933659622723E-3</v>
      </c>
      <c r="AV321" s="73">
        <f t="shared" si="191"/>
        <v>1.0068214933659623</v>
      </c>
      <c r="AW321" s="74">
        <f>PRODUCT(AV$4:AV321)</f>
        <v>8.687364861848291</v>
      </c>
    </row>
    <row r="322" spans="5:49">
      <c r="E322">
        <f t="shared" si="192"/>
        <v>319</v>
      </c>
      <c r="F322" s="64">
        <f t="shared" si="175"/>
        <v>87.44</v>
      </c>
      <c r="G322" s="55">
        <f t="shared" si="176"/>
        <v>1.6316258762122726E-2</v>
      </c>
      <c r="H322" s="78">
        <f t="shared" si="195"/>
        <v>0.11808369936348515</v>
      </c>
      <c r="I322" s="79">
        <f t="shared" ca="1" si="177"/>
        <v>0</v>
      </c>
      <c r="J322" s="79">
        <f t="shared" ca="1" si="178"/>
        <v>0</v>
      </c>
      <c r="K322" s="80">
        <f t="shared" ca="1" si="179"/>
        <v>0</v>
      </c>
      <c r="L322" s="80">
        <f t="shared" ca="1" si="180"/>
        <v>0</v>
      </c>
      <c r="M322" s="80">
        <f t="shared" ca="1" si="181"/>
        <v>0</v>
      </c>
      <c r="N322" s="80">
        <f t="shared" ca="1" si="182"/>
        <v>0</v>
      </c>
      <c r="O322" s="81">
        <f t="shared" ca="1" si="165"/>
        <v>0</v>
      </c>
      <c r="P322" s="79">
        <f t="shared" ca="1" si="166"/>
        <v>0</v>
      </c>
      <c r="Q322" s="35"/>
      <c r="R322">
        <f t="shared" ca="1" si="183"/>
        <v>319</v>
      </c>
      <c r="S322" s="78">
        <f t="shared" ca="1" si="184"/>
        <v>87.44</v>
      </c>
      <c r="T322" s="55">
        <f t="shared" ca="1" si="185"/>
        <v>1.6316258762122726E-2</v>
      </c>
      <c r="U322" s="78">
        <f t="shared" ca="1" si="186"/>
        <v>0.11808369936348515</v>
      </c>
      <c r="V322" s="79">
        <f t="shared" ca="1" si="187"/>
        <v>0</v>
      </c>
      <c r="W322" s="79">
        <f t="shared" ca="1" si="167"/>
        <v>0</v>
      </c>
      <c r="X322" s="80">
        <f t="shared" ca="1" si="168"/>
        <v>0</v>
      </c>
      <c r="Y322" s="80">
        <f t="shared" ca="1" si="188"/>
        <v>0</v>
      </c>
      <c r="Z322" s="80">
        <f t="shared" ca="1" si="169"/>
        <v>0</v>
      </c>
      <c r="AA322" s="80">
        <f t="shared" ca="1" si="189"/>
        <v>0</v>
      </c>
      <c r="AB322" s="81">
        <f t="shared" ca="1" si="170"/>
        <v>0</v>
      </c>
      <c r="AC322" s="79">
        <f t="shared" ca="1" si="171"/>
        <v>0</v>
      </c>
      <c r="AD322" s="35"/>
      <c r="AE322" s="62">
        <f t="shared" ca="1" si="172"/>
        <v>0</v>
      </c>
      <c r="AF322" s="62">
        <f t="shared" ca="1" si="173"/>
        <v>0</v>
      </c>
      <c r="AG322" s="35"/>
      <c r="AH322" s="35"/>
      <c r="AR322" s="69">
        <f t="shared" si="190"/>
        <v>27</v>
      </c>
      <c r="AS322" s="70">
        <f t="shared" si="193"/>
        <v>319</v>
      </c>
      <c r="AT322" s="71">
        <f t="shared" si="194"/>
        <v>0.11264519276312182</v>
      </c>
      <c r="AU322" s="72">
        <f t="shared" si="174"/>
        <v>6.8214933659622723E-3</v>
      </c>
      <c r="AV322" s="73">
        <f t="shared" si="191"/>
        <v>1.0068214933659623</v>
      </c>
      <c r="AW322" s="74">
        <f>PRODUCT(AV$4:AV322)</f>
        <v>8.7466256636210833</v>
      </c>
    </row>
    <row r="323" spans="5:49">
      <c r="E323">
        <f t="shared" si="192"/>
        <v>320</v>
      </c>
      <c r="F323" s="64">
        <f t="shared" si="175"/>
        <v>87.52</v>
      </c>
      <c r="G323" s="55">
        <f t="shared" si="176"/>
        <v>1.7882078716896954E-2</v>
      </c>
      <c r="H323" s="78">
        <f t="shared" si="195"/>
        <v>0.1159721173562849</v>
      </c>
      <c r="I323" s="79">
        <f t="shared" ca="1" si="177"/>
        <v>0</v>
      </c>
      <c r="J323" s="79">
        <f t="shared" ca="1" si="178"/>
        <v>0</v>
      </c>
      <c r="K323" s="80">
        <f t="shared" ca="1" si="179"/>
        <v>0</v>
      </c>
      <c r="L323" s="80">
        <f t="shared" ca="1" si="180"/>
        <v>0</v>
      </c>
      <c r="M323" s="80">
        <f t="shared" ca="1" si="181"/>
        <v>0</v>
      </c>
      <c r="N323" s="80">
        <f t="shared" ca="1" si="182"/>
        <v>0</v>
      </c>
      <c r="O323" s="81">
        <f t="shared" ca="1" si="165"/>
        <v>0</v>
      </c>
      <c r="P323" s="79">
        <f t="shared" ca="1" si="166"/>
        <v>0</v>
      </c>
      <c r="Q323" s="35"/>
      <c r="R323">
        <f t="shared" ca="1" si="183"/>
        <v>320</v>
      </c>
      <c r="S323" s="78">
        <f t="shared" ca="1" si="184"/>
        <v>87.52</v>
      </c>
      <c r="T323" s="55">
        <f t="shared" ca="1" si="185"/>
        <v>1.7882078716896954E-2</v>
      </c>
      <c r="U323" s="78">
        <f t="shared" ca="1" si="186"/>
        <v>0.1159721173562849</v>
      </c>
      <c r="V323" s="79">
        <f t="shared" ca="1" si="187"/>
        <v>0</v>
      </c>
      <c r="W323" s="79">
        <f t="shared" ca="1" si="167"/>
        <v>0</v>
      </c>
      <c r="X323" s="80">
        <f t="shared" ca="1" si="168"/>
        <v>0</v>
      </c>
      <c r="Y323" s="80">
        <f t="shared" ca="1" si="188"/>
        <v>0</v>
      </c>
      <c r="Z323" s="80">
        <f t="shared" ca="1" si="169"/>
        <v>0</v>
      </c>
      <c r="AA323" s="80">
        <f t="shared" ca="1" si="189"/>
        <v>0</v>
      </c>
      <c r="AB323" s="81">
        <f t="shared" ca="1" si="170"/>
        <v>0</v>
      </c>
      <c r="AC323" s="79">
        <f t="shared" ca="1" si="171"/>
        <v>0</v>
      </c>
      <c r="AD323" s="35"/>
      <c r="AE323" s="62">
        <f t="shared" ca="1" si="172"/>
        <v>0</v>
      </c>
      <c r="AF323" s="62">
        <f t="shared" ca="1" si="173"/>
        <v>0</v>
      </c>
      <c r="AG323" s="35"/>
      <c r="AH323" s="35"/>
      <c r="AR323" s="69">
        <f t="shared" si="190"/>
        <v>27</v>
      </c>
      <c r="AS323" s="70">
        <f t="shared" si="193"/>
        <v>320</v>
      </c>
      <c r="AT323" s="71">
        <f t="shared" si="194"/>
        <v>0.11187678432798065</v>
      </c>
      <c r="AU323" s="72">
        <f t="shared" si="174"/>
        <v>6.8214933659622723E-3</v>
      </c>
      <c r="AV323" s="73">
        <f t="shared" si="191"/>
        <v>1.0068214933659623</v>
      </c>
      <c r="AW323" s="74">
        <f>PRODUCT(AV$4:AV323)</f>
        <v>8.8062907125600294</v>
      </c>
    </row>
    <row r="324" spans="5:49">
      <c r="E324">
        <f t="shared" si="192"/>
        <v>321</v>
      </c>
      <c r="F324" s="64">
        <f t="shared" si="175"/>
        <v>87.6</v>
      </c>
      <c r="G324" s="55">
        <f t="shared" si="176"/>
        <v>1.7882078716896954E-2</v>
      </c>
      <c r="H324" s="78">
        <f t="shared" si="195"/>
        <v>0.11389829482475461</v>
      </c>
      <c r="I324" s="79">
        <f t="shared" ca="1" si="177"/>
        <v>0</v>
      </c>
      <c r="J324" s="79">
        <f t="shared" ca="1" si="178"/>
        <v>0</v>
      </c>
      <c r="K324" s="80">
        <f t="shared" ca="1" si="179"/>
        <v>0</v>
      </c>
      <c r="L324" s="80">
        <f t="shared" ca="1" si="180"/>
        <v>0</v>
      </c>
      <c r="M324" s="80">
        <f t="shared" ca="1" si="181"/>
        <v>0</v>
      </c>
      <c r="N324" s="80">
        <f t="shared" ca="1" si="182"/>
        <v>0</v>
      </c>
      <c r="O324" s="81">
        <f t="shared" ref="O324:O387" ca="1" si="196">-MIN(IF(MOD(R324,IF($C$5="Annual",12,1))=0,1,0)*$C$33*U324/IF($C$5="Monthly",12,1),I324)</f>
        <v>0</v>
      </c>
      <c r="P324" s="79">
        <f t="shared" ref="P324:P387" ca="1" si="197">SUM(I324:O324)</f>
        <v>0</v>
      </c>
      <c r="Q324" s="35"/>
      <c r="R324">
        <f t="shared" ca="1" si="183"/>
        <v>321</v>
      </c>
      <c r="S324" s="78">
        <f t="shared" ca="1" si="184"/>
        <v>87.6</v>
      </c>
      <c r="T324" s="55">
        <f t="shared" ca="1" si="185"/>
        <v>1.7882078716896954E-2</v>
      </c>
      <c r="U324" s="78">
        <f t="shared" ca="1" si="186"/>
        <v>0.11389829482475461</v>
      </c>
      <c r="V324" s="79">
        <f t="shared" ca="1" si="187"/>
        <v>0</v>
      </c>
      <c r="W324" s="79">
        <f t="shared" ref="W324:W387" ca="1" si="198">(V324)*$AU324</f>
        <v>0</v>
      </c>
      <c r="X324" s="80">
        <f t="shared" ref="X324:X387" ca="1" si="199">IF(V324=0,0,-$C$19)*U324</f>
        <v>0</v>
      </c>
      <c r="Y324" s="80">
        <f t="shared" ca="1" si="188"/>
        <v>0</v>
      </c>
      <c r="Z324" s="80">
        <f t="shared" ref="Z324:Z387" ca="1" si="200">-IF(MOD(R324-1,12)=0,1,0)*V324*($C$17)</f>
        <v>0</v>
      </c>
      <c r="AA324" s="80">
        <f t="shared" ca="1" si="189"/>
        <v>0</v>
      </c>
      <c r="AB324" s="81">
        <f t="shared" ref="AB324:AB387" ca="1" si="201">-MIN(IF(MOD(R324,IF($C$5="Annual",12,1))=0,1,0)*$C$33*U324/IF($C$5="Monthly",12,1),V324)</f>
        <v>0</v>
      </c>
      <c r="AC324" s="79">
        <f t="shared" ref="AC324:AC387" ca="1" si="202">SUM(V324:AB324)</f>
        <v>0</v>
      </c>
      <c r="AD324" s="35"/>
      <c r="AE324" s="62">
        <f t="shared" ref="AE324:AE387" ca="1" si="203">AB324/U324</f>
        <v>0</v>
      </c>
      <c r="AF324" s="62">
        <f t="shared" ref="AF324:AF387" ca="1" si="204">AC324/U324</f>
        <v>0</v>
      </c>
      <c r="AG324" s="35"/>
      <c r="AH324" s="35"/>
      <c r="AR324" s="69">
        <f t="shared" si="190"/>
        <v>27</v>
      </c>
      <c r="AS324" s="70">
        <f t="shared" si="193"/>
        <v>321</v>
      </c>
      <c r="AT324" s="71">
        <f t="shared" si="194"/>
        <v>0.11111361758588213</v>
      </c>
      <c r="AU324" s="72">
        <f t="shared" ref="AU324:AU387" si="205">((1+$AH$21)^(1/12))-1</f>
        <v>6.8214933659622723E-3</v>
      </c>
      <c r="AV324" s="73">
        <f t="shared" si="191"/>
        <v>1.0068214933659623</v>
      </c>
      <c r="AW324" s="74">
        <f>PRODUCT(AV$4:AV324)</f>
        <v>8.8663627662344933</v>
      </c>
    </row>
    <row r="325" spans="5:49">
      <c r="E325">
        <f t="shared" si="192"/>
        <v>322</v>
      </c>
      <c r="F325" s="64">
        <f t="shared" ref="F325:F388" si="206">ROUND((E325-E324)/12+F324,2)</f>
        <v>87.68</v>
      </c>
      <c r="G325" s="55">
        <f t="shared" ref="G325:G388" si="207">(1-(1-IF(F325&gt;$AJ$90,0,VLOOKUP(ROUND(F325,0),$AJ$4:$AK$90,2,FALSE)))^(1/12))</f>
        <v>1.7882078716896954E-2</v>
      </c>
      <c r="H325" s="78">
        <f t="shared" si="195"/>
        <v>0.11186155655097801</v>
      </c>
      <c r="I325" s="79">
        <f t="shared" ref="I325:I388" ca="1" si="208">MAX(P324,0)*(1-G325)</f>
        <v>0</v>
      </c>
      <c r="J325" s="79">
        <f t="shared" ref="J325:J388" ca="1" si="209">(I325)*$AU325</f>
        <v>0</v>
      </c>
      <c r="K325" s="80">
        <f t="shared" ref="K325:K388" ca="1" si="210">IF(I325=0,0,-$C$19)*H325</f>
        <v>0</v>
      </c>
      <c r="L325" s="80">
        <f t="shared" ref="L325:L388" ca="1" si="211">IF(OR(I324+O324=0,K324=0),0,-I325*($C$16/12))</f>
        <v>0</v>
      </c>
      <c r="M325" s="80">
        <f t="shared" ref="M325:M388" ca="1" si="212">IF(OR(I324+O324=0,K324=0),0,-IF(MOD(E325-1,12)=0,1,0)*I325*($C$17))</f>
        <v>0</v>
      </c>
      <c r="N325" s="80">
        <f t="shared" ref="N325:N388" ca="1" si="213">IF(OR(I324+O324=0,K324=0),0,-I325*($C$18*(1+$C$20))/12)</f>
        <v>0</v>
      </c>
      <c r="O325" s="81">
        <f t="shared" ca="1" si="196"/>
        <v>0</v>
      </c>
      <c r="P325" s="79">
        <f t="shared" ca="1" si="197"/>
        <v>0</v>
      </c>
      <c r="Q325" s="35"/>
      <c r="R325">
        <f t="shared" ref="R325:R388" ca="1" si="214">R324+1</f>
        <v>322</v>
      </c>
      <c r="S325" s="78">
        <f t="shared" ref="S325:S388" ca="1" si="215">ROUND((R325-R324)/12+S324,2)</f>
        <v>87.68</v>
      </c>
      <c r="T325" s="55">
        <f t="shared" ref="T325:T388" ca="1" si="216">(1-(1-IF(S325&gt;$AJ$90,0,VLOOKUP(ROUND(S325,0),$AJ$4:$AK$90,2,FALSE)))^(1/12))</f>
        <v>1.7882078716896954E-2</v>
      </c>
      <c r="U325" s="78">
        <f t="shared" ref="U325:U388" ca="1" si="217">U324*(1-T325)</f>
        <v>0.11186155655097801</v>
      </c>
      <c r="V325" s="79">
        <f t="shared" ref="V325:V388" ca="1" si="218">MAX(AC324,0)*(1-T325)</f>
        <v>0</v>
      </c>
      <c r="W325" s="79">
        <f t="shared" ca="1" si="198"/>
        <v>0</v>
      </c>
      <c r="X325" s="80">
        <f t="shared" ca="1" si="199"/>
        <v>0</v>
      </c>
      <c r="Y325" s="80">
        <f t="shared" ref="Y325:Y388" ca="1" si="219">IF(OR(V324+AB324=0,X324=0),0,-V325*($C$16/12))</f>
        <v>0</v>
      </c>
      <c r="Z325" s="80">
        <f t="shared" ca="1" si="200"/>
        <v>0</v>
      </c>
      <c r="AA325" s="80">
        <f t="shared" ref="AA325:AA388" ca="1" si="220">IF(OR(V324+AB324=0,X324=0),0,-V325*($C$18*(1+$C$20))/12)</f>
        <v>0</v>
      </c>
      <c r="AB325" s="81">
        <f t="shared" ca="1" si="201"/>
        <v>0</v>
      </c>
      <c r="AC325" s="79">
        <f t="shared" ca="1" si="202"/>
        <v>0</v>
      </c>
      <c r="AD325" s="35"/>
      <c r="AE325" s="62">
        <f t="shared" ca="1" si="203"/>
        <v>0</v>
      </c>
      <c r="AF325" s="62">
        <f t="shared" ca="1" si="204"/>
        <v>0</v>
      </c>
      <c r="AG325" s="35"/>
      <c r="AH325" s="35"/>
      <c r="AR325" s="69">
        <f t="shared" ref="AR325:AR388" si="221">ROUNDDOWN((AS325-1)/12,0)+1</f>
        <v>27</v>
      </c>
      <c r="AS325" s="70">
        <f t="shared" si="193"/>
        <v>322</v>
      </c>
      <c r="AT325" s="71">
        <f t="shared" si="194"/>
        <v>0.11035565678065197</v>
      </c>
      <c r="AU325" s="72">
        <f t="shared" si="205"/>
        <v>6.8214933659622723E-3</v>
      </c>
      <c r="AV325" s="73">
        <f t="shared" ref="AV325:AV388" si="222">(1+AU325)</f>
        <v>1.0068214933659623</v>
      </c>
      <c r="AW325" s="74">
        <f>PRODUCT(AV$4:AV325)</f>
        <v>8.9268446010245768</v>
      </c>
    </row>
    <row r="326" spans="5:49">
      <c r="E326">
        <f t="shared" ref="E326:E389" si="223">E325+1</f>
        <v>323</v>
      </c>
      <c r="F326" s="64">
        <f t="shared" si="206"/>
        <v>87.76</v>
      </c>
      <c r="G326" s="55">
        <f t="shared" si="207"/>
        <v>1.7882078716896954E-2</v>
      </c>
      <c r="H326" s="78">
        <f t="shared" si="195"/>
        <v>0.10986123939133881</v>
      </c>
      <c r="I326" s="79">
        <f t="shared" ca="1" si="208"/>
        <v>0</v>
      </c>
      <c r="J326" s="79">
        <f t="shared" ca="1" si="209"/>
        <v>0</v>
      </c>
      <c r="K326" s="80">
        <f t="shared" ca="1" si="210"/>
        <v>0</v>
      </c>
      <c r="L326" s="80">
        <f t="shared" ca="1" si="211"/>
        <v>0</v>
      </c>
      <c r="M326" s="80">
        <f t="shared" ca="1" si="212"/>
        <v>0</v>
      </c>
      <c r="N326" s="80">
        <f t="shared" ca="1" si="213"/>
        <v>0</v>
      </c>
      <c r="O326" s="81">
        <f t="shared" ca="1" si="196"/>
        <v>0</v>
      </c>
      <c r="P326" s="79">
        <f t="shared" ca="1" si="197"/>
        <v>0</v>
      </c>
      <c r="Q326" s="35"/>
      <c r="R326">
        <f t="shared" ca="1" si="214"/>
        <v>323</v>
      </c>
      <c r="S326" s="78">
        <f t="shared" ca="1" si="215"/>
        <v>87.76</v>
      </c>
      <c r="T326" s="55">
        <f t="shared" ca="1" si="216"/>
        <v>1.7882078716896954E-2</v>
      </c>
      <c r="U326" s="78">
        <f t="shared" ca="1" si="217"/>
        <v>0.10986123939133881</v>
      </c>
      <c r="V326" s="79">
        <f t="shared" ca="1" si="218"/>
        <v>0</v>
      </c>
      <c r="W326" s="79">
        <f t="shared" ca="1" si="198"/>
        <v>0</v>
      </c>
      <c r="X326" s="80">
        <f t="shared" ca="1" si="199"/>
        <v>0</v>
      </c>
      <c r="Y326" s="80">
        <f t="shared" ca="1" si="219"/>
        <v>0</v>
      </c>
      <c r="Z326" s="80">
        <f t="shared" ca="1" si="200"/>
        <v>0</v>
      </c>
      <c r="AA326" s="80">
        <f t="shared" ca="1" si="220"/>
        <v>0</v>
      </c>
      <c r="AB326" s="81">
        <f t="shared" ca="1" si="201"/>
        <v>0</v>
      </c>
      <c r="AC326" s="79">
        <f t="shared" ca="1" si="202"/>
        <v>0</v>
      </c>
      <c r="AD326" s="35"/>
      <c r="AE326" s="62">
        <f t="shared" ca="1" si="203"/>
        <v>0</v>
      </c>
      <c r="AF326" s="62">
        <f t="shared" ca="1" si="204"/>
        <v>0</v>
      </c>
      <c r="AG326" s="35"/>
      <c r="AH326" s="35"/>
      <c r="AR326" s="69">
        <f t="shared" si="221"/>
        <v>27</v>
      </c>
      <c r="AS326" s="70">
        <f t="shared" ref="AS326:AS389" si="224">AS325+1</f>
        <v>323</v>
      </c>
      <c r="AT326" s="71">
        <f t="shared" ref="AT326:AT389" si="225">(1-AU326)*AT325</f>
        <v>0.10960286640002634</v>
      </c>
      <c r="AU326" s="72">
        <f t="shared" si="205"/>
        <v>6.8214933659622723E-3</v>
      </c>
      <c r="AV326" s="73">
        <f t="shared" si="222"/>
        <v>1.0068214933659623</v>
      </c>
      <c r="AW326" s="74">
        <f>PRODUCT(AV$4:AV326)</f>
        <v>8.9877390122494418</v>
      </c>
    </row>
    <row r="327" spans="5:49">
      <c r="E327">
        <f t="shared" si="223"/>
        <v>324</v>
      </c>
      <c r="F327" s="64">
        <f t="shared" si="206"/>
        <v>87.84</v>
      </c>
      <c r="G327" s="55">
        <f t="shared" si="207"/>
        <v>1.7882078716896954E-2</v>
      </c>
      <c r="H327" s="78">
        <f t="shared" ref="H327:H390" si="226">H326*(1-G327)</f>
        <v>0.10789669206060702</v>
      </c>
      <c r="I327" s="79">
        <f t="shared" ca="1" si="208"/>
        <v>0</v>
      </c>
      <c r="J327" s="79">
        <f t="shared" ca="1" si="209"/>
        <v>0</v>
      </c>
      <c r="K327" s="80">
        <f t="shared" ca="1" si="210"/>
        <v>0</v>
      </c>
      <c r="L327" s="80">
        <f t="shared" ca="1" si="211"/>
        <v>0</v>
      </c>
      <c r="M327" s="80">
        <f t="shared" ca="1" si="212"/>
        <v>0</v>
      </c>
      <c r="N327" s="80">
        <f t="shared" ca="1" si="213"/>
        <v>0</v>
      </c>
      <c r="O327" s="81">
        <f t="shared" ca="1" si="196"/>
        <v>0</v>
      </c>
      <c r="P327" s="79">
        <f t="shared" ca="1" si="197"/>
        <v>0</v>
      </c>
      <c r="Q327" s="35"/>
      <c r="R327">
        <f t="shared" ca="1" si="214"/>
        <v>324</v>
      </c>
      <c r="S327" s="78">
        <f t="shared" ca="1" si="215"/>
        <v>87.84</v>
      </c>
      <c r="T327" s="55">
        <f t="shared" ca="1" si="216"/>
        <v>1.7882078716896954E-2</v>
      </c>
      <c r="U327" s="78">
        <f t="shared" ca="1" si="217"/>
        <v>0.10789669206060702</v>
      </c>
      <c r="V327" s="79">
        <f t="shared" ca="1" si="218"/>
        <v>0</v>
      </c>
      <c r="W327" s="79">
        <f t="shared" ca="1" si="198"/>
        <v>0</v>
      </c>
      <c r="X327" s="80">
        <f t="shared" ca="1" si="199"/>
        <v>0</v>
      </c>
      <c r="Y327" s="80">
        <f t="shared" ca="1" si="219"/>
        <v>0</v>
      </c>
      <c r="Z327" s="80">
        <f t="shared" ca="1" si="200"/>
        <v>0</v>
      </c>
      <c r="AA327" s="80">
        <f t="shared" ca="1" si="220"/>
        <v>0</v>
      </c>
      <c r="AB327" s="81">
        <f t="shared" ca="1" si="201"/>
        <v>0</v>
      </c>
      <c r="AC327" s="79">
        <f t="shared" ca="1" si="202"/>
        <v>0</v>
      </c>
      <c r="AD327" s="35"/>
      <c r="AE327" s="62">
        <f t="shared" ca="1" si="203"/>
        <v>0</v>
      </c>
      <c r="AF327" s="62">
        <f t="shared" ca="1" si="204"/>
        <v>0</v>
      </c>
      <c r="AG327" s="35"/>
      <c r="AH327" s="35"/>
      <c r="AR327" s="69">
        <f t="shared" si="221"/>
        <v>27</v>
      </c>
      <c r="AS327" s="70">
        <f t="shared" si="224"/>
        <v>324</v>
      </c>
      <c r="AT327" s="71">
        <f t="shared" si="225"/>
        <v>0.10885521117398811</v>
      </c>
      <c r="AU327" s="72">
        <f t="shared" si="205"/>
        <v>6.8214933659622723E-3</v>
      </c>
      <c r="AV327" s="73">
        <f t="shared" si="222"/>
        <v>1.0068214933659623</v>
      </c>
      <c r="AW327" s="74">
        <f>PRODUCT(AV$4:AV327)</f>
        <v>9.0490488142965013</v>
      </c>
    </row>
    <row r="328" spans="5:49">
      <c r="E328">
        <f t="shared" si="223"/>
        <v>325</v>
      </c>
      <c r="F328" s="64">
        <f t="shared" si="206"/>
        <v>87.92</v>
      </c>
      <c r="G328" s="55">
        <f t="shared" si="207"/>
        <v>1.7882078716896954E-2</v>
      </c>
      <c r="H328" s="78">
        <f t="shared" si="226"/>
        <v>0.10596727491988646</v>
      </c>
      <c r="I328" s="79">
        <f t="shared" ca="1" si="208"/>
        <v>0</v>
      </c>
      <c r="J328" s="79">
        <f t="shared" ca="1" si="209"/>
        <v>0</v>
      </c>
      <c r="K328" s="80">
        <f t="shared" ca="1" si="210"/>
        <v>0</v>
      </c>
      <c r="L328" s="80">
        <f t="shared" ca="1" si="211"/>
        <v>0</v>
      </c>
      <c r="M328" s="80">
        <f t="shared" ca="1" si="212"/>
        <v>0</v>
      </c>
      <c r="N328" s="80">
        <f t="shared" ca="1" si="213"/>
        <v>0</v>
      </c>
      <c r="O328" s="81">
        <f t="shared" ca="1" si="196"/>
        <v>0</v>
      </c>
      <c r="P328" s="79">
        <f t="shared" ca="1" si="197"/>
        <v>0</v>
      </c>
      <c r="Q328" s="35"/>
      <c r="R328">
        <f t="shared" ca="1" si="214"/>
        <v>325</v>
      </c>
      <c r="S328" s="78">
        <f t="shared" ca="1" si="215"/>
        <v>87.92</v>
      </c>
      <c r="T328" s="55">
        <f t="shared" ca="1" si="216"/>
        <v>1.7882078716896954E-2</v>
      </c>
      <c r="U328" s="78">
        <f t="shared" ca="1" si="217"/>
        <v>0.10596727491988646</v>
      </c>
      <c r="V328" s="79">
        <f t="shared" ca="1" si="218"/>
        <v>0</v>
      </c>
      <c r="W328" s="79">
        <f t="shared" ca="1" si="198"/>
        <v>0</v>
      </c>
      <c r="X328" s="80">
        <f t="shared" ca="1" si="199"/>
        <v>0</v>
      </c>
      <c r="Y328" s="80">
        <f t="shared" ca="1" si="219"/>
        <v>0</v>
      </c>
      <c r="Z328" s="80">
        <f t="shared" ca="1" si="200"/>
        <v>0</v>
      </c>
      <c r="AA328" s="80">
        <f t="shared" ca="1" si="220"/>
        <v>0</v>
      </c>
      <c r="AB328" s="81">
        <f t="shared" ca="1" si="201"/>
        <v>0</v>
      </c>
      <c r="AC328" s="79">
        <f t="shared" ca="1" si="202"/>
        <v>0</v>
      </c>
      <c r="AD328" s="35"/>
      <c r="AE328" s="62">
        <f t="shared" ca="1" si="203"/>
        <v>0</v>
      </c>
      <c r="AF328" s="62">
        <f t="shared" ca="1" si="204"/>
        <v>0</v>
      </c>
      <c r="AG328" s="35"/>
      <c r="AH328" s="35"/>
      <c r="AR328" s="69">
        <f t="shared" si="221"/>
        <v>28</v>
      </c>
      <c r="AS328" s="70">
        <f t="shared" si="224"/>
        <v>325</v>
      </c>
      <c r="AT328" s="71">
        <f t="shared" si="225"/>
        <v>0.10811265607311432</v>
      </c>
      <c r="AU328" s="72">
        <f t="shared" si="205"/>
        <v>6.8214933659622723E-3</v>
      </c>
      <c r="AV328" s="73">
        <f t="shared" si="222"/>
        <v>1.0068214933659623</v>
      </c>
      <c r="AW328" s="74">
        <f>PRODUCT(AV$4:AV328)</f>
        <v>9.1107768407514929</v>
      </c>
    </row>
    <row r="329" spans="5:49">
      <c r="E329">
        <f t="shared" si="223"/>
        <v>326</v>
      </c>
      <c r="F329" s="64">
        <f t="shared" si="206"/>
        <v>88</v>
      </c>
      <c r="G329" s="55">
        <f t="shared" si="207"/>
        <v>1.7882078716896954E-2</v>
      </c>
      <c r="H329" s="78">
        <f t="shared" si="226"/>
        <v>0.10407235976835399</v>
      </c>
      <c r="I329" s="79">
        <f t="shared" ca="1" si="208"/>
        <v>0</v>
      </c>
      <c r="J329" s="79">
        <f t="shared" ca="1" si="209"/>
        <v>0</v>
      </c>
      <c r="K329" s="80">
        <f t="shared" ca="1" si="210"/>
        <v>0</v>
      </c>
      <c r="L329" s="80">
        <f t="shared" ca="1" si="211"/>
        <v>0</v>
      </c>
      <c r="M329" s="80">
        <f t="shared" ca="1" si="212"/>
        <v>0</v>
      </c>
      <c r="N329" s="80">
        <f t="shared" ca="1" si="213"/>
        <v>0</v>
      </c>
      <c r="O329" s="81">
        <f t="shared" ca="1" si="196"/>
        <v>0</v>
      </c>
      <c r="P329" s="79">
        <f t="shared" ca="1" si="197"/>
        <v>0</v>
      </c>
      <c r="Q329" s="35"/>
      <c r="R329">
        <f t="shared" ca="1" si="214"/>
        <v>326</v>
      </c>
      <c r="S329" s="78">
        <f t="shared" ca="1" si="215"/>
        <v>88</v>
      </c>
      <c r="T329" s="55">
        <f t="shared" ca="1" si="216"/>
        <v>1.7882078716896954E-2</v>
      </c>
      <c r="U329" s="78">
        <f t="shared" ca="1" si="217"/>
        <v>0.10407235976835399</v>
      </c>
      <c r="V329" s="79">
        <f t="shared" ca="1" si="218"/>
        <v>0</v>
      </c>
      <c r="W329" s="79">
        <f t="shared" ca="1" si="198"/>
        <v>0</v>
      </c>
      <c r="X329" s="80">
        <f t="shared" ca="1" si="199"/>
        <v>0</v>
      </c>
      <c r="Y329" s="80">
        <f t="shared" ca="1" si="219"/>
        <v>0</v>
      </c>
      <c r="Z329" s="80">
        <f t="shared" ca="1" si="200"/>
        <v>0</v>
      </c>
      <c r="AA329" s="80">
        <f t="shared" ca="1" si="220"/>
        <v>0</v>
      </c>
      <c r="AB329" s="81">
        <f t="shared" ca="1" si="201"/>
        <v>0</v>
      </c>
      <c r="AC329" s="79">
        <f t="shared" ca="1" si="202"/>
        <v>0</v>
      </c>
      <c r="AD329" s="35"/>
      <c r="AE329" s="62">
        <f t="shared" ca="1" si="203"/>
        <v>0</v>
      </c>
      <c r="AF329" s="62">
        <f t="shared" ca="1" si="204"/>
        <v>0</v>
      </c>
      <c r="AG329" s="35"/>
      <c r="AH329" s="35"/>
      <c r="AR329" s="69">
        <f t="shared" si="221"/>
        <v>28</v>
      </c>
      <c r="AS329" s="70">
        <f t="shared" si="224"/>
        <v>326</v>
      </c>
      <c r="AT329" s="71">
        <f t="shared" si="225"/>
        <v>0.10737516630693501</v>
      </c>
      <c r="AU329" s="72">
        <f t="shared" si="205"/>
        <v>6.8214933659622723E-3</v>
      </c>
      <c r="AV329" s="73">
        <f t="shared" si="222"/>
        <v>1.0068214933659623</v>
      </c>
      <c r="AW329" s="74">
        <f>PRODUCT(AV$4:AV329)</f>
        <v>9.1729259445294424</v>
      </c>
    </row>
    <row r="330" spans="5:49">
      <c r="E330">
        <f t="shared" si="223"/>
        <v>327</v>
      </c>
      <c r="F330" s="64">
        <f t="shared" si="206"/>
        <v>88.08</v>
      </c>
      <c r="G330" s="55">
        <f t="shared" si="207"/>
        <v>1.7882078716896954E-2</v>
      </c>
      <c r="H330" s="78">
        <f t="shared" si="226"/>
        <v>0.10221132963872306</v>
      </c>
      <c r="I330" s="79">
        <f t="shared" ca="1" si="208"/>
        <v>0</v>
      </c>
      <c r="J330" s="79">
        <f t="shared" ca="1" si="209"/>
        <v>0</v>
      </c>
      <c r="K330" s="80">
        <f t="shared" ca="1" si="210"/>
        <v>0</v>
      </c>
      <c r="L330" s="80">
        <f t="shared" ca="1" si="211"/>
        <v>0</v>
      </c>
      <c r="M330" s="80">
        <f t="shared" ca="1" si="212"/>
        <v>0</v>
      </c>
      <c r="N330" s="80">
        <f t="shared" ca="1" si="213"/>
        <v>0</v>
      </c>
      <c r="O330" s="81">
        <f t="shared" ca="1" si="196"/>
        <v>0</v>
      </c>
      <c r="P330" s="79">
        <f t="shared" ca="1" si="197"/>
        <v>0</v>
      </c>
      <c r="Q330" s="35"/>
      <c r="R330">
        <f t="shared" ca="1" si="214"/>
        <v>327</v>
      </c>
      <c r="S330" s="78">
        <f t="shared" ca="1" si="215"/>
        <v>88.08</v>
      </c>
      <c r="T330" s="55">
        <f t="shared" ca="1" si="216"/>
        <v>1.7882078716896954E-2</v>
      </c>
      <c r="U330" s="78">
        <f t="shared" ca="1" si="217"/>
        <v>0.10221132963872306</v>
      </c>
      <c r="V330" s="79">
        <f t="shared" ca="1" si="218"/>
        <v>0</v>
      </c>
      <c r="W330" s="79">
        <f t="shared" ca="1" si="198"/>
        <v>0</v>
      </c>
      <c r="X330" s="80">
        <f t="shared" ca="1" si="199"/>
        <v>0</v>
      </c>
      <c r="Y330" s="80">
        <f t="shared" ca="1" si="219"/>
        <v>0</v>
      </c>
      <c r="Z330" s="80">
        <f t="shared" ca="1" si="200"/>
        <v>0</v>
      </c>
      <c r="AA330" s="80">
        <f t="shared" ca="1" si="220"/>
        <v>0</v>
      </c>
      <c r="AB330" s="81">
        <f t="shared" ca="1" si="201"/>
        <v>0</v>
      </c>
      <c r="AC330" s="79">
        <f t="shared" ca="1" si="202"/>
        <v>0</v>
      </c>
      <c r="AD330" s="35"/>
      <c r="AE330" s="62">
        <f t="shared" ca="1" si="203"/>
        <v>0</v>
      </c>
      <c r="AF330" s="62">
        <f t="shared" ca="1" si="204"/>
        <v>0</v>
      </c>
      <c r="AG330" s="35"/>
      <c r="AH330" s="35"/>
      <c r="AR330" s="69">
        <f t="shared" si="221"/>
        <v>28</v>
      </c>
      <c r="AS330" s="70">
        <f t="shared" si="224"/>
        <v>327</v>
      </c>
      <c r="AT330" s="71">
        <f t="shared" si="225"/>
        <v>0.10664270732230316</v>
      </c>
      <c r="AU330" s="72">
        <f t="shared" si="205"/>
        <v>6.8214933659622723E-3</v>
      </c>
      <c r="AV330" s="73">
        <f t="shared" si="222"/>
        <v>1.0068214933659623</v>
      </c>
      <c r="AW330" s="74">
        <f>PRODUCT(AV$4:AV330)</f>
        <v>9.2354989980065127</v>
      </c>
    </row>
    <row r="331" spans="5:49">
      <c r="E331">
        <f t="shared" si="223"/>
        <v>328</v>
      </c>
      <c r="F331" s="64">
        <f t="shared" si="206"/>
        <v>88.16</v>
      </c>
      <c r="G331" s="55">
        <f t="shared" si="207"/>
        <v>1.7882078716896954E-2</v>
      </c>
      <c r="H331" s="78">
        <f t="shared" si="226"/>
        <v>0.10038357859636471</v>
      </c>
      <c r="I331" s="79">
        <f t="shared" ca="1" si="208"/>
        <v>0</v>
      </c>
      <c r="J331" s="79">
        <f t="shared" ca="1" si="209"/>
        <v>0</v>
      </c>
      <c r="K331" s="80">
        <f t="shared" ca="1" si="210"/>
        <v>0</v>
      </c>
      <c r="L331" s="80">
        <f t="shared" ca="1" si="211"/>
        <v>0</v>
      </c>
      <c r="M331" s="80">
        <f t="shared" ca="1" si="212"/>
        <v>0</v>
      </c>
      <c r="N331" s="80">
        <f t="shared" ca="1" si="213"/>
        <v>0</v>
      </c>
      <c r="O331" s="81">
        <f t="shared" ca="1" si="196"/>
        <v>0</v>
      </c>
      <c r="P331" s="79">
        <f t="shared" ca="1" si="197"/>
        <v>0</v>
      </c>
      <c r="Q331" s="35"/>
      <c r="R331">
        <f t="shared" ca="1" si="214"/>
        <v>328</v>
      </c>
      <c r="S331" s="78">
        <f t="shared" ca="1" si="215"/>
        <v>88.16</v>
      </c>
      <c r="T331" s="55">
        <f t="shared" ca="1" si="216"/>
        <v>1.7882078716896954E-2</v>
      </c>
      <c r="U331" s="78">
        <f t="shared" ca="1" si="217"/>
        <v>0.10038357859636471</v>
      </c>
      <c r="V331" s="79">
        <f t="shared" ca="1" si="218"/>
        <v>0</v>
      </c>
      <c r="W331" s="79">
        <f t="shared" ca="1" si="198"/>
        <v>0</v>
      </c>
      <c r="X331" s="80">
        <f t="shared" ca="1" si="199"/>
        <v>0</v>
      </c>
      <c r="Y331" s="80">
        <f t="shared" ca="1" si="219"/>
        <v>0</v>
      </c>
      <c r="Z331" s="80">
        <f t="shared" ca="1" si="200"/>
        <v>0</v>
      </c>
      <c r="AA331" s="80">
        <f t="shared" ca="1" si="220"/>
        <v>0</v>
      </c>
      <c r="AB331" s="81">
        <f t="shared" ca="1" si="201"/>
        <v>0</v>
      </c>
      <c r="AC331" s="79">
        <f t="shared" ca="1" si="202"/>
        <v>0</v>
      </c>
      <c r="AD331" s="35"/>
      <c r="AE331" s="62">
        <f t="shared" ca="1" si="203"/>
        <v>0</v>
      </c>
      <c r="AF331" s="62">
        <f t="shared" ca="1" si="204"/>
        <v>0</v>
      </c>
      <c r="AG331" s="35"/>
      <c r="AH331" s="35"/>
      <c r="AR331" s="69">
        <f t="shared" si="221"/>
        <v>28</v>
      </c>
      <c r="AS331" s="70">
        <f t="shared" si="224"/>
        <v>328</v>
      </c>
      <c r="AT331" s="71">
        <f t="shared" si="225"/>
        <v>0.10591524480177582</v>
      </c>
      <c r="AU331" s="72">
        <f t="shared" si="205"/>
        <v>6.8214933659622723E-3</v>
      </c>
      <c r="AV331" s="73">
        <f t="shared" si="222"/>
        <v>1.0068214933659623</v>
      </c>
      <c r="AW331" s="74">
        <f>PRODUCT(AV$4:AV331)</f>
        <v>9.2984988931527646</v>
      </c>
    </row>
    <row r="332" spans="5:49">
      <c r="E332">
        <f t="shared" si="223"/>
        <v>329</v>
      </c>
      <c r="F332" s="64">
        <f t="shared" si="206"/>
        <v>88.24</v>
      </c>
      <c r="G332" s="55">
        <f t="shared" si="207"/>
        <v>1.7882078716896954E-2</v>
      </c>
      <c r="H332" s="78">
        <f t="shared" si="226"/>
        <v>9.8588511542020696E-2</v>
      </c>
      <c r="I332" s="79">
        <f t="shared" ca="1" si="208"/>
        <v>0</v>
      </c>
      <c r="J332" s="79">
        <f t="shared" ca="1" si="209"/>
        <v>0</v>
      </c>
      <c r="K332" s="80">
        <f t="shared" ca="1" si="210"/>
        <v>0</v>
      </c>
      <c r="L332" s="80">
        <f t="shared" ca="1" si="211"/>
        <v>0</v>
      </c>
      <c r="M332" s="80">
        <f t="shared" ca="1" si="212"/>
        <v>0</v>
      </c>
      <c r="N332" s="80">
        <f t="shared" ca="1" si="213"/>
        <v>0</v>
      </c>
      <c r="O332" s="81">
        <f t="shared" ca="1" si="196"/>
        <v>0</v>
      </c>
      <c r="P332" s="79">
        <f t="shared" ca="1" si="197"/>
        <v>0</v>
      </c>
      <c r="Q332" s="35"/>
      <c r="R332">
        <f t="shared" ca="1" si="214"/>
        <v>329</v>
      </c>
      <c r="S332" s="78">
        <f t="shared" ca="1" si="215"/>
        <v>88.24</v>
      </c>
      <c r="T332" s="55">
        <f t="shared" ca="1" si="216"/>
        <v>1.7882078716896954E-2</v>
      </c>
      <c r="U332" s="78">
        <f t="shared" ca="1" si="217"/>
        <v>9.8588511542020696E-2</v>
      </c>
      <c r="V332" s="79">
        <f t="shared" ca="1" si="218"/>
        <v>0</v>
      </c>
      <c r="W332" s="79">
        <f t="shared" ca="1" si="198"/>
        <v>0</v>
      </c>
      <c r="X332" s="80">
        <f t="shared" ca="1" si="199"/>
        <v>0</v>
      </c>
      <c r="Y332" s="80">
        <f t="shared" ca="1" si="219"/>
        <v>0</v>
      </c>
      <c r="Z332" s="80">
        <f t="shared" ca="1" si="200"/>
        <v>0</v>
      </c>
      <c r="AA332" s="80">
        <f t="shared" ca="1" si="220"/>
        <v>0</v>
      </c>
      <c r="AB332" s="81">
        <f t="shared" ca="1" si="201"/>
        <v>0</v>
      </c>
      <c r="AC332" s="79">
        <f t="shared" ca="1" si="202"/>
        <v>0</v>
      </c>
      <c r="AD332" s="35"/>
      <c r="AE332" s="62">
        <f t="shared" ca="1" si="203"/>
        <v>0</v>
      </c>
      <c r="AF332" s="62">
        <f t="shared" ca="1" si="204"/>
        <v>0</v>
      </c>
      <c r="AG332" s="35"/>
      <c r="AH332" s="35"/>
      <c r="AR332" s="69">
        <f t="shared" si="221"/>
        <v>28</v>
      </c>
      <c r="AS332" s="70">
        <f t="shared" si="224"/>
        <v>329</v>
      </c>
      <c r="AT332" s="71">
        <f t="shared" si="225"/>
        <v>0.10519274466200623</v>
      </c>
      <c r="AU332" s="72">
        <f t="shared" si="205"/>
        <v>6.8214933659622723E-3</v>
      </c>
      <c r="AV332" s="73">
        <f t="shared" si="222"/>
        <v>1.0068214933659623</v>
      </c>
      <c r="AW332" s="74">
        <f>PRODUCT(AV$4:AV332)</f>
        <v>9.3619285416658133</v>
      </c>
    </row>
    <row r="333" spans="5:49">
      <c r="E333">
        <f t="shared" si="223"/>
        <v>330</v>
      </c>
      <c r="F333" s="64">
        <f t="shared" si="206"/>
        <v>88.32</v>
      </c>
      <c r="G333" s="55">
        <f t="shared" si="207"/>
        <v>1.7882078716896954E-2</v>
      </c>
      <c r="H333" s="78">
        <f t="shared" si="226"/>
        <v>9.6825544018044579E-2</v>
      </c>
      <c r="I333" s="79">
        <f t="shared" ca="1" si="208"/>
        <v>0</v>
      </c>
      <c r="J333" s="79">
        <f t="shared" ca="1" si="209"/>
        <v>0</v>
      </c>
      <c r="K333" s="80">
        <f t="shared" ca="1" si="210"/>
        <v>0</v>
      </c>
      <c r="L333" s="80">
        <f t="shared" ca="1" si="211"/>
        <v>0</v>
      </c>
      <c r="M333" s="80">
        <f t="shared" ca="1" si="212"/>
        <v>0</v>
      </c>
      <c r="N333" s="80">
        <f t="shared" ca="1" si="213"/>
        <v>0</v>
      </c>
      <c r="O333" s="81">
        <f t="shared" ca="1" si="196"/>
        <v>0</v>
      </c>
      <c r="P333" s="79">
        <f t="shared" ca="1" si="197"/>
        <v>0</v>
      </c>
      <c r="Q333" s="35"/>
      <c r="R333">
        <f t="shared" ca="1" si="214"/>
        <v>330</v>
      </c>
      <c r="S333" s="78">
        <f t="shared" ca="1" si="215"/>
        <v>88.32</v>
      </c>
      <c r="T333" s="55">
        <f t="shared" ca="1" si="216"/>
        <v>1.7882078716896954E-2</v>
      </c>
      <c r="U333" s="78">
        <f t="shared" ca="1" si="217"/>
        <v>9.6825544018044579E-2</v>
      </c>
      <c r="V333" s="79">
        <f t="shared" ca="1" si="218"/>
        <v>0</v>
      </c>
      <c r="W333" s="79">
        <f t="shared" ca="1" si="198"/>
        <v>0</v>
      </c>
      <c r="X333" s="80">
        <f t="shared" ca="1" si="199"/>
        <v>0</v>
      </c>
      <c r="Y333" s="80">
        <f t="shared" ca="1" si="219"/>
        <v>0</v>
      </c>
      <c r="Z333" s="80">
        <f t="shared" ca="1" si="200"/>
        <v>0</v>
      </c>
      <c r="AA333" s="80">
        <f t="shared" ca="1" si="220"/>
        <v>0</v>
      </c>
      <c r="AB333" s="81">
        <f t="shared" ca="1" si="201"/>
        <v>0</v>
      </c>
      <c r="AC333" s="79">
        <f t="shared" ca="1" si="202"/>
        <v>0</v>
      </c>
      <c r="AD333" s="35"/>
      <c r="AE333" s="62">
        <f t="shared" ca="1" si="203"/>
        <v>0</v>
      </c>
      <c r="AF333" s="62">
        <f t="shared" ca="1" si="204"/>
        <v>0</v>
      </c>
      <c r="AG333" s="35"/>
      <c r="AH333" s="35"/>
      <c r="AR333" s="69">
        <f t="shared" si="221"/>
        <v>28</v>
      </c>
      <c r="AS333" s="70">
        <f t="shared" si="224"/>
        <v>330</v>
      </c>
      <c r="AT333" s="71">
        <f t="shared" si="225"/>
        <v>0.104475173052147</v>
      </c>
      <c r="AU333" s="72">
        <f t="shared" si="205"/>
        <v>6.8214933659622723E-3</v>
      </c>
      <c r="AV333" s="73">
        <f t="shared" si="222"/>
        <v>1.0068214933659623</v>
      </c>
      <c r="AW333" s="74">
        <f>PRODUCT(AV$4:AV333)</f>
        <v>9.4257908751053989</v>
      </c>
    </row>
    <row r="334" spans="5:49">
      <c r="E334">
        <f t="shared" si="223"/>
        <v>331</v>
      </c>
      <c r="F334" s="64">
        <f t="shared" si="206"/>
        <v>88.4</v>
      </c>
      <c r="G334" s="55">
        <f t="shared" si="207"/>
        <v>1.7882078716896954E-2</v>
      </c>
      <c r="H334" s="78">
        <f t="shared" si="226"/>
        <v>9.5094102018107529E-2</v>
      </c>
      <c r="I334" s="79">
        <f t="shared" ca="1" si="208"/>
        <v>0</v>
      </c>
      <c r="J334" s="79">
        <f t="shared" ca="1" si="209"/>
        <v>0</v>
      </c>
      <c r="K334" s="80">
        <f t="shared" ca="1" si="210"/>
        <v>0</v>
      </c>
      <c r="L334" s="80">
        <f t="shared" ca="1" si="211"/>
        <v>0</v>
      </c>
      <c r="M334" s="80">
        <f t="shared" ca="1" si="212"/>
        <v>0</v>
      </c>
      <c r="N334" s="80">
        <f t="shared" ca="1" si="213"/>
        <v>0</v>
      </c>
      <c r="O334" s="81">
        <f t="shared" ca="1" si="196"/>
        <v>0</v>
      </c>
      <c r="P334" s="79">
        <f t="shared" ca="1" si="197"/>
        <v>0</v>
      </c>
      <c r="Q334" s="35"/>
      <c r="R334">
        <f t="shared" ca="1" si="214"/>
        <v>331</v>
      </c>
      <c r="S334" s="78">
        <f t="shared" ca="1" si="215"/>
        <v>88.4</v>
      </c>
      <c r="T334" s="55">
        <f t="shared" ca="1" si="216"/>
        <v>1.7882078716896954E-2</v>
      </c>
      <c r="U334" s="78">
        <f t="shared" ca="1" si="217"/>
        <v>9.5094102018107529E-2</v>
      </c>
      <c r="V334" s="79">
        <f t="shared" ca="1" si="218"/>
        <v>0</v>
      </c>
      <c r="W334" s="79">
        <f t="shared" ca="1" si="198"/>
        <v>0</v>
      </c>
      <c r="X334" s="80">
        <f t="shared" ca="1" si="199"/>
        <v>0</v>
      </c>
      <c r="Y334" s="80">
        <f t="shared" ca="1" si="219"/>
        <v>0</v>
      </c>
      <c r="Z334" s="80">
        <f t="shared" ca="1" si="200"/>
        <v>0</v>
      </c>
      <c r="AA334" s="80">
        <f t="shared" ca="1" si="220"/>
        <v>0</v>
      </c>
      <c r="AB334" s="81">
        <f t="shared" ca="1" si="201"/>
        <v>0</v>
      </c>
      <c r="AC334" s="79">
        <f t="shared" ca="1" si="202"/>
        <v>0</v>
      </c>
      <c r="AD334" s="35"/>
      <c r="AE334" s="62">
        <f t="shared" ca="1" si="203"/>
        <v>0</v>
      </c>
      <c r="AF334" s="62">
        <f t="shared" ca="1" si="204"/>
        <v>0</v>
      </c>
      <c r="AG334" s="35"/>
      <c r="AH334" s="35"/>
      <c r="AR334" s="69">
        <f t="shared" si="221"/>
        <v>28</v>
      </c>
      <c r="AS334" s="70">
        <f t="shared" si="224"/>
        <v>331</v>
      </c>
      <c r="AT334" s="71">
        <f t="shared" si="225"/>
        <v>0.10376249635226402</v>
      </c>
      <c r="AU334" s="72">
        <f t="shared" si="205"/>
        <v>6.8214933659622723E-3</v>
      </c>
      <c r="AV334" s="73">
        <f t="shared" si="222"/>
        <v>1.0068214933659623</v>
      </c>
      <c r="AW334" s="74">
        <f>PRODUCT(AV$4:AV334)</f>
        <v>9.4900888450288789</v>
      </c>
    </row>
    <row r="335" spans="5:49">
      <c r="E335">
        <f t="shared" si="223"/>
        <v>332</v>
      </c>
      <c r="F335" s="64">
        <f t="shared" si="206"/>
        <v>88.48</v>
      </c>
      <c r="G335" s="55">
        <f t="shared" si="207"/>
        <v>1.7882078716896954E-2</v>
      </c>
      <c r="H335" s="78">
        <f t="shared" si="226"/>
        <v>9.3393621800307094E-2</v>
      </c>
      <c r="I335" s="79">
        <f t="shared" ca="1" si="208"/>
        <v>0</v>
      </c>
      <c r="J335" s="79">
        <f t="shared" ca="1" si="209"/>
        <v>0</v>
      </c>
      <c r="K335" s="80">
        <f t="shared" ca="1" si="210"/>
        <v>0</v>
      </c>
      <c r="L335" s="80">
        <f t="shared" ca="1" si="211"/>
        <v>0</v>
      </c>
      <c r="M335" s="80">
        <f t="shared" ca="1" si="212"/>
        <v>0</v>
      </c>
      <c r="N335" s="80">
        <f t="shared" ca="1" si="213"/>
        <v>0</v>
      </c>
      <c r="O335" s="81">
        <f t="shared" ca="1" si="196"/>
        <v>0</v>
      </c>
      <c r="P335" s="79">
        <f t="shared" ca="1" si="197"/>
        <v>0</v>
      </c>
      <c r="Q335" s="35"/>
      <c r="R335">
        <f t="shared" ca="1" si="214"/>
        <v>332</v>
      </c>
      <c r="S335" s="78">
        <f t="shared" ca="1" si="215"/>
        <v>88.48</v>
      </c>
      <c r="T335" s="55">
        <f t="shared" ca="1" si="216"/>
        <v>1.7882078716896954E-2</v>
      </c>
      <c r="U335" s="78">
        <f t="shared" ca="1" si="217"/>
        <v>9.3393621800307094E-2</v>
      </c>
      <c r="V335" s="79">
        <f t="shared" ca="1" si="218"/>
        <v>0</v>
      </c>
      <c r="W335" s="79">
        <f t="shared" ca="1" si="198"/>
        <v>0</v>
      </c>
      <c r="X335" s="80">
        <f t="shared" ca="1" si="199"/>
        <v>0</v>
      </c>
      <c r="Y335" s="80">
        <f t="shared" ca="1" si="219"/>
        <v>0</v>
      </c>
      <c r="Z335" s="80">
        <f t="shared" ca="1" si="200"/>
        <v>0</v>
      </c>
      <c r="AA335" s="80">
        <f t="shared" ca="1" si="220"/>
        <v>0</v>
      </c>
      <c r="AB335" s="81">
        <f t="shared" ca="1" si="201"/>
        <v>0</v>
      </c>
      <c r="AC335" s="79">
        <f t="shared" ca="1" si="202"/>
        <v>0</v>
      </c>
      <c r="AD335" s="35"/>
      <c r="AE335" s="62">
        <f t="shared" ca="1" si="203"/>
        <v>0</v>
      </c>
      <c r="AF335" s="62">
        <f t="shared" ca="1" si="204"/>
        <v>0</v>
      </c>
      <c r="AG335" s="35"/>
      <c r="AH335" s="35"/>
      <c r="AR335" s="69">
        <f t="shared" si="221"/>
        <v>28</v>
      </c>
      <c r="AS335" s="70">
        <f t="shared" si="224"/>
        <v>332</v>
      </c>
      <c r="AT335" s="71">
        <f t="shared" si="225"/>
        <v>0.10305468117176136</v>
      </c>
      <c r="AU335" s="72">
        <f t="shared" si="205"/>
        <v>6.8214933659622723E-3</v>
      </c>
      <c r="AV335" s="73">
        <f t="shared" si="222"/>
        <v>1.0068214933659623</v>
      </c>
      <c r="AW335" s="74">
        <f>PRODUCT(AV$4:AV335)</f>
        <v>9.5548254231276353</v>
      </c>
    </row>
    <row r="336" spans="5:49">
      <c r="E336">
        <f t="shared" si="223"/>
        <v>333</v>
      </c>
      <c r="F336" s="64">
        <f t="shared" si="206"/>
        <v>88.56</v>
      </c>
      <c r="G336" s="55">
        <f t="shared" si="207"/>
        <v>1.9598847320330681E-2</v>
      </c>
      <c r="H336" s="78">
        <f t="shared" si="226"/>
        <v>9.1563214465950171E-2</v>
      </c>
      <c r="I336" s="79">
        <f t="shared" ca="1" si="208"/>
        <v>0</v>
      </c>
      <c r="J336" s="79">
        <f t="shared" ca="1" si="209"/>
        <v>0</v>
      </c>
      <c r="K336" s="80">
        <f t="shared" ca="1" si="210"/>
        <v>0</v>
      </c>
      <c r="L336" s="80">
        <f t="shared" ca="1" si="211"/>
        <v>0</v>
      </c>
      <c r="M336" s="80">
        <f t="shared" ca="1" si="212"/>
        <v>0</v>
      </c>
      <c r="N336" s="80">
        <f t="shared" ca="1" si="213"/>
        <v>0</v>
      </c>
      <c r="O336" s="81">
        <f t="shared" ca="1" si="196"/>
        <v>0</v>
      </c>
      <c r="P336" s="79">
        <f t="shared" ca="1" si="197"/>
        <v>0</v>
      </c>
      <c r="Q336" s="35"/>
      <c r="R336">
        <f t="shared" ca="1" si="214"/>
        <v>333</v>
      </c>
      <c r="S336" s="78">
        <f t="shared" ca="1" si="215"/>
        <v>88.56</v>
      </c>
      <c r="T336" s="55">
        <f t="shared" ca="1" si="216"/>
        <v>1.9598847320330681E-2</v>
      </c>
      <c r="U336" s="78">
        <f t="shared" ca="1" si="217"/>
        <v>9.1563214465950171E-2</v>
      </c>
      <c r="V336" s="79">
        <f t="shared" ca="1" si="218"/>
        <v>0</v>
      </c>
      <c r="W336" s="79">
        <f t="shared" ca="1" si="198"/>
        <v>0</v>
      </c>
      <c r="X336" s="80">
        <f t="shared" ca="1" si="199"/>
        <v>0</v>
      </c>
      <c r="Y336" s="80">
        <f t="shared" ca="1" si="219"/>
        <v>0</v>
      </c>
      <c r="Z336" s="80">
        <f t="shared" ca="1" si="200"/>
        <v>0</v>
      </c>
      <c r="AA336" s="80">
        <f t="shared" ca="1" si="220"/>
        <v>0</v>
      </c>
      <c r="AB336" s="81">
        <f t="shared" ca="1" si="201"/>
        <v>0</v>
      </c>
      <c r="AC336" s="79">
        <f t="shared" ca="1" si="202"/>
        <v>0</v>
      </c>
      <c r="AD336" s="35"/>
      <c r="AE336" s="62">
        <f t="shared" ca="1" si="203"/>
        <v>0</v>
      </c>
      <c r="AF336" s="62">
        <f t="shared" ca="1" si="204"/>
        <v>0</v>
      </c>
      <c r="AG336" s="35"/>
      <c r="AH336" s="35"/>
      <c r="AR336" s="69">
        <f t="shared" si="221"/>
        <v>28</v>
      </c>
      <c r="AS336" s="70">
        <f t="shared" si="224"/>
        <v>333</v>
      </c>
      <c r="AT336" s="71">
        <f t="shared" si="225"/>
        <v>0.10235169434781684</v>
      </c>
      <c r="AU336" s="72">
        <f t="shared" si="205"/>
        <v>6.8214933659622723E-3</v>
      </c>
      <c r="AV336" s="73">
        <f t="shared" si="222"/>
        <v>1.0068214933659623</v>
      </c>
      <c r="AW336" s="74">
        <f>PRODUCT(AV$4:AV336)</f>
        <v>9.6200036013644272</v>
      </c>
    </row>
    <row r="337" spans="5:49">
      <c r="E337">
        <f t="shared" si="223"/>
        <v>334</v>
      </c>
      <c r="F337" s="64">
        <f t="shared" si="206"/>
        <v>88.64</v>
      </c>
      <c r="G337" s="55">
        <f t="shared" si="207"/>
        <v>1.9598847320330681E-2</v>
      </c>
      <c r="H337" s="78">
        <f t="shared" si="226"/>
        <v>8.9768681005473319E-2</v>
      </c>
      <c r="I337" s="79">
        <f t="shared" ca="1" si="208"/>
        <v>0</v>
      </c>
      <c r="J337" s="79">
        <f t="shared" ca="1" si="209"/>
        <v>0</v>
      </c>
      <c r="K337" s="80">
        <f t="shared" ca="1" si="210"/>
        <v>0</v>
      </c>
      <c r="L337" s="80">
        <f t="shared" ca="1" si="211"/>
        <v>0</v>
      </c>
      <c r="M337" s="80">
        <f t="shared" ca="1" si="212"/>
        <v>0</v>
      </c>
      <c r="N337" s="80">
        <f t="shared" ca="1" si="213"/>
        <v>0</v>
      </c>
      <c r="O337" s="81">
        <f t="shared" ca="1" si="196"/>
        <v>0</v>
      </c>
      <c r="P337" s="79">
        <f t="shared" ca="1" si="197"/>
        <v>0</v>
      </c>
      <c r="Q337" s="35"/>
      <c r="R337">
        <f t="shared" ca="1" si="214"/>
        <v>334</v>
      </c>
      <c r="S337" s="78">
        <f t="shared" ca="1" si="215"/>
        <v>88.64</v>
      </c>
      <c r="T337" s="55">
        <f t="shared" ca="1" si="216"/>
        <v>1.9598847320330681E-2</v>
      </c>
      <c r="U337" s="78">
        <f t="shared" ca="1" si="217"/>
        <v>8.9768681005473319E-2</v>
      </c>
      <c r="V337" s="79">
        <f t="shared" ca="1" si="218"/>
        <v>0</v>
      </c>
      <c r="W337" s="79">
        <f t="shared" ca="1" si="198"/>
        <v>0</v>
      </c>
      <c r="X337" s="80">
        <f t="shared" ca="1" si="199"/>
        <v>0</v>
      </c>
      <c r="Y337" s="80">
        <f t="shared" ca="1" si="219"/>
        <v>0</v>
      </c>
      <c r="Z337" s="80">
        <f t="shared" ca="1" si="200"/>
        <v>0</v>
      </c>
      <c r="AA337" s="80">
        <f t="shared" ca="1" si="220"/>
        <v>0</v>
      </c>
      <c r="AB337" s="81">
        <f t="shared" ca="1" si="201"/>
        <v>0</v>
      </c>
      <c r="AC337" s="79">
        <f t="shared" ca="1" si="202"/>
        <v>0</v>
      </c>
      <c r="AD337" s="35"/>
      <c r="AE337" s="62">
        <f t="shared" ca="1" si="203"/>
        <v>0</v>
      </c>
      <c r="AF337" s="62">
        <f t="shared" ca="1" si="204"/>
        <v>0</v>
      </c>
      <c r="AG337" s="35"/>
      <c r="AH337" s="35"/>
      <c r="AR337" s="69">
        <f t="shared" si="221"/>
        <v>28</v>
      </c>
      <c r="AS337" s="70">
        <f t="shared" si="224"/>
        <v>334</v>
      </c>
      <c r="AT337" s="71">
        <f t="shared" si="225"/>
        <v>0.1016535029438282</v>
      </c>
      <c r="AU337" s="72">
        <f t="shared" si="205"/>
        <v>6.8214933659622723E-3</v>
      </c>
      <c r="AV337" s="73">
        <f t="shared" si="222"/>
        <v>1.0068214933659623</v>
      </c>
      <c r="AW337" s="74">
        <f>PRODUCT(AV$4:AV337)</f>
        <v>9.6856263921116685</v>
      </c>
    </row>
    <row r="338" spans="5:49">
      <c r="E338">
        <f t="shared" si="223"/>
        <v>335</v>
      </c>
      <c r="F338" s="64">
        <f t="shared" si="206"/>
        <v>88.72</v>
      </c>
      <c r="G338" s="55">
        <f t="shared" si="207"/>
        <v>1.9598847320330681E-2</v>
      </c>
      <c r="H338" s="78">
        <f t="shared" si="226"/>
        <v>8.800931833229958E-2</v>
      </c>
      <c r="I338" s="79">
        <f t="shared" ca="1" si="208"/>
        <v>0</v>
      </c>
      <c r="J338" s="79">
        <f t="shared" ca="1" si="209"/>
        <v>0</v>
      </c>
      <c r="K338" s="80">
        <f t="shared" ca="1" si="210"/>
        <v>0</v>
      </c>
      <c r="L338" s="80">
        <f t="shared" ca="1" si="211"/>
        <v>0</v>
      </c>
      <c r="M338" s="80">
        <f t="shared" ca="1" si="212"/>
        <v>0</v>
      </c>
      <c r="N338" s="80">
        <f t="shared" ca="1" si="213"/>
        <v>0</v>
      </c>
      <c r="O338" s="81">
        <f t="shared" ca="1" si="196"/>
        <v>0</v>
      </c>
      <c r="P338" s="79">
        <f t="shared" ca="1" si="197"/>
        <v>0</v>
      </c>
      <c r="Q338" s="35"/>
      <c r="R338">
        <f t="shared" ca="1" si="214"/>
        <v>335</v>
      </c>
      <c r="S338" s="78">
        <f t="shared" ca="1" si="215"/>
        <v>88.72</v>
      </c>
      <c r="T338" s="55">
        <f t="shared" ca="1" si="216"/>
        <v>1.9598847320330681E-2</v>
      </c>
      <c r="U338" s="78">
        <f t="shared" ca="1" si="217"/>
        <v>8.800931833229958E-2</v>
      </c>
      <c r="V338" s="79">
        <f t="shared" ca="1" si="218"/>
        <v>0</v>
      </c>
      <c r="W338" s="79">
        <f t="shared" ca="1" si="198"/>
        <v>0</v>
      </c>
      <c r="X338" s="80">
        <f t="shared" ca="1" si="199"/>
        <v>0</v>
      </c>
      <c r="Y338" s="80">
        <f t="shared" ca="1" si="219"/>
        <v>0</v>
      </c>
      <c r="Z338" s="80">
        <f t="shared" ca="1" si="200"/>
        <v>0</v>
      </c>
      <c r="AA338" s="80">
        <f t="shared" ca="1" si="220"/>
        <v>0</v>
      </c>
      <c r="AB338" s="81">
        <f t="shared" ca="1" si="201"/>
        <v>0</v>
      </c>
      <c r="AC338" s="79">
        <f t="shared" ca="1" si="202"/>
        <v>0</v>
      </c>
      <c r="AD338" s="35"/>
      <c r="AE338" s="62">
        <f t="shared" ca="1" si="203"/>
        <v>0</v>
      </c>
      <c r="AF338" s="62">
        <f t="shared" ca="1" si="204"/>
        <v>0</v>
      </c>
      <c r="AG338" s="35"/>
      <c r="AH338" s="35"/>
      <c r="AR338" s="69">
        <f t="shared" si="221"/>
        <v>28</v>
      </c>
      <c r="AS338" s="70">
        <f t="shared" si="224"/>
        <v>335</v>
      </c>
      <c r="AT338" s="71">
        <f t="shared" si="225"/>
        <v>0.10096007424787005</v>
      </c>
      <c r="AU338" s="72">
        <f t="shared" si="205"/>
        <v>6.8214933659622723E-3</v>
      </c>
      <c r="AV338" s="73">
        <f t="shared" si="222"/>
        <v>1.0068214933659623</v>
      </c>
      <c r="AW338" s="74">
        <f>PRODUCT(AV$4:AV338)</f>
        <v>9.7516968282906475</v>
      </c>
    </row>
    <row r="339" spans="5:49">
      <c r="E339">
        <f t="shared" si="223"/>
        <v>336</v>
      </c>
      <c r="F339" s="64">
        <f t="shared" si="206"/>
        <v>88.8</v>
      </c>
      <c r="G339" s="55">
        <f t="shared" si="207"/>
        <v>1.9598847320330681E-2</v>
      </c>
      <c r="H339" s="78">
        <f t="shared" si="226"/>
        <v>8.6284437139538456E-2</v>
      </c>
      <c r="I339" s="79">
        <f t="shared" ca="1" si="208"/>
        <v>0</v>
      </c>
      <c r="J339" s="79">
        <f t="shared" ca="1" si="209"/>
        <v>0</v>
      </c>
      <c r="K339" s="80">
        <f t="shared" ca="1" si="210"/>
        <v>0</v>
      </c>
      <c r="L339" s="80">
        <f t="shared" ca="1" si="211"/>
        <v>0</v>
      </c>
      <c r="M339" s="80">
        <f t="shared" ca="1" si="212"/>
        <v>0</v>
      </c>
      <c r="N339" s="80">
        <f t="shared" ca="1" si="213"/>
        <v>0</v>
      </c>
      <c r="O339" s="81">
        <f t="shared" ca="1" si="196"/>
        <v>0</v>
      </c>
      <c r="P339" s="79">
        <f t="shared" ca="1" si="197"/>
        <v>0</v>
      </c>
      <c r="Q339" s="35"/>
      <c r="R339">
        <f t="shared" ca="1" si="214"/>
        <v>336</v>
      </c>
      <c r="S339" s="78">
        <f t="shared" ca="1" si="215"/>
        <v>88.8</v>
      </c>
      <c r="T339" s="55">
        <f t="shared" ca="1" si="216"/>
        <v>1.9598847320330681E-2</v>
      </c>
      <c r="U339" s="78">
        <f t="shared" ca="1" si="217"/>
        <v>8.6284437139538456E-2</v>
      </c>
      <c r="V339" s="79">
        <f t="shared" ca="1" si="218"/>
        <v>0</v>
      </c>
      <c r="W339" s="79">
        <f t="shared" ca="1" si="198"/>
        <v>0</v>
      </c>
      <c r="X339" s="80">
        <f t="shared" ca="1" si="199"/>
        <v>0</v>
      </c>
      <c r="Y339" s="80">
        <f t="shared" ca="1" si="219"/>
        <v>0</v>
      </c>
      <c r="Z339" s="80">
        <f t="shared" ca="1" si="200"/>
        <v>0</v>
      </c>
      <c r="AA339" s="80">
        <f t="shared" ca="1" si="220"/>
        <v>0</v>
      </c>
      <c r="AB339" s="81">
        <f t="shared" ca="1" si="201"/>
        <v>0</v>
      </c>
      <c r="AC339" s="79">
        <f t="shared" ca="1" si="202"/>
        <v>0</v>
      </c>
      <c r="AD339" s="35"/>
      <c r="AE339" s="62">
        <f t="shared" ca="1" si="203"/>
        <v>0</v>
      </c>
      <c r="AF339" s="62">
        <f t="shared" ca="1" si="204"/>
        <v>0</v>
      </c>
      <c r="AG339" s="35"/>
      <c r="AH339" s="35"/>
      <c r="AR339" s="69">
        <f t="shared" si="221"/>
        <v>28</v>
      </c>
      <c r="AS339" s="70">
        <f t="shared" si="224"/>
        <v>336</v>
      </c>
      <c r="AT339" s="71">
        <f t="shared" si="225"/>
        <v>0.10027137577116114</v>
      </c>
      <c r="AU339" s="72">
        <f t="shared" si="205"/>
        <v>6.8214933659622723E-3</v>
      </c>
      <c r="AV339" s="73">
        <f t="shared" si="222"/>
        <v>1.0068214933659623</v>
      </c>
      <c r="AW339" s="74">
        <f>PRODUCT(AV$4:AV339)</f>
        <v>9.8182179635117084</v>
      </c>
    </row>
    <row r="340" spans="5:49">
      <c r="E340">
        <f t="shared" si="223"/>
        <v>337</v>
      </c>
      <c r="F340" s="64">
        <f t="shared" si="206"/>
        <v>88.88</v>
      </c>
      <c r="G340" s="55">
        <f t="shared" si="207"/>
        <v>1.9598847320330681E-2</v>
      </c>
      <c r="H340" s="78">
        <f t="shared" si="226"/>
        <v>8.4593361629919969E-2</v>
      </c>
      <c r="I340" s="79">
        <f t="shared" ca="1" si="208"/>
        <v>0</v>
      </c>
      <c r="J340" s="79">
        <f t="shared" ca="1" si="209"/>
        <v>0</v>
      </c>
      <c r="K340" s="80">
        <f t="shared" ca="1" si="210"/>
        <v>0</v>
      </c>
      <c r="L340" s="80">
        <f t="shared" ca="1" si="211"/>
        <v>0</v>
      </c>
      <c r="M340" s="80">
        <f t="shared" ca="1" si="212"/>
        <v>0</v>
      </c>
      <c r="N340" s="80">
        <f t="shared" ca="1" si="213"/>
        <v>0</v>
      </c>
      <c r="O340" s="81">
        <f t="shared" ca="1" si="196"/>
        <v>0</v>
      </c>
      <c r="P340" s="79">
        <f t="shared" ca="1" si="197"/>
        <v>0</v>
      </c>
      <c r="Q340" s="35"/>
      <c r="R340">
        <f t="shared" ca="1" si="214"/>
        <v>337</v>
      </c>
      <c r="S340" s="78">
        <f t="shared" ca="1" si="215"/>
        <v>88.88</v>
      </c>
      <c r="T340" s="55">
        <f t="shared" ca="1" si="216"/>
        <v>1.9598847320330681E-2</v>
      </c>
      <c r="U340" s="78">
        <f t="shared" ca="1" si="217"/>
        <v>8.4593361629919969E-2</v>
      </c>
      <c r="V340" s="79">
        <f t="shared" ca="1" si="218"/>
        <v>0</v>
      </c>
      <c r="W340" s="79">
        <f t="shared" ca="1" si="198"/>
        <v>0</v>
      </c>
      <c r="X340" s="80">
        <f t="shared" ca="1" si="199"/>
        <v>0</v>
      </c>
      <c r="Y340" s="80">
        <f t="shared" ca="1" si="219"/>
        <v>0</v>
      </c>
      <c r="Z340" s="80">
        <f t="shared" ca="1" si="200"/>
        <v>0</v>
      </c>
      <c r="AA340" s="80">
        <f t="shared" ca="1" si="220"/>
        <v>0</v>
      </c>
      <c r="AB340" s="81">
        <f t="shared" ca="1" si="201"/>
        <v>0</v>
      </c>
      <c r="AC340" s="79">
        <f t="shared" ca="1" si="202"/>
        <v>0</v>
      </c>
      <c r="AD340" s="35"/>
      <c r="AE340" s="62">
        <f t="shared" ca="1" si="203"/>
        <v>0</v>
      </c>
      <c r="AF340" s="62">
        <f t="shared" ca="1" si="204"/>
        <v>0</v>
      </c>
      <c r="AG340" s="35"/>
      <c r="AH340" s="35"/>
      <c r="AR340" s="69">
        <f t="shared" si="221"/>
        <v>29</v>
      </c>
      <c r="AS340" s="70">
        <f t="shared" si="224"/>
        <v>337</v>
      </c>
      <c r="AT340" s="71">
        <f t="shared" si="225"/>
        <v>9.9587375246542265E-2</v>
      </c>
      <c r="AU340" s="72">
        <f t="shared" si="205"/>
        <v>6.8214933659622723E-3</v>
      </c>
      <c r="AV340" s="73">
        <f t="shared" si="222"/>
        <v>1.0068214933659623</v>
      </c>
      <c r="AW340" s="74">
        <f>PRODUCT(AV$4:AV340)</f>
        <v>9.8851928722153755</v>
      </c>
    </row>
    <row r="341" spans="5:49">
      <c r="E341">
        <f t="shared" si="223"/>
        <v>338</v>
      </c>
      <c r="F341" s="64">
        <f t="shared" si="206"/>
        <v>88.96</v>
      </c>
      <c r="G341" s="55">
        <f t="shared" si="207"/>
        <v>1.9598847320330681E-2</v>
      </c>
      <c r="H341" s="78">
        <f t="shared" si="226"/>
        <v>8.2935429251021653E-2</v>
      </c>
      <c r="I341" s="79">
        <f t="shared" ca="1" si="208"/>
        <v>0</v>
      </c>
      <c r="J341" s="79">
        <f t="shared" ca="1" si="209"/>
        <v>0</v>
      </c>
      <c r="K341" s="80">
        <f t="shared" ca="1" si="210"/>
        <v>0</v>
      </c>
      <c r="L341" s="80">
        <f t="shared" ca="1" si="211"/>
        <v>0</v>
      </c>
      <c r="M341" s="80">
        <f t="shared" ca="1" si="212"/>
        <v>0</v>
      </c>
      <c r="N341" s="80">
        <f t="shared" ca="1" si="213"/>
        <v>0</v>
      </c>
      <c r="O341" s="81">
        <f t="shared" ca="1" si="196"/>
        <v>0</v>
      </c>
      <c r="P341" s="79">
        <f t="shared" ca="1" si="197"/>
        <v>0</v>
      </c>
      <c r="Q341" s="35"/>
      <c r="R341">
        <f t="shared" ca="1" si="214"/>
        <v>338</v>
      </c>
      <c r="S341" s="78">
        <f t="shared" ca="1" si="215"/>
        <v>88.96</v>
      </c>
      <c r="T341" s="55">
        <f t="shared" ca="1" si="216"/>
        <v>1.9598847320330681E-2</v>
      </c>
      <c r="U341" s="78">
        <f t="shared" ca="1" si="217"/>
        <v>8.2935429251021653E-2</v>
      </c>
      <c r="V341" s="79">
        <f t="shared" ca="1" si="218"/>
        <v>0</v>
      </c>
      <c r="W341" s="79">
        <f t="shared" ca="1" si="198"/>
        <v>0</v>
      </c>
      <c r="X341" s="80">
        <f t="shared" ca="1" si="199"/>
        <v>0</v>
      </c>
      <c r="Y341" s="80">
        <f t="shared" ca="1" si="219"/>
        <v>0</v>
      </c>
      <c r="Z341" s="80">
        <f t="shared" ca="1" si="200"/>
        <v>0</v>
      </c>
      <c r="AA341" s="80">
        <f t="shared" ca="1" si="220"/>
        <v>0</v>
      </c>
      <c r="AB341" s="81">
        <f t="shared" ca="1" si="201"/>
        <v>0</v>
      </c>
      <c r="AC341" s="79">
        <f t="shared" ca="1" si="202"/>
        <v>0</v>
      </c>
      <c r="AD341" s="35"/>
      <c r="AE341" s="62">
        <f t="shared" ca="1" si="203"/>
        <v>0</v>
      </c>
      <c r="AF341" s="62">
        <f t="shared" ca="1" si="204"/>
        <v>0</v>
      </c>
      <c r="AG341" s="35"/>
      <c r="AH341" s="35"/>
      <c r="AR341" s="69">
        <f t="shared" si="221"/>
        <v>29</v>
      </c>
      <c r="AS341" s="70">
        <f t="shared" si="224"/>
        <v>338</v>
      </c>
      <c r="AT341" s="71">
        <f t="shared" si="225"/>
        <v>9.8908040626964386E-2</v>
      </c>
      <c r="AU341" s="72">
        <f t="shared" si="205"/>
        <v>6.8214933659622723E-3</v>
      </c>
      <c r="AV341" s="73">
        <f t="shared" si="222"/>
        <v>1.0068214933659623</v>
      </c>
      <c r="AW341" s="74">
        <f>PRODUCT(AV$4:AV341)</f>
        <v>9.9526246498144495</v>
      </c>
    </row>
    <row r="342" spans="5:49">
      <c r="E342">
        <f t="shared" si="223"/>
        <v>339</v>
      </c>
      <c r="F342" s="64">
        <f t="shared" si="206"/>
        <v>89.04</v>
      </c>
      <c r="G342" s="55">
        <f t="shared" si="207"/>
        <v>1.9598847320330681E-2</v>
      </c>
      <c r="H342" s="78">
        <f t="shared" si="226"/>
        <v>8.1309990435684792E-2</v>
      </c>
      <c r="I342" s="79">
        <f t="shared" ca="1" si="208"/>
        <v>0</v>
      </c>
      <c r="J342" s="79">
        <f t="shared" ca="1" si="209"/>
        <v>0</v>
      </c>
      <c r="K342" s="80">
        <f t="shared" ca="1" si="210"/>
        <v>0</v>
      </c>
      <c r="L342" s="80">
        <f t="shared" ca="1" si="211"/>
        <v>0</v>
      </c>
      <c r="M342" s="80">
        <f t="shared" ca="1" si="212"/>
        <v>0</v>
      </c>
      <c r="N342" s="80">
        <f t="shared" ca="1" si="213"/>
        <v>0</v>
      </c>
      <c r="O342" s="81">
        <f t="shared" ca="1" si="196"/>
        <v>0</v>
      </c>
      <c r="P342" s="79">
        <f t="shared" ca="1" si="197"/>
        <v>0</v>
      </c>
      <c r="Q342" s="35"/>
      <c r="R342">
        <f t="shared" ca="1" si="214"/>
        <v>339</v>
      </c>
      <c r="S342" s="78">
        <f t="shared" ca="1" si="215"/>
        <v>89.04</v>
      </c>
      <c r="T342" s="55">
        <f t="shared" ca="1" si="216"/>
        <v>1.9598847320330681E-2</v>
      </c>
      <c r="U342" s="78">
        <f t="shared" ca="1" si="217"/>
        <v>8.1309990435684792E-2</v>
      </c>
      <c r="V342" s="79">
        <f t="shared" ca="1" si="218"/>
        <v>0</v>
      </c>
      <c r="W342" s="79">
        <f t="shared" ca="1" si="198"/>
        <v>0</v>
      </c>
      <c r="X342" s="80">
        <f t="shared" ca="1" si="199"/>
        <v>0</v>
      </c>
      <c r="Y342" s="80">
        <f t="shared" ca="1" si="219"/>
        <v>0</v>
      </c>
      <c r="Z342" s="80">
        <f t="shared" ca="1" si="200"/>
        <v>0</v>
      </c>
      <c r="AA342" s="80">
        <f t="shared" ca="1" si="220"/>
        <v>0</v>
      </c>
      <c r="AB342" s="81">
        <f t="shared" ca="1" si="201"/>
        <v>0</v>
      </c>
      <c r="AC342" s="79">
        <f t="shared" ca="1" si="202"/>
        <v>0</v>
      </c>
      <c r="AD342" s="35"/>
      <c r="AE342" s="62">
        <f t="shared" ca="1" si="203"/>
        <v>0</v>
      </c>
      <c r="AF342" s="62">
        <f t="shared" ca="1" si="204"/>
        <v>0</v>
      </c>
      <c r="AG342" s="35"/>
      <c r="AH342" s="35"/>
      <c r="AR342" s="69">
        <f t="shared" si="221"/>
        <v>29</v>
      </c>
      <c r="AS342" s="70">
        <f t="shared" si="224"/>
        <v>339</v>
      </c>
      <c r="AT342" s="71">
        <f t="shared" si="225"/>
        <v>9.8233340083987222E-2</v>
      </c>
      <c r="AU342" s="72">
        <f t="shared" si="205"/>
        <v>6.8214933659622723E-3</v>
      </c>
      <c r="AV342" s="73">
        <f t="shared" si="222"/>
        <v>1.0068214933659623</v>
      </c>
      <c r="AW342" s="74">
        <f>PRODUCT(AV$4:AV342)</f>
        <v>10.020516412837072</v>
      </c>
    </row>
    <row r="343" spans="5:49">
      <c r="E343">
        <f t="shared" si="223"/>
        <v>340</v>
      </c>
      <c r="F343" s="64">
        <f t="shared" si="206"/>
        <v>89.12</v>
      </c>
      <c r="G343" s="55">
        <f t="shared" si="207"/>
        <v>1.9598847320330681E-2</v>
      </c>
      <c r="H343" s="78">
        <f t="shared" si="226"/>
        <v>7.9716408347518253E-2</v>
      </c>
      <c r="I343" s="79">
        <f t="shared" ca="1" si="208"/>
        <v>0</v>
      </c>
      <c r="J343" s="79">
        <f t="shared" ca="1" si="209"/>
        <v>0</v>
      </c>
      <c r="K343" s="80">
        <f t="shared" ca="1" si="210"/>
        <v>0</v>
      </c>
      <c r="L343" s="80">
        <f t="shared" ca="1" si="211"/>
        <v>0</v>
      </c>
      <c r="M343" s="80">
        <f t="shared" ca="1" si="212"/>
        <v>0</v>
      </c>
      <c r="N343" s="80">
        <f t="shared" ca="1" si="213"/>
        <v>0</v>
      </c>
      <c r="O343" s="81">
        <f t="shared" ca="1" si="196"/>
        <v>0</v>
      </c>
      <c r="P343" s="79">
        <f t="shared" ca="1" si="197"/>
        <v>0</v>
      </c>
      <c r="Q343" s="35"/>
      <c r="R343">
        <f t="shared" ca="1" si="214"/>
        <v>340</v>
      </c>
      <c r="S343" s="78">
        <f t="shared" ca="1" si="215"/>
        <v>89.12</v>
      </c>
      <c r="T343" s="55">
        <f t="shared" ca="1" si="216"/>
        <v>1.9598847320330681E-2</v>
      </c>
      <c r="U343" s="78">
        <f t="shared" ca="1" si="217"/>
        <v>7.9716408347518253E-2</v>
      </c>
      <c r="V343" s="79">
        <f t="shared" ca="1" si="218"/>
        <v>0</v>
      </c>
      <c r="W343" s="79">
        <f t="shared" ca="1" si="198"/>
        <v>0</v>
      </c>
      <c r="X343" s="80">
        <f t="shared" ca="1" si="199"/>
        <v>0</v>
      </c>
      <c r="Y343" s="80">
        <f t="shared" ca="1" si="219"/>
        <v>0</v>
      </c>
      <c r="Z343" s="80">
        <f t="shared" ca="1" si="200"/>
        <v>0</v>
      </c>
      <c r="AA343" s="80">
        <f t="shared" ca="1" si="220"/>
        <v>0</v>
      </c>
      <c r="AB343" s="81">
        <f t="shared" ca="1" si="201"/>
        <v>0</v>
      </c>
      <c r="AC343" s="79">
        <f t="shared" ca="1" si="202"/>
        <v>0</v>
      </c>
      <c r="AD343" s="35"/>
      <c r="AE343" s="62">
        <f t="shared" ca="1" si="203"/>
        <v>0</v>
      </c>
      <c r="AF343" s="62">
        <f t="shared" ca="1" si="204"/>
        <v>0</v>
      </c>
      <c r="AG343" s="35"/>
      <c r="AH343" s="35"/>
      <c r="AR343" s="69">
        <f t="shared" si="221"/>
        <v>29</v>
      </c>
      <c r="AS343" s="70">
        <f t="shared" si="224"/>
        <v>340</v>
      </c>
      <c r="AT343" s="71">
        <f t="shared" si="225"/>
        <v>9.7563242006287992E-2</v>
      </c>
      <c r="AU343" s="72">
        <f t="shared" si="205"/>
        <v>6.8214933659622723E-3</v>
      </c>
      <c r="AV343" s="73">
        <f t="shared" si="222"/>
        <v>1.0068214933659623</v>
      </c>
      <c r="AW343" s="74">
        <f>PRODUCT(AV$4:AV343)</f>
        <v>10.088871299070757</v>
      </c>
    </row>
    <row r="344" spans="5:49">
      <c r="E344">
        <f t="shared" si="223"/>
        <v>341</v>
      </c>
      <c r="F344" s="64">
        <f t="shared" si="206"/>
        <v>89.2</v>
      </c>
      <c r="G344" s="55">
        <f t="shared" si="207"/>
        <v>1.9598847320330681E-2</v>
      </c>
      <c r="H344" s="78">
        <f t="shared" si="226"/>
        <v>7.8154058631390105E-2</v>
      </c>
      <c r="I344" s="79">
        <f t="shared" ca="1" si="208"/>
        <v>0</v>
      </c>
      <c r="J344" s="79">
        <f t="shared" ca="1" si="209"/>
        <v>0</v>
      </c>
      <c r="K344" s="80">
        <f t="shared" ca="1" si="210"/>
        <v>0</v>
      </c>
      <c r="L344" s="80">
        <f t="shared" ca="1" si="211"/>
        <v>0</v>
      </c>
      <c r="M344" s="80">
        <f t="shared" ca="1" si="212"/>
        <v>0</v>
      </c>
      <c r="N344" s="80">
        <f t="shared" ca="1" si="213"/>
        <v>0</v>
      </c>
      <c r="O344" s="81">
        <f t="shared" ca="1" si="196"/>
        <v>0</v>
      </c>
      <c r="P344" s="79">
        <f t="shared" ca="1" si="197"/>
        <v>0</v>
      </c>
      <c r="Q344" s="35"/>
      <c r="R344">
        <f t="shared" ca="1" si="214"/>
        <v>341</v>
      </c>
      <c r="S344" s="78">
        <f t="shared" ca="1" si="215"/>
        <v>89.2</v>
      </c>
      <c r="T344" s="55">
        <f t="shared" ca="1" si="216"/>
        <v>1.9598847320330681E-2</v>
      </c>
      <c r="U344" s="78">
        <f t="shared" ca="1" si="217"/>
        <v>7.8154058631390105E-2</v>
      </c>
      <c r="V344" s="79">
        <f t="shared" ca="1" si="218"/>
        <v>0</v>
      </c>
      <c r="W344" s="79">
        <f t="shared" ca="1" si="198"/>
        <v>0</v>
      </c>
      <c r="X344" s="80">
        <f t="shared" ca="1" si="199"/>
        <v>0</v>
      </c>
      <c r="Y344" s="80">
        <f t="shared" ca="1" si="219"/>
        <v>0</v>
      </c>
      <c r="Z344" s="80">
        <f t="shared" ca="1" si="200"/>
        <v>0</v>
      </c>
      <c r="AA344" s="80">
        <f t="shared" ca="1" si="220"/>
        <v>0</v>
      </c>
      <c r="AB344" s="81">
        <f t="shared" ca="1" si="201"/>
        <v>0</v>
      </c>
      <c r="AC344" s="79">
        <f t="shared" ca="1" si="202"/>
        <v>0</v>
      </c>
      <c r="AD344" s="35"/>
      <c r="AE344" s="62">
        <f t="shared" ca="1" si="203"/>
        <v>0</v>
      </c>
      <c r="AF344" s="62">
        <f t="shared" ca="1" si="204"/>
        <v>0</v>
      </c>
      <c r="AG344" s="35"/>
      <c r="AH344" s="35"/>
      <c r="AR344" s="69">
        <f t="shared" si="221"/>
        <v>29</v>
      </c>
      <c r="AS344" s="70">
        <f t="shared" si="224"/>
        <v>341</v>
      </c>
      <c r="AT344" s="71">
        <f t="shared" si="225"/>
        <v>9.6897714998180326E-2</v>
      </c>
      <c r="AU344" s="72">
        <f t="shared" si="205"/>
        <v>6.8214933659622723E-3</v>
      </c>
      <c r="AV344" s="73">
        <f t="shared" si="222"/>
        <v>1.0068214933659623</v>
      </c>
      <c r="AW344" s="74">
        <f>PRODUCT(AV$4:AV344)</f>
        <v>10.157692467707415</v>
      </c>
    </row>
    <row r="345" spans="5:49">
      <c r="E345">
        <f t="shared" si="223"/>
        <v>342</v>
      </c>
      <c r="F345" s="64">
        <f t="shared" si="206"/>
        <v>89.28</v>
      </c>
      <c r="G345" s="55">
        <f t="shared" si="207"/>
        <v>1.9598847320330681E-2</v>
      </c>
      <c r="H345" s="78">
        <f t="shared" si="226"/>
        <v>7.6622329168809317E-2</v>
      </c>
      <c r="I345" s="79">
        <f t="shared" ca="1" si="208"/>
        <v>0</v>
      </c>
      <c r="J345" s="79">
        <f t="shared" ca="1" si="209"/>
        <v>0</v>
      </c>
      <c r="K345" s="80">
        <f t="shared" ca="1" si="210"/>
        <v>0</v>
      </c>
      <c r="L345" s="80">
        <f t="shared" ca="1" si="211"/>
        <v>0</v>
      </c>
      <c r="M345" s="80">
        <f t="shared" ca="1" si="212"/>
        <v>0</v>
      </c>
      <c r="N345" s="80">
        <f t="shared" ca="1" si="213"/>
        <v>0</v>
      </c>
      <c r="O345" s="81">
        <f t="shared" ca="1" si="196"/>
        <v>0</v>
      </c>
      <c r="P345" s="79">
        <f t="shared" ca="1" si="197"/>
        <v>0</v>
      </c>
      <c r="Q345" s="35"/>
      <c r="R345">
        <f t="shared" ca="1" si="214"/>
        <v>342</v>
      </c>
      <c r="S345" s="78">
        <f t="shared" ca="1" si="215"/>
        <v>89.28</v>
      </c>
      <c r="T345" s="55">
        <f t="shared" ca="1" si="216"/>
        <v>1.9598847320330681E-2</v>
      </c>
      <c r="U345" s="78">
        <f t="shared" ca="1" si="217"/>
        <v>7.6622329168809317E-2</v>
      </c>
      <c r="V345" s="79">
        <f t="shared" ca="1" si="218"/>
        <v>0</v>
      </c>
      <c r="W345" s="79">
        <f t="shared" ca="1" si="198"/>
        <v>0</v>
      </c>
      <c r="X345" s="80">
        <f t="shared" ca="1" si="199"/>
        <v>0</v>
      </c>
      <c r="Y345" s="80">
        <f t="shared" ca="1" si="219"/>
        <v>0</v>
      </c>
      <c r="Z345" s="80">
        <f t="shared" ca="1" si="200"/>
        <v>0</v>
      </c>
      <c r="AA345" s="80">
        <f t="shared" ca="1" si="220"/>
        <v>0</v>
      </c>
      <c r="AB345" s="81">
        <f t="shared" ca="1" si="201"/>
        <v>0</v>
      </c>
      <c r="AC345" s="79">
        <f t="shared" ca="1" si="202"/>
        <v>0</v>
      </c>
      <c r="AD345" s="35"/>
      <c r="AE345" s="62">
        <f t="shared" ca="1" si="203"/>
        <v>0</v>
      </c>
      <c r="AF345" s="62">
        <f t="shared" ca="1" si="204"/>
        <v>0</v>
      </c>
      <c r="AG345" s="35"/>
      <c r="AH345" s="35"/>
      <c r="AR345" s="69">
        <f t="shared" si="221"/>
        <v>29</v>
      </c>
      <c r="AS345" s="70">
        <f t="shared" si="224"/>
        <v>342</v>
      </c>
      <c r="AT345" s="71">
        <f t="shared" si="225"/>
        <v>9.623672787814333E-2</v>
      </c>
      <c r="AU345" s="72">
        <f t="shared" si="205"/>
        <v>6.8214933659622723E-3</v>
      </c>
      <c r="AV345" s="73">
        <f t="shared" si="222"/>
        <v>1.0068214933659623</v>
      </c>
      <c r="AW345" s="74">
        <f>PRODUCT(AV$4:AV345)</f>
        <v>10.226983099489367</v>
      </c>
    </row>
    <row r="346" spans="5:49">
      <c r="E346">
        <f t="shared" si="223"/>
        <v>343</v>
      </c>
      <c r="F346" s="64">
        <f t="shared" si="206"/>
        <v>89.36</v>
      </c>
      <c r="G346" s="55">
        <f t="shared" si="207"/>
        <v>1.9598847320330681E-2</v>
      </c>
      <c r="H346" s="78">
        <f t="shared" si="226"/>
        <v>7.5120619838101699E-2</v>
      </c>
      <c r="I346" s="79">
        <f t="shared" ca="1" si="208"/>
        <v>0</v>
      </c>
      <c r="J346" s="79">
        <f t="shared" ca="1" si="209"/>
        <v>0</v>
      </c>
      <c r="K346" s="80">
        <f t="shared" ca="1" si="210"/>
        <v>0</v>
      </c>
      <c r="L346" s="80">
        <f t="shared" ca="1" si="211"/>
        <v>0</v>
      </c>
      <c r="M346" s="80">
        <f t="shared" ca="1" si="212"/>
        <v>0</v>
      </c>
      <c r="N346" s="80">
        <f t="shared" ca="1" si="213"/>
        <v>0</v>
      </c>
      <c r="O346" s="81">
        <f t="shared" ca="1" si="196"/>
        <v>0</v>
      </c>
      <c r="P346" s="79">
        <f t="shared" ca="1" si="197"/>
        <v>0</v>
      </c>
      <c r="Q346" s="35"/>
      <c r="R346">
        <f t="shared" ca="1" si="214"/>
        <v>343</v>
      </c>
      <c r="S346" s="78">
        <f t="shared" ca="1" si="215"/>
        <v>89.36</v>
      </c>
      <c r="T346" s="55">
        <f t="shared" ca="1" si="216"/>
        <v>1.9598847320330681E-2</v>
      </c>
      <c r="U346" s="78">
        <f t="shared" ca="1" si="217"/>
        <v>7.5120619838101699E-2</v>
      </c>
      <c r="V346" s="79">
        <f t="shared" ca="1" si="218"/>
        <v>0</v>
      </c>
      <c r="W346" s="79">
        <f t="shared" ca="1" si="198"/>
        <v>0</v>
      </c>
      <c r="X346" s="80">
        <f t="shared" ca="1" si="199"/>
        <v>0</v>
      </c>
      <c r="Y346" s="80">
        <f t="shared" ca="1" si="219"/>
        <v>0</v>
      </c>
      <c r="Z346" s="80">
        <f t="shared" ca="1" si="200"/>
        <v>0</v>
      </c>
      <c r="AA346" s="80">
        <f t="shared" ca="1" si="220"/>
        <v>0</v>
      </c>
      <c r="AB346" s="81">
        <f t="shared" ca="1" si="201"/>
        <v>0</v>
      </c>
      <c r="AC346" s="79">
        <f t="shared" ca="1" si="202"/>
        <v>0</v>
      </c>
      <c r="AD346" s="35"/>
      <c r="AE346" s="62">
        <f t="shared" ca="1" si="203"/>
        <v>0</v>
      </c>
      <c r="AF346" s="62">
        <f t="shared" ca="1" si="204"/>
        <v>0</v>
      </c>
      <c r="AG346" s="35"/>
      <c r="AH346" s="35"/>
      <c r="AR346" s="69">
        <f t="shared" si="221"/>
        <v>29</v>
      </c>
      <c r="AS346" s="70">
        <f t="shared" si="224"/>
        <v>343</v>
      </c>
      <c r="AT346" s="71">
        <f t="shared" si="225"/>
        <v>9.558024967736066E-2</v>
      </c>
      <c r="AU346" s="72">
        <f t="shared" si="205"/>
        <v>6.8214933659622723E-3</v>
      </c>
      <c r="AV346" s="73">
        <f t="shared" si="222"/>
        <v>1.0068214933659623</v>
      </c>
      <c r="AW346" s="74">
        <f>PRODUCT(AV$4:AV346)</f>
        <v>10.296746396856342</v>
      </c>
    </row>
    <row r="347" spans="5:49">
      <c r="E347">
        <f t="shared" si="223"/>
        <v>344</v>
      </c>
      <c r="F347" s="64">
        <f t="shared" si="206"/>
        <v>89.44</v>
      </c>
      <c r="G347" s="55">
        <f t="shared" si="207"/>
        <v>1.9598847320330681E-2</v>
      </c>
      <c r="H347" s="78">
        <f t="shared" si="226"/>
        <v>7.3648342279286141E-2</v>
      </c>
      <c r="I347" s="79">
        <f t="shared" ca="1" si="208"/>
        <v>0</v>
      </c>
      <c r="J347" s="79">
        <f t="shared" ca="1" si="209"/>
        <v>0</v>
      </c>
      <c r="K347" s="80">
        <f t="shared" ca="1" si="210"/>
        <v>0</v>
      </c>
      <c r="L347" s="80">
        <f t="shared" ca="1" si="211"/>
        <v>0</v>
      </c>
      <c r="M347" s="80">
        <f t="shared" ca="1" si="212"/>
        <v>0</v>
      </c>
      <c r="N347" s="80">
        <f t="shared" ca="1" si="213"/>
        <v>0</v>
      </c>
      <c r="O347" s="81">
        <f t="shared" ca="1" si="196"/>
        <v>0</v>
      </c>
      <c r="P347" s="79">
        <f t="shared" ca="1" si="197"/>
        <v>0</v>
      </c>
      <c r="Q347" s="35"/>
      <c r="R347">
        <f t="shared" ca="1" si="214"/>
        <v>344</v>
      </c>
      <c r="S347" s="78">
        <f t="shared" ca="1" si="215"/>
        <v>89.44</v>
      </c>
      <c r="T347" s="55">
        <f t="shared" ca="1" si="216"/>
        <v>1.9598847320330681E-2</v>
      </c>
      <c r="U347" s="78">
        <f t="shared" ca="1" si="217"/>
        <v>7.3648342279286141E-2</v>
      </c>
      <c r="V347" s="79">
        <f t="shared" ca="1" si="218"/>
        <v>0</v>
      </c>
      <c r="W347" s="79">
        <f t="shared" ca="1" si="198"/>
        <v>0</v>
      </c>
      <c r="X347" s="80">
        <f t="shared" ca="1" si="199"/>
        <v>0</v>
      </c>
      <c r="Y347" s="80">
        <f t="shared" ca="1" si="219"/>
        <v>0</v>
      </c>
      <c r="Z347" s="80">
        <f t="shared" ca="1" si="200"/>
        <v>0</v>
      </c>
      <c r="AA347" s="80">
        <f t="shared" ca="1" si="220"/>
        <v>0</v>
      </c>
      <c r="AB347" s="81">
        <f t="shared" ca="1" si="201"/>
        <v>0</v>
      </c>
      <c r="AC347" s="79">
        <f t="shared" ca="1" si="202"/>
        <v>0</v>
      </c>
      <c r="AD347" s="35"/>
      <c r="AE347" s="62">
        <f t="shared" ca="1" si="203"/>
        <v>0</v>
      </c>
      <c r="AF347" s="62">
        <f t="shared" ca="1" si="204"/>
        <v>0</v>
      </c>
      <c r="AG347" s="35"/>
      <c r="AH347" s="35"/>
      <c r="AR347" s="69">
        <f t="shared" si="221"/>
        <v>29</v>
      </c>
      <c r="AS347" s="70">
        <f t="shared" si="224"/>
        <v>344</v>
      </c>
      <c r="AT347" s="71">
        <f t="shared" si="225"/>
        <v>9.4928249638269527E-2</v>
      </c>
      <c r="AU347" s="72">
        <f t="shared" si="205"/>
        <v>6.8214933659622723E-3</v>
      </c>
      <c r="AV347" s="73">
        <f t="shared" si="222"/>
        <v>1.0068214933659623</v>
      </c>
      <c r="AW347" s="74">
        <f>PRODUCT(AV$4:AV347)</f>
        <v>10.366985584093493</v>
      </c>
    </row>
    <row r="348" spans="5:49">
      <c r="E348">
        <f t="shared" si="223"/>
        <v>345</v>
      </c>
      <c r="F348" s="64">
        <f t="shared" si="206"/>
        <v>89.52</v>
      </c>
      <c r="G348" s="55">
        <f t="shared" si="207"/>
        <v>2.1466801853951778E-2</v>
      </c>
      <c r="H348" s="78">
        <f t="shared" si="226"/>
        <v>7.2067347908704685E-2</v>
      </c>
      <c r="I348" s="79">
        <f t="shared" ca="1" si="208"/>
        <v>0</v>
      </c>
      <c r="J348" s="79">
        <f t="shared" ca="1" si="209"/>
        <v>0</v>
      </c>
      <c r="K348" s="80">
        <f t="shared" ca="1" si="210"/>
        <v>0</v>
      </c>
      <c r="L348" s="80">
        <f t="shared" ca="1" si="211"/>
        <v>0</v>
      </c>
      <c r="M348" s="80">
        <f t="shared" ca="1" si="212"/>
        <v>0</v>
      </c>
      <c r="N348" s="80">
        <f t="shared" ca="1" si="213"/>
        <v>0</v>
      </c>
      <c r="O348" s="81">
        <f t="shared" ca="1" si="196"/>
        <v>0</v>
      </c>
      <c r="P348" s="79">
        <f t="shared" ca="1" si="197"/>
        <v>0</v>
      </c>
      <c r="Q348" s="35"/>
      <c r="R348">
        <f t="shared" ca="1" si="214"/>
        <v>345</v>
      </c>
      <c r="S348" s="78">
        <f t="shared" ca="1" si="215"/>
        <v>89.52</v>
      </c>
      <c r="T348" s="55">
        <f t="shared" ca="1" si="216"/>
        <v>2.1466801853951778E-2</v>
      </c>
      <c r="U348" s="78">
        <f t="shared" ca="1" si="217"/>
        <v>7.2067347908704685E-2</v>
      </c>
      <c r="V348" s="79">
        <f t="shared" ca="1" si="218"/>
        <v>0</v>
      </c>
      <c r="W348" s="79">
        <f t="shared" ca="1" si="198"/>
        <v>0</v>
      </c>
      <c r="X348" s="80">
        <f t="shared" ca="1" si="199"/>
        <v>0</v>
      </c>
      <c r="Y348" s="80">
        <f t="shared" ca="1" si="219"/>
        <v>0</v>
      </c>
      <c r="Z348" s="80">
        <f t="shared" ca="1" si="200"/>
        <v>0</v>
      </c>
      <c r="AA348" s="80">
        <f t="shared" ca="1" si="220"/>
        <v>0</v>
      </c>
      <c r="AB348" s="81">
        <f t="shared" ca="1" si="201"/>
        <v>0</v>
      </c>
      <c r="AC348" s="79">
        <f t="shared" ca="1" si="202"/>
        <v>0</v>
      </c>
      <c r="AD348" s="35"/>
      <c r="AE348" s="62">
        <f t="shared" ca="1" si="203"/>
        <v>0</v>
      </c>
      <c r="AF348" s="62">
        <f t="shared" ca="1" si="204"/>
        <v>0</v>
      </c>
      <c r="AG348" s="35"/>
      <c r="AH348" s="35"/>
      <c r="AR348" s="69">
        <f t="shared" si="221"/>
        <v>29</v>
      </c>
      <c r="AS348" s="70">
        <f t="shared" si="224"/>
        <v>345</v>
      </c>
      <c r="AT348" s="71">
        <f t="shared" si="225"/>
        <v>9.4280697213119657E-2</v>
      </c>
      <c r="AU348" s="72">
        <f t="shared" si="205"/>
        <v>6.8214933659622723E-3</v>
      </c>
      <c r="AV348" s="73">
        <f t="shared" si="222"/>
        <v>1.0068214933659623</v>
      </c>
      <c r="AW348" s="74">
        <f>PRODUCT(AV$4:AV348)</f>
        <v>10.437703907480413</v>
      </c>
    </row>
    <row r="349" spans="5:49">
      <c r="E349">
        <f t="shared" si="223"/>
        <v>346</v>
      </c>
      <c r="F349" s="64">
        <f t="shared" si="206"/>
        <v>89.6</v>
      </c>
      <c r="G349" s="55">
        <f t="shared" si="207"/>
        <v>2.1466801853951778E-2</v>
      </c>
      <c r="H349" s="78">
        <f t="shared" si="226"/>
        <v>7.0520292431008713E-2</v>
      </c>
      <c r="I349" s="79">
        <f t="shared" ca="1" si="208"/>
        <v>0</v>
      </c>
      <c r="J349" s="79">
        <f t="shared" ca="1" si="209"/>
        <v>0</v>
      </c>
      <c r="K349" s="80">
        <f t="shared" ca="1" si="210"/>
        <v>0</v>
      </c>
      <c r="L349" s="80">
        <f t="shared" ca="1" si="211"/>
        <v>0</v>
      </c>
      <c r="M349" s="80">
        <f t="shared" ca="1" si="212"/>
        <v>0</v>
      </c>
      <c r="N349" s="80">
        <f t="shared" ca="1" si="213"/>
        <v>0</v>
      </c>
      <c r="O349" s="81">
        <f t="shared" ca="1" si="196"/>
        <v>0</v>
      </c>
      <c r="P349" s="79">
        <f t="shared" ca="1" si="197"/>
        <v>0</v>
      </c>
      <c r="Q349" s="35"/>
      <c r="R349">
        <f t="shared" ca="1" si="214"/>
        <v>346</v>
      </c>
      <c r="S349" s="78">
        <f t="shared" ca="1" si="215"/>
        <v>89.6</v>
      </c>
      <c r="T349" s="55">
        <f t="shared" ca="1" si="216"/>
        <v>2.1466801853951778E-2</v>
      </c>
      <c r="U349" s="78">
        <f t="shared" ca="1" si="217"/>
        <v>7.0520292431008713E-2</v>
      </c>
      <c r="V349" s="79">
        <f t="shared" ca="1" si="218"/>
        <v>0</v>
      </c>
      <c r="W349" s="79">
        <f t="shared" ca="1" si="198"/>
        <v>0</v>
      </c>
      <c r="X349" s="80">
        <f t="shared" ca="1" si="199"/>
        <v>0</v>
      </c>
      <c r="Y349" s="80">
        <f t="shared" ca="1" si="219"/>
        <v>0</v>
      </c>
      <c r="Z349" s="80">
        <f t="shared" ca="1" si="200"/>
        <v>0</v>
      </c>
      <c r="AA349" s="80">
        <f t="shared" ca="1" si="220"/>
        <v>0</v>
      </c>
      <c r="AB349" s="81">
        <f t="shared" ca="1" si="201"/>
        <v>0</v>
      </c>
      <c r="AC349" s="79">
        <f t="shared" ca="1" si="202"/>
        <v>0</v>
      </c>
      <c r="AD349" s="35"/>
      <c r="AE349" s="62">
        <f t="shared" ca="1" si="203"/>
        <v>0</v>
      </c>
      <c r="AF349" s="62">
        <f t="shared" ca="1" si="204"/>
        <v>0</v>
      </c>
      <c r="AG349" s="35"/>
      <c r="AH349" s="35"/>
      <c r="AR349" s="69">
        <f t="shared" si="221"/>
        <v>29</v>
      </c>
      <c r="AS349" s="70">
        <f t="shared" si="224"/>
        <v>346</v>
      </c>
      <c r="AT349" s="71">
        <f t="shared" si="225"/>
        <v>9.3637562062542062E-2</v>
      </c>
      <c r="AU349" s="72">
        <f t="shared" si="205"/>
        <v>6.8214933659622723E-3</v>
      </c>
      <c r="AV349" s="73">
        <f t="shared" si="222"/>
        <v>1.0068214933659623</v>
      </c>
      <c r="AW349" s="74">
        <f>PRODUCT(AV$4:AV349)</f>
        <v>10.508904635441169</v>
      </c>
    </row>
    <row r="350" spans="5:49">
      <c r="E350">
        <f t="shared" si="223"/>
        <v>347</v>
      </c>
      <c r="F350" s="64">
        <f t="shared" si="206"/>
        <v>89.68</v>
      </c>
      <c r="G350" s="55">
        <f t="shared" si="207"/>
        <v>2.1466801853951778E-2</v>
      </c>
      <c r="H350" s="78">
        <f t="shared" si="226"/>
        <v>6.9006447286709516E-2</v>
      </c>
      <c r="I350" s="79">
        <f t="shared" ca="1" si="208"/>
        <v>0</v>
      </c>
      <c r="J350" s="79">
        <f t="shared" ca="1" si="209"/>
        <v>0</v>
      </c>
      <c r="K350" s="80">
        <f t="shared" ca="1" si="210"/>
        <v>0</v>
      </c>
      <c r="L350" s="80">
        <f t="shared" ca="1" si="211"/>
        <v>0</v>
      </c>
      <c r="M350" s="80">
        <f t="shared" ca="1" si="212"/>
        <v>0</v>
      </c>
      <c r="N350" s="80">
        <f t="shared" ca="1" si="213"/>
        <v>0</v>
      </c>
      <c r="O350" s="81">
        <f t="shared" ca="1" si="196"/>
        <v>0</v>
      </c>
      <c r="P350" s="79">
        <f t="shared" ca="1" si="197"/>
        <v>0</v>
      </c>
      <c r="Q350" s="35"/>
      <c r="R350">
        <f t="shared" ca="1" si="214"/>
        <v>347</v>
      </c>
      <c r="S350" s="78">
        <f t="shared" ca="1" si="215"/>
        <v>89.68</v>
      </c>
      <c r="T350" s="55">
        <f t="shared" ca="1" si="216"/>
        <v>2.1466801853951778E-2</v>
      </c>
      <c r="U350" s="78">
        <f t="shared" ca="1" si="217"/>
        <v>6.9006447286709516E-2</v>
      </c>
      <c r="V350" s="79">
        <f t="shared" ca="1" si="218"/>
        <v>0</v>
      </c>
      <c r="W350" s="79">
        <f t="shared" ca="1" si="198"/>
        <v>0</v>
      </c>
      <c r="X350" s="80">
        <f t="shared" ca="1" si="199"/>
        <v>0</v>
      </c>
      <c r="Y350" s="80">
        <f t="shared" ca="1" si="219"/>
        <v>0</v>
      </c>
      <c r="Z350" s="80">
        <f t="shared" ca="1" si="200"/>
        <v>0</v>
      </c>
      <c r="AA350" s="80">
        <f t="shared" ca="1" si="220"/>
        <v>0</v>
      </c>
      <c r="AB350" s="81">
        <f t="shared" ca="1" si="201"/>
        <v>0</v>
      </c>
      <c r="AC350" s="79">
        <f t="shared" ca="1" si="202"/>
        <v>0</v>
      </c>
      <c r="AD350" s="35"/>
      <c r="AE350" s="62">
        <f t="shared" ca="1" si="203"/>
        <v>0</v>
      </c>
      <c r="AF350" s="62">
        <f t="shared" ca="1" si="204"/>
        <v>0</v>
      </c>
      <c r="AG350" s="35"/>
      <c r="AH350" s="35"/>
      <c r="AR350" s="69">
        <f t="shared" si="221"/>
        <v>29</v>
      </c>
      <c r="AS350" s="70">
        <f t="shared" si="224"/>
        <v>347</v>
      </c>
      <c r="AT350" s="71">
        <f t="shared" si="225"/>
        <v>9.2998814054127549E-2</v>
      </c>
      <c r="AU350" s="72">
        <f t="shared" si="205"/>
        <v>6.8214933659622723E-3</v>
      </c>
      <c r="AV350" s="73">
        <f t="shared" si="222"/>
        <v>1.0068214933659623</v>
      </c>
      <c r="AW350" s="74">
        <f>PRODUCT(AV$4:AV350)</f>
        <v>10.580591058695362</v>
      </c>
    </row>
    <row r="351" spans="5:49">
      <c r="E351">
        <f t="shared" si="223"/>
        <v>348</v>
      </c>
      <c r="F351" s="64">
        <f t="shared" si="206"/>
        <v>89.76</v>
      </c>
      <c r="G351" s="55">
        <f t="shared" si="207"/>
        <v>2.1466801853951778E-2</v>
      </c>
      <c r="H351" s="78">
        <f t="shared" si="226"/>
        <v>6.7525099556160553E-2</v>
      </c>
      <c r="I351" s="79">
        <f t="shared" ca="1" si="208"/>
        <v>0</v>
      </c>
      <c r="J351" s="79">
        <f t="shared" ca="1" si="209"/>
        <v>0</v>
      </c>
      <c r="K351" s="80">
        <f t="shared" ca="1" si="210"/>
        <v>0</v>
      </c>
      <c r="L351" s="80">
        <f t="shared" ca="1" si="211"/>
        <v>0</v>
      </c>
      <c r="M351" s="80">
        <f t="shared" ca="1" si="212"/>
        <v>0</v>
      </c>
      <c r="N351" s="80">
        <f t="shared" ca="1" si="213"/>
        <v>0</v>
      </c>
      <c r="O351" s="81">
        <f t="shared" ca="1" si="196"/>
        <v>0</v>
      </c>
      <c r="P351" s="79">
        <f t="shared" ca="1" si="197"/>
        <v>0</v>
      </c>
      <c r="Q351" s="35"/>
      <c r="R351">
        <f t="shared" ca="1" si="214"/>
        <v>348</v>
      </c>
      <c r="S351" s="78">
        <f t="shared" ca="1" si="215"/>
        <v>89.76</v>
      </c>
      <c r="T351" s="55">
        <f t="shared" ca="1" si="216"/>
        <v>2.1466801853951778E-2</v>
      </c>
      <c r="U351" s="78">
        <f t="shared" ca="1" si="217"/>
        <v>6.7525099556160553E-2</v>
      </c>
      <c r="V351" s="79">
        <f t="shared" ca="1" si="218"/>
        <v>0</v>
      </c>
      <c r="W351" s="79">
        <f t="shared" ca="1" si="198"/>
        <v>0</v>
      </c>
      <c r="X351" s="80">
        <f t="shared" ca="1" si="199"/>
        <v>0</v>
      </c>
      <c r="Y351" s="80">
        <f t="shared" ca="1" si="219"/>
        <v>0</v>
      </c>
      <c r="Z351" s="80">
        <f t="shared" ca="1" si="200"/>
        <v>0</v>
      </c>
      <c r="AA351" s="80">
        <f t="shared" ca="1" si="220"/>
        <v>0</v>
      </c>
      <c r="AB351" s="81">
        <f t="shared" ca="1" si="201"/>
        <v>0</v>
      </c>
      <c r="AC351" s="79">
        <f t="shared" ca="1" si="202"/>
        <v>0</v>
      </c>
      <c r="AD351" s="35"/>
      <c r="AE351" s="62">
        <f t="shared" ca="1" si="203"/>
        <v>0</v>
      </c>
      <c r="AF351" s="62">
        <f t="shared" ca="1" si="204"/>
        <v>0</v>
      </c>
      <c r="AG351" s="35"/>
      <c r="AH351" s="35"/>
      <c r="AR351" s="69">
        <f t="shared" si="221"/>
        <v>29</v>
      </c>
      <c r="AS351" s="70">
        <f t="shared" si="224"/>
        <v>348</v>
      </c>
      <c r="AT351" s="71">
        <f t="shared" si="225"/>
        <v>9.2364423261014961E-2</v>
      </c>
      <c r="AU351" s="72">
        <f t="shared" si="205"/>
        <v>6.8214933659622723E-3</v>
      </c>
      <c r="AV351" s="73">
        <f t="shared" si="222"/>
        <v>1.0068214933659623</v>
      </c>
      <c r="AW351" s="74">
        <f>PRODUCT(AV$4:AV351)</f>
        <v>10.652766490410212</v>
      </c>
    </row>
    <row r="352" spans="5:49">
      <c r="E352">
        <f t="shared" si="223"/>
        <v>349</v>
      </c>
      <c r="F352" s="64">
        <f t="shared" si="206"/>
        <v>89.84</v>
      </c>
      <c r="G352" s="55">
        <f t="shared" si="207"/>
        <v>2.1466801853951778E-2</v>
      </c>
      <c r="H352" s="78">
        <f t="shared" si="226"/>
        <v>6.6075551623820089E-2</v>
      </c>
      <c r="I352" s="79">
        <f t="shared" ca="1" si="208"/>
        <v>0</v>
      </c>
      <c r="J352" s="79">
        <f t="shared" ca="1" si="209"/>
        <v>0</v>
      </c>
      <c r="K352" s="80">
        <f t="shared" ca="1" si="210"/>
        <v>0</v>
      </c>
      <c r="L352" s="80">
        <f t="shared" ca="1" si="211"/>
        <v>0</v>
      </c>
      <c r="M352" s="80">
        <f t="shared" ca="1" si="212"/>
        <v>0</v>
      </c>
      <c r="N352" s="80">
        <f t="shared" ca="1" si="213"/>
        <v>0</v>
      </c>
      <c r="O352" s="81">
        <f t="shared" ca="1" si="196"/>
        <v>0</v>
      </c>
      <c r="P352" s="79">
        <f t="shared" ca="1" si="197"/>
        <v>0</v>
      </c>
      <c r="Q352" s="35"/>
      <c r="R352">
        <f t="shared" ca="1" si="214"/>
        <v>349</v>
      </c>
      <c r="S352" s="78">
        <f t="shared" ca="1" si="215"/>
        <v>89.84</v>
      </c>
      <c r="T352" s="55">
        <f t="shared" ca="1" si="216"/>
        <v>2.1466801853951778E-2</v>
      </c>
      <c r="U352" s="78">
        <f t="shared" ca="1" si="217"/>
        <v>6.6075551623820089E-2</v>
      </c>
      <c r="V352" s="79">
        <f t="shared" ca="1" si="218"/>
        <v>0</v>
      </c>
      <c r="W352" s="79">
        <f t="shared" ca="1" si="198"/>
        <v>0</v>
      </c>
      <c r="X352" s="80">
        <f t="shared" ca="1" si="199"/>
        <v>0</v>
      </c>
      <c r="Y352" s="80">
        <f t="shared" ca="1" si="219"/>
        <v>0</v>
      </c>
      <c r="Z352" s="80">
        <f t="shared" ca="1" si="200"/>
        <v>0</v>
      </c>
      <c r="AA352" s="80">
        <f t="shared" ca="1" si="220"/>
        <v>0</v>
      </c>
      <c r="AB352" s="81">
        <f t="shared" ca="1" si="201"/>
        <v>0</v>
      </c>
      <c r="AC352" s="79">
        <f t="shared" ca="1" si="202"/>
        <v>0</v>
      </c>
      <c r="AD352" s="35"/>
      <c r="AE352" s="62">
        <f t="shared" ca="1" si="203"/>
        <v>0</v>
      </c>
      <c r="AF352" s="62">
        <f t="shared" ca="1" si="204"/>
        <v>0</v>
      </c>
      <c r="AG352" s="35"/>
      <c r="AH352" s="35"/>
      <c r="AR352" s="69">
        <f t="shared" si="221"/>
        <v>30</v>
      </c>
      <c r="AS352" s="70">
        <f t="shared" si="224"/>
        <v>349</v>
      </c>
      <c r="AT352" s="71">
        <f t="shared" si="225"/>
        <v>9.1734359960489009E-2</v>
      </c>
      <c r="AU352" s="72">
        <f t="shared" si="205"/>
        <v>6.8214933659622723E-3</v>
      </c>
      <c r="AV352" s="73">
        <f t="shared" si="222"/>
        <v>1.0068214933659623</v>
      </c>
      <c r="AW352" s="74">
        <f>PRODUCT(AV$4:AV352)</f>
        <v>10.725434266353691</v>
      </c>
    </row>
    <row r="353" spans="5:49">
      <c r="E353">
        <f t="shared" si="223"/>
        <v>350</v>
      </c>
      <c r="F353" s="64">
        <f t="shared" si="206"/>
        <v>89.92</v>
      </c>
      <c r="G353" s="55">
        <f t="shared" si="207"/>
        <v>2.1466801853951778E-2</v>
      </c>
      <c r="H353" s="78">
        <f t="shared" si="226"/>
        <v>6.4657120849720986E-2</v>
      </c>
      <c r="I353" s="79">
        <f t="shared" ca="1" si="208"/>
        <v>0</v>
      </c>
      <c r="J353" s="79">
        <f t="shared" ca="1" si="209"/>
        <v>0</v>
      </c>
      <c r="K353" s="80">
        <f t="shared" ca="1" si="210"/>
        <v>0</v>
      </c>
      <c r="L353" s="80">
        <f t="shared" ca="1" si="211"/>
        <v>0</v>
      </c>
      <c r="M353" s="80">
        <f t="shared" ca="1" si="212"/>
        <v>0</v>
      </c>
      <c r="N353" s="80">
        <f t="shared" ca="1" si="213"/>
        <v>0</v>
      </c>
      <c r="O353" s="81">
        <f t="shared" ca="1" si="196"/>
        <v>0</v>
      </c>
      <c r="P353" s="79">
        <f t="shared" ca="1" si="197"/>
        <v>0</v>
      </c>
      <c r="Q353" s="35"/>
      <c r="R353">
        <f t="shared" ca="1" si="214"/>
        <v>350</v>
      </c>
      <c r="S353" s="78">
        <f t="shared" ca="1" si="215"/>
        <v>89.92</v>
      </c>
      <c r="T353" s="55">
        <f t="shared" ca="1" si="216"/>
        <v>2.1466801853951778E-2</v>
      </c>
      <c r="U353" s="78">
        <f t="shared" ca="1" si="217"/>
        <v>6.4657120849720986E-2</v>
      </c>
      <c r="V353" s="79">
        <f t="shared" ca="1" si="218"/>
        <v>0</v>
      </c>
      <c r="W353" s="79">
        <f t="shared" ca="1" si="198"/>
        <v>0</v>
      </c>
      <c r="X353" s="80">
        <f t="shared" ca="1" si="199"/>
        <v>0</v>
      </c>
      <c r="Y353" s="80">
        <f t="shared" ca="1" si="219"/>
        <v>0</v>
      </c>
      <c r="Z353" s="80">
        <f t="shared" ca="1" si="200"/>
        <v>0</v>
      </c>
      <c r="AA353" s="80">
        <f t="shared" ca="1" si="220"/>
        <v>0</v>
      </c>
      <c r="AB353" s="81">
        <f t="shared" ca="1" si="201"/>
        <v>0</v>
      </c>
      <c r="AC353" s="79">
        <f t="shared" ca="1" si="202"/>
        <v>0</v>
      </c>
      <c r="AD353" s="35"/>
      <c r="AE353" s="62">
        <f t="shared" ca="1" si="203"/>
        <v>0</v>
      </c>
      <c r="AF353" s="62">
        <f t="shared" ca="1" si="204"/>
        <v>0</v>
      </c>
      <c r="AG353" s="35"/>
      <c r="AH353" s="35"/>
      <c r="AR353" s="69">
        <f t="shared" si="221"/>
        <v>30</v>
      </c>
      <c r="AS353" s="70">
        <f t="shared" si="224"/>
        <v>350</v>
      </c>
      <c r="AT353" s="71">
        <f t="shared" si="225"/>
        <v>9.1108594632587733E-2</v>
      </c>
      <c r="AU353" s="72">
        <f t="shared" si="205"/>
        <v>6.8214933659622723E-3</v>
      </c>
      <c r="AV353" s="73">
        <f t="shared" si="222"/>
        <v>1.0068214933659623</v>
      </c>
      <c r="AW353" s="74">
        <f>PRODUCT(AV$4:AV353)</f>
        <v>10.798597745048687</v>
      </c>
    </row>
    <row r="354" spans="5:49">
      <c r="E354">
        <f t="shared" si="223"/>
        <v>351</v>
      </c>
      <c r="F354" s="64">
        <f t="shared" si="206"/>
        <v>90</v>
      </c>
      <c r="G354" s="55">
        <f t="shared" si="207"/>
        <v>2.1466801853951778E-2</v>
      </c>
      <c r="H354" s="78">
        <f t="shared" si="226"/>
        <v>6.3269139247993017E-2</v>
      </c>
      <c r="I354" s="79">
        <f t="shared" ca="1" si="208"/>
        <v>0</v>
      </c>
      <c r="J354" s="79">
        <f t="shared" ca="1" si="209"/>
        <v>0</v>
      </c>
      <c r="K354" s="80">
        <f t="shared" ca="1" si="210"/>
        <v>0</v>
      </c>
      <c r="L354" s="80">
        <f t="shared" ca="1" si="211"/>
        <v>0</v>
      </c>
      <c r="M354" s="80">
        <f t="shared" ca="1" si="212"/>
        <v>0</v>
      </c>
      <c r="N354" s="80">
        <f t="shared" ca="1" si="213"/>
        <v>0</v>
      </c>
      <c r="O354" s="81">
        <f t="shared" ca="1" si="196"/>
        <v>0</v>
      </c>
      <c r="P354" s="79">
        <f t="shared" ca="1" si="197"/>
        <v>0</v>
      </c>
      <c r="Q354" s="35"/>
      <c r="R354">
        <f t="shared" ca="1" si="214"/>
        <v>351</v>
      </c>
      <c r="S354" s="78">
        <f t="shared" ca="1" si="215"/>
        <v>90</v>
      </c>
      <c r="T354" s="55">
        <f t="shared" ca="1" si="216"/>
        <v>2.1466801853951778E-2</v>
      </c>
      <c r="U354" s="78">
        <f t="shared" ca="1" si="217"/>
        <v>6.3269139247993017E-2</v>
      </c>
      <c r="V354" s="79">
        <f t="shared" ca="1" si="218"/>
        <v>0</v>
      </c>
      <c r="W354" s="79">
        <f t="shared" ca="1" si="198"/>
        <v>0</v>
      </c>
      <c r="X354" s="80">
        <f t="shared" ca="1" si="199"/>
        <v>0</v>
      </c>
      <c r="Y354" s="80">
        <f t="shared" ca="1" si="219"/>
        <v>0</v>
      </c>
      <c r="Z354" s="80">
        <f t="shared" ca="1" si="200"/>
        <v>0</v>
      </c>
      <c r="AA354" s="80">
        <f t="shared" ca="1" si="220"/>
        <v>0</v>
      </c>
      <c r="AB354" s="81">
        <f t="shared" ca="1" si="201"/>
        <v>0</v>
      </c>
      <c r="AC354" s="79">
        <f t="shared" ca="1" si="202"/>
        <v>0</v>
      </c>
      <c r="AD354" s="35"/>
      <c r="AE354" s="62">
        <f t="shared" ca="1" si="203"/>
        <v>0</v>
      </c>
      <c r="AF354" s="62">
        <f t="shared" ca="1" si="204"/>
        <v>0</v>
      </c>
      <c r="AG354" s="35"/>
      <c r="AH354" s="35"/>
      <c r="AR354" s="69">
        <f t="shared" si="221"/>
        <v>30</v>
      </c>
      <c r="AS354" s="70">
        <f t="shared" si="224"/>
        <v>351</v>
      </c>
      <c r="AT354" s="71">
        <f t="shared" si="225"/>
        <v>9.0487097958719384E-2</v>
      </c>
      <c r="AU354" s="72">
        <f t="shared" si="205"/>
        <v>6.8214933659622723E-3</v>
      </c>
      <c r="AV354" s="73">
        <f t="shared" si="222"/>
        <v>1.0068214933659623</v>
      </c>
      <c r="AW354" s="74">
        <f>PRODUCT(AV$4:AV354)</f>
        <v>10.872260307928231</v>
      </c>
    </row>
    <row r="355" spans="5:49">
      <c r="E355">
        <f t="shared" si="223"/>
        <v>352</v>
      </c>
      <c r="F355" s="64">
        <f t="shared" si="206"/>
        <v>90.08</v>
      </c>
      <c r="G355" s="55">
        <f t="shared" si="207"/>
        <v>2.1466801853951778E-2</v>
      </c>
      <c r="H355" s="78">
        <f t="shared" si="226"/>
        <v>6.1910953172286266E-2</v>
      </c>
      <c r="I355" s="79">
        <f t="shared" ca="1" si="208"/>
        <v>0</v>
      </c>
      <c r="J355" s="79">
        <f t="shared" ca="1" si="209"/>
        <v>0</v>
      </c>
      <c r="K355" s="80">
        <f t="shared" ca="1" si="210"/>
        <v>0</v>
      </c>
      <c r="L355" s="80">
        <f t="shared" ca="1" si="211"/>
        <v>0</v>
      </c>
      <c r="M355" s="80">
        <f t="shared" ca="1" si="212"/>
        <v>0</v>
      </c>
      <c r="N355" s="80">
        <f t="shared" ca="1" si="213"/>
        <v>0</v>
      </c>
      <c r="O355" s="81">
        <f t="shared" ca="1" si="196"/>
        <v>0</v>
      </c>
      <c r="P355" s="79">
        <f t="shared" ca="1" si="197"/>
        <v>0</v>
      </c>
      <c r="Q355" s="35"/>
      <c r="R355">
        <f t="shared" ca="1" si="214"/>
        <v>352</v>
      </c>
      <c r="S355" s="78">
        <f t="shared" ca="1" si="215"/>
        <v>90.08</v>
      </c>
      <c r="T355" s="55">
        <f t="shared" ca="1" si="216"/>
        <v>2.1466801853951778E-2</v>
      </c>
      <c r="U355" s="78">
        <f t="shared" ca="1" si="217"/>
        <v>6.1910953172286266E-2</v>
      </c>
      <c r="V355" s="79">
        <f t="shared" ca="1" si="218"/>
        <v>0</v>
      </c>
      <c r="W355" s="79">
        <f t="shared" ca="1" si="198"/>
        <v>0</v>
      </c>
      <c r="X355" s="80">
        <f t="shared" ca="1" si="199"/>
        <v>0</v>
      </c>
      <c r="Y355" s="80">
        <f t="shared" ca="1" si="219"/>
        <v>0</v>
      </c>
      <c r="Z355" s="80">
        <f t="shared" ca="1" si="200"/>
        <v>0</v>
      </c>
      <c r="AA355" s="80">
        <f t="shared" ca="1" si="220"/>
        <v>0</v>
      </c>
      <c r="AB355" s="81">
        <f t="shared" ca="1" si="201"/>
        <v>0</v>
      </c>
      <c r="AC355" s="79">
        <f t="shared" ca="1" si="202"/>
        <v>0</v>
      </c>
      <c r="AD355" s="35"/>
      <c r="AE355" s="62">
        <f t="shared" ca="1" si="203"/>
        <v>0</v>
      </c>
      <c r="AF355" s="62">
        <f t="shared" ca="1" si="204"/>
        <v>0</v>
      </c>
      <c r="AG355" s="35"/>
      <c r="AH355" s="35"/>
      <c r="AR355" s="69">
        <f t="shared" si="221"/>
        <v>30</v>
      </c>
      <c r="AS355" s="70">
        <f t="shared" si="224"/>
        <v>352</v>
      </c>
      <c r="AT355" s="71">
        <f t="shared" si="225"/>
        <v>8.9869840820288802E-2</v>
      </c>
      <c r="AU355" s="72">
        <f t="shared" si="205"/>
        <v>6.8214933659622723E-3</v>
      </c>
      <c r="AV355" s="73">
        <f t="shared" si="222"/>
        <v>1.0068214933659623</v>
      </c>
      <c r="AW355" s="74">
        <f>PRODUCT(AV$4:AV355)</f>
        <v>10.946425359491778</v>
      </c>
    </row>
    <row r="356" spans="5:49">
      <c r="E356">
        <f t="shared" si="223"/>
        <v>353</v>
      </c>
      <c r="F356" s="64">
        <f t="shared" si="206"/>
        <v>90.16</v>
      </c>
      <c r="G356" s="55">
        <f t="shared" si="207"/>
        <v>2.1466801853951778E-2</v>
      </c>
      <c r="H356" s="78">
        <f t="shared" si="226"/>
        <v>6.0581923007947507E-2</v>
      </c>
      <c r="I356" s="79">
        <f t="shared" ca="1" si="208"/>
        <v>0</v>
      </c>
      <c r="J356" s="79">
        <f t="shared" ca="1" si="209"/>
        <v>0</v>
      </c>
      <c r="K356" s="80">
        <f t="shared" ca="1" si="210"/>
        <v>0</v>
      </c>
      <c r="L356" s="80">
        <f t="shared" ca="1" si="211"/>
        <v>0</v>
      </c>
      <c r="M356" s="80">
        <f t="shared" ca="1" si="212"/>
        <v>0</v>
      </c>
      <c r="N356" s="80">
        <f t="shared" ca="1" si="213"/>
        <v>0</v>
      </c>
      <c r="O356" s="81">
        <f t="shared" ca="1" si="196"/>
        <v>0</v>
      </c>
      <c r="P356" s="79">
        <f t="shared" ca="1" si="197"/>
        <v>0</v>
      </c>
      <c r="Q356" s="35"/>
      <c r="R356">
        <f t="shared" ca="1" si="214"/>
        <v>353</v>
      </c>
      <c r="S356" s="78">
        <f t="shared" ca="1" si="215"/>
        <v>90.16</v>
      </c>
      <c r="T356" s="55">
        <f t="shared" ca="1" si="216"/>
        <v>2.1466801853951778E-2</v>
      </c>
      <c r="U356" s="78">
        <f t="shared" ca="1" si="217"/>
        <v>6.0581923007947507E-2</v>
      </c>
      <c r="V356" s="79">
        <f t="shared" ca="1" si="218"/>
        <v>0</v>
      </c>
      <c r="W356" s="79">
        <f t="shared" ca="1" si="198"/>
        <v>0</v>
      </c>
      <c r="X356" s="80">
        <f t="shared" ca="1" si="199"/>
        <v>0</v>
      </c>
      <c r="Y356" s="80">
        <f t="shared" ca="1" si="219"/>
        <v>0</v>
      </c>
      <c r="Z356" s="80">
        <f t="shared" ca="1" si="200"/>
        <v>0</v>
      </c>
      <c r="AA356" s="80">
        <f t="shared" ca="1" si="220"/>
        <v>0</v>
      </c>
      <c r="AB356" s="81">
        <f t="shared" ca="1" si="201"/>
        <v>0</v>
      </c>
      <c r="AC356" s="79">
        <f t="shared" ca="1" si="202"/>
        <v>0</v>
      </c>
      <c r="AD356" s="35"/>
      <c r="AE356" s="62">
        <f t="shared" ca="1" si="203"/>
        <v>0</v>
      </c>
      <c r="AF356" s="62">
        <f t="shared" ca="1" si="204"/>
        <v>0</v>
      </c>
      <c r="AG356" s="35"/>
      <c r="AH356" s="35"/>
      <c r="AR356" s="69">
        <f t="shared" si="221"/>
        <v>30</v>
      </c>
      <c r="AS356" s="70">
        <f t="shared" si="224"/>
        <v>353</v>
      </c>
      <c r="AT356" s="71">
        <f t="shared" si="225"/>
        <v>8.9256794297333117E-2</v>
      </c>
      <c r="AU356" s="72">
        <f t="shared" si="205"/>
        <v>6.8214933659622723E-3</v>
      </c>
      <c r="AV356" s="73">
        <f t="shared" si="222"/>
        <v>1.0068214933659623</v>
      </c>
      <c r="AW356" s="74">
        <f>PRODUCT(AV$4:AV356)</f>
        <v>11.021096327462553</v>
      </c>
    </row>
    <row r="357" spans="5:49">
      <c r="E357">
        <f t="shared" si="223"/>
        <v>354</v>
      </c>
      <c r="F357" s="64">
        <f t="shared" si="206"/>
        <v>90.24</v>
      </c>
      <c r="G357" s="55">
        <f t="shared" si="207"/>
        <v>2.1466801853951778E-2</v>
      </c>
      <c r="H357" s="78">
        <f t="shared" si="226"/>
        <v>5.9281422870804533E-2</v>
      </c>
      <c r="I357" s="79">
        <f t="shared" ca="1" si="208"/>
        <v>0</v>
      </c>
      <c r="J357" s="79">
        <f t="shared" ca="1" si="209"/>
        <v>0</v>
      </c>
      <c r="K357" s="80">
        <f t="shared" ca="1" si="210"/>
        <v>0</v>
      </c>
      <c r="L357" s="80">
        <f t="shared" ca="1" si="211"/>
        <v>0</v>
      </c>
      <c r="M357" s="80">
        <f t="shared" ca="1" si="212"/>
        <v>0</v>
      </c>
      <c r="N357" s="80">
        <f t="shared" ca="1" si="213"/>
        <v>0</v>
      </c>
      <c r="O357" s="81">
        <f t="shared" ca="1" si="196"/>
        <v>0</v>
      </c>
      <c r="P357" s="79">
        <f t="shared" ca="1" si="197"/>
        <v>0</v>
      </c>
      <c r="Q357" s="35"/>
      <c r="R357">
        <f t="shared" ca="1" si="214"/>
        <v>354</v>
      </c>
      <c r="S357" s="78">
        <f t="shared" ca="1" si="215"/>
        <v>90.24</v>
      </c>
      <c r="T357" s="55">
        <f t="shared" ca="1" si="216"/>
        <v>2.1466801853951778E-2</v>
      </c>
      <c r="U357" s="78">
        <f t="shared" ca="1" si="217"/>
        <v>5.9281422870804533E-2</v>
      </c>
      <c r="V357" s="79">
        <f t="shared" ca="1" si="218"/>
        <v>0</v>
      </c>
      <c r="W357" s="79">
        <f t="shared" ca="1" si="198"/>
        <v>0</v>
      </c>
      <c r="X357" s="80">
        <f t="shared" ca="1" si="199"/>
        <v>0</v>
      </c>
      <c r="Y357" s="80">
        <f t="shared" ca="1" si="219"/>
        <v>0</v>
      </c>
      <c r="Z357" s="80">
        <f t="shared" ca="1" si="200"/>
        <v>0</v>
      </c>
      <c r="AA357" s="80">
        <f t="shared" ca="1" si="220"/>
        <v>0</v>
      </c>
      <c r="AB357" s="81">
        <f t="shared" ca="1" si="201"/>
        <v>0</v>
      </c>
      <c r="AC357" s="79">
        <f t="shared" ca="1" si="202"/>
        <v>0</v>
      </c>
      <c r="AD357" s="35"/>
      <c r="AE357" s="62">
        <f t="shared" ca="1" si="203"/>
        <v>0</v>
      </c>
      <c r="AF357" s="62">
        <f t="shared" ca="1" si="204"/>
        <v>0</v>
      </c>
      <c r="AG357" s="35"/>
      <c r="AH357" s="35"/>
      <c r="AR357" s="69">
        <f t="shared" si="221"/>
        <v>30</v>
      </c>
      <c r="AS357" s="70">
        <f t="shared" si="224"/>
        <v>354</v>
      </c>
      <c r="AT357" s="71">
        <f t="shared" si="225"/>
        <v>8.8647929667166794E-2</v>
      </c>
      <c r="AU357" s="72">
        <f t="shared" si="205"/>
        <v>6.8214933659622723E-3</v>
      </c>
      <c r="AV357" s="73">
        <f t="shared" si="222"/>
        <v>1.0068214933659623</v>
      </c>
      <c r="AW357" s="74">
        <f>PRODUCT(AV$4:AV357)</f>
        <v>11.09627666294597</v>
      </c>
    </row>
    <row r="358" spans="5:49">
      <c r="E358">
        <f t="shared" si="223"/>
        <v>355</v>
      </c>
      <c r="F358" s="64">
        <f t="shared" si="206"/>
        <v>90.32</v>
      </c>
      <c r="G358" s="55">
        <f t="shared" si="207"/>
        <v>2.1466801853951778E-2</v>
      </c>
      <c r="H358" s="78">
        <f t="shared" si="226"/>
        <v>5.8008840312416647E-2</v>
      </c>
      <c r="I358" s="79">
        <f t="shared" ca="1" si="208"/>
        <v>0</v>
      </c>
      <c r="J358" s="79">
        <f t="shared" ca="1" si="209"/>
        <v>0</v>
      </c>
      <c r="K358" s="80">
        <f t="shared" ca="1" si="210"/>
        <v>0</v>
      </c>
      <c r="L358" s="80">
        <f t="shared" ca="1" si="211"/>
        <v>0</v>
      </c>
      <c r="M358" s="80">
        <f t="shared" ca="1" si="212"/>
        <v>0</v>
      </c>
      <c r="N358" s="80">
        <f t="shared" ca="1" si="213"/>
        <v>0</v>
      </c>
      <c r="O358" s="81">
        <f t="shared" ca="1" si="196"/>
        <v>0</v>
      </c>
      <c r="P358" s="79">
        <f t="shared" ca="1" si="197"/>
        <v>0</v>
      </c>
      <c r="Q358" s="35"/>
      <c r="R358">
        <f t="shared" ca="1" si="214"/>
        <v>355</v>
      </c>
      <c r="S358" s="78">
        <f t="shared" ca="1" si="215"/>
        <v>90.32</v>
      </c>
      <c r="T358" s="55">
        <f t="shared" ca="1" si="216"/>
        <v>2.1466801853951778E-2</v>
      </c>
      <c r="U358" s="78">
        <f t="shared" ca="1" si="217"/>
        <v>5.8008840312416647E-2</v>
      </c>
      <c r="V358" s="79">
        <f t="shared" ca="1" si="218"/>
        <v>0</v>
      </c>
      <c r="W358" s="79">
        <f t="shared" ca="1" si="198"/>
        <v>0</v>
      </c>
      <c r="X358" s="80">
        <f t="shared" ca="1" si="199"/>
        <v>0</v>
      </c>
      <c r="Y358" s="80">
        <f t="shared" ca="1" si="219"/>
        <v>0</v>
      </c>
      <c r="Z358" s="80">
        <f t="shared" ca="1" si="200"/>
        <v>0</v>
      </c>
      <c r="AA358" s="80">
        <f t="shared" ca="1" si="220"/>
        <v>0</v>
      </c>
      <c r="AB358" s="81">
        <f t="shared" ca="1" si="201"/>
        <v>0</v>
      </c>
      <c r="AC358" s="79">
        <f t="shared" ca="1" si="202"/>
        <v>0</v>
      </c>
      <c r="AD358" s="35"/>
      <c r="AE358" s="62">
        <f t="shared" ca="1" si="203"/>
        <v>0</v>
      </c>
      <c r="AF358" s="62">
        <f t="shared" ca="1" si="204"/>
        <v>0</v>
      </c>
      <c r="AG358" s="35"/>
      <c r="AH358" s="35"/>
      <c r="AR358" s="69">
        <f t="shared" si="221"/>
        <v>30</v>
      </c>
      <c r="AS358" s="70">
        <f t="shared" si="224"/>
        <v>355</v>
      </c>
      <c r="AT358" s="71">
        <f t="shared" si="225"/>
        <v>8.804321840303593E-2</v>
      </c>
      <c r="AU358" s="72">
        <f t="shared" si="205"/>
        <v>6.8214933659622723E-3</v>
      </c>
      <c r="AV358" s="73">
        <f t="shared" si="222"/>
        <v>1.0068214933659623</v>
      </c>
      <c r="AW358" s="74">
        <f>PRODUCT(AV$4:AV358)</f>
        <v>11.171969840589137</v>
      </c>
    </row>
    <row r="359" spans="5:49">
      <c r="E359">
        <f t="shared" si="223"/>
        <v>356</v>
      </c>
      <c r="F359" s="64">
        <f t="shared" si="206"/>
        <v>90.4</v>
      </c>
      <c r="G359" s="55">
        <f t="shared" si="207"/>
        <v>2.1466801853951778E-2</v>
      </c>
      <c r="H359" s="78">
        <f t="shared" si="226"/>
        <v>5.6763576031652468E-2</v>
      </c>
      <c r="I359" s="79">
        <f t="shared" ca="1" si="208"/>
        <v>0</v>
      </c>
      <c r="J359" s="79">
        <f t="shared" ca="1" si="209"/>
        <v>0</v>
      </c>
      <c r="K359" s="80">
        <f t="shared" ca="1" si="210"/>
        <v>0</v>
      </c>
      <c r="L359" s="80">
        <f t="shared" ca="1" si="211"/>
        <v>0</v>
      </c>
      <c r="M359" s="80">
        <f t="shared" ca="1" si="212"/>
        <v>0</v>
      </c>
      <c r="N359" s="80">
        <f t="shared" ca="1" si="213"/>
        <v>0</v>
      </c>
      <c r="O359" s="81">
        <f t="shared" ca="1" si="196"/>
        <v>0</v>
      </c>
      <c r="P359" s="79">
        <f t="shared" ca="1" si="197"/>
        <v>0</v>
      </c>
      <c r="Q359" s="35"/>
      <c r="R359">
        <f t="shared" ca="1" si="214"/>
        <v>356</v>
      </c>
      <c r="S359" s="78">
        <f t="shared" ca="1" si="215"/>
        <v>90.4</v>
      </c>
      <c r="T359" s="55">
        <f t="shared" ca="1" si="216"/>
        <v>2.1466801853951778E-2</v>
      </c>
      <c r="U359" s="78">
        <f t="shared" ca="1" si="217"/>
        <v>5.6763576031652468E-2</v>
      </c>
      <c r="V359" s="79">
        <f t="shared" ca="1" si="218"/>
        <v>0</v>
      </c>
      <c r="W359" s="79">
        <f t="shared" ca="1" si="198"/>
        <v>0</v>
      </c>
      <c r="X359" s="80">
        <f t="shared" ca="1" si="199"/>
        <v>0</v>
      </c>
      <c r="Y359" s="80">
        <f t="shared" ca="1" si="219"/>
        <v>0</v>
      </c>
      <c r="Z359" s="80">
        <f t="shared" ca="1" si="200"/>
        <v>0</v>
      </c>
      <c r="AA359" s="80">
        <f t="shared" ca="1" si="220"/>
        <v>0</v>
      </c>
      <c r="AB359" s="81">
        <f t="shared" ca="1" si="201"/>
        <v>0</v>
      </c>
      <c r="AC359" s="79">
        <f t="shared" ca="1" si="202"/>
        <v>0</v>
      </c>
      <c r="AD359" s="35"/>
      <c r="AE359" s="62">
        <f t="shared" ca="1" si="203"/>
        <v>0</v>
      </c>
      <c r="AF359" s="62">
        <f t="shared" ca="1" si="204"/>
        <v>0</v>
      </c>
      <c r="AG359" s="35"/>
      <c r="AH359" s="35"/>
      <c r="AR359" s="69">
        <f t="shared" si="221"/>
        <v>30</v>
      </c>
      <c r="AS359" s="70">
        <f t="shared" si="224"/>
        <v>356</v>
      </c>
      <c r="AT359" s="71">
        <f t="shared" si="225"/>
        <v>8.7442632172781656E-2</v>
      </c>
      <c r="AU359" s="72">
        <f t="shared" si="205"/>
        <v>6.8214933659622723E-3</v>
      </c>
      <c r="AV359" s="73">
        <f t="shared" si="222"/>
        <v>1.0068214933659623</v>
      </c>
      <c r="AW359" s="74">
        <f>PRODUCT(AV$4:AV359)</f>
        <v>11.248179358741446</v>
      </c>
    </row>
    <row r="360" spans="5:49">
      <c r="E360">
        <f t="shared" si="223"/>
        <v>357</v>
      </c>
      <c r="F360" s="64">
        <f t="shared" si="206"/>
        <v>90.48</v>
      </c>
      <c r="G360" s="55">
        <f t="shared" si="207"/>
        <v>2.1466801853951778E-2</v>
      </c>
      <c r="H360" s="78">
        <f t="shared" si="226"/>
        <v>5.5545043592459258E-2</v>
      </c>
      <c r="I360" s="79">
        <f t="shared" ca="1" si="208"/>
        <v>0</v>
      </c>
      <c r="J360" s="79">
        <f t="shared" ca="1" si="209"/>
        <v>0</v>
      </c>
      <c r="K360" s="80">
        <f t="shared" ca="1" si="210"/>
        <v>0</v>
      </c>
      <c r="L360" s="80">
        <f t="shared" ca="1" si="211"/>
        <v>0</v>
      </c>
      <c r="M360" s="80">
        <f t="shared" ca="1" si="212"/>
        <v>0</v>
      </c>
      <c r="N360" s="80">
        <f t="shared" ca="1" si="213"/>
        <v>0</v>
      </c>
      <c r="O360" s="81">
        <f t="shared" ca="1" si="196"/>
        <v>0</v>
      </c>
      <c r="P360" s="79">
        <f t="shared" ca="1" si="197"/>
        <v>0</v>
      </c>
      <c r="Q360" s="35"/>
      <c r="R360">
        <f t="shared" ca="1" si="214"/>
        <v>357</v>
      </c>
      <c r="S360" s="78">
        <f t="shared" ca="1" si="215"/>
        <v>90.48</v>
      </c>
      <c r="T360" s="55">
        <f t="shared" ca="1" si="216"/>
        <v>2.1466801853951778E-2</v>
      </c>
      <c r="U360" s="78">
        <f t="shared" ca="1" si="217"/>
        <v>5.5545043592459258E-2</v>
      </c>
      <c r="V360" s="79">
        <f t="shared" ca="1" si="218"/>
        <v>0</v>
      </c>
      <c r="W360" s="79">
        <f t="shared" ca="1" si="198"/>
        <v>0</v>
      </c>
      <c r="X360" s="80">
        <f t="shared" ca="1" si="199"/>
        <v>0</v>
      </c>
      <c r="Y360" s="80">
        <f t="shared" ca="1" si="219"/>
        <v>0</v>
      </c>
      <c r="Z360" s="80">
        <f t="shared" ca="1" si="200"/>
        <v>0</v>
      </c>
      <c r="AA360" s="80">
        <f t="shared" ca="1" si="220"/>
        <v>0</v>
      </c>
      <c r="AB360" s="81">
        <f t="shared" ca="1" si="201"/>
        <v>0</v>
      </c>
      <c r="AC360" s="79">
        <f t="shared" ca="1" si="202"/>
        <v>0</v>
      </c>
      <c r="AD360" s="35"/>
      <c r="AE360" s="62">
        <f t="shared" ca="1" si="203"/>
        <v>0</v>
      </c>
      <c r="AF360" s="62">
        <f t="shared" ca="1" si="204"/>
        <v>0</v>
      </c>
      <c r="AG360" s="35"/>
      <c r="AH360" s="35"/>
      <c r="AR360" s="69">
        <f t="shared" si="221"/>
        <v>30</v>
      </c>
      <c r="AS360" s="70">
        <f t="shared" si="224"/>
        <v>357</v>
      </c>
      <c r="AT360" s="71">
        <f t="shared" si="225"/>
        <v>8.6846142837512741E-2</v>
      </c>
      <c r="AU360" s="72">
        <f t="shared" si="205"/>
        <v>6.8214933659622723E-3</v>
      </c>
      <c r="AV360" s="73">
        <f t="shared" si="222"/>
        <v>1.0068214933659623</v>
      </c>
      <c r="AW360" s="74">
        <f>PRODUCT(AV$4:AV360)</f>
        <v>11.324908739616255</v>
      </c>
    </row>
    <row r="361" spans="5:49">
      <c r="E361">
        <f t="shared" si="223"/>
        <v>358</v>
      </c>
      <c r="F361" s="64">
        <f t="shared" si="206"/>
        <v>90.56</v>
      </c>
      <c r="G361" s="55">
        <f t="shared" si="207"/>
        <v>2.3512861877976521E-2</v>
      </c>
      <c r="H361" s="78">
        <f t="shared" si="226"/>
        <v>5.4239020654463579E-2</v>
      </c>
      <c r="I361" s="79">
        <f t="shared" ca="1" si="208"/>
        <v>0</v>
      </c>
      <c r="J361" s="79">
        <f t="shared" ca="1" si="209"/>
        <v>0</v>
      </c>
      <c r="K361" s="80">
        <f t="shared" ca="1" si="210"/>
        <v>0</v>
      </c>
      <c r="L361" s="80">
        <f t="shared" ca="1" si="211"/>
        <v>0</v>
      </c>
      <c r="M361" s="80">
        <f t="shared" ca="1" si="212"/>
        <v>0</v>
      </c>
      <c r="N361" s="80">
        <f t="shared" ca="1" si="213"/>
        <v>0</v>
      </c>
      <c r="O361" s="81">
        <f t="shared" ca="1" si="196"/>
        <v>0</v>
      </c>
      <c r="P361" s="79">
        <f t="shared" ca="1" si="197"/>
        <v>0</v>
      </c>
      <c r="Q361" s="35"/>
      <c r="R361">
        <f t="shared" ca="1" si="214"/>
        <v>358</v>
      </c>
      <c r="S361" s="78">
        <f t="shared" ca="1" si="215"/>
        <v>90.56</v>
      </c>
      <c r="T361" s="55">
        <f t="shared" ca="1" si="216"/>
        <v>2.3512861877976521E-2</v>
      </c>
      <c r="U361" s="78">
        <f t="shared" ca="1" si="217"/>
        <v>5.4239020654463579E-2</v>
      </c>
      <c r="V361" s="79">
        <f t="shared" ca="1" si="218"/>
        <v>0</v>
      </c>
      <c r="W361" s="79">
        <f t="shared" ca="1" si="198"/>
        <v>0</v>
      </c>
      <c r="X361" s="80">
        <f t="shared" ca="1" si="199"/>
        <v>0</v>
      </c>
      <c r="Y361" s="80">
        <f t="shared" ca="1" si="219"/>
        <v>0</v>
      </c>
      <c r="Z361" s="80">
        <f t="shared" ca="1" si="200"/>
        <v>0</v>
      </c>
      <c r="AA361" s="80">
        <f t="shared" ca="1" si="220"/>
        <v>0</v>
      </c>
      <c r="AB361" s="81">
        <f t="shared" ca="1" si="201"/>
        <v>0</v>
      </c>
      <c r="AC361" s="79">
        <f t="shared" ca="1" si="202"/>
        <v>0</v>
      </c>
      <c r="AD361" s="35"/>
      <c r="AE361" s="62">
        <f t="shared" ca="1" si="203"/>
        <v>0</v>
      </c>
      <c r="AF361" s="62">
        <f t="shared" ca="1" si="204"/>
        <v>0</v>
      </c>
      <c r="AG361" s="35"/>
      <c r="AH361" s="35"/>
      <c r="AR361" s="69">
        <f t="shared" si="221"/>
        <v>30</v>
      </c>
      <c r="AS361" s="70">
        <f t="shared" si="224"/>
        <v>358</v>
      </c>
      <c r="AT361" s="71">
        <f t="shared" si="225"/>
        <v>8.6253722450287229E-2</v>
      </c>
      <c r="AU361" s="72">
        <f t="shared" si="205"/>
        <v>6.8214933659622723E-3</v>
      </c>
      <c r="AV361" s="73">
        <f t="shared" si="222"/>
        <v>1.0068214933659623</v>
      </c>
      <c r="AW361" s="74">
        <f>PRODUCT(AV$4:AV361)</f>
        <v>11.402161529453675</v>
      </c>
    </row>
    <row r="362" spans="5:49">
      <c r="E362">
        <f t="shared" si="223"/>
        <v>359</v>
      </c>
      <c r="F362" s="64">
        <f t="shared" si="206"/>
        <v>90.64</v>
      </c>
      <c r="G362" s="55">
        <f t="shared" si="207"/>
        <v>2.3512861877976521E-2</v>
      </c>
      <c r="H362" s="78">
        <f t="shared" si="226"/>
        <v>5.2963706053418463E-2</v>
      </c>
      <c r="I362" s="79">
        <f t="shared" ca="1" si="208"/>
        <v>0</v>
      </c>
      <c r="J362" s="79">
        <f t="shared" ca="1" si="209"/>
        <v>0</v>
      </c>
      <c r="K362" s="80">
        <f t="shared" ca="1" si="210"/>
        <v>0</v>
      </c>
      <c r="L362" s="80">
        <f t="shared" ca="1" si="211"/>
        <v>0</v>
      </c>
      <c r="M362" s="80">
        <f t="shared" ca="1" si="212"/>
        <v>0</v>
      </c>
      <c r="N362" s="80">
        <f t="shared" ca="1" si="213"/>
        <v>0</v>
      </c>
      <c r="O362" s="81">
        <f t="shared" ca="1" si="196"/>
        <v>0</v>
      </c>
      <c r="P362" s="79">
        <f t="shared" ca="1" si="197"/>
        <v>0</v>
      </c>
      <c r="Q362" s="35"/>
      <c r="R362">
        <f t="shared" ca="1" si="214"/>
        <v>359</v>
      </c>
      <c r="S362" s="78">
        <f t="shared" ca="1" si="215"/>
        <v>90.64</v>
      </c>
      <c r="T362" s="55">
        <f t="shared" ca="1" si="216"/>
        <v>2.3512861877976521E-2</v>
      </c>
      <c r="U362" s="78">
        <f t="shared" ca="1" si="217"/>
        <v>5.2963706053418463E-2</v>
      </c>
      <c r="V362" s="79">
        <f t="shared" ca="1" si="218"/>
        <v>0</v>
      </c>
      <c r="W362" s="79">
        <f t="shared" ca="1" si="198"/>
        <v>0</v>
      </c>
      <c r="X362" s="80">
        <f t="shared" ca="1" si="199"/>
        <v>0</v>
      </c>
      <c r="Y362" s="80">
        <f t="shared" ca="1" si="219"/>
        <v>0</v>
      </c>
      <c r="Z362" s="80">
        <f t="shared" ca="1" si="200"/>
        <v>0</v>
      </c>
      <c r="AA362" s="80">
        <f t="shared" ca="1" si="220"/>
        <v>0</v>
      </c>
      <c r="AB362" s="81">
        <f t="shared" ca="1" si="201"/>
        <v>0</v>
      </c>
      <c r="AC362" s="79">
        <f t="shared" ca="1" si="202"/>
        <v>0</v>
      </c>
      <c r="AD362" s="35"/>
      <c r="AE362" s="62">
        <f t="shared" ca="1" si="203"/>
        <v>0</v>
      </c>
      <c r="AF362" s="62">
        <f t="shared" ca="1" si="204"/>
        <v>0</v>
      </c>
      <c r="AG362" s="35"/>
      <c r="AH362" s="35"/>
      <c r="AR362" s="69">
        <f t="shared" si="221"/>
        <v>30</v>
      </c>
      <c r="AS362" s="70">
        <f t="shared" si="224"/>
        <v>359</v>
      </c>
      <c r="AT362" s="71">
        <f t="shared" si="225"/>
        <v>8.5665343254803045E-2</v>
      </c>
      <c r="AU362" s="72">
        <f t="shared" si="205"/>
        <v>6.8214933659622723E-3</v>
      </c>
      <c r="AV362" s="73">
        <f t="shared" si="222"/>
        <v>1.0068214933659623</v>
      </c>
      <c r="AW362" s="74">
        <f>PRODUCT(AV$4:AV362)</f>
        <v>11.479941298684473</v>
      </c>
    </row>
    <row r="363" spans="5:49">
      <c r="E363">
        <f t="shared" si="223"/>
        <v>360</v>
      </c>
      <c r="F363" s="64">
        <f t="shared" si="206"/>
        <v>90.72</v>
      </c>
      <c r="G363" s="55">
        <f t="shared" si="207"/>
        <v>2.3512861877976521E-2</v>
      </c>
      <c r="H363" s="78">
        <f t="shared" si="226"/>
        <v>5.1718377748438689E-2</v>
      </c>
      <c r="I363" s="79">
        <f t="shared" ca="1" si="208"/>
        <v>0</v>
      </c>
      <c r="J363" s="79">
        <f t="shared" ca="1" si="209"/>
        <v>0</v>
      </c>
      <c r="K363" s="80">
        <f t="shared" ca="1" si="210"/>
        <v>0</v>
      </c>
      <c r="L363" s="80">
        <f t="shared" ca="1" si="211"/>
        <v>0</v>
      </c>
      <c r="M363" s="80">
        <f t="shared" ca="1" si="212"/>
        <v>0</v>
      </c>
      <c r="N363" s="80">
        <f t="shared" ca="1" si="213"/>
        <v>0</v>
      </c>
      <c r="O363" s="81">
        <f t="shared" ca="1" si="196"/>
        <v>0</v>
      </c>
      <c r="P363" s="79">
        <f t="shared" ca="1" si="197"/>
        <v>0</v>
      </c>
      <c r="Q363" s="35"/>
      <c r="R363">
        <f t="shared" ca="1" si="214"/>
        <v>360</v>
      </c>
      <c r="S363" s="78">
        <f t="shared" ca="1" si="215"/>
        <v>90.72</v>
      </c>
      <c r="T363" s="55">
        <f t="shared" ca="1" si="216"/>
        <v>2.3512861877976521E-2</v>
      </c>
      <c r="U363" s="78">
        <f t="shared" ca="1" si="217"/>
        <v>5.1718377748438689E-2</v>
      </c>
      <c r="V363" s="79">
        <f t="shared" ca="1" si="218"/>
        <v>0</v>
      </c>
      <c r="W363" s="79">
        <f t="shared" ca="1" si="198"/>
        <v>0</v>
      </c>
      <c r="X363" s="80">
        <f t="shared" ca="1" si="199"/>
        <v>0</v>
      </c>
      <c r="Y363" s="80">
        <f t="shared" ca="1" si="219"/>
        <v>0</v>
      </c>
      <c r="Z363" s="80">
        <f t="shared" ca="1" si="200"/>
        <v>0</v>
      </c>
      <c r="AA363" s="80">
        <f t="shared" ca="1" si="220"/>
        <v>0</v>
      </c>
      <c r="AB363" s="81">
        <f t="shared" ca="1" si="201"/>
        <v>0</v>
      </c>
      <c r="AC363" s="79">
        <f t="shared" ca="1" si="202"/>
        <v>0</v>
      </c>
      <c r="AD363" s="35"/>
      <c r="AE363" s="62">
        <f t="shared" ca="1" si="203"/>
        <v>0</v>
      </c>
      <c r="AF363" s="62">
        <f t="shared" ca="1" si="204"/>
        <v>0</v>
      </c>
      <c r="AG363" s="35"/>
      <c r="AH363" s="35"/>
      <c r="AR363" s="69">
        <f t="shared" si="221"/>
        <v>30</v>
      </c>
      <c r="AS363" s="70">
        <f t="shared" si="224"/>
        <v>360</v>
      </c>
      <c r="AT363" s="71">
        <f t="shared" si="225"/>
        <v>8.5080977684097531E-2</v>
      </c>
      <c r="AU363" s="72">
        <f t="shared" si="205"/>
        <v>6.8214933659622723E-3</v>
      </c>
      <c r="AV363" s="73">
        <f t="shared" si="222"/>
        <v>1.0068214933659623</v>
      </c>
      <c r="AW363" s="74">
        <f>PRODUCT(AV$4:AV363)</f>
        <v>11.558251642095085</v>
      </c>
    </row>
    <row r="364" spans="5:49">
      <c r="E364">
        <f t="shared" si="223"/>
        <v>361</v>
      </c>
      <c r="F364" s="64">
        <f t="shared" si="206"/>
        <v>90.8</v>
      </c>
      <c r="G364" s="55">
        <f t="shared" si="207"/>
        <v>2.3512861877976521E-2</v>
      </c>
      <c r="H364" s="78">
        <f t="shared" si="226"/>
        <v>5.0502330675886636E-2</v>
      </c>
      <c r="I364" s="79">
        <f t="shared" ca="1" si="208"/>
        <v>0</v>
      </c>
      <c r="J364" s="79">
        <f t="shared" ca="1" si="209"/>
        <v>0</v>
      </c>
      <c r="K364" s="80">
        <f t="shared" ca="1" si="210"/>
        <v>0</v>
      </c>
      <c r="L364" s="80">
        <f t="shared" ca="1" si="211"/>
        <v>0</v>
      </c>
      <c r="M364" s="80">
        <f t="shared" ca="1" si="212"/>
        <v>0</v>
      </c>
      <c r="N364" s="80">
        <f t="shared" ca="1" si="213"/>
        <v>0</v>
      </c>
      <c r="O364" s="81">
        <f t="shared" ca="1" si="196"/>
        <v>0</v>
      </c>
      <c r="P364" s="79">
        <f t="shared" ca="1" si="197"/>
        <v>0</v>
      </c>
      <c r="Q364" s="35"/>
      <c r="R364">
        <f t="shared" ca="1" si="214"/>
        <v>361</v>
      </c>
      <c r="S364" s="78">
        <f t="shared" ca="1" si="215"/>
        <v>90.8</v>
      </c>
      <c r="T364" s="55">
        <f t="shared" ca="1" si="216"/>
        <v>2.3512861877976521E-2</v>
      </c>
      <c r="U364" s="78">
        <f t="shared" ca="1" si="217"/>
        <v>5.0502330675886636E-2</v>
      </c>
      <c r="V364" s="79">
        <f t="shared" ca="1" si="218"/>
        <v>0</v>
      </c>
      <c r="W364" s="79">
        <f t="shared" ca="1" si="198"/>
        <v>0</v>
      </c>
      <c r="X364" s="80">
        <f t="shared" ca="1" si="199"/>
        <v>0</v>
      </c>
      <c r="Y364" s="80">
        <f t="shared" ca="1" si="219"/>
        <v>0</v>
      </c>
      <c r="Z364" s="80">
        <f t="shared" ca="1" si="200"/>
        <v>0</v>
      </c>
      <c r="AA364" s="80">
        <f t="shared" ca="1" si="220"/>
        <v>0</v>
      </c>
      <c r="AB364" s="81">
        <f t="shared" ca="1" si="201"/>
        <v>0</v>
      </c>
      <c r="AC364" s="79">
        <f t="shared" ca="1" si="202"/>
        <v>0</v>
      </c>
      <c r="AD364" s="35"/>
      <c r="AE364" s="62">
        <f t="shared" ca="1" si="203"/>
        <v>0</v>
      </c>
      <c r="AF364" s="62">
        <f t="shared" ca="1" si="204"/>
        <v>0</v>
      </c>
      <c r="AG364" s="35"/>
      <c r="AH364" s="35"/>
      <c r="AR364" s="69">
        <f t="shared" si="221"/>
        <v>31</v>
      </c>
      <c r="AS364" s="70">
        <f t="shared" si="224"/>
        <v>361</v>
      </c>
      <c r="AT364" s="71">
        <f t="shared" si="225"/>
        <v>8.4500598359255871E-2</v>
      </c>
      <c r="AU364" s="72">
        <f t="shared" si="205"/>
        <v>6.8214933659622723E-3</v>
      </c>
      <c r="AV364" s="73">
        <f t="shared" si="222"/>
        <v>1.0068214933659623</v>
      </c>
      <c r="AW364" s="74">
        <f>PRODUCT(AV$4:AV364)</f>
        <v>11.63709617899376</v>
      </c>
    </row>
    <row r="365" spans="5:49">
      <c r="E365">
        <f t="shared" si="223"/>
        <v>362</v>
      </c>
      <c r="F365" s="64">
        <f t="shared" si="206"/>
        <v>90.88</v>
      </c>
      <c r="G365" s="55">
        <f t="shared" si="207"/>
        <v>2.3512861877976521E-2</v>
      </c>
      <c r="H365" s="78">
        <f t="shared" si="226"/>
        <v>4.9314876350188615E-2</v>
      </c>
      <c r="I365" s="79">
        <f t="shared" ca="1" si="208"/>
        <v>0</v>
      </c>
      <c r="J365" s="79">
        <f t="shared" ca="1" si="209"/>
        <v>0</v>
      </c>
      <c r="K365" s="80">
        <f t="shared" ca="1" si="210"/>
        <v>0</v>
      </c>
      <c r="L365" s="80">
        <f t="shared" ca="1" si="211"/>
        <v>0</v>
      </c>
      <c r="M365" s="80">
        <f t="shared" ca="1" si="212"/>
        <v>0</v>
      </c>
      <c r="N365" s="80">
        <f t="shared" ca="1" si="213"/>
        <v>0</v>
      </c>
      <c r="O365" s="81">
        <f t="shared" ca="1" si="196"/>
        <v>0</v>
      </c>
      <c r="P365" s="79">
        <f t="shared" ca="1" si="197"/>
        <v>0</v>
      </c>
      <c r="Q365" s="35"/>
      <c r="R365">
        <f t="shared" ca="1" si="214"/>
        <v>362</v>
      </c>
      <c r="S365" s="78">
        <f t="shared" ca="1" si="215"/>
        <v>90.88</v>
      </c>
      <c r="T365" s="55">
        <f t="shared" ca="1" si="216"/>
        <v>2.3512861877976521E-2</v>
      </c>
      <c r="U365" s="78">
        <f t="shared" ca="1" si="217"/>
        <v>4.9314876350188615E-2</v>
      </c>
      <c r="V365" s="79">
        <f t="shared" ca="1" si="218"/>
        <v>0</v>
      </c>
      <c r="W365" s="79">
        <f t="shared" ca="1" si="198"/>
        <v>0</v>
      </c>
      <c r="X365" s="80">
        <f t="shared" ca="1" si="199"/>
        <v>0</v>
      </c>
      <c r="Y365" s="80">
        <f t="shared" ca="1" si="219"/>
        <v>0</v>
      </c>
      <c r="Z365" s="80">
        <f t="shared" ca="1" si="200"/>
        <v>0</v>
      </c>
      <c r="AA365" s="80">
        <f t="shared" ca="1" si="220"/>
        <v>0</v>
      </c>
      <c r="AB365" s="81">
        <f t="shared" ca="1" si="201"/>
        <v>0</v>
      </c>
      <c r="AC365" s="79">
        <f t="shared" ca="1" si="202"/>
        <v>0</v>
      </c>
      <c r="AD365" s="35"/>
      <c r="AE365" s="62">
        <f t="shared" ca="1" si="203"/>
        <v>0</v>
      </c>
      <c r="AF365" s="62">
        <f t="shared" ca="1" si="204"/>
        <v>0</v>
      </c>
      <c r="AG365" s="35"/>
      <c r="AH365" s="35"/>
      <c r="AR365" s="69">
        <f t="shared" si="221"/>
        <v>31</v>
      </c>
      <c r="AS365" s="70">
        <f t="shared" si="224"/>
        <v>362</v>
      </c>
      <c r="AT365" s="71">
        <f t="shared" si="225"/>
        <v>8.3924178088128368E-2</v>
      </c>
      <c r="AU365" s="72">
        <f t="shared" si="205"/>
        <v>6.8214933659622723E-3</v>
      </c>
      <c r="AV365" s="73">
        <f t="shared" si="222"/>
        <v>1.0068214933659623</v>
      </c>
      <c r="AW365" s="74">
        <f>PRODUCT(AV$4:AV365)</f>
        <v>11.716478553377831</v>
      </c>
    </row>
    <row r="366" spans="5:49">
      <c r="E366">
        <f t="shared" si="223"/>
        <v>363</v>
      </c>
      <c r="F366" s="64">
        <f t="shared" si="206"/>
        <v>90.96</v>
      </c>
      <c r="G366" s="55">
        <f t="shared" si="207"/>
        <v>2.3512861877976521E-2</v>
      </c>
      <c r="H366" s="78">
        <f t="shared" si="226"/>
        <v>4.815534247403714E-2</v>
      </c>
      <c r="I366" s="79">
        <f t="shared" ca="1" si="208"/>
        <v>0</v>
      </c>
      <c r="J366" s="79">
        <f t="shared" ca="1" si="209"/>
        <v>0</v>
      </c>
      <c r="K366" s="80">
        <f t="shared" ca="1" si="210"/>
        <v>0</v>
      </c>
      <c r="L366" s="80">
        <f t="shared" ca="1" si="211"/>
        <v>0</v>
      </c>
      <c r="M366" s="80">
        <f t="shared" ca="1" si="212"/>
        <v>0</v>
      </c>
      <c r="N366" s="80">
        <f t="shared" ca="1" si="213"/>
        <v>0</v>
      </c>
      <c r="O366" s="81">
        <f t="shared" ca="1" si="196"/>
        <v>0</v>
      </c>
      <c r="P366" s="79">
        <f t="shared" ca="1" si="197"/>
        <v>0</v>
      </c>
      <c r="Q366" s="35"/>
      <c r="R366">
        <f t="shared" ca="1" si="214"/>
        <v>363</v>
      </c>
      <c r="S366" s="78">
        <f t="shared" ca="1" si="215"/>
        <v>90.96</v>
      </c>
      <c r="T366" s="55">
        <f t="shared" ca="1" si="216"/>
        <v>2.3512861877976521E-2</v>
      </c>
      <c r="U366" s="78">
        <f t="shared" ca="1" si="217"/>
        <v>4.815534247403714E-2</v>
      </c>
      <c r="V366" s="79">
        <f t="shared" ca="1" si="218"/>
        <v>0</v>
      </c>
      <c r="W366" s="79">
        <f t="shared" ca="1" si="198"/>
        <v>0</v>
      </c>
      <c r="X366" s="80">
        <f t="shared" ca="1" si="199"/>
        <v>0</v>
      </c>
      <c r="Y366" s="80">
        <f t="shared" ca="1" si="219"/>
        <v>0</v>
      </c>
      <c r="Z366" s="80">
        <f t="shared" ca="1" si="200"/>
        <v>0</v>
      </c>
      <c r="AA366" s="80">
        <f t="shared" ca="1" si="220"/>
        <v>0</v>
      </c>
      <c r="AB366" s="81">
        <f t="shared" ca="1" si="201"/>
        <v>0</v>
      </c>
      <c r="AC366" s="79">
        <f t="shared" ca="1" si="202"/>
        <v>0</v>
      </c>
      <c r="AD366" s="35"/>
      <c r="AE366" s="62">
        <f t="shared" ca="1" si="203"/>
        <v>0</v>
      </c>
      <c r="AF366" s="62">
        <f t="shared" ca="1" si="204"/>
        <v>0</v>
      </c>
      <c r="AG366" s="35"/>
      <c r="AH366" s="35"/>
      <c r="AR366" s="69">
        <f t="shared" si="221"/>
        <v>31</v>
      </c>
      <c r="AS366" s="70">
        <f t="shared" si="224"/>
        <v>363</v>
      </c>
      <c r="AT366" s="71">
        <f t="shared" si="225"/>
        <v>8.3351689864056361E-2</v>
      </c>
      <c r="AU366" s="72">
        <f t="shared" si="205"/>
        <v>6.8214933659622723E-3</v>
      </c>
      <c r="AV366" s="73">
        <f t="shared" si="222"/>
        <v>1.0068214933659623</v>
      </c>
      <c r="AW366" s="74">
        <f>PRODUCT(AV$4:AV366)</f>
        <v>11.796402434102138</v>
      </c>
    </row>
    <row r="367" spans="5:49">
      <c r="E367">
        <f t="shared" si="223"/>
        <v>364</v>
      </c>
      <c r="F367" s="64">
        <f t="shared" si="206"/>
        <v>91.04</v>
      </c>
      <c r="G367" s="55">
        <f t="shared" si="207"/>
        <v>2.3512861877976521E-2</v>
      </c>
      <c r="H367" s="78">
        <f t="shared" si="226"/>
        <v>4.702307255775845E-2</v>
      </c>
      <c r="I367" s="79">
        <f t="shared" ca="1" si="208"/>
        <v>0</v>
      </c>
      <c r="J367" s="79">
        <f t="shared" ca="1" si="209"/>
        <v>0</v>
      </c>
      <c r="K367" s="80">
        <f t="shared" ca="1" si="210"/>
        <v>0</v>
      </c>
      <c r="L367" s="80">
        <f t="shared" ca="1" si="211"/>
        <v>0</v>
      </c>
      <c r="M367" s="80">
        <f t="shared" ca="1" si="212"/>
        <v>0</v>
      </c>
      <c r="N367" s="80">
        <f t="shared" ca="1" si="213"/>
        <v>0</v>
      </c>
      <c r="O367" s="81">
        <f t="shared" ca="1" si="196"/>
        <v>0</v>
      </c>
      <c r="P367" s="79">
        <f t="shared" ca="1" si="197"/>
        <v>0</v>
      </c>
      <c r="Q367" s="35"/>
      <c r="R367">
        <f t="shared" ca="1" si="214"/>
        <v>364</v>
      </c>
      <c r="S367" s="78">
        <f t="shared" ca="1" si="215"/>
        <v>91.04</v>
      </c>
      <c r="T367" s="55">
        <f t="shared" ca="1" si="216"/>
        <v>2.3512861877976521E-2</v>
      </c>
      <c r="U367" s="78">
        <f t="shared" ca="1" si="217"/>
        <v>4.702307255775845E-2</v>
      </c>
      <c r="V367" s="79">
        <f t="shared" ca="1" si="218"/>
        <v>0</v>
      </c>
      <c r="W367" s="79">
        <f t="shared" ca="1" si="198"/>
        <v>0</v>
      </c>
      <c r="X367" s="80">
        <f t="shared" ca="1" si="199"/>
        <v>0</v>
      </c>
      <c r="Y367" s="80">
        <f t="shared" ca="1" si="219"/>
        <v>0</v>
      </c>
      <c r="Z367" s="80">
        <f t="shared" ca="1" si="200"/>
        <v>0</v>
      </c>
      <c r="AA367" s="80">
        <f t="shared" ca="1" si="220"/>
        <v>0</v>
      </c>
      <c r="AB367" s="81">
        <f t="shared" ca="1" si="201"/>
        <v>0</v>
      </c>
      <c r="AC367" s="79">
        <f t="shared" ca="1" si="202"/>
        <v>0</v>
      </c>
      <c r="AD367" s="35"/>
      <c r="AE367" s="62">
        <f t="shared" ca="1" si="203"/>
        <v>0</v>
      </c>
      <c r="AF367" s="62">
        <f t="shared" ca="1" si="204"/>
        <v>0</v>
      </c>
      <c r="AG367" s="35"/>
      <c r="AH367" s="35"/>
      <c r="AR367" s="69">
        <f t="shared" si="221"/>
        <v>31</v>
      </c>
      <c r="AS367" s="70">
        <f t="shared" si="224"/>
        <v>364</v>
      </c>
      <c r="AT367" s="71">
        <f t="shared" si="225"/>
        <v>8.2783106864606951E-2</v>
      </c>
      <c r="AU367" s="72">
        <f t="shared" si="205"/>
        <v>6.8214933659622723E-3</v>
      </c>
      <c r="AV367" s="73">
        <f t="shared" si="222"/>
        <v>1.0068214933659623</v>
      </c>
      <c r="AW367" s="74">
        <f>PRODUCT(AV$4:AV367)</f>
        <v>11.876871515048586</v>
      </c>
    </row>
    <row r="368" spans="5:49">
      <c r="E368">
        <f t="shared" si="223"/>
        <v>365</v>
      </c>
      <c r="F368" s="64">
        <f t="shared" si="206"/>
        <v>91.12</v>
      </c>
      <c r="G368" s="55">
        <f t="shared" si="207"/>
        <v>2.3512861877976521E-2</v>
      </c>
      <c r="H368" s="78">
        <f t="shared" si="226"/>
        <v>4.5917425547629807E-2</v>
      </c>
      <c r="I368" s="79">
        <f t="shared" ca="1" si="208"/>
        <v>0</v>
      </c>
      <c r="J368" s="79">
        <f t="shared" ca="1" si="209"/>
        <v>0</v>
      </c>
      <c r="K368" s="80">
        <f t="shared" ca="1" si="210"/>
        <v>0</v>
      </c>
      <c r="L368" s="80">
        <f t="shared" ca="1" si="211"/>
        <v>0</v>
      </c>
      <c r="M368" s="80">
        <f t="shared" ca="1" si="212"/>
        <v>0</v>
      </c>
      <c r="N368" s="80">
        <f t="shared" ca="1" si="213"/>
        <v>0</v>
      </c>
      <c r="O368" s="81">
        <f t="shared" ca="1" si="196"/>
        <v>0</v>
      </c>
      <c r="P368" s="79">
        <f t="shared" ca="1" si="197"/>
        <v>0</v>
      </c>
      <c r="Q368" s="35"/>
      <c r="R368">
        <f t="shared" ca="1" si="214"/>
        <v>365</v>
      </c>
      <c r="S368" s="78">
        <f t="shared" ca="1" si="215"/>
        <v>91.12</v>
      </c>
      <c r="T368" s="55">
        <f t="shared" ca="1" si="216"/>
        <v>2.3512861877976521E-2</v>
      </c>
      <c r="U368" s="78">
        <f t="shared" ca="1" si="217"/>
        <v>4.5917425547629807E-2</v>
      </c>
      <c r="V368" s="79">
        <f t="shared" ca="1" si="218"/>
        <v>0</v>
      </c>
      <c r="W368" s="79">
        <f t="shared" ca="1" si="198"/>
        <v>0</v>
      </c>
      <c r="X368" s="80">
        <f t="shared" ca="1" si="199"/>
        <v>0</v>
      </c>
      <c r="Y368" s="80">
        <f t="shared" ca="1" si="219"/>
        <v>0</v>
      </c>
      <c r="Z368" s="80">
        <f t="shared" ca="1" si="200"/>
        <v>0</v>
      </c>
      <c r="AA368" s="80">
        <f t="shared" ca="1" si="220"/>
        <v>0</v>
      </c>
      <c r="AB368" s="81">
        <f t="shared" ca="1" si="201"/>
        <v>0</v>
      </c>
      <c r="AC368" s="79">
        <f t="shared" ca="1" si="202"/>
        <v>0</v>
      </c>
      <c r="AD368" s="35"/>
      <c r="AE368" s="62">
        <f t="shared" ca="1" si="203"/>
        <v>0</v>
      </c>
      <c r="AF368" s="62">
        <f t="shared" ca="1" si="204"/>
        <v>0</v>
      </c>
      <c r="AG368" s="35"/>
      <c r="AH368" s="35"/>
      <c r="AR368" s="69">
        <f t="shared" si="221"/>
        <v>31</v>
      </c>
      <c r="AS368" s="70">
        <f t="shared" si="224"/>
        <v>365</v>
      </c>
      <c r="AT368" s="71">
        <f t="shared" si="225"/>
        <v>8.2218402450316294E-2</v>
      </c>
      <c r="AU368" s="72">
        <f t="shared" si="205"/>
        <v>6.8214933659622723E-3</v>
      </c>
      <c r="AV368" s="73">
        <f t="shared" si="222"/>
        <v>1.0068214933659623</v>
      </c>
      <c r="AW368" s="74">
        <f>PRODUCT(AV$4:AV368)</f>
        <v>11.957889515296877</v>
      </c>
    </row>
    <row r="369" spans="5:49">
      <c r="E369">
        <f t="shared" si="223"/>
        <v>366</v>
      </c>
      <c r="F369" s="64">
        <f t="shared" si="206"/>
        <v>91.2</v>
      </c>
      <c r="G369" s="55">
        <f t="shared" si="207"/>
        <v>2.3512861877976521E-2</v>
      </c>
      <c r="H369" s="78">
        <f t="shared" si="226"/>
        <v>4.4837775462936116E-2</v>
      </c>
      <c r="I369" s="79">
        <f t="shared" ca="1" si="208"/>
        <v>0</v>
      </c>
      <c r="J369" s="79">
        <f t="shared" ca="1" si="209"/>
        <v>0</v>
      </c>
      <c r="K369" s="80">
        <f t="shared" ca="1" si="210"/>
        <v>0</v>
      </c>
      <c r="L369" s="80">
        <f t="shared" ca="1" si="211"/>
        <v>0</v>
      </c>
      <c r="M369" s="80">
        <f t="shared" ca="1" si="212"/>
        <v>0</v>
      </c>
      <c r="N369" s="80">
        <f t="shared" ca="1" si="213"/>
        <v>0</v>
      </c>
      <c r="O369" s="81">
        <f t="shared" ca="1" si="196"/>
        <v>0</v>
      </c>
      <c r="P369" s="79">
        <f t="shared" ca="1" si="197"/>
        <v>0</v>
      </c>
      <c r="Q369" s="35"/>
      <c r="R369">
        <f t="shared" ca="1" si="214"/>
        <v>366</v>
      </c>
      <c r="S369" s="78">
        <f t="shared" ca="1" si="215"/>
        <v>91.2</v>
      </c>
      <c r="T369" s="55">
        <f t="shared" ca="1" si="216"/>
        <v>2.3512861877976521E-2</v>
      </c>
      <c r="U369" s="78">
        <f t="shared" ca="1" si="217"/>
        <v>4.4837775462936116E-2</v>
      </c>
      <c r="V369" s="79">
        <f t="shared" ca="1" si="218"/>
        <v>0</v>
      </c>
      <c r="W369" s="79">
        <f t="shared" ca="1" si="198"/>
        <v>0</v>
      </c>
      <c r="X369" s="80">
        <f t="shared" ca="1" si="199"/>
        <v>0</v>
      </c>
      <c r="Y369" s="80">
        <f t="shared" ca="1" si="219"/>
        <v>0</v>
      </c>
      <c r="Z369" s="80">
        <f t="shared" ca="1" si="200"/>
        <v>0</v>
      </c>
      <c r="AA369" s="80">
        <f t="shared" ca="1" si="220"/>
        <v>0</v>
      </c>
      <c r="AB369" s="81">
        <f t="shared" ca="1" si="201"/>
        <v>0</v>
      </c>
      <c r="AC369" s="79">
        <f t="shared" ca="1" si="202"/>
        <v>0</v>
      </c>
      <c r="AD369" s="35"/>
      <c r="AE369" s="62">
        <f t="shared" ca="1" si="203"/>
        <v>0</v>
      </c>
      <c r="AF369" s="62">
        <f t="shared" ca="1" si="204"/>
        <v>0</v>
      </c>
      <c r="AG369" s="35"/>
      <c r="AH369" s="35"/>
      <c r="AR369" s="69">
        <f t="shared" si="221"/>
        <v>31</v>
      </c>
      <c r="AS369" s="70">
        <f t="shared" si="224"/>
        <v>366</v>
      </c>
      <c r="AT369" s="71">
        <f t="shared" si="225"/>
        <v>8.165755016344145E-2</v>
      </c>
      <c r="AU369" s="72">
        <f t="shared" si="205"/>
        <v>6.8214933659622723E-3</v>
      </c>
      <c r="AV369" s="73">
        <f t="shared" si="222"/>
        <v>1.0068214933659623</v>
      </c>
      <c r="AW369" s="74">
        <f>PRODUCT(AV$4:AV369)</f>
        <v>12.039460179296384</v>
      </c>
    </row>
    <row r="370" spans="5:49">
      <c r="E370">
        <f t="shared" si="223"/>
        <v>367</v>
      </c>
      <c r="F370" s="64">
        <f t="shared" si="206"/>
        <v>91.28</v>
      </c>
      <c r="G370" s="55">
        <f t="shared" si="207"/>
        <v>2.3512861877976521E-2</v>
      </c>
      <c r="H370" s="78">
        <f t="shared" si="226"/>
        <v>4.3783511041560377E-2</v>
      </c>
      <c r="I370" s="79">
        <f t="shared" ca="1" si="208"/>
        <v>0</v>
      </c>
      <c r="J370" s="79">
        <f t="shared" ca="1" si="209"/>
        <v>0</v>
      </c>
      <c r="K370" s="80">
        <f t="shared" ca="1" si="210"/>
        <v>0</v>
      </c>
      <c r="L370" s="80">
        <f t="shared" ca="1" si="211"/>
        <v>0</v>
      </c>
      <c r="M370" s="80">
        <f t="shared" ca="1" si="212"/>
        <v>0</v>
      </c>
      <c r="N370" s="80">
        <f t="shared" ca="1" si="213"/>
        <v>0</v>
      </c>
      <c r="O370" s="81">
        <f t="shared" ca="1" si="196"/>
        <v>0</v>
      </c>
      <c r="P370" s="79">
        <f t="shared" ca="1" si="197"/>
        <v>0</v>
      </c>
      <c r="Q370" s="35"/>
      <c r="R370">
        <f t="shared" ca="1" si="214"/>
        <v>367</v>
      </c>
      <c r="S370" s="78">
        <f t="shared" ca="1" si="215"/>
        <v>91.28</v>
      </c>
      <c r="T370" s="55">
        <f t="shared" ca="1" si="216"/>
        <v>2.3512861877976521E-2</v>
      </c>
      <c r="U370" s="78">
        <f t="shared" ca="1" si="217"/>
        <v>4.3783511041560377E-2</v>
      </c>
      <c r="V370" s="79">
        <f t="shared" ca="1" si="218"/>
        <v>0</v>
      </c>
      <c r="W370" s="79">
        <f t="shared" ca="1" si="198"/>
        <v>0</v>
      </c>
      <c r="X370" s="80">
        <f t="shared" ca="1" si="199"/>
        <v>0</v>
      </c>
      <c r="Y370" s="80">
        <f t="shared" ca="1" si="219"/>
        <v>0</v>
      </c>
      <c r="Z370" s="80">
        <f t="shared" ca="1" si="200"/>
        <v>0</v>
      </c>
      <c r="AA370" s="80">
        <f t="shared" ca="1" si="220"/>
        <v>0</v>
      </c>
      <c r="AB370" s="81">
        <f t="shared" ca="1" si="201"/>
        <v>0</v>
      </c>
      <c r="AC370" s="79">
        <f t="shared" ca="1" si="202"/>
        <v>0</v>
      </c>
      <c r="AD370" s="35"/>
      <c r="AE370" s="62">
        <f t="shared" ca="1" si="203"/>
        <v>0</v>
      </c>
      <c r="AF370" s="62">
        <f t="shared" ca="1" si="204"/>
        <v>0</v>
      </c>
      <c r="AG370" s="35"/>
      <c r="AH370" s="35"/>
      <c r="AR370" s="69">
        <f t="shared" si="221"/>
        <v>31</v>
      </c>
      <c r="AS370" s="70">
        <f t="shared" si="224"/>
        <v>367</v>
      </c>
      <c r="AT370" s="71">
        <f t="shared" si="225"/>
        <v>8.1100523726720802E-2</v>
      </c>
      <c r="AU370" s="72">
        <f t="shared" si="205"/>
        <v>6.8214933659622723E-3</v>
      </c>
      <c r="AV370" s="73">
        <f t="shared" si="222"/>
        <v>1.0068214933659623</v>
      </c>
      <c r="AW370" s="74">
        <f>PRODUCT(AV$4:AV370)</f>
        <v>12.121587277039222</v>
      </c>
    </row>
    <row r="371" spans="5:49">
      <c r="E371">
        <f t="shared" si="223"/>
        <v>368</v>
      </c>
      <c r="F371" s="64">
        <f t="shared" si="206"/>
        <v>91.36</v>
      </c>
      <c r="G371" s="55">
        <f t="shared" si="207"/>
        <v>2.3512861877976521E-2</v>
      </c>
      <c r="H371" s="78">
        <f t="shared" si="226"/>
        <v>4.2754035393907305E-2</v>
      </c>
      <c r="I371" s="79">
        <f t="shared" ca="1" si="208"/>
        <v>0</v>
      </c>
      <c r="J371" s="79">
        <f t="shared" ca="1" si="209"/>
        <v>0</v>
      </c>
      <c r="K371" s="80">
        <f t="shared" ca="1" si="210"/>
        <v>0</v>
      </c>
      <c r="L371" s="80">
        <f t="shared" ca="1" si="211"/>
        <v>0</v>
      </c>
      <c r="M371" s="80">
        <f t="shared" ca="1" si="212"/>
        <v>0</v>
      </c>
      <c r="N371" s="80">
        <f t="shared" ca="1" si="213"/>
        <v>0</v>
      </c>
      <c r="O371" s="81">
        <f t="shared" ca="1" si="196"/>
        <v>0</v>
      </c>
      <c r="P371" s="79">
        <f t="shared" ca="1" si="197"/>
        <v>0</v>
      </c>
      <c r="Q371" s="35"/>
      <c r="R371">
        <f t="shared" ca="1" si="214"/>
        <v>368</v>
      </c>
      <c r="S371" s="78">
        <f t="shared" ca="1" si="215"/>
        <v>91.36</v>
      </c>
      <c r="T371" s="55">
        <f t="shared" ca="1" si="216"/>
        <v>2.3512861877976521E-2</v>
      </c>
      <c r="U371" s="78">
        <f t="shared" ca="1" si="217"/>
        <v>4.2754035393907305E-2</v>
      </c>
      <c r="V371" s="79">
        <f t="shared" ca="1" si="218"/>
        <v>0</v>
      </c>
      <c r="W371" s="79">
        <f t="shared" ca="1" si="198"/>
        <v>0</v>
      </c>
      <c r="X371" s="80">
        <f t="shared" ca="1" si="199"/>
        <v>0</v>
      </c>
      <c r="Y371" s="80">
        <f t="shared" ca="1" si="219"/>
        <v>0</v>
      </c>
      <c r="Z371" s="80">
        <f t="shared" ca="1" si="200"/>
        <v>0</v>
      </c>
      <c r="AA371" s="80">
        <f t="shared" ca="1" si="220"/>
        <v>0</v>
      </c>
      <c r="AB371" s="81">
        <f t="shared" ca="1" si="201"/>
        <v>0</v>
      </c>
      <c r="AC371" s="79">
        <f t="shared" ca="1" si="202"/>
        <v>0</v>
      </c>
      <c r="AD371" s="35"/>
      <c r="AE371" s="62">
        <f t="shared" ca="1" si="203"/>
        <v>0</v>
      </c>
      <c r="AF371" s="62">
        <f t="shared" ca="1" si="204"/>
        <v>0</v>
      </c>
      <c r="AG371" s="35"/>
      <c r="AH371" s="35"/>
      <c r="AR371" s="69">
        <f t="shared" si="221"/>
        <v>31</v>
      </c>
      <c r="AS371" s="70">
        <f t="shared" si="224"/>
        <v>368</v>
      </c>
      <c r="AT371" s="71">
        <f t="shared" si="225"/>
        <v>8.0547297042142904E-2</v>
      </c>
      <c r="AU371" s="72">
        <f t="shared" si="205"/>
        <v>6.8214933659622723E-3</v>
      </c>
      <c r="AV371" s="73">
        <f t="shared" si="222"/>
        <v>1.0068214933659623</v>
      </c>
      <c r="AW371" s="74">
        <f>PRODUCT(AV$4:AV371)</f>
        <v>12.204274604234477</v>
      </c>
    </row>
    <row r="372" spans="5:49">
      <c r="E372">
        <f t="shared" si="223"/>
        <v>369</v>
      </c>
      <c r="F372" s="64">
        <f t="shared" si="206"/>
        <v>91.44</v>
      </c>
      <c r="G372" s="55">
        <f t="shared" si="207"/>
        <v>2.3512861877976521E-2</v>
      </c>
      <c r="H372" s="78">
        <f t="shared" si="226"/>
        <v>4.1748765664964244E-2</v>
      </c>
      <c r="I372" s="79">
        <f t="shared" ca="1" si="208"/>
        <v>0</v>
      </c>
      <c r="J372" s="79">
        <f t="shared" ca="1" si="209"/>
        <v>0</v>
      </c>
      <c r="K372" s="80">
        <f t="shared" ca="1" si="210"/>
        <v>0</v>
      </c>
      <c r="L372" s="80">
        <f t="shared" ca="1" si="211"/>
        <v>0</v>
      </c>
      <c r="M372" s="80">
        <f t="shared" ca="1" si="212"/>
        <v>0</v>
      </c>
      <c r="N372" s="80">
        <f t="shared" ca="1" si="213"/>
        <v>0</v>
      </c>
      <c r="O372" s="81">
        <f t="shared" ca="1" si="196"/>
        <v>0</v>
      </c>
      <c r="P372" s="79">
        <f t="shared" ca="1" si="197"/>
        <v>0</v>
      </c>
      <c r="Q372" s="35"/>
      <c r="R372">
        <f t="shared" ca="1" si="214"/>
        <v>369</v>
      </c>
      <c r="S372" s="78">
        <f t="shared" ca="1" si="215"/>
        <v>91.44</v>
      </c>
      <c r="T372" s="55">
        <f t="shared" ca="1" si="216"/>
        <v>2.3512861877976521E-2</v>
      </c>
      <c r="U372" s="78">
        <f t="shared" ca="1" si="217"/>
        <v>4.1748765664964244E-2</v>
      </c>
      <c r="V372" s="79">
        <f t="shared" ca="1" si="218"/>
        <v>0</v>
      </c>
      <c r="W372" s="79">
        <f t="shared" ca="1" si="198"/>
        <v>0</v>
      </c>
      <c r="X372" s="80">
        <f t="shared" ca="1" si="199"/>
        <v>0</v>
      </c>
      <c r="Y372" s="80">
        <f t="shared" ca="1" si="219"/>
        <v>0</v>
      </c>
      <c r="Z372" s="80">
        <f t="shared" ca="1" si="200"/>
        <v>0</v>
      </c>
      <c r="AA372" s="80">
        <f t="shared" ca="1" si="220"/>
        <v>0</v>
      </c>
      <c r="AB372" s="81">
        <f t="shared" ca="1" si="201"/>
        <v>0</v>
      </c>
      <c r="AC372" s="79">
        <f t="shared" ca="1" si="202"/>
        <v>0</v>
      </c>
      <c r="AD372" s="35"/>
      <c r="AE372" s="62">
        <f t="shared" ca="1" si="203"/>
        <v>0</v>
      </c>
      <c r="AF372" s="62">
        <f t="shared" ca="1" si="204"/>
        <v>0</v>
      </c>
      <c r="AG372" s="35"/>
      <c r="AH372" s="35"/>
      <c r="AR372" s="69">
        <f t="shared" si="221"/>
        <v>31</v>
      </c>
      <c r="AS372" s="70">
        <f t="shared" si="224"/>
        <v>369</v>
      </c>
      <c r="AT372" s="71">
        <f t="shared" si="225"/>
        <v>7.9997844189723735E-2</v>
      </c>
      <c r="AU372" s="72">
        <f t="shared" si="205"/>
        <v>6.8214933659622723E-3</v>
      </c>
      <c r="AV372" s="73">
        <f t="shared" si="222"/>
        <v>1.0068214933659623</v>
      </c>
      <c r="AW372" s="74">
        <f>PRODUCT(AV$4:AV372)</f>
        <v>12.287525982483645</v>
      </c>
    </row>
    <row r="373" spans="5:49">
      <c r="E373">
        <f t="shared" si="223"/>
        <v>370</v>
      </c>
      <c r="F373" s="64">
        <f t="shared" si="206"/>
        <v>91.52</v>
      </c>
      <c r="G373" s="55">
        <f t="shared" si="207"/>
        <v>2.5756084803392754E-2</v>
      </c>
      <c r="H373" s="78">
        <f t="shared" si="226"/>
        <v>4.0673480916060455E-2</v>
      </c>
      <c r="I373" s="79">
        <f t="shared" ca="1" si="208"/>
        <v>0</v>
      </c>
      <c r="J373" s="79">
        <f t="shared" ca="1" si="209"/>
        <v>0</v>
      </c>
      <c r="K373" s="80">
        <f t="shared" ca="1" si="210"/>
        <v>0</v>
      </c>
      <c r="L373" s="80">
        <f t="shared" ca="1" si="211"/>
        <v>0</v>
      </c>
      <c r="M373" s="80">
        <f t="shared" ca="1" si="212"/>
        <v>0</v>
      </c>
      <c r="N373" s="80">
        <f t="shared" ca="1" si="213"/>
        <v>0</v>
      </c>
      <c r="O373" s="81">
        <f t="shared" ca="1" si="196"/>
        <v>0</v>
      </c>
      <c r="P373" s="79">
        <f t="shared" ca="1" si="197"/>
        <v>0</v>
      </c>
      <c r="Q373" s="35"/>
      <c r="R373">
        <f t="shared" ca="1" si="214"/>
        <v>370</v>
      </c>
      <c r="S373" s="78">
        <f t="shared" ca="1" si="215"/>
        <v>91.52</v>
      </c>
      <c r="T373" s="55">
        <f t="shared" ca="1" si="216"/>
        <v>2.5756084803392754E-2</v>
      </c>
      <c r="U373" s="78">
        <f t="shared" ca="1" si="217"/>
        <v>4.0673480916060455E-2</v>
      </c>
      <c r="V373" s="79">
        <f t="shared" ca="1" si="218"/>
        <v>0</v>
      </c>
      <c r="W373" s="79">
        <f t="shared" ca="1" si="198"/>
        <v>0</v>
      </c>
      <c r="X373" s="80">
        <f t="shared" ca="1" si="199"/>
        <v>0</v>
      </c>
      <c r="Y373" s="80">
        <f t="shared" ca="1" si="219"/>
        <v>0</v>
      </c>
      <c r="Z373" s="80">
        <f t="shared" ca="1" si="200"/>
        <v>0</v>
      </c>
      <c r="AA373" s="80">
        <f t="shared" ca="1" si="220"/>
        <v>0</v>
      </c>
      <c r="AB373" s="81">
        <f t="shared" ca="1" si="201"/>
        <v>0</v>
      </c>
      <c r="AC373" s="79">
        <f t="shared" ca="1" si="202"/>
        <v>0</v>
      </c>
      <c r="AD373" s="35"/>
      <c r="AE373" s="62">
        <f t="shared" ca="1" si="203"/>
        <v>0</v>
      </c>
      <c r="AF373" s="62">
        <f t="shared" ca="1" si="204"/>
        <v>0</v>
      </c>
      <c r="AG373" s="35"/>
      <c r="AH373" s="35"/>
      <c r="AR373" s="69">
        <f t="shared" si="221"/>
        <v>31</v>
      </c>
      <c r="AS373" s="70">
        <f t="shared" si="224"/>
        <v>370</v>
      </c>
      <c r="AT373" s="71">
        <f t="shared" si="225"/>
        <v>7.9452139426292256E-2</v>
      </c>
      <c r="AU373" s="72">
        <f t="shared" si="205"/>
        <v>6.8214933659622723E-3</v>
      </c>
      <c r="AV373" s="73">
        <f t="shared" si="222"/>
        <v>1.0068214933659623</v>
      </c>
      <c r="AW373" s="74">
        <f>PRODUCT(AV$4:AV373)</f>
        <v>12.371345259457247</v>
      </c>
    </row>
    <row r="374" spans="5:49">
      <c r="E374">
        <f t="shared" si="223"/>
        <v>371</v>
      </c>
      <c r="F374" s="64">
        <f t="shared" si="206"/>
        <v>91.6</v>
      </c>
      <c r="G374" s="55">
        <f t="shared" si="207"/>
        <v>2.5756084803392754E-2</v>
      </c>
      <c r="H374" s="78">
        <f t="shared" si="226"/>
        <v>3.9625891292337227E-2</v>
      </c>
      <c r="I374" s="79">
        <f t="shared" ca="1" si="208"/>
        <v>0</v>
      </c>
      <c r="J374" s="79">
        <f t="shared" ca="1" si="209"/>
        <v>0</v>
      </c>
      <c r="K374" s="80">
        <f t="shared" ca="1" si="210"/>
        <v>0</v>
      </c>
      <c r="L374" s="80">
        <f t="shared" ca="1" si="211"/>
        <v>0</v>
      </c>
      <c r="M374" s="80">
        <f t="shared" ca="1" si="212"/>
        <v>0</v>
      </c>
      <c r="N374" s="80">
        <f t="shared" ca="1" si="213"/>
        <v>0</v>
      </c>
      <c r="O374" s="81">
        <f t="shared" ca="1" si="196"/>
        <v>0</v>
      </c>
      <c r="P374" s="79">
        <f t="shared" ca="1" si="197"/>
        <v>0</v>
      </c>
      <c r="Q374" s="35"/>
      <c r="R374">
        <f t="shared" ca="1" si="214"/>
        <v>371</v>
      </c>
      <c r="S374" s="78">
        <f t="shared" ca="1" si="215"/>
        <v>91.6</v>
      </c>
      <c r="T374" s="55">
        <f t="shared" ca="1" si="216"/>
        <v>2.5756084803392754E-2</v>
      </c>
      <c r="U374" s="78">
        <f t="shared" ca="1" si="217"/>
        <v>3.9625891292337227E-2</v>
      </c>
      <c r="V374" s="79">
        <f t="shared" ca="1" si="218"/>
        <v>0</v>
      </c>
      <c r="W374" s="79">
        <f t="shared" ca="1" si="198"/>
        <v>0</v>
      </c>
      <c r="X374" s="80">
        <f t="shared" ca="1" si="199"/>
        <v>0</v>
      </c>
      <c r="Y374" s="80">
        <f t="shared" ca="1" si="219"/>
        <v>0</v>
      </c>
      <c r="Z374" s="80">
        <f t="shared" ca="1" si="200"/>
        <v>0</v>
      </c>
      <c r="AA374" s="80">
        <f t="shared" ca="1" si="220"/>
        <v>0</v>
      </c>
      <c r="AB374" s="81">
        <f t="shared" ca="1" si="201"/>
        <v>0</v>
      </c>
      <c r="AC374" s="79">
        <f t="shared" ca="1" si="202"/>
        <v>0</v>
      </c>
      <c r="AD374" s="35"/>
      <c r="AE374" s="62">
        <f t="shared" ca="1" si="203"/>
        <v>0</v>
      </c>
      <c r="AF374" s="62">
        <f t="shared" ca="1" si="204"/>
        <v>0</v>
      </c>
      <c r="AG374" s="35"/>
      <c r="AH374" s="35"/>
      <c r="AR374" s="69">
        <f t="shared" si="221"/>
        <v>31</v>
      </c>
      <c r="AS374" s="70">
        <f t="shared" si="224"/>
        <v>371</v>
      </c>
      <c r="AT374" s="71">
        <f t="shared" si="225"/>
        <v>7.8910157184284291E-2</v>
      </c>
      <c r="AU374" s="72">
        <f t="shared" si="205"/>
        <v>6.8214933659622723E-3</v>
      </c>
      <c r="AV374" s="73">
        <f t="shared" si="222"/>
        <v>1.0068214933659623</v>
      </c>
      <c r="AW374" s="74">
        <f>PRODUCT(AV$4:AV374)</f>
        <v>12.455736309072662</v>
      </c>
    </row>
    <row r="375" spans="5:49">
      <c r="E375">
        <f t="shared" si="223"/>
        <v>372</v>
      </c>
      <c r="F375" s="64">
        <f t="shared" si="206"/>
        <v>91.68</v>
      </c>
      <c r="G375" s="55">
        <f t="shared" si="207"/>
        <v>2.5756084803392754E-2</v>
      </c>
      <c r="H375" s="78">
        <f t="shared" si="226"/>
        <v>3.860528347580177E-2</v>
      </c>
      <c r="I375" s="79">
        <f t="shared" ca="1" si="208"/>
        <v>0</v>
      </c>
      <c r="J375" s="79">
        <f t="shared" ca="1" si="209"/>
        <v>0</v>
      </c>
      <c r="K375" s="80">
        <f t="shared" ca="1" si="210"/>
        <v>0</v>
      </c>
      <c r="L375" s="80">
        <f t="shared" ca="1" si="211"/>
        <v>0</v>
      </c>
      <c r="M375" s="80">
        <f t="shared" ca="1" si="212"/>
        <v>0</v>
      </c>
      <c r="N375" s="80">
        <f t="shared" ca="1" si="213"/>
        <v>0</v>
      </c>
      <c r="O375" s="81">
        <f t="shared" ca="1" si="196"/>
        <v>0</v>
      </c>
      <c r="P375" s="79">
        <f t="shared" ca="1" si="197"/>
        <v>0</v>
      </c>
      <c r="Q375" s="35"/>
      <c r="R375">
        <f t="shared" ca="1" si="214"/>
        <v>372</v>
      </c>
      <c r="S375" s="78">
        <f t="shared" ca="1" si="215"/>
        <v>91.68</v>
      </c>
      <c r="T375" s="55">
        <f t="shared" ca="1" si="216"/>
        <v>2.5756084803392754E-2</v>
      </c>
      <c r="U375" s="78">
        <f t="shared" ca="1" si="217"/>
        <v>3.860528347580177E-2</v>
      </c>
      <c r="V375" s="79">
        <f t="shared" ca="1" si="218"/>
        <v>0</v>
      </c>
      <c r="W375" s="79">
        <f t="shared" ca="1" si="198"/>
        <v>0</v>
      </c>
      <c r="X375" s="80">
        <f t="shared" ca="1" si="199"/>
        <v>0</v>
      </c>
      <c r="Y375" s="80">
        <f t="shared" ca="1" si="219"/>
        <v>0</v>
      </c>
      <c r="Z375" s="80">
        <f t="shared" ca="1" si="200"/>
        <v>0</v>
      </c>
      <c r="AA375" s="80">
        <f t="shared" ca="1" si="220"/>
        <v>0</v>
      </c>
      <c r="AB375" s="81">
        <f t="shared" ca="1" si="201"/>
        <v>0</v>
      </c>
      <c r="AC375" s="79">
        <f t="shared" ca="1" si="202"/>
        <v>0</v>
      </c>
      <c r="AD375" s="35"/>
      <c r="AE375" s="62">
        <f t="shared" ca="1" si="203"/>
        <v>0</v>
      </c>
      <c r="AF375" s="62">
        <f t="shared" ca="1" si="204"/>
        <v>0</v>
      </c>
      <c r="AG375" s="136">
        <f ca="1">(OFFSET($AC$4,MATCH(100,S4:S784,1),0)/OFFSET($U$4,MATCH(100,S4:S784,1),0))</f>
        <v>0</v>
      </c>
      <c r="AH375" s="35"/>
      <c r="AR375" s="69">
        <f t="shared" si="221"/>
        <v>31</v>
      </c>
      <c r="AS375" s="70">
        <f t="shared" si="224"/>
        <v>372</v>
      </c>
      <c r="AT375" s="71">
        <f t="shared" si="225"/>
        <v>7.8371872070544649E-2</v>
      </c>
      <c r="AU375" s="72">
        <f t="shared" si="205"/>
        <v>6.8214933659622723E-3</v>
      </c>
      <c r="AV375" s="73">
        <f t="shared" si="222"/>
        <v>1.0068214933659623</v>
      </c>
      <c r="AW375" s="74">
        <f>PRODUCT(AV$4:AV375)</f>
        <v>12.540703031673177</v>
      </c>
    </row>
    <row r="376" spans="5:49">
      <c r="E376">
        <f t="shared" si="223"/>
        <v>373</v>
      </c>
      <c r="F376" s="64">
        <f t="shared" si="206"/>
        <v>91.76</v>
      </c>
      <c r="G376" s="55">
        <f t="shared" si="207"/>
        <v>2.5756084803392754E-2</v>
      </c>
      <c r="H376" s="78">
        <f t="shared" si="226"/>
        <v>3.7610962520740004E-2</v>
      </c>
      <c r="I376" s="79">
        <f t="shared" ca="1" si="208"/>
        <v>0</v>
      </c>
      <c r="J376" s="79">
        <f t="shared" ca="1" si="209"/>
        <v>0</v>
      </c>
      <c r="K376" s="80">
        <f t="shared" ca="1" si="210"/>
        <v>0</v>
      </c>
      <c r="L376" s="80">
        <f t="shared" ca="1" si="211"/>
        <v>0</v>
      </c>
      <c r="M376" s="80">
        <f t="shared" ca="1" si="212"/>
        <v>0</v>
      </c>
      <c r="N376" s="80">
        <f t="shared" ca="1" si="213"/>
        <v>0</v>
      </c>
      <c r="O376" s="81">
        <f t="shared" ca="1" si="196"/>
        <v>0</v>
      </c>
      <c r="P376" s="79">
        <f t="shared" ca="1" si="197"/>
        <v>0</v>
      </c>
      <c r="Q376" s="35"/>
      <c r="R376">
        <f t="shared" ca="1" si="214"/>
        <v>373</v>
      </c>
      <c r="S376" s="78">
        <f t="shared" ca="1" si="215"/>
        <v>91.76</v>
      </c>
      <c r="T376" s="55">
        <f t="shared" ca="1" si="216"/>
        <v>2.5756084803392754E-2</v>
      </c>
      <c r="U376" s="78">
        <f t="shared" ca="1" si="217"/>
        <v>3.7610962520740004E-2</v>
      </c>
      <c r="V376" s="79">
        <f t="shared" ca="1" si="218"/>
        <v>0</v>
      </c>
      <c r="W376" s="79">
        <f t="shared" ca="1" si="198"/>
        <v>0</v>
      </c>
      <c r="X376" s="80">
        <f t="shared" ca="1" si="199"/>
        <v>0</v>
      </c>
      <c r="Y376" s="80">
        <f t="shared" ca="1" si="219"/>
        <v>0</v>
      </c>
      <c r="Z376" s="80">
        <f t="shared" ca="1" si="200"/>
        <v>0</v>
      </c>
      <c r="AA376" s="80">
        <f t="shared" ca="1" si="220"/>
        <v>0</v>
      </c>
      <c r="AB376" s="81">
        <f t="shared" ca="1" si="201"/>
        <v>0</v>
      </c>
      <c r="AC376" s="79">
        <f t="shared" ca="1" si="202"/>
        <v>0</v>
      </c>
      <c r="AD376" s="35"/>
      <c r="AE376" s="62">
        <f t="shared" ca="1" si="203"/>
        <v>0</v>
      </c>
      <c r="AF376" s="62">
        <f t="shared" ca="1" si="204"/>
        <v>0</v>
      </c>
      <c r="AG376" s="62"/>
      <c r="AH376" s="35"/>
      <c r="AR376" s="69">
        <f t="shared" si="221"/>
        <v>32</v>
      </c>
      <c r="AS376" s="70">
        <f t="shared" si="224"/>
        <v>373</v>
      </c>
      <c r="AT376" s="71">
        <f t="shared" si="225"/>
        <v>7.7837258865137385E-2</v>
      </c>
      <c r="AU376" s="72">
        <f t="shared" si="205"/>
        <v>6.8214933659622723E-3</v>
      </c>
      <c r="AV376" s="73">
        <f t="shared" si="222"/>
        <v>1.0068214933659623</v>
      </c>
      <c r="AW376" s="74">
        <f>PRODUCT(AV$4:AV376)</f>
        <v>12.626249354208237</v>
      </c>
    </row>
    <row r="377" spans="5:49">
      <c r="E377">
        <f t="shared" si="223"/>
        <v>374</v>
      </c>
      <c r="F377" s="64">
        <f t="shared" si="206"/>
        <v>91.84</v>
      </c>
      <c r="G377" s="55">
        <f t="shared" si="207"/>
        <v>2.5756084803392754E-2</v>
      </c>
      <c r="H377" s="78">
        <f t="shared" si="226"/>
        <v>3.6642251380518596E-2</v>
      </c>
      <c r="I377" s="79">
        <f t="shared" ca="1" si="208"/>
        <v>0</v>
      </c>
      <c r="J377" s="79">
        <f t="shared" ca="1" si="209"/>
        <v>0</v>
      </c>
      <c r="K377" s="80">
        <f t="shared" ca="1" si="210"/>
        <v>0</v>
      </c>
      <c r="L377" s="80">
        <f t="shared" ca="1" si="211"/>
        <v>0</v>
      </c>
      <c r="M377" s="80">
        <f t="shared" ca="1" si="212"/>
        <v>0</v>
      </c>
      <c r="N377" s="80">
        <f t="shared" ca="1" si="213"/>
        <v>0</v>
      </c>
      <c r="O377" s="81">
        <f t="shared" ca="1" si="196"/>
        <v>0</v>
      </c>
      <c r="P377" s="79">
        <f t="shared" ca="1" si="197"/>
        <v>0</v>
      </c>
      <c r="Q377" s="35"/>
      <c r="R377">
        <f t="shared" ca="1" si="214"/>
        <v>374</v>
      </c>
      <c r="S377" s="78">
        <f t="shared" ca="1" si="215"/>
        <v>91.84</v>
      </c>
      <c r="T377" s="55">
        <f t="shared" ca="1" si="216"/>
        <v>2.5756084803392754E-2</v>
      </c>
      <c r="U377" s="78">
        <f t="shared" ca="1" si="217"/>
        <v>3.6642251380518596E-2</v>
      </c>
      <c r="V377" s="79">
        <f t="shared" ca="1" si="218"/>
        <v>0</v>
      </c>
      <c r="W377" s="79">
        <f t="shared" ca="1" si="198"/>
        <v>0</v>
      </c>
      <c r="X377" s="80">
        <f t="shared" ca="1" si="199"/>
        <v>0</v>
      </c>
      <c r="Y377" s="80">
        <f t="shared" ca="1" si="219"/>
        <v>0</v>
      </c>
      <c r="Z377" s="80">
        <f t="shared" ca="1" si="200"/>
        <v>0</v>
      </c>
      <c r="AA377" s="80">
        <f t="shared" ca="1" si="220"/>
        <v>0</v>
      </c>
      <c r="AB377" s="81">
        <f t="shared" ca="1" si="201"/>
        <v>0</v>
      </c>
      <c r="AC377" s="79">
        <f t="shared" ca="1" si="202"/>
        <v>0</v>
      </c>
      <c r="AD377" s="35"/>
      <c r="AE377" s="62">
        <f t="shared" ca="1" si="203"/>
        <v>0</v>
      </c>
      <c r="AF377" s="62">
        <f t="shared" ca="1" si="204"/>
        <v>0</v>
      </c>
      <c r="AG377" s="62"/>
      <c r="AH377" s="35"/>
      <c r="AR377" s="69">
        <f t="shared" si="221"/>
        <v>32</v>
      </c>
      <c r="AS377" s="70">
        <f t="shared" si="224"/>
        <v>374</v>
      </c>
      <c r="AT377" s="71">
        <f t="shared" si="225"/>
        <v>7.730629252016416E-2</v>
      </c>
      <c r="AU377" s="72">
        <f t="shared" si="205"/>
        <v>6.8214933659622723E-3</v>
      </c>
      <c r="AV377" s="73">
        <f t="shared" si="222"/>
        <v>1.0068214933659623</v>
      </c>
      <c r="AW377" s="74">
        <f>PRODUCT(AV$4:AV377)</f>
        <v>12.712379230414955</v>
      </c>
    </row>
    <row r="378" spans="5:49">
      <c r="E378">
        <f t="shared" si="223"/>
        <v>375</v>
      </c>
      <c r="F378" s="64">
        <f t="shared" si="206"/>
        <v>91.92</v>
      </c>
      <c r="G378" s="55">
        <f t="shared" si="207"/>
        <v>2.5756084803392754E-2</v>
      </c>
      <c r="H378" s="78">
        <f t="shared" si="226"/>
        <v>3.5698490446574721E-2</v>
      </c>
      <c r="I378" s="79">
        <f t="shared" ca="1" si="208"/>
        <v>0</v>
      </c>
      <c r="J378" s="79">
        <f t="shared" ca="1" si="209"/>
        <v>0</v>
      </c>
      <c r="K378" s="80">
        <f t="shared" ca="1" si="210"/>
        <v>0</v>
      </c>
      <c r="L378" s="80">
        <f t="shared" ca="1" si="211"/>
        <v>0</v>
      </c>
      <c r="M378" s="80">
        <f t="shared" ca="1" si="212"/>
        <v>0</v>
      </c>
      <c r="N378" s="80">
        <f t="shared" ca="1" si="213"/>
        <v>0</v>
      </c>
      <c r="O378" s="81">
        <f t="shared" ca="1" si="196"/>
        <v>0</v>
      </c>
      <c r="P378" s="79">
        <f t="shared" ca="1" si="197"/>
        <v>0</v>
      </c>
      <c r="Q378" s="35"/>
      <c r="R378">
        <f t="shared" ca="1" si="214"/>
        <v>375</v>
      </c>
      <c r="S378" s="78">
        <f t="shared" ca="1" si="215"/>
        <v>91.92</v>
      </c>
      <c r="T378" s="55">
        <f t="shared" ca="1" si="216"/>
        <v>2.5756084803392754E-2</v>
      </c>
      <c r="U378" s="78">
        <f t="shared" ca="1" si="217"/>
        <v>3.5698490446574721E-2</v>
      </c>
      <c r="V378" s="79">
        <f t="shared" ca="1" si="218"/>
        <v>0</v>
      </c>
      <c r="W378" s="79">
        <f t="shared" ca="1" si="198"/>
        <v>0</v>
      </c>
      <c r="X378" s="80">
        <f t="shared" ca="1" si="199"/>
        <v>0</v>
      </c>
      <c r="Y378" s="80">
        <f t="shared" ca="1" si="219"/>
        <v>0</v>
      </c>
      <c r="Z378" s="80">
        <f t="shared" ca="1" si="200"/>
        <v>0</v>
      </c>
      <c r="AA378" s="80">
        <f t="shared" ca="1" si="220"/>
        <v>0</v>
      </c>
      <c r="AB378" s="81">
        <f t="shared" ca="1" si="201"/>
        <v>0</v>
      </c>
      <c r="AC378" s="79">
        <f t="shared" ca="1" si="202"/>
        <v>0</v>
      </c>
      <c r="AD378" s="35"/>
      <c r="AE378" s="62">
        <f t="shared" ca="1" si="203"/>
        <v>0</v>
      </c>
      <c r="AF378" s="62">
        <f t="shared" ca="1" si="204"/>
        <v>0</v>
      </c>
      <c r="AG378" s="62">
        <f ca="1">AF378*10000</f>
        <v>0</v>
      </c>
      <c r="AH378" s="35"/>
      <c r="AR378" s="69">
        <f t="shared" si="221"/>
        <v>32</v>
      </c>
      <c r="AS378" s="70">
        <f t="shared" si="224"/>
        <v>375</v>
      </c>
      <c r="AT378" s="71">
        <f t="shared" si="225"/>
        <v>7.6778948158590724E-2</v>
      </c>
      <c r="AU378" s="72">
        <f t="shared" si="205"/>
        <v>6.8214933659622723E-3</v>
      </c>
      <c r="AV378" s="73">
        <f t="shared" si="222"/>
        <v>1.0068214933659623</v>
      </c>
      <c r="AW378" s="74">
        <f>PRODUCT(AV$4:AV378)</f>
        <v>12.799096641000828</v>
      </c>
    </row>
    <row r="379" spans="5:49">
      <c r="E379">
        <f t="shared" si="223"/>
        <v>376</v>
      </c>
      <c r="F379" s="64">
        <f t="shared" si="206"/>
        <v>92</v>
      </c>
      <c r="G379" s="55">
        <f t="shared" si="207"/>
        <v>2.5756084803392754E-2</v>
      </c>
      <c r="H379" s="78">
        <f t="shared" si="226"/>
        <v>3.4779037099279639E-2</v>
      </c>
      <c r="I379" s="79">
        <f t="shared" ca="1" si="208"/>
        <v>0</v>
      </c>
      <c r="J379" s="79">
        <f t="shared" ca="1" si="209"/>
        <v>0</v>
      </c>
      <c r="K379" s="80">
        <f t="shared" ca="1" si="210"/>
        <v>0</v>
      </c>
      <c r="L379" s="80">
        <f t="shared" ca="1" si="211"/>
        <v>0</v>
      </c>
      <c r="M379" s="80">
        <f t="shared" ca="1" si="212"/>
        <v>0</v>
      </c>
      <c r="N379" s="80">
        <f t="shared" ca="1" si="213"/>
        <v>0</v>
      </c>
      <c r="O379" s="81">
        <f t="shared" ca="1" si="196"/>
        <v>0</v>
      </c>
      <c r="P379" s="79">
        <f t="shared" ca="1" si="197"/>
        <v>0</v>
      </c>
      <c r="Q379" s="35"/>
      <c r="R379">
        <f t="shared" ca="1" si="214"/>
        <v>376</v>
      </c>
      <c r="S379" s="78">
        <f t="shared" ca="1" si="215"/>
        <v>92</v>
      </c>
      <c r="T379" s="55">
        <f t="shared" ca="1" si="216"/>
        <v>2.5756084803392754E-2</v>
      </c>
      <c r="U379" s="78">
        <f t="shared" ca="1" si="217"/>
        <v>3.4779037099279639E-2</v>
      </c>
      <c r="V379" s="79">
        <f t="shared" ca="1" si="218"/>
        <v>0</v>
      </c>
      <c r="W379" s="79">
        <f t="shared" ca="1" si="198"/>
        <v>0</v>
      </c>
      <c r="X379" s="80">
        <f t="shared" ca="1" si="199"/>
        <v>0</v>
      </c>
      <c r="Y379" s="80">
        <f t="shared" ca="1" si="219"/>
        <v>0</v>
      </c>
      <c r="Z379" s="80">
        <f t="shared" ca="1" si="200"/>
        <v>0</v>
      </c>
      <c r="AA379" s="80">
        <f t="shared" ca="1" si="220"/>
        <v>0</v>
      </c>
      <c r="AB379" s="81">
        <f t="shared" ca="1" si="201"/>
        <v>0</v>
      </c>
      <c r="AC379" s="79">
        <f t="shared" ca="1" si="202"/>
        <v>0</v>
      </c>
      <c r="AE379" s="62">
        <f t="shared" ca="1" si="203"/>
        <v>0</v>
      </c>
      <c r="AF379" s="62">
        <f t="shared" ca="1" si="204"/>
        <v>0</v>
      </c>
      <c r="AG379" s="62">
        <f ca="1">AF379*10000</f>
        <v>0</v>
      </c>
      <c r="AH379" s="35"/>
      <c r="AR379" s="69">
        <f t="shared" si="221"/>
        <v>32</v>
      </c>
      <c r="AS379" s="70">
        <f t="shared" si="224"/>
        <v>376</v>
      </c>
      <c r="AT379" s="71">
        <f t="shared" si="225"/>
        <v>7.6255201073081341E-2</v>
      </c>
      <c r="AU379" s="72">
        <f t="shared" si="205"/>
        <v>6.8214933659622723E-3</v>
      </c>
      <c r="AV379" s="73">
        <f t="shared" si="222"/>
        <v>1.0068214933659623</v>
      </c>
      <c r="AW379" s="74">
        <f>PRODUCT(AV$4:AV379)</f>
        <v>12.886405593827725</v>
      </c>
    </row>
    <row r="380" spans="5:49">
      <c r="E380">
        <f t="shared" si="223"/>
        <v>377</v>
      </c>
      <c r="F380" s="64">
        <f t="shared" si="206"/>
        <v>92.08</v>
      </c>
      <c r="G380" s="55">
        <f t="shared" si="207"/>
        <v>2.5756084803392754E-2</v>
      </c>
      <c r="H380" s="78">
        <f t="shared" si="226"/>
        <v>3.388326527037025E-2</v>
      </c>
      <c r="I380" s="79">
        <f t="shared" ca="1" si="208"/>
        <v>0</v>
      </c>
      <c r="J380" s="79">
        <f t="shared" ca="1" si="209"/>
        <v>0</v>
      </c>
      <c r="K380" s="80">
        <f t="shared" ca="1" si="210"/>
        <v>0</v>
      </c>
      <c r="L380" s="80">
        <f t="shared" ca="1" si="211"/>
        <v>0</v>
      </c>
      <c r="M380" s="80">
        <f t="shared" ca="1" si="212"/>
        <v>0</v>
      </c>
      <c r="N380" s="80">
        <f t="shared" ca="1" si="213"/>
        <v>0</v>
      </c>
      <c r="O380" s="81">
        <f t="shared" ca="1" si="196"/>
        <v>0</v>
      </c>
      <c r="P380" s="79">
        <f t="shared" ca="1" si="197"/>
        <v>0</v>
      </c>
      <c r="Q380" s="35"/>
      <c r="R380">
        <f t="shared" ca="1" si="214"/>
        <v>377</v>
      </c>
      <c r="S380" s="78">
        <f t="shared" ca="1" si="215"/>
        <v>92.08</v>
      </c>
      <c r="T380" s="55">
        <f t="shared" ca="1" si="216"/>
        <v>2.5756084803392754E-2</v>
      </c>
      <c r="U380" s="78">
        <f t="shared" ca="1" si="217"/>
        <v>3.388326527037025E-2</v>
      </c>
      <c r="V380" s="79">
        <f t="shared" ca="1" si="218"/>
        <v>0</v>
      </c>
      <c r="W380" s="79">
        <f t="shared" ca="1" si="198"/>
        <v>0</v>
      </c>
      <c r="X380" s="80">
        <f t="shared" ca="1" si="199"/>
        <v>0</v>
      </c>
      <c r="Y380" s="80">
        <f t="shared" ca="1" si="219"/>
        <v>0</v>
      </c>
      <c r="Z380" s="80">
        <f t="shared" ca="1" si="200"/>
        <v>0</v>
      </c>
      <c r="AA380" s="80">
        <f t="shared" ca="1" si="220"/>
        <v>0</v>
      </c>
      <c r="AB380" s="81">
        <f t="shared" ca="1" si="201"/>
        <v>0</v>
      </c>
      <c r="AC380" s="79">
        <f t="shared" ca="1" si="202"/>
        <v>0</v>
      </c>
      <c r="AD380" s="35"/>
      <c r="AE380" s="62">
        <f t="shared" ca="1" si="203"/>
        <v>0</v>
      </c>
      <c r="AF380" s="62">
        <f t="shared" ca="1" si="204"/>
        <v>0</v>
      </c>
      <c r="AG380" s="62">
        <f ca="1">AF380*10000</f>
        <v>0</v>
      </c>
      <c r="AH380" s="35"/>
      <c r="AR380" s="69">
        <f t="shared" si="221"/>
        <v>32</v>
      </c>
      <c r="AS380" s="70">
        <f t="shared" si="224"/>
        <v>377</v>
      </c>
      <c r="AT380" s="71">
        <f t="shared" si="225"/>
        <v>7.5735026724841198E-2</v>
      </c>
      <c r="AU380" s="72">
        <f t="shared" si="205"/>
        <v>6.8214933659622723E-3</v>
      </c>
      <c r="AV380" s="73">
        <f t="shared" si="222"/>
        <v>1.0068214933659623</v>
      </c>
      <c r="AW380" s="74">
        <f>PRODUCT(AV$4:AV380)</f>
        <v>12.974310124097119</v>
      </c>
    </row>
    <row r="381" spans="5:49">
      <c r="E381">
        <f t="shared" si="223"/>
        <v>378</v>
      </c>
      <c r="F381" s="64">
        <f t="shared" si="206"/>
        <v>92.16</v>
      </c>
      <c r="G381" s="55">
        <f t="shared" si="207"/>
        <v>2.5756084803392754E-2</v>
      </c>
      <c r="H381" s="78">
        <f t="shared" si="226"/>
        <v>3.3010565016650742E-2</v>
      </c>
      <c r="I381" s="79">
        <f t="shared" ca="1" si="208"/>
        <v>0</v>
      </c>
      <c r="J381" s="79">
        <f t="shared" ca="1" si="209"/>
        <v>0</v>
      </c>
      <c r="K381" s="80">
        <f t="shared" ca="1" si="210"/>
        <v>0</v>
      </c>
      <c r="L381" s="80">
        <f t="shared" ca="1" si="211"/>
        <v>0</v>
      </c>
      <c r="M381" s="80">
        <f t="shared" ca="1" si="212"/>
        <v>0</v>
      </c>
      <c r="N381" s="80">
        <f t="shared" ca="1" si="213"/>
        <v>0</v>
      </c>
      <c r="O381" s="81">
        <f t="shared" ca="1" si="196"/>
        <v>0</v>
      </c>
      <c r="P381" s="79">
        <f t="shared" ca="1" si="197"/>
        <v>0</v>
      </c>
      <c r="Q381" s="35"/>
      <c r="R381">
        <f t="shared" ca="1" si="214"/>
        <v>378</v>
      </c>
      <c r="S381" s="78">
        <f t="shared" ca="1" si="215"/>
        <v>92.16</v>
      </c>
      <c r="T381" s="55">
        <f t="shared" ca="1" si="216"/>
        <v>2.5756084803392754E-2</v>
      </c>
      <c r="U381" s="78">
        <f t="shared" ca="1" si="217"/>
        <v>3.3010565016650742E-2</v>
      </c>
      <c r="V381" s="79">
        <f t="shared" ca="1" si="218"/>
        <v>0</v>
      </c>
      <c r="W381" s="79">
        <f t="shared" ca="1" si="198"/>
        <v>0</v>
      </c>
      <c r="X381" s="80">
        <f t="shared" ca="1" si="199"/>
        <v>0</v>
      </c>
      <c r="Y381" s="80">
        <f t="shared" ca="1" si="219"/>
        <v>0</v>
      </c>
      <c r="Z381" s="80">
        <f t="shared" ca="1" si="200"/>
        <v>0</v>
      </c>
      <c r="AA381" s="80">
        <f t="shared" ca="1" si="220"/>
        <v>0</v>
      </c>
      <c r="AB381" s="81">
        <f t="shared" ca="1" si="201"/>
        <v>0</v>
      </c>
      <c r="AC381" s="79">
        <f t="shared" ca="1" si="202"/>
        <v>0</v>
      </c>
      <c r="AD381" s="35"/>
      <c r="AE381" s="62">
        <f t="shared" ca="1" si="203"/>
        <v>0</v>
      </c>
      <c r="AF381" s="62">
        <f t="shared" ca="1" si="204"/>
        <v>0</v>
      </c>
      <c r="AG381" s="62">
        <f ca="1">AF381*10000</f>
        <v>0</v>
      </c>
      <c r="AH381" s="35"/>
      <c r="AR381" s="69">
        <f t="shared" si="221"/>
        <v>32</v>
      </c>
      <c r="AS381" s="70">
        <f t="shared" si="224"/>
        <v>378</v>
      </c>
      <c r="AT381" s="71">
        <f t="shared" si="225"/>
        <v>7.5218400742466718E-2</v>
      </c>
      <c r="AU381" s="72">
        <f t="shared" si="205"/>
        <v>6.8214933659622723E-3</v>
      </c>
      <c r="AV381" s="73">
        <f t="shared" si="222"/>
        <v>1.0068214933659623</v>
      </c>
      <c r="AW381" s="74">
        <f>PRODUCT(AV$4:AV381)</f>
        <v>13.062814294536585</v>
      </c>
    </row>
    <row r="382" spans="5:49">
      <c r="E382">
        <f t="shared" si="223"/>
        <v>379</v>
      </c>
      <c r="F382" s="64">
        <f t="shared" si="206"/>
        <v>92.24</v>
      </c>
      <c r="G382" s="55">
        <f t="shared" si="207"/>
        <v>2.5756084803392754E-2</v>
      </c>
      <c r="H382" s="78">
        <f t="shared" si="226"/>
        <v>3.2160342104673972E-2</v>
      </c>
      <c r="I382" s="79">
        <f t="shared" ca="1" si="208"/>
        <v>0</v>
      </c>
      <c r="J382" s="79">
        <f t="shared" ca="1" si="209"/>
        <v>0</v>
      </c>
      <c r="K382" s="80">
        <f t="shared" ca="1" si="210"/>
        <v>0</v>
      </c>
      <c r="L382" s="80">
        <f t="shared" ca="1" si="211"/>
        <v>0</v>
      </c>
      <c r="M382" s="80">
        <f t="shared" ca="1" si="212"/>
        <v>0</v>
      </c>
      <c r="N382" s="80">
        <f t="shared" ca="1" si="213"/>
        <v>0</v>
      </c>
      <c r="O382" s="81">
        <f t="shared" ca="1" si="196"/>
        <v>0</v>
      </c>
      <c r="P382" s="79">
        <f t="shared" ca="1" si="197"/>
        <v>0</v>
      </c>
      <c r="Q382" s="35"/>
      <c r="R382">
        <f t="shared" ca="1" si="214"/>
        <v>379</v>
      </c>
      <c r="S382" s="78">
        <f t="shared" ca="1" si="215"/>
        <v>92.24</v>
      </c>
      <c r="T382" s="55">
        <f t="shared" ca="1" si="216"/>
        <v>2.5756084803392754E-2</v>
      </c>
      <c r="U382" s="78">
        <f t="shared" ca="1" si="217"/>
        <v>3.2160342104673972E-2</v>
      </c>
      <c r="V382" s="79">
        <f t="shared" ca="1" si="218"/>
        <v>0</v>
      </c>
      <c r="W382" s="79">
        <f t="shared" ca="1" si="198"/>
        <v>0</v>
      </c>
      <c r="X382" s="80">
        <f t="shared" ca="1" si="199"/>
        <v>0</v>
      </c>
      <c r="Y382" s="80">
        <f t="shared" ca="1" si="219"/>
        <v>0</v>
      </c>
      <c r="Z382" s="80">
        <f t="shared" ca="1" si="200"/>
        <v>0</v>
      </c>
      <c r="AA382" s="80">
        <f t="shared" ca="1" si="220"/>
        <v>0</v>
      </c>
      <c r="AB382" s="81">
        <f t="shared" ca="1" si="201"/>
        <v>0</v>
      </c>
      <c r="AC382" s="79">
        <f t="shared" ca="1" si="202"/>
        <v>0</v>
      </c>
      <c r="AD382" s="35"/>
      <c r="AE382" s="62">
        <f t="shared" ca="1" si="203"/>
        <v>0</v>
      </c>
      <c r="AF382" s="62">
        <f t="shared" ca="1" si="204"/>
        <v>0</v>
      </c>
      <c r="AG382" s="35"/>
      <c r="AH382" s="35"/>
      <c r="AR382" s="69">
        <f t="shared" si="221"/>
        <v>32</v>
      </c>
      <c r="AS382" s="70">
        <f t="shared" si="224"/>
        <v>379</v>
      </c>
      <c r="AT382" s="71">
        <f t="shared" si="225"/>
        <v>7.4705298920803687E-2</v>
      </c>
      <c r="AU382" s="72">
        <f t="shared" si="205"/>
        <v>6.8214933659622723E-3</v>
      </c>
      <c r="AV382" s="73">
        <f t="shared" si="222"/>
        <v>1.0068214933659623</v>
      </c>
      <c r="AW382" s="74">
        <f>PRODUCT(AV$4:AV382)</f>
        <v>13.151922195587563</v>
      </c>
    </row>
    <row r="383" spans="5:49">
      <c r="E383">
        <f t="shared" si="223"/>
        <v>380</v>
      </c>
      <c r="F383" s="64">
        <f t="shared" si="206"/>
        <v>92.32</v>
      </c>
      <c r="G383" s="55">
        <f t="shared" si="207"/>
        <v>2.5756084803392754E-2</v>
      </c>
      <c r="H383" s="78">
        <f t="shared" si="226"/>
        <v>3.1332017606119866E-2</v>
      </c>
      <c r="I383" s="79">
        <f t="shared" ca="1" si="208"/>
        <v>0</v>
      </c>
      <c r="J383" s="79">
        <f t="shared" ca="1" si="209"/>
        <v>0</v>
      </c>
      <c r="K383" s="80">
        <f t="shared" ca="1" si="210"/>
        <v>0</v>
      </c>
      <c r="L383" s="80">
        <f t="shared" ca="1" si="211"/>
        <v>0</v>
      </c>
      <c r="M383" s="80">
        <f t="shared" ca="1" si="212"/>
        <v>0</v>
      </c>
      <c r="N383" s="80">
        <f t="shared" ca="1" si="213"/>
        <v>0</v>
      </c>
      <c r="O383" s="81">
        <f t="shared" ca="1" si="196"/>
        <v>0</v>
      </c>
      <c r="P383" s="79">
        <f t="shared" ca="1" si="197"/>
        <v>0</v>
      </c>
      <c r="Q383" s="35"/>
      <c r="R383">
        <f t="shared" ca="1" si="214"/>
        <v>380</v>
      </c>
      <c r="S383" s="78">
        <f t="shared" ca="1" si="215"/>
        <v>92.32</v>
      </c>
      <c r="T383" s="55">
        <f t="shared" ca="1" si="216"/>
        <v>2.5756084803392754E-2</v>
      </c>
      <c r="U383" s="78">
        <f t="shared" ca="1" si="217"/>
        <v>3.1332017606119866E-2</v>
      </c>
      <c r="V383" s="79">
        <f t="shared" ca="1" si="218"/>
        <v>0</v>
      </c>
      <c r="W383" s="79">
        <f t="shared" ca="1" si="198"/>
        <v>0</v>
      </c>
      <c r="X383" s="80">
        <f t="shared" ca="1" si="199"/>
        <v>0</v>
      </c>
      <c r="Y383" s="80">
        <f t="shared" ca="1" si="219"/>
        <v>0</v>
      </c>
      <c r="Z383" s="80">
        <f t="shared" ca="1" si="200"/>
        <v>0</v>
      </c>
      <c r="AA383" s="80">
        <f t="shared" ca="1" si="220"/>
        <v>0</v>
      </c>
      <c r="AB383" s="81">
        <f t="shared" ca="1" si="201"/>
        <v>0</v>
      </c>
      <c r="AC383" s="79">
        <f t="shared" ca="1" si="202"/>
        <v>0</v>
      </c>
      <c r="AD383" s="35"/>
      <c r="AE383" s="62">
        <f t="shared" ca="1" si="203"/>
        <v>0</v>
      </c>
      <c r="AF383" s="62">
        <f t="shared" ca="1" si="204"/>
        <v>0</v>
      </c>
      <c r="AG383" s="35"/>
      <c r="AH383" s="35"/>
      <c r="AR383" s="69">
        <f t="shared" si="221"/>
        <v>32</v>
      </c>
      <c r="AS383" s="70">
        <f t="shared" si="224"/>
        <v>380</v>
      </c>
      <c r="AT383" s="71">
        <f t="shared" si="225"/>
        <v>7.41956972198132E-2</v>
      </c>
      <c r="AU383" s="72">
        <f t="shared" si="205"/>
        <v>6.8214933659622723E-3</v>
      </c>
      <c r="AV383" s="73">
        <f t="shared" si="222"/>
        <v>1.0068214933659623</v>
      </c>
      <c r="AW383" s="74">
        <f>PRODUCT(AV$4:AV383)</f>
        <v>13.241637945594416</v>
      </c>
    </row>
    <row r="384" spans="5:49">
      <c r="E384">
        <f t="shared" si="223"/>
        <v>381</v>
      </c>
      <c r="F384" s="64">
        <f t="shared" si="206"/>
        <v>92.4</v>
      </c>
      <c r="G384" s="55">
        <f t="shared" si="207"/>
        <v>2.5756084803392754E-2</v>
      </c>
      <c r="H384" s="78">
        <f t="shared" si="226"/>
        <v>3.0525027503595249E-2</v>
      </c>
      <c r="I384" s="79">
        <f t="shared" ca="1" si="208"/>
        <v>0</v>
      </c>
      <c r="J384" s="79">
        <f t="shared" ca="1" si="209"/>
        <v>0</v>
      </c>
      <c r="K384" s="80">
        <f t="shared" ca="1" si="210"/>
        <v>0</v>
      </c>
      <c r="L384" s="80">
        <f t="shared" ca="1" si="211"/>
        <v>0</v>
      </c>
      <c r="M384" s="80">
        <f t="shared" ca="1" si="212"/>
        <v>0</v>
      </c>
      <c r="N384" s="80">
        <f t="shared" ca="1" si="213"/>
        <v>0</v>
      </c>
      <c r="O384" s="81">
        <f t="shared" ca="1" si="196"/>
        <v>0</v>
      </c>
      <c r="P384" s="79">
        <f t="shared" ca="1" si="197"/>
        <v>0</v>
      </c>
      <c r="Q384" s="35"/>
      <c r="R384">
        <f t="shared" ca="1" si="214"/>
        <v>381</v>
      </c>
      <c r="S384" s="78">
        <f t="shared" ca="1" si="215"/>
        <v>92.4</v>
      </c>
      <c r="T384" s="55">
        <f t="shared" ca="1" si="216"/>
        <v>2.5756084803392754E-2</v>
      </c>
      <c r="U384" s="78">
        <f t="shared" ca="1" si="217"/>
        <v>3.0525027503595249E-2</v>
      </c>
      <c r="V384" s="79">
        <f t="shared" ca="1" si="218"/>
        <v>0</v>
      </c>
      <c r="W384" s="79">
        <f t="shared" ca="1" si="198"/>
        <v>0</v>
      </c>
      <c r="X384" s="80">
        <f t="shared" ca="1" si="199"/>
        <v>0</v>
      </c>
      <c r="Y384" s="80">
        <f t="shared" ca="1" si="219"/>
        <v>0</v>
      </c>
      <c r="Z384" s="80">
        <f t="shared" ca="1" si="200"/>
        <v>0</v>
      </c>
      <c r="AA384" s="80">
        <f t="shared" ca="1" si="220"/>
        <v>0</v>
      </c>
      <c r="AB384" s="81">
        <f t="shared" ca="1" si="201"/>
        <v>0</v>
      </c>
      <c r="AC384" s="79">
        <f t="shared" ca="1" si="202"/>
        <v>0</v>
      </c>
      <c r="AD384" s="35"/>
      <c r="AE384" s="62">
        <f t="shared" ca="1" si="203"/>
        <v>0</v>
      </c>
      <c r="AF384" s="62">
        <f t="shared" ca="1" si="204"/>
        <v>0</v>
      </c>
      <c r="AG384" s="35"/>
      <c r="AH384" s="35"/>
      <c r="AR384" s="69">
        <f t="shared" si="221"/>
        <v>32</v>
      </c>
      <c r="AS384" s="70">
        <f t="shared" si="224"/>
        <v>381</v>
      </c>
      <c r="AT384" s="71">
        <f t="shared" si="225"/>
        <v>7.3689571763445302E-2</v>
      </c>
      <c r="AU384" s="72">
        <f t="shared" si="205"/>
        <v>6.8214933659622723E-3</v>
      </c>
      <c r="AV384" s="73">
        <f t="shared" si="222"/>
        <v>1.0068214933659623</v>
      </c>
      <c r="AW384" s="74">
        <f>PRODUCT(AV$4:AV384)</f>
        <v>13.331965690994762</v>
      </c>
    </row>
    <row r="385" spans="5:49">
      <c r="E385">
        <f t="shared" si="223"/>
        <v>382</v>
      </c>
      <c r="F385" s="64">
        <f t="shared" si="206"/>
        <v>92.48</v>
      </c>
      <c r="G385" s="55">
        <f t="shared" si="207"/>
        <v>2.5756084803392754E-2</v>
      </c>
      <c r="H385" s="78">
        <f t="shared" si="226"/>
        <v>2.9738822306586754E-2</v>
      </c>
      <c r="I385" s="79">
        <f t="shared" ca="1" si="208"/>
        <v>0</v>
      </c>
      <c r="J385" s="79">
        <f t="shared" ca="1" si="209"/>
        <v>0</v>
      </c>
      <c r="K385" s="80">
        <f t="shared" ca="1" si="210"/>
        <v>0</v>
      </c>
      <c r="L385" s="80">
        <f t="shared" ca="1" si="211"/>
        <v>0</v>
      </c>
      <c r="M385" s="80">
        <f t="shared" ca="1" si="212"/>
        <v>0</v>
      </c>
      <c r="N385" s="80">
        <f t="shared" ca="1" si="213"/>
        <v>0</v>
      </c>
      <c r="O385" s="81">
        <f t="shared" ca="1" si="196"/>
        <v>0</v>
      </c>
      <c r="P385" s="79">
        <f t="shared" ca="1" si="197"/>
        <v>0</v>
      </c>
      <c r="Q385" s="35"/>
      <c r="R385">
        <f t="shared" ca="1" si="214"/>
        <v>382</v>
      </c>
      <c r="S385" s="78">
        <f t="shared" ca="1" si="215"/>
        <v>92.48</v>
      </c>
      <c r="T385" s="55">
        <f t="shared" ca="1" si="216"/>
        <v>2.5756084803392754E-2</v>
      </c>
      <c r="U385" s="78">
        <f t="shared" ca="1" si="217"/>
        <v>2.9738822306586754E-2</v>
      </c>
      <c r="V385" s="79">
        <f t="shared" ca="1" si="218"/>
        <v>0</v>
      </c>
      <c r="W385" s="79">
        <f t="shared" ca="1" si="198"/>
        <v>0</v>
      </c>
      <c r="X385" s="80">
        <f t="shared" ca="1" si="199"/>
        <v>0</v>
      </c>
      <c r="Y385" s="80">
        <f t="shared" ca="1" si="219"/>
        <v>0</v>
      </c>
      <c r="Z385" s="80">
        <f t="shared" ca="1" si="200"/>
        <v>0</v>
      </c>
      <c r="AA385" s="80">
        <f t="shared" ca="1" si="220"/>
        <v>0</v>
      </c>
      <c r="AB385" s="81">
        <f t="shared" ca="1" si="201"/>
        <v>0</v>
      </c>
      <c r="AC385" s="79">
        <f t="shared" ca="1" si="202"/>
        <v>0</v>
      </c>
      <c r="AD385" s="35"/>
      <c r="AE385" s="62">
        <f t="shared" ca="1" si="203"/>
        <v>0</v>
      </c>
      <c r="AF385" s="62">
        <f t="shared" ca="1" si="204"/>
        <v>0</v>
      </c>
      <c r="AG385" s="35"/>
      <c r="AH385" s="35"/>
      <c r="AR385" s="69">
        <f t="shared" si="221"/>
        <v>32</v>
      </c>
      <c r="AS385" s="70">
        <f t="shared" si="224"/>
        <v>382</v>
      </c>
      <c r="AT385" s="71">
        <f t="shared" si="225"/>
        <v>7.3186898838520364E-2</v>
      </c>
      <c r="AU385" s="72">
        <f t="shared" si="205"/>
        <v>6.8214933659622723E-3</v>
      </c>
      <c r="AV385" s="73">
        <f t="shared" si="222"/>
        <v>1.0068214933659623</v>
      </c>
      <c r="AW385" s="74">
        <f>PRODUCT(AV$4:AV385)</f>
        <v>13.422909606511119</v>
      </c>
    </row>
    <row r="386" spans="5:49">
      <c r="E386">
        <f t="shared" si="223"/>
        <v>383</v>
      </c>
      <c r="F386" s="64">
        <f t="shared" si="206"/>
        <v>92.56</v>
      </c>
      <c r="G386" s="55">
        <f t="shared" si="207"/>
        <v>2.8214445801184374E-2</v>
      </c>
      <c r="H386" s="78">
        <f t="shared" si="226"/>
        <v>2.8899757916426509E-2</v>
      </c>
      <c r="I386" s="79">
        <f t="shared" ca="1" si="208"/>
        <v>0</v>
      </c>
      <c r="J386" s="79">
        <f t="shared" ca="1" si="209"/>
        <v>0</v>
      </c>
      <c r="K386" s="80">
        <f t="shared" ca="1" si="210"/>
        <v>0</v>
      </c>
      <c r="L386" s="80">
        <f t="shared" ca="1" si="211"/>
        <v>0</v>
      </c>
      <c r="M386" s="80">
        <f t="shared" ca="1" si="212"/>
        <v>0</v>
      </c>
      <c r="N386" s="80">
        <f t="shared" ca="1" si="213"/>
        <v>0</v>
      </c>
      <c r="O386" s="81">
        <f t="shared" ca="1" si="196"/>
        <v>0</v>
      </c>
      <c r="P386" s="79">
        <f t="shared" ca="1" si="197"/>
        <v>0</v>
      </c>
      <c r="Q386" s="35"/>
      <c r="R386">
        <f t="shared" ca="1" si="214"/>
        <v>383</v>
      </c>
      <c r="S386" s="78">
        <f t="shared" ca="1" si="215"/>
        <v>92.56</v>
      </c>
      <c r="T386" s="55">
        <f t="shared" ca="1" si="216"/>
        <v>2.8214445801184374E-2</v>
      </c>
      <c r="U386" s="78">
        <f t="shared" ca="1" si="217"/>
        <v>2.8899757916426509E-2</v>
      </c>
      <c r="V386" s="79">
        <f t="shared" ca="1" si="218"/>
        <v>0</v>
      </c>
      <c r="W386" s="79">
        <f t="shared" ca="1" si="198"/>
        <v>0</v>
      </c>
      <c r="X386" s="80">
        <f t="shared" ca="1" si="199"/>
        <v>0</v>
      </c>
      <c r="Y386" s="80">
        <f t="shared" ca="1" si="219"/>
        <v>0</v>
      </c>
      <c r="Z386" s="80">
        <f t="shared" ca="1" si="200"/>
        <v>0</v>
      </c>
      <c r="AA386" s="80">
        <f t="shared" ca="1" si="220"/>
        <v>0</v>
      </c>
      <c r="AB386" s="81">
        <f t="shared" ca="1" si="201"/>
        <v>0</v>
      </c>
      <c r="AC386" s="79">
        <f t="shared" ca="1" si="202"/>
        <v>0</v>
      </c>
      <c r="AD386" s="35"/>
      <c r="AE386" s="62">
        <f t="shared" ca="1" si="203"/>
        <v>0</v>
      </c>
      <c r="AF386" s="62">
        <f t="shared" ca="1" si="204"/>
        <v>0</v>
      </c>
      <c r="AG386" s="35"/>
      <c r="AH386" s="35"/>
      <c r="AR386" s="69">
        <f t="shared" si="221"/>
        <v>32</v>
      </c>
      <c r="AS386" s="70">
        <f t="shared" si="224"/>
        <v>383</v>
      </c>
      <c r="AT386" s="71">
        <f t="shared" si="225"/>
        <v>7.2687654893618045E-2</v>
      </c>
      <c r="AU386" s="72">
        <f t="shared" si="205"/>
        <v>6.8214933659622723E-3</v>
      </c>
      <c r="AV386" s="73">
        <f t="shared" si="222"/>
        <v>1.0068214933659623</v>
      </c>
      <c r="AW386" s="74">
        <f>PRODUCT(AV$4:AV386)</f>
        <v>13.514473895343846</v>
      </c>
    </row>
    <row r="387" spans="5:49">
      <c r="E387">
        <f t="shared" si="223"/>
        <v>384</v>
      </c>
      <c r="F387" s="64">
        <f t="shared" si="206"/>
        <v>92.64</v>
      </c>
      <c r="G387" s="55">
        <f t="shared" si="207"/>
        <v>2.8214445801184374E-2</v>
      </c>
      <c r="H387" s="78">
        <f t="shared" si="226"/>
        <v>2.8084367263026145E-2</v>
      </c>
      <c r="I387" s="79">
        <f t="shared" ca="1" si="208"/>
        <v>0</v>
      </c>
      <c r="J387" s="79">
        <f t="shared" ca="1" si="209"/>
        <v>0</v>
      </c>
      <c r="K387" s="80">
        <f t="shared" ca="1" si="210"/>
        <v>0</v>
      </c>
      <c r="L387" s="80">
        <f t="shared" ca="1" si="211"/>
        <v>0</v>
      </c>
      <c r="M387" s="80">
        <f t="shared" ca="1" si="212"/>
        <v>0</v>
      </c>
      <c r="N387" s="80">
        <f t="shared" ca="1" si="213"/>
        <v>0</v>
      </c>
      <c r="O387" s="81">
        <f t="shared" ca="1" si="196"/>
        <v>0</v>
      </c>
      <c r="P387" s="79">
        <f t="shared" ca="1" si="197"/>
        <v>0</v>
      </c>
      <c r="Q387" s="35"/>
      <c r="R387">
        <f t="shared" ca="1" si="214"/>
        <v>384</v>
      </c>
      <c r="S387" s="78">
        <f t="shared" ca="1" si="215"/>
        <v>92.64</v>
      </c>
      <c r="T387" s="55">
        <f t="shared" ca="1" si="216"/>
        <v>2.8214445801184374E-2</v>
      </c>
      <c r="U387" s="78">
        <f t="shared" ca="1" si="217"/>
        <v>2.8084367263026145E-2</v>
      </c>
      <c r="V387" s="79">
        <f t="shared" ca="1" si="218"/>
        <v>0</v>
      </c>
      <c r="W387" s="79">
        <f t="shared" ca="1" si="198"/>
        <v>0</v>
      </c>
      <c r="X387" s="80">
        <f t="shared" ca="1" si="199"/>
        <v>0</v>
      </c>
      <c r="Y387" s="80">
        <f t="shared" ca="1" si="219"/>
        <v>0</v>
      </c>
      <c r="Z387" s="80">
        <f t="shared" ca="1" si="200"/>
        <v>0</v>
      </c>
      <c r="AA387" s="80">
        <f t="shared" ca="1" si="220"/>
        <v>0</v>
      </c>
      <c r="AB387" s="81">
        <f t="shared" ca="1" si="201"/>
        <v>0</v>
      </c>
      <c r="AC387" s="79">
        <f t="shared" ca="1" si="202"/>
        <v>0</v>
      </c>
      <c r="AD387" s="35"/>
      <c r="AE387" s="62">
        <f t="shared" ca="1" si="203"/>
        <v>0</v>
      </c>
      <c r="AF387" s="62">
        <f t="shared" ca="1" si="204"/>
        <v>0</v>
      </c>
      <c r="AG387" s="35"/>
      <c r="AH387" s="35"/>
      <c r="AR387" s="69">
        <f t="shared" si="221"/>
        <v>32</v>
      </c>
      <c r="AS387" s="70">
        <f t="shared" si="224"/>
        <v>384</v>
      </c>
      <c r="AT387" s="71">
        <f t="shared" si="225"/>
        <v>7.219181653797388E-2</v>
      </c>
      <c r="AU387" s="72">
        <f t="shared" si="205"/>
        <v>6.8214933659622723E-3</v>
      </c>
      <c r="AV387" s="73">
        <f t="shared" si="222"/>
        <v>1.0068214933659623</v>
      </c>
      <c r="AW387" s="74">
        <f>PRODUCT(AV$4:AV387)</f>
        <v>13.606662789365405</v>
      </c>
    </row>
    <row r="388" spans="5:49">
      <c r="E388">
        <f t="shared" si="223"/>
        <v>385</v>
      </c>
      <c r="F388" s="64">
        <f t="shared" si="206"/>
        <v>92.72</v>
      </c>
      <c r="G388" s="55">
        <f t="shared" si="207"/>
        <v>2.8214445801184374E-2</v>
      </c>
      <c r="H388" s="78">
        <f t="shared" si="226"/>
        <v>2.7291982405022938E-2</v>
      </c>
      <c r="I388" s="79">
        <f t="shared" ca="1" si="208"/>
        <v>0</v>
      </c>
      <c r="J388" s="79">
        <f t="shared" ca="1" si="209"/>
        <v>0</v>
      </c>
      <c r="K388" s="80">
        <f t="shared" ca="1" si="210"/>
        <v>0</v>
      </c>
      <c r="L388" s="80">
        <f t="shared" ca="1" si="211"/>
        <v>0</v>
      </c>
      <c r="M388" s="80">
        <f t="shared" ca="1" si="212"/>
        <v>0</v>
      </c>
      <c r="N388" s="80">
        <f t="shared" ca="1" si="213"/>
        <v>0</v>
      </c>
      <c r="O388" s="81">
        <f t="shared" ref="O388:O451" ca="1" si="227">-MIN(IF(MOD(R388,IF($C$5="Annual",12,1))=0,1,0)*$C$33*U388/IF($C$5="Monthly",12,1),I388)</f>
        <v>0</v>
      </c>
      <c r="P388" s="79">
        <f t="shared" ref="P388:P451" ca="1" si="228">SUM(I388:O388)</f>
        <v>0</v>
      </c>
      <c r="Q388" s="35"/>
      <c r="R388">
        <f t="shared" ca="1" si="214"/>
        <v>385</v>
      </c>
      <c r="S388" s="78">
        <f t="shared" ca="1" si="215"/>
        <v>92.72</v>
      </c>
      <c r="T388" s="55">
        <f t="shared" ca="1" si="216"/>
        <v>2.8214445801184374E-2</v>
      </c>
      <c r="U388" s="78">
        <f t="shared" ca="1" si="217"/>
        <v>2.7291982405022938E-2</v>
      </c>
      <c r="V388" s="79">
        <f t="shared" ca="1" si="218"/>
        <v>0</v>
      </c>
      <c r="W388" s="79">
        <f t="shared" ref="W388:W451" ca="1" si="229">(V388)*$AU388</f>
        <v>0</v>
      </c>
      <c r="X388" s="80">
        <f t="shared" ref="X388:X451" ca="1" si="230">IF(V388=0,0,-$C$19)*U388</f>
        <v>0</v>
      </c>
      <c r="Y388" s="80">
        <f t="shared" ca="1" si="219"/>
        <v>0</v>
      </c>
      <c r="Z388" s="80">
        <f t="shared" ref="Z388:Z451" ca="1" si="231">-IF(MOD(R388-1,12)=0,1,0)*V388*($C$17)</f>
        <v>0</v>
      </c>
      <c r="AA388" s="80">
        <f t="shared" ca="1" si="220"/>
        <v>0</v>
      </c>
      <c r="AB388" s="81">
        <f t="shared" ref="AB388:AB451" ca="1" si="232">-MIN(IF(MOD(R388,IF($C$5="Annual",12,1))=0,1,0)*$C$33*U388/IF($C$5="Monthly",12,1),V388)</f>
        <v>0</v>
      </c>
      <c r="AC388" s="79">
        <f t="shared" ref="AC388:AC451" ca="1" si="233">SUM(V388:AB388)</f>
        <v>0</v>
      </c>
      <c r="AD388" s="35"/>
      <c r="AE388" s="62">
        <f t="shared" ref="AE388:AE451" ca="1" si="234">AB388/U388</f>
        <v>0</v>
      </c>
      <c r="AF388" s="62">
        <f t="shared" ref="AF388:AF451" ca="1" si="235">AC388/U388</f>
        <v>0</v>
      </c>
      <c r="AG388" s="35"/>
      <c r="AH388" s="35"/>
      <c r="AR388" s="69">
        <f t="shared" si="221"/>
        <v>33</v>
      </c>
      <c r="AS388" s="70">
        <f t="shared" si="224"/>
        <v>385</v>
      </c>
      <c r="AT388" s="71">
        <f t="shared" si="225"/>
        <v>7.1699360540383325E-2</v>
      </c>
      <c r="AU388" s="72">
        <f t="shared" ref="AU388:AU451" si="236">((1+$AH$21)^(1/12))-1</f>
        <v>6.8214933659622723E-3</v>
      </c>
      <c r="AV388" s="73">
        <f t="shared" si="222"/>
        <v>1.0068214933659623</v>
      </c>
      <c r="AW388" s="74">
        <f>PRODUCT(AV$4:AV388)</f>
        <v>13.699480549315947</v>
      </c>
    </row>
    <row r="389" spans="5:49">
      <c r="E389">
        <f t="shared" si="223"/>
        <v>386</v>
      </c>
      <c r="F389" s="64">
        <f t="shared" ref="F389:F452" si="237">ROUND((E389-E388)/12+F388,2)</f>
        <v>92.8</v>
      </c>
      <c r="G389" s="55">
        <f t="shared" ref="G389:G452" si="238">(1-(1-IF(F389&gt;$AJ$90,0,VLOOKUP(ROUND(F389,0),$AJ$4:$AK$90,2,FALSE)))^(1/12))</f>
        <v>2.8214445801184374E-2</v>
      </c>
      <c r="H389" s="78">
        <f t="shared" si="226"/>
        <v>2.6521954246649541E-2</v>
      </c>
      <c r="I389" s="79">
        <f t="shared" ref="I389:I452" ca="1" si="239">MAX(P388,0)*(1-G389)</f>
        <v>0</v>
      </c>
      <c r="J389" s="79">
        <f t="shared" ref="J389:J452" ca="1" si="240">(I389)*$AU389</f>
        <v>0</v>
      </c>
      <c r="K389" s="80">
        <f t="shared" ref="K389:K452" ca="1" si="241">IF(I389=0,0,-$C$19)*H389</f>
        <v>0</v>
      </c>
      <c r="L389" s="80">
        <f t="shared" ref="L389:L452" ca="1" si="242">IF(OR(I388+O388=0,K388=0),0,-I389*($C$16/12))</f>
        <v>0</v>
      </c>
      <c r="M389" s="80">
        <f t="shared" ref="M389:M452" ca="1" si="243">IF(OR(I388+O388=0,K388=0),0,-IF(MOD(E389-1,12)=0,1,0)*I389*($C$17))</f>
        <v>0</v>
      </c>
      <c r="N389" s="80">
        <f t="shared" ref="N389:N452" ca="1" si="244">IF(OR(I388+O388=0,K388=0),0,-I389*($C$18*(1+$C$20))/12)</f>
        <v>0</v>
      </c>
      <c r="O389" s="81">
        <f t="shared" ca="1" si="227"/>
        <v>0</v>
      </c>
      <c r="P389" s="79">
        <f t="shared" ca="1" si="228"/>
        <v>0</v>
      </c>
      <c r="Q389" s="35"/>
      <c r="R389">
        <f t="shared" ref="R389:R452" ca="1" si="245">R388+1</f>
        <v>386</v>
      </c>
      <c r="S389" s="78">
        <f t="shared" ref="S389:S452" ca="1" si="246">ROUND((R389-R388)/12+S388,2)</f>
        <v>92.8</v>
      </c>
      <c r="T389" s="55">
        <f t="shared" ref="T389:T452" ca="1" si="247">(1-(1-IF(S389&gt;$AJ$90,0,VLOOKUP(ROUND(S389,0),$AJ$4:$AK$90,2,FALSE)))^(1/12))</f>
        <v>2.8214445801184374E-2</v>
      </c>
      <c r="U389" s="78">
        <f t="shared" ref="U389:U452" ca="1" si="248">U388*(1-T389)</f>
        <v>2.6521954246649541E-2</v>
      </c>
      <c r="V389" s="79">
        <f t="shared" ref="V389:V452" ca="1" si="249">MAX(AC388,0)*(1-T389)</f>
        <v>0</v>
      </c>
      <c r="W389" s="79">
        <f t="shared" ca="1" si="229"/>
        <v>0</v>
      </c>
      <c r="X389" s="80">
        <f t="shared" ca="1" si="230"/>
        <v>0</v>
      </c>
      <c r="Y389" s="80">
        <f t="shared" ref="Y389:Y452" ca="1" si="250">IF(OR(V388+AB388=0,X388=0),0,-V389*($C$16/12))</f>
        <v>0</v>
      </c>
      <c r="Z389" s="80">
        <f t="shared" ca="1" si="231"/>
        <v>0</v>
      </c>
      <c r="AA389" s="80">
        <f t="shared" ref="AA389:AA452" ca="1" si="251">IF(OR(V388+AB388=0,X388=0),0,-V389*($C$18*(1+$C$20))/12)</f>
        <v>0</v>
      </c>
      <c r="AB389" s="81">
        <f t="shared" ca="1" si="232"/>
        <v>0</v>
      </c>
      <c r="AC389" s="79">
        <f t="shared" ca="1" si="233"/>
        <v>0</v>
      </c>
      <c r="AD389" s="35"/>
      <c r="AE389" s="62">
        <f t="shared" ca="1" si="234"/>
        <v>0</v>
      </c>
      <c r="AF389" s="62">
        <f t="shared" ca="1" si="235"/>
        <v>0</v>
      </c>
      <c r="AG389" s="35"/>
      <c r="AH389" s="35"/>
      <c r="AR389" s="69">
        <f t="shared" ref="AR389:AR452" si="252">ROUNDDOWN((AS389-1)/12,0)+1</f>
        <v>33</v>
      </c>
      <c r="AS389" s="70">
        <f t="shared" si="224"/>
        <v>386</v>
      </c>
      <c r="AT389" s="71">
        <f t="shared" si="225"/>
        <v>7.1210263828113365E-2</v>
      </c>
      <c r="AU389" s="72">
        <f t="shared" si="236"/>
        <v>6.8214933659622723E-3</v>
      </c>
      <c r="AV389" s="73">
        <f t="shared" ref="AV389:AV452" si="253">(1+AU389)</f>
        <v>1.0068214933659623</v>
      </c>
      <c r="AW389" s="74">
        <f>PRODUCT(AV$4:AV389)</f>
        <v>13.792931465000235</v>
      </c>
    </row>
    <row r="390" spans="5:49">
      <c r="E390">
        <f t="shared" ref="E390:E453" si="254">E389+1</f>
        <v>387</v>
      </c>
      <c r="F390" s="64">
        <f t="shared" si="237"/>
        <v>92.88</v>
      </c>
      <c r="G390" s="55">
        <f t="shared" si="238"/>
        <v>2.8214445801184374E-2</v>
      </c>
      <c r="H390" s="78">
        <f t="shared" si="226"/>
        <v>2.5773652006015956E-2</v>
      </c>
      <c r="I390" s="79">
        <f t="shared" ca="1" si="239"/>
        <v>0</v>
      </c>
      <c r="J390" s="79">
        <f t="shared" ca="1" si="240"/>
        <v>0</v>
      </c>
      <c r="K390" s="80">
        <f t="shared" ca="1" si="241"/>
        <v>0</v>
      </c>
      <c r="L390" s="80">
        <f t="shared" ca="1" si="242"/>
        <v>0</v>
      </c>
      <c r="M390" s="80">
        <f t="shared" ca="1" si="243"/>
        <v>0</v>
      </c>
      <c r="N390" s="80">
        <f t="shared" ca="1" si="244"/>
        <v>0</v>
      </c>
      <c r="O390" s="81">
        <f t="shared" ca="1" si="227"/>
        <v>0</v>
      </c>
      <c r="P390" s="79">
        <f t="shared" ca="1" si="228"/>
        <v>0</v>
      </c>
      <c r="Q390" s="35"/>
      <c r="R390">
        <f t="shared" ca="1" si="245"/>
        <v>387</v>
      </c>
      <c r="S390" s="78">
        <f t="shared" ca="1" si="246"/>
        <v>92.88</v>
      </c>
      <c r="T390" s="55">
        <f t="shared" ca="1" si="247"/>
        <v>2.8214445801184374E-2</v>
      </c>
      <c r="U390" s="78">
        <f t="shared" ca="1" si="248"/>
        <v>2.5773652006015956E-2</v>
      </c>
      <c r="V390" s="79">
        <f t="shared" ca="1" si="249"/>
        <v>0</v>
      </c>
      <c r="W390" s="79">
        <f t="shared" ca="1" si="229"/>
        <v>0</v>
      </c>
      <c r="X390" s="80">
        <f t="shared" ca="1" si="230"/>
        <v>0</v>
      </c>
      <c r="Y390" s="80">
        <f t="shared" ca="1" si="250"/>
        <v>0</v>
      </c>
      <c r="Z390" s="80">
        <f t="shared" ca="1" si="231"/>
        <v>0</v>
      </c>
      <c r="AA390" s="80">
        <f t="shared" ca="1" si="251"/>
        <v>0</v>
      </c>
      <c r="AB390" s="81">
        <f t="shared" ca="1" si="232"/>
        <v>0</v>
      </c>
      <c r="AC390" s="79">
        <f t="shared" ca="1" si="233"/>
        <v>0</v>
      </c>
      <c r="AD390" s="35"/>
      <c r="AE390" s="62">
        <f t="shared" ca="1" si="234"/>
        <v>0</v>
      </c>
      <c r="AF390" s="62">
        <f t="shared" ca="1" si="235"/>
        <v>0</v>
      </c>
      <c r="AG390" s="35"/>
      <c r="AH390" s="35"/>
      <c r="AR390" s="69">
        <f t="shared" si="252"/>
        <v>33</v>
      </c>
      <c r="AS390" s="70">
        <f t="shared" ref="AS390:AS453" si="255">AS389+1</f>
        <v>387</v>
      </c>
      <c r="AT390" s="71">
        <f t="shared" ref="AT390:AT453" si="256">(1-AU390)*AT389</f>
        <v>7.0724503485821461E-2</v>
      </c>
      <c r="AU390" s="72">
        <f t="shared" si="236"/>
        <v>6.8214933659622723E-3</v>
      </c>
      <c r="AV390" s="73">
        <f t="shared" si="253"/>
        <v>1.0068214933659623</v>
      </c>
      <c r="AW390" s="74">
        <f>PRODUCT(AV$4:AV390)</f>
        <v>13.887019855485907</v>
      </c>
    </row>
    <row r="391" spans="5:49">
      <c r="E391">
        <f t="shared" si="254"/>
        <v>388</v>
      </c>
      <c r="F391" s="64">
        <f t="shared" si="237"/>
        <v>92.96</v>
      </c>
      <c r="G391" s="55">
        <f t="shared" si="238"/>
        <v>2.8214445801184374E-2</v>
      </c>
      <c r="H391" s="78">
        <f t="shared" ref="H391:H454" si="257">H390*(1-G391)</f>
        <v>2.5046462698393633E-2</v>
      </c>
      <c r="I391" s="79">
        <f t="shared" ca="1" si="239"/>
        <v>0</v>
      </c>
      <c r="J391" s="79">
        <f t="shared" ca="1" si="240"/>
        <v>0</v>
      </c>
      <c r="K391" s="80">
        <f t="shared" ca="1" si="241"/>
        <v>0</v>
      </c>
      <c r="L391" s="80">
        <f t="shared" ca="1" si="242"/>
        <v>0</v>
      </c>
      <c r="M391" s="80">
        <f t="shared" ca="1" si="243"/>
        <v>0</v>
      </c>
      <c r="N391" s="80">
        <f t="shared" ca="1" si="244"/>
        <v>0</v>
      </c>
      <c r="O391" s="81">
        <f t="shared" ca="1" si="227"/>
        <v>0</v>
      </c>
      <c r="P391" s="79">
        <f t="shared" ca="1" si="228"/>
        <v>0</v>
      </c>
      <c r="Q391" s="35"/>
      <c r="R391">
        <f t="shared" ca="1" si="245"/>
        <v>388</v>
      </c>
      <c r="S391" s="78">
        <f t="shared" ca="1" si="246"/>
        <v>92.96</v>
      </c>
      <c r="T391" s="55">
        <f t="shared" ca="1" si="247"/>
        <v>2.8214445801184374E-2</v>
      </c>
      <c r="U391" s="78">
        <f t="shared" ca="1" si="248"/>
        <v>2.5046462698393633E-2</v>
      </c>
      <c r="V391" s="79">
        <f t="shared" ca="1" si="249"/>
        <v>0</v>
      </c>
      <c r="W391" s="79">
        <f t="shared" ca="1" si="229"/>
        <v>0</v>
      </c>
      <c r="X391" s="80">
        <f t="shared" ca="1" si="230"/>
        <v>0</v>
      </c>
      <c r="Y391" s="80">
        <f t="shared" ca="1" si="250"/>
        <v>0</v>
      </c>
      <c r="Z391" s="80">
        <f t="shared" ca="1" si="231"/>
        <v>0</v>
      </c>
      <c r="AA391" s="80">
        <f t="shared" ca="1" si="251"/>
        <v>0</v>
      </c>
      <c r="AB391" s="81">
        <f t="shared" ca="1" si="232"/>
        <v>0</v>
      </c>
      <c r="AC391" s="79">
        <f t="shared" ca="1" si="233"/>
        <v>0</v>
      </c>
      <c r="AD391" s="35"/>
      <c r="AE391" s="62">
        <f t="shared" ca="1" si="234"/>
        <v>0</v>
      </c>
      <c r="AF391" s="62">
        <f t="shared" ca="1" si="235"/>
        <v>0</v>
      </c>
      <c r="AG391" s="35"/>
      <c r="AH391" s="35"/>
      <c r="AR391" s="69">
        <f t="shared" si="252"/>
        <v>33</v>
      </c>
      <c r="AS391" s="70">
        <f t="shared" si="255"/>
        <v>388</v>
      </c>
      <c r="AT391" s="71">
        <f t="shared" si="256"/>
        <v>7.024205675448196E-2</v>
      </c>
      <c r="AU391" s="72">
        <f t="shared" si="236"/>
        <v>6.8214933659622723E-3</v>
      </c>
      <c r="AV391" s="73">
        <f t="shared" si="253"/>
        <v>1.0068214933659623</v>
      </c>
      <c r="AW391" s="74">
        <f>PRODUCT(AV$4:AV391)</f>
        <v>13.981750069303089</v>
      </c>
    </row>
    <row r="392" spans="5:49">
      <c r="E392">
        <f t="shared" si="254"/>
        <v>389</v>
      </c>
      <c r="F392" s="64">
        <f t="shared" si="237"/>
        <v>93.04</v>
      </c>
      <c r="G392" s="55">
        <f t="shared" si="238"/>
        <v>2.8214445801184374E-2</v>
      </c>
      <c r="H392" s="78">
        <f t="shared" si="257"/>
        <v>2.4339790634078418E-2</v>
      </c>
      <c r="I392" s="79">
        <f t="shared" ca="1" si="239"/>
        <v>0</v>
      </c>
      <c r="J392" s="79">
        <f t="shared" ca="1" si="240"/>
        <v>0</v>
      </c>
      <c r="K392" s="80">
        <f t="shared" ca="1" si="241"/>
        <v>0</v>
      </c>
      <c r="L392" s="80">
        <f t="shared" ca="1" si="242"/>
        <v>0</v>
      </c>
      <c r="M392" s="80">
        <f t="shared" ca="1" si="243"/>
        <v>0</v>
      </c>
      <c r="N392" s="80">
        <f t="shared" ca="1" si="244"/>
        <v>0</v>
      </c>
      <c r="O392" s="81">
        <f t="shared" ca="1" si="227"/>
        <v>0</v>
      </c>
      <c r="P392" s="79">
        <f t="shared" ca="1" si="228"/>
        <v>0</v>
      </c>
      <c r="Q392" s="35"/>
      <c r="R392">
        <f t="shared" ca="1" si="245"/>
        <v>389</v>
      </c>
      <c r="S392" s="78">
        <f t="shared" ca="1" si="246"/>
        <v>93.04</v>
      </c>
      <c r="T392" s="55">
        <f t="shared" ca="1" si="247"/>
        <v>2.8214445801184374E-2</v>
      </c>
      <c r="U392" s="78">
        <f t="shared" ca="1" si="248"/>
        <v>2.4339790634078418E-2</v>
      </c>
      <c r="V392" s="79">
        <f t="shared" ca="1" si="249"/>
        <v>0</v>
      </c>
      <c r="W392" s="79">
        <f t="shared" ca="1" si="229"/>
        <v>0</v>
      </c>
      <c r="X392" s="80">
        <f t="shared" ca="1" si="230"/>
        <v>0</v>
      </c>
      <c r="Y392" s="80">
        <f t="shared" ca="1" si="250"/>
        <v>0</v>
      </c>
      <c r="Z392" s="80">
        <f t="shared" ca="1" si="231"/>
        <v>0</v>
      </c>
      <c r="AA392" s="80">
        <f t="shared" ca="1" si="251"/>
        <v>0</v>
      </c>
      <c r="AB392" s="81">
        <f t="shared" ca="1" si="232"/>
        <v>0</v>
      </c>
      <c r="AC392" s="79">
        <f t="shared" ca="1" si="233"/>
        <v>0</v>
      </c>
      <c r="AD392" s="35"/>
      <c r="AE392" s="62">
        <f t="shared" ca="1" si="234"/>
        <v>0</v>
      </c>
      <c r="AF392" s="62">
        <f t="shared" ca="1" si="235"/>
        <v>0</v>
      </c>
      <c r="AG392" s="35"/>
      <c r="AH392" s="35"/>
      <c r="AR392" s="69">
        <f t="shared" si="252"/>
        <v>33</v>
      </c>
      <c r="AS392" s="70">
        <f t="shared" si="255"/>
        <v>389</v>
      </c>
      <c r="AT392" s="71">
        <f t="shared" si="256"/>
        <v>6.9762901030319721E-2</v>
      </c>
      <c r="AU392" s="72">
        <f t="shared" si="236"/>
        <v>6.8214933659622723E-3</v>
      </c>
      <c r="AV392" s="73">
        <f t="shared" si="253"/>
        <v>1.0068214933659623</v>
      </c>
      <c r="AW392" s="74">
        <f>PRODUCT(AV$4:AV392)</f>
        <v>14.077126484645383</v>
      </c>
    </row>
    <row r="393" spans="5:49">
      <c r="E393">
        <f t="shared" si="254"/>
        <v>390</v>
      </c>
      <c r="F393" s="64">
        <f t="shared" si="237"/>
        <v>93.12</v>
      </c>
      <c r="G393" s="55">
        <f t="shared" si="238"/>
        <v>2.8214445801184374E-2</v>
      </c>
      <c r="H393" s="78">
        <f t="shared" si="257"/>
        <v>2.3653056930421038E-2</v>
      </c>
      <c r="I393" s="79">
        <f t="shared" ca="1" si="239"/>
        <v>0</v>
      </c>
      <c r="J393" s="79">
        <f t="shared" ca="1" si="240"/>
        <v>0</v>
      </c>
      <c r="K393" s="80">
        <f t="shared" ca="1" si="241"/>
        <v>0</v>
      </c>
      <c r="L393" s="80">
        <f t="shared" ca="1" si="242"/>
        <v>0</v>
      </c>
      <c r="M393" s="80">
        <f t="shared" ca="1" si="243"/>
        <v>0</v>
      </c>
      <c r="N393" s="80">
        <f t="shared" ca="1" si="244"/>
        <v>0</v>
      </c>
      <c r="O393" s="81">
        <f t="shared" ca="1" si="227"/>
        <v>0</v>
      </c>
      <c r="P393" s="79">
        <f t="shared" ca="1" si="228"/>
        <v>0</v>
      </c>
      <c r="Q393" s="35"/>
      <c r="R393">
        <f t="shared" ca="1" si="245"/>
        <v>390</v>
      </c>
      <c r="S393" s="78">
        <f t="shared" ca="1" si="246"/>
        <v>93.12</v>
      </c>
      <c r="T393" s="55">
        <f t="shared" ca="1" si="247"/>
        <v>2.8214445801184374E-2</v>
      </c>
      <c r="U393" s="78">
        <f t="shared" ca="1" si="248"/>
        <v>2.3653056930421038E-2</v>
      </c>
      <c r="V393" s="79">
        <f t="shared" ca="1" si="249"/>
        <v>0</v>
      </c>
      <c r="W393" s="79">
        <f t="shared" ca="1" si="229"/>
        <v>0</v>
      </c>
      <c r="X393" s="80">
        <f t="shared" ca="1" si="230"/>
        <v>0</v>
      </c>
      <c r="Y393" s="80">
        <f t="shared" ca="1" si="250"/>
        <v>0</v>
      </c>
      <c r="Z393" s="80">
        <f t="shared" ca="1" si="231"/>
        <v>0</v>
      </c>
      <c r="AA393" s="80">
        <f t="shared" ca="1" si="251"/>
        <v>0</v>
      </c>
      <c r="AB393" s="81">
        <f t="shared" ca="1" si="232"/>
        <v>0</v>
      </c>
      <c r="AC393" s="79">
        <f t="shared" ca="1" si="233"/>
        <v>0</v>
      </c>
      <c r="AD393" s="35"/>
      <c r="AE393" s="62">
        <f t="shared" ca="1" si="234"/>
        <v>0</v>
      </c>
      <c r="AF393" s="62">
        <f t="shared" ca="1" si="235"/>
        <v>0</v>
      </c>
      <c r="AG393" s="35"/>
      <c r="AH393" s="35"/>
      <c r="AR393" s="69">
        <f t="shared" si="252"/>
        <v>33</v>
      </c>
      <c r="AS393" s="70">
        <f t="shared" si="255"/>
        <v>390</v>
      </c>
      <c r="AT393" s="71">
        <f t="shared" si="256"/>
        <v>6.9287013863751107E-2</v>
      </c>
      <c r="AU393" s="72">
        <f t="shared" si="236"/>
        <v>6.8214933659622723E-3</v>
      </c>
      <c r="AV393" s="73">
        <f t="shared" si="253"/>
        <v>1.0068214933659623</v>
      </c>
      <c r="AW393" s="74">
        <f>PRODUCT(AV$4:AV393)</f>
        <v>14.173153509572204</v>
      </c>
    </row>
    <row r="394" spans="5:49">
      <c r="E394">
        <f t="shared" si="254"/>
        <v>391</v>
      </c>
      <c r="F394" s="64">
        <f t="shared" si="237"/>
        <v>93.2</v>
      </c>
      <c r="G394" s="55">
        <f t="shared" si="238"/>
        <v>2.8214445801184374E-2</v>
      </c>
      <c r="H394" s="78">
        <f t="shared" si="257"/>
        <v>2.2985699037625346E-2</v>
      </c>
      <c r="I394" s="79">
        <f t="shared" ca="1" si="239"/>
        <v>0</v>
      </c>
      <c r="J394" s="79">
        <f t="shared" ca="1" si="240"/>
        <v>0</v>
      </c>
      <c r="K394" s="80">
        <f t="shared" ca="1" si="241"/>
        <v>0</v>
      </c>
      <c r="L394" s="80">
        <f t="shared" ca="1" si="242"/>
        <v>0</v>
      </c>
      <c r="M394" s="80">
        <f t="shared" ca="1" si="243"/>
        <v>0</v>
      </c>
      <c r="N394" s="80">
        <f t="shared" ca="1" si="244"/>
        <v>0</v>
      </c>
      <c r="O394" s="81">
        <f t="shared" ca="1" si="227"/>
        <v>0</v>
      </c>
      <c r="P394" s="79">
        <f t="shared" ca="1" si="228"/>
        <v>0</v>
      </c>
      <c r="Q394" s="35"/>
      <c r="R394">
        <f t="shared" ca="1" si="245"/>
        <v>391</v>
      </c>
      <c r="S394" s="78">
        <f t="shared" ca="1" si="246"/>
        <v>93.2</v>
      </c>
      <c r="T394" s="55">
        <f t="shared" ca="1" si="247"/>
        <v>2.8214445801184374E-2</v>
      </c>
      <c r="U394" s="78">
        <f t="shared" ca="1" si="248"/>
        <v>2.2985699037625346E-2</v>
      </c>
      <c r="V394" s="79">
        <f t="shared" ca="1" si="249"/>
        <v>0</v>
      </c>
      <c r="W394" s="79">
        <f t="shared" ca="1" si="229"/>
        <v>0</v>
      </c>
      <c r="X394" s="80">
        <f t="shared" ca="1" si="230"/>
        <v>0</v>
      </c>
      <c r="Y394" s="80">
        <f t="shared" ca="1" si="250"/>
        <v>0</v>
      </c>
      <c r="Z394" s="80">
        <f t="shared" ca="1" si="231"/>
        <v>0</v>
      </c>
      <c r="AA394" s="80">
        <f t="shared" ca="1" si="251"/>
        <v>0</v>
      </c>
      <c r="AB394" s="81">
        <f t="shared" ca="1" si="232"/>
        <v>0</v>
      </c>
      <c r="AC394" s="79">
        <f t="shared" ca="1" si="233"/>
        <v>0</v>
      </c>
      <c r="AD394" s="35"/>
      <c r="AE394" s="62">
        <f t="shared" ca="1" si="234"/>
        <v>0</v>
      </c>
      <c r="AF394" s="62">
        <f t="shared" ca="1" si="235"/>
        <v>0</v>
      </c>
      <c r="AG394" s="35"/>
      <c r="AH394" s="35"/>
      <c r="AR394" s="69">
        <f t="shared" si="252"/>
        <v>33</v>
      </c>
      <c r="AS394" s="70">
        <f t="shared" si="255"/>
        <v>391</v>
      </c>
      <c r="AT394" s="71">
        <f t="shared" si="256"/>
        <v>6.881437295833219E-2</v>
      </c>
      <c r="AU394" s="72">
        <f t="shared" si="236"/>
        <v>6.8214933659622723E-3</v>
      </c>
      <c r="AV394" s="73">
        <f t="shared" si="253"/>
        <v>1.0068214933659623</v>
      </c>
      <c r="AW394" s="74">
        <f>PRODUCT(AV$4:AV394)</f>
        <v>14.269835582212515</v>
      </c>
    </row>
    <row r="395" spans="5:49">
      <c r="E395">
        <f t="shared" si="254"/>
        <v>392</v>
      </c>
      <c r="F395" s="64">
        <f t="shared" si="237"/>
        <v>93.28</v>
      </c>
      <c r="G395" s="55">
        <f t="shared" si="238"/>
        <v>2.8214445801184374E-2</v>
      </c>
      <c r="H395" s="78">
        <f t="shared" si="257"/>
        <v>2.2337170277925929E-2</v>
      </c>
      <c r="I395" s="79">
        <f t="shared" ca="1" si="239"/>
        <v>0</v>
      </c>
      <c r="J395" s="79">
        <f t="shared" ca="1" si="240"/>
        <v>0</v>
      </c>
      <c r="K395" s="80">
        <f t="shared" ca="1" si="241"/>
        <v>0</v>
      </c>
      <c r="L395" s="80">
        <f t="shared" ca="1" si="242"/>
        <v>0</v>
      </c>
      <c r="M395" s="80">
        <f t="shared" ca="1" si="243"/>
        <v>0</v>
      </c>
      <c r="N395" s="80">
        <f t="shared" ca="1" si="244"/>
        <v>0</v>
      </c>
      <c r="O395" s="81">
        <f t="shared" ca="1" si="227"/>
        <v>0</v>
      </c>
      <c r="P395" s="79">
        <f t="shared" ca="1" si="228"/>
        <v>0</v>
      </c>
      <c r="Q395" s="35"/>
      <c r="R395">
        <f t="shared" ca="1" si="245"/>
        <v>392</v>
      </c>
      <c r="S395" s="78">
        <f t="shared" ca="1" si="246"/>
        <v>93.28</v>
      </c>
      <c r="T395" s="55">
        <f t="shared" ca="1" si="247"/>
        <v>2.8214445801184374E-2</v>
      </c>
      <c r="U395" s="78">
        <f t="shared" ca="1" si="248"/>
        <v>2.2337170277925929E-2</v>
      </c>
      <c r="V395" s="79">
        <f t="shared" ca="1" si="249"/>
        <v>0</v>
      </c>
      <c r="W395" s="79">
        <f t="shared" ca="1" si="229"/>
        <v>0</v>
      </c>
      <c r="X395" s="80">
        <f t="shared" ca="1" si="230"/>
        <v>0</v>
      </c>
      <c r="Y395" s="80">
        <f t="shared" ca="1" si="250"/>
        <v>0</v>
      </c>
      <c r="Z395" s="80">
        <f t="shared" ca="1" si="231"/>
        <v>0</v>
      </c>
      <c r="AA395" s="80">
        <f t="shared" ca="1" si="251"/>
        <v>0</v>
      </c>
      <c r="AB395" s="81">
        <f t="shared" ca="1" si="232"/>
        <v>0</v>
      </c>
      <c r="AC395" s="79">
        <f t="shared" ca="1" si="233"/>
        <v>0</v>
      </c>
      <c r="AD395" s="35"/>
      <c r="AE395" s="62">
        <f t="shared" ca="1" si="234"/>
        <v>0</v>
      </c>
      <c r="AF395" s="62">
        <f t="shared" ca="1" si="235"/>
        <v>0</v>
      </c>
      <c r="AG395" s="35"/>
      <c r="AH395" s="35"/>
      <c r="AR395" s="69">
        <f t="shared" si="252"/>
        <v>33</v>
      </c>
      <c r="AS395" s="70">
        <f t="shared" si="255"/>
        <v>392</v>
      </c>
      <c r="AT395" s="71">
        <f t="shared" si="256"/>
        <v>6.8344956169714075E-2</v>
      </c>
      <c r="AU395" s="72">
        <f t="shared" si="236"/>
        <v>6.8214933659622723E-3</v>
      </c>
      <c r="AV395" s="73">
        <f t="shared" si="253"/>
        <v>1.0068214933659623</v>
      </c>
      <c r="AW395" s="74">
        <f>PRODUCT(AV$4:AV395)</f>
        <v>14.367177170969951</v>
      </c>
    </row>
    <row r="396" spans="5:49">
      <c r="E396">
        <f t="shared" si="254"/>
        <v>393</v>
      </c>
      <c r="F396" s="64">
        <f t="shared" si="237"/>
        <v>93.36</v>
      </c>
      <c r="G396" s="55">
        <f t="shared" si="238"/>
        <v>2.8214445801184374E-2</v>
      </c>
      <c r="H396" s="78">
        <f t="shared" si="257"/>
        <v>2.170693939776756E-2</v>
      </c>
      <c r="I396" s="79">
        <f t="shared" ca="1" si="239"/>
        <v>0</v>
      </c>
      <c r="J396" s="79">
        <f t="shared" ca="1" si="240"/>
        <v>0</v>
      </c>
      <c r="K396" s="80">
        <f t="shared" ca="1" si="241"/>
        <v>0</v>
      </c>
      <c r="L396" s="80">
        <f t="shared" ca="1" si="242"/>
        <v>0</v>
      </c>
      <c r="M396" s="80">
        <f t="shared" ca="1" si="243"/>
        <v>0</v>
      </c>
      <c r="N396" s="80">
        <f t="shared" ca="1" si="244"/>
        <v>0</v>
      </c>
      <c r="O396" s="81">
        <f t="shared" ca="1" si="227"/>
        <v>0</v>
      </c>
      <c r="P396" s="79">
        <f t="shared" ca="1" si="228"/>
        <v>0</v>
      </c>
      <c r="Q396" s="35"/>
      <c r="R396">
        <f t="shared" ca="1" si="245"/>
        <v>393</v>
      </c>
      <c r="S396" s="78">
        <f t="shared" ca="1" si="246"/>
        <v>93.36</v>
      </c>
      <c r="T396" s="55">
        <f t="shared" ca="1" si="247"/>
        <v>2.8214445801184374E-2</v>
      </c>
      <c r="U396" s="78">
        <f t="shared" ca="1" si="248"/>
        <v>2.170693939776756E-2</v>
      </c>
      <c r="V396" s="79">
        <f t="shared" ca="1" si="249"/>
        <v>0</v>
      </c>
      <c r="W396" s="79">
        <f t="shared" ca="1" si="229"/>
        <v>0</v>
      </c>
      <c r="X396" s="80">
        <f t="shared" ca="1" si="230"/>
        <v>0</v>
      </c>
      <c r="Y396" s="80">
        <f t="shared" ca="1" si="250"/>
        <v>0</v>
      </c>
      <c r="Z396" s="80">
        <f t="shared" ca="1" si="231"/>
        <v>0</v>
      </c>
      <c r="AA396" s="80">
        <f t="shared" ca="1" si="251"/>
        <v>0</v>
      </c>
      <c r="AB396" s="81">
        <f t="shared" ca="1" si="232"/>
        <v>0</v>
      </c>
      <c r="AC396" s="79">
        <f t="shared" ca="1" si="233"/>
        <v>0</v>
      </c>
      <c r="AD396" s="35"/>
      <c r="AE396" s="62">
        <f t="shared" ca="1" si="234"/>
        <v>0</v>
      </c>
      <c r="AF396" s="62">
        <f t="shared" ca="1" si="235"/>
        <v>0</v>
      </c>
      <c r="AG396" s="35"/>
      <c r="AH396" s="35"/>
      <c r="AR396" s="69">
        <f t="shared" si="252"/>
        <v>33</v>
      </c>
      <c r="AS396" s="70">
        <f t="shared" si="255"/>
        <v>393</v>
      </c>
      <c r="AT396" s="71">
        <f t="shared" si="256"/>
        <v>6.7878741504605392E-2</v>
      </c>
      <c r="AU396" s="72">
        <f t="shared" si="236"/>
        <v>6.8214933659622723E-3</v>
      </c>
      <c r="AV396" s="73">
        <f t="shared" si="253"/>
        <v>1.0068214933659623</v>
      </c>
      <c r="AW396" s="74">
        <f>PRODUCT(AV$4:AV396)</f>
        <v>14.465182774729326</v>
      </c>
    </row>
    <row r="397" spans="5:49">
      <c r="E397">
        <f t="shared" si="254"/>
        <v>394</v>
      </c>
      <c r="F397" s="64">
        <f t="shared" si="237"/>
        <v>93.44</v>
      </c>
      <c r="G397" s="55">
        <f t="shared" si="238"/>
        <v>2.8214445801184374E-2</v>
      </c>
      <c r="H397" s="78">
        <f t="shared" si="257"/>
        <v>2.1094490132619652E-2</v>
      </c>
      <c r="I397" s="79">
        <f t="shared" ca="1" si="239"/>
        <v>0</v>
      </c>
      <c r="J397" s="79">
        <f t="shared" ca="1" si="240"/>
        <v>0</v>
      </c>
      <c r="K397" s="80">
        <f t="shared" ca="1" si="241"/>
        <v>0</v>
      </c>
      <c r="L397" s="80">
        <f t="shared" ca="1" si="242"/>
        <v>0</v>
      </c>
      <c r="M397" s="80">
        <f t="shared" ca="1" si="243"/>
        <v>0</v>
      </c>
      <c r="N397" s="80">
        <f t="shared" ca="1" si="244"/>
        <v>0</v>
      </c>
      <c r="O397" s="81">
        <f t="shared" ca="1" si="227"/>
        <v>0</v>
      </c>
      <c r="P397" s="79">
        <f t="shared" ca="1" si="228"/>
        <v>0</v>
      </c>
      <c r="Q397" s="35"/>
      <c r="R397">
        <f t="shared" ca="1" si="245"/>
        <v>394</v>
      </c>
      <c r="S397" s="78">
        <f t="shared" ca="1" si="246"/>
        <v>93.44</v>
      </c>
      <c r="T397" s="55">
        <f t="shared" ca="1" si="247"/>
        <v>2.8214445801184374E-2</v>
      </c>
      <c r="U397" s="78">
        <f t="shared" ca="1" si="248"/>
        <v>2.1094490132619652E-2</v>
      </c>
      <c r="V397" s="79">
        <f t="shared" ca="1" si="249"/>
        <v>0</v>
      </c>
      <c r="W397" s="79">
        <f t="shared" ca="1" si="229"/>
        <v>0</v>
      </c>
      <c r="X397" s="80">
        <f t="shared" ca="1" si="230"/>
        <v>0</v>
      </c>
      <c r="Y397" s="80">
        <f t="shared" ca="1" si="250"/>
        <v>0</v>
      </c>
      <c r="Z397" s="80">
        <f t="shared" ca="1" si="231"/>
        <v>0</v>
      </c>
      <c r="AA397" s="80">
        <f t="shared" ca="1" si="251"/>
        <v>0</v>
      </c>
      <c r="AB397" s="81">
        <f t="shared" ca="1" si="232"/>
        <v>0</v>
      </c>
      <c r="AC397" s="79">
        <f t="shared" ca="1" si="233"/>
        <v>0</v>
      </c>
      <c r="AD397" s="35"/>
      <c r="AE397" s="62">
        <f t="shared" ca="1" si="234"/>
        <v>0</v>
      </c>
      <c r="AF397" s="62">
        <f t="shared" ca="1" si="235"/>
        <v>0</v>
      </c>
      <c r="AG397" s="35"/>
      <c r="AH397" s="35"/>
      <c r="AR397" s="69">
        <f t="shared" si="252"/>
        <v>33</v>
      </c>
      <c r="AS397" s="70">
        <f t="shared" si="255"/>
        <v>394</v>
      </c>
      <c r="AT397" s="71">
        <f t="shared" si="256"/>
        <v>6.7415707119741861E-2</v>
      </c>
      <c r="AU397" s="72">
        <f t="shared" si="236"/>
        <v>6.8214933659622723E-3</v>
      </c>
      <c r="AV397" s="73">
        <f t="shared" si="253"/>
        <v>1.0068214933659623</v>
      </c>
      <c r="AW397" s="74">
        <f>PRODUCT(AV$4:AV397)</f>
        <v>14.563856923064574</v>
      </c>
    </row>
    <row r="398" spans="5:49">
      <c r="E398">
        <f t="shared" si="254"/>
        <v>395</v>
      </c>
      <c r="F398" s="64">
        <f t="shared" si="237"/>
        <v>93.52</v>
      </c>
      <c r="G398" s="55">
        <f t="shared" si="238"/>
        <v>3.0908757876424664E-2</v>
      </c>
      <c r="H398" s="78">
        <f t="shared" si="257"/>
        <v>2.0442485644583883E-2</v>
      </c>
      <c r="I398" s="79">
        <f t="shared" ca="1" si="239"/>
        <v>0</v>
      </c>
      <c r="J398" s="79">
        <f t="shared" ca="1" si="240"/>
        <v>0</v>
      </c>
      <c r="K398" s="80">
        <f t="shared" ca="1" si="241"/>
        <v>0</v>
      </c>
      <c r="L398" s="80">
        <f t="shared" ca="1" si="242"/>
        <v>0</v>
      </c>
      <c r="M398" s="80">
        <f t="shared" ca="1" si="243"/>
        <v>0</v>
      </c>
      <c r="N398" s="80">
        <f t="shared" ca="1" si="244"/>
        <v>0</v>
      </c>
      <c r="O398" s="81">
        <f t="shared" ca="1" si="227"/>
        <v>0</v>
      </c>
      <c r="P398" s="79">
        <f t="shared" ca="1" si="228"/>
        <v>0</v>
      </c>
      <c r="Q398" s="35"/>
      <c r="R398">
        <f t="shared" ca="1" si="245"/>
        <v>395</v>
      </c>
      <c r="S398" s="78">
        <f t="shared" ca="1" si="246"/>
        <v>93.52</v>
      </c>
      <c r="T398" s="55">
        <f t="shared" ca="1" si="247"/>
        <v>3.0908757876424664E-2</v>
      </c>
      <c r="U398" s="78">
        <f t="shared" ca="1" si="248"/>
        <v>2.0442485644583883E-2</v>
      </c>
      <c r="V398" s="79">
        <f t="shared" ca="1" si="249"/>
        <v>0</v>
      </c>
      <c r="W398" s="79">
        <f t="shared" ca="1" si="229"/>
        <v>0</v>
      </c>
      <c r="X398" s="80">
        <f t="shared" ca="1" si="230"/>
        <v>0</v>
      </c>
      <c r="Y398" s="80">
        <f t="shared" ca="1" si="250"/>
        <v>0</v>
      </c>
      <c r="Z398" s="80">
        <f t="shared" ca="1" si="231"/>
        <v>0</v>
      </c>
      <c r="AA398" s="80">
        <f t="shared" ca="1" si="251"/>
        <v>0</v>
      </c>
      <c r="AB398" s="81">
        <f t="shared" ca="1" si="232"/>
        <v>0</v>
      </c>
      <c r="AC398" s="79">
        <f t="shared" ca="1" si="233"/>
        <v>0</v>
      </c>
      <c r="AD398" s="35"/>
      <c r="AE398" s="62">
        <f t="shared" ca="1" si="234"/>
        <v>0</v>
      </c>
      <c r="AF398" s="62">
        <f t="shared" ca="1" si="235"/>
        <v>0</v>
      </c>
      <c r="AG398" s="35"/>
      <c r="AH398" s="35"/>
      <c r="AR398" s="69">
        <f t="shared" si="252"/>
        <v>33</v>
      </c>
      <c r="AS398" s="70">
        <f t="shared" si="255"/>
        <v>395</v>
      </c>
      <c r="AT398" s="71">
        <f t="shared" si="256"/>
        <v>6.6955831320862885E-2</v>
      </c>
      <c r="AU398" s="72">
        <f t="shared" si="236"/>
        <v>6.8214933659622723E-3</v>
      </c>
      <c r="AV398" s="73">
        <f t="shared" si="253"/>
        <v>1.0068214933659623</v>
      </c>
      <c r="AW398" s="74">
        <f>PRODUCT(AV$4:AV398)</f>
        <v>14.663204176448083</v>
      </c>
    </row>
    <row r="399" spans="5:49">
      <c r="E399">
        <f t="shared" si="254"/>
        <v>396</v>
      </c>
      <c r="F399" s="64">
        <f t="shared" si="237"/>
        <v>93.6</v>
      </c>
      <c r="G399" s="55">
        <f t="shared" si="238"/>
        <v>3.0908757876424664E-2</v>
      </c>
      <c r="H399" s="78">
        <f t="shared" si="257"/>
        <v>1.9810633805403152E-2</v>
      </c>
      <c r="I399" s="79">
        <f t="shared" ca="1" si="239"/>
        <v>0</v>
      </c>
      <c r="J399" s="79">
        <f t="shared" ca="1" si="240"/>
        <v>0</v>
      </c>
      <c r="K399" s="80">
        <f t="shared" ca="1" si="241"/>
        <v>0</v>
      </c>
      <c r="L399" s="80">
        <f t="shared" ca="1" si="242"/>
        <v>0</v>
      </c>
      <c r="M399" s="80">
        <f t="shared" ca="1" si="243"/>
        <v>0</v>
      </c>
      <c r="N399" s="80">
        <f t="shared" ca="1" si="244"/>
        <v>0</v>
      </c>
      <c r="O399" s="81">
        <f t="shared" ca="1" si="227"/>
        <v>0</v>
      </c>
      <c r="P399" s="79">
        <f t="shared" ca="1" si="228"/>
        <v>0</v>
      </c>
      <c r="Q399" s="35"/>
      <c r="R399">
        <f t="shared" ca="1" si="245"/>
        <v>396</v>
      </c>
      <c r="S399" s="78">
        <f t="shared" ca="1" si="246"/>
        <v>93.6</v>
      </c>
      <c r="T399" s="55">
        <f t="shared" ca="1" si="247"/>
        <v>3.0908757876424664E-2</v>
      </c>
      <c r="U399" s="78">
        <f t="shared" ca="1" si="248"/>
        <v>1.9810633805403152E-2</v>
      </c>
      <c r="V399" s="79">
        <f t="shared" ca="1" si="249"/>
        <v>0</v>
      </c>
      <c r="W399" s="79">
        <f t="shared" ca="1" si="229"/>
        <v>0</v>
      </c>
      <c r="X399" s="80">
        <f t="shared" ca="1" si="230"/>
        <v>0</v>
      </c>
      <c r="Y399" s="80">
        <f t="shared" ca="1" si="250"/>
        <v>0</v>
      </c>
      <c r="Z399" s="80">
        <f t="shared" ca="1" si="231"/>
        <v>0</v>
      </c>
      <c r="AA399" s="80">
        <f t="shared" ca="1" si="251"/>
        <v>0</v>
      </c>
      <c r="AB399" s="81">
        <f t="shared" ca="1" si="232"/>
        <v>0</v>
      </c>
      <c r="AC399" s="79">
        <f t="shared" ca="1" si="233"/>
        <v>0</v>
      </c>
      <c r="AD399" s="35"/>
      <c r="AE399" s="62">
        <f t="shared" ca="1" si="234"/>
        <v>0</v>
      </c>
      <c r="AF399" s="62">
        <f t="shared" ca="1" si="235"/>
        <v>0</v>
      </c>
      <c r="AG399" s="35"/>
      <c r="AH399" s="35"/>
      <c r="AR399" s="69">
        <f t="shared" si="252"/>
        <v>33</v>
      </c>
      <c r="AS399" s="70">
        <f t="shared" si="255"/>
        <v>396</v>
      </c>
      <c r="AT399" s="71">
        <f t="shared" si="256"/>
        <v>6.6499092561695131E-2</v>
      </c>
      <c r="AU399" s="72">
        <f t="shared" si="236"/>
        <v>6.8214933659622723E-3</v>
      </c>
      <c r="AV399" s="73">
        <f t="shared" si="253"/>
        <v>1.0068214933659623</v>
      </c>
      <c r="AW399" s="74">
        <f>PRODUCT(AV$4:AV399)</f>
        <v>14.763229126461473</v>
      </c>
    </row>
    <row r="400" spans="5:49">
      <c r="E400">
        <f t="shared" si="254"/>
        <v>397</v>
      </c>
      <c r="F400" s="64">
        <f t="shared" si="237"/>
        <v>93.68</v>
      </c>
      <c r="G400" s="55">
        <f t="shared" si="238"/>
        <v>3.0908757876424664E-2</v>
      </c>
      <c r="H400" s="78">
        <f t="shared" si="257"/>
        <v>1.9198311721733433E-2</v>
      </c>
      <c r="I400" s="79">
        <f t="shared" ca="1" si="239"/>
        <v>0</v>
      </c>
      <c r="J400" s="79">
        <f t="shared" ca="1" si="240"/>
        <v>0</v>
      </c>
      <c r="K400" s="80">
        <f t="shared" ca="1" si="241"/>
        <v>0</v>
      </c>
      <c r="L400" s="80">
        <f t="shared" ca="1" si="242"/>
        <v>0</v>
      </c>
      <c r="M400" s="80">
        <f t="shared" ca="1" si="243"/>
        <v>0</v>
      </c>
      <c r="N400" s="80">
        <f t="shared" ca="1" si="244"/>
        <v>0</v>
      </c>
      <c r="O400" s="81">
        <f t="shared" ca="1" si="227"/>
        <v>0</v>
      </c>
      <c r="P400" s="79">
        <f t="shared" ca="1" si="228"/>
        <v>0</v>
      </c>
      <c r="Q400" s="35"/>
      <c r="R400">
        <f t="shared" ca="1" si="245"/>
        <v>397</v>
      </c>
      <c r="S400" s="78">
        <f t="shared" ca="1" si="246"/>
        <v>93.68</v>
      </c>
      <c r="T400" s="55">
        <f t="shared" ca="1" si="247"/>
        <v>3.0908757876424664E-2</v>
      </c>
      <c r="U400" s="78">
        <f t="shared" ca="1" si="248"/>
        <v>1.9198311721733433E-2</v>
      </c>
      <c r="V400" s="79">
        <f t="shared" ca="1" si="249"/>
        <v>0</v>
      </c>
      <c r="W400" s="79">
        <f t="shared" ca="1" si="229"/>
        <v>0</v>
      </c>
      <c r="X400" s="80">
        <f t="shared" ca="1" si="230"/>
        <v>0</v>
      </c>
      <c r="Y400" s="80">
        <f t="shared" ca="1" si="250"/>
        <v>0</v>
      </c>
      <c r="Z400" s="80">
        <f t="shared" ca="1" si="231"/>
        <v>0</v>
      </c>
      <c r="AA400" s="80">
        <f t="shared" ca="1" si="251"/>
        <v>0</v>
      </c>
      <c r="AB400" s="81">
        <f t="shared" ca="1" si="232"/>
        <v>0</v>
      </c>
      <c r="AC400" s="79">
        <f t="shared" ca="1" si="233"/>
        <v>0</v>
      </c>
      <c r="AD400" s="35"/>
      <c r="AE400" s="62">
        <f t="shared" ca="1" si="234"/>
        <v>0</v>
      </c>
      <c r="AF400" s="62">
        <f t="shared" ca="1" si="235"/>
        <v>0</v>
      </c>
      <c r="AG400" s="35"/>
      <c r="AH400" s="35"/>
      <c r="AR400" s="69">
        <f t="shared" si="252"/>
        <v>34</v>
      </c>
      <c r="AS400" s="70">
        <f t="shared" si="255"/>
        <v>397</v>
      </c>
      <c r="AT400" s="71">
        <f t="shared" si="256"/>
        <v>6.6045469442943011E-2</v>
      </c>
      <c r="AU400" s="72">
        <f t="shared" si="236"/>
        <v>6.8214933659622723E-3</v>
      </c>
      <c r="AV400" s="73">
        <f t="shared" si="253"/>
        <v>1.0068214933659623</v>
      </c>
      <c r="AW400" s="74">
        <f>PRODUCT(AV$4:AV400)</f>
        <v>14.86393639600781</v>
      </c>
    </row>
    <row r="401" spans="5:49">
      <c r="E401">
        <f t="shared" si="254"/>
        <v>398</v>
      </c>
      <c r="F401" s="64">
        <f t="shared" si="237"/>
        <v>93.76</v>
      </c>
      <c r="G401" s="55">
        <f t="shared" si="238"/>
        <v>3.0908757876424664E-2</v>
      </c>
      <c r="H401" s="78">
        <f t="shared" si="257"/>
        <v>1.860491575309025E-2</v>
      </c>
      <c r="I401" s="79">
        <f t="shared" ca="1" si="239"/>
        <v>0</v>
      </c>
      <c r="J401" s="79">
        <f t="shared" ca="1" si="240"/>
        <v>0</v>
      </c>
      <c r="K401" s="80">
        <f t="shared" ca="1" si="241"/>
        <v>0</v>
      </c>
      <c r="L401" s="80">
        <f t="shared" ca="1" si="242"/>
        <v>0</v>
      </c>
      <c r="M401" s="80">
        <f t="shared" ca="1" si="243"/>
        <v>0</v>
      </c>
      <c r="N401" s="80">
        <f t="shared" ca="1" si="244"/>
        <v>0</v>
      </c>
      <c r="O401" s="81">
        <f t="shared" ca="1" si="227"/>
        <v>0</v>
      </c>
      <c r="P401" s="79">
        <f t="shared" ca="1" si="228"/>
        <v>0</v>
      </c>
      <c r="Q401" s="35"/>
      <c r="R401">
        <f t="shared" ca="1" si="245"/>
        <v>398</v>
      </c>
      <c r="S401" s="78">
        <f t="shared" ca="1" si="246"/>
        <v>93.76</v>
      </c>
      <c r="T401" s="55">
        <f t="shared" ca="1" si="247"/>
        <v>3.0908757876424664E-2</v>
      </c>
      <c r="U401" s="78">
        <f t="shared" ca="1" si="248"/>
        <v>1.860491575309025E-2</v>
      </c>
      <c r="V401" s="79">
        <f t="shared" ca="1" si="249"/>
        <v>0</v>
      </c>
      <c r="W401" s="79">
        <f t="shared" ca="1" si="229"/>
        <v>0</v>
      </c>
      <c r="X401" s="80">
        <f t="shared" ca="1" si="230"/>
        <v>0</v>
      </c>
      <c r="Y401" s="80">
        <f t="shared" ca="1" si="250"/>
        <v>0</v>
      </c>
      <c r="Z401" s="80">
        <f t="shared" ca="1" si="231"/>
        <v>0</v>
      </c>
      <c r="AA401" s="80">
        <f t="shared" ca="1" si="251"/>
        <v>0</v>
      </c>
      <c r="AB401" s="81">
        <f t="shared" ca="1" si="232"/>
        <v>0</v>
      </c>
      <c r="AC401" s="79">
        <f t="shared" ca="1" si="233"/>
        <v>0</v>
      </c>
      <c r="AD401" s="35"/>
      <c r="AE401" s="62">
        <f t="shared" ca="1" si="234"/>
        <v>0</v>
      </c>
      <c r="AF401" s="62">
        <f t="shared" ca="1" si="235"/>
        <v>0</v>
      </c>
      <c r="AG401" s="35"/>
      <c r="AH401" s="35"/>
      <c r="AR401" s="69">
        <f t="shared" si="252"/>
        <v>34</v>
      </c>
      <c r="AS401" s="70">
        <f t="shared" si="255"/>
        <v>398</v>
      </c>
      <c r="AT401" s="71">
        <f t="shared" si="256"/>
        <v>6.5594940711286118E-2</v>
      </c>
      <c r="AU401" s="72">
        <f t="shared" si="236"/>
        <v>6.8214933659622723E-3</v>
      </c>
      <c r="AV401" s="73">
        <f t="shared" si="253"/>
        <v>1.0068214933659623</v>
      </c>
      <c r="AW401" s="74">
        <f>PRODUCT(AV$4:AV401)</f>
        <v>14.965330639525263</v>
      </c>
    </row>
    <row r="402" spans="5:49">
      <c r="E402">
        <f t="shared" si="254"/>
        <v>399</v>
      </c>
      <c r="F402" s="64">
        <f t="shared" si="237"/>
        <v>93.84</v>
      </c>
      <c r="G402" s="55">
        <f t="shared" si="238"/>
        <v>3.0908757876424664E-2</v>
      </c>
      <c r="H402" s="78">
        <f t="shared" si="257"/>
        <v>1.8029860916766702E-2</v>
      </c>
      <c r="I402" s="79">
        <f t="shared" ca="1" si="239"/>
        <v>0</v>
      </c>
      <c r="J402" s="79">
        <f t="shared" ca="1" si="240"/>
        <v>0</v>
      </c>
      <c r="K402" s="80">
        <f t="shared" ca="1" si="241"/>
        <v>0</v>
      </c>
      <c r="L402" s="80">
        <f t="shared" ca="1" si="242"/>
        <v>0</v>
      </c>
      <c r="M402" s="80">
        <f t="shared" ca="1" si="243"/>
        <v>0</v>
      </c>
      <c r="N402" s="80">
        <f t="shared" ca="1" si="244"/>
        <v>0</v>
      </c>
      <c r="O402" s="81">
        <f t="shared" ca="1" si="227"/>
        <v>0</v>
      </c>
      <c r="P402" s="79">
        <f t="shared" ca="1" si="228"/>
        <v>0</v>
      </c>
      <c r="Q402" s="35"/>
      <c r="R402">
        <f t="shared" ca="1" si="245"/>
        <v>399</v>
      </c>
      <c r="S402" s="78">
        <f t="shared" ca="1" si="246"/>
        <v>93.84</v>
      </c>
      <c r="T402" s="55">
        <f t="shared" ca="1" si="247"/>
        <v>3.0908757876424664E-2</v>
      </c>
      <c r="U402" s="78">
        <f t="shared" ca="1" si="248"/>
        <v>1.8029860916766702E-2</v>
      </c>
      <c r="V402" s="79">
        <f t="shared" ca="1" si="249"/>
        <v>0</v>
      </c>
      <c r="W402" s="79">
        <f t="shared" ca="1" si="229"/>
        <v>0</v>
      </c>
      <c r="X402" s="80">
        <f t="shared" ca="1" si="230"/>
        <v>0</v>
      </c>
      <c r="Y402" s="80">
        <f t="shared" ca="1" si="250"/>
        <v>0</v>
      </c>
      <c r="Z402" s="80">
        <f t="shared" ca="1" si="231"/>
        <v>0</v>
      </c>
      <c r="AA402" s="80">
        <f t="shared" ca="1" si="251"/>
        <v>0</v>
      </c>
      <c r="AB402" s="81">
        <f t="shared" ca="1" si="232"/>
        <v>0</v>
      </c>
      <c r="AC402" s="79">
        <f t="shared" ca="1" si="233"/>
        <v>0</v>
      </c>
      <c r="AD402" s="35"/>
      <c r="AE402" s="62">
        <f t="shared" ca="1" si="234"/>
        <v>0</v>
      </c>
      <c r="AF402" s="62">
        <f t="shared" ca="1" si="235"/>
        <v>0</v>
      </c>
      <c r="AG402" s="35"/>
      <c r="AH402" s="35"/>
      <c r="AR402" s="69">
        <f t="shared" si="252"/>
        <v>34</v>
      </c>
      <c r="AS402" s="70">
        <f t="shared" si="255"/>
        <v>399</v>
      </c>
      <c r="AT402" s="71">
        <f t="shared" si="256"/>
        <v>6.5147485258383389E-2</v>
      </c>
      <c r="AU402" s="72">
        <f t="shared" si="236"/>
        <v>6.8214933659622723E-3</v>
      </c>
      <c r="AV402" s="73">
        <f t="shared" si="253"/>
        <v>1.0068214933659623</v>
      </c>
      <c r="AW402" s="74">
        <f>PRODUCT(AV$4:AV402)</f>
        <v>15.067416543202217</v>
      </c>
    </row>
    <row r="403" spans="5:49">
      <c r="E403">
        <f t="shared" si="254"/>
        <v>400</v>
      </c>
      <c r="F403" s="64">
        <f t="shared" si="237"/>
        <v>93.92</v>
      </c>
      <c r="G403" s="55">
        <f t="shared" si="238"/>
        <v>3.0908757876424664E-2</v>
      </c>
      <c r="H403" s="78">
        <f t="shared" si="257"/>
        <v>1.7472580311144747E-2</v>
      </c>
      <c r="I403" s="79">
        <f t="shared" ca="1" si="239"/>
        <v>0</v>
      </c>
      <c r="J403" s="79">
        <f t="shared" ca="1" si="240"/>
        <v>0</v>
      </c>
      <c r="K403" s="80">
        <f t="shared" ca="1" si="241"/>
        <v>0</v>
      </c>
      <c r="L403" s="80">
        <f t="shared" ca="1" si="242"/>
        <v>0</v>
      </c>
      <c r="M403" s="80">
        <f t="shared" ca="1" si="243"/>
        <v>0</v>
      </c>
      <c r="N403" s="80">
        <f t="shared" ca="1" si="244"/>
        <v>0</v>
      </c>
      <c r="O403" s="81">
        <f t="shared" ca="1" si="227"/>
        <v>0</v>
      </c>
      <c r="P403" s="79">
        <f t="shared" ca="1" si="228"/>
        <v>0</v>
      </c>
      <c r="Q403" s="35"/>
      <c r="R403">
        <f t="shared" ca="1" si="245"/>
        <v>400</v>
      </c>
      <c r="S403" s="78">
        <f t="shared" ca="1" si="246"/>
        <v>93.92</v>
      </c>
      <c r="T403" s="55">
        <f t="shared" ca="1" si="247"/>
        <v>3.0908757876424664E-2</v>
      </c>
      <c r="U403" s="78">
        <f t="shared" ca="1" si="248"/>
        <v>1.7472580311144747E-2</v>
      </c>
      <c r="V403" s="79">
        <f t="shared" ca="1" si="249"/>
        <v>0</v>
      </c>
      <c r="W403" s="79">
        <f t="shared" ca="1" si="229"/>
        <v>0</v>
      </c>
      <c r="X403" s="80">
        <f t="shared" ca="1" si="230"/>
        <v>0</v>
      </c>
      <c r="Y403" s="80">
        <f t="shared" ca="1" si="250"/>
        <v>0</v>
      </c>
      <c r="Z403" s="80">
        <f t="shared" ca="1" si="231"/>
        <v>0</v>
      </c>
      <c r="AA403" s="80">
        <f t="shared" ca="1" si="251"/>
        <v>0</v>
      </c>
      <c r="AB403" s="81">
        <f t="shared" ca="1" si="232"/>
        <v>0</v>
      </c>
      <c r="AC403" s="79">
        <f t="shared" ca="1" si="233"/>
        <v>0</v>
      </c>
      <c r="AD403" s="35"/>
      <c r="AE403" s="62">
        <f t="shared" ca="1" si="234"/>
        <v>0</v>
      </c>
      <c r="AF403" s="62">
        <f t="shared" ca="1" si="235"/>
        <v>0</v>
      </c>
      <c r="AG403" s="35"/>
      <c r="AH403" s="35"/>
      <c r="AR403" s="69">
        <f t="shared" si="252"/>
        <v>34</v>
      </c>
      <c r="AS403" s="70">
        <f t="shared" si="255"/>
        <v>400</v>
      </c>
      <c r="AT403" s="71">
        <f t="shared" si="256"/>
        <v>6.4703082119884209E-2</v>
      </c>
      <c r="AU403" s="72">
        <f t="shared" si="236"/>
        <v>6.8214933659622723E-3</v>
      </c>
      <c r="AV403" s="73">
        <f t="shared" si="253"/>
        <v>1.0068214933659623</v>
      </c>
      <c r="AW403" s="74">
        <f>PRODUCT(AV$4:AV403)</f>
        <v>15.170198825193861</v>
      </c>
    </row>
    <row r="404" spans="5:49">
      <c r="E404">
        <f t="shared" si="254"/>
        <v>401</v>
      </c>
      <c r="F404" s="64">
        <f t="shared" si="237"/>
        <v>94</v>
      </c>
      <c r="G404" s="55">
        <f t="shared" si="238"/>
        <v>3.0908757876424664E-2</v>
      </c>
      <c r="H404" s="78">
        <f t="shared" si="257"/>
        <v>1.693252455683119E-2</v>
      </c>
      <c r="I404" s="79">
        <f t="shared" ca="1" si="239"/>
        <v>0</v>
      </c>
      <c r="J404" s="79">
        <f t="shared" ca="1" si="240"/>
        <v>0</v>
      </c>
      <c r="K404" s="80">
        <f t="shared" ca="1" si="241"/>
        <v>0</v>
      </c>
      <c r="L404" s="80">
        <f t="shared" ca="1" si="242"/>
        <v>0</v>
      </c>
      <c r="M404" s="80">
        <f t="shared" ca="1" si="243"/>
        <v>0</v>
      </c>
      <c r="N404" s="80">
        <f t="shared" ca="1" si="244"/>
        <v>0</v>
      </c>
      <c r="O404" s="81">
        <f t="shared" ca="1" si="227"/>
        <v>0</v>
      </c>
      <c r="P404" s="79">
        <f t="shared" ca="1" si="228"/>
        <v>0</v>
      </c>
      <c r="Q404" s="35"/>
      <c r="R404">
        <f t="shared" ca="1" si="245"/>
        <v>401</v>
      </c>
      <c r="S404" s="78">
        <f t="shared" ca="1" si="246"/>
        <v>94</v>
      </c>
      <c r="T404" s="55">
        <f t="shared" ca="1" si="247"/>
        <v>3.0908757876424664E-2</v>
      </c>
      <c r="U404" s="78">
        <f t="shared" ca="1" si="248"/>
        <v>1.693252455683119E-2</v>
      </c>
      <c r="V404" s="79">
        <f t="shared" ca="1" si="249"/>
        <v>0</v>
      </c>
      <c r="W404" s="79">
        <f t="shared" ca="1" si="229"/>
        <v>0</v>
      </c>
      <c r="X404" s="80">
        <f t="shared" ca="1" si="230"/>
        <v>0</v>
      </c>
      <c r="Y404" s="80">
        <f t="shared" ca="1" si="250"/>
        <v>0</v>
      </c>
      <c r="Z404" s="80">
        <f t="shared" ca="1" si="231"/>
        <v>0</v>
      </c>
      <c r="AA404" s="80">
        <f t="shared" ca="1" si="251"/>
        <v>0</v>
      </c>
      <c r="AB404" s="81">
        <f t="shared" ca="1" si="232"/>
        <v>0</v>
      </c>
      <c r="AC404" s="79">
        <f t="shared" ca="1" si="233"/>
        <v>0</v>
      </c>
      <c r="AD404" s="35"/>
      <c r="AE404" s="62">
        <f t="shared" ca="1" si="234"/>
        <v>0</v>
      </c>
      <c r="AF404" s="62">
        <f t="shared" ca="1" si="235"/>
        <v>0</v>
      </c>
      <c r="AG404" s="35"/>
      <c r="AH404" s="35"/>
      <c r="AR404" s="69">
        <f t="shared" si="252"/>
        <v>34</v>
      </c>
      <c r="AS404" s="70">
        <f t="shared" si="255"/>
        <v>401</v>
      </c>
      <c r="AT404" s="71">
        <f t="shared" si="256"/>
        <v>6.4261710474446107E-2</v>
      </c>
      <c r="AU404" s="72">
        <f t="shared" si="236"/>
        <v>6.8214933659622723E-3</v>
      </c>
      <c r="AV404" s="73">
        <f t="shared" si="253"/>
        <v>1.0068214933659623</v>
      </c>
      <c r="AW404" s="74">
        <f>PRODUCT(AV$4:AV404)</f>
        <v>15.27368223584025</v>
      </c>
    </row>
    <row r="405" spans="5:49">
      <c r="E405">
        <f t="shared" si="254"/>
        <v>402</v>
      </c>
      <c r="F405" s="64">
        <f t="shared" si="237"/>
        <v>94.08</v>
      </c>
      <c r="G405" s="55">
        <f t="shared" si="238"/>
        <v>3.0908757876424664E-2</v>
      </c>
      <c r="H405" s="78">
        <f t="shared" si="257"/>
        <v>1.640916125506748E-2</v>
      </c>
      <c r="I405" s="79">
        <f t="shared" ca="1" si="239"/>
        <v>0</v>
      </c>
      <c r="J405" s="79">
        <f t="shared" ca="1" si="240"/>
        <v>0</v>
      </c>
      <c r="K405" s="80">
        <f t="shared" ca="1" si="241"/>
        <v>0</v>
      </c>
      <c r="L405" s="80">
        <f t="shared" ca="1" si="242"/>
        <v>0</v>
      </c>
      <c r="M405" s="80">
        <f t="shared" ca="1" si="243"/>
        <v>0</v>
      </c>
      <c r="N405" s="80">
        <f t="shared" ca="1" si="244"/>
        <v>0</v>
      </c>
      <c r="O405" s="81">
        <f t="shared" ca="1" si="227"/>
        <v>0</v>
      </c>
      <c r="P405" s="79">
        <f t="shared" ca="1" si="228"/>
        <v>0</v>
      </c>
      <c r="Q405" s="35"/>
      <c r="R405">
        <f t="shared" ca="1" si="245"/>
        <v>402</v>
      </c>
      <c r="S405" s="78">
        <f t="shared" ca="1" si="246"/>
        <v>94.08</v>
      </c>
      <c r="T405" s="55">
        <f t="shared" ca="1" si="247"/>
        <v>3.0908757876424664E-2</v>
      </c>
      <c r="U405" s="78">
        <f t="shared" ca="1" si="248"/>
        <v>1.640916125506748E-2</v>
      </c>
      <c r="V405" s="79">
        <f t="shared" ca="1" si="249"/>
        <v>0</v>
      </c>
      <c r="W405" s="79">
        <f t="shared" ca="1" si="229"/>
        <v>0</v>
      </c>
      <c r="X405" s="80">
        <f t="shared" ca="1" si="230"/>
        <v>0</v>
      </c>
      <c r="Y405" s="80">
        <f t="shared" ca="1" si="250"/>
        <v>0</v>
      </c>
      <c r="Z405" s="80">
        <f t="shared" ca="1" si="231"/>
        <v>0</v>
      </c>
      <c r="AA405" s="80">
        <f t="shared" ca="1" si="251"/>
        <v>0</v>
      </c>
      <c r="AB405" s="81">
        <f t="shared" ca="1" si="232"/>
        <v>0</v>
      </c>
      <c r="AC405" s="79">
        <f t="shared" ca="1" si="233"/>
        <v>0</v>
      </c>
      <c r="AD405" s="35"/>
      <c r="AE405" s="62">
        <f t="shared" ca="1" si="234"/>
        <v>0</v>
      </c>
      <c r="AF405" s="62">
        <f t="shared" ca="1" si="235"/>
        <v>0</v>
      </c>
      <c r="AG405" s="35"/>
      <c r="AH405" s="35"/>
      <c r="AR405" s="69">
        <f t="shared" si="252"/>
        <v>34</v>
      </c>
      <c r="AS405" s="70">
        <f t="shared" si="255"/>
        <v>402</v>
      </c>
      <c r="AT405" s="71">
        <f t="shared" si="256"/>
        <v>6.3823349642759278E-2</v>
      </c>
      <c r="AU405" s="72">
        <f t="shared" si="236"/>
        <v>6.8214933659622723E-3</v>
      </c>
      <c r="AV405" s="73">
        <f t="shared" si="253"/>
        <v>1.0068214933659623</v>
      </c>
      <c r="AW405" s="74">
        <f>PRODUCT(AV$4:AV405)</f>
        <v>15.37787155788585</v>
      </c>
    </row>
    <row r="406" spans="5:49">
      <c r="E406">
        <f t="shared" si="254"/>
        <v>403</v>
      </c>
      <c r="F406" s="64">
        <f t="shared" si="237"/>
        <v>94.16</v>
      </c>
      <c r="G406" s="55">
        <f t="shared" si="238"/>
        <v>3.0908757876424664E-2</v>
      </c>
      <c r="H406" s="78">
        <f t="shared" si="257"/>
        <v>1.590197446287939E-2</v>
      </c>
      <c r="I406" s="79">
        <f t="shared" ca="1" si="239"/>
        <v>0</v>
      </c>
      <c r="J406" s="79">
        <f t="shared" ca="1" si="240"/>
        <v>0</v>
      </c>
      <c r="K406" s="80">
        <f t="shared" ca="1" si="241"/>
        <v>0</v>
      </c>
      <c r="L406" s="80">
        <f t="shared" ca="1" si="242"/>
        <v>0</v>
      </c>
      <c r="M406" s="80">
        <f t="shared" ca="1" si="243"/>
        <v>0</v>
      </c>
      <c r="N406" s="80">
        <f t="shared" ca="1" si="244"/>
        <v>0</v>
      </c>
      <c r="O406" s="81">
        <f t="shared" ca="1" si="227"/>
        <v>0</v>
      </c>
      <c r="P406" s="79">
        <f t="shared" ca="1" si="228"/>
        <v>0</v>
      </c>
      <c r="Q406" s="35"/>
      <c r="R406">
        <f t="shared" ca="1" si="245"/>
        <v>403</v>
      </c>
      <c r="S406" s="78">
        <f t="shared" ca="1" si="246"/>
        <v>94.16</v>
      </c>
      <c r="T406" s="55">
        <f t="shared" ca="1" si="247"/>
        <v>3.0908757876424664E-2</v>
      </c>
      <c r="U406" s="78">
        <f t="shared" ca="1" si="248"/>
        <v>1.590197446287939E-2</v>
      </c>
      <c r="V406" s="79">
        <f t="shared" ca="1" si="249"/>
        <v>0</v>
      </c>
      <c r="W406" s="79">
        <f t="shared" ca="1" si="229"/>
        <v>0</v>
      </c>
      <c r="X406" s="80">
        <f t="shared" ca="1" si="230"/>
        <v>0</v>
      </c>
      <c r="Y406" s="80">
        <f t="shared" ca="1" si="250"/>
        <v>0</v>
      </c>
      <c r="Z406" s="80">
        <f t="shared" ca="1" si="231"/>
        <v>0</v>
      </c>
      <c r="AA406" s="80">
        <f t="shared" ca="1" si="251"/>
        <v>0</v>
      </c>
      <c r="AB406" s="81">
        <f t="shared" ca="1" si="232"/>
        <v>0</v>
      </c>
      <c r="AC406" s="79">
        <f t="shared" ca="1" si="233"/>
        <v>0</v>
      </c>
      <c r="AD406" s="35"/>
      <c r="AE406" s="62">
        <f t="shared" ca="1" si="234"/>
        <v>0</v>
      </c>
      <c r="AF406" s="62">
        <f t="shared" ca="1" si="235"/>
        <v>0</v>
      </c>
      <c r="AG406" s="35"/>
      <c r="AH406" s="35"/>
      <c r="AR406" s="69">
        <f t="shared" si="252"/>
        <v>34</v>
      </c>
      <c r="AS406" s="70">
        <f t="shared" si="255"/>
        <v>403</v>
      </c>
      <c r="AT406" s="71">
        <f t="shared" si="256"/>
        <v>6.33879790865777E-2</v>
      </c>
      <c r="AU406" s="72">
        <f t="shared" si="236"/>
        <v>6.8214933659622723E-3</v>
      </c>
      <c r="AV406" s="73">
        <f t="shared" si="253"/>
        <v>1.0068214933659623</v>
      </c>
      <c r="AW406" s="74">
        <f>PRODUCT(AV$4:AV406)</f>
        <v>15.482771606700588</v>
      </c>
    </row>
    <row r="407" spans="5:49">
      <c r="E407">
        <f t="shared" si="254"/>
        <v>404</v>
      </c>
      <c r="F407" s="64">
        <f t="shared" si="237"/>
        <v>94.24</v>
      </c>
      <c r="G407" s="55">
        <f t="shared" si="238"/>
        <v>3.0908757876424664E-2</v>
      </c>
      <c r="H407" s="78">
        <f t="shared" si="257"/>
        <v>1.5410464184449163E-2</v>
      </c>
      <c r="I407" s="79">
        <f t="shared" ca="1" si="239"/>
        <v>0</v>
      </c>
      <c r="J407" s="79">
        <f t="shared" ca="1" si="240"/>
        <v>0</v>
      </c>
      <c r="K407" s="80">
        <f t="shared" ca="1" si="241"/>
        <v>0</v>
      </c>
      <c r="L407" s="80">
        <f t="shared" ca="1" si="242"/>
        <v>0</v>
      </c>
      <c r="M407" s="80">
        <f t="shared" ca="1" si="243"/>
        <v>0</v>
      </c>
      <c r="N407" s="80">
        <f t="shared" ca="1" si="244"/>
        <v>0</v>
      </c>
      <c r="O407" s="81">
        <f t="shared" ca="1" si="227"/>
        <v>0</v>
      </c>
      <c r="P407" s="79">
        <f t="shared" ca="1" si="228"/>
        <v>0</v>
      </c>
      <c r="Q407" s="35"/>
      <c r="R407">
        <f t="shared" ca="1" si="245"/>
        <v>404</v>
      </c>
      <c r="S407" s="78">
        <f t="shared" ca="1" si="246"/>
        <v>94.24</v>
      </c>
      <c r="T407" s="55">
        <f t="shared" ca="1" si="247"/>
        <v>3.0908757876424664E-2</v>
      </c>
      <c r="U407" s="78">
        <f t="shared" ca="1" si="248"/>
        <v>1.5410464184449163E-2</v>
      </c>
      <c r="V407" s="79">
        <f t="shared" ca="1" si="249"/>
        <v>0</v>
      </c>
      <c r="W407" s="79">
        <f t="shared" ca="1" si="229"/>
        <v>0</v>
      </c>
      <c r="X407" s="80">
        <f t="shared" ca="1" si="230"/>
        <v>0</v>
      </c>
      <c r="Y407" s="80">
        <f t="shared" ca="1" si="250"/>
        <v>0</v>
      </c>
      <c r="Z407" s="80">
        <f t="shared" ca="1" si="231"/>
        <v>0</v>
      </c>
      <c r="AA407" s="80">
        <f t="shared" ca="1" si="251"/>
        <v>0</v>
      </c>
      <c r="AB407" s="81">
        <f t="shared" ca="1" si="232"/>
        <v>0</v>
      </c>
      <c r="AC407" s="79">
        <f t="shared" ca="1" si="233"/>
        <v>0</v>
      </c>
      <c r="AD407" s="35"/>
      <c r="AE407" s="62">
        <f t="shared" ca="1" si="234"/>
        <v>0</v>
      </c>
      <c r="AF407" s="62">
        <f t="shared" ca="1" si="235"/>
        <v>0</v>
      </c>
      <c r="AG407" s="35"/>
      <c r="AH407" s="35"/>
      <c r="AR407" s="69">
        <f t="shared" si="252"/>
        <v>34</v>
      </c>
      <c r="AS407" s="70">
        <f t="shared" si="255"/>
        <v>404</v>
      </c>
      <c r="AT407" s="71">
        <f t="shared" si="256"/>
        <v>6.2955578407756854E-2</v>
      </c>
      <c r="AU407" s="72">
        <f t="shared" si="236"/>
        <v>6.8214933659622723E-3</v>
      </c>
      <c r="AV407" s="73">
        <f t="shared" si="253"/>
        <v>1.0068214933659623</v>
      </c>
      <c r="AW407" s="74">
        <f>PRODUCT(AV$4:AV407)</f>
        <v>15.588387230502406</v>
      </c>
    </row>
    <row r="408" spans="5:49">
      <c r="E408">
        <f t="shared" si="254"/>
        <v>405</v>
      </c>
      <c r="F408" s="64">
        <f t="shared" si="237"/>
        <v>94.32</v>
      </c>
      <c r="G408" s="55">
        <f t="shared" si="238"/>
        <v>3.0908757876424664E-2</v>
      </c>
      <c r="H408" s="78">
        <f t="shared" si="257"/>
        <v>1.493414587820871E-2</v>
      </c>
      <c r="I408" s="79">
        <f t="shared" ca="1" si="239"/>
        <v>0</v>
      </c>
      <c r="J408" s="79">
        <f t="shared" ca="1" si="240"/>
        <v>0</v>
      </c>
      <c r="K408" s="80">
        <f t="shared" ca="1" si="241"/>
        <v>0</v>
      </c>
      <c r="L408" s="80">
        <f t="shared" ca="1" si="242"/>
        <v>0</v>
      </c>
      <c r="M408" s="80">
        <f t="shared" ca="1" si="243"/>
        <v>0</v>
      </c>
      <c r="N408" s="80">
        <f t="shared" ca="1" si="244"/>
        <v>0</v>
      </c>
      <c r="O408" s="81">
        <f t="shared" ca="1" si="227"/>
        <v>0</v>
      </c>
      <c r="P408" s="79">
        <f t="shared" ca="1" si="228"/>
        <v>0</v>
      </c>
      <c r="Q408" s="35"/>
      <c r="R408">
        <f t="shared" ca="1" si="245"/>
        <v>405</v>
      </c>
      <c r="S408" s="78">
        <f t="shared" ca="1" si="246"/>
        <v>94.32</v>
      </c>
      <c r="T408" s="55">
        <f t="shared" ca="1" si="247"/>
        <v>3.0908757876424664E-2</v>
      </c>
      <c r="U408" s="78">
        <f t="shared" ca="1" si="248"/>
        <v>1.493414587820871E-2</v>
      </c>
      <c r="V408" s="79">
        <f t="shared" ca="1" si="249"/>
        <v>0</v>
      </c>
      <c r="W408" s="79">
        <f t="shared" ca="1" si="229"/>
        <v>0</v>
      </c>
      <c r="X408" s="80">
        <f t="shared" ca="1" si="230"/>
        <v>0</v>
      </c>
      <c r="Y408" s="80">
        <f t="shared" ca="1" si="250"/>
        <v>0</v>
      </c>
      <c r="Z408" s="80">
        <f t="shared" ca="1" si="231"/>
        <v>0</v>
      </c>
      <c r="AA408" s="80">
        <f t="shared" ca="1" si="251"/>
        <v>0</v>
      </c>
      <c r="AB408" s="81">
        <f t="shared" ca="1" si="232"/>
        <v>0</v>
      </c>
      <c r="AC408" s="79">
        <f t="shared" ca="1" si="233"/>
        <v>0</v>
      </c>
      <c r="AD408" s="35"/>
      <c r="AE408" s="62">
        <f t="shared" ca="1" si="234"/>
        <v>0</v>
      </c>
      <c r="AF408" s="62">
        <f t="shared" ca="1" si="235"/>
        <v>0</v>
      </c>
      <c r="AG408" s="35"/>
      <c r="AH408" s="35"/>
      <c r="AR408" s="69">
        <f t="shared" si="252"/>
        <v>34</v>
      </c>
      <c r="AS408" s="70">
        <f t="shared" si="255"/>
        <v>405</v>
      </c>
      <c r="AT408" s="71">
        <f t="shared" si="256"/>
        <v>6.2526127347298024E-2</v>
      </c>
      <c r="AU408" s="72">
        <f t="shared" si="236"/>
        <v>6.8214933659622723E-3</v>
      </c>
      <c r="AV408" s="73">
        <f t="shared" si="253"/>
        <v>1.0068214933659623</v>
      </c>
      <c r="AW408" s="74">
        <f>PRODUCT(AV$4:AV408)</f>
        <v>15.694723310581329</v>
      </c>
    </row>
    <row r="409" spans="5:49">
      <c r="E409">
        <f t="shared" si="254"/>
        <v>406</v>
      </c>
      <c r="F409" s="64">
        <f t="shared" si="237"/>
        <v>94.4</v>
      </c>
      <c r="G409" s="55">
        <f t="shared" si="238"/>
        <v>3.0908757876424664E-2</v>
      </c>
      <c r="H409" s="78">
        <f t="shared" si="257"/>
        <v>1.4472549979167951E-2</v>
      </c>
      <c r="I409" s="79">
        <f t="shared" ca="1" si="239"/>
        <v>0</v>
      </c>
      <c r="J409" s="79">
        <f t="shared" ca="1" si="240"/>
        <v>0</v>
      </c>
      <c r="K409" s="80">
        <f t="shared" ca="1" si="241"/>
        <v>0</v>
      </c>
      <c r="L409" s="80">
        <f t="shared" ca="1" si="242"/>
        <v>0</v>
      </c>
      <c r="M409" s="80">
        <f t="shared" ca="1" si="243"/>
        <v>0</v>
      </c>
      <c r="N409" s="80">
        <f t="shared" ca="1" si="244"/>
        <v>0</v>
      </c>
      <c r="O409" s="81">
        <f t="shared" ca="1" si="227"/>
        <v>0</v>
      </c>
      <c r="P409" s="79">
        <f t="shared" ca="1" si="228"/>
        <v>0</v>
      </c>
      <c r="Q409" s="35"/>
      <c r="R409">
        <f t="shared" ca="1" si="245"/>
        <v>406</v>
      </c>
      <c r="S409" s="78">
        <f t="shared" ca="1" si="246"/>
        <v>94.4</v>
      </c>
      <c r="T409" s="55">
        <f t="shared" ca="1" si="247"/>
        <v>3.0908757876424664E-2</v>
      </c>
      <c r="U409" s="78">
        <f t="shared" ca="1" si="248"/>
        <v>1.4472549979167951E-2</v>
      </c>
      <c r="V409" s="79">
        <f t="shared" ca="1" si="249"/>
        <v>0</v>
      </c>
      <c r="W409" s="79">
        <f t="shared" ca="1" si="229"/>
        <v>0</v>
      </c>
      <c r="X409" s="80">
        <f t="shared" ca="1" si="230"/>
        <v>0</v>
      </c>
      <c r="Y409" s="80">
        <f t="shared" ca="1" si="250"/>
        <v>0</v>
      </c>
      <c r="Z409" s="80">
        <f t="shared" ca="1" si="231"/>
        <v>0</v>
      </c>
      <c r="AA409" s="80">
        <f t="shared" ca="1" si="251"/>
        <v>0</v>
      </c>
      <c r="AB409" s="81">
        <f t="shared" ca="1" si="232"/>
        <v>0</v>
      </c>
      <c r="AC409" s="79">
        <f t="shared" ca="1" si="233"/>
        <v>0</v>
      </c>
      <c r="AD409" s="35"/>
      <c r="AE409" s="62">
        <f t="shared" ca="1" si="234"/>
        <v>0</v>
      </c>
      <c r="AF409" s="62">
        <f t="shared" ca="1" si="235"/>
        <v>0</v>
      </c>
      <c r="AG409" s="35"/>
      <c r="AH409" s="35"/>
      <c r="AR409" s="69">
        <f t="shared" si="252"/>
        <v>34</v>
      </c>
      <c r="AS409" s="70">
        <f t="shared" si="255"/>
        <v>406</v>
      </c>
      <c r="AT409" s="71">
        <f t="shared" si="256"/>
        <v>6.2099605784399117E-2</v>
      </c>
      <c r="AU409" s="72">
        <f t="shared" si="236"/>
        <v>6.8214933659622723E-3</v>
      </c>
      <c r="AV409" s="73">
        <f t="shared" si="253"/>
        <v>1.0068214933659623</v>
      </c>
      <c r="AW409" s="74">
        <f>PRODUCT(AV$4:AV409)</f>
        <v>15.801784761525074</v>
      </c>
    </row>
    <row r="410" spans="5:49">
      <c r="E410">
        <f t="shared" si="254"/>
        <v>407</v>
      </c>
      <c r="F410" s="64">
        <f t="shared" si="237"/>
        <v>94.48</v>
      </c>
      <c r="G410" s="55">
        <f t="shared" si="238"/>
        <v>3.0908757876424664E-2</v>
      </c>
      <c r="H410" s="78">
        <f t="shared" si="257"/>
        <v>1.4025221436007394E-2</v>
      </c>
      <c r="I410" s="79">
        <f t="shared" ca="1" si="239"/>
        <v>0</v>
      </c>
      <c r="J410" s="79">
        <f t="shared" ca="1" si="240"/>
        <v>0</v>
      </c>
      <c r="K410" s="80">
        <f t="shared" ca="1" si="241"/>
        <v>0</v>
      </c>
      <c r="L410" s="80">
        <f t="shared" ca="1" si="242"/>
        <v>0</v>
      </c>
      <c r="M410" s="80">
        <f t="shared" ca="1" si="243"/>
        <v>0</v>
      </c>
      <c r="N410" s="80">
        <f t="shared" ca="1" si="244"/>
        <v>0</v>
      </c>
      <c r="O410" s="81">
        <f t="shared" ca="1" si="227"/>
        <v>0</v>
      </c>
      <c r="P410" s="79">
        <f t="shared" ca="1" si="228"/>
        <v>0</v>
      </c>
      <c r="Q410" s="35"/>
      <c r="R410">
        <f t="shared" ca="1" si="245"/>
        <v>407</v>
      </c>
      <c r="S410" s="78">
        <f t="shared" ca="1" si="246"/>
        <v>94.48</v>
      </c>
      <c r="T410" s="55">
        <f t="shared" ca="1" si="247"/>
        <v>3.0908757876424664E-2</v>
      </c>
      <c r="U410" s="78">
        <f t="shared" ca="1" si="248"/>
        <v>1.4025221436007394E-2</v>
      </c>
      <c r="V410" s="79">
        <f t="shared" ca="1" si="249"/>
        <v>0</v>
      </c>
      <c r="W410" s="79">
        <f t="shared" ca="1" si="229"/>
        <v>0</v>
      </c>
      <c r="X410" s="80">
        <f t="shared" ca="1" si="230"/>
        <v>0</v>
      </c>
      <c r="Y410" s="80">
        <f t="shared" ca="1" si="250"/>
        <v>0</v>
      </c>
      <c r="Z410" s="80">
        <f t="shared" ca="1" si="231"/>
        <v>0</v>
      </c>
      <c r="AA410" s="80">
        <f t="shared" ca="1" si="251"/>
        <v>0</v>
      </c>
      <c r="AB410" s="81">
        <f t="shared" ca="1" si="232"/>
        <v>0</v>
      </c>
      <c r="AC410" s="79">
        <f t="shared" ca="1" si="233"/>
        <v>0</v>
      </c>
      <c r="AD410" s="35"/>
      <c r="AE410" s="62">
        <f t="shared" ca="1" si="234"/>
        <v>0</v>
      </c>
      <c r="AF410" s="62">
        <f t="shared" ca="1" si="235"/>
        <v>0</v>
      </c>
      <c r="AG410" s="35"/>
      <c r="AH410" s="35"/>
      <c r="AR410" s="69">
        <f t="shared" si="252"/>
        <v>34</v>
      </c>
      <c r="AS410" s="70">
        <f t="shared" si="255"/>
        <v>407</v>
      </c>
      <c r="AT410" s="71">
        <f t="shared" si="256"/>
        <v>6.1675993735511969E-2</v>
      </c>
      <c r="AU410" s="72">
        <f t="shared" si="236"/>
        <v>6.8214933659622723E-3</v>
      </c>
      <c r="AV410" s="73">
        <f t="shared" si="253"/>
        <v>1.0068214933659623</v>
      </c>
      <c r="AW410" s="74">
        <f>PRODUCT(AV$4:AV410)</f>
        <v>15.909576531446181</v>
      </c>
    </row>
    <row r="411" spans="5:49">
      <c r="E411">
        <f t="shared" si="254"/>
        <v>408</v>
      </c>
      <c r="F411" s="64">
        <f t="shared" si="237"/>
        <v>94.56</v>
      </c>
      <c r="G411" s="55">
        <f t="shared" si="238"/>
        <v>3.3865992701875847E-2</v>
      </c>
      <c r="H411" s="78">
        <f t="shared" si="257"/>
        <v>1.3550243389213375E-2</v>
      </c>
      <c r="I411" s="79">
        <f t="shared" ca="1" si="239"/>
        <v>0</v>
      </c>
      <c r="J411" s="79">
        <f t="shared" ca="1" si="240"/>
        <v>0</v>
      </c>
      <c r="K411" s="80">
        <f t="shared" ca="1" si="241"/>
        <v>0</v>
      </c>
      <c r="L411" s="80">
        <f t="shared" ca="1" si="242"/>
        <v>0</v>
      </c>
      <c r="M411" s="80">
        <f t="shared" ca="1" si="243"/>
        <v>0</v>
      </c>
      <c r="N411" s="80">
        <f t="shared" ca="1" si="244"/>
        <v>0</v>
      </c>
      <c r="O411" s="81">
        <f t="shared" ca="1" si="227"/>
        <v>0</v>
      </c>
      <c r="P411" s="79">
        <f t="shared" ca="1" si="228"/>
        <v>0</v>
      </c>
      <c r="Q411" s="35"/>
      <c r="R411">
        <f t="shared" ca="1" si="245"/>
        <v>408</v>
      </c>
      <c r="S411" s="78">
        <f t="shared" ca="1" si="246"/>
        <v>94.56</v>
      </c>
      <c r="T411" s="55">
        <f t="shared" ca="1" si="247"/>
        <v>3.3865992701875847E-2</v>
      </c>
      <c r="U411" s="78">
        <f t="shared" ca="1" si="248"/>
        <v>1.3550243389213375E-2</v>
      </c>
      <c r="V411" s="79">
        <f t="shared" ca="1" si="249"/>
        <v>0</v>
      </c>
      <c r="W411" s="79">
        <f t="shared" ca="1" si="229"/>
        <v>0</v>
      </c>
      <c r="X411" s="80">
        <f t="shared" ca="1" si="230"/>
        <v>0</v>
      </c>
      <c r="Y411" s="80">
        <f t="shared" ca="1" si="250"/>
        <v>0</v>
      </c>
      <c r="Z411" s="80">
        <f t="shared" ca="1" si="231"/>
        <v>0</v>
      </c>
      <c r="AA411" s="80">
        <f t="shared" ca="1" si="251"/>
        <v>0</v>
      </c>
      <c r="AB411" s="81">
        <f t="shared" ca="1" si="232"/>
        <v>0</v>
      </c>
      <c r="AC411" s="79">
        <f t="shared" ca="1" si="233"/>
        <v>0</v>
      </c>
      <c r="AD411" s="35"/>
      <c r="AE411" s="62">
        <f t="shared" ca="1" si="234"/>
        <v>0</v>
      </c>
      <c r="AF411" s="62">
        <f t="shared" ca="1" si="235"/>
        <v>0</v>
      </c>
      <c r="AG411" s="35"/>
      <c r="AH411" s="35"/>
      <c r="AR411" s="69">
        <f t="shared" si="252"/>
        <v>34</v>
      </c>
      <c r="AS411" s="70">
        <f t="shared" si="255"/>
        <v>408</v>
      </c>
      <c r="AT411" s="71">
        <f t="shared" si="256"/>
        <v>6.1255271353406041E-2</v>
      </c>
      <c r="AU411" s="72">
        <f t="shared" si="236"/>
        <v>6.8214933659622723E-3</v>
      </c>
      <c r="AV411" s="73">
        <f t="shared" si="253"/>
        <v>1.0068214933659623</v>
      </c>
      <c r="AW411" s="74">
        <f>PRODUCT(AV$4:AV411)</f>
        <v>16.018103602210712</v>
      </c>
    </row>
    <row r="412" spans="5:49">
      <c r="E412">
        <f t="shared" si="254"/>
        <v>409</v>
      </c>
      <c r="F412" s="64">
        <f t="shared" si="237"/>
        <v>94.64</v>
      </c>
      <c r="G412" s="55">
        <f t="shared" si="238"/>
        <v>3.3865992701875847E-2</v>
      </c>
      <c r="H412" s="78">
        <f t="shared" si="257"/>
        <v>1.3091350945485634E-2</v>
      </c>
      <c r="I412" s="79">
        <f t="shared" ca="1" si="239"/>
        <v>0</v>
      </c>
      <c r="J412" s="79">
        <f t="shared" ca="1" si="240"/>
        <v>0</v>
      </c>
      <c r="K412" s="80">
        <f t="shared" ca="1" si="241"/>
        <v>0</v>
      </c>
      <c r="L412" s="80">
        <f t="shared" ca="1" si="242"/>
        <v>0</v>
      </c>
      <c r="M412" s="80">
        <f t="shared" ca="1" si="243"/>
        <v>0</v>
      </c>
      <c r="N412" s="80">
        <f t="shared" ca="1" si="244"/>
        <v>0</v>
      </c>
      <c r="O412" s="81">
        <f t="shared" ca="1" si="227"/>
        <v>0</v>
      </c>
      <c r="P412" s="79">
        <f t="shared" ca="1" si="228"/>
        <v>0</v>
      </c>
      <c r="Q412" s="35"/>
      <c r="R412">
        <f t="shared" ca="1" si="245"/>
        <v>409</v>
      </c>
      <c r="S412" s="78">
        <f t="shared" ca="1" si="246"/>
        <v>94.64</v>
      </c>
      <c r="T412" s="55">
        <f t="shared" ca="1" si="247"/>
        <v>3.3865992701875847E-2</v>
      </c>
      <c r="U412" s="78">
        <f t="shared" ca="1" si="248"/>
        <v>1.3091350945485634E-2</v>
      </c>
      <c r="V412" s="79">
        <f t="shared" ca="1" si="249"/>
        <v>0</v>
      </c>
      <c r="W412" s="79">
        <f t="shared" ca="1" si="229"/>
        <v>0</v>
      </c>
      <c r="X412" s="80">
        <f t="shared" ca="1" si="230"/>
        <v>0</v>
      </c>
      <c r="Y412" s="80">
        <f t="shared" ca="1" si="250"/>
        <v>0</v>
      </c>
      <c r="Z412" s="80">
        <f t="shared" ca="1" si="231"/>
        <v>0</v>
      </c>
      <c r="AA412" s="80">
        <f t="shared" ca="1" si="251"/>
        <v>0</v>
      </c>
      <c r="AB412" s="81">
        <f t="shared" ca="1" si="232"/>
        <v>0</v>
      </c>
      <c r="AC412" s="79">
        <f t="shared" ca="1" si="233"/>
        <v>0</v>
      </c>
      <c r="AD412" s="35"/>
      <c r="AE412" s="62">
        <f t="shared" ca="1" si="234"/>
        <v>0</v>
      </c>
      <c r="AF412" s="62">
        <f t="shared" ca="1" si="235"/>
        <v>0</v>
      </c>
      <c r="AG412" s="35"/>
      <c r="AH412" s="35"/>
      <c r="AR412" s="69">
        <f t="shared" si="252"/>
        <v>35</v>
      </c>
      <c r="AS412" s="70">
        <f t="shared" si="255"/>
        <v>409</v>
      </c>
      <c r="AT412" s="71">
        <f t="shared" si="256"/>
        <v>6.0837418926238562E-2</v>
      </c>
      <c r="AU412" s="72">
        <f t="shared" si="236"/>
        <v>6.8214933659622723E-3</v>
      </c>
      <c r="AV412" s="73">
        <f t="shared" si="253"/>
        <v>1.0068214933659623</v>
      </c>
      <c r="AW412" s="74">
        <f>PRODUCT(AV$4:AV412)</f>
        <v>16.127370989668488</v>
      </c>
    </row>
    <row r="413" spans="5:49">
      <c r="E413">
        <f t="shared" si="254"/>
        <v>410</v>
      </c>
      <c r="F413" s="64">
        <f t="shared" si="237"/>
        <v>94.72</v>
      </c>
      <c r="G413" s="55">
        <f t="shared" si="238"/>
        <v>3.3865992701875847E-2</v>
      </c>
      <c r="H413" s="78">
        <f t="shared" si="257"/>
        <v>1.2647999349908122E-2</v>
      </c>
      <c r="I413" s="79">
        <f t="shared" ca="1" si="239"/>
        <v>0</v>
      </c>
      <c r="J413" s="79">
        <f t="shared" ca="1" si="240"/>
        <v>0</v>
      </c>
      <c r="K413" s="80">
        <f t="shared" ca="1" si="241"/>
        <v>0</v>
      </c>
      <c r="L413" s="80">
        <f t="shared" ca="1" si="242"/>
        <v>0</v>
      </c>
      <c r="M413" s="80">
        <f t="shared" ca="1" si="243"/>
        <v>0</v>
      </c>
      <c r="N413" s="80">
        <f t="shared" ca="1" si="244"/>
        <v>0</v>
      </c>
      <c r="O413" s="81">
        <f t="shared" ca="1" si="227"/>
        <v>0</v>
      </c>
      <c r="P413" s="79">
        <f t="shared" ca="1" si="228"/>
        <v>0</v>
      </c>
      <c r="Q413" s="35"/>
      <c r="R413">
        <f t="shared" ca="1" si="245"/>
        <v>410</v>
      </c>
      <c r="S413" s="78">
        <f t="shared" ca="1" si="246"/>
        <v>94.72</v>
      </c>
      <c r="T413" s="55">
        <f t="shared" ca="1" si="247"/>
        <v>3.3865992701875847E-2</v>
      </c>
      <c r="U413" s="78">
        <f t="shared" ca="1" si="248"/>
        <v>1.2647999349908122E-2</v>
      </c>
      <c r="V413" s="79">
        <f t="shared" ca="1" si="249"/>
        <v>0</v>
      </c>
      <c r="W413" s="79">
        <f t="shared" ca="1" si="229"/>
        <v>0</v>
      </c>
      <c r="X413" s="80">
        <f t="shared" ca="1" si="230"/>
        <v>0</v>
      </c>
      <c r="Y413" s="80">
        <f t="shared" ca="1" si="250"/>
        <v>0</v>
      </c>
      <c r="Z413" s="80">
        <f t="shared" ca="1" si="231"/>
        <v>0</v>
      </c>
      <c r="AA413" s="80">
        <f t="shared" ca="1" si="251"/>
        <v>0</v>
      </c>
      <c r="AB413" s="81">
        <f t="shared" ca="1" si="232"/>
        <v>0</v>
      </c>
      <c r="AC413" s="79">
        <f t="shared" ca="1" si="233"/>
        <v>0</v>
      </c>
      <c r="AD413" s="35"/>
      <c r="AE413" s="62">
        <f t="shared" ca="1" si="234"/>
        <v>0</v>
      </c>
      <c r="AF413" s="62">
        <f t="shared" ca="1" si="235"/>
        <v>0</v>
      </c>
      <c r="AG413" s="35"/>
      <c r="AH413" s="35"/>
      <c r="AR413" s="69">
        <f t="shared" si="252"/>
        <v>35</v>
      </c>
      <c r="AS413" s="70">
        <f t="shared" si="255"/>
        <v>410</v>
      </c>
      <c r="AT413" s="71">
        <f t="shared" si="256"/>
        <v>6.0422416876630955E-2</v>
      </c>
      <c r="AU413" s="72">
        <f t="shared" si="236"/>
        <v>6.8214933659622723E-3</v>
      </c>
      <c r="AV413" s="73">
        <f t="shared" si="253"/>
        <v>1.0068214933659623</v>
      </c>
      <c r="AW413" s="74">
        <f>PRODUCT(AV$4:AV413)</f>
        <v>16.237383743884923</v>
      </c>
    </row>
    <row r="414" spans="5:49">
      <c r="E414">
        <f t="shared" si="254"/>
        <v>411</v>
      </c>
      <c r="F414" s="64">
        <f t="shared" si="237"/>
        <v>94.8</v>
      </c>
      <c r="G414" s="55">
        <f t="shared" si="238"/>
        <v>3.3865992701875847E-2</v>
      </c>
      <c r="H414" s="78">
        <f t="shared" si="257"/>
        <v>1.2219662296230803E-2</v>
      </c>
      <c r="I414" s="79">
        <f t="shared" ca="1" si="239"/>
        <v>0</v>
      </c>
      <c r="J414" s="79">
        <f t="shared" ca="1" si="240"/>
        <v>0</v>
      </c>
      <c r="K414" s="80">
        <f t="shared" ca="1" si="241"/>
        <v>0</v>
      </c>
      <c r="L414" s="80">
        <f t="shared" ca="1" si="242"/>
        <v>0</v>
      </c>
      <c r="M414" s="80">
        <f t="shared" ca="1" si="243"/>
        <v>0</v>
      </c>
      <c r="N414" s="80">
        <f t="shared" ca="1" si="244"/>
        <v>0</v>
      </c>
      <c r="O414" s="81">
        <f t="shared" ca="1" si="227"/>
        <v>0</v>
      </c>
      <c r="P414" s="79">
        <f t="shared" ca="1" si="228"/>
        <v>0</v>
      </c>
      <c r="Q414" s="35"/>
      <c r="R414">
        <f t="shared" ca="1" si="245"/>
        <v>411</v>
      </c>
      <c r="S414" s="78">
        <f t="shared" ca="1" si="246"/>
        <v>94.8</v>
      </c>
      <c r="T414" s="55">
        <f t="shared" ca="1" si="247"/>
        <v>3.3865992701875847E-2</v>
      </c>
      <c r="U414" s="78">
        <f t="shared" ca="1" si="248"/>
        <v>1.2219662296230803E-2</v>
      </c>
      <c r="V414" s="79">
        <f t="shared" ca="1" si="249"/>
        <v>0</v>
      </c>
      <c r="W414" s="79">
        <f t="shared" ca="1" si="229"/>
        <v>0</v>
      </c>
      <c r="X414" s="80">
        <f t="shared" ca="1" si="230"/>
        <v>0</v>
      </c>
      <c r="Y414" s="80">
        <f t="shared" ca="1" si="250"/>
        <v>0</v>
      </c>
      <c r="Z414" s="80">
        <f t="shared" ca="1" si="231"/>
        <v>0</v>
      </c>
      <c r="AA414" s="80">
        <f t="shared" ca="1" si="251"/>
        <v>0</v>
      </c>
      <c r="AB414" s="81">
        <f t="shared" ca="1" si="232"/>
        <v>0</v>
      </c>
      <c r="AC414" s="79">
        <f t="shared" ca="1" si="233"/>
        <v>0</v>
      </c>
      <c r="AD414" s="35"/>
      <c r="AE414" s="62">
        <f t="shared" ca="1" si="234"/>
        <v>0</v>
      </c>
      <c r="AF414" s="62">
        <f t="shared" ca="1" si="235"/>
        <v>0</v>
      </c>
      <c r="AG414" s="35"/>
      <c r="AH414" s="35"/>
      <c r="AR414" s="69">
        <f t="shared" si="252"/>
        <v>35</v>
      </c>
      <c r="AS414" s="70">
        <f t="shared" si="255"/>
        <v>411</v>
      </c>
      <c r="AT414" s="71">
        <f t="shared" si="256"/>
        <v>6.0010245760751611E-2</v>
      </c>
      <c r="AU414" s="72">
        <f t="shared" si="236"/>
        <v>6.8214933659622723E-3</v>
      </c>
      <c r="AV414" s="73">
        <f t="shared" si="253"/>
        <v>1.0068214933659623</v>
      </c>
      <c r="AW414" s="74">
        <f>PRODUCT(AV$4:AV414)</f>
        <v>16.348146949374417</v>
      </c>
    </row>
    <row r="415" spans="5:49">
      <c r="E415">
        <f t="shared" si="254"/>
        <v>412</v>
      </c>
      <c r="F415" s="64">
        <f t="shared" si="237"/>
        <v>94.88</v>
      </c>
      <c r="G415" s="55">
        <f t="shared" si="238"/>
        <v>3.3865992701875847E-2</v>
      </c>
      <c r="H415" s="78">
        <f t="shared" si="257"/>
        <v>1.1805831302087262E-2</v>
      </c>
      <c r="I415" s="79">
        <f t="shared" ca="1" si="239"/>
        <v>0</v>
      </c>
      <c r="J415" s="79">
        <f t="shared" ca="1" si="240"/>
        <v>0</v>
      </c>
      <c r="K415" s="80">
        <f t="shared" ca="1" si="241"/>
        <v>0</v>
      </c>
      <c r="L415" s="80">
        <f t="shared" ca="1" si="242"/>
        <v>0</v>
      </c>
      <c r="M415" s="80">
        <f t="shared" ca="1" si="243"/>
        <v>0</v>
      </c>
      <c r="N415" s="80">
        <f t="shared" ca="1" si="244"/>
        <v>0</v>
      </c>
      <c r="O415" s="81">
        <f t="shared" ca="1" si="227"/>
        <v>0</v>
      </c>
      <c r="P415" s="79">
        <f t="shared" ca="1" si="228"/>
        <v>0</v>
      </c>
      <c r="Q415" s="35"/>
      <c r="R415">
        <f t="shared" ca="1" si="245"/>
        <v>412</v>
      </c>
      <c r="S415" s="78">
        <f t="shared" ca="1" si="246"/>
        <v>94.88</v>
      </c>
      <c r="T415" s="55">
        <f t="shared" ca="1" si="247"/>
        <v>3.3865992701875847E-2</v>
      </c>
      <c r="U415" s="78">
        <f t="shared" ca="1" si="248"/>
        <v>1.1805831302087262E-2</v>
      </c>
      <c r="V415" s="79">
        <f t="shared" ca="1" si="249"/>
        <v>0</v>
      </c>
      <c r="W415" s="79">
        <f t="shared" ca="1" si="229"/>
        <v>0</v>
      </c>
      <c r="X415" s="80">
        <f t="shared" ca="1" si="230"/>
        <v>0</v>
      </c>
      <c r="Y415" s="80">
        <f t="shared" ca="1" si="250"/>
        <v>0</v>
      </c>
      <c r="Z415" s="80">
        <f t="shared" ca="1" si="231"/>
        <v>0</v>
      </c>
      <c r="AA415" s="80">
        <f t="shared" ca="1" si="251"/>
        <v>0</v>
      </c>
      <c r="AB415" s="81">
        <f t="shared" ca="1" si="232"/>
        <v>0</v>
      </c>
      <c r="AC415" s="79">
        <f t="shared" ca="1" si="233"/>
        <v>0</v>
      </c>
      <c r="AD415" s="35"/>
      <c r="AE415" s="62">
        <f t="shared" ca="1" si="234"/>
        <v>0</v>
      </c>
      <c r="AF415" s="62">
        <f t="shared" ca="1" si="235"/>
        <v>0</v>
      </c>
      <c r="AG415" s="35"/>
      <c r="AH415" s="35"/>
      <c r="AR415" s="69">
        <f t="shared" si="252"/>
        <v>35</v>
      </c>
      <c r="AS415" s="70">
        <f t="shared" si="255"/>
        <v>412</v>
      </c>
      <c r="AT415" s="71">
        <f t="shared" si="256"/>
        <v>5.9600886267404882E-2</v>
      </c>
      <c r="AU415" s="72">
        <f t="shared" si="236"/>
        <v>6.8214933659622723E-3</v>
      </c>
      <c r="AV415" s="73">
        <f t="shared" si="253"/>
        <v>1.0068214933659623</v>
      </c>
      <c r="AW415" s="74">
        <f>PRODUCT(AV$4:AV415)</f>
        <v>16.459665725335352</v>
      </c>
    </row>
    <row r="416" spans="5:49">
      <c r="E416">
        <f t="shared" si="254"/>
        <v>413</v>
      </c>
      <c r="F416" s="64">
        <f t="shared" si="237"/>
        <v>94.96</v>
      </c>
      <c r="G416" s="55">
        <f t="shared" si="238"/>
        <v>3.3865992701875847E-2</v>
      </c>
      <c r="H416" s="78">
        <f t="shared" si="257"/>
        <v>1.1406015105371198E-2</v>
      </c>
      <c r="I416" s="79">
        <f t="shared" ca="1" si="239"/>
        <v>0</v>
      </c>
      <c r="J416" s="79">
        <f t="shared" ca="1" si="240"/>
        <v>0</v>
      </c>
      <c r="K416" s="80">
        <f t="shared" ca="1" si="241"/>
        <v>0</v>
      </c>
      <c r="L416" s="80">
        <f t="shared" ca="1" si="242"/>
        <v>0</v>
      </c>
      <c r="M416" s="80">
        <f t="shared" ca="1" si="243"/>
        <v>0</v>
      </c>
      <c r="N416" s="80">
        <f t="shared" ca="1" si="244"/>
        <v>0</v>
      </c>
      <c r="O416" s="81">
        <f t="shared" ca="1" si="227"/>
        <v>0</v>
      </c>
      <c r="P416" s="79">
        <f t="shared" ca="1" si="228"/>
        <v>0</v>
      </c>
      <c r="Q416" s="35"/>
      <c r="R416">
        <f t="shared" ca="1" si="245"/>
        <v>413</v>
      </c>
      <c r="S416" s="78">
        <f t="shared" ca="1" si="246"/>
        <v>94.96</v>
      </c>
      <c r="T416" s="55">
        <f t="shared" ca="1" si="247"/>
        <v>3.3865992701875847E-2</v>
      </c>
      <c r="U416" s="78">
        <f t="shared" ca="1" si="248"/>
        <v>1.1406015105371198E-2</v>
      </c>
      <c r="V416" s="79">
        <f t="shared" ca="1" si="249"/>
        <v>0</v>
      </c>
      <c r="W416" s="79">
        <f t="shared" ca="1" si="229"/>
        <v>0</v>
      </c>
      <c r="X416" s="80">
        <f t="shared" ca="1" si="230"/>
        <v>0</v>
      </c>
      <c r="Y416" s="80">
        <f t="shared" ca="1" si="250"/>
        <v>0</v>
      </c>
      <c r="Z416" s="80">
        <f t="shared" ca="1" si="231"/>
        <v>0</v>
      </c>
      <c r="AA416" s="80">
        <f t="shared" ca="1" si="251"/>
        <v>0</v>
      </c>
      <c r="AB416" s="81">
        <f t="shared" ca="1" si="232"/>
        <v>0</v>
      </c>
      <c r="AC416" s="79">
        <f t="shared" ca="1" si="233"/>
        <v>0</v>
      </c>
      <c r="AD416" s="35"/>
      <c r="AE416" s="62">
        <f t="shared" ca="1" si="234"/>
        <v>0</v>
      </c>
      <c r="AF416" s="62">
        <f t="shared" ca="1" si="235"/>
        <v>0</v>
      </c>
      <c r="AG416" s="35"/>
      <c r="AH416" s="35"/>
      <c r="AR416" s="69">
        <f t="shared" si="252"/>
        <v>35</v>
      </c>
      <c r="AS416" s="70">
        <f t="shared" si="255"/>
        <v>413</v>
      </c>
      <c r="AT416" s="71">
        <f t="shared" si="256"/>
        <v>5.9194319217126305E-2</v>
      </c>
      <c r="AU416" s="72">
        <f t="shared" si="236"/>
        <v>6.8214933659622723E-3</v>
      </c>
      <c r="AV416" s="73">
        <f t="shared" si="253"/>
        <v>1.0068214933659623</v>
      </c>
      <c r="AW416" s="74">
        <f>PRODUCT(AV$4:AV416)</f>
        <v>16.571945225886683</v>
      </c>
    </row>
    <row r="417" spans="5:49">
      <c r="E417">
        <f t="shared" si="254"/>
        <v>414</v>
      </c>
      <c r="F417" s="64">
        <f t="shared" si="237"/>
        <v>95.04</v>
      </c>
      <c r="G417" s="55">
        <f t="shared" si="238"/>
        <v>3.3865992701875847E-2</v>
      </c>
      <c r="H417" s="78">
        <f t="shared" si="257"/>
        <v>1.1019739081055212E-2</v>
      </c>
      <c r="I417" s="79">
        <f t="shared" ca="1" si="239"/>
        <v>0</v>
      </c>
      <c r="J417" s="79">
        <f t="shared" ca="1" si="240"/>
        <v>0</v>
      </c>
      <c r="K417" s="80">
        <f t="shared" ca="1" si="241"/>
        <v>0</v>
      </c>
      <c r="L417" s="80">
        <f t="shared" ca="1" si="242"/>
        <v>0</v>
      </c>
      <c r="M417" s="80">
        <f t="shared" ca="1" si="243"/>
        <v>0</v>
      </c>
      <c r="N417" s="80">
        <f t="shared" ca="1" si="244"/>
        <v>0</v>
      </c>
      <c r="O417" s="81">
        <f t="shared" ca="1" si="227"/>
        <v>0</v>
      </c>
      <c r="P417" s="79">
        <f t="shared" ca="1" si="228"/>
        <v>0</v>
      </c>
      <c r="Q417" s="35"/>
      <c r="R417">
        <f t="shared" ca="1" si="245"/>
        <v>414</v>
      </c>
      <c r="S417" s="78">
        <f t="shared" ca="1" si="246"/>
        <v>95.04</v>
      </c>
      <c r="T417" s="55">
        <f t="shared" ca="1" si="247"/>
        <v>3.3865992701875847E-2</v>
      </c>
      <c r="U417" s="78">
        <f t="shared" ca="1" si="248"/>
        <v>1.1019739081055212E-2</v>
      </c>
      <c r="V417" s="79">
        <f t="shared" ca="1" si="249"/>
        <v>0</v>
      </c>
      <c r="W417" s="79">
        <f t="shared" ca="1" si="229"/>
        <v>0</v>
      </c>
      <c r="X417" s="80">
        <f t="shared" ca="1" si="230"/>
        <v>0</v>
      </c>
      <c r="Y417" s="80">
        <f t="shared" ca="1" si="250"/>
        <v>0</v>
      </c>
      <c r="Z417" s="80">
        <f t="shared" ca="1" si="231"/>
        <v>0</v>
      </c>
      <c r="AA417" s="80">
        <f t="shared" ca="1" si="251"/>
        <v>0</v>
      </c>
      <c r="AB417" s="81">
        <f t="shared" ca="1" si="232"/>
        <v>0</v>
      </c>
      <c r="AC417" s="79">
        <f t="shared" ca="1" si="233"/>
        <v>0</v>
      </c>
      <c r="AD417" s="35"/>
      <c r="AE417" s="62">
        <f t="shared" ca="1" si="234"/>
        <v>0</v>
      </c>
      <c r="AF417" s="62">
        <f t="shared" ca="1" si="235"/>
        <v>0</v>
      </c>
      <c r="AG417" s="35"/>
      <c r="AH417" s="35"/>
      <c r="AR417" s="69">
        <f t="shared" si="252"/>
        <v>35</v>
      </c>
      <c r="AS417" s="70">
        <f t="shared" si="255"/>
        <v>414</v>
      </c>
      <c r="AT417" s="71">
        <f t="shared" si="256"/>
        <v>5.8790525561284022E-2</v>
      </c>
      <c r="AU417" s="72">
        <f t="shared" si="236"/>
        <v>6.8214933659622723E-3</v>
      </c>
      <c r="AV417" s="73">
        <f t="shared" si="253"/>
        <v>1.0068214933659623</v>
      </c>
      <c r="AW417" s="74">
        <f>PRODUCT(AV$4:AV417)</f>
        <v>16.684990640306161</v>
      </c>
    </row>
    <row r="418" spans="5:49">
      <c r="E418">
        <f t="shared" si="254"/>
        <v>415</v>
      </c>
      <c r="F418" s="64">
        <f t="shared" si="237"/>
        <v>95.12</v>
      </c>
      <c r="G418" s="55">
        <f t="shared" si="238"/>
        <v>3.3865992701875847E-2</v>
      </c>
      <c r="H418" s="78">
        <f t="shared" si="257"/>
        <v>1.064654467775962E-2</v>
      </c>
      <c r="I418" s="79">
        <f t="shared" ca="1" si="239"/>
        <v>0</v>
      </c>
      <c r="J418" s="79">
        <f t="shared" ca="1" si="240"/>
        <v>0</v>
      </c>
      <c r="K418" s="80">
        <f t="shared" ca="1" si="241"/>
        <v>0</v>
      </c>
      <c r="L418" s="80">
        <f t="shared" ca="1" si="242"/>
        <v>0</v>
      </c>
      <c r="M418" s="80">
        <f t="shared" ca="1" si="243"/>
        <v>0</v>
      </c>
      <c r="N418" s="80">
        <f t="shared" ca="1" si="244"/>
        <v>0</v>
      </c>
      <c r="O418" s="81">
        <f t="shared" ca="1" si="227"/>
        <v>0</v>
      </c>
      <c r="P418" s="79">
        <f t="shared" ca="1" si="228"/>
        <v>0</v>
      </c>
      <c r="Q418" s="35"/>
      <c r="R418">
        <f t="shared" ca="1" si="245"/>
        <v>415</v>
      </c>
      <c r="S418" s="78">
        <f t="shared" ca="1" si="246"/>
        <v>95.12</v>
      </c>
      <c r="T418" s="55">
        <f t="shared" ca="1" si="247"/>
        <v>3.3865992701875847E-2</v>
      </c>
      <c r="U418" s="78">
        <f t="shared" ca="1" si="248"/>
        <v>1.064654467775962E-2</v>
      </c>
      <c r="V418" s="79">
        <f t="shared" ca="1" si="249"/>
        <v>0</v>
      </c>
      <c r="W418" s="79">
        <f t="shared" ca="1" si="229"/>
        <v>0</v>
      </c>
      <c r="X418" s="80">
        <f t="shared" ca="1" si="230"/>
        <v>0</v>
      </c>
      <c r="Y418" s="80">
        <f t="shared" ca="1" si="250"/>
        <v>0</v>
      </c>
      <c r="Z418" s="80">
        <f t="shared" ca="1" si="231"/>
        <v>0</v>
      </c>
      <c r="AA418" s="80">
        <f t="shared" ca="1" si="251"/>
        <v>0</v>
      </c>
      <c r="AB418" s="81">
        <f t="shared" ca="1" si="232"/>
        <v>0</v>
      </c>
      <c r="AC418" s="79">
        <f t="shared" ca="1" si="233"/>
        <v>0</v>
      </c>
      <c r="AD418" s="35"/>
      <c r="AE418" s="62">
        <f t="shared" ca="1" si="234"/>
        <v>0</v>
      </c>
      <c r="AF418" s="62">
        <f t="shared" ca="1" si="235"/>
        <v>0</v>
      </c>
      <c r="AG418" s="35"/>
      <c r="AH418" s="35"/>
      <c r="AR418" s="69">
        <f t="shared" si="252"/>
        <v>35</v>
      </c>
      <c r="AS418" s="70">
        <f t="shared" si="255"/>
        <v>415</v>
      </c>
      <c r="AT418" s="71">
        <f t="shared" si="256"/>
        <v>5.8389486381186288E-2</v>
      </c>
      <c r="AU418" s="72">
        <f t="shared" si="236"/>
        <v>6.8214933659622723E-3</v>
      </c>
      <c r="AV418" s="73">
        <f t="shared" si="253"/>
        <v>1.0068214933659623</v>
      </c>
      <c r="AW418" s="74">
        <f>PRODUCT(AV$4:AV418)</f>
        <v>16.798807193270154</v>
      </c>
    </row>
    <row r="419" spans="5:49">
      <c r="E419">
        <f t="shared" si="254"/>
        <v>416</v>
      </c>
      <c r="F419" s="64">
        <f t="shared" si="237"/>
        <v>95.2</v>
      </c>
      <c r="G419" s="55">
        <f t="shared" si="238"/>
        <v>3.3865992701875847E-2</v>
      </c>
      <c r="H419" s="78">
        <f t="shared" si="257"/>
        <v>1.0285988873402417E-2</v>
      </c>
      <c r="I419" s="79">
        <f t="shared" ca="1" si="239"/>
        <v>0</v>
      </c>
      <c r="J419" s="79">
        <f t="shared" ca="1" si="240"/>
        <v>0</v>
      </c>
      <c r="K419" s="80">
        <f t="shared" ca="1" si="241"/>
        <v>0</v>
      </c>
      <c r="L419" s="80">
        <f t="shared" ca="1" si="242"/>
        <v>0</v>
      </c>
      <c r="M419" s="80">
        <f t="shared" ca="1" si="243"/>
        <v>0</v>
      </c>
      <c r="N419" s="80">
        <f t="shared" ca="1" si="244"/>
        <v>0</v>
      </c>
      <c r="O419" s="81">
        <f t="shared" ca="1" si="227"/>
        <v>0</v>
      </c>
      <c r="P419" s="79">
        <f t="shared" ca="1" si="228"/>
        <v>0</v>
      </c>
      <c r="Q419" s="35"/>
      <c r="R419">
        <f t="shared" ca="1" si="245"/>
        <v>416</v>
      </c>
      <c r="S419" s="78">
        <f t="shared" ca="1" si="246"/>
        <v>95.2</v>
      </c>
      <c r="T419" s="55">
        <f t="shared" ca="1" si="247"/>
        <v>3.3865992701875847E-2</v>
      </c>
      <c r="U419" s="78">
        <f t="shared" ca="1" si="248"/>
        <v>1.0285988873402417E-2</v>
      </c>
      <c r="V419" s="79">
        <f t="shared" ca="1" si="249"/>
        <v>0</v>
      </c>
      <c r="W419" s="79">
        <f t="shared" ca="1" si="229"/>
        <v>0</v>
      </c>
      <c r="X419" s="80">
        <f t="shared" ca="1" si="230"/>
        <v>0</v>
      </c>
      <c r="Y419" s="80">
        <f t="shared" ca="1" si="250"/>
        <v>0</v>
      </c>
      <c r="Z419" s="80">
        <f t="shared" ca="1" si="231"/>
        <v>0</v>
      </c>
      <c r="AA419" s="80">
        <f t="shared" ca="1" si="251"/>
        <v>0</v>
      </c>
      <c r="AB419" s="81">
        <f t="shared" ca="1" si="232"/>
        <v>0</v>
      </c>
      <c r="AC419" s="79">
        <f t="shared" ca="1" si="233"/>
        <v>0</v>
      </c>
      <c r="AD419" s="35"/>
      <c r="AE419" s="62">
        <f t="shared" ca="1" si="234"/>
        <v>0</v>
      </c>
      <c r="AF419" s="62">
        <f t="shared" ca="1" si="235"/>
        <v>0</v>
      </c>
      <c r="AG419" s="35"/>
      <c r="AH419" s="35"/>
      <c r="AR419" s="69">
        <f t="shared" si="252"/>
        <v>35</v>
      </c>
      <c r="AS419" s="70">
        <f t="shared" si="255"/>
        <v>416</v>
      </c>
      <c r="AT419" s="71">
        <f t="shared" si="256"/>
        <v>5.7991182887195084E-2</v>
      </c>
      <c r="AU419" s="72">
        <f t="shared" si="236"/>
        <v>6.8214933659622723E-3</v>
      </c>
      <c r="AV419" s="73">
        <f t="shared" si="253"/>
        <v>1.0068214933659623</v>
      </c>
      <c r="AW419" s="74">
        <f>PRODUCT(AV$4:AV419)</f>
        <v>16.913400145095125</v>
      </c>
    </row>
    <row r="420" spans="5:49">
      <c r="E420">
        <f t="shared" si="254"/>
        <v>417</v>
      </c>
      <c r="F420" s="64">
        <f t="shared" si="237"/>
        <v>95.28</v>
      </c>
      <c r="G420" s="55">
        <f t="shared" si="238"/>
        <v>3.3865992701875847E-2</v>
      </c>
      <c r="H420" s="78">
        <f t="shared" si="257"/>
        <v>9.9376436492841953E-3</v>
      </c>
      <c r="I420" s="79">
        <f t="shared" ca="1" si="239"/>
        <v>0</v>
      </c>
      <c r="J420" s="79">
        <f t="shared" ca="1" si="240"/>
        <v>0</v>
      </c>
      <c r="K420" s="80">
        <f t="shared" ca="1" si="241"/>
        <v>0</v>
      </c>
      <c r="L420" s="80">
        <f t="shared" ca="1" si="242"/>
        <v>0</v>
      </c>
      <c r="M420" s="80">
        <f t="shared" ca="1" si="243"/>
        <v>0</v>
      </c>
      <c r="N420" s="80">
        <f t="shared" ca="1" si="244"/>
        <v>0</v>
      </c>
      <c r="O420" s="81">
        <f t="shared" ca="1" si="227"/>
        <v>0</v>
      </c>
      <c r="P420" s="79">
        <f t="shared" ca="1" si="228"/>
        <v>0</v>
      </c>
      <c r="Q420" s="35"/>
      <c r="R420">
        <f t="shared" ca="1" si="245"/>
        <v>417</v>
      </c>
      <c r="S420" s="78">
        <f t="shared" ca="1" si="246"/>
        <v>95.28</v>
      </c>
      <c r="T420" s="55">
        <f t="shared" ca="1" si="247"/>
        <v>3.3865992701875847E-2</v>
      </c>
      <c r="U420" s="78">
        <f t="shared" ca="1" si="248"/>
        <v>9.9376436492841953E-3</v>
      </c>
      <c r="V420" s="79">
        <f t="shared" ca="1" si="249"/>
        <v>0</v>
      </c>
      <c r="W420" s="79">
        <f t="shared" ca="1" si="229"/>
        <v>0</v>
      </c>
      <c r="X420" s="80">
        <f t="shared" ca="1" si="230"/>
        <v>0</v>
      </c>
      <c r="Y420" s="80">
        <f t="shared" ca="1" si="250"/>
        <v>0</v>
      </c>
      <c r="Z420" s="80">
        <f t="shared" ca="1" si="231"/>
        <v>0</v>
      </c>
      <c r="AA420" s="80">
        <f t="shared" ca="1" si="251"/>
        <v>0</v>
      </c>
      <c r="AB420" s="81">
        <f t="shared" ca="1" si="232"/>
        <v>0</v>
      </c>
      <c r="AC420" s="79">
        <f t="shared" ca="1" si="233"/>
        <v>0</v>
      </c>
      <c r="AD420" s="35"/>
      <c r="AE420" s="62">
        <f t="shared" ca="1" si="234"/>
        <v>0</v>
      </c>
      <c r="AF420" s="62">
        <f t="shared" ca="1" si="235"/>
        <v>0</v>
      </c>
      <c r="AG420" s="35"/>
      <c r="AH420" s="35"/>
      <c r="AR420" s="69">
        <f t="shared" si="252"/>
        <v>35</v>
      </c>
      <c r="AS420" s="70">
        <f t="shared" si="255"/>
        <v>417</v>
      </c>
      <c r="AT420" s="71">
        <f t="shared" si="256"/>
        <v>5.7595596417845778E-2</v>
      </c>
      <c r="AU420" s="72">
        <f t="shared" si="236"/>
        <v>6.8214933659622723E-3</v>
      </c>
      <c r="AV420" s="73">
        <f t="shared" si="253"/>
        <v>1.0068214933659623</v>
      </c>
      <c r="AW420" s="74">
        <f>PRODUCT(AV$4:AV420)</f>
        <v>17.028774791980755</v>
      </c>
    </row>
    <row r="421" spans="5:49">
      <c r="E421">
        <f t="shared" si="254"/>
        <v>418</v>
      </c>
      <c r="F421" s="64">
        <f t="shared" si="237"/>
        <v>95.36</v>
      </c>
      <c r="G421" s="55">
        <f t="shared" si="238"/>
        <v>3.3865992701875847E-2</v>
      </c>
      <c r="H421" s="78">
        <f t="shared" si="257"/>
        <v>9.6010954819836947E-3</v>
      </c>
      <c r="I421" s="79">
        <f t="shared" ca="1" si="239"/>
        <v>0</v>
      </c>
      <c r="J421" s="79">
        <f t="shared" ca="1" si="240"/>
        <v>0</v>
      </c>
      <c r="K421" s="80">
        <f t="shared" ca="1" si="241"/>
        <v>0</v>
      </c>
      <c r="L421" s="80">
        <f t="shared" ca="1" si="242"/>
        <v>0</v>
      </c>
      <c r="M421" s="80">
        <f t="shared" ca="1" si="243"/>
        <v>0</v>
      </c>
      <c r="N421" s="80">
        <f t="shared" ca="1" si="244"/>
        <v>0</v>
      </c>
      <c r="O421" s="81">
        <f t="shared" ca="1" si="227"/>
        <v>0</v>
      </c>
      <c r="P421" s="79">
        <f t="shared" ca="1" si="228"/>
        <v>0</v>
      </c>
      <c r="Q421" s="35"/>
      <c r="R421">
        <f t="shared" ca="1" si="245"/>
        <v>418</v>
      </c>
      <c r="S421" s="78">
        <f t="shared" ca="1" si="246"/>
        <v>95.36</v>
      </c>
      <c r="T421" s="55">
        <f t="shared" ca="1" si="247"/>
        <v>3.3865992701875847E-2</v>
      </c>
      <c r="U421" s="78">
        <f t="shared" ca="1" si="248"/>
        <v>9.6010954819836947E-3</v>
      </c>
      <c r="V421" s="79">
        <f t="shared" ca="1" si="249"/>
        <v>0</v>
      </c>
      <c r="W421" s="79">
        <f t="shared" ca="1" si="229"/>
        <v>0</v>
      </c>
      <c r="X421" s="80">
        <f t="shared" ca="1" si="230"/>
        <v>0</v>
      </c>
      <c r="Y421" s="80">
        <f t="shared" ca="1" si="250"/>
        <v>0</v>
      </c>
      <c r="Z421" s="80">
        <f t="shared" ca="1" si="231"/>
        <v>0</v>
      </c>
      <c r="AA421" s="80">
        <f t="shared" ca="1" si="251"/>
        <v>0</v>
      </c>
      <c r="AB421" s="81">
        <f t="shared" ca="1" si="232"/>
        <v>0</v>
      </c>
      <c r="AC421" s="79">
        <f t="shared" ca="1" si="233"/>
        <v>0</v>
      </c>
      <c r="AD421" s="35"/>
      <c r="AE421" s="62">
        <f t="shared" ca="1" si="234"/>
        <v>0</v>
      </c>
      <c r="AF421" s="62">
        <f t="shared" ca="1" si="235"/>
        <v>0</v>
      </c>
      <c r="AG421" s="35"/>
      <c r="AH421" s="35"/>
      <c r="AR421" s="69">
        <f t="shared" si="252"/>
        <v>35</v>
      </c>
      <c r="AS421" s="70">
        <f t="shared" si="255"/>
        <v>418</v>
      </c>
      <c r="AT421" s="71">
        <f t="shared" si="256"/>
        <v>5.72027084389728E-2</v>
      </c>
      <c r="AU421" s="72">
        <f t="shared" si="236"/>
        <v>6.8214933659622723E-3</v>
      </c>
      <c r="AV421" s="73">
        <f t="shared" si="253"/>
        <v>1.0068214933659623</v>
      </c>
      <c r="AW421" s="74">
        <f>PRODUCT(AV$4:AV421)</f>
        <v>17.144936466254716</v>
      </c>
    </row>
    <row r="422" spans="5:49">
      <c r="E422">
        <f t="shared" si="254"/>
        <v>419</v>
      </c>
      <c r="F422" s="64">
        <f t="shared" si="237"/>
        <v>95.44</v>
      </c>
      <c r="G422" s="55">
        <f t="shared" si="238"/>
        <v>3.3865992701875847E-2</v>
      </c>
      <c r="H422" s="78">
        <f t="shared" si="257"/>
        <v>9.2759448524608219E-3</v>
      </c>
      <c r="I422" s="79">
        <f t="shared" ca="1" si="239"/>
        <v>0</v>
      </c>
      <c r="J422" s="79">
        <f t="shared" ca="1" si="240"/>
        <v>0</v>
      </c>
      <c r="K422" s="80">
        <f t="shared" ca="1" si="241"/>
        <v>0</v>
      </c>
      <c r="L422" s="80">
        <f t="shared" ca="1" si="242"/>
        <v>0</v>
      </c>
      <c r="M422" s="80">
        <f t="shared" ca="1" si="243"/>
        <v>0</v>
      </c>
      <c r="N422" s="80">
        <f t="shared" ca="1" si="244"/>
        <v>0</v>
      </c>
      <c r="O422" s="81">
        <f t="shared" ca="1" si="227"/>
        <v>0</v>
      </c>
      <c r="P422" s="79">
        <f t="shared" ca="1" si="228"/>
        <v>0</v>
      </c>
      <c r="Q422" s="35"/>
      <c r="R422">
        <f t="shared" ca="1" si="245"/>
        <v>419</v>
      </c>
      <c r="S422" s="78">
        <f t="shared" ca="1" si="246"/>
        <v>95.44</v>
      </c>
      <c r="T422" s="55">
        <f t="shared" ca="1" si="247"/>
        <v>3.3865992701875847E-2</v>
      </c>
      <c r="U422" s="78">
        <f t="shared" ca="1" si="248"/>
        <v>9.2759448524608219E-3</v>
      </c>
      <c r="V422" s="79">
        <f t="shared" ca="1" si="249"/>
        <v>0</v>
      </c>
      <c r="W422" s="79">
        <f t="shared" ca="1" si="229"/>
        <v>0</v>
      </c>
      <c r="X422" s="80">
        <f t="shared" ca="1" si="230"/>
        <v>0</v>
      </c>
      <c r="Y422" s="80">
        <f t="shared" ca="1" si="250"/>
        <v>0</v>
      </c>
      <c r="Z422" s="80">
        <f t="shared" ca="1" si="231"/>
        <v>0</v>
      </c>
      <c r="AA422" s="80">
        <f t="shared" ca="1" si="251"/>
        <v>0</v>
      </c>
      <c r="AB422" s="81">
        <f t="shared" ca="1" si="232"/>
        <v>0</v>
      </c>
      <c r="AC422" s="79">
        <f t="shared" ca="1" si="233"/>
        <v>0</v>
      </c>
      <c r="AD422" s="35"/>
      <c r="AE422" s="62">
        <f t="shared" ca="1" si="234"/>
        <v>0</v>
      </c>
      <c r="AF422" s="62">
        <f t="shared" ca="1" si="235"/>
        <v>0</v>
      </c>
      <c r="AG422" s="35"/>
      <c r="AH422" s="35"/>
      <c r="AR422" s="69">
        <f t="shared" si="252"/>
        <v>35</v>
      </c>
      <c r="AS422" s="70">
        <f t="shared" si="255"/>
        <v>419</v>
      </c>
      <c r="AT422" s="71">
        <f t="shared" si="256"/>
        <v>5.6812500542841274E-2</v>
      </c>
      <c r="AU422" s="72">
        <f t="shared" si="236"/>
        <v>6.8214933659622723E-3</v>
      </c>
      <c r="AV422" s="73">
        <f t="shared" si="253"/>
        <v>1.0068214933659623</v>
      </c>
      <c r="AW422" s="74">
        <f>PRODUCT(AV$4:AV422)</f>
        <v>17.261890536619116</v>
      </c>
    </row>
    <row r="423" spans="5:49">
      <c r="E423">
        <f t="shared" si="254"/>
        <v>420</v>
      </c>
      <c r="F423" s="64">
        <f t="shared" si="237"/>
        <v>95.52</v>
      </c>
      <c r="G423" s="55">
        <f t="shared" si="238"/>
        <v>3.710811547546744E-2</v>
      </c>
      <c r="H423" s="78">
        <f t="shared" si="257"/>
        <v>8.9317320197316377E-3</v>
      </c>
      <c r="I423" s="79">
        <f t="shared" ca="1" si="239"/>
        <v>0</v>
      </c>
      <c r="J423" s="79">
        <f t="shared" ca="1" si="240"/>
        <v>0</v>
      </c>
      <c r="K423" s="80">
        <f t="shared" ca="1" si="241"/>
        <v>0</v>
      </c>
      <c r="L423" s="80">
        <f t="shared" ca="1" si="242"/>
        <v>0</v>
      </c>
      <c r="M423" s="80">
        <f t="shared" ca="1" si="243"/>
        <v>0</v>
      </c>
      <c r="N423" s="80">
        <f t="shared" ca="1" si="244"/>
        <v>0</v>
      </c>
      <c r="O423" s="81">
        <f t="shared" ca="1" si="227"/>
        <v>0</v>
      </c>
      <c r="P423" s="79">
        <f t="shared" ca="1" si="228"/>
        <v>0</v>
      </c>
      <c r="Q423" s="35"/>
      <c r="R423">
        <f t="shared" ca="1" si="245"/>
        <v>420</v>
      </c>
      <c r="S423" s="78">
        <f t="shared" ca="1" si="246"/>
        <v>95.52</v>
      </c>
      <c r="T423" s="55">
        <f t="shared" ca="1" si="247"/>
        <v>3.710811547546744E-2</v>
      </c>
      <c r="U423" s="78">
        <f t="shared" ca="1" si="248"/>
        <v>8.9317320197316377E-3</v>
      </c>
      <c r="V423" s="79">
        <f t="shared" ca="1" si="249"/>
        <v>0</v>
      </c>
      <c r="W423" s="79">
        <f t="shared" ca="1" si="229"/>
        <v>0</v>
      </c>
      <c r="X423" s="80">
        <f t="shared" ca="1" si="230"/>
        <v>0</v>
      </c>
      <c r="Y423" s="80">
        <f t="shared" ca="1" si="250"/>
        <v>0</v>
      </c>
      <c r="Z423" s="80">
        <f t="shared" ca="1" si="231"/>
        <v>0</v>
      </c>
      <c r="AA423" s="80">
        <f t="shared" ca="1" si="251"/>
        <v>0</v>
      </c>
      <c r="AB423" s="81">
        <f t="shared" ca="1" si="232"/>
        <v>0</v>
      </c>
      <c r="AC423" s="79">
        <f t="shared" ca="1" si="233"/>
        <v>0</v>
      </c>
      <c r="AD423" s="35"/>
      <c r="AE423" s="62">
        <f t="shared" ca="1" si="234"/>
        <v>0</v>
      </c>
      <c r="AF423" s="62">
        <f t="shared" ca="1" si="235"/>
        <v>0</v>
      </c>
      <c r="AG423" s="35"/>
      <c r="AH423" s="35"/>
      <c r="AR423" s="69">
        <f t="shared" si="252"/>
        <v>35</v>
      </c>
      <c r="AS423" s="70">
        <f t="shared" si="255"/>
        <v>420</v>
      </c>
      <c r="AT423" s="71">
        <f t="shared" si="256"/>
        <v>5.6424954447284556E-2</v>
      </c>
      <c r="AU423" s="72">
        <f t="shared" si="236"/>
        <v>6.8214933659622723E-3</v>
      </c>
      <c r="AV423" s="73">
        <f t="shared" si="253"/>
        <v>1.0068214933659623</v>
      </c>
      <c r="AW423" s="74">
        <f>PRODUCT(AV$4:AV423)</f>
        <v>17.379642408398631</v>
      </c>
    </row>
    <row r="424" spans="5:49">
      <c r="E424">
        <f t="shared" si="254"/>
        <v>421</v>
      </c>
      <c r="F424" s="64">
        <f t="shared" si="237"/>
        <v>95.6</v>
      </c>
      <c r="G424" s="55">
        <f t="shared" si="238"/>
        <v>3.710811547546744E-2</v>
      </c>
      <c r="H424" s="78">
        <f t="shared" si="257"/>
        <v>8.6002922765475061E-3</v>
      </c>
      <c r="I424" s="79">
        <f t="shared" ca="1" si="239"/>
        <v>0</v>
      </c>
      <c r="J424" s="79">
        <f t="shared" ca="1" si="240"/>
        <v>0</v>
      </c>
      <c r="K424" s="80">
        <f t="shared" ca="1" si="241"/>
        <v>0</v>
      </c>
      <c r="L424" s="80">
        <f t="shared" ca="1" si="242"/>
        <v>0</v>
      </c>
      <c r="M424" s="80">
        <f t="shared" ca="1" si="243"/>
        <v>0</v>
      </c>
      <c r="N424" s="80">
        <f t="shared" ca="1" si="244"/>
        <v>0</v>
      </c>
      <c r="O424" s="81">
        <f t="shared" ca="1" si="227"/>
        <v>0</v>
      </c>
      <c r="P424" s="79">
        <f t="shared" ca="1" si="228"/>
        <v>0</v>
      </c>
      <c r="Q424" s="35"/>
      <c r="R424">
        <f t="shared" ca="1" si="245"/>
        <v>421</v>
      </c>
      <c r="S424" s="78">
        <f t="shared" ca="1" si="246"/>
        <v>95.6</v>
      </c>
      <c r="T424" s="55">
        <f t="shared" ca="1" si="247"/>
        <v>3.710811547546744E-2</v>
      </c>
      <c r="U424" s="78">
        <f t="shared" ca="1" si="248"/>
        <v>8.6002922765475061E-3</v>
      </c>
      <c r="V424" s="79">
        <f t="shared" ca="1" si="249"/>
        <v>0</v>
      </c>
      <c r="W424" s="79">
        <f t="shared" ca="1" si="229"/>
        <v>0</v>
      </c>
      <c r="X424" s="80">
        <f t="shared" ca="1" si="230"/>
        <v>0</v>
      </c>
      <c r="Y424" s="80">
        <f t="shared" ca="1" si="250"/>
        <v>0</v>
      </c>
      <c r="Z424" s="80">
        <f t="shared" ca="1" si="231"/>
        <v>0</v>
      </c>
      <c r="AA424" s="80">
        <f t="shared" ca="1" si="251"/>
        <v>0</v>
      </c>
      <c r="AB424" s="81">
        <f t="shared" ca="1" si="232"/>
        <v>0</v>
      </c>
      <c r="AC424" s="79">
        <f t="shared" ca="1" si="233"/>
        <v>0</v>
      </c>
      <c r="AD424" s="35"/>
      <c r="AE424" s="62">
        <f t="shared" ca="1" si="234"/>
        <v>0</v>
      </c>
      <c r="AF424" s="62">
        <f t="shared" ca="1" si="235"/>
        <v>0</v>
      </c>
      <c r="AG424" s="35"/>
      <c r="AH424" s="35"/>
      <c r="AR424" s="69">
        <f t="shared" si="252"/>
        <v>36</v>
      </c>
      <c r="AS424" s="70">
        <f t="shared" si="255"/>
        <v>421</v>
      </c>
      <c r="AT424" s="71">
        <f t="shared" si="256"/>
        <v>5.6040051994847684E-2</v>
      </c>
      <c r="AU424" s="72">
        <f t="shared" si="236"/>
        <v>6.8214933659622723E-3</v>
      </c>
      <c r="AV424" s="73">
        <f t="shared" si="253"/>
        <v>1.0068214933659623</v>
      </c>
      <c r="AW424" s="74">
        <f>PRODUCT(AV$4:AV424)</f>
        <v>17.498197523790317</v>
      </c>
    </row>
    <row r="425" spans="5:49">
      <c r="E425">
        <f t="shared" si="254"/>
        <v>422</v>
      </c>
      <c r="F425" s="64">
        <f t="shared" si="237"/>
        <v>95.68</v>
      </c>
      <c r="G425" s="55">
        <f t="shared" si="238"/>
        <v>3.710811547546744E-2</v>
      </c>
      <c r="H425" s="78">
        <f t="shared" si="257"/>
        <v>8.28115163762661E-3</v>
      </c>
      <c r="I425" s="79">
        <f t="shared" ca="1" si="239"/>
        <v>0</v>
      </c>
      <c r="J425" s="79">
        <f t="shared" ca="1" si="240"/>
        <v>0</v>
      </c>
      <c r="K425" s="80">
        <f t="shared" ca="1" si="241"/>
        <v>0</v>
      </c>
      <c r="L425" s="80">
        <f t="shared" ca="1" si="242"/>
        <v>0</v>
      </c>
      <c r="M425" s="80">
        <f t="shared" ca="1" si="243"/>
        <v>0</v>
      </c>
      <c r="N425" s="80">
        <f t="shared" ca="1" si="244"/>
        <v>0</v>
      </c>
      <c r="O425" s="81">
        <f t="shared" ca="1" si="227"/>
        <v>0</v>
      </c>
      <c r="P425" s="79">
        <f t="shared" ca="1" si="228"/>
        <v>0</v>
      </c>
      <c r="Q425" s="35"/>
      <c r="R425">
        <f t="shared" ca="1" si="245"/>
        <v>422</v>
      </c>
      <c r="S425" s="78">
        <f t="shared" ca="1" si="246"/>
        <v>95.68</v>
      </c>
      <c r="T425" s="55">
        <f t="shared" ca="1" si="247"/>
        <v>3.710811547546744E-2</v>
      </c>
      <c r="U425" s="78">
        <f t="shared" ca="1" si="248"/>
        <v>8.28115163762661E-3</v>
      </c>
      <c r="V425" s="79">
        <f t="shared" ca="1" si="249"/>
        <v>0</v>
      </c>
      <c r="W425" s="79">
        <f t="shared" ca="1" si="229"/>
        <v>0</v>
      </c>
      <c r="X425" s="80">
        <f t="shared" ca="1" si="230"/>
        <v>0</v>
      </c>
      <c r="Y425" s="80">
        <f t="shared" ca="1" si="250"/>
        <v>0</v>
      </c>
      <c r="Z425" s="80">
        <f t="shared" ca="1" si="231"/>
        <v>0</v>
      </c>
      <c r="AA425" s="80">
        <f t="shared" ca="1" si="251"/>
        <v>0</v>
      </c>
      <c r="AB425" s="81">
        <f t="shared" ca="1" si="232"/>
        <v>0</v>
      </c>
      <c r="AC425" s="79">
        <f t="shared" ca="1" si="233"/>
        <v>0</v>
      </c>
      <c r="AD425" s="35"/>
      <c r="AE425" s="62">
        <f t="shared" ca="1" si="234"/>
        <v>0</v>
      </c>
      <c r="AF425" s="62">
        <f t="shared" ca="1" si="235"/>
        <v>0</v>
      </c>
      <c r="AG425" s="35"/>
      <c r="AH425" s="35"/>
      <c r="AR425" s="69">
        <f t="shared" si="252"/>
        <v>36</v>
      </c>
      <c r="AS425" s="70">
        <f t="shared" si="255"/>
        <v>422</v>
      </c>
      <c r="AT425" s="71">
        <f t="shared" si="256"/>
        <v>5.565777515193665E-2</v>
      </c>
      <c r="AU425" s="72">
        <f t="shared" si="236"/>
        <v>6.8214933659622723E-3</v>
      </c>
      <c r="AV425" s="73">
        <f t="shared" si="253"/>
        <v>1.0068214933659623</v>
      </c>
      <c r="AW425" s="74">
        <f>PRODUCT(AV$4:AV425)</f>
        <v>17.617561362115151</v>
      </c>
    </row>
    <row r="426" spans="5:49">
      <c r="E426">
        <f t="shared" si="254"/>
        <v>423</v>
      </c>
      <c r="F426" s="64">
        <f t="shared" si="237"/>
        <v>95.76</v>
      </c>
      <c r="G426" s="55">
        <f t="shared" si="238"/>
        <v>3.710811547546744E-2</v>
      </c>
      <c r="H426" s="78">
        <f t="shared" si="257"/>
        <v>7.9738537063877048E-3</v>
      </c>
      <c r="I426" s="79">
        <f t="shared" ca="1" si="239"/>
        <v>0</v>
      </c>
      <c r="J426" s="79">
        <f t="shared" ca="1" si="240"/>
        <v>0</v>
      </c>
      <c r="K426" s="80">
        <f t="shared" ca="1" si="241"/>
        <v>0</v>
      </c>
      <c r="L426" s="80">
        <f t="shared" ca="1" si="242"/>
        <v>0</v>
      </c>
      <c r="M426" s="80">
        <f t="shared" ca="1" si="243"/>
        <v>0</v>
      </c>
      <c r="N426" s="80">
        <f t="shared" ca="1" si="244"/>
        <v>0</v>
      </c>
      <c r="O426" s="81">
        <f t="shared" ca="1" si="227"/>
        <v>0</v>
      </c>
      <c r="P426" s="79">
        <f t="shared" ca="1" si="228"/>
        <v>0</v>
      </c>
      <c r="Q426" s="35"/>
      <c r="R426">
        <f t="shared" ca="1" si="245"/>
        <v>423</v>
      </c>
      <c r="S426" s="78">
        <f t="shared" ca="1" si="246"/>
        <v>95.76</v>
      </c>
      <c r="T426" s="55">
        <f t="shared" ca="1" si="247"/>
        <v>3.710811547546744E-2</v>
      </c>
      <c r="U426" s="78">
        <f t="shared" ca="1" si="248"/>
        <v>7.9738537063877048E-3</v>
      </c>
      <c r="V426" s="79">
        <f t="shared" ca="1" si="249"/>
        <v>0</v>
      </c>
      <c r="W426" s="79">
        <f t="shared" ca="1" si="229"/>
        <v>0</v>
      </c>
      <c r="X426" s="80">
        <f t="shared" ca="1" si="230"/>
        <v>0</v>
      </c>
      <c r="Y426" s="80">
        <f t="shared" ca="1" si="250"/>
        <v>0</v>
      </c>
      <c r="Z426" s="80">
        <f t="shared" ca="1" si="231"/>
        <v>0</v>
      </c>
      <c r="AA426" s="80">
        <f t="shared" ca="1" si="251"/>
        <v>0</v>
      </c>
      <c r="AB426" s="81">
        <f t="shared" ca="1" si="232"/>
        <v>0</v>
      </c>
      <c r="AC426" s="79">
        <f t="shared" ca="1" si="233"/>
        <v>0</v>
      </c>
      <c r="AD426" s="35"/>
      <c r="AE426" s="62">
        <f t="shared" ca="1" si="234"/>
        <v>0</v>
      </c>
      <c r="AF426" s="62">
        <f t="shared" ca="1" si="235"/>
        <v>0</v>
      </c>
      <c r="AG426" s="35"/>
      <c r="AH426" s="35"/>
      <c r="AR426" s="69">
        <f t="shared" si="252"/>
        <v>36</v>
      </c>
      <c r="AS426" s="70">
        <f t="shared" si="255"/>
        <v>423</v>
      </c>
      <c r="AT426" s="71">
        <f t="shared" si="256"/>
        <v>5.5278106007973497E-2</v>
      </c>
      <c r="AU426" s="72">
        <f t="shared" si="236"/>
        <v>6.8214933659622723E-3</v>
      </c>
      <c r="AV426" s="73">
        <f t="shared" si="253"/>
        <v>1.0068214933659623</v>
      </c>
      <c r="AW426" s="74">
        <f>PRODUCT(AV$4:AV426)</f>
        <v>17.737739440071252</v>
      </c>
    </row>
    <row r="427" spans="5:49">
      <c r="E427">
        <f t="shared" si="254"/>
        <v>424</v>
      </c>
      <c r="F427" s="64">
        <f t="shared" si="237"/>
        <v>95.84</v>
      </c>
      <c r="G427" s="55">
        <f t="shared" si="238"/>
        <v>3.710811547546744E-2</v>
      </c>
      <c r="H427" s="78">
        <f t="shared" si="257"/>
        <v>7.677959022266586E-3</v>
      </c>
      <c r="I427" s="79">
        <f t="shared" ca="1" si="239"/>
        <v>0</v>
      </c>
      <c r="J427" s="79">
        <f t="shared" ca="1" si="240"/>
        <v>0</v>
      </c>
      <c r="K427" s="80">
        <f t="shared" ca="1" si="241"/>
        <v>0</v>
      </c>
      <c r="L427" s="80">
        <f t="shared" ca="1" si="242"/>
        <v>0</v>
      </c>
      <c r="M427" s="80">
        <f t="shared" ca="1" si="243"/>
        <v>0</v>
      </c>
      <c r="N427" s="80">
        <f t="shared" ca="1" si="244"/>
        <v>0</v>
      </c>
      <c r="O427" s="81">
        <f t="shared" ca="1" si="227"/>
        <v>0</v>
      </c>
      <c r="P427" s="79">
        <f t="shared" ca="1" si="228"/>
        <v>0</v>
      </c>
      <c r="Q427" s="35"/>
      <c r="R427">
        <f t="shared" ca="1" si="245"/>
        <v>424</v>
      </c>
      <c r="S427" s="78">
        <f t="shared" ca="1" si="246"/>
        <v>95.84</v>
      </c>
      <c r="T427" s="55">
        <f t="shared" ca="1" si="247"/>
        <v>3.710811547546744E-2</v>
      </c>
      <c r="U427" s="78">
        <f t="shared" ca="1" si="248"/>
        <v>7.677959022266586E-3</v>
      </c>
      <c r="V427" s="79">
        <f t="shared" ca="1" si="249"/>
        <v>0</v>
      </c>
      <c r="W427" s="79">
        <f t="shared" ca="1" si="229"/>
        <v>0</v>
      </c>
      <c r="X427" s="80">
        <f t="shared" ca="1" si="230"/>
        <v>0</v>
      </c>
      <c r="Y427" s="80">
        <f t="shared" ca="1" si="250"/>
        <v>0</v>
      </c>
      <c r="Z427" s="80">
        <f t="shared" ca="1" si="231"/>
        <v>0</v>
      </c>
      <c r="AA427" s="80">
        <f t="shared" ca="1" si="251"/>
        <v>0</v>
      </c>
      <c r="AB427" s="81">
        <f t="shared" ca="1" si="232"/>
        <v>0</v>
      </c>
      <c r="AC427" s="79">
        <f t="shared" ca="1" si="233"/>
        <v>0</v>
      </c>
      <c r="AD427" s="35"/>
      <c r="AE427" s="62">
        <f t="shared" ca="1" si="234"/>
        <v>0</v>
      </c>
      <c r="AF427" s="62">
        <f t="shared" ca="1" si="235"/>
        <v>0</v>
      </c>
      <c r="AG427" s="35"/>
      <c r="AH427" s="35"/>
      <c r="AR427" s="69">
        <f t="shared" si="252"/>
        <v>36</v>
      </c>
      <c r="AS427" s="70">
        <f t="shared" si="255"/>
        <v>424</v>
      </c>
      <c r="AT427" s="71">
        <f t="shared" si="256"/>
        <v>5.4901026774557146E-2</v>
      </c>
      <c r="AU427" s="72">
        <f t="shared" si="236"/>
        <v>6.8214933659622723E-3</v>
      </c>
      <c r="AV427" s="73">
        <f t="shared" si="253"/>
        <v>1.0068214933659623</v>
      </c>
      <c r="AW427" s="74">
        <f>PRODUCT(AV$4:AV427)</f>
        <v>17.858737311988865</v>
      </c>
    </row>
    <row r="428" spans="5:49">
      <c r="E428">
        <f t="shared" si="254"/>
        <v>425</v>
      </c>
      <c r="F428" s="64">
        <f t="shared" si="237"/>
        <v>95.92</v>
      </c>
      <c r="G428" s="55">
        <f t="shared" si="238"/>
        <v>3.710811547546744E-2</v>
      </c>
      <c r="H428" s="78">
        <f t="shared" si="257"/>
        <v>7.3930444322524106E-3</v>
      </c>
      <c r="I428" s="79">
        <f t="shared" ca="1" si="239"/>
        <v>0</v>
      </c>
      <c r="J428" s="79">
        <f t="shared" ca="1" si="240"/>
        <v>0</v>
      </c>
      <c r="K428" s="80">
        <f t="shared" ca="1" si="241"/>
        <v>0</v>
      </c>
      <c r="L428" s="80">
        <f t="shared" ca="1" si="242"/>
        <v>0</v>
      </c>
      <c r="M428" s="80">
        <f t="shared" ca="1" si="243"/>
        <v>0</v>
      </c>
      <c r="N428" s="80">
        <f t="shared" ca="1" si="244"/>
        <v>0</v>
      </c>
      <c r="O428" s="81">
        <f t="shared" ca="1" si="227"/>
        <v>0</v>
      </c>
      <c r="P428" s="79">
        <f t="shared" ca="1" si="228"/>
        <v>0</v>
      </c>
      <c r="Q428" s="35"/>
      <c r="R428">
        <f t="shared" ca="1" si="245"/>
        <v>425</v>
      </c>
      <c r="S428" s="78">
        <f t="shared" ca="1" si="246"/>
        <v>95.92</v>
      </c>
      <c r="T428" s="55">
        <f t="shared" ca="1" si="247"/>
        <v>3.710811547546744E-2</v>
      </c>
      <c r="U428" s="78">
        <f t="shared" ca="1" si="248"/>
        <v>7.3930444322524106E-3</v>
      </c>
      <c r="V428" s="79">
        <f t="shared" ca="1" si="249"/>
        <v>0</v>
      </c>
      <c r="W428" s="79">
        <f t="shared" ca="1" si="229"/>
        <v>0</v>
      </c>
      <c r="X428" s="80">
        <f t="shared" ca="1" si="230"/>
        <v>0</v>
      </c>
      <c r="Y428" s="80">
        <f t="shared" ca="1" si="250"/>
        <v>0</v>
      </c>
      <c r="Z428" s="80">
        <f t="shared" ca="1" si="231"/>
        <v>0</v>
      </c>
      <c r="AA428" s="80">
        <f t="shared" ca="1" si="251"/>
        <v>0</v>
      </c>
      <c r="AB428" s="81">
        <f t="shared" ca="1" si="232"/>
        <v>0</v>
      </c>
      <c r="AC428" s="79">
        <f t="shared" ca="1" si="233"/>
        <v>0</v>
      </c>
      <c r="AD428" s="35"/>
      <c r="AE428" s="62">
        <f t="shared" ca="1" si="234"/>
        <v>0</v>
      </c>
      <c r="AF428" s="62">
        <f t="shared" ca="1" si="235"/>
        <v>0</v>
      </c>
      <c r="AG428" s="35"/>
      <c r="AH428" s="35"/>
      <c r="AR428" s="69">
        <f t="shared" si="252"/>
        <v>36</v>
      </c>
      <c r="AS428" s="70">
        <f t="shared" si="255"/>
        <v>425</v>
      </c>
      <c r="AT428" s="71">
        <f t="shared" si="256"/>
        <v>5.4526519784629988E-2</v>
      </c>
      <c r="AU428" s="72">
        <f t="shared" si="236"/>
        <v>6.8214933659622723E-3</v>
      </c>
      <c r="AV428" s="73">
        <f t="shared" si="253"/>
        <v>1.0068214933659623</v>
      </c>
      <c r="AW428" s="74">
        <f>PRODUCT(AV$4:AV428)</f>
        <v>17.980560570087061</v>
      </c>
    </row>
    <row r="429" spans="5:49">
      <c r="E429">
        <f t="shared" si="254"/>
        <v>426</v>
      </c>
      <c r="F429" s="64">
        <f t="shared" si="237"/>
        <v>96</v>
      </c>
      <c r="G429" s="55">
        <f t="shared" si="238"/>
        <v>3.710811547546744E-2</v>
      </c>
      <c r="H429" s="78">
        <f t="shared" si="257"/>
        <v>7.1187024857451266E-3</v>
      </c>
      <c r="I429" s="79">
        <f t="shared" ca="1" si="239"/>
        <v>0</v>
      </c>
      <c r="J429" s="79">
        <f t="shared" ca="1" si="240"/>
        <v>0</v>
      </c>
      <c r="K429" s="80">
        <f t="shared" ca="1" si="241"/>
        <v>0</v>
      </c>
      <c r="L429" s="80">
        <f t="shared" ca="1" si="242"/>
        <v>0</v>
      </c>
      <c r="M429" s="80">
        <f t="shared" ca="1" si="243"/>
        <v>0</v>
      </c>
      <c r="N429" s="80">
        <f t="shared" ca="1" si="244"/>
        <v>0</v>
      </c>
      <c r="O429" s="81">
        <f t="shared" ca="1" si="227"/>
        <v>0</v>
      </c>
      <c r="P429" s="79">
        <f t="shared" ca="1" si="228"/>
        <v>0</v>
      </c>
      <c r="Q429" s="35"/>
      <c r="R429">
        <f t="shared" ca="1" si="245"/>
        <v>426</v>
      </c>
      <c r="S429" s="78">
        <f t="shared" ca="1" si="246"/>
        <v>96</v>
      </c>
      <c r="T429" s="55">
        <f t="shared" ca="1" si="247"/>
        <v>3.710811547546744E-2</v>
      </c>
      <c r="U429" s="78">
        <f t="shared" ca="1" si="248"/>
        <v>7.1187024857451266E-3</v>
      </c>
      <c r="V429" s="79">
        <f t="shared" ca="1" si="249"/>
        <v>0</v>
      </c>
      <c r="W429" s="79">
        <f t="shared" ca="1" si="229"/>
        <v>0</v>
      </c>
      <c r="X429" s="80">
        <f t="shared" ca="1" si="230"/>
        <v>0</v>
      </c>
      <c r="Y429" s="80">
        <f t="shared" ca="1" si="250"/>
        <v>0</v>
      </c>
      <c r="Z429" s="80">
        <f t="shared" ca="1" si="231"/>
        <v>0</v>
      </c>
      <c r="AA429" s="80">
        <f t="shared" ca="1" si="251"/>
        <v>0</v>
      </c>
      <c r="AB429" s="81">
        <f t="shared" ca="1" si="232"/>
        <v>0</v>
      </c>
      <c r="AC429" s="79">
        <f t="shared" ca="1" si="233"/>
        <v>0</v>
      </c>
      <c r="AD429" s="35"/>
      <c r="AE429" s="62">
        <f t="shared" ca="1" si="234"/>
        <v>0</v>
      </c>
      <c r="AF429" s="62">
        <f t="shared" ca="1" si="235"/>
        <v>0</v>
      </c>
      <c r="AG429" s="35"/>
      <c r="AH429" s="35"/>
      <c r="AR429" s="69">
        <f t="shared" si="252"/>
        <v>36</v>
      </c>
      <c r="AS429" s="70">
        <f t="shared" si="255"/>
        <v>426</v>
      </c>
      <c r="AT429" s="71">
        <f t="shared" si="256"/>
        <v>5.4154567491650124E-2</v>
      </c>
      <c r="AU429" s="72">
        <f t="shared" si="236"/>
        <v>6.8214933659622723E-3</v>
      </c>
      <c r="AV429" s="73">
        <f t="shared" si="253"/>
        <v>1.0068214933659623</v>
      </c>
      <c r="AW429" s="74">
        <f>PRODUCT(AV$4:AV429)</f>
        <v>18.103214844732193</v>
      </c>
    </row>
    <row r="430" spans="5:49">
      <c r="E430">
        <f t="shared" si="254"/>
        <v>427</v>
      </c>
      <c r="F430" s="64">
        <f t="shared" si="237"/>
        <v>96.08</v>
      </c>
      <c r="G430" s="55">
        <f t="shared" si="238"/>
        <v>3.710811547546744E-2</v>
      </c>
      <c r="H430" s="78">
        <f t="shared" si="257"/>
        <v>6.8545408518685992E-3</v>
      </c>
      <c r="I430" s="79">
        <f t="shared" ca="1" si="239"/>
        <v>0</v>
      </c>
      <c r="J430" s="79">
        <f t="shared" ca="1" si="240"/>
        <v>0</v>
      </c>
      <c r="K430" s="80">
        <f t="shared" ca="1" si="241"/>
        <v>0</v>
      </c>
      <c r="L430" s="80">
        <f t="shared" ca="1" si="242"/>
        <v>0</v>
      </c>
      <c r="M430" s="80">
        <f t="shared" ca="1" si="243"/>
        <v>0</v>
      </c>
      <c r="N430" s="80">
        <f t="shared" ca="1" si="244"/>
        <v>0</v>
      </c>
      <c r="O430" s="81">
        <f t="shared" ca="1" si="227"/>
        <v>0</v>
      </c>
      <c r="P430" s="79">
        <f t="shared" ca="1" si="228"/>
        <v>0</v>
      </c>
      <c r="Q430" s="35"/>
      <c r="R430">
        <f t="shared" ca="1" si="245"/>
        <v>427</v>
      </c>
      <c r="S430" s="78">
        <f t="shared" ca="1" si="246"/>
        <v>96.08</v>
      </c>
      <c r="T430" s="55">
        <f t="shared" ca="1" si="247"/>
        <v>3.710811547546744E-2</v>
      </c>
      <c r="U430" s="78">
        <f t="shared" ca="1" si="248"/>
        <v>6.8545408518685992E-3</v>
      </c>
      <c r="V430" s="79">
        <f t="shared" ca="1" si="249"/>
        <v>0</v>
      </c>
      <c r="W430" s="79">
        <f t="shared" ca="1" si="229"/>
        <v>0</v>
      </c>
      <c r="X430" s="80">
        <f t="shared" ca="1" si="230"/>
        <v>0</v>
      </c>
      <c r="Y430" s="80">
        <f t="shared" ca="1" si="250"/>
        <v>0</v>
      </c>
      <c r="Z430" s="80">
        <f t="shared" ca="1" si="231"/>
        <v>0</v>
      </c>
      <c r="AA430" s="80">
        <f t="shared" ca="1" si="251"/>
        <v>0</v>
      </c>
      <c r="AB430" s="81">
        <f t="shared" ca="1" si="232"/>
        <v>0</v>
      </c>
      <c r="AC430" s="79">
        <f t="shared" ca="1" si="233"/>
        <v>0</v>
      </c>
      <c r="AD430" s="35"/>
      <c r="AE430" s="62">
        <f t="shared" ca="1" si="234"/>
        <v>0</v>
      </c>
      <c r="AF430" s="62">
        <f t="shared" ca="1" si="235"/>
        <v>0</v>
      </c>
      <c r="AG430" s="35"/>
      <c r="AH430" s="35"/>
      <c r="AR430" s="69">
        <f t="shared" si="252"/>
        <v>36</v>
      </c>
      <c r="AS430" s="70">
        <f t="shared" si="255"/>
        <v>427</v>
      </c>
      <c r="AT430" s="71">
        <f t="shared" si="256"/>
        <v>5.3785152468769276E-2</v>
      </c>
      <c r="AU430" s="72">
        <f t="shared" si="236"/>
        <v>6.8214933659622723E-3</v>
      </c>
      <c r="AV430" s="73">
        <f t="shared" si="253"/>
        <v>1.0068214933659623</v>
      </c>
      <c r="AW430" s="74">
        <f>PRODUCT(AV$4:AV430)</f>
        <v>18.226705804698124</v>
      </c>
    </row>
    <row r="431" spans="5:49">
      <c r="E431">
        <f t="shared" si="254"/>
        <v>428</v>
      </c>
      <c r="F431" s="64">
        <f t="shared" si="237"/>
        <v>96.16</v>
      </c>
      <c r="G431" s="55">
        <f t="shared" si="238"/>
        <v>3.710811547546744E-2</v>
      </c>
      <c r="H431" s="78">
        <f t="shared" si="257"/>
        <v>6.6001817584061505E-3</v>
      </c>
      <c r="I431" s="79">
        <f t="shared" ca="1" si="239"/>
        <v>0</v>
      </c>
      <c r="J431" s="79">
        <f t="shared" ca="1" si="240"/>
        <v>0</v>
      </c>
      <c r="K431" s="80">
        <f t="shared" ca="1" si="241"/>
        <v>0</v>
      </c>
      <c r="L431" s="80">
        <f t="shared" ca="1" si="242"/>
        <v>0</v>
      </c>
      <c r="M431" s="80">
        <f t="shared" ca="1" si="243"/>
        <v>0</v>
      </c>
      <c r="N431" s="80">
        <f t="shared" ca="1" si="244"/>
        <v>0</v>
      </c>
      <c r="O431" s="81">
        <f t="shared" ca="1" si="227"/>
        <v>0</v>
      </c>
      <c r="P431" s="79">
        <f t="shared" ca="1" si="228"/>
        <v>0</v>
      </c>
      <c r="Q431" s="35"/>
      <c r="R431">
        <f t="shared" ca="1" si="245"/>
        <v>428</v>
      </c>
      <c r="S431" s="78">
        <f t="shared" ca="1" si="246"/>
        <v>96.16</v>
      </c>
      <c r="T431" s="55">
        <f t="shared" ca="1" si="247"/>
        <v>3.710811547546744E-2</v>
      </c>
      <c r="U431" s="78">
        <f t="shared" ca="1" si="248"/>
        <v>6.6001817584061505E-3</v>
      </c>
      <c r="V431" s="79">
        <f t="shared" ca="1" si="249"/>
        <v>0</v>
      </c>
      <c r="W431" s="79">
        <f t="shared" ca="1" si="229"/>
        <v>0</v>
      </c>
      <c r="X431" s="80">
        <f t="shared" ca="1" si="230"/>
        <v>0</v>
      </c>
      <c r="Y431" s="80">
        <f t="shared" ca="1" si="250"/>
        <v>0</v>
      </c>
      <c r="Z431" s="80">
        <f t="shared" ca="1" si="231"/>
        <v>0</v>
      </c>
      <c r="AA431" s="80">
        <f t="shared" ca="1" si="251"/>
        <v>0</v>
      </c>
      <c r="AB431" s="81">
        <f t="shared" ca="1" si="232"/>
        <v>0</v>
      </c>
      <c r="AC431" s="79">
        <f t="shared" ca="1" si="233"/>
        <v>0</v>
      </c>
      <c r="AD431" s="35"/>
      <c r="AE431" s="62">
        <f t="shared" ca="1" si="234"/>
        <v>0</v>
      </c>
      <c r="AF431" s="62">
        <f t="shared" ca="1" si="235"/>
        <v>0</v>
      </c>
      <c r="AG431" s="35"/>
      <c r="AH431" s="35"/>
      <c r="AR431" s="69">
        <f t="shared" si="252"/>
        <v>36</v>
      </c>
      <c r="AS431" s="70">
        <f t="shared" si="255"/>
        <v>428</v>
      </c>
      <c r="AT431" s="71">
        <f t="shared" si="256"/>
        <v>5.3418257408016298E-2</v>
      </c>
      <c r="AU431" s="72">
        <f t="shared" si="236"/>
        <v>6.8214933659622723E-3</v>
      </c>
      <c r="AV431" s="73">
        <f t="shared" si="253"/>
        <v>1.0068214933659623</v>
      </c>
      <c r="AW431" s="74">
        <f>PRODUCT(AV$4:AV431)</f>
        <v>18.351039157428218</v>
      </c>
    </row>
    <row r="432" spans="5:49">
      <c r="E432">
        <f t="shared" si="254"/>
        <v>429</v>
      </c>
      <c r="F432" s="64">
        <f t="shared" si="237"/>
        <v>96.24</v>
      </c>
      <c r="G432" s="55">
        <f t="shared" si="238"/>
        <v>3.710811547546744E-2</v>
      </c>
      <c r="H432" s="78">
        <f t="shared" si="257"/>
        <v>6.3552614515561415E-3</v>
      </c>
      <c r="I432" s="79">
        <f t="shared" ca="1" si="239"/>
        <v>0</v>
      </c>
      <c r="J432" s="79">
        <f t="shared" ca="1" si="240"/>
        <v>0</v>
      </c>
      <c r="K432" s="80">
        <f t="shared" ca="1" si="241"/>
        <v>0</v>
      </c>
      <c r="L432" s="80">
        <f t="shared" ca="1" si="242"/>
        <v>0</v>
      </c>
      <c r="M432" s="80">
        <f t="shared" ca="1" si="243"/>
        <v>0</v>
      </c>
      <c r="N432" s="80">
        <f t="shared" ca="1" si="244"/>
        <v>0</v>
      </c>
      <c r="O432" s="81">
        <f t="shared" ca="1" si="227"/>
        <v>0</v>
      </c>
      <c r="P432" s="79">
        <f t="shared" ca="1" si="228"/>
        <v>0</v>
      </c>
      <c r="Q432" s="35"/>
      <c r="R432">
        <f t="shared" ca="1" si="245"/>
        <v>429</v>
      </c>
      <c r="S432" s="78">
        <f t="shared" ca="1" si="246"/>
        <v>96.24</v>
      </c>
      <c r="T432" s="55">
        <f t="shared" ca="1" si="247"/>
        <v>3.710811547546744E-2</v>
      </c>
      <c r="U432" s="78">
        <f t="shared" ca="1" si="248"/>
        <v>6.3552614515561415E-3</v>
      </c>
      <c r="V432" s="79">
        <f t="shared" ca="1" si="249"/>
        <v>0</v>
      </c>
      <c r="W432" s="79">
        <f t="shared" ca="1" si="229"/>
        <v>0</v>
      </c>
      <c r="X432" s="80">
        <f t="shared" ca="1" si="230"/>
        <v>0</v>
      </c>
      <c r="Y432" s="80">
        <f t="shared" ca="1" si="250"/>
        <v>0</v>
      </c>
      <c r="Z432" s="80">
        <f t="shared" ca="1" si="231"/>
        <v>0</v>
      </c>
      <c r="AA432" s="80">
        <f t="shared" ca="1" si="251"/>
        <v>0</v>
      </c>
      <c r="AB432" s="81">
        <f t="shared" ca="1" si="232"/>
        <v>0</v>
      </c>
      <c r="AC432" s="79">
        <f t="shared" ca="1" si="233"/>
        <v>0</v>
      </c>
      <c r="AD432" s="35"/>
      <c r="AE432" s="62">
        <f t="shared" ca="1" si="234"/>
        <v>0</v>
      </c>
      <c r="AF432" s="62">
        <f t="shared" ca="1" si="235"/>
        <v>0</v>
      </c>
      <c r="AG432" s="35"/>
      <c r="AH432" s="35"/>
      <c r="AR432" s="69">
        <f t="shared" si="252"/>
        <v>36</v>
      </c>
      <c r="AS432" s="70">
        <f t="shared" si="255"/>
        <v>429</v>
      </c>
      <c r="AT432" s="71">
        <f t="shared" si="256"/>
        <v>5.3053865119486253E-2</v>
      </c>
      <c r="AU432" s="72">
        <f t="shared" si="236"/>
        <v>6.8214933659622723E-3</v>
      </c>
      <c r="AV432" s="73">
        <f t="shared" si="253"/>
        <v>1.0068214933659623</v>
      </c>
      <c r="AW432" s="74">
        <f>PRODUCT(AV$4:AV432)</f>
        <v>18.47622064929913</v>
      </c>
    </row>
    <row r="433" spans="5:49">
      <c r="E433">
        <f t="shared" si="254"/>
        <v>430</v>
      </c>
      <c r="F433" s="64">
        <f t="shared" si="237"/>
        <v>96.32</v>
      </c>
      <c r="G433" s="55">
        <f t="shared" si="238"/>
        <v>3.710811547546744E-2</v>
      </c>
      <c r="H433" s="78">
        <f t="shared" si="257"/>
        <v>6.1194296757350096E-3</v>
      </c>
      <c r="I433" s="79">
        <f t="shared" ca="1" si="239"/>
        <v>0</v>
      </c>
      <c r="J433" s="79">
        <f t="shared" ca="1" si="240"/>
        <v>0</v>
      </c>
      <c r="K433" s="80">
        <f t="shared" ca="1" si="241"/>
        <v>0</v>
      </c>
      <c r="L433" s="80">
        <f t="shared" ca="1" si="242"/>
        <v>0</v>
      </c>
      <c r="M433" s="80">
        <f t="shared" ca="1" si="243"/>
        <v>0</v>
      </c>
      <c r="N433" s="80">
        <f t="shared" ca="1" si="244"/>
        <v>0</v>
      </c>
      <c r="O433" s="81">
        <f t="shared" ca="1" si="227"/>
        <v>0</v>
      </c>
      <c r="P433" s="79">
        <f t="shared" ca="1" si="228"/>
        <v>0</v>
      </c>
      <c r="Q433" s="35"/>
      <c r="R433">
        <f t="shared" ca="1" si="245"/>
        <v>430</v>
      </c>
      <c r="S433" s="78">
        <f t="shared" ca="1" si="246"/>
        <v>96.32</v>
      </c>
      <c r="T433" s="55">
        <f t="shared" ca="1" si="247"/>
        <v>3.710811547546744E-2</v>
      </c>
      <c r="U433" s="78">
        <f t="shared" ca="1" si="248"/>
        <v>6.1194296757350096E-3</v>
      </c>
      <c r="V433" s="79">
        <f t="shared" ca="1" si="249"/>
        <v>0</v>
      </c>
      <c r="W433" s="79">
        <f t="shared" ca="1" si="229"/>
        <v>0</v>
      </c>
      <c r="X433" s="80">
        <f t="shared" ca="1" si="230"/>
        <v>0</v>
      </c>
      <c r="Y433" s="80">
        <f t="shared" ca="1" si="250"/>
        <v>0</v>
      </c>
      <c r="Z433" s="80">
        <f t="shared" ca="1" si="231"/>
        <v>0</v>
      </c>
      <c r="AA433" s="80">
        <f t="shared" ca="1" si="251"/>
        <v>0</v>
      </c>
      <c r="AB433" s="81">
        <f t="shared" ca="1" si="232"/>
        <v>0</v>
      </c>
      <c r="AC433" s="79">
        <f t="shared" ca="1" si="233"/>
        <v>0</v>
      </c>
      <c r="AD433" s="35"/>
      <c r="AE433" s="62">
        <f t="shared" ca="1" si="234"/>
        <v>0</v>
      </c>
      <c r="AF433" s="62">
        <f t="shared" ca="1" si="235"/>
        <v>0</v>
      </c>
      <c r="AG433" s="35"/>
      <c r="AH433" s="35"/>
      <c r="AR433" s="69">
        <f t="shared" si="252"/>
        <v>36</v>
      </c>
      <c r="AS433" s="70">
        <f t="shared" si="255"/>
        <v>430</v>
      </c>
      <c r="AT433" s="71">
        <f t="shared" si="256"/>
        <v>5.2691958530535023E-2</v>
      </c>
      <c r="AU433" s="72">
        <f t="shared" si="236"/>
        <v>6.8214933659622723E-3</v>
      </c>
      <c r="AV433" s="73">
        <f t="shared" si="253"/>
        <v>1.0068214933659623</v>
      </c>
      <c r="AW433" s="74">
        <f>PRODUCT(AV$4:AV433)</f>
        <v>18.60225606588638</v>
      </c>
    </row>
    <row r="434" spans="5:49">
      <c r="E434">
        <f t="shared" si="254"/>
        <v>431</v>
      </c>
      <c r="F434" s="64">
        <f t="shared" si="237"/>
        <v>96.4</v>
      </c>
      <c r="G434" s="55">
        <f t="shared" si="238"/>
        <v>3.710811547546744E-2</v>
      </c>
      <c r="H434" s="78">
        <f t="shared" si="257"/>
        <v>5.8923491726838324E-3</v>
      </c>
      <c r="I434" s="79">
        <f t="shared" ca="1" si="239"/>
        <v>0</v>
      </c>
      <c r="J434" s="79">
        <f t="shared" ca="1" si="240"/>
        <v>0</v>
      </c>
      <c r="K434" s="80">
        <f t="shared" ca="1" si="241"/>
        <v>0</v>
      </c>
      <c r="L434" s="80">
        <f t="shared" ca="1" si="242"/>
        <v>0</v>
      </c>
      <c r="M434" s="80">
        <f t="shared" ca="1" si="243"/>
        <v>0</v>
      </c>
      <c r="N434" s="80">
        <f t="shared" ca="1" si="244"/>
        <v>0</v>
      </c>
      <c r="O434" s="81">
        <f t="shared" ca="1" si="227"/>
        <v>0</v>
      </c>
      <c r="P434" s="79">
        <f t="shared" ca="1" si="228"/>
        <v>0</v>
      </c>
      <c r="Q434" s="35"/>
      <c r="R434">
        <f t="shared" ca="1" si="245"/>
        <v>431</v>
      </c>
      <c r="S434" s="78">
        <f t="shared" ca="1" si="246"/>
        <v>96.4</v>
      </c>
      <c r="T434" s="55">
        <f t="shared" ca="1" si="247"/>
        <v>3.710811547546744E-2</v>
      </c>
      <c r="U434" s="78">
        <f t="shared" ca="1" si="248"/>
        <v>5.8923491726838324E-3</v>
      </c>
      <c r="V434" s="79">
        <f t="shared" ca="1" si="249"/>
        <v>0</v>
      </c>
      <c r="W434" s="79">
        <f t="shared" ca="1" si="229"/>
        <v>0</v>
      </c>
      <c r="X434" s="80">
        <f t="shared" ca="1" si="230"/>
        <v>0</v>
      </c>
      <c r="Y434" s="80">
        <f t="shared" ca="1" si="250"/>
        <v>0</v>
      </c>
      <c r="Z434" s="80">
        <f t="shared" ca="1" si="231"/>
        <v>0</v>
      </c>
      <c r="AA434" s="80">
        <f t="shared" ca="1" si="251"/>
        <v>0</v>
      </c>
      <c r="AB434" s="81">
        <f t="shared" ca="1" si="232"/>
        <v>0</v>
      </c>
      <c r="AC434" s="79">
        <f t="shared" ca="1" si="233"/>
        <v>0</v>
      </c>
      <c r="AD434" s="35"/>
      <c r="AE434" s="62">
        <f t="shared" ca="1" si="234"/>
        <v>0</v>
      </c>
      <c r="AF434" s="62">
        <f t="shared" ca="1" si="235"/>
        <v>0</v>
      </c>
      <c r="AG434" s="35"/>
      <c r="AH434" s="35"/>
      <c r="AR434" s="69">
        <f t="shared" si="252"/>
        <v>36</v>
      </c>
      <c r="AS434" s="70">
        <f t="shared" si="255"/>
        <v>431</v>
      </c>
      <c r="AT434" s="71">
        <f t="shared" si="256"/>
        <v>5.2332520684979421E-2</v>
      </c>
      <c r="AU434" s="72">
        <f t="shared" si="236"/>
        <v>6.8214933659622723E-3</v>
      </c>
      <c r="AV434" s="73">
        <f t="shared" si="253"/>
        <v>1.0068214933659623</v>
      </c>
      <c r="AW434" s="74">
        <f>PRODUCT(AV$4:AV434)</f>
        <v>18.729151232231754</v>
      </c>
    </row>
    <row r="435" spans="5:49">
      <c r="E435">
        <f t="shared" si="254"/>
        <v>432</v>
      </c>
      <c r="F435" s="64">
        <f t="shared" si="237"/>
        <v>96.48</v>
      </c>
      <c r="G435" s="55">
        <f t="shared" si="238"/>
        <v>3.710811547546744E-2</v>
      </c>
      <c r="H435" s="78">
        <f t="shared" si="257"/>
        <v>5.6736951991621055E-3</v>
      </c>
      <c r="I435" s="79">
        <f t="shared" ca="1" si="239"/>
        <v>0</v>
      </c>
      <c r="J435" s="79">
        <f t="shared" ca="1" si="240"/>
        <v>0</v>
      </c>
      <c r="K435" s="80">
        <f t="shared" ca="1" si="241"/>
        <v>0</v>
      </c>
      <c r="L435" s="80">
        <f t="shared" ca="1" si="242"/>
        <v>0</v>
      </c>
      <c r="M435" s="80">
        <f t="shared" ca="1" si="243"/>
        <v>0</v>
      </c>
      <c r="N435" s="80">
        <f t="shared" ca="1" si="244"/>
        <v>0</v>
      </c>
      <c r="O435" s="81">
        <f t="shared" ca="1" si="227"/>
        <v>0</v>
      </c>
      <c r="P435" s="79">
        <f t="shared" ca="1" si="228"/>
        <v>0</v>
      </c>
      <c r="Q435" s="35"/>
      <c r="R435">
        <f t="shared" ca="1" si="245"/>
        <v>432</v>
      </c>
      <c r="S435" s="78">
        <f t="shared" ca="1" si="246"/>
        <v>96.48</v>
      </c>
      <c r="T435" s="55">
        <f t="shared" ca="1" si="247"/>
        <v>3.710811547546744E-2</v>
      </c>
      <c r="U435" s="78">
        <f t="shared" ca="1" si="248"/>
        <v>5.6736951991621055E-3</v>
      </c>
      <c r="V435" s="79">
        <f t="shared" ca="1" si="249"/>
        <v>0</v>
      </c>
      <c r="W435" s="79">
        <f t="shared" ca="1" si="229"/>
        <v>0</v>
      </c>
      <c r="X435" s="80">
        <f t="shared" ca="1" si="230"/>
        <v>0</v>
      </c>
      <c r="Y435" s="80">
        <f t="shared" ca="1" si="250"/>
        <v>0</v>
      </c>
      <c r="Z435" s="80">
        <f t="shared" ca="1" si="231"/>
        <v>0</v>
      </c>
      <c r="AA435" s="80">
        <f t="shared" ca="1" si="251"/>
        <v>0</v>
      </c>
      <c r="AB435" s="81">
        <f t="shared" ca="1" si="232"/>
        <v>0</v>
      </c>
      <c r="AC435" s="79">
        <f t="shared" ca="1" si="233"/>
        <v>0</v>
      </c>
      <c r="AD435" s="35"/>
      <c r="AE435" s="62">
        <f t="shared" ca="1" si="234"/>
        <v>0</v>
      </c>
      <c r="AF435" s="62">
        <f t="shared" ca="1" si="235"/>
        <v>0</v>
      </c>
      <c r="AG435" s="35"/>
      <c r="AH435" s="35"/>
      <c r="AR435" s="69">
        <f t="shared" si="252"/>
        <v>36</v>
      </c>
      <c r="AS435" s="70">
        <f t="shared" si="255"/>
        <v>432</v>
      </c>
      <c r="AT435" s="71">
        <f t="shared" si="256"/>
        <v>5.1975534742302751E-2</v>
      </c>
      <c r="AU435" s="72">
        <f t="shared" si="236"/>
        <v>6.8214933659622723E-3</v>
      </c>
      <c r="AV435" s="73">
        <f t="shared" si="253"/>
        <v>1.0068214933659623</v>
      </c>
      <c r="AW435" s="74">
        <f>PRODUCT(AV$4:AV435)</f>
        <v>18.856912013112527</v>
      </c>
    </row>
    <row r="436" spans="5:49">
      <c r="E436">
        <f t="shared" si="254"/>
        <v>433</v>
      </c>
      <c r="F436" s="64">
        <f t="shared" si="237"/>
        <v>96.56</v>
      </c>
      <c r="G436" s="55">
        <f t="shared" si="238"/>
        <v>4.0667232332721959E-2</v>
      </c>
      <c r="H436" s="78">
        <f t="shared" si="257"/>
        <v>5.442961718312731E-3</v>
      </c>
      <c r="I436" s="79">
        <f t="shared" ca="1" si="239"/>
        <v>0</v>
      </c>
      <c r="J436" s="79">
        <f t="shared" ca="1" si="240"/>
        <v>0</v>
      </c>
      <c r="K436" s="80">
        <f t="shared" ca="1" si="241"/>
        <v>0</v>
      </c>
      <c r="L436" s="80">
        <f t="shared" ca="1" si="242"/>
        <v>0</v>
      </c>
      <c r="M436" s="80">
        <f t="shared" ca="1" si="243"/>
        <v>0</v>
      </c>
      <c r="N436" s="80">
        <f t="shared" ca="1" si="244"/>
        <v>0</v>
      </c>
      <c r="O436" s="81">
        <f t="shared" ca="1" si="227"/>
        <v>0</v>
      </c>
      <c r="P436" s="79">
        <f t="shared" ca="1" si="228"/>
        <v>0</v>
      </c>
      <c r="Q436" s="35"/>
      <c r="R436">
        <f t="shared" ca="1" si="245"/>
        <v>433</v>
      </c>
      <c r="S436" s="78">
        <f t="shared" ca="1" si="246"/>
        <v>96.56</v>
      </c>
      <c r="T436" s="55">
        <f t="shared" ca="1" si="247"/>
        <v>4.0667232332721959E-2</v>
      </c>
      <c r="U436" s="78">
        <f t="shared" ca="1" si="248"/>
        <v>5.442961718312731E-3</v>
      </c>
      <c r="V436" s="79">
        <f t="shared" ca="1" si="249"/>
        <v>0</v>
      </c>
      <c r="W436" s="79">
        <f t="shared" ca="1" si="229"/>
        <v>0</v>
      </c>
      <c r="X436" s="80">
        <f t="shared" ca="1" si="230"/>
        <v>0</v>
      </c>
      <c r="Y436" s="80">
        <f t="shared" ca="1" si="250"/>
        <v>0</v>
      </c>
      <c r="Z436" s="80">
        <f t="shared" ca="1" si="231"/>
        <v>0</v>
      </c>
      <c r="AA436" s="80">
        <f t="shared" ca="1" si="251"/>
        <v>0</v>
      </c>
      <c r="AB436" s="81">
        <f t="shared" ca="1" si="232"/>
        <v>0</v>
      </c>
      <c r="AC436" s="79">
        <f t="shared" ca="1" si="233"/>
        <v>0</v>
      </c>
      <c r="AD436" s="35"/>
      <c r="AE436" s="62">
        <f t="shared" ca="1" si="234"/>
        <v>0</v>
      </c>
      <c r="AF436" s="62">
        <f t="shared" ca="1" si="235"/>
        <v>0</v>
      </c>
      <c r="AG436" s="35"/>
      <c r="AH436" s="35"/>
      <c r="AR436" s="69">
        <f t="shared" si="252"/>
        <v>37</v>
      </c>
      <c r="AS436" s="70">
        <f t="shared" si="255"/>
        <v>433</v>
      </c>
      <c r="AT436" s="71">
        <f t="shared" si="256"/>
        <v>5.1620983976865792E-2</v>
      </c>
      <c r="AU436" s="72">
        <f t="shared" si="236"/>
        <v>6.8214933659622723E-3</v>
      </c>
      <c r="AV436" s="73">
        <f t="shared" si="253"/>
        <v>1.0068214933659623</v>
      </c>
      <c r="AW436" s="74">
        <f>PRODUCT(AV$4:AV436)</f>
        <v>18.985544313312509</v>
      </c>
    </row>
    <row r="437" spans="5:49">
      <c r="E437">
        <f t="shared" si="254"/>
        <v>434</v>
      </c>
      <c r="F437" s="64">
        <f t="shared" si="237"/>
        <v>96.64</v>
      </c>
      <c r="G437" s="55">
        <f t="shared" si="238"/>
        <v>4.0667232332721959E-2</v>
      </c>
      <c r="H437" s="78">
        <f t="shared" si="257"/>
        <v>5.2216115295359959E-3</v>
      </c>
      <c r="I437" s="79">
        <f t="shared" ca="1" si="239"/>
        <v>0</v>
      </c>
      <c r="J437" s="79">
        <f t="shared" ca="1" si="240"/>
        <v>0</v>
      </c>
      <c r="K437" s="80">
        <f t="shared" ca="1" si="241"/>
        <v>0</v>
      </c>
      <c r="L437" s="80">
        <f t="shared" ca="1" si="242"/>
        <v>0</v>
      </c>
      <c r="M437" s="80">
        <f t="shared" ca="1" si="243"/>
        <v>0</v>
      </c>
      <c r="N437" s="80">
        <f t="shared" ca="1" si="244"/>
        <v>0</v>
      </c>
      <c r="O437" s="81">
        <f t="shared" ca="1" si="227"/>
        <v>0</v>
      </c>
      <c r="P437" s="79">
        <f t="shared" ca="1" si="228"/>
        <v>0</v>
      </c>
      <c r="Q437" s="35"/>
      <c r="R437">
        <f t="shared" ca="1" si="245"/>
        <v>434</v>
      </c>
      <c r="S437" s="78">
        <f t="shared" ca="1" si="246"/>
        <v>96.64</v>
      </c>
      <c r="T437" s="55">
        <f t="shared" ca="1" si="247"/>
        <v>4.0667232332721959E-2</v>
      </c>
      <c r="U437" s="78">
        <f t="shared" ca="1" si="248"/>
        <v>5.2216115295359959E-3</v>
      </c>
      <c r="V437" s="79">
        <f t="shared" ca="1" si="249"/>
        <v>0</v>
      </c>
      <c r="W437" s="79">
        <f t="shared" ca="1" si="229"/>
        <v>0</v>
      </c>
      <c r="X437" s="80">
        <f t="shared" ca="1" si="230"/>
        <v>0</v>
      </c>
      <c r="Y437" s="80">
        <f t="shared" ca="1" si="250"/>
        <v>0</v>
      </c>
      <c r="Z437" s="80">
        <f t="shared" ca="1" si="231"/>
        <v>0</v>
      </c>
      <c r="AA437" s="80">
        <f t="shared" ca="1" si="251"/>
        <v>0</v>
      </c>
      <c r="AB437" s="81">
        <f t="shared" ca="1" si="232"/>
        <v>0</v>
      </c>
      <c r="AC437" s="79">
        <f t="shared" ca="1" si="233"/>
        <v>0</v>
      </c>
      <c r="AD437" s="35"/>
      <c r="AE437" s="62">
        <f t="shared" ca="1" si="234"/>
        <v>0</v>
      </c>
      <c r="AF437" s="62">
        <f t="shared" ca="1" si="235"/>
        <v>0</v>
      </c>
      <c r="AG437" s="35"/>
      <c r="AH437" s="35"/>
      <c r="AR437" s="69">
        <f t="shared" si="252"/>
        <v>37</v>
      </c>
      <c r="AS437" s="70">
        <f t="shared" si="255"/>
        <v>434</v>
      </c>
      <c r="AT437" s="71">
        <f t="shared" si="256"/>
        <v>5.1268851777123155E-2</v>
      </c>
      <c r="AU437" s="72">
        <f t="shared" si="236"/>
        <v>6.8214933659622723E-3</v>
      </c>
      <c r="AV437" s="73">
        <f t="shared" si="253"/>
        <v>1.0068214933659623</v>
      </c>
      <c r="AW437" s="74">
        <f>PRODUCT(AV$4:AV437)</f>
        <v>19.115054077894953</v>
      </c>
    </row>
    <row r="438" spans="5:49">
      <c r="E438">
        <f t="shared" si="254"/>
        <v>435</v>
      </c>
      <c r="F438" s="64">
        <f t="shared" si="237"/>
        <v>96.72</v>
      </c>
      <c r="G438" s="55">
        <f t="shared" si="238"/>
        <v>4.0667232332721959E-2</v>
      </c>
      <c r="H438" s="78">
        <f t="shared" si="257"/>
        <v>5.0092630403131356E-3</v>
      </c>
      <c r="I438" s="79">
        <f t="shared" ca="1" si="239"/>
        <v>0</v>
      </c>
      <c r="J438" s="79">
        <f t="shared" ca="1" si="240"/>
        <v>0</v>
      </c>
      <c r="K438" s="80">
        <f t="shared" ca="1" si="241"/>
        <v>0</v>
      </c>
      <c r="L438" s="80">
        <f t="shared" ca="1" si="242"/>
        <v>0</v>
      </c>
      <c r="M438" s="80">
        <f t="shared" ca="1" si="243"/>
        <v>0</v>
      </c>
      <c r="N438" s="80">
        <f t="shared" ca="1" si="244"/>
        <v>0</v>
      </c>
      <c r="O438" s="81">
        <f t="shared" ca="1" si="227"/>
        <v>0</v>
      </c>
      <c r="P438" s="79">
        <f t="shared" ca="1" si="228"/>
        <v>0</v>
      </c>
      <c r="Q438" s="35"/>
      <c r="R438">
        <f t="shared" ca="1" si="245"/>
        <v>435</v>
      </c>
      <c r="S438" s="78">
        <f t="shared" ca="1" si="246"/>
        <v>96.72</v>
      </c>
      <c r="T438" s="55">
        <f t="shared" ca="1" si="247"/>
        <v>4.0667232332721959E-2</v>
      </c>
      <c r="U438" s="78">
        <f t="shared" ca="1" si="248"/>
        <v>5.0092630403131356E-3</v>
      </c>
      <c r="V438" s="79">
        <f t="shared" ca="1" si="249"/>
        <v>0</v>
      </c>
      <c r="W438" s="79">
        <f t="shared" ca="1" si="229"/>
        <v>0</v>
      </c>
      <c r="X438" s="80">
        <f t="shared" ca="1" si="230"/>
        <v>0</v>
      </c>
      <c r="Y438" s="80">
        <f t="shared" ca="1" si="250"/>
        <v>0</v>
      </c>
      <c r="Z438" s="80">
        <f t="shared" ca="1" si="231"/>
        <v>0</v>
      </c>
      <c r="AA438" s="80">
        <f t="shared" ca="1" si="251"/>
        <v>0</v>
      </c>
      <c r="AB438" s="81">
        <f t="shared" ca="1" si="232"/>
        <v>0</v>
      </c>
      <c r="AC438" s="79">
        <f t="shared" ca="1" si="233"/>
        <v>0</v>
      </c>
      <c r="AD438" s="35"/>
      <c r="AE438" s="62">
        <f t="shared" ca="1" si="234"/>
        <v>0</v>
      </c>
      <c r="AF438" s="62">
        <f t="shared" ca="1" si="235"/>
        <v>0</v>
      </c>
      <c r="AG438" s="35"/>
      <c r="AH438" s="35"/>
      <c r="AR438" s="69">
        <f t="shared" si="252"/>
        <v>37</v>
      </c>
      <c r="AS438" s="70">
        <f t="shared" si="255"/>
        <v>435</v>
      </c>
      <c r="AT438" s="71">
        <f t="shared" si="256"/>
        <v>5.0919121644845008E-2</v>
      </c>
      <c r="AU438" s="72">
        <f t="shared" si="236"/>
        <v>6.8214933659622723E-3</v>
      </c>
      <c r="AV438" s="73">
        <f t="shared" si="253"/>
        <v>1.0068214933659623</v>
      </c>
      <c r="AW438" s="74">
        <f>PRODUCT(AV$4:AV438)</f>
        <v>19.245447292477323</v>
      </c>
    </row>
    <row r="439" spans="5:49">
      <c r="E439">
        <f t="shared" si="254"/>
        <v>436</v>
      </c>
      <c r="F439" s="64">
        <f t="shared" si="237"/>
        <v>96.8</v>
      </c>
      <c r="G439" s="55">
        <f t="shared" si="238"/>
        <v>4.0667232332721959E-2</v>
      </c>
      <c r="H439" s="78">
        <f t="shared" si="257"/>
        <v>4.8055501764370043E-3</v>
      </c>
      <c r="I439" s="79">
        <f t="shared" ca="1" si="239"/>
        <v>0</v>
      </c>
      <c r="J439" s="79">
        <f t="shared" ca="1" si="240"/>
        <v>0</v>
      </c>
      <c r="K439" s="80">
        <f t="shared" ca="1" si="241"/>
        <v>0</v>
      </c>
      <c r="L439" s="80">
        <f t="shared" ca="1" si="242"/>
        <v>0</v>
      </c>
      <c r="M439" s="80">
        <f t="shared" ca="1" si="243"/>
        <v>0</v>
      </c>
      <c r="N439" s="80">
        <f t="shared" ca="1" si="244"/>
        <v>0</v>
      </c>
      <c r="O439" s="81">
        <f t="shared" ca="1" si="227"/>
        <v>0</v>
      </c>
      <c r="P439" s="79">
        <f t="shared" ca="1" si="228"/>
        <v>0</v>
      </c>
      <c r="Q439" s="35"/>
      <c r="R439">
        <f t="shared" ca="1" si="245"/>
        <v>436</v>
      </c>
      <c r="S439" s="78">
        <f t="shared" ca="1" si="246"/>
        <v>96.8</v>
      </c>
      <c r="T439" s="55">
        <f t="shared" ca="1" si="247"/>
        <v>4.0667232332721959E-2</v>
      </c>
      <c r="U439" s="78">
        <f t="shared" ca="1" si="248"/>
        <v>4.8055501764370043E-3</v>
      </c>
      <c r="V439" s="79">
        <f t="shared" ca="1" si="249"/>
        <v>0</v>
      </c>
      <c r="W439" s="79">
        <f t="shared" ca="1" si="229"/>
        <v>0</v>
      </c>
      <c r="X439" s="80">
        <f t="shared" ca="1" si="230"/>
        <v>0</v>
      </c>
      <c r="Y439" s="80">
        <f t="shared" ca="1" si="250"/>
        <v>0</v>
      </c>
      <c r="Z439" s="80">
        <f t="shared" ca="1" si="231"/>
        <v>0</v>
      </c>
      <c r="AA439" s="80">
        <f t="shared" ca="1" si="251"/>
        <v>0</v>
      </c>
      <c r="AB439" s="81">
        <f t="shared" ca="1" si="232"/>
        <v>0</v>
      </c>
      <c r="AC439" s="79">
        <f t="shared" ca="1" si="233"/>
        <v>0</v>
      </c>
      <c r="AD439" s="35"/>
      <c r="AE439" s="62">
        <f t="shared" ca="1" si="234"/>
        <v>0</v>
      </c>
      <c r="AF439" s="62">
        <f t="shared" ca="1" si="235"/>
        <v>0</v>
      </c>
      <c r="AG439" s="35"/>
      <c r="AH439" s="35"/>
      <c r="AR439" s="69">
        <f t="shared" si="252"/>
        <v>37</v>
      </c>
      <c r="AS439" s="70">
        <f t="shared" si="255"/>
        <v>436</v>
      </c>
      <c r="AT439" s="71">
        <f t="shared" si="256"/>
        <v>5.0571777194344074E-2</v>
      </c>
      <c r="AU439" s="72">
        <f t="shared" si="236"/>
        <v>6.8214933659622723E-3</v>
      </c>
      <c r="AV439" s="73">
        <f t="shared" si="253"/>
        <v>1.0068214933659623</v>
      </c>
      <c r="AW439" s="74">
        <f>PRODUCT(AV$4:AV439)</f>
        <v>19.376729983507932</v>
      </c>
    </row>
    <row r="440" spans="5:49">
      <c r="E440">
        <f t="shared" si="254"/>
        <v>437</v>
      </c>
      <c r="F440" s="64">
        <f t="shared" si="237"/>
        <v>96.88</v>
      </c>
      <c r="G440" s="55">
        <f t="shared" si="238"/>
        <v>4.0667232332721959E-2</v>
      </c>
      <c r="H440" s="78">
        <f t="shared" si="257"/>
        <v>4.6101217509252881E-3</v>
      </c>
      <c r="I440" s="79">
        <f t="shared" ca="1" si="239"/>
        <v>0</v>
      </c>
      <c r="J440" s="79">
        <f t="shared" ca="1" si="240"/>
        <v>0</v>
      </c>
      <c r="K440" s="80">
        <f t="shared" ca="1" si="241"/>
        <v>0</v>
      </c>
      <c r="L440" s="80">
        <f t="shared" ca="1" si="242"/>
        <v>0</v>
      </c>
      <c r="M440" s="80">
        <f t="shared" ca="1" si="243"/>
        <v>0</v>
      </c>
      <c r="N440" s="80">
        <f t="shared" ca="1" si="244"/>
        <v>0</v>
      </c>
      <c r="O440" s="81">
        <f t="shared" ca="1" si="227"/>
        <v>0</v>
      </c>
      <c r="P440" s="79">
        <f t="shared" ca="1" si="228"/>
        <v>0</v>
      </c>
      <c r="Q440" s="35"/>
      <c r="R440">
        <f t="shared" ca="1" si="245"/>
        <v>437</v>
      </c>
      <c r="S440" s="78">
        <f t="shared" ca="1" si="246"/>
        <v>96.88</v>
      </c>
      <c r="T440" s="55">
        <f t="shared" ca="1" si="247"/>
        <v>4.0667232332721959E-2</v>
      </c>
      <c r="U440" s="78">
        <f t="shared" ca="1" si="248"/>
        <v>4.6101217509252881E-3</v>
      </c>
      <c r="V440" s="79">
        <f t="shared" ca="1" si="249"/>
        <v>0</v>
      </c>
      <c r="W440" s="79">
        <f t="shared" ca="1" si="229"/>
        <v>0</v>
      </c>
      <c r="X440" s="80">
        <f t="shared" ca="1" si="230"/>
        <v>0</v>
      </c>
      <c r="Y440" s="80">
        <f t="shared" ca="1" si="250"/>
        <v>0</v>
      </c>
      <c r="Z440" s="80">
        <f t="shared" ca="1" si="231"/>
        <v>0</v>
      </c>
      <c r="AA440" s="80">
        <f t="shared" ca="1" si="251"/>
        <v>0</v>
      </c>
      <c r="AB440" s="81">
        <f t="shared" ca="1" si="232"/>
        <v>0</v>
      </c>
      <c r="AC440" s="79">
        <f t="shared" ca="1" si="233"/>
        <v>0</v>
      </c>
      <c r="AD440" s="35"/>
      <c r="AE440" s="62">
        <f t="shared" ca="1" si="234"/>
        <v>0</v>
      </c>
      <c r="AF440" s="62">
        <f t="shared" ca="1" si="235"/>
        <v>0</v>
      </c>
      <c r="AG440" s="35"/>
      <c r="AH440" s="35"/>
      <c r="AR440" s="69">
        <f t="shared" si="252"/>
        <v>37</v>
      </c>
      <c r="AS440" s="70">
        <f t="shared" si="255"/>
        <v>437</v>
      </c>
      <c r="AT440" s="71">
        <f t="shared" si="256"/>
        <v>5.0226802151707932E-2</v>
      </c>
      <c r="AU440" s="72">
        <f t="shared" si="236"/>
        <v>6.8214933659622723E-3</v>
      </c>
      <c r="AV440" s="73">
        <f t="shared" si="253"/>
        <v>1.0068214933659623</v>
      </c>
      <c r="AW440" s="74">
        <f>PRODUCT(AV$4:AV440)</f>
        <v>19.508908218544473</v>
      </c>
    </row>
    <row r="441" spans="5:49">
      <c r="E441">
        <f t="shared" si="254"/>
        <v>438</v>
      </c>
      <c r="F441" s="64">
        <f t="shared" si="237"/>
        <v>96.96</v>
      </c>
      <c r="G441" s="55">
        <f t="shared" si="238"/>
        <v>4.0667232332721959E-2</v>
      </c>
      <c r="H441" s="78">
        <f t="shared" si="257"/>
        <v>4.4226408585982743E-3</v>
      </c>
      <c r="I441" s="79">
        <f t="shared" ca="1" si="239"/>
        <v>0</v>
      </c>
      <c r="J441" s="79">
        <f t="shared" ca="1" si="240"/>
        <v>0</v>
      </c>
      <c r="K441" s="80">
        <f t="shared" ca="1" si="241"/>
        <v>0</v>
      </c>
      <c r="L441" s="80">
        <f t="shared" ca="1" si="242"/>
        <v>0</v>
      </c>
      <c r="M441" s="80">
        <f t="shared" ca="1" si="243"/>
        <v>0</v>
      </c>
      <c r="N441" s="80">
        <f t="shared" ca="1" si="244"/>
        <v>0</v>
      </c>
      <c r="O441" s="81">
        <f t="shared" ca="1" si="227"/>
        <v>0</v>
      </c>
      <c r="P441" s="79">
        <f t="shared" ca="1" si="228"/>
        <v>0</v>
      </c>
      <c r="Q441" s="35"/>
      <c r="R441">
        <f t="shared" ca="1" si="245"/>
        <v>438</v>
      </c>
      <c r="S441" s="78">
        <f t="shared" ca="1" si="246"/>
        <v>96.96</v>
      </c>
      <c r="T441" s="55">
        <f t="shared" ca="1" si="247"/>
        <v>4.0667232332721959E-2</v>
      </c>
      <c r="U441" s="78">
        <f t="shared" ca="1" si="248"/>
        <v>4.4226408585982743E-3</v>
      </c>
      <c r="V441" s="79">
        <f t="shared" ca="1" si="249"/>
        <v>0</v>
      </c>
      <c r="W441" s="79">
        <f t="shared" ca="1" si="229"/>
        <v>0</v>
      </c>
      <c r="X441" s="80">
        <f t="shared" ca="1" si="230"/>
        <v>0</v>
      </c>
      <c r="Y441" s="80">
        <f t="shared" ca="1" si="250"/>
        <v>0</v>
      </c>
      <c r="Z441" s="80">
        <f t="shared" ca="1" si="231"/>
        <v>0</v>
      </c>
      <c r="AA441" s="80">
        <f t="shared" ca="1" si="251"/>
        <v>0</v>
      </c>
      <c r="AB441" s="81">
        <f t="shared" ca="1" si="232"/>
        <v>0</v>
      </c>
      <c r="AC441" s="79">
        <f t="shared" ca="1" si="233"/>
        <v>0</v>
      </c>
      <c r="AD441" s="35"/>
      <c r="AE441" s="62">
        <f t="shared" ca="1" si="234"/>
        <v>0</v>
      </c>
      <c r="AF441" s="62">
        <f t="shared" ca="1" si="235"/>
        <v>0</v>
      </c>
      <c r="AG441" s="35"/>
      <c r="AH441" s="35"/>
      <c r="AR441" s="69">
        <f t="shared" si="252"/>
        <v>37</v>
      </c>
      <c r="AS441" s="70">
        <f t="shared" si="255"/>
        <v>438</v>
      </c>
      <c r="AT441" s="71">
        <f t="shared" si="256"/>
        <v>4.9884180354036557E-2</v>
      </c>
      <c r="AU441" s="72">
        <f t="shared" si="236"/>
        <v>6.8214933659622723E-3</v>
      </c>
      <c r="AV441" s="73">
        <f t="shared" si="253"/>
        <v>1.0068214933659623</v>
      </c>
      <c r="AW441" s="74">
        <f>PRODUCT(AV$4:AV441)</f>
        <v>19.641988106534441</v>
      </c>
    </row>
    <row r="442" spans="5:49">
      <c r="E442">
        <f t="shared" si="254"/>
        <v>439</v>
      </c>
      <c r="F442" s="64">
        <f t="shared" si="237"/>
        <v>97.04</v>
      </c>
      <c r="G442" s="55">
        <f t="shared" si="238"/>
        <v>4.0667232332721959E-2</v>
      </c>
      <c r="H442" s="78">
        <f t="shared" si="257"/>
        <v>4.2427842952774695E-3</v>
      </c>
      <c r="I442" s="79">
        <f t="shared" ca="1" si="239"/>
        <v>0</v>
      </c>
      <c r="J442" s="79">
        <f t="shared" ca="1" si="240"/>
        <v>0</v>
      </c>
      <c r="K442" s="80">
        <f t="shared" ca="1" si="241"/>
        <v>0</v>
      </c>
      <c r="L442" s="80">
        <f t="shared" ca="1" si="242"/>
        <v>0</v>
      </c>
      <c r="M442" s="80">
        <f t="shared" ca="1" si="243"/>
        <v>0</v>
      </c>
      <c r="N442" s="80">
        <f t="shared" ca="1" si="244"/>
        <v>0</v>
      </c>
      <c r="O442" s="81">
        <f t="shared" ca="1" si="227"/>
        <v>0</v>
      </c>
      <c r="P442" s="79">
        <f t="shared" ca="1" si="228"/>
        <v>0</v>
      </c>
      <c r="Q442" s="35"/>
      <c r="R442">
        <f t="shared" ca="1" si="245"/>
        <v>439</v>
      </c>
      <c r="S442" s="78">
        <f t="shared" ca="1" si="246"/>
        <v>97.04</v>
      </c>
      <c r="T442" s="55">
        <f t="shared" ca="1" si="247"/>
        <v>4.0667232332721959E-2</v>
      </c>
      <c r="U442" s="78">
        <f t="shared" ca="1" si="248"/>
        <v>4.2427842952774695E-3</v>
      </c>
      <c r="V442" s="79">
        <f t="shared" ca="1" si="249"/>
        <v>0</v>
      </c>
      <c r="W442" s="79">
        <f t="shared" ca="1" si="229"/>
        <v>0</v>
      </c>
      <c r="X442" s="80">
        <f t="shared" ca="1" si="230"/>
        <v>0</v>
      </c>
      <c r="Y442" s="80">
        <f t="shared" ca="1" si="250"/>
        <v>0</v>
      </c>
      <c r="Z442" s="80">
        <f t="shared" ca="1" si="231"/>
        <v>0</v>
      </c>
      <c r="AA442" s="80">
        <f t="shared" ca="1" si="251"/>
        <v>0</v>
      </c>
      <c r="AB442" s="81">
        <f t="shared" ca="1" si="232"/>
        <v>0</v>
      </c>
      <c r="AC442" s="79">
        <f t="shared" ca="1" si="233"/>
        <v>0</v>
      </c>
      <c r="AD442" s="35"/>
      <c r="AE442" s="62">
        <f t="shared" ca="1" si="234"/>
        <v>0</v>
      </c>
      <c r="AF442" s="62">
        <f t="shared" ca="1" si="235"/>
        <v>0</v>
      </c>
      <c r="AG442" s="35"/>
      <c r="AH442" s="35"/>
      <c r="AR442" s="69">
        <f t="shared" si="252"/>
        <v>37</v>
      </c>
      <c r="AS442" s="70">
        <f t="shared" si="255"/>
        <v>439</v>
      </c>
      <c r="AT442" s="71">
        <f t="shared" si="256"/>
        <v>4.9543895748685028E-2</v>
      </c>
      <c r="AU442" s="72">
        <f t="shared" si="236"/>
        <v>6.8214933659622723E-3</v>
      </c>
      <c r="AV442" s="73">
        <f t="shared" si="253"/>
        <v>1.0068214933659623</v>
      </c>
      <c r="AW442" s="74">
        <f>PRODUCT(AV$4:AV442)</f>
        <v>19.775975798097477</v>
      </c>
    </row>
    <row r="443" spans="5:49">
      <c r="E443">
        <f t="shared" si="254"/>
        <v>440</v>
      </c>
      <c r="F443" s="64">
        <f t="shared" si="237"/>
        <v>97.12</v>
      </c>
      <c r="G443" s="55">
        <f t="shared" si="238"/>
        <v>4.0667232332721959E-2</v>
      </c>
      <c r="H443" s="78">
        <f t="shared" si="257"/>
        <v>4.0702420006037965E-3</v>
      </c>
      <c r="I443" s="79">
        <f t="shared" ca="1" si="239"/>
        <v>0</v>
      </c>
      <c r="J443" s="79">
        <f t="shared" ca="1" si="240"/>
        <v>0</v>
      </c>
      <c r="K443" s="80">
        <f t="shared" ca="1" si="241"/>
        <v>0</v>
      </c>
      <c r="L443" s="80">
        <f t="shared" ca="1" si="242"/>
        <v>0</v>
      </c>
      <c r="M443" s="80">
        <f t="shared" ca="1" si="243"/>
        <v>0</v>
      </c>
      <c r="N443" s="80">
        <f t="shared" ca="1" si="244"/>
        <v>0</v>
      </c>
      <c r="O443" s="81">
        <f t="shared" ca="1" si="227"/>
        <v>0</v>
      </c>
      <c r="P443" s="79">
        <f t="shared" ca="1" si="228"/>
        <v>0</v>
      </c>
      <c r="Q443" s="35"/>
      <c r="R443">
        <f t="shared" ca="1" si="245"/>
        <v>440</v>
      </c>
      <c r="S443" s="78">
        <f t="shared" ca="1" si="246"/>
        <v>97.12</v>
      </c>
      <c r="T443" s="55">
        <f t="shared" ca="1" si="247"/>
        <v>4.0667232332721959E-2</v>
      </c>
      <c r="U443" s="78">
        <f t="shared" ca="1" si="248"/>
        <v>4.0702420006037965E-3</v>
      </c>
      <c r="V443" s="79">
        <f t="shared" ca="1" si="249"/>
        <v>0</v>
      </c>
      <c r="W443" s="79">
        <f t="shared" ca="1" si="229"/>
        <v>0</v>
      </c>
      <c r="X443" s="80">
        <f t="shared" ca="1" si="230"/>
        <v>0</v>
      </c>
      <c r="Y443" s="80">
        <f t="shared" ca="1" si="250"/>
        <v>0</v>
      </c>
      <c r="Z443" s="80">
        <f t="shared" ca="1" si="231"/>
        <v>0</v>
      </c>
      <c r="AA443" s="80">
        <f t="shared" ca="1" si="251"/>
        <v>0</v>
      </c>
      <c r="AB443" s="81">
        <f t="shared" ca="1" si="232"/>
        <v>0</v>
      </c>
      <c r="AC443" s="79">
        <f t="shared" ca="1" si="233"/>
        <v>0</v>
      </c>
      <c r="AD443" s="35"/>
      <c r="AE443" s="62">
        <f t="shared" ca="1" si="234"/>
        <v>0</v>
      </c>
      <c r="AF443" s="62">
        <f t="shared" ca="1" si="235"/>
        <v>0</v>
      </c>
      <c r="AG443" s="35"/>
      <c r="AH443" s="35"/>
      <c r="AR443" s="69">
        <f t="shared" si="252"/>
        <v>37</v>
      </c>
      <c r="AS443" s="70">
        <f t="shared" si="255"/>
        <v>440</v>
      </c>
      <c r="AT443" s="71">
        <f t="shared" si="256"/>
        <v>4.9205932392511448E-2</v>
      </c>
      <c r="AU443" s="72">
        <f t="shared" si="236"/>
        <v>6.8214933659622723E-3</v>
      </c>
      <c r="AV443" s="73">
        <f t="shared" si="253"/>
        <v>1.0068214933659623</v>
      </c>
      <c r="AW443" s="74">
        <f>PRODUCT(AV$4:AV443)</f>
        <v>19.910877485809628</v>
      </c>
    </row>
    <row r="444" spans="5:49">
      <c r="E444">
        <f t="shared" si="254"/>
        <v>441</v>
      </c>
      <c r="F444" s="64">
        <f t="shared" si="237"/>
        <v>97.2</v>
      </c>
      <c r="G444" s="55">
        <f t="shared" si="238"/>
        <v>4.0667232332721959E-2</v>
      </c>
      <c r="H444" s="78">
        <f t="shared" si="257"/>
        <v>3.904716523514839E-3</v>
      </c>
      <c r="I444" s="79">
        <f t="shared" ca="1" si="239"/>
        <v>0</v>
      </c>
      <c r="J444" s="79">
        <f t="shared" ca="1" si="240"/>
        <v>0</v>
      </c>
      <c r="K444" s="80">
        <f t="shared" ca="1" si="241"/>
        <v>0</v>
      </c>
      <c r="L444" s="80">
        <f t="shared" ca="1" si="242"/>
        <v>0</v>
      </c>
      <c r="M444" s="80">
        <f t="shared" ca="1" si="243"/>
        <v>0</v>
      </c>
      <c r="N444" s="80">
        <f t="shared" ca="1" si="244"/>
        <v>0</v>
      </c>
      <c r="O444" s="81">
        <f t="shared" ca="1" si="227"/>
        <v>0</v>
      </c>
      <c r="P444" s="79">
        <f t="shared" ca="1" si="228"/>
        <v>0</v>
      </c>
      <c r="Q444" s="35"/>
      <c r="R444">
        <f t="shared" ca="1" si="245"/>
        <v>441</v>
      </c>
      <c r="S444" s="78">
        <f t="shared" ca="1" si="246"/>
        <v>97.2</v>
      </c>
      <c r="T444" s="55">
        <f t="shared" ca="1" si="247"/>
        <v>4.0667232332721959E-2</v>
      </c>
      <c r="U444" s="78">
        <f t="shared" ca="1" si="248"/>
        <v>3.904716523514839E-3</v>
      </c>
      <c r="V444" s="79">
        <f t="shared" ca="1" si="249"/>
        <v>0</v>
      </c>
      <c r="W444" s="79">
        <f t="shared" ca="1" si="229"/>
        <v>0</v>
      </c>
      <c r="X444" s="80">
        <f t="shared" ca="1" si="230"/>
        <v>0</v>
      </c>
      <c r="Y444" s="80">
        <f t="shared" ca="1" si="250"/>
        <v>0</v>
      </c>
      <c r="Z444" s="80">
        <f t="shared" ca="1" si="231"/>
        <v>0</v>
      </c>
      <c r="AA444" s="80">
        <f t="shared" ca="1" si="251"/>
        <v>0</v>
      </c>
      <c r="AB444" s="81">
        <f t="shared" ca="1" si="232"/>
        <v>0</v>
      </c>
      <c r="AC444" s="79">
        <f t="shared" ca="1" si="233"/>
        <v>0</v>
      </c>
      <c r="AD444" s="35"/>
      <c r="AE444" s="62">
        <f t="shared" ca="1" si="234"/>
        <v>0</v>
      </c>
      <c r="AF444" s="62">
        <f t="shared" ca="1" si="235"/>
        <v>0</v>
      </c>
      <c r="AG444" s="35"/>
      <c r="AH444" s="35"/>
      <c r="AR444" s="69">
        <f t="shared" si="252"/>
        <v>37</v>
      </c>
      <c r="AS444" s="70">
        <f t="shared" si="255"/>
        <v>441</v>
      </c>
      <c r="AT444" s="71">
        <f t="shared" si="256"/>
        <v>4.8870274451129944E-2</v>
      </c>
      <c r="AU444" s="72">
        <f t="shared" si="236"/>
        <v>6.8214933659622723E-3</v>
      </c>
      <c r="AV444" s="73">
        <f t="shared" si="253"/>
        <v>1.0068214933659623</v>
      </c>
      <c r="AW444" s="74">
        <f>PRODUCT(AV$4:AV444)</f>
        <v>20.046699404489566</v>
      </c>
    </row>
    <row r="445" spans="5:49">
      <c r="E445">
        <f t="shared" si="254"/>
        <v>442</v>
      </c>
      <c r="F445" s="64">
        <f t="shared" si="237"/>
        <v>97.28</v>
      </c>
      <c r="G445" s="55">
        <f t="shared" si="238"/>
        <v>4.0667232332721959E-2</v>
      </c>
      <c r="H445" s="78">
        <f t="shared" si="257"/>
        <v>3.7459225094596425E-3</v>
      </c>
      <c r="I445" s="79">
        <f t="shared" ca="1" si="239"/>
        <v>0</v>
      </c>
      <c r="J445" s="79">
        <f t="shared" ca="1" si="240"/>
        <v>0</v>
      </c>
      <c r="K445" s="80">
        <f t="shared" ca="1" si="241"/>
        <v>0</v>
      </c>
      <c r="L445" s="80">
        <f t="shared" ca="1" si="242"/>
        <v>0</v>
      </c>
      <c r="M445" s="80">
        <f t="shared" ca="1" si="243"/>
        <v>0</v>
      </c>
      <c r="N445" s="80">
        <f t="shared" ca="1" si="244"/>
        <v>0</v>
      </c>
      <c r="O445" s="81">
        <f t="shared" ca="1" si="227"/>
        <v>0</v>
      </c>
      <c r="P445" s="79">
        <f t="shared" ca="1" si="228"/>
        <v>0</v>
      </c>
      <c r="Q445" s="35"/>
      <c r="R445">
        <f t="shared" ca="1" si="245"/>
        <v>442</v>
      </c>
      <c r="S445" s="78">
        <f t="shared" ca="1" si="246"/>
        <v>97.28</v>
      </c>
      <c r="T445" s="55">
        <f t="shared" ca="1" si="247"/>
        <v>4.0667232332721959E-2</v>
      </c>
      <c r="U445" s="78">
        <f t="shared" ca="1" si="248"/>
        <v>3.7459225094596425E-3</v>
      </c>
      <c r="V445" s="79">
        <f t="shared" ca="1" si="249"/>
        <v>0</v>
      </c>
      <c r="W445" s="79">
        <f t="shared" ca="1" si="229"/>
        <v>0</v>
      </c>
      <c r="X445" s="80">
        <f t="shared" ca="1" si="230"/>
        <v>0</v>
      </c>
      <c r="Y445" s="80">
        <f t="shared" ca="1" si="250"/>
        <v>0</v>
      </c>
      <c r="Z445" s="80">
        <f t="shared" ca="1" si="231"/>
        <v>0</v>
      </c>
      <c r="AA445" s="80">
        <f t="shared" ca="1" si="251"/>
        <v>0</v>
      </c>
      <c r="AB445" s="81">
        <f t="shared" ca="1" si="232"/>
        <v>0</v>
      </c>
      <c r="AC445" s="79">
        <f t="shared" ca="1" si="233"/>
        <v>0</v>
      </c>
      <c r="AD445" s="35"/>
      <c r="AE445" s="62">
        <f t="shared" ca="1" si="234"/>
        <v>0</v>
      </c>
      <c r="AF445" s="62">
        <f t="shared" ca="1" si="235"/>
        <v>0</v>
      </c>
      <c r="AG445" s="35"/>
      <c r="AH445" s="35"/>
      <c r="AR445" s="69">
        <f t="shared" si="252"/>
        <v>37</v>
      </c>
      <c r="AS445" s="70">
        <f t="shared" si="255"/>
        <v>442</v>
      </c>
      <c r="AT445" s="71">
        <f t="shared" si="256"/>
        <v>4.8536906198168805E-2</v>
      </c>
      <c r="AU445" s="72">
        <f t="shared" si="236"/>
        <v>6.8214933659622723E-3</v>
      </c>
      <c r="AV445" s="73">
        <f t="shared" si="253"/>
        <v>1.0068214933659623</v>
      </c>
      <c r="AW445" s="74">
        <f>PRODUCT(AV$4:AV445)</f>
        <v>20.183447831486731</v>
      </c>
    </row>
    <row r="446" spans="5:49">
      <c r="E446">
        <f t="shared" si="254"/>
        <v>443</v>
      </c>
      <c r="F446" s="64">
        <f t="shared" si="237"/>
        <v>97.36</v>
      </c>
      <c r="G446" s="55">
        <f t="shared" si="238"/>
        <v>4.0667232332721959E-2</v>
      </c>
      <c r="H446" s="78">
        <f t="shared" si="257"/>
        <v>3.5935862084670745E-3</v>
      </c>
      <c r="I446" s="79">
        <f t="shared" ca="1" si="239"/>
        <v>0</v>
      </c>
      <c r="J446" s="79">
        <f t="shared" ca="1" si="240"/>
        <v>0</v>
      </c>
      <c r="K446" s="80">
        <f t="shared" ca="1" si="241"/>
        <v>0</v>
      </c>
      <c r="L446" s="80">
        <f t="shared" ca="1" si="242"/>
        <v>0</v>
      </c>
      <c r="M446" s="80">
        <f t="shared" ca="1" si="243"/>
        <v>0</v>
      </c>
      <c r="N446" s="80">
        <f t="shared" ca="1" si="244"/>
        <v>0</v>
      </c>
      <c r="O446" s="81">
        <f t="shared" ca="1" si="227"/>
        <v>0</v>
      </c>
      <c r="P446" s="79">
        <f t="shared" ca="1" si="228"/>
        <v>0</v>
      </c>
      <c r="Q446" s="35"/>
      <c r="R446">
        <f t="shared" ca="1" si="245"/>
        <v>443</v>
      </c>
      <c r="S446" s="78">
        <f t="shared" ca="1" si="246"/>
        <v>97.36</v>
      </c>
      <c r="T446" s="55">
        <f t="shared" ca="1" si="247"/>
        <v>4.0667232332721959E-2</v>
      </c>
      <c r="U446" s="78">
        <f t="shared" ca="1" si="248"/>
        <v>3.5935862084670745E-3</v>
      </c>
      <c r="V446" s="79">
        <f t="shared" ca="1" si="249"/>
        <v>0</v>
      </c>
      <c r="W446" s="79">
        <f t="shared" ca="1" si="229"/>
        <v>0</v>
      </c>
      <c r="X446" s="80">
        <f t="shared" ca="1" si="230"/>
        <v>0</v>
      </c>
      <c r="Y446" s="80">
        <f t="shared" ca="1" si="250"/>
        <v>0</v>
      </c>
      <c r="Z446" s="80">
        <f t="shared" ca="1" si="231"/>
        <v>0</v>
      </c>
      <c r="AA446" s="80">
        <f t="shared" ca="1" si="251"/>
        <v>0</v>
      </c>
      <c r="AB446" s="81">
        <f t="shared" ca="1" si="232"/>
        <v>0</v>
      </c>
      <c r="AC446" s="79">
        <f t="shared" ca="1" si="233"/>
        <v>0</v>
      </c>
      <c r="AD446" s="35"/>
      <c r="AE446" s="62">
        <f t="shared" ca="1" si="234"/>
        <v>0</v>
      </c>
      <c r="AF446" s="62">
        <f t="shared" ca="1" si="235"/>
        <v>0</v>
      </c>
      <c r="AG446" s="35"/>
      <c r="AH446" s="35"/>
      <c r="AR446" s="69">
        <f t="shared" si="252"/>
        <v>37</v>
      </c>
      <c r="AS446" s="70">
        <f t="shared" si="255"/>
        <v>443</v>
      </c>
      <c r="AT446" s="71">
        <f t="shared" si="256"/>
        <v>4.8205812014533667E-2</v>
      </c>
      <c r="AU446" s="72">
        <f t="shared" si="236"/>
        <v>6.8214933659622723E-3</v>
      </c>
      <c r="AV446" s="73">
        <f t="shared" si="253"/>
        <v>1.0068214933659623</v>
      </c>
      <c r="AW446" s="74">
        <f>PRODUCT(AV$4:AV446)</f>
        <v>20.321129086971464</v>
      </c>
    </row>
    <row r="447" spans="5:49">
      <c r="E447">
        <f t="shared" si="254"/>
        <v>444</v>
      </c>
      <c r="F447" s="64">
        <f t="shared" si="237"/>
        <v>97.44</v>
      </c>
      <c r="G447" s="55">
        <f t="shared" si="238"/>
        <v>4.0667232332721959E-2</v>
      </c>
      <c r="H447" s="78">
        <f t="shared" si="257"/>
        <v>3.4474450032196784E-3</v>
      </c>
      <c r="I447" s="79">
        <f t="shared" ca="1" si="239"/>
        <v>0</v>
      </c>
      <c r="J447" s="79">
        <f t="shared" ca="1" si="240"/>
        <v>0</v>
      </c>
      <c r="K447" s="80">
        <f t="shared" ca="1" si="241"/>
        <v>0</v>
      </c>
      <c r="L447" s="80">
        <f t="shared" ca="1" si="242"/>
        <v>0</v>
      </c>
      <c r="M447" s="80">
        <f t="shared" ca="1" si="243"/>
        <v>0</v>
      </c>
      <c r="N447" s="80">
        <f t="shared" ca="1" si="244"/>
        <v>0</v>
      </c>
      <c r="O447" s="81">
        <f t="shared" ca="1" si="227"/>
        <v>0</v>
      </c>
      <c r="P447" s="79">
        <f t="shared" ca="1" si="228"/>
        <v>0</v>
      </c>
      <c r="Q447" s="35"/>
      <c r="R447">
        <f t="shared" ca="1" si="245"/>
        <v>444</v>
      </c>
      <c r="S447" s="78">
        <f t="shared" ca="1" si="246"/>
        <v>97.44</v>
      </c>
      <c r="T447" s="55">
        <f t="shared" ca="1" si="247"/>
        <v>4.0667232332721959E-2</v>
      </c>
      <c r="U447" s="78">
        <f t="shared" ca="1" si="248"/>
        <v>3.4474450032196784E-3</v>
      </c>
      <c r="V447" s="79">
        <f t="shared" ca="1" si="249"/>
        <v>0</v>
      </c>
      <c r="W447" s="79">
        <f t="shared" ca="1" si="229"/>
        <v>0</v>
      </c>
      <c r="X447" s="80">
        <f t="shared" ca="1" si="230"/>
        <v>0</v>
      </c>
      <c r="Y447" s="80">
        <f t="shared" ca="1" si="250"/>
        <v>0</v>
      </c>
      <c r="Z447" s="80">
        <f t="shared" ca="1" si="231"/>
        <v>0</v>
      </c>
      <c r="AA447" s="80">
        <f t="shared" ca="1" si="251"/>
        <v>0</v>
      </c>
      <c r="AB447" s="81">
        <f t="shared" ca="1" si="232"/>
        <v>0</v>
      </c>
      <c r="AC447" s="79">
        <f t="shared" ca="1" si="233"/>
        <v>0</v>
      </c>
      <c r="AD447" s="35"/>
      <c r="AE447" s="62">
        <f t="shared" ca="1" si="234"/>
        <v>0</v>
      </c>
      <c r="AF447" s="62">
        <f t="shared" ca="1" si="235"/>
        <v>0</v>
      </c>
      <c r="AG447" s="35"/>
      <c r="AH447" s="35"/>
      <c r="AR447" s="69">
        <f t="shared" si="252"/>
        <v>37</v>
      </c>
      <c r="AS447" s="70">
        <f t="shared" si="255"/>
        <v>444</v>
      </c>
      <c r="AT447" s="71">
        <f t="shared" si="256"/>
        <v>4.7876976387675699E-2</v>
      </c>
      <c r="AU447" s="72">
        <f t="shared" si="236"/>
        <v>6.8214933659622723E-3</v>
      </c>
      <c r="AV447" s="73">
        <f t="shared" si="253"/>
        <v>1.0068214933659623</v>
      </c>
      <c r="AW447" s="74">
        <f>PRODUCT(AV$4:AV447)</f>
        <v>20.459749534227104</v>
      </c>
    </row>
    <row r="448" spans="5:49">
      <c r="E448">
        <f t="shared" si="254"/>
        <v>445</v>
      </c>
      <c r="F448" s="64">
        <f t="shared" si="237"/>
        <v>97.52</v>
      </c>
      <c r="G448" s="55">
        <f t="shared" si="238"/>
        <v>4.4574366695104062E-2</v>
      </c>
      <c r="H448" s="78">
        <f t="shared" si="257"/>
        <v>3.2937773254849601E-3</v>
      </c>
      <c r="I448" s="79">
        <f t="shared" ca="1" si="239"/>
        <v>0</v>
      </c>
      <c r="J448" s="79">
        <f t="shared" ca="1" si="240"/>
        <v>0</v>
      </c>
      <c r="K448" s="80">
        <f t="shared" ca="1" si="241"/>
        <v>0</v>
      </c>
      <c r="L448" s="80">
        <f t="shared" ca="1" si="242"/>
        <v>0</v>
      </c>
      <c r="M448" s="80">
        <f t="shared" ca="1" si="243"/>
        <v>0</v>
      </c>
      <c r="N448" s="80">
        <f t="shared" ca="1" si="244"/>
        <v>0</v>
      </c>
      <c r="O448" s="81">
        <f t="shared" ca="1" si="227"/>
        <v>0</v>
      </c>
      <c r="P448" s="79">
        <f t="shared" ca="1" si="228"/>
        <v>0</v>
      </c>
      <c r="Q448" s="35"/>
      <c r="R448">
        <f t="shared" ca="1" si="245"/>
        <v>445</v>
      </c>
      <c r="S448" s="78">
        <f t="shared" ca="1" si="246"/>
        <v>97.52</v>
      </c>
      <c r="T448" s="55">
        <f t="shared" ca="1" si="247"/>
        <v>4.4574366695104062E-2</v>
      </c>
      <c r="U448" s="78">
        <f t="shared" ca="1" si="248"/>
        <v>3.2937773254849601E-3</v>
      </c>
      <c r="V448" s="79">
        <f t="shared" ca="1" si="249"/>
        <v>0</v>
      </c>
      <c r="W448" s="79">
        <f t="shared" ca="1" si="229"/>
        <v>0</v>
      </c>
      <c r="X448" s="80">
        <f t="shared" ca="1" si="230"/>
        <v>0</v>
      </c>
      <c r="Y448" s="80">
        <f t="shared" ca="1" si="250"/>
        <v>0</v>
      </c>
      <c r="Z448" s="80">
        <f t="shared" ca="1" si="231"/>
        <v>0</v>
      </c>
      <c r="AA448" s="80">
        <f t="shared" ca="1" si="251"/>
        <v>0</v>
      </c>
      <c r="AB448" s="81">
        <f t="shared" ca="1" si="232"/>
        <v>0</v>
      </c>
      <c r="AC448" s="79">
        <f t="shared" ca="1" si="233"/>
        <v>0</v>
      </c>
      <c r="AD448" s="35"/>
      <c r="AE448" s="62">
        <f t="shared" ca="1" si="234"/>
        <v>0</v>
      </c>
      <c r="AF448" s="62">
        <f t="shared" ca="1" si="235"/>
        <v>0</v>
      </c>
      <c r="AG448" s="35"/>
      <c r="AH448" s="35"/>
      <c r="AR448" s="69">
        <f t="shared" si="252"/>
        <v>38</v>
      </c>
      <c r="AS448" s="70">
        <f t="shared" si="255"/>
        <v>445</v>
      </c>
      <c r="AT448" s="71">
        <f t="shared" si="256"/>
        <v>4.7550383910864837E-2</v>
      </c>
      <c r="AU448" s="72">
        <f t="shared" si="236"/>
        <v>6.8214933659622723E-3</v>
      </c>
      <c r="AV448" s="73">
        <f t="shared" si="253"/>
        <v>1.0068214933659623</v>
      </c>
      <c r="AW448" s="74">
        <f>PRODUCT(AV$4:AV448)</f>
        <v>20.599315579944083</v>
      </c>
    </row>
    <row r="449" spans="5:49">
      <c r="E449">
        <f t="shared" si="254"/>
        <v>446</v>
      </c>
      <c r="F449" s="64">
        <f t="shared" si="237"/>
        <v>97.6</v>
      </c>
      <c r="G449" s="55">
        <f t="shared" si="238"/>
        <v>4.4574366695104062E-2</v>
      </c>
      <c r="H449" s="78">
        <f t="shared" si="257"/>
        <v>3.1469592871667743E-3</v>
      </c>
      <c r="I449" s="79">
        <f t="shared" ca="1" si="239"/>
        <v>0</v>
      </c>
      <c r="J449" s="79">
        <f t="shared" ca="1" si="240"/>
        <v>0</v>
      </c>
      <c r="K449" s="80">
        <f t="shared" ca="1" si="241"/>
        <v>0</v>
      </c>
      <c r="L449" s="80">
        <f t="shared" ca="1" si="242"/>
        <v>0</v>
      </c>
      <c r="M449" s="80">
        <f t="shared" ca="1" si="243"/>
        <v>0</v>
      </c>
      <c r="N449" s="80">
        <f t="shared" ca="1" si="244"/>
        <v>0</v>
      </c>
      <c r="O449" s="81">
        <f t="shared" ca="1" si="227"/>
        <v>0</v>
      </c>
      <c r="P449" s="79">
        <f t="shared" ca="1" si="228"/>
        <v>0</v>
      </c>
      <c r="Q449" s="35"/>
      <c r="R449">
        <f t="shared" ca="1" si="245"/>
        <v>446</v>
      </c>
      <c r="S449" s="78">
        <f t="shared" ca="1" si="246"/>
        <v>97.6</v>
      </c>
      <c r="T449" s="55">
        <f t="shared" ca="1" si="247"/>
        <v>4.4574366695104062E-2</v>
      </c>
      <c r="U449" s="78">
        <f t="shared" ca="1" si="248"/>
        <v>3.1469592871667743E-3</v>
      </c>
      <c r="V449" s="79">
        <f t="shared" ca="1" si="249"/>
        <v>0</v>
      </c>
      <c r="W449" s="79">
        <f t="shared" ca="1" si="229"/>
        <v>0</v>
      </c>
      <c r="X449" s="80">
        <f t="shared" ca="1" si="230"/>
        <v>0</v>
      </c>
      <c r="Y449" s="80">
        <f t="shared" ca="1" si="250"/>
        <v>0</v>
      </c>
      <c r="Z449" s="80">
        <f t="shared" ca="1" si="231"/>
        <v>0</v>
      </c>
      <c r="AA449" s="80">
        <f t="shared" ca="1" si="251"/>
        <v>0</v>
      </c>
      <c r="AB449" s="81">
        <f t="shared" ca="1" si="232"/>
        <v>0</v>
      </c>
      <c r="AC449" s="79">
        <f t="shared" ca="1" si="233"/>
        <v>0</v>
      </c>
      <c r="AD449" s="35"/>
      <c r="AE449" s="62">
        <f t="shared" ca="1" si="234"/>
        <v>0</v>
      </c>
      <c r="AF449" s="62">
        <f t="shared" ca="1" si="235"/>
        <v>0</v>
      </c>
      <c r="AG449" s="35"/>
      <c r="AH449" s="35"/>
      <c r="AR449" s="69">
        <f t="shared" si="252"/>
        <v>38</v>
      </c>
      <c r="AS449" s="70">
        <f t="shared" si="255"/>
        <v>446</v>
      </c>
      <c r="AT449" s="71">
        <f t="shared" si="256"/>
        <v>4.7226019282467911E-2</v>
      </c>
      <c r="AU449" s="72">
        <f t="shared" si="236"/>
        <v>6.8214933659622723E-3</v>
      </c>
      <c r="AV449" s="73">
        <f t="shared" si="253"/>
        <v>1.0068214933659623</v>
      </c>
      <c r="AW449" s="74">
        <f>PRODUCT(AV$4:AV449)</f>
        <v>20.739833674516035</v>
      </c>
    </row>
    <row r="450" spans="5:49">
      <c r="E450">
        <f t="shared" si="254"/>
        <v>447</v>
      </c>
      <c r="F450" s="64">
        <f t="shared" si="237"/>
        <v>97.68</v>
      </c>
      <c r="G450" s="55">
        <f t="shared" si="238"/>
        <v>4.4574366695104062E-2</v>
      </c>
      <c r="H450" s="78">
        <f t="shared" si="257"/>
        <v>3.0066855699260393E-3</v>
      </c>
      <c r="I450" s="79">
        <f t="shared" ca="1" si="239"/>
        <v>0</v>
      </c>
      <c r="J450" s="79">
        <f t="shared" ca="1" si="240"/>
        <v>0</v>
      </c>
      <c r="K450" s="80">
        <f t="shared" ca="1" si="241"/>
        <v>0</v>
      </c>
      <c r="L450" s="80">
        <f t="shared" ca="1" si="242"/>
        <v>0</v>
      </c>
      <c r="M450" s="80">
        <f t="shared" ca="1" si="243"/>
        <v>0</v>
      </c>
      <c r="N450" s="80">
        <f t="shared" ca="1" si="244"/>
        <v>0</v>
      </c>
      <c r="O450" s="81">
        <f t="shared" ca="1" si="227"/>
        <v>0</v>
      </c>
      <c r="P450" s="79">
        <f t="shared" ca="1" si="228"/>
        <v>0</v>
      </c>
      <c r="Q450" s="35"/>
      <c r="R450">
        <f t="shared" ca="1" si="245"/>
        <v>447</v>
      </c>
      <c r="S450" s="78">
        <f t="shared" ca="1" si="246"/>
        <v>97.68</v>
      </c>
      <c r="T450" s="55">
        <f t="shared" ca="1" si="247"/>
        <v>4.4574366695104062E-2</v>
      </c>
      <c r="U450" s="78">
        <f t="shared" ca="1" si="248"/>
        <v>3.0066855699260393E-3</v>
      </c>
      <c r="V450" s="79">
        <f t="shared" ca="1" si="249"/>
        <v>0</v>
      </c>
      <c r="W450" s="79">
        <f t="shared" ca="1" si="229"/>
        <v>0</v>
      </c>
      <c r="X450" s="80">
        <f t="shared" ca="1" si="230"/>
        <v>0</v>
      </c>
      <c r="Y450" s="80">
        <f t="shared" ca="1" si="250"/>
        <v>0</v>
      </c>
      <c r="Z450" s="80">
        <f t="shared" ca="1" si="231"/>
        <v>0</v>
      </c>
      <c r="AA450" s="80">
        <f t="shared" ca="1" si="251"/>
        <v>0</v>
      </c>
      <c r="AB450" s="81">
        <f t="shared" ca="1" si="232"/>
        <v>0</v>
      </c>
      <c r="AC450" s="79">
        <f t="shared" ca="1" si="233"/>
        <v>0</v>
      </c>
      <c r="AD450" s="35"/>
      <c r="AE450" s="62">
        <f t="shared" ca="1" si="234"/>
        <v>0</v>
      </c>
      <c r="AF450" s="62">
        <f t="shared" ca="1" si="235"/>
        <v>0</v>
      </c>
      <c r="AG450" s="35"/>
      <c r="AH450" s="35"/>
      <c r="AR450" s="69">
        <f t="shared" si="252"/>
        <v>38</v>
      </c>
      <c r="AS450" s="70">
        <f t="shared" si="255"/>
        <v>447</v>
      </c>
      <c r="AT450" s="71">
        <f t="shared" si="256"/>
        <v>4.6903867305231751E-2</v>
      </c>
      <c r="AU450" s="72">
        <f t="shared" si="236"/>
        <v>6.8214933659622723E-3</v>
      </c>
      <c r="AV450" s="73">
        <f t="shared" si="253"/>
        <v>1.0068214933659623</v>
      </c>
      <c r="AW450" s="74">
        <f>PRODUCT(AV$4:AV450)</f>
        <v>20.881310312337906</v>
      </c>
    </row>
    <row r="451" spans="5:49">
      <c r="E451">
        <f t="shared" si="254"/>
        <v>448</v>
      </c>
      <c r="F451" s="64">
        <f t="shared" si="237"/>
        <v>97.76</v>
      </c>
      <c r="G451" s="55">
        <f t="shared" si="238"/>
        <v>4.4574366695104062E-2</v>
      </c>
      <c r="H451" s="78">
        <f t="shared" si="257"/>
        <v>2.8726644647952783E-3</v>
      </c>
      <c r="I451" s="79">
        <f t="shared" ca="1" si="239"/>
        <v>0</v>
      </c>
      <c r="J451" s="79">
        <f t="shared" ca="1" si="240"/>
        <v>0</v>
      </c>
      <c r="K451" s="80">
        <f t="shared" ca="1" si="241"/>
        <v>0</v>
      </c>
      <c r="L451" s="80">
        <f t="shared" ca="1" si="242"/>
        <v>0</v>
      </c>
      <c r="M451" s="80">
        <f t="shared" ca="1" si="243"/>
        <v>0</v>
      </c>
      <c r="N451" s="80">
        <f t="shared" ca="1" si="244"/>
        <v>0</v>
      </c>
      <c r="O451" s="81">
        <f t="shared" ca="1" si="227"/>
        <v>0</v>
      </c>
      <c r="P451" s="79">
        <f t="shared" ca="1" si="228"/>
        <v>0</v>
      </c>
      <c r="Q451" s="35"/>
      <c r="R451">
        <f t="shared" ca="1" si="245"/>
        <v>448</v>
      </c>
      <c r="S451" s="78">
        <f t="shared" ca="1" si="246"/>
        <v>97.76</v>
      </c>
      <c r="T451" s="55">
        <f t="shared" ca="1" si="247"/>
        <v>4.4574366695104062E-2</v>
      </c>
      <c r="U451" s="78">
        <f t="shared" ca="1" si="248"/>
        <v>2.8726644647952783E-3</v>
      </c>
      <c r="V451" s="79">
        <f t="shared" ca="1" si="249"/>
        <v>0</v>
      </c>
      <c r="W451" s="79">
        <f t="shared" ca="1" si="229"/>
        <v>0</v>
      </c>
      <c r="X451" s="80">
        <f t="shared" ca="1" si="230"/>
        <v>0</v>
      </c>
      <c r="Y451" s="80">
        <f t="shared" ca="1" si="250"/>
        <v>0</v>
      </c>
      <c r="Z451" s="80">
        <f t="shared" ca="1" si="231"/>
        <v>0</v>
      </c>
      <c r="AA451" s="80">
        <f t="shared" ca="1" si="251"/>
        <v>0</v>
      </c>
      <c r="AB451" s="81">
        <f t="shared" ca="1" si="232"/>
        <v>0</v>
      </c>
      <c r="AC451" s="79">
        <f t="shared" ca="1" si="233"/>
        <v>0</v>
      </c>
      <c r="AD451" s="35"/>
      <c r="AE451" s="62">
        <f t="shared" ca="1" si="234"/>
        <v>0</v>
      </c>
      <c r="AF451" s="62">
        <f t="shared" ca="1" si="235"/>
        <v>0</v>
      </c>
      <c r="AG451" s="35"/>
      <c r="AH451" s="35"/>
      <c r="AR451" s="69">
        <f t="shared" si="252"/>
        <v>38</v>
      </c>
      <c r="AS451" s="70">
        <f t="shared" si="255"/>
        <v>448</v>
      </c>
      <c r="AT451" s="71">
        <f t="shared" si="256"/>
        <v>4.6583912885571135E-2</v>
      </c>
      <c r="AU451" s="72">
        <f t="shared" si="236"/>
        <v>6.8214933659622723E-3</v>
      </c>
      <c r="AV451" s="73">
        <f t="shared" si="253"/>
        <v>1.0068214933659623</v>
      </c>
      <c r="AW451" s="74">
        <f>PRODUCT(AV$4:AV451)</f>
        <v>21.023752032106117</v>
      </c>
    </row>
    <row r="452" spans="5:49">
      <c r="E452">
        <f t="shared" si="254"/>
        <v>449</v>
      </c>
      <c r="F452" s="64">
        <f t="shared" si="237"/>
        <v>97.84</v>
      </c>
      <c r="G452" s="55">
        <f t="shared" si="238"/>
        <v>4.4574366695104062E-2</v>
      </c>
      <c r="H452" s="78">
        <f t="shared" si="257"/>
        <v>2.7446172655494986E-3</v>
      </c>
      <c r="I452" s="79">
        <f t="shared" ca="1" si="239"/>
        <v>0</v>
      </c>
      <c r="J452" s="79">
        <f t="shared" ca="1" si="240"/>
        <v>0</v>
      </c>
      <c r="K452" s="80">
        <f t="shared" ca="1" si="241"/>
        <v>0</v>
      </c>
      <c r="L452" s="80">
        <f t="shared" ca="1" si="242"/>
        <v>0</v>
      </c>
      <c r="M452" s="80">
        <f t="shared" ca="1" si="243"/>
        <v>0</v>
      </c>
      <c r="N452" s="80">
        <f t="shared" ca="1" si="244"/>
        <v>0</v>
      </c>
      <c r="O452" s="81">
        <f t="shared" ref="O452:O515" ca="1" si="258">-MIN(IF(MOD(R452,IF($C$5="Annual",12,1))=0,1,0)*$C$33*U452/IF($C$5="Monthly",12,1),I452)</f>
        <v>0</v>
      </c>
      <c r="P452" s="79">
        <f t="shared" ref="P452:P515" ca="1" si="259">SUM(I452:O452)</f>
        <v>0</v>
      </c>
      <c r="Q452" s="35"/>
      <c r="R452">
        <f t="shared" ca="1" si="245"/>
        <v>449</v>
      </c>
      <c r="S452" s="78">
        <f t="shared" ca="1" si="246"/>
        <v>97.84</v>
      </c>
      <c r="T452" s="55">
        <f t="shared" ca="1" si="247"/>
        <v>4.4574366695104062E-2</v>
      </c>
      <c r="U452" s="78">
        <f t="shared" ca="1" si="248"/>
        <v>2.7446172655494986E-3</v>
      </c>
      <c r="V452" s="79">
        <f t="shared" ca="1" si="249"/>
        <v>0</v>
      </c>
      <c r="W452" s="79">
        <f t="shared" ref="W452:W515" ca="1" si="260">(V452)*$AU452</f>
        <v>0</v>
      </c>
      <c r="X452" s="80">
        <f t="shared" ref="X452:X515" ca="1" si="261">IF(V452=0,0,-$C$19)*U452</f>
        <v>0</v>
      </c>
      <c r="Y452" s="80">
        <f t="shared" ca="1" si="250"/>
        <v>0</v>
      </c>
      <c r="Z452" s="80">
        <f t="shared" ref="Z452:Z515" ca="1" si="262">-IF(MOD(R452-1,12)=0,1,0)*V452*($C$17)</f>
        <v>0</v>
      </c>
      <c r="AA452" s="80">
        <f t="shared" ca="1" si="251"/>
        <v>0</v>
      </c>
      <c r="AB452" s="81">
        <f t="shared" ref="AB452:AB515" ca="1" si="263">-MIN(IF(MOD(R452,IF($C$5="Annual",12,1))=0,1,0)*$C$33*U452/IF($C$5="Monthly",12,1),V452)</f>
        <v>0</v>
      </c>
      <c r="AC452" s="79">
        <f t="shared" ref="AC452:AC515" ca="1" si="264">SUM(V452:AB452)</f>
        <v>0</v>
      </c>
      <c r="AD452" s="35"/>
      <c r="AE452" s="62">
        <f t="shared" ref="AE452:AE503" ca="1" si="265">AB452/U452</f>
        <v>0</v>
      </c>
      <c r="AF452" s="62">
        <f t="shared" ref="AF452:AF506" ca="1" si="266">AC452/U452</f>
        <v>0</v>
      </c>
      <c r="AG452" s="35"/>
      <c r="AH452" s="35"/>
      <c r="AR452" s="69">
        <f t="shared" si="252"/>
        <v>38</v>
      </c>
      <c r="AS452" s="70">
        <f t="shared" si="255"/>
        <v>449</v>
      </c>
      <c r="AT452" s="71">
        <f t="shared" si="256"/>
        <v>4.6266141032861648E-2</v>
      </c>
      <c r="AU452" s="72">
        <f t="shared" ref="AU452:AU515" si="267">((1+$AH$21)^(1/12))-1</f>
        <v>6.8214933659622723E-3</v>
      </c>
      <c r="AV452" s="73">
        <f t="shared" si="253"/>
        <v>1.0068214933659623</v>
      </c>
      <c r="AW452" s="74">
        <f>PRODUCT(AV$4:AV452)</f>
        <v>21.167165417120763</v>
      </c>
    </row>
    <row r="453" spans="5:49">
      <c r="E453">
        <f t="shared" si="254"/>
        <v>450</v>
      </c>
      <c r="F453" s="64">
        <f t="shared" ref="F453:F516" si="268">ROUND((E453-E452)/12+F452,2)</f>
        <v>97.92</v>
      </c>
      <c r="G453" s="55">
        <f t="shared" ref="G453:G516" si="269">(1-(1-IF(F453&gt;$AJ$90,0,VLOOKUP(ROUND(F453,0),$AJ$4:$AK$90,2,FALSE)))^(1/12))</f>
        <v>4.4574366695104062E-2</v>
      </c>
      <c r="H453" s="78">
        <f t="shared" si="257"/>
        <v>2.6222776891171814E-3</v>
      </c>
      <c r="I453" s="79">
        <f t="shared" ref="I453:I516" ca="1" si="270">MAX(P452,0)*(1-G453)</f>
        <v>0</v>
      </c>
      <c r="J453" s="79">
        <f t="shared" ref="J453:J516" ca="1" si="271">(I453)*$AU453</f>
        <v>0</v>
      </c>
      <c r="K453" s="80">
        <f t="shared" ref="K453:K516" ca="1" si="272">IF(I453=0,0,-$C$19)*H453</f>
        <v>0</v>
      </c>
      <c r="L453" s="80">
        <f t="shared" ref="L453:L516" ca="1" si="273">IF(OR(I452+O452=0,K452=0),0,-I453*($C$16/12))</f>
        <v>0</v>
      </c>
      <c r="M453" s="80">
        <f t="shared" ref="M453:M516" ca="1" si="274">IF(OR(I452+O452=0,K452=0),0,-IF(MOD(E453-1,12)=0,1,0)*I453*($C$17))</f>
        <v>0</v>
      </c>
      <c r="N453" s="80">
        <f t="shared" ref="N453:N516" ca="1" si="275">IF(OR(I452+O452=0,K452=0),0,-I453*($C$18*(1+$C$20))/12)</f>
        <v>0</v>
      </c>
      <c r="O453" s="81">
        <f t="shared" ca="1" si="258"/>
        <v>0</v>
      </c>
      <c r="P453" s="79">
        <f t="shared" ca="1" si="259"/>
        <v>0</v>
      </c>
      <c r="Q453" s="35"/>
      <c r="R453">
        <f t="shared" ref="R453:R516" ca="1" si="276">R452+1</f>
        <v>450</v>
      </c>
      <c r="S453" s="78">
        <f t="shared" ref="S453:S516" ca="1" si="277">ROUND((R453-R452)/12+S452,2)</f>
        <v>97.92</v>
      </c>
      <c r="T453" s="55">
        <f t="shared" ref="T453:T516" ca="1" si="278">(1-(1-IF(S453&gt;$AJ$90,0,VLOOKUP(ROUND(S453,0),$AJ$4:$AK$90,2,FALSE)))^(1/12))</f>
        <v>4.4574366695104062E-2</v>
      </c>
      <c r="U453" s="78">
        <f t="shared" ref="U453:U516" ca="1" si="279">U452*(1-T453)</f>
        <v>2.6222776891171814E-3</v>
      </c>
      <c r="V453" s="79">
        <f t="shared" ref="V453:V516" ca="1" si="280">MAX(AC452,0)*(1-T453)</f>
        <v>0</v>
      </c>
      <c r="W453" s="79">
        <f t="shared" ca="1" si="260"/>
        <v>0</v>
      </c>
      <c r="X453" s="80">
        <f t="shared" ca="1" si="261"/>
        <v>0</v>
      </c>
      <c r="Y453" s="80">
        <f t="shared" ref="Y453:Y516" ca="1" si="281">IF(OR(V452+AB452=0,X452=0),0,-V453*($C$16/12))</f>
        <v>0</v>
      </c>
      <c r="Z453" s="80">
        <f t="shared" ca="1" si="262"/>
        <v>0</v>
      </c>
      <c r="AA453" s="80">
        <f t="shared" ref="AA453:AA516" ca="1" si="282">IF(OR(V452+AB452=0,X452=0),0,-V453*($C$18*(1+$C$20))/12)</f>
        <v>0</v>
      </c>
      <c r="AB453" s="81">
        <f t="shared" ca="1" si="263"/>
        <v>0</v>
      </c>
      <c r="AC453" s="79">
        <f t="shared" ca="1" si="264"/>
        <v>0</v>
      </c>
      <c r="AD453" s="35"/>
      <c r="AE453" s="62">
        <f t="shared" ca="1" si="265"/>
        <v>0</v>
      </c>
      <c r="AF453" s="62">
        <f t="shared" ca="1" si="266"/>
        <v>0</v>
      </c>
      <c r="AG453" s="35"/>
      <c r="AH453" s="35"/>
      <c r="AR453" s="69">
        <f t="shared" ref="AR453:AR516" si="283">ROUNDDOWN((AS453-1)/12,0)+1</f>
        <v>38</v>
      </c>
      <c r="AS453" s="70">
        <f t="shared" si="255"/>
        <v>450</v>
      </c>
      <c r="AT453" s="71">
        <f t="shared" si="256"/>
        <v>4.5950536858737304E-2</v>
      </c>
      <c r="AU453" s="72">
        <f t="shared" si="267"/>
        <v>6.8214933659622723E-3</v>
      </c>
      <c r="AV453" s="73">
        <f t="shared" ref="AV453:AV516" si="284">(1+AU453)</f>
        <v>1.0068214933659623</v>
      </c>
      <c r="AW453" s="74">
        <f>PRODUCT(AV$4:AV453)</f>
        <v>21.31155709558988</v>
      </c>
    </row>
    <row r="454" spans="5:49">
      <c r="E454">
        <f t="shared" ref="E454:E517" si="285">E453+1</f>
        <v>451</v>
      </c>
      <c r="F454" s="64">
        <f t="shared" si="268"/>
        <v>98</v>
      </c>
      <c r="G454" s="55">
        <f t="shared" si="269"/>
        <v>4.4574366695104062E-2</v>
      </c>
      <c r="H454" s="78">
        <f t="shared" si="257"/>
        <v>2.5053913218260819E-3</v>
      </c>
      <c r="I454" s="79">
        <f t="shared" ca="1" si="270"/>
        <v>0</v>
      </c>
      <c r="J454" s="79">
        <f t="shared" ca="1" si="271"/>
        <v>0</v>
      </c>
      <c r="K454" s="80">
        <f t="shared" ca="1" si="272"/>
        <v>0</v>
      </c>
      <c r="L454" s="80">
        <f t="shared" ca="1" si="273"/>
        <v>0</v>
      </c>
      <c r="M454" s="80">
        <f t="shared" ca="1" si="274"/>
        <v>0</v>
      </c>
      <c r="N454" s="80">
        <f t="shared" ca="1" si="275"/>
        <v>0</v>
      </c>
      <c r="O454" s="81">
        <f t="shared" ca="1" si="258"/>
        <v>0</v>
      </c>
      <c r="P454" s="79">
        <f t="shared" ca="1" si="259"/>
        <v>0</v>
      </c>
      <c r="Q454" s="35"/>
      <c r="R454">
        <f t="shared" ca="1" si="276"/>
        <v>451</v>
      </c>
      <c r="S454" s="78">
        <f t="shared" ca="1" si="277"/>
        <v>98</v>
      </c>
      <c r="T454" s="55">
        <f t="shared" ca="1" si="278"/>
        <v>4.4574366695104062E-2</v>
      </c>
      <c r="U454" s="78">
        <f t="shared" ca="1" si="279"/>
        <v>2.5053913218260819E-3</v>
      </c>
      <c r="V454" s="79">
        <f t="shared" ca="1" si="280"/>
        <v>0</v>
      </c>
      <c r="W454" s="79">
        <f t="shared" ca="1" si="260"/>
        <v>0</v>
      </c>
      <c r="X454" s="80">
        <f t="shared" ca="1" si="261"/>
        <v>0</v>
      </c>
      <c r="Y454" s="80">
        <f t="shared" ca="1" si="281"/>
        <v>0</v>
      </c>
      <c r="Z454" s="80">
        <f t="shared" ca="1" si="262"/>
        <v>0</v>
      </c>
      <c r="AA454" s="80">
        <f t="shared" ca="1" si="282"/>
        <v>0</v>
      </c>
      <c r="AB454" s="81">
        <f t="shared" ca="1" si="263"/>
        <v>0</v>
      </c>
      <c r="AC454" s="79">
        <f t="shared" ca="1" si="264"/>
        <v>0</v>
      </c>
      <c r="AD454" s="35"/>
      <c r="AE454" s="62">
        <f t="shared" ca="1" si="265"/>
        <v>0</v>
      </c>
      <c r="AF454" s="62">
        <f t="shared" ca="1" si="266"/>
        <v>0</v>
      </c>
      <c r="AG454" s="35"/>
      <c r="AH454" s="35"/>
      <c r="AR454" s="69">
        <f t="shared" si="283"/>
        <v>38</v>
      </c>
      <c r="AS454" s="70">
        <f t="shared" ref="AS454:AS517" si="286">AS453+1</f>
        <v>451</v>
      </c>
      <c r="AT454" s="71">
        <f t="shared" ref="AT454:AT517" si="287">(1-AU454)*AT453</f>
        <v>4.5637085576393024E-2</v>
      </c>
      <c r="AU454" s="72">
        <f t="shared" si="267"/>
        <v>6.8214933659622723E-3</v>
      </c>
      <c r="AV454" s="73">
        <f t="shared" si="284"/>
        <v>1.0068214933659623</v>
      </c>
      <c r="AW454" s="74">
        <f>PRODUCT(AV$4:AV454)</f>
        <v>21.456933740935771</v>
      </c>
    </row>
    <row r="455" spans="5:49">
      <c r="E455">
        <f t="shared" si="285"/>
        <v>452</v>
      </c>
      <c r="F455" s="64">
        <f t="shared" si="268"/>
        <v>98.08</v>
      </c>
      <c r="G455" s="55">
        <f t="shared" si="269"/>
        <v>4.4574366695104062E-2</v>
      </c>
      <c r="H455" s="78">
        <f t="shared" ref="H455:H518" si="288">H454*(1-G455)</f>
        <v>2.3937150903322745E-3</v>
      </c>
      <c r="I455" s="79">
        <f t="shared" ca="1" si="270"/>
        <v>0</v>
      </c>
      <c r="J455" s="79">
        <f t="shared" ca="1" si="271"/>
        <v>0</v>
      </c>
      <c r="K455" s="80">
        <f t="shared" ca="1" si="272"/>
        <v>0</v>
      </c>
      <c r="L455" s="80">
        <f t="shared" ca="1" si="273"/>
        <v>0</v>
      </c>
      <c r="M455" s="80">
        <f t="shared" ca="1" si="274"/>
        <v>0</v>
      </c>
      <c r="N455" s="80">
        <f t="shared" ca="1" si="275"/>
        <v>0</v>
      </c>
      <c r="O455" s="81">
        <f t="shared" ca="1" si="258"/>
        <v>0</v>
      </c>
      <c r="P455" s="79">
        <f t="shared" ca="1" si="259"/>
        <v>0</v>
      </c>
      <c r="Q455" s="35"/>
      <c r="R455">
        <f t="shared" ca="1" si="276"/>
        <v>452</v>
      </c>
      <c r="S455" s="78">
        <f t="shared" ca="1" si="277"/>
        <v>98.08</v>
      </c>
      <c r="T455" s="55">
        <f t="shared" ca="1" si="278"/>
        <v>4.4574366695104062E-2</v>
      </c>
      <c r="U455" s="78">
        <f t="shared" ca="1" si="279"/>
        <v>2.3937150903322745E-3</v>
      </c>
      <c r="V455" s="79">
        <f t="shared" ca="1" si="280"/>
        <v>0</v>
      </c>
      <c r="W455" s="79">
        <f t="shared" ca="1" si="260"/>
        <v>0</v>
      </c>
      <c r="X455" s="80">
        <f t="shared" ca="1" si="261"/>
        <v>0</v>
      </c>
      <c r="Y455" s="80">
        <f t="shared" ca="1" si="281"/>
        <v>0</v>
      </c>
      <c r="Z455" s="80">
        <f t="shared" ca="1" si="262"/>
        <v>0</v>
      </c>
      <c r="AA455" s="80">
        <f t="shared" ca="1" si="282"/>
        <v>0</v>
      </c>
      <c r="AB455" s="81">
        <f t="shared" ca="1" si="263"/>
        <v>0</v>
      </c>
      <c r="AC455" s="79">
        <f t="shared" ca="1" si="264"/>
        <v>0</v>
      </c>
      <c r="AD455" s="35"/>
      <c r="AE455" s="62">
        <f t="shared" ca="1" si="265"/>
        <v>0</v>
      </c>
      <c r="AF455" s="62">
        <f t="shared" ca="1" si="266"/>
        <v>0</v>
      </c>
      <c r="AG455" s="35"/>
      <c r="AH455" s="35"/>
      <c r="AR455" s="69">
        <f t="shared" si="283"/>
        <v>38</v>
      </c>
      <c r="AS455" s="70">
        <f t="shared" si="286"/>
        <v>452</v>
      </c>
      <c r="AT455" s="71">
        <f t="shared" si="287"/>
        <v>4.5325772499891809E-2</v>
      </c>
      <c r="AU455" s="72">
        <f t="shared" si="267"/>
        <v>6.8214933659622723E-3</v>
      </c>
      <c r="AV455" s="73">
        <f t="shared" si="284"/>
        <v>1.0068214933659623</v>
      </c>
      <c r="AW455" s="74">
        <f>PRODUCT(AV$4:AV455)</f>
        <v>21.603302072103457</v>
      </c>
    </row>
    <row r="456" spans="5:49">
      <c r="E456">
        <f t="shared" si="285"/>
        <v>453</v>
      </c>
      <c r="F456" s="64">
        <f t="shared" si="268"/>
        <v>98.16</v>
      </c>
      <c r="G456" s="55">
        <f t="shared" si="269"/>
        <v>4.4574366695104062E-2</v>
      </c>
      <c r="H456" s="78">
        <f t="shared" si="288"/>
        <v>2.2870167561321996E-3</v>
      </c>
      <c r="I456" s="79">
        <f t="shared" ca="1" si="270"/>
        <v>0</v>
      </c>
      <c r="J456" s="79">
        <f t="shared" ca="1" si="271"/>
        <v>0</v>
      </c>
      <c r="K456" s="80">
        <f t="shared" ca="1" si="272"/>
        <v>0</v>
      </c>
      <c r="L456" s="80">
        <f t="shared" ca="1" si="273"/>
        <v>0</v>
      </c>
      <c r="M456" s="80">
        <f t="shared" ca="1" si="274"/>
        <v>0</v>
      </c>
      <c r="N456" s="80">
        <f t="shared" ca="1" si="275"/>
        <v>0</v>
      </c>
      <c r="O456" s="81">
        <f t="shared" ca="1" si="258"/>
        <v>0</v>
      </c>
      <c r="P456" s="79">
        <f t="shared" ca="1" si="259"/>
        <v>0</v>
      </c>
      <c r="Q456" s="35"/>
      <c r="R456">
        <f t="shared" ca="1" si="276"/>
        <v>453</v>
      </c>
      <c r="S456" s="78">
        <f t="shared" ca="1" si="277"/>
        <v>98.16</v>
      </c>
      <c r="T456" s="55">
        <f t="shared" ca="1" si="278"/>
        <v>4.4574366695104062E-2</v>
      </c>
      <c r="U456" s="78">
        <f t="shared" ca="1" si="279"/>
        <v>2.2870167561321996E-3</v>
      </c>
      <c r="V456" s="79">
        <f t="shared" ca="1" si="280"/>
        <v>0</v>
      </c>
      <c r="W456" s="79">
        <f t="shared" ca="1" si="260"/>
        <v>0</v>
      </c>
      <c r="X456" s="80">
        <f t="shared" ca="1" si="261"/>
        <v>0</v>
      </c>
      <c r="Y456" s="80">
        <f t="shared" ca="1" si="281"/>
        <v>0</v>
      </c>
      <c r="Z456" s="80">
        <f t="shared" ca="1" si="262"/>
        <v>0</v>
      </c>
      <c r="AA456" s="80">
        <f t="shared" ca="1" si="282"/>
        <v>0</v>
      </c>
      <c r="AB456" s="81">
        <f t="shared" ca="1" si="263"/>
        <v>0</v>
      </c>
      <c r="AC456" s="79">
        <f t="shared" ca="1" si="264"/>
        <v>0</v>
      </c>
      <c r="AD456" s="35"/>
      <c r="AE456" s="62">
        <f t="shared" ca="1" si="265"/>
        <v>0</v>
      </c>
      <c r="AF456" s="62">
        <f t="shared" ca="1" si="266"/>
        <v>0</v>
      </c>
      <c r="AG456" s="35"/>
      <c r="AH456" s="35"/>
      <c r="AR456" s="69">
        <f t="shared" si="283"/>
        <v>38</v>
      </c>
      <c r="AS456" s="70">
        <f t="shared" si="286"/>
        <v>453</v>
      </c>
      <c r="AT456" s="71">
        <f t="shared" si="287"/>
        <v>4.5016583043476679E-2</v>
      </c>
      <c r="AU456" s="72">
        <f t="shared" si="267"/>
        <v>6.8214933659622723E-3</v>
      </c>
      <c r="AV456" s="73">
        <f t="shared" si="284"/>
        <v>1.0068214933659623</v>
      </c>
      <c r="AW456" s="74">
        <f>PRODUCT(AV$4:AV456)</f>
        <v>21.75066885387119</v>
      </c>
    </row>
    <row r="457" spans="5:49">
      <c r="E457">
        <f t="shared" si="285"/>
        <v>454</v>
      </c>
      <c r="F457" s="64">
        <f t="shared" si="268"/>
        <v>98.24</v>
      </c>
      <c r="G457" s="55">
        <f t="shared" si="269"/>
        <v>4.4574366695104062E-2</v>
      </c>
      <c r="H457" s="78">
        <f t="shared" si="288"/>
        <v>2.1850744326065157E-3</v>
      </c>
      <c r="I457" s="79">
        <f t="shared" ca="1" si="270"/>
        <v>0</v>
      </c>
      <c r="J457" s="79">
        <f t="shared" ca="1" si="271"/>
        <v>0</v>
      </c>
      <c r="K457" s="80">
        <f t="shared" ca="1" si="272"/>
        <v>0</v>
      </c>
      <c r="L457" s="80">
        <f t="shared" ca="1" si="273"/>
        <v>0</v>
      </c>
      <c r="M457" s="80">
        <f t="shared" ca="1" si="274"/>
        <v>0</v>
      </c>
      <c r="N457" s="80">
        <f t="shared" ca="1" si="275"/>
        <v>0</v>
      </c>
      <c r="O457" s="81">
        <f t="shared" ca="1" si="258"/>
        <v>0</v>
      </c>
      <c r="P457" s="79">
        <f t="shared" ca="1" si="259"/>
        <v>0</v>
      </c>
      <c r="Q457" s="35"/>
      <c r="R457">
        <f t="shared" ca="1" si="276"/>
        <v>454</v>
      </c>
      <c r="S457" s="78">
        <f t="shared" ca="1" si="277"/>
        <v>98.24</v>
      </c>
      <c r="T457" s="55">
        <f t="shared" ca="1" si="278"/>
        <v>4.4574366695104062E-2</v>
      </c>
      <c r="U457" s="78">
        <f t="shared" ca="1" si="279"/>
        <v>2.1850744326065157E-3</v>
      </c>
      <c r="V457" s="79">
        <f t="shared" ca="1" si="280"/>
        <v>0</v>
      </c>
      <c r="W457" s="79">
        <f t="shared" ca="1" si="260"/>
        <v>0</v>
      </c>
      <c r="X457" s="80">
        <f t="shared" ca="1" si="261"/>
        <v>0</v>
      </c>
      <c r="Y457" s="80">
        <f t="shared" ca="1" si="281"/>
        <v>0</v>
      </c>
      <c r="Z457" s="80">
        <f t="shared" ca="1" si="262"/>
        <v>0</v>
      </c>
      <c r="AA457" s="80">
        <f t="shared" ca="1" si="282"/>
        <v>0</v>
      </c>
      <c r="AB457" s="81">
        <f t="shared" ca="1" si="263"/>
        <v>0</v>
      </c>
      <c r="AC457" s="79">
        <f t="shared" ca="1" si="264"/>
        <v>0</v>
      </c>
      <c r="AD457" s="35"/>
      <c r="AE457" s="62">
        <f t="shared" ca="1" si="265"/>
        <v>0</v>
      </c>
      <c r="AF457" s="62">
        <f t="shared" ca="1" si="266"/>
        <v>0</v>
      </c>
      <c r="AG457" s="35"/>
      <c r="AH457" s="35"/>
      <c r="AR457" s="69">
        <f t="shared" si="283"/>
        <v>38</v>
      </c>
      <c r="AS457" s="70">
        <f t="shared" si="286"/>
        <v>454</v>
      </c>
      <c r="AT457" s="71">
        <f t="shared" si="287"/>
        <v>4.4709502720887313E-2</v>
      </c>
      <c r="AU457" s="72">
        <f t="shared" si="267"/>
        <v>6.8214933659622723E-3</v>
      </c>
      <c r="AV457" s="73">
        <f t="shared" si="284"/>
        <v>1.0068214933659623</v>
      </c>
      <c r="AW457" s="74">
        <f>PRODUCT(AV$4:AV457)</f>
        <v>21.899040897163115</v>
      </c>
    </row>
    <row r="458" spans="5:49">
      <c r="E458">
        <f t="shared" si="285"/>
        <v>455</v>
      </c>
      <c r="F458" s="64">
        <f t="shared" si="268"/>
        <v>98.32</v>
      </c>
      <c r="G458" s="55">
        <f t="shared" si="269"/>
        <v>4.4574366695104062E-2</v>
      </c>
      <c r="H458" s="78">
        <f t="shared" si="288"/>
        <v>2.0876761235914163E-3</v>
      </c>
      <c r="I458" s="79">
        <f t="shared" ca="1" si="270"/>
        <v>0</v>
      </c>
      <c r="J458" s="79">
        <f t="shared" ca="1" si="271"/>
        <v>0</v>
      </c>
      <c r="K458" s="80">
        <f t="shared" ca="1" si="272"/>
        <v>0</v>
      </c>
      <c r="L458" s="80">
        <f t="shared" ca="1" si="273"/>
        <v>0</v>
      </c>
      <c r="M458" s="80">
        <f t="shared" ca="1" si="274"/>
        <v>0</v>
      </c>
      <c r="N458" s="80">
        <f t="shared" ca="1" si="275"/>
        <v>0</v>
      </c>
      <c r="O458" s="81">
        <f t="shared" ca="1" si="258"/>
        <v>0</v>
      </c>
      <c r="P458" s="79">
        <f t="shared" ca="1" si="259"/>
        <v>0</v>
      </c>
      <c r="Q458" s="35"/>
      <c r="R458">
        <f t="shared" ca="1" si="276"/>
        <v>455</v>
      </c>
      <c r="S458" s="78">
        <f t="shared" ca="1" si="277"/>
        <v>98.32</v>
      </c>
      <c r="T458" s="55">
        <f t="shared" ca="1" si="278"/>
        <v>4.4574366695104062E-2</v>
      </c>
      <c r="U458" s="78">
        <f t="shared" ca="1" si="279"/>
        <v>2.0876761235914163E-3</v>
      </c>
      <c r="V458" s="79">
        <f t="shared" ca="1" si="280"/>
        <v>0</v>
      </c>
      <c r="W458" s="79">
        <f t="shared" ca="1" si="260"/>
        <v>0</v>
      </c>
      <c r="X458" s="80">
        <f t="shared" ca="1" si="261"/>
        <v>0</v>
      </c>
      <c r="Y458" s="80">
        <f t="shared" ca="1" si="281"/>
        <v>0</v>
      </c>
      <c r="Z458" s="80">
        <f t="shared" ca="1" si="262"/>
        <v>0</v>
      </c>
      <c r="AA458" s="80">
        <f t="shared" ca="1" si="282"/>
        <v>0</v>
      </c>
      <c r="AB458" s="81">
        <f t="shared" ca="1" si="263"/>
        <v>0</v>
      </c>
      <c r="AC458" s="79">
        <f t="shared" ca="1" si="264"/>
        <v>0</v>
      </c>
      <c r="AD458" s="35"/>
      <c r="AE458" s="62">
        <f t="shared" ca="1" si="265"/>
        <v>0</v>
      </c>
      <c r="AF458" s="62">
        <f t="shared" ca="1" si="266"/>
        <v>0</v>
      </c>
      <c r="AG458" s="35"/>
      <c r="AH458" s="35"/>
      <c r="AR458" s="69">
        <f t="shared" si="283"/>
        <v>38</v>
      </c>
      <c r="AS458" s="70">
        <f t="shared" si="286"/>
        <v>455</v>
      </c>
      <c r="AT458" s="71">
        <f t="shared" si="287"/>
        <v>4.4404517144681306E-2</v>
      </c>
      <c r="AU458" s="72">
        <f t="shared" si="267"/>
        <v>6.8214933659622723E-3</v>
      </c>
      <c r="AV458" s="73">
        <f t="shared" si="284"/>
        <v>1.0068214933659623</v>
      </c>
      <c r="AW458" s="74">
        <f>PRODUCT(AV$4:AV458)</f>
        <v>22.04842505936405</v>
      </c>
    </row>
    <row r="459" spans="5:49">
      <c r="E459">
        <f t="shared" si="285"/>
        <v>456</v>
      </c>
      <c r="F459" s="64">
        <f t="shared" si="268"/>
        <v>98.4</v>
      </c>
      <c r="G459" s="55">
        <f t="shared" si="269"/>
        <v>4.4574366695104062E-2</v>
      </c>
      <c r="H459" s="78">
        <f t="shared" si="288"/>
        <v>1.994619282517839E-3</v>
      </c>
      <c r="I459" s="79">
        <f t="shared" ca="1" si="270"/>
        <v>0</v>
      </c>
      <c r="J459" s="79">
        <f t="shared" ca="1" si="271"/>
        <v>0</v>
      </c>
      <c r="K459" s="80">
        <f t="shared" ca="1" si="272"/>
        <v>0</v>
      </c>
      <c r="L459" s="80">
        <f t="shared" ca="1" si="273"/>
        <v>0</v>
      </c>
      <c r="M459" s="80">
        <f t="shared" ca="1" si="274"/>
        <v>0</v>
      </c>
      <c r="N459" s="80">
        <f t="shared" ca="1" si="275"/>
        <v>0</v>
      </c>
      <c r="O459" s="81">
        <f t="shared" ca="1" si="258"/>
        <v>0</v>
      </c>
      <c r="P459" s="79">
        <f t="shared" ca="1" si="259"/>
        <v>0</v>
      </c>
      <c r="Q459" s="35"/>
      <c r="R459">
        <f t="shared" ca="1" si="276"/>
        <v>456</v>
      </c>
      <c r="S459" s="78">
        <f t="shared" ca="1" si="277"/>
        <v>98.4</v>
      </c>
      <c r="T459" s="55">
        <f t="shared" ca="1" si="278"/>
        <v>4.4574366695104062E-2</v>
      </c>
      <c r="U459" s="78">
        <f t="shared" ca="1" si="279"/>
        <v>1.994619282517839E-3</v>
      </c>
      <c r="V459" s="79">
        <f t="shared" ca="1" si="280"/>
        <v>0</v>
      </c>
      <c r="W459" s="79">
        <f t="shared" ca="1" si="260"/>
        <v>0</v>
      </c>
      <c r="X459" s="80">
        <f t="shared" ca="1" si="261"/>
        <v>0</v>
      </c>
      <c r="Y459" s="80">
        <f t="shared" ca="1" si="281"/>
        <v>0</v>
      </c>
      <c r="Z459" s="80">
        <f t="shared" ca="1" si="262"/>
        <v>0</v>
      </c>
      <c r="AA459" s="80">
        <f t="shared" ca="1" si="282"/>
        <v>0</v>
      </c>
      <c r="AB459" s="81">
        <f t="shared" ca="1" si="263"/>
        <v>0</v>
      </c>
      <c r="AC459" s="79">
        <f t="shared" ca="1" si="264"/>
        <v>0</v>
      </c>
      <c r="AD459" s="35"/>
      <c r="AE459" s="62">
        <f t="shared" ca="1" si="265"/>
        <v>0</v>
      </c>
      <c r="AF459" s="62">
        <f t="shared" ca="1" si="266"/>
        <v>0</v>
      </c>
      <c r="AG459" s="35"/>
      <c r="AH459" s="35"/>
      <c r="AR459" s="69">
        <f t="shared" si="283"/>
        <v>38</v>
      </c>
      <c r="AS459" s="70">
        <f t="shared" si="286"/>
        <v>456</v>
      </c>
      <c r="AT459" s="71">
        <f t="shared" si="287"/>
        <v>4.4101612025560108E-2</v>
      </c>
      <c r="AU459" s="72">
        <f t="shared" si="267"/>
        <v>6.8214933659622723E-3</v>
      </c>
      <c r="AV459" s="73">
        <f t="shared" si="284"/>
        <v>1.0068214933659623</v>
      </c>
      <c r="AW459" s="74">
        <f>PRODUCT(AV$4:AV459)</f>
        <v>22.198828244636417</v>
      </c>
    </row>
    <row r="460" spans="5:49">
      <c r="E460">
        <f t="shared" si="285"/>
        <v>457</v>
      </c>
      <c r="F460" s="64">
        <f t="shared" si="268"/>
        <v>98.48</v>
      </c>
      <c r="G460" s="55">
        <f t="shared" si="269"/>
        <v>4.4574366695104062E-2</v>
      </c>
      <c r="H460" s="78">
        <f t="shared" si="288"/>
        <v>1.9057103912017634E-3</v>
      </c>
      <c r="I460" s="79">
        <f t="shared" ca="1" si="270"/>
        <v>0</v>
      </c>
      <c r="J460" s="79">
        <f t="shared" ca="1" si="271"/>
        <v>0</v>
      </c>
      <c r="K460" s="80">
        <f t="shared" ca="1" si="272"/>
        <v>0</v>
      </c>
      <c r="L460" s="80">
        <f t="shared" ca="1" si="273"/>
        <v>0</v>
      </c>
      <c r="M460" s="80">
        <f t="shared" ca="1" si="274"/>
        <v>0</v>
      </c>
      <c r="N460" s="80">
        <f t="shared" ca="1" si="275"/>
        <v>0</v>
      </c>
      <c r="O460" s="81">
        <f t="shared" ca="1" si="258"/>
        <v>0</v>
      </c>
      <c r="P460" s="79">
        <f t="shared" ca="1" si="259"/>
        <v>0</v>
      </c>
      <c r="Q460" s="35"/>
      <c r="R460">
        <f t="shared" ca="1" si="276"/>
        <v>457</v>
      </c>
      <c r="S460" s="78">
        <f t="shared" ca="1" si="277"/>
        <v>98.48</v>
      </c>
      <c r="T460" s="55">
        <f t="shared" ca="1" si="278"/>
        <v>4.4574366695104062E-2</v>
      </c>
      <c r="U460" s="78">
        <f t="shared" ca="1" si="279"/>
        <v>1.9057103912017634E-3</v>
      </c>
      <c r="V460" s="79">
        <f t="shared" ca="1" si="280"/>
        <v>0</v>
      </c>
      <c r="W460" s="79">
        <f t="shared" ca="1" si="260"/>
        <v>0</v>
      </c>
      <c r="X460" s="80">
        <f t="shared" ca="1" si="261"/>
        <v>0</v>
      </c>
      <c r="Y460" s="80">
        <f t="shared" ca="1" si="281"/>
        <v>0</v>
      </c>
      <c r="Z460" s="80">
        <f t="shared" ca="1" si="262"/>
        <v>0</v>
      </c>
      <c r="AA460" s="80">
        <f t="shared" ca="1" si="282"/>
        <v>0</v>
      </c>
      <c r="AB460" s="81">
        <f t="shared" ca="1" si="263"/>
        <v>0</v>
      </c>
      <c r="AC460" s="79">
        <f t="shared" ca="1" si="264"/>
        <v>0</v>
      </c>
      <c r="AD460" s="35"/>
      <c r="AE460" s="62">
        <f t="shared" ca="1" si="265"/>
        <v>0</v>
      </c>
      <c r="AF460" s="62">
        <f t="shared" ca="1" si="266"/>
        <v>0</v>
      </c>
      <c r="AG460" s="35"/>
      <c r="AH460" s="35"/>
      <c r="AR460" s="69">
        <f t="shared" si="283"/>
        <v>39</v>
      </c>
      <c r="AS460" s="70">
        <f t="shared" si="286"/>
        <v>457</v>
      </c>
      <c r="AT460" s="71">
        <f t="shared" si="287"/>
        <v>4.380077317169951E-2</v>
      </c>
      <c r="AU460" s="72">
        <f t="shared" si="267"/>
        <v>6.8214933659622723E-3</v>
      </c>
      <c r="AV460" s="73">
        <f t="shared" si="284"/>
        <v>1.0068214933659623</v>
      </c>
      <c r="AW460" s="74">
        <f>PRODUCT(AV$4:AV460)</f>
        <v>22.35025740423934</v>
      </c>
    </row>
    <row r="461" spans="5:49">
      <c r="E461">
        <f t="shared" si="285"/>
        <v>458</v>
      </c>
      <c r="F461" s="64">
        <f t="shared" si="268"/>
        <v>98.56</v>
      </c>
      <c r="G461" s="55">
        <f t="shared" si="269"/>
        <v>4.8867350363173689E-2</v>
      </c>
      <c r="H461" s="78">
        <f t="shared" si="288"/>
        <v>1.8125833738241661E-3</v>
      </c>
      <c r="I461" s="79">
        <f t="shared" ca="1" si="270"/>
        <v>0</v>
      </c>
      <c r="J461" s="79">
        <f t="shared" ca="1" si="271"/>
        <v>0</v>
      </c>
      <c r="K461" s="80">
        <f t="shared" ca="1" si="272"/>
        <v>0</v>
      </c>
      <c r="L461" s="80">
        <f t="shared" ca="1" si="273"/>
        <v>0</v>
      </c>
      <c r="M461" s="80">
        <f t="shared" ca="1" si="274"/>
        <v>0</v>
      </c>
      <c r="N461" s="80">
        <f t="shared" ca="1" si="275"/>
        <v>0</v>
      </c>
      <c r="O461" s="81">
        <f t="shared" ca="1" si="258"/>
        <v>0</v>
      </c>
      <c r="P461" s="79">
        <f t="shared" ca="1" si="259"/>
        <v>0</v>
      </c>
      <c r="Q461" s="35"/>
      <c r="R461">
        <f t="shared" ca="1" si="276"/>
        <v>458</v>
      </c>
      <c r="S461" s="78">
        <f t="shared" ca="1" si="277"/>
        <v>98.56</v>
      </c>
      <c r="T461" s="55">
        <f t="shared" ca="1" si="278"/>
        <v>4.8867350363173689E-2</v>
      </c>
      <c r="U461" s="78">
        <f t="shared" ca="1" si="279"/>
        <v>1.8125833738241661E-3</v>
      </c>
      <c r="V461" s="79">
        <f t="shared" ca="1" si="280"/>
        <v>0</v>
      </c>
      <c r="W461" s="79">
        <f t="shared" ca="1" si="260"/>
        <v>0</v>
      </c>
      <c r="X461" s="80">
        <f t="shared" ca="1" si="261"/>
        <v>0</v>
      </c>
      <c r="Y461" s="80">
        <f t="shared" ca="1" si="281"/>
        <v>0</v>
      </c>
      <c r="Z461" s="80">
        <f t="shared" ca="1" si="262"/>
        <v>0</v>
      </c>
      <c r="AA461" s="80">
        <f t="shared" ca="1" si="282"/>
        <v>0</v>
      </c>
      <c r="AB461" s="81">
        <f t="shared" ca="1" si="263"/>
        <v>0</v>
      </c>
      <c r="AC461" s="79">
        <f t="shared" ca="1" si="264"/>
        <v>0</v>
      </c>
      <c r="AD461" s="35"/>
      <c r="AE461" s="62">
        <f t="shared" ca="1" si="265"/>
        <v>0</v>
      </c>
      <c r="AF461" s="62">
        <f t="shared" ca="1" si="266"/>
        <v>0</v>
      </c>
      <c r="AG461" s="35"/>
      <c r="AH461" s="35"/>
      <c r="AR461" s="69">
        <f t="shared" si="283"/>
        <v>39</v>
      </c>
      <c r="AS461" s="70">
        <f t="shared" si="286"/>
        <v>458</v>
      </c>
      <c r="AT461" s="71">
        <f t="shared" si="287"/>
        <v>4.3501986488084746E-2</v>
      </c>
      <c r="AU461" s="72">
        <f t="shared" si="267"/>
        <v>6.8214933659622723E-3</v>
      </c>
      <c r="AV461" s="73">
        <f t="shared" si="284"/>
        <v>1.0068214933659623</v>
      </c>
      <c r="AW461" s="74">
        <f>PRODUCT(AV$4:AV461)</f>
        <v>22.502719536849909</v>
      </c>
    </row>
    <row r="462" spans="5:49">
      <c r="E462">
        <f t="shared" si="285"/>
        <v>459</v>
      </c>
      <c r="F462" s="64">
        <f t="shared" si="268"/>
        <v>98.64</v>
      </c>
      <c r="G462" s="55">
        <f t="shared" si="269"/>
        <v>4.8867350363173689E-2</v>
      </c>
      <c r="H462" s="78">
        <f t="shared" si="288"/>
        <v>1.7240072270330372E-3</v>
      </c>
      <c r="I462" s="79">
        <f t="shared" ca="1" si="270"/>
        <v>0</v>
      </c>
      <c r="J462" s="79">
        <f t="shared" ca="1" si="271"/>
        <v>0</v>
      </c>
      <c r="K462" s="80">
        <f t="shared" ca="1" si="272"/>
        <v>0</v>
      </c>
      <c r="L462" s="80">
        <f t="shared" ca="1" si="273"/>
        <v>0</v>
      </c>
      <c r="M462" s="80">
        <f t="shared" ca="1" si="274"/>
        <v>0</v>
      </c>
      <c r="N462" s="80">
        <f t="shared" ca="1" si="275"/>
        <v>0</v>
      </c>
      <c r="O462" s="81">
        <f t="shared" ca="1" si="258"/>
        <v>0</v>
      </c>
      <c r="P462" s="79">
        <f t="shared" ca="1" si="259"/>
        <v>0</v>
      </c>
      <c r="Q462" s="35"/>
      <c r="R462">
        <f t="shared" ca="1" si="276"/>
        <v>459</v>
      </c>
      <c r="S462" s="78">
        <f t="shared" ca="1" si="277"/>
        <v>98.64</v>
      </c>
      <c r="T462" s="55">
        <f t="shared" ca="1" si="278"/>
        <v>4.8867350363173689E-2</v>
      </c>
      <c r="U462" s="78">
        <f t="shared" ca="1" si="279"/>
        <v>1.7240072270330372E-3</v>
      </c>
      <c r="V462" s="79">
        <f t="shared" ca="1" si="280"/>
        <v>0</v>
      </c>
      <c r="W462" s="79">
        <f t="shared" ca="1" si="260"/>
        <v>0</v>
      </c>
      <c r="X462" s="80">
        <f t="shared" ca="1" si="261"/>
        <v>0</v>
      </c>
      <c r="Y462" s="80">
        <f t="shared" ca="1" si="281"/>
        <v>0</v>
      </c>
      <c r="Z462" s="80">
        <f t="shared" ca="1" si="262"/>
        <v>0</v>
      </c>
      <c r="AA462" s="80">
        <f t="shared" ca="1" si="282"/>
        <v>0</v>
      </c>
      <c r="AB462" s="81">
        <f t="shared" ca="1" si="263"/>
        <v>0</v>
      </c>
      <c r="AC462" s="79">
        <f t="shared" ca="1" si="264"/>
        <v>0</v>
      </c>
      <c r="AD462" s="35"/>
      <c r="AE462" s="62">
        <f t="shared" ca="1" si="265"/>
        <v>0</v>
      </c>
      <c r="AF462" s="62">
        <f t="shared" ca="1" si="266"/>
        <v>0</v>
      </c>
      <c r="AG462" s="35"/>
      <c r="AH462" s="35"/>
      <c r="AR462" s="69">
        <f t="shared" si="283"/>
        <v>39</v>
      </c>
      <c r="AS462" s="70">
        <f t="shared" si="286"/>
        <v>459</v>
      </c>
      <c r="AT462" s="71">
        <f t="shared" si="287"/>
        <v>4.3205237975850096E-2</v>
      </c>
      <c r="AU462" s="72">
        <f t="shared" si="267"/>
        <v>6.8214933659622723E-3</v>
      </c>
      <c r="AV462" s="73">
        <f t="shared" si="284"/>
        <v>1.0068214933659623</v>
      </c>
      <c r="AW462" s="74">
        <f>PRODUCT(AV$4:AV462)</f>
        <v>22.656221688886642</v>
      </c>
    </row>
    <row r="463" spans="5:49">
      <c r="E463">
        <f t="shared" si="285"/>
        <v>460</v>
      </c>
      <c r="F463" s="64">
        <f t="shared" si="268"/>
        <v>98.72</v>
      </c>
      <c r="G463" s="55">
        <f t="shared" si="269"/>
        <v>4.8867350363173689E-2</v>
      </c>
      <c r="H463" s="78">
        <f t="shared" si="288"/>
        <v>1.6397595618409702E-3</v>
      </c>
      <c r="I463" s="79">
        <f t="shared" ca="1" si="270"/>
        <v>0</v>
      </c>
      <c r="J463" s="79">
        <f t="shared" ca="1" si="271"/>
        <v>0</v>
      </c>
      <c r="K463" s="80">
        <f t="shared" ca="1" si="272"/>
        <v>0</v>
      </c>
      <c r="L463" s="80">
        <f t="shared" ca="1" si="273"/>
        <v>0</v>
      </c>
      <c r="M463" s="80">
        <f t="shared" ca="1" si="274"/>
        <v>0</v>
      </c>
      <c r="N463" s="80">
        <f t="shared" ca="1" si="275"/>
        <v>0</v>
      </c>
      <c r="O463" s="81">
        <f t="shared" ca="1" si="258"/>
        <v>0</v>
      </c>
      <c r="P463" s="79">
        <f t="shared" ca="1" si="259"/>
        <v>0</v>
      </c>
      <c r="Q463" s="35"/>
      <c r="R463">
        <f t="shared" ca="1" si="276"/>
        <v>460</v>
      </c>
      <c r="S463" s="78">
        <f t="shared" ca="1" si="277"/>
        <v>98.72</v>
      </c>
      <c r="T463" s="55">
        <f t="shared" ca="1" si="278"/>
        <v>4.8867350363173689E-2</v>
      </c>
      <c r="U463" s="78">
        <f t="shared" ca="1" si="279"/>
        <v>1.6397595618409702E-3</v>
      </c>
      <c r="V463" s="79">
        <f t="shared" ca="1" si="280"/>
        <v>0</v>
      </c>
      <c r="W463" s="79">
        <f t="shared" ca="1" si="260"/>
        <v>0</v>
      </c>
      <c r="X463" s="80">
        <f t="shared" ca="1" si="261"/>
        <v>0</v>
      </c>
      <c r="Y463" s="80">
        <f t="shared" ca="1" si="281"/>
        <v>0</v>
      </c>
      <c r="Z463" s="80">
        <f t="shared" ca="1" si="262"/>
        <v>0</v>
      </c>
      <c r="AA463" s="80">
        <f t="shared" ca="1" si="282"/>
        <v>0</v>
      </c>
      <c r="AB463" s="81">
        <f t="shared" ca="1" si="263"/>
        <v>0</v>
      </c>
      <c r="AC463" s="79">
        <f t="shared" ca="1" si="264"/>
        <v>0</v>
      </c>
      <c r="AD463" s="35"/>
      <c r="AE463" s="62">
        <f t="shared" ca="1" si="265"/>
        <v>0</v>
      </c>
      <c r="AF463" s="62">
        <f t="shared" ca="1" si="266"/>
        <v>0</v>
      </c>
      <c r="AG463" s="35"/>
      <c r="AH463" s="35"/>
      <c r="AR463" s="69">
        <f t="shared" si="283"/>
        <v>39</v>
      </c>
      <c r="AS463" s="70">
        <f t="shared" si="286"/>
        <v>460</v>
      </c>
      <c r="AT463" s="71">
        <f t="shared" si="287"/>
        <v>4.2910513731623016E-2</v>
      </c>
      <c r="AU463" s="72">
        <f t="shared" si="267"/>
        <v>6.8214933659622723E-3</v>
      </c>
      <c r="AV463" s="73">
        <f t="shared" si="284"/>
        <v>1.0068214933659623</v>
      </c>
      <c r="AW463" s="74">
        <f>PRODUCT(AV$4:AV463)</f>
        <v>22.810770954835153</v>
      </c>
    </row>
    <row r="464" spans="5:49">
      <c r="E464">
        <f t="shared" si="285"/>
        <v>461</v>
      </c>
      <c r="F464" s="64">
        <f t="shared" si="268"/>
        <v>98.8</v>
      </c>
      <c r="G464" s="55">
        <f t="shared" si="269"/>
        <v>4.8867350363173689E-2</v>
      </c>
      <c r="H464" s="78">
        <f t="shared" si="288"/>
        <v>1.5596288568211234E-3</v>
      </c>
      <c r="I464" s="79">
        <f t="shared" ca="1" si="270"/>
        <v>0</v>
      </c>
      <c r="J464" s="79">
        <f t="shared" ca="1" si="271"/>
        <v>0</v>
      </c>
      <c r="K464" s="80">
        <f t="shared" ca="1" si="272"/>
        <v>0</v>
      </c>
      <c r="L464" s="80">
        <f t="shared" ca="1" si="273"/>
        <v>0</v>
      </c>
      <c r="M464" s="80">
        <f t="shared" ca="1" si="274"/>
        <v>0</v>
      </c>
      <c r="N464" s="80">
        <f t="shared" ca="1" si="275"/>
        <v>0</v>
      </c>
      <c r="O464" s="81">
        <f t="shared" ca="1" si="258"/>
        <v>0</v>
      </c>
      <c r="P464" s="79">
        <f t="shared" ca="1" si="259"/>
        <v>0</v>
      </c>
      <c r="Q464" s="35"/>
      <c r="R464">
        <f t="shared" ca="1" si="276"/>
        <v>461</v>
      </c>
      <c r="S464" s="78">
        <f t="shared" ca="1" si="277"/>
        <v>98.8</v>
      </c>
      <c r="T464" s="55">
        <f t="shared" ca="1" si="278"/>
        <v>4.8867350363173689E-2</v>
      </c>
      <c r="U464" s="78">
        <f t="shared" ca="1" si="279"/>
        <v>1.5596288568211234E-3</v>
      </c>
      <c r="V464" s="79">
        <f t="shared" ca="1" si="280"/>
        <v>0</v>
      </c>
      <c r="W464" s="79">
        <f t="shared" ca="1" si="260"/>
        <v>0</v>
      </c>
      <c r="X464" s="80">
        <f t="shared" ca="1" si="261"/>
        <v>0</v>
      </c>
      <c r="Y464" s="80">
        <f t="shared" ca="1" si="281"/>
        <v>0</v>
      </c>
      <c r="Z464" s="80">
        <f t="shared" ca="1" si="262"/>
        <v>0</v>
      </c>
      <c r="AA464" s="80">
        <f t="shared" ca="1" si="282"/>
        <v>0</v>
      </c>
      <c r="AB464" s="81">
        <f t="shared" ca="1" si="263"/>
        <v>0</v>
      </c>
      <c r="AC464" s="79">
        <f t="shared" ca="1" si="264"/>
        <v>0</v>
      </c>
      <c r="AD464" s="35"/>
      <c r="AE464" s="62">
        <f t="shared" ca="1" si="265"/>
        <v>0</v>
      </c>
      <c r="AF464" s="62">
        <f t="shared" ca="1" si="266"/>
        <v>0</v>
      </c>
      <c r="AG464" s="35"/>
      <c r="AH464" s="35"/>
      <c r="AR464" s="69">
        <f t="shared" si="283"/>
        <v>39</v>
      </c>
      <c r="AS464" s="70">
        <f t="shared" si="286"/>
        <v>461</v>
      </c>
      <c r="AT464" s="71">
        <f t="shared" si="287"/>
        <v>4.2617799946872717E-2</v>
      </c>
      <c r="AU464" s="72">
        <f t="shared" si="267"/>
        <v>6.8214933659622723E-3</v>
      </c>
      <c r="AV464" s="73">
        <f t="shared" si="284"/>
        <v>1.0068214933659623</v>
      </c>
      <c r="AW464" s="74">
        <f>PRODUCT(AV$4:AV464)</f>
        <v>22.966374477576046</v>
      </c>
    </row>
    <row r="465" spans="5:49">
      <c r="E465">
        <f t="shared" si="285"/>
        <v>462</v>
      </c>
      <c r="F465" s="64">
        <f t="shared" si="268"/>
        <v>98.88</v>
      </c>
      <c r="G465" s="55">
        <f t="shared" si="269"/>
        <v>4.8867350363173689E-2</v>
      </c>
      <c r="H465" s="78">
        <f t="shared" si="288"/>
        <v>1.4834139270383294E-3</v>
      </c>
      <c r="I465" s="79">
        <f t="shared" ca="1" si="270"/>
        <v>0</v>
      </c>
      <c r="J465" s="79">
        <f t="shared" ca="1" si="271"/>
        <v>0</v>
      </c>
      <c r="K465" s="80">
        <f t="shared" ca="1" si="272"/>
        <v>0</v>
      </c>
      <c r="L465" s="80">
        <f t="shared" ca="1" si="273"/>
        <v>0</v>
      </c>
      <c r="M465" s="80">
        <f t="shared" ca="1" si="274"/>
        <v>0</v>
      </c>
      <c r="N465" s="80">
        <f t="shared" ca="1" si="275"/>
        <v>0</v>
      </c>
      <c r="O465" s="81">
        <f t="shared" ca="1" si="258"/>
        <v>0</v>
      </c>
      <c r="P465" s="79">
        <f t="shared" ca="1" si="259"/>
        <v>0</v>
      </c>
      <c r="Q465" s="35"/>
      <c r="R465">
        <f t="shared" ca="1" si="276"/>
        <v>462</v>
      </c>
      <c r="S465" s="78">
        <f t="shared" ca="1" si="277"/>
        <v>98.88</v>
      </c>
      <c r="T465" s="55">
        <f t="shared" ca="1" si="278"/>
        <v>4.8867350363173689E-2</v>
      </c>
      <c r="U465" s="78">
        <f t="shared" ca="1" si="279"/>
        <v>1.4834139270383294E-3</v>
      </c>
      <c r="V465" s="79">
        <f t="shared" ca="1" si="280"/>
        <v>0</v>
      </c>
      <c r="W465" s="79">
        <f t="shared" ca="1" si="260"/>
        <v>0</v>
      </c>
      <c r="X465" s="80">
        <f t="shared" ca="1" si="261"/>
        <v>0</v>
      </c>
      <c r="Y465" s="80">
        <f t="shared" ca="1" si="281"/>
        <v>0</v>
      </c>
      <c r="Z465" s="80">
        <f t="shared" ca="1" si="262"/>
        <v>0</v>
      </c>
      <c r="AA465" s="80">
        <f t="shared" ca="1" si="282"/>
        <v>0</v>
      </c>
      <c r="AB465" s="81">
        <f t="shared" ca="1" si="263"/>
        <v>0</v>
      </c>
      <c r="AC465" s="79">
        <f t="shared" ca="1" si="264"/>
        <v>0</v>
      </c>
      <c r="AD465" s="35"/>
      <c r="AE465" s="62">
        <f t="shared" ca="1" si="265"/>
        <v>0</v>
      </c>
      <c r="AF465" s="62">
        <f t="shared" ca="1" si="266"/>
        <v>0</v>
      </c>
      <c r="AG465" s="35"/>
      <c r="AH465" s="35"/>
      <c r="AR465" s="69">
        <f t="shared" si="283"/>
        <v>39</v>
      </c>
      <c r="AS465" s="70">
        <f t="shared" si="286"/>
        <v>462</v>
      </c>
      <c r="AT465" s="71">
        <f t="shared" si="287"/>
        <v>4.2327082907263218E-2</v>
      </c>
      <c r="AU465" s="72">
        <f t="shared" si="267"/>
        <v>6.8214933659622723E-3</v>
      </c>
      <c r="AV465" s="73">
        <f t="shared" si="284"/>
        <v>1.0068214933659623</v>
      </c>
      <c r="AW465" s="74">
        <f>PRODUCT(AV$4:AV465)</f>
        <v>23.123039448715037</v>
      </c>
    </row>
    <row r="466" spans="5:49">
      <c r="E466">
        <f t="shared" si="285"/>
        <v>463</v>
      </c>
      <c r="F466" s="64">
        <f t="shared" si="268"/>
        <v>98.96</v>
      </c>
      <c r="G466" s="55">
        <f t="shared" si="269"/>
        <v>4.8867350363173689E-2</v>
      </c>
      <c r="H466" s="78">
        <f t="shared" si="288"/>
        <v>1.4109234189321361E-3</v>
      </c>
      <c r="I466" s="79">
        <f t="shared" ca="1" si="270"/>
        <v>0</v>
      </c>
      <c r="J466" s="79">
        <f t="shared" ca="1" si="271"/>
        <v>0</v>
      </c>
      <c r="K466" s="80">
        <f t="shared" ca="1" si="272"/>
        <v>0</v>
      </c>
      <c r="L466" s="80">
        <f t="shared" ca="1" si="273"/>
        <v>0</v>
      </c>
      <c r="M466" s="80">
        <f t="shared" ca="1" si="274"/>
        <v>0</v>
      </c>
      <c r="N466" s="80">
        <f t="shared" ca="1" si="275"/>
        <v>0</v>
      </c>
      <c r="O466" s="81">
        <f t="shared" ca="1" si="258"/>
        <v>0</v>
      </c>
      <c r="P466" s="79">
        <f t="shared" ca="1" si="259"/>
        <v>0</v>
      </c>
      <c r="Q466" s="35"/>
      <c r="R466">
        <f t="shared" ca="1" si="276"/>
        <v>463</v>
      </c>
      <c r="S466" s="78">
        <f t="shared" ca="1" si="277"/>
        <v>98.96</v>
      </c>
      <c r="T466" s="55">
        <f t="shared" ca="1" si="278"/>
        <v>4.8867350363173689E-2</v>
      </c>
      <c r="U466" s="78">
        <f t="shared" ca="1" si="279"/>
        <v>1.4109234189321361E-3</v>
      </c>
      <c r="V466" s="79">
        <f t="shared" ca="1" si="280"/>
        <v>0</v>
      </c>
      <c r="W466" s="79">
        <f t="shared" ca="1" si="260"/>
        <v>0</v>
      </c>
      <c r="X466" s="80">
        <f t="shared" ca="1" si="261"/>
        <v>0</v>
      </c>
      <c r="Y466" s="80">
        <f t="shared" ca="1" si="281"/>
        <v>0</v>
      </c>
      <c r="Z466" s="80">
        <f t="shared" ca="1" si="262"/>
        <v>0</v>
      </c>
      <c r="AA466" s="80">
        <f t="shared" ca="1" si="282"/>
        <v>0</v>
      </c>
      <c r="AB466" s="81">
        <f t="shared" ca="1" si="263"/>
        <v>0</v>
      </c>
      <c r="AC466" s="79">
        <f t="shared" ca="1" si="264"/>
        <v>0</v>
      </c>
      <c r="AD466" s="35"/>
      <c r="AE466" s="62">
        <f t="shared" ca="1" si="265"/>
        <v>0</v>
      </c>
      <c r="AF466" s="62">
        <f t="shared" ca="1" si="266"/>
        <v>0</v>
      </c>
      <c r="AG466" s="35"/>
      <c r="AH466" s="35"/>
      <c r="AR466" s="69">
        <f t="shared" si="283"/>
        <v>39</v>
      </c>
      <c r="AS466" s="70">
        <f t="shared" si="286"/>
        <v>463</v>
      </c>
      <c r="AT466" s="71">
        <f t="shared" si="287"/>
        <v>4.2038348992010789E-2</v>
      </c>
      <c r="AU466" s="72">
        <f t="shared" si="267"/>
        <v>6.8214933659622723E-3</v>
      </c>
      <c r="AV466" s="73">
        <f t="shared" si="284"/>
        <v>1.0068214933659623</v>
      </c>
      <c r="AW466" s="74">
        <f>PRODUCT(AV$4:AV466)</f>
        <v>23.28077310891533</v>
      </c>
    </row>
    <row r="467" spans="5:49">
      <c r="E467">
        <f t="shared" si="285"/>
        <v>464</v>
      </c>
      <c r="F467" s="64">
        <f t="shared" si="268"/>
        <v>99.04</v>
      </c>
      <c r="G467" s="55">
        <f t="shared" si="269"/>
        <v>4.8867350363173689E-2</v>
      </c>
      <c r="H467" s="78">
        <f t="shared" si="288"/>
        <v>1.3419753298835725E-3</v>
      </c>
      <c r="I467" s="79">
        <f t="shared" ca="1" si="270"/>
        <v>0</v>
      </c>
      <c r="J467" s="79">
        <f t="shared" ca="1" si="271"/>
        <v>0</v>
      </c>
      <c r="K467" s="80">
        <f t="shared" ca="1" si="272"/>
        <v>0</v>
      </c>
      <c r="L467" s="80">
        <f t="shared" ca="1" si="273"/>
        <v>0</v>
      </c>
      <c r="M467" s="80">
        <f t="shared" ca="1" si="274"/>
        <v>0</v>
      </c>
      <c r="N467" s="80">
        <f t="shared" ca="1" si="275"/>
        <v>0</v>
      </c>
      <c r="O467" s="81">
        <f t="shared" ca="1" si="258"/>
        <v>0</v>
      </c>
      <c r="P467" s="79">
        <f t="shared" ca="1" si="259"/>
        <v>0</v>
      </c>
      <c r="Q467" s="35"/>
      <c r="R467">
        <f t="shared" ca="1" si="276"/>
        <v>464</v>
      </c>
      <c r="S467" s="78">
        <f t="shared" ca="1" si="277"/>
        <v>99.04</v>
      </c>
      <c r="T467" s="55">
        <f t="shared" ca="1" si="278"/>
        <v>4.8867350363173689E-2</v>
      </c>
      <c r="U467" s="78">
        <f t="shared" ca="1" si="279"/>
        <v>1.3419753298835725E-3</v>
      </c>
      <c r="V467" s="79">
        <f t="shared" ca="1" si="280"/>
        <v>0</v>
      </c>
      <c r="W467" s="79">
        <f t="shared" ca="1" si="260"/>
        <v>0</v>
      </c>
      <c r="X467" s="80">
        <f t="shared" ca="1" si="261"/>
        <v>0</v>
      </c>
      <c r="Y467" s="80">
        <f t="shared" ca="1" si="281"/>
        <v>0</v>
      </c>
      <c r="Z467" s="80">
        <f t="shared" ca="1" si="262"/>
        <v>0</v>
      </c>
      <c r="AA467" s="80">
        <f t="shared" ca="1" si="282"/>
        <v>0</v>
      </c>
      <c r="AB467" s="81">
        <f t="shared" ca="1" si="263"/>
        <v>0</v>
      </c>
      <c r="AC467" s="79">
        <f t="shared" ca="1" si="264"/>
        <v>0</v>
      </c>
      <c r="AD467" s="35"/>
      <c r="AE467" s="62">
        <f t="shared" ca="1" si="265"/>
        <v>0</v>
      </c>
      <c r="AF467" s="62">
        <f t="shared" ca="1" si="266"/>
        <v>0</v>
      </c>
      <c r="AG467" s="35"/>
      <c r="AH467" s="35"/>
      <c r="AR467" s="69">
        <f t="shared" si="283"/>
        <v>39</v>
      </c>
      <c r="AS467" s="70">
        <f t="shared" si="286"/>
        <v>464</v>
      </c>
      <c r="AT467" s="71">
        <f t="shared" si="287"/>
        <v>4.175158467324578E-2</v>
      </c>
      <c r="AU467" s="72">
        <f t="shared" si="267"/>
        <v>6.8214933659622723E-3</v>
      </c>
      <c r="AV467" s="73">
        <f t="shared" si="284"/>
        <v>1.0068214933659623</v>
      </c>
      <c r="AW467" s="74">
        <f>PRODUCT(AV$4:AV467)</f>
        <v>23.439582748232269</v>
      </c>
    </row>
    <row r="468" spans="5:49">
      <c r="E468">
        <f t="shared" si="285"/>
        <v>465</v>
      </c>
      <c r="F468" s="64">
        <f t="shared" si="268"/>
        <v>99.12</v>
      </c>
      <c r="G468" s="55">
        <f t="shared" si="269"/>
        <v>4.8867350363173689E-2</v>
      </c>
      <c r="H468" s="78">
        <f t="shared" si="288"/>
        <v>1.2763965512594163E-3</v>
      </c>
      <c r="I468" s="79">
        <f t="shared" ca="1" si="270"/>
        <v>0</v>
      </c>
      <c r="J468" s="79">
        <f t="shared" ca="1" si="271"/>
        <v>0</v>
      </c>
      <c r="K468" s="80">
        <f t="shared" ca="1" si="272"/>
        <v>0</v>
      </c>
      <c r="L468" s="80">
        <f t="shared" ca="1" si="273"/>
        <v>0</v>
      </c>
      <c r="M468" s="80">
        <f t="shared" ca="1" si="274"/>
        <v>0</v>
      </c>
      <c r="N468" s="80">
        <f t="shared" ca="1" si="275"/>
        <v>0</v>
      </c>
      <c r="O468" s="81">
        <f t="shared" ca="1" si="258"/>
        <v>0</v>
      </c>
      <c r="P468" s="79">
        <f t="shared" ca="1" si="259"/>
        <v>0</v>
      </c>
      <c r="Q468" s="35"/>
      <c r="R468">
        <f t="shared" ca="1" si="276"/>
        <v>465</v>
      </c>
      <c r="S468" s="78">
        <f t="shared" ca="1" si="277"/>
        <v>99.12</v>
      </c>
      <c r="T468" s="55">
        <f t="shared" ca="1" si="278"/>
        <v>4.8867350363173689E-2</v>
      </c>
      <c r="U468" s="78">
        <f t="shared" ca="1" si="279"/>
        <v>1.2763965512594163E-3</v>
      </c>
      <c r="V468" s="79">
        <f t="shared" ca="1" si="280"/>
        <v>0</v>
      </c>
      <c r="W468" s="79">
        <f t="shared" ca="1" si="260"/>
        <v>0</v>
      </c>
      <c r="X468" s="80">
        <f t="shared" ca="1" si="261"/>
        <v>0</v>
      </c>
      <c r="Y468" s="80">
        <f t="shared" ca="1" si="281"/>
        <v>0</v>
      </c>
      <c r="Z468" s="80">
        <f t="shared" ca="1" si="262"/>
        <v>0</v>
      </c>
      <c r="AA468" s="80">
        <f t="shared" ca="1" si="282"/>
        <v>0</v>
      </c>
      <c r="AB468" s="81">
        <f t="shared" ca="1" si="263"/>
        <v>0</v>
      </c>
      <c r="AC468" s="79">
        <f t="shared" ca="1" si="264"/>
        <v>0</v>
      </c>
      <c r="AD468" s="35"/>
      <c r="AE468" s="62">
        <f t="shared" ca="1" si="265"/>
        <v>0</v>
      </c>
      <c r="AF468" s="62">
        <f t="shared" ca="1" si="266"/>
        <v>0</v>
      </c>
      <c r="AG468" s="35"/>
      <c r="AH468" s="35"/>
      <c r="AR468" s="69">
        <f t="shared" si="283"/>
        <v>39</v>
      </c>
      <c r="AS468" s="70">
        <f t="shared" si="286"/>
        <v>465</v>
      </c>
      <c r="AT468" s="71">
        <f t="shared" si="287"/>
        <v>4.146677651537882E-2</v>
      </c>
      <c r="AU468" s="72">
        <f t="shared" si="267"/>
        <v>6.8214933659622723E-3</v>
      </c>
      <c r="AV468" s="73">
        <f t="shared" si="284"/>
        <v>1.0068214933659623</v>
      </c>
      <c r="AW468" s="74">
        <f>PRODUCT(AV$4:AV468)</f>
        <v>23.59947570645026</v>
      </c>
    </row>
    <row r="469" spans="5:49">
      <c r="E469">
        <f t="shared" si="285"/>
        <v>466</v>
      </c>
      <c r="F469" s="64">
        <f t="shared" si="268"/>
        <v>99.2</v>
      </c>
      <c r="G469" s="55">
        <f t="shared" si="269"/>
        <v>4.8867350363173689E-2</v>
      </c>
      <c r="H469" s="78">
        <f t="shared" si="288"/>
        <v>1.2140224337866758E-3</v>
      </c>
      <c r="I469" s="79">
        <f t="shared" ca="1" si="270"/>
        <v>0</v>
      </c>
      <c r="J469" s="79">
        <f t="shared" ca="1" si="271"/>
        <v>0</v>
      </c>
      <c r="K469" s="80">
        <f t="shared" ca="1" si="272"/>
        <v>0</v>
      </c>
      <c r="L469" s="80">
        <f t="shared" ca="1" si="273"/>
        <v>0</v>
      </c>
      <c r="M469" s="80">
        <f t="shared" ca="1" si="274"/>
        <v>0</v>
      </c>
      <c r="N469" s="80">
        <f t="shared" ca="1" si="275"/>
        <v>0</v>
      </c>
      <c r="O469" s="81">
        <f t="shared" ca="1" si="258"/>
        <v>0</v>
      </c>
      <c r="P469" s="79">
        <f t="shared" ca="1" si="259"/>
        <v>0</v>
      </c>
      <c r="Q469" s="35"/>
      <c r="R469">
        <f t="shared" ca="1" si="276"/>
        <v>466</v>
      </c>
      <c r="S469" s="78">
        <f t="shared" ca="1" si="277"/>
        <v>99.2</v>
      </c>
      <c r="T469" s="55">
        <f t="shared" ca="1" si="278"/>
        <v>4.8867350363173689E-2</v>
      </c>
      <c r="U469" s="78">
        <f t="shared" ca="1" si="279"/>
        <v>1.2140224337866758E-3</v>
      </c>
      <c r="V469" s="79">
        <f t="shared" ca="1" si="280"/>
        <v>0</v>
      </c>
      <c r="W469" s="79">
        <f t="shared" ca="1" si="260"/>
        <v>0</v>
      </c>
      <c r="X469" s="80">
        <f t="shared" ca="1" si="261"/>
        <v>0</v>
      </c>
      <c r="Y469" s="80">
        <f t="shared" ca="1" si="281"/>
        <v>0</v>
      </c>
      <c r="Z469" s="80">
        <f t="shared" ca="1" si="262"/>
        <v>0</v>
      </c>
      <c r="AA469" s="80">
        <f t="shared" ca="1" si="282"/>
        <v>0</v>
      </c>
      <c r="AB469" s="81">
        <f t="shared" ca="1" si="263"/>
        <v>0</v>
      </c>
      <c r="AC469" s="79">
        <f t="shared" ca="1" si="264"/>
        <v>0</v>
      </c>
      <c r="AD469" s="35"/>
      <c r="AE469" s="62">
        <f t="shared" ca="1" si="265"/>
        <v>0</v>
      </c>
      <c r="AF469" s="62">
        <f t="shared" ca="1" si="266"/>
        <v>0</v>
      </c>
      <c r="AG469" s="35"/>
      <c r="AH469" s="35"/>
      <c r="AR469" s="69">
        <f t="shared" si="283"/>
        <v>39</v>
      </c>
      <c r="AS469" s="70">
        <f t="shared" si="286"/>
        <v>466</v>
      </c>
      <c r="AT469" s="71">
        <f t="shared" si="287"/>
        <v>4.1183911174471323E-2</v>
      </c>
      <c r="AU469" s="72">
        <f t="shared" si="267"/>
        <v>6.8214933659622723E-3</v>
      </c>
      <c r="AV469" s="73">
        <f t="shared" si="284"/>
        <v>1.0068214933659623</v>
      </c>
      <c r="AW469" s="74">
        <f>PRODUCT(AV$4:AV469)</f>
        <v>23.760459373421998</v>
      </c>
    </row>
    <row r="470" spans="5:49">
      <c r="E470">
        <f t="shared" si="285"/>
        <v>467</v>
      </c>
      <c r="F470" s="64">
        <f t="shared" si="268"/>
        <v>99.28</v>
      </c>
      <c r="G470" s="55">
        <f t="shared" si="269"/>
        <v>4.8867350363173689E-2</v>
      </c>
      <c r="H470" s="78">
        <f t="shared" si="288"/>
        <v>1.1546963741660694E-3</v>
      </c>
      <c r="I470" s="79">
        <f t="shared" ca="1" si="270"/>
        <v>0</v>
      </c>
      <c r="J470" s="79">
        <f t="shared" ca="1" si="271"/>
        <v>0</v>
      </c>
      <c r="K470" s="80">
        <f t="shared" ca="1" si="272"/>
        <v>0</v>
      </c>
      <c r="L470" s="80">
        <f t="shared" ca="1" si="273"/>
        <v>0</v>
      </c>
      <c r="M470" s="80">
        <f t="shared" ca="1" si="274"/>
        <v>0</v>
      </c>
      <c r="N470" s="80">
        <f t="shared" ca="1" si="275"/>
        <v>0</v>
      </c>
      <c r="O470" s="81">
        <f t="shared" ca="1" si="258"/>
        <v>0</v>
      </c>
      <c r="P470" s="79">
        <f t="shared" ca="1" si="259"/>
        <v>0</v>
      </c>
      <c r="Q470" s="35"/>
      <c r="R470">
        <f t="shared" ca="1" si="276"/>
        <v>467</v>
      </c>
      <c r="S470" s="78">
        <f t="shared" ca="1" si="277"/>
        <v>99.28</v>
      </c>
      <c r="T470" s="55">
        <f t="shared" ca="1" si="278"/>
        <v>4.8867350363173689E-2</v>
      </c>
      <c r="U470" s="78">
        <f t="shared" ca="1" si="279"/>
        <v>1.1546963741660694E-3</v>
      </c>
      <c r="V470" s="79">
        <f t="shared" ca="1" si="280"/>
        <v>0</v>
      </c>
      <c r="W470" s="79">
        <f t="shared" ca="1" si="260"/>
        <v>0</v>
      </c>
      <c r="X470" s="80">
        <f t="shared" ca="1" si="261"/>
        <v>0</v>
      </c>
      <c r="Y470" s="80">
        <f t="shared" ca="1" si="281"/>
        <v>0</v>
      </c>
      <c r="Z470" s="80">
        <f t="shared" ca="1" si="262"/>
        <v>0</v>
      </c>
      <c r="AA470" s="80">
        <f t="shared" ca="1" si="282"/>
        <v>0</v>
      </c>
      <c r="AB470" s="81">
        <f t="shared" ca="1" si="263"/>
        <v>0</v>
      </c>
      <c r="AC470" s="79">
        <f t="shared" ca="1" si="264"/>
        <v>0</v>
      </c>
      <c r="AD470" s="35"/>
      <c r="AE470" s="62">
        <f t="shared" ca="1" si="265"/>
        <v>0</v>
      </c>
      <c r="AF470" s="62">
        <f t="shared" ca="1" si="266"/>
        <v>0</v>
      </c>
      <c r="AG470" s="35"/>
      <c r="AH470" s="35"/>
      <c r="AR470" s="69">
        <f t="shared" si="283"/>
        <v>39</v>
      </c>
      <c r="AS470" s="70">
        <f t="shared" si="286"/>
        <v>467</v>
      </c>
      <c r="AT470" s="71">
        <f t="shared" si="287"/>
        <v>4.0902975397610286E-2</v>
      </c>
      <c r="AU470" s="72">
        <f t="shared" si="267"/>
        <v>6.8214933659622723E-3</v>
      </c>
      <c r="AV470" s="73">
        <f t="shared" si="284"/>
        <v>1.0068214933659623</v>
      </c>
      <c r="AW470" s="74">
        <f>PRODUCT(AV$4:AV470)</f>
        <v>23.922541189410012</v>
      </c>
    </row>
    <row r="471" spans="5:49">
      <c r="E471">
        <f t="shared" si="285"/>
        <v>468</v>
      </c>
      <c r="F471" s="64">
        <f t="shared" si="268"/>
        <v>99.36</v>
      </c>
      <c r="G471" s="55">
        <f t="shared" si="269"/>
        <v>4.8867350363173689E-2</v>
      </c>
      <c r="H471" s="78">
        <f t="shared" si="288"/>
        <v>1.0982694218866099E-3</v>
      </c>
      <c r="I471" s="79">
        <f t="shared" ca="1" si="270"/>
        <v>0</v>
      </c>
      <c r="J471" s="79">
        <f t="shared" ca="1" si="271"/>
        <v>0</v>
      </c>
      <c r="K471" s="80">
        <f t="shared" ca="1" si="272"/>
        <v>0</v>
      </c>
      <c r="L471" s="80">
        <f t="shared" ca="1" si="273"/>
        <v>0</v>
      </c>
      <c r="M471" s="80">
        <f t="shared" ca="1" si="274"/>
        <v>0</v>
      </c>
      <c r="N471" s="80">
        <f t="shared" ca="1" si="275"/>
        <v>0</v>
      </c>
      <c r="O471" s="81">
        <f t="shared" ca="1" si="258"/>
        <v>0</v>
      </c>
      <c r="P471" s="79">
        <f t="shared" ca="1" si="259"/>
        <v>0</v>
      </c>
      <c r="Q471" s="35"/>
      <c r="R471">
        <f t="shared" ca="1" si="276"/>
        <v>468</v>
      </c>
      <c r="S471" s="78">
        <f t="shared" ca="1" si="277"/>
        <v>99.36</v>
      </c>
      <c r="T471" s="55">
        <f t="shared" ca="1" si="278"/>
        <v>4.8867350363173689E-2</v>
      </c>
      <c r="U471" s="78">
        <f t="shared" ca="1" si="279"/>
        <v>1.0982694218866099E-3</v>
      </c>
      <c r="V471" s="79">
        <f t="shared" ca="1" si="280"/>
        <v>0</v>
      </c>
      <c r="W471" s="79">
        <f t="shared" ca="1" si="260"/>
        <v>0</v>
      </c>
      <c r="X471" s="80">
        <f t="shared" ca="1" si="261"/>
        <v>0</v>
      </c>
      <c r="Y471" s="80">
        <f t="shared" ca="1" si="281"/>
        <v>0</v>
      </c>
      <c r="Z471" s="80">
        <f t="shared" ca="1" si="262"/>
        <v>0</v>
      </c>
      <c r="AA471" s="80">
        <f t="shared" ca="1" si="282"/>
        <v>0</v>
      </c>
      <c r="AB471" s="81">
        <f t="shared" ca="1" si="263"/>
        <v>0</v>
      </c>
      <c r="AC471" s="79">
        <f t="shared" ca="1" si="264"/>
        <v>0</v>
      </c>
      <c r="AD471" s="35"/>
      <c r="AE471" s="62">
        <f t="shared" ca="1" si="265"/>
        <v>0</v>
      </c>
      <c r="AF471" s="62">
        <f t="shared" ca="1" si="266"/>
        <v>0</v>
      </c>
      <c r="AG471" s="35"/>
      <c r="AH471" s="35"/>
      <c r="AR471" s="69">
        <f t="shared" si="283"/>
        <v>39</v>
      </c>
      <c r="AS471" s="70">
        <f t="shared" si="286"/>
        <v>468</v>
      </c>
      <c r="AT471" s="71">
        <f t="shared" si="287"/>
        <v>4.0623956022287369E-2</v>
      </c>
      <c r="AU471" s="72">
        <f t="shared" si="267"/>
        <v>6.8214933659622723E-3</v>
      </c>
      <c r="AV471" s="73">
        <f t="shared" si="284"/>
        <v>1.0068214933659623</v>
      </c>
      <c r="AW471" s="74">
        <f>PRODUCT(AV$4:AV471)</f>
        <v>24.085728645430532</v>
      </c>
    </row>
    <row r="472" spans="5:49">
      <c r="E472">
        <f t="shared" si="285"/>
        <v>469</v>
      </c>
      <c r="F472" s="64">
        <f t="shared" si="268"/>
        <v>99.44</v>
      </c>
      <c r="G472" s="55">
        <f t="shared" si="269"/>
        <v>4.8867350363173689E-2</v>
      </c>
      <c r="H472" s="78">
        <f t="shared" si="288"/>
        <v>1.0445999052541167E-3</v>
      </c>
      <c r="I472" s="79">
        <f t="shared" ca="1" si="270"/>
        <v>0</v>
      </c>
      <c r="J472" s="79">
        <f t="shared" ca="1" si="271"/>
        <v>0</v>
      </c>
      <c r="K472" s="80">
        <f t="shared" ca="1" si="272"/>
        <v>0</v>
      </c>
      <c r="L472" s="80">
        <f t="shared" ca="1" si="273"/>
        <v>0</v>
      </c>
      <c r="M472" s="80">
        <f t="shared" ca="1" si="274"/>
        <v>0</v>
      </c>
      <c r="N472" s="80">
        <f t="shared" ca="1" si="275"/>
        <v>0</v>
      </c>
      <c r="O472" s="81">
        <f t="shared" ca="1" si="258"/>
        <v>0</v>
      </c>
      <c r="P472" s="79">
        <f t="shared" ca="1" si="259"/>
        <v>0</v>
      </c>
      <c r="Q472" s="35"/>
      <c r="R472">
        <f t="shared" ca="1" si="276"/>
        <v>469</v>
      </c>
      <c r="S472" s="78">
        <f t="shared" ca="1" si="277"/>
        <v>99.44</v>
      </c>
      <c r="T472" s="55">
        <f t="shared" ca="1" si="278"/>
        <v>4.8867350363173689E-2</v>
      </c>
      <c r="U472" s="78">
        <f t="shared" ca="1" si="279"/>
        <v>1.0445999052541167E-3</v>
      </c>
      <c r="V472" s="79">
        <f t="shared" ca="1" si="280"/>
        <v>0</v>
      </c>
      <c r="W472" s="79">
        <f t="shared" ca="1" si="260"/>
        <v>0</v>
      </c>
      <c r="X472" s="80">
        <f t="shared" ca="1" si="261"/>
        <v>0</v>
      </c>
      <c r="Y472" s="80">
        <f t="shared" ca="1" si="281"/>
        <v>0</v>
      </c>
      <c r="Z472" s="80">
        <f t="shared" ca="1" si="262"/>
        <v>0</v>
      </c>
      <c r="AA472" s="80">
        <f t="shared" ca="1" si="282"/>
        <v>0</v>
      </c>
      <c r="AB472" s="81">
        <f t="shared" ca="1" si="263"/>
        <v>0</v>
      </c>
      <c r="AC472" s="79">
        <f t="shared" ca="1" si="264"/>
        <v>0</v>
      </c>
      <c r="AD472" s="35"/>
      <c r="AE472" s="62">
        <f t="shared" ca="1" si="265"/>
        <v>0</v>
      </c>
      <c r="AF472" s="62">
        <f t="shared" ca="1" si="266"/>
        <v>0</v>
      </c>
      <c r="AG472" s="35"/>
      <c r="AH472" s="35"/>
      <c r="AR472" s="69">
        <f t="shared" si="283"/>
        <v>40</v>
      </c>
      <c r="AS472" s="70">
        <f t="shared" si="286"/>
        <v>469</v>
      </c>
      <c r="AT472" s="71">
        <f t="shared" si="287"/>
        <v>4.0346839975782194E-2</v>
      </c>
      <c r="AU472" s="72">
        <f t="shared" si="267"/>
        <v>6.8214933659622723E-3</v>
      </c>
      <c r="AV472" s="73">
        <f t="shared" si="284"/>
        <v>1.0068214933659623</v>
      </c>
      <c r="AW472" s="74">
        <f>PRODUCT(AV$4:AV472)</f>
        <v>24.250029283599705</v>
      </c>
    </row>
    <row r="473" spans="5:49">
      <c r="E473">
        <f t="shared" si="285"/>
        <v>470</v>
      </c>
      <c r="F473" s="64">
        <f t="shared" si="268"/>
        <v>99.52</v>
      </c>
      <c r="G473" s="55">
        <f t="shared" si="269"/>
        <v>5.3587726218805809E-2</v>
      </c>
      <c r="H473" s="78">
        <f t="shared" si="288"/>
        <v>9.886221715231687E-4</v>
      </c>
      <c r="I473" s="79">
        <f t="shared" ca="1" si="270"/>
        <v>0</v>
      </c>
      <c r="J473" s="79">
        <f t="shared" ca="1" si="271"/>
        <v>0</v>
      </c>
      <c r="K473" s="80">
        <f t="shared" ca="1" si="272"/>
        <v>0</v>
      </c>
      <c r="L473" s="80">
        <f t="shared" ca="1" si="273"/>
        <v>0</v>
      </c>
      <c r="M473" s="80">
        <f t="shared" ca="1" si="274"/>
        <v>0</v>
      </c>
      <c r="N473" s="80">
        <f t="shared" ca="1" si="275"/>
        <v>0</v>
      </c>
      <c r="O473" s="81">
        <f t="shared" ca="1" si="258"/>
        <v>0</v>
      </c>
      <c r="P473" s="79">
        <f t="shared" ca="1" si="259"/>
        <v>0</v>
      </c>
      <c r="Q473" s="35"/>
      <c r="R473">
        <f t="shared" ca="1" si="276"/>
        <v>470</v>
      </c>
      <c r="S473" s="78">
        <f t="shared" ca="1" si="277"/>
        <v>99.52</v>
      </c>
      <c r="T473" s="55">
        <f t="shared" ca="1" si="278"/>
        <v>5.3587726218805809E-2</v>
      </c>
      <c r="U473" s="78">
        <f t="shared" ca="1" si="279"/>
        <v>9.886221715231687E-4</v>
      </c>
      <c r="V473" s="79">
        <f t="shared" ca="1" si="280"/>
        <v>0</v>
      </c>
      <c r="W473" s="79">
        <f t="shared" ca="1" si="260"/>
        <v>0</v>
      </c>
      <c r="X473" s="80">
        <f t="shared" ca="1" si="261"/>
        <v>0</v>
      </c>
      <c r="Y473" s="80">
        <f t="shared" ca="1" si="281"/>
        <v>0</v>
      </c>
      <c r="Z473" s="80">
        <f t="shared" ca="1" si="262"/>
        <v>0</v>
      </c>
      <c r="AA473" s="80">
        <f t="shared" ca="1" si="282"/>
        <v>0</v>
      </c>
      <c r="AB473" s="81">
        <f t="shared" ca="1" si="263"/>
        <v>0</v>
      </c>
      <c r="AC473" s="79">
        <f t="shared" ca="1" si="264"/>
        <v>0</v>
      </c>
      <c r="AD473" s="35"/>
      <c r="AE473" s="62">
        <f t="shared" ca="1" si="265"/>
        <v>0</v>
      </c>
      <c r="AF473" s="62">
        <f t="shared" ca="1" si="266"/>
        <v>0</v>
      </c>
      <c r="AG473" s="35"/>
      <c r="AH473" s="35"/>
      <c r="AR473" s="69">
        <f t="shared" si="283"/>
        <v>40</v>
      </c>
      <c r="AS473" s="70">
        <f t="shared" si="286"/>
        <v>470</v>
      </c>
      <c r="AT473" s="71">
        <f t="shared" si="287"/>
        <v>4.0071614274549854E-2</v>
      </c>
      <c r="AU473" s="72">
        <f t="shared" si="267"/>
        <v>6.8214933659622723E-3</v>
      </c>
      <c r="AV473" s="73">
        <f t="shared" si="284"/>
        <v>1.0068214933659623</v>
      </c>
      <c r="AW473" s="74">
        <f>PRODUCT(AV$4:AV473)</f>
        <v>24.415450697482171</v>
      </c>
    </row>
    <row r="474" spans="5:49">
      <c r="E474">
        <f t="shared" si="285"/>
        <v>471</v>
      </c>
      <c r="F474" s="64">
        <f t="shared" si="268"/>
        <v>99.6</v>
      </c>
      <c r="G474" s="55">
        <f t="shared" si="269"/>
        <v>5.3587726218805809E-2</v>
      </c>
      <c r="H474" s="78">
        <f t="shared" si="288"/>
        <v>9.356441572617439E-4</v>
      </c>
      <c r="I474" s="79">
        <f t="shared" ca="1" si="270"/>
        <v>0</v>
      </c>
      <c r="J474" s="79">
        <f t="shared" ca="1" si="271"/>
        <v>0</v>
      </c>
      <c r="K474" s="80">
        <f t="shared" ca="1" si="272"/>
        <v>0</v>
      </c>
      <c r="L474" s="80">
        <f t="shared" ca="1" si="273"/>
        <v>0</v>
      </c>
      <c r="M474" s="80">
        <f t="shared" ca="1" si="274"/>
        <v>0</v>
      </c>
      <c r="N474" s="80">
        <f t="shared" ca="1" si="275"/>
        <v>0</v>
      </c>
      <c r="O474" s="81">
        <f t="shared" ca="1" si="258"/>
        <v>0</v>
      </c>
      <c r="P474" s="79">
        <f t="shared" ca="1" si="259"/>
        <v>0</v>
      </c>
      <c r="Q474" s="35"/>
      <c r="R474">
        <f t="shared" ca="1" si="276"/>
        <v>471</v>
      </c>
      <c r="S474" s="78">
        <f t="shared" ca="1" si="277"/>
        <v>99.6</v>
      </c>
      <c r="T474" s="55">
        <f t="shared" ca="1" si="278"/>
        <v>5.3587726218805809E-2</v>
      </c>
      <c r="U474" s="78">
        <f t="shared" ca="1" si="279"/>
        <v>9.356441572617439E-4</v>
      </c>
      <c r="V474" s="79">
        <f t="shared" ca="1" si="280"/>
        <v>0</v>
      </c>
      <c r="W474" s="79">
        <f t="shared" ca="1" si="260"/>
        <v>0</v>
      </c>
      <c r="X474" s="80">
        <f t="shared" ca="1" si="261"/>
        <v>0</v>
      </c>
      <c r="Y474" s="80">
        <f t="shared" ca="1" si="281"/>
        <v>0</v>
      </c>
      <c r="Z474" s="80">
        <f t="shared" ca="1" si="262"/>
        <v>0</v>
      </c>
      <c r="AA474" s="80">
        <f t="shared" ca="1" si="282"/>
        <v>0</v>
      </c>
      <c r="AB474" s="81">
        <f t="shared" ca="1" si="263"/>
        <v>0</v>
      </c>
      <c r="AC474" s="79">
        <f t="shared" ca="1" si="264"/>
        <v>0</v>
      </c>
      <c r="AD474" s="35"/>
      <c r="AE474" s="62">
        <f t="shared" ca="1" si="265"/>
        <v>0</v>
      </c>
      <c r="AF474" s="62">
        <f t="shared" ca="1" si="266"/>
        <v>0</v>
      </c>
      <c r="AG474" s="35"/>
      <c r="AH474" s="35"/>
      <c r="AR474" s="69">
        <f t="shared" si="283"/>
        <v>40</v>
      </c>
      <c r="AS474" s="70">
        <f t="shared" si="286"/>
        <v>471</v>
      </c>
      <c r="AT474" s="71">
        <f t="shared" si="287"/>
        <v>3.9798266023612611E-2</v>
      </c>
      <c r="AU474" s="72">
        <f t="shared" si="267"/>
        <v>6.8214933659622723E-3</v>
      </c>
      <c r="AV474" s="73">
        <f t="shared" si="284"/>
        <v>1.0068214933659623</v>
      </c>
      <c r="AW474" s="74">
        <f>PRODUCT(AV$4:AV474)</f>
        <v>24.582000532442024</v>
      </c>
    </row>
    <row r="475" spans="5:49">
      <c r="E475">
        <f t="shared" si="285"/>
        <v>472</v>
      </c>
      <c r="F475" s="64">
        <f t="shared" si="268"/>
        <v>99.68</v>
      </c>
      <c r="G475" s="55">
        <f t="shared" si="269"/>
        <v>5.3587726218805809E-2</v>
      </c>
      <c r="H475" s="78">
        <f t="shared" si="288"/>
        <v>8.8550511432417629E-4</v>
      </c>
      <c r="I475" s="79">
        <f t="shared" ca="1" si="270"/>
        <v>0</v>
      </c>
      <c r="J475" s="79">
        <f t="shared" ca="1" si="271"/>
        <v>0</v>
      </c>
      <c r="K475" s="80">
        <f t="shared" ca="1" si="272"/>
        <v>0</v>
      </c>
      <c r="L475" s="80">
        <f t="shared" ca="1" si="273"/>
        <v>0</v>
      </c>
      <c r="M475" s="80">
        <f t="shared" ca="1" si="274"/>
        <v>0</v>
      </c>
      <c r="N475" s="80">
        <f t="shared" ca="1" si="275"/>
        <v>0</v>
      </c>
      <c r="O475" s="81">
        <f t="shared" ca="1" si="258"/>
        <v>0</v>
      </c>
      <c r="P475" s="79">
        <f t="shared" ca="1" si="259"/>
        <v>0</v>
      </c>
      <c r="Q475" s="35"/>
      <c r="R475">
        <f t="shared" ca="1" si="276"/>
        <v>472</v>
      </c>
      <c r="S475" s="78">
        <f t="shared" ca="1" si="277"/>
        <v>99.68</v>
      </c>
      <c r="T475" s="55">
        <f t="shared" ca="1" si="278"/>
        <v>5.3587726218805809E-2</v>
      </c>
      <c r="U475" s="78">
        <f t="shared" ca="1" si="279"/>
        <v>8.8550511432417629E-4</v>
      </c>
      <c r="V475" s="79">
        <f t="shared" ca="1" si="280"/>
        <v>0</v>
      </c>
      <c r="W475" s="79">
        <f t="shared" ca="1" si="260"/>
        <v>0</v>
      </c>
      <c r="X475" s="80">
        <f t="shared" ca="1" si="261"/>
        <v>0</v>
      </c>
      <c r="Y475" s="80">
        <f t="shared" ca="1" si="281"/>
        <v>0</v>
      </c>
      <c r="Z475" s="80">
        <f t="shared" ca="1" si="262"/>
        <v>0</v>
      </c>
      <c r="AA475" s="80">
        <f t="shared" ca="1" si="282"/>
        <v>0</v>
      </c>
      <c r="AB475" s="81">
        <f t="shared" ca="1" si="263"/>
        <v>0</v>
      </c>
      <c r="AC475" s="79">
        <f t="shared" ca="1" si="264"/>
        <v>0</v>
      </c>
      <c r="AD475" s="35"/>
      <c r="AE475" s="62">
        <f t="shared" ca="1" si="265"/>
        <v>0</v>
      </c>
      <c r="AF475" s="62">
        <f t="shared" ca="1" si="266"/>
        <v>0</v>
      </c>
      <c r="AG475" s="35"/>
      <c r="AH475" s="35"/>
      <c r="AR475" s="69">
        <f t="shared" si="283"/>
        <v>40</v>
      </c>
      <c r="AS475" s="70">
        <f t="shared" si="286"/>
        <v>472</v>
      </c>
      <c r="AT475" s="71">
        <f t="shared" si="287"/>
        <v>3.9526782415955738E-2</v>
      </c>
      <c r="AU475" s="72">
        <f t="shared" si="267"/>
        <v>6.8214933659622723E-3</v>
      </c>
      <c r="AV475" s="73">
        <f t="shared" si="284"/>
        <v>1.0068214933659623</v>
      </c>
      <c r="AW475" s="74">
        <f>PRODUCT(AV$4:AV475)</f>
        <v>24.749686485996158</v>
      </c>
    </row>
    <row r="476" spans="5:49">
      <c r="E476">
        <f t="shared" si="285"/>
        <v>473</v>
      </c>
      <c r="F476" s="64">
        <f t="shared" si="268"/>
        <v>99.76</v>
      </c>
      <c r="G476" s="55">
        <f t="shared" si="269"/>
        <v>5.3587726218805809E-2</v>
      </c>
      <c r="H476" s="78">
        <f t="shared" si="288"/>
        <v>8.3805290869241997E-4</v>
      </c>
      <c r="I476" s="79">
        <f t="shared" ca="1" si="270"/>
        <v>0</v>
      </c>
      <c r="J476" s="79">
        <f t="shared" ca="1" si="271"/>
        <v>0</v>
      </c>
      <c r="K476" s="80">
        <f t="shared" ca="1" si="272"/>
        <v>0</v>
      </c>
      <c r="L476" s="80">
        <f t="shared" ca="1" si="273"/>
        <v>0</v>
      </c>
      <c r="M476" s="80">
        <f t="shared" ca="1" si="274"/>
        <v>0</v>
      </c>
      <c r="N476" s="80">
        <f t="shared" ca="1" si="275"/>
        <v>0</v>
      </c>
      <c r="O476" s="81">
        <f t="shared" ca="1" si="258"/>
        <v>0</v>
      </c>
      <c r="P476" s="79">
        <f t="shared" ca="1" si="259"/>
        <v>0</v>
      </c>
      <c r="Q476" s="35"/>
      <c r="R476">
        <f t="shared" ca="1" si="276"/>
        <v>473</v>
      </c>
      <c r="S476" s="78">
        <f t="shared" ca="1" si="277"/>
        <v>99.76</v>
      </c>
      <c r="T476" s="55">
        <f t="shared" ca="1" si="278"/>
        <v>5.3587726218805809E-2</v>
      </c>
      <c r="U476" s="78">
        <f t="shared" ca="1" si="279"/>
        <v>8.3805290869241997E-4</v>
      </c>
      <c r="V476" s="79">
        <f t="shared" ca="1" si="280"/>
        <v>0</v>
      </c>
      <c r="W476" s="79">
        <f t="shared" ca="1" si="260"/>
        <v>0</v>
      </c>
      <c r="X476" s="80">
        <f t="shared" ca="1" si="261"/>
        <v>0</v>
      </c>
      <c r="Y476" s="80">
        <f t="shared" ca="1" si="281"/>
        <v>0</v>
      </c>
      <c r="Z476" s="80">
        <f t="shared" ca="1" si="262"/>
        <v>0</v>
      </c>
      <c r="AA476" s="80">
        <f t="shared" ca="1" si="282"/>
        <v>0</v>
      </c>
      <c r="AB476" s="81">
        <f t="shared" ca="1" si="263"/>
        <v>0</v>
      </c>
      <c r="AC476" s="79">
        <f t="shared" ca="1" si="264"/>
        <v>0</v>
      </c>
      <c r="AD476" s="35"/>
      <c r="AE476" s="62">
        <f t="shared" ca="1" si="265"/>
        <v>0</v>
      </c>
      <c r="AF476" s="62">
        <f t="shared" ca="1" si="266"/>
        <v>0</v>
      </c>
      <c r="AG476" s="35"/>
      <c r="AH476" s="35"/>
      <c r="AR476" s="69">
        <f t="shared" si="283"/>
        <v>40</v>
      </c>
      <c r="AS476" s="70">
        <f t="shared" si="286"/>
        <v>473</v>
      </c>
      <c r="AT476" s="71">
        <f t="shared" si="287"/>
        <v>3.9257150731927461E-2</v>
      </c>
      <c r="AU476" s="72">
        <f t="shared" si="267"/>
        <v>6.8214933659622723E-3</v>
      </c>
      <c r="AV476" s="73">
        <f t="shared" si="284"/>
        <v>1.0068214933659623</v>
      </c>
      <c r="AW476" s="74">
        <f>PRODUCT(AV$4:AV476)</f>
        <v>24.918516308170027</v>
      </c>
    </row>
    <row r="477" spans="5:49">
      <c r="E477">
        <f t="shared" si="285"/>
        <v>474</v>
      </c>
      <c r="F477" s="64">
        <f t="shared" si="268"/>
        <v>99.84</v>
      </c>
      <c r="G477" s="55">
        <f t="shared" si="269"/>
        <v>5.3587726218805809E-2</v>
      </c>
      <c r="H477" s="78">
        <f t="shared" si="288"/>
        <v>7.9314355886453674E-4</v>
      </c>
      <c r="I477" s="79">
        <f t="shared" ca="1" si="270"/>
        <v>0</v>
      </c>
      <c r="J477" s="79">
        <f t="shared" ca="1" si="271"/>
        <v>0</v>
      </c>
      <c r="K477" s="80">
        <f t="shared" ca="1" si="272"/>
        <v>0</v>
      </c>
      <c r="L477" s="80">
        <f t="shared" ca="1" si="273"/>
        <v>0</v>
      </c>
      <c r="M477" s="80">
        <f t="shared" ca="1" si="274"/>
        <v>0</v>
      </c>
      <c r="N477" s="80">
        <f t="shared" ca="1" si="275"/>
        <v>0</v>
      </c>
      <c r="O477" s="81">
        <f t="shared" ca="1" si="258"/>
        <v>0</v>
      </c>
      <c r="P477" s="79">
        <f t="shared" ca="1" si="259"/>
        <v>0</v>
      </c>
      <c r="Q477" s="35"/>
      <c r="R477">
        <f t="shared" ca="1" si="276"/>
        <v>474</v>
      </c>
      <c r="S477" s="78">
        <f t="shared" ca="1" si="277"/>
        <v>99.84</v>
      </c>
      <c r="T477" s="55">
        <f t="shared" ca="1" si="278"/>
        <v>5.3587726218805809E-2</v>
      </c>
      <c r="U477" s="78">
        <f t="shared" ca="1" si="279"/>
        <v>7.9314355886453674E-4</v>
      </c>
      <c r="V477" s="79">
        <f t="shared" ca="1" si="280"/>
        <v>0</v>
      </c>
      <c r="W477" s="79">
        <f t="shared" ca="1" si="260"/>
        <v>0</v>
      </c>
      <c r="X477" s="80">
        <f t="shared" ca="1" si="261"/>
        <v>0</v>
      </c>
      <c r="Y477" s="80">
        <f t="shared" ca="1" si="281"/>
        <v>0</v>
      </c>
      <c r="Z477" s="80">
        <f t="shared" ca="1" si="262"/>
        <v>0</v>
      </c>
      <c r="AA477" s="80">
        <f t="shared" ca="1" si="282"/>
        <v>0</v>
      </c>
      <c r="AB477" s="81">
        <f t="shared" ca="1" si="263"/>
        <v>0</v>
      </c>
      <c r="AC477" s="79">
        <f t="shared" ca="1" si="264"/>
        <v>0</v>
      </c>
      <c r="AD477" s="35"/>
      <c r="AE477" s="62">
        <f t="shared" ca="1" si="265"/>
        <v>0</v>
      </c>
      <c r="AF477" s="62">
        <f t="shared" ca="1" si="266"/>
        <v>0</v>
      </c>
      <c r="AG477" s="35"/>
      <c r="AH477" s="35"/>
      <c r="AR477" s="69">
        <f t="shared" si="283"/>
        <v>40</v>
      </c>
      <c r="AS477" s="70">
        <f t="shared" si="286"/>
        <v>474</v>
      </c>
      <c r="AT477" s="71">
        <f t="shared" si="287"/>
        <v>3.8989358338643039E-2</v>
      </c>
      <c r="AU477" s="72">
        <f t="shared" si="267"/>
        <v>6.8214933659622723E-3</v>
      </c>
      <c r="AV477" s="73">
        <f t="shared" si="284"/>
        <v>1.0068214933659623</v>
      </c>
      <c r="AW477" s="74">
        <f>PRODUCT(AV$4:AV477)</f>
        <v>25.08849780185583</v>
      </c>
    </row>
    <row r="478" spans="5:49">
      <c r="E478">
        <f t="shared" si="285"/>
        <v>475</v>
      </c>
      <c r="F478" s="64">
        <f t="shared" si="268"/>
        <v>99.92</v>
      </c>
      <c r="G478" s="55">
        <f t="shared" si="269"/>
        <v>5.3587726218805809E-2</v>
      </c>
      <c r="H478" s="78">
        <f t="shared" si="288"/>
        <v>7.5064079897989462E-4</v>
      </c>
      <c r="I478" s="79">
        <f t="shared" ca="1" si="270"/>
        <v>0</v>
      </c>
      <c r="J478" s="79">
        <f t="shared" ca="1" si="271"/>
        <v>0</v>
      </c>
      <c r="K478" s="80">
        <f t="shared" ca="1" si="272"/>
        <v>0</v>
      </c>
      <c r="L478" s="80">
        <f t="shared" ca="1" si="273"/>
        <v>0</v>
      </c>
      <c r="M478" s="80">
        <f t="shared" ca="1" si="274"/>
        <v>0</v>
      </c>
      <c r="N478" s="80">
        <f t="shared" ca="1" si="275"/>
        <v>0</v>
      </c>
      <c r="O478" s="81">
        <f t="shared" ca="1" si="258"/>
        <v>0</v>
      </c>
      <c r="P478" s="79">
        <f t="shared" ca="1" si="259"/>
        <v>0</v>
      </c>
      <c r="Q478" s="35"/>
      <c r="R478">
        <f t="shared" ca="1" si="276"/>
        <v>475</v>
      </c>
      <c r="S478" s="78">
        <f t="shared" ca="1" si="277"/>
        <v>99.92</v>
      </c>
      <c r="T478" s="55">
        <f t="shared" ca="1" si="278"/>
        <v>5.3587726218805809E-2</v>
      </c>
      <c r="U478" s="78">
        <f t="shared" ca="1" si="279"/>
        <v>7.5064079897989462E-4</v>
      </c>
      <c r="V478" s="79">
        <f t="shared" ca="1" si="280"/>
        <v>0</v>
      </c>
      <c r="W478" s="79">
        <f t="shared" ca="1" si="260"/>
        <v>0</v>
      </c>
      <c r="X478" s="80">
        <f t="shared" ca="1" si="261"/>
        <v>0</v>
      </c>
      <c r="Y478" s="80">
        <f t="shared" ca="1" si="281"/>
        <v>0</v>
      </c>
      <c r="Z478" s="80">
        <f t="shared" ca="1" si="262"/>
        <v>0</v>
      </c>
      <c r="AA478" s="80">
        <f t="shared" ca="1" si="282"/>
        <v>0</v>
      </c>
      <c r="AB478" s="81">
        <f t="shared" ca="1" si="263"/>
        <v>0</v>
      </c>
      <c r="AC478" s="79">
        <f t="shared" ca="1" si="264"/>
        <v>0</v>
      </c>
      <c r="AD478" s="35"/>
      <c r="AE478" s="62">
        <f t="shared" ca="1" si="265"/>
        <v>0</v>
      </c>
      <c r="AF478" s="62">
        <f t="shared" ca="1" si="266"/>
        <v>0</v>
      </c>
      <c r="AG478" s="35"/>
      <c r="AH478" s="35"/>
      <c r="AR478" s="69">
        <f t="shared" si="283"/>
        <v>40</v>
      </c>
      <c r="AS478" s="70">
        <f t="shared" si="286"/>
        <v>475</v>
      </c>
      <c r="AT478" s="71">
        <f t="shared" si="287"/>
        <v>3.8723392689392858E-2</v>
      </c>
      <c r="AU478" s="72">
        <f t="shared" si="267"/>
        <v>6.8214933659622723E-3</v>
      </c>
      <c r="AV478" s="73">
        <f t="shared" si="284"/>
        <v>1.0068214933659623</v>
      </c>
      <c r="AW478" s="74">
        <f>PRODUCT(AV$4:AV478)</f>
        <v>25.259638823173148</v>
      </c>
    </row>
    <row r="479" spans="5:49">
      <c r="E479">
        <f t="shared" si="285"/>
        <v>476</v>
      </c>
      <c r="F479" s="64">
        <f t="shared" si="268"/>
        <v>100</v>
      </c>
      <c r="G479" s="55">
        <f t="shared" si="269"/>
        <v>5.3587726218805809E-2</v>
      </c>
      <c r="H479" s="78">
        <f t="shared" si="288"/>
        <v>7.1041566535549438E-4</v>
      </c>
      <c r="I479" s="79">
        <f t="shared" ca="1" si="270"/>
        <v>0</v>
      </c>
      <c r="J479" s="79">
        <f t="shared" ca="1" si="271"/>
        <v>0</v>
      </c>
      <c r="K479" s="80">
        <f t="shared" ca="1" si="272"/>
        <v>0</v>
      </c>
      <c r="L479" s="80">
        <f t="shared" ca="1" si="273"/>
        <v>0</v>
      </c>
      <c r="M479" s="80">
        <f t="shared" ca="1" si="274"/>
        <v>0</v>
      </c>
      <c r="N479" s="80">
        <f t="shared" ca="1" si="275"/>
        <v>0</v>
      </c>
      <c r="O479" s="81">
        <f t="shared" ca="1" si="258"/>
        <v>0</v>
      </c>
      <c r="P479" s="79">
        <f t="shared" ca="1" si="259"/>
        <v>0</v>
      </c>
      <c r="Q479" s="35"/>
      <c r="R479">
        <f t="shared" ca="1" si="276"/>
        <v>476</v>
      </c>
      <c r="S479" s="78">
        <f t="shared" ca="1" si="277"/>
        <v>100</v>
      </c>
      <c r="T479" s="55">
        <f t="shared" ca="1" si="278"/>
        <v>5.3587726218805809E-2</v>
      </c>
      <c r="U479" s="78">
        <f t="shared" ca="1" si="279"/>
        <v>7.1041566535549438E-4</v>
      </c>
      <c r="V479" s="79">
        <f t="shared" ca="1" si="280"/>
        <v>0</v>
      </c>
      <c r="W479" s="79">
        <f t="shared" ca="1" si="260"/>
        <v>0</v>
      </c>
      <c r="X479" s="80">
        <f t="shared" ca="1" si="261"/>
        <v>0</v>
      </c>
      <c r="Y479" s="80">
        <f t="shared" ca="1" si="281"/>
        <v>0</v>
      </c>
      <c r="Z479" s="80">
        <f t="shared" ca="1" si="262"/>
        <v>0</v>
      </c>
      <c r="AA479" s="80">
        <f t="shared" ca="1" si="282"/>
        <v>0</v>
      </c>
      <c r="AB479" s="81">
        <f t="shared" ca="1" si="263"/>
        <v>0</v>
      </c>
      <c r="AC479" s="79">
        <f t="shared" ca="1" si="264"/>
        <v>0</v>
      </c>
      <c r="AD479" s="35"/>
      <c r="AE479" s="62">
        <f t="shared" ca="1" si="265"/>
        <v>0</v>
      </c>
      <c r="AF479" s="62">
        <f t="shared" ca="1" si="266"/>
        <v>0</v>
      </c>
      <c r="AG479" s="35"/>
      <c r="AH479" s="35"/>
      <c r="AR479" s="69">
        <f t="shared" si="283"/>
        <v>40</v>
      </c>
      <c r="AS479" s="70">
        <f t="shared" si="286"/>
        <v>476</v>
      </c>
      <c r="AT479" s="71">
        <f t="shared" si="287"/>
        <v>3.8459241323054609E-2</v>
      </c>
      <c r="AU479" s="72">
        <f t="shared" si="267"/>
        <v>6.8214933659622723E-3</v>
      </c>
      <c r="AV479" s="73">
        <f t="shared" si="284"/>
        <v>1.0068214933659623</v>
      </c>
      <c r="AW479" s="74">
        <f>PRODUCT(AV$4:AV479)</f>
        <v>25.431947281832027</v>
      </c>
    </row>
    <row r="480" spans="5:49">
      <c r="E480">
        <f t="shared" si="285"/>
        <v>477</v>
      </c>
      <c r="F480" s="64">
        <f t="shared" si="268"/>
        <v>100.08</v>
      </c>
      <c r="G480" s="55">
        <f t="shared" si="269"/>
        <v>5.3587726218805809E-2</v>
      </c>
      <c r="H480" s="78">
        <f t="shared" si="288"/>
        <v>6.7234610517887341E-4</v>
      </c>
      <c r="I480" s="79">
        <f t="shared" ca="1" si="270"/>
        <v>0</v>
      </c>
      <c r="J480" s="79">
        <f t="shared" ca="1" si="271"/>
        <v>0</v>
      </c>
      <c r="K480" s="80">
        <f t="shared" ca="1" si="272"/>
        <v>0</v>
      </c>
      <c r="L480" s="80">
        <f t="shared" ca="1" si="273"/>
        <v>0</v>
      </c>
      <c r="M480" s="80">
        <f t="shared" ca="1" si="274"/>
        <v>0</v>
      </c>
      <c r="N480" s="80">
        <f t="shared" ca="1" si="275"/>
        <v>0</v>
      </c>
      <c r="O480" s="81">
        <f t="shared" ca="1" si="258"/>
        <v>0</v>
      </c>
      <c r="P480" s="79">
        <f t="shared" ca="1" si="259"/>
        <v>0</v>
      </c>
      <c r="Q480" s="35"/>
      <c r="R480">
        <f t="shared" ca="1" si="276"/>
        <v>477</v>
      </c>
      <c r="S480" s="78">
        <f t="shared" ca="1" si="277"/>
        <v>100.08</v>
      </c>
      <c r="T480" s="55">
        <f t="shared" ca="1" si="278"/>
        <v>5.3587726218805809E-2</v>
      </c>
      <c r="U480" s="78">
        <f t="shared" ca="1" si="279"/>
        <v>6.7234610517887341E-4</v>
      </c>
      <c r="V480" s="79">
        <f t="shared" ca="1" si="280"/>
        <v>0</v>
      </c>
      <c r="W480" s="79">
        <f t="shared" ca="1" si="260"/>
        <v>0</v>
      </c>
      <c r="X480" s="80">
        <f t="shared" ca="1" si="261"/>
        <v>0</v>
      </c>
      <c r="Y480" s="80">
        <f t="shared" ca="1" si="281"/>
        <v>0</v>
      </c>
      <c r="Z480" s="80">
        <f t="shared" ca="1" si="262"/>
        <v>0</v>
      </c>
      <c r="AA480" s="80">
        <f t="shared" ca="1" si="282"/>
        <v>0</v>
      </c>
      <c r="AB480" s="81">
        <f t="shared" ca="1" si="263"/>
        <v>0</v>
      </c>
      <c r="AC480" s="79">
        <f t="shared" ca="1" si="264"/>
        <v>0</v>
      </c>
      <c r="AD480" s="35"/>
      <c r="AE480" s="62">
        <f t="shared" ca="1" si="265"/>
        <v>0</v>
      </c>
      <c r="AF480" s="62">
        <f t="shared" ca="1" si="266"/>
        <v>0</v>
      </c>
      <c r="AG480" s="35"/>
      <c r="AH480" s="35"/>
      <c r="AR480" s="69">
        <f t="shared" si="283"/>
        <v>40</v>
      </c>
      <c r="AS480" s="70">
        <f t="shared" si="286"/>
        <v>477</v>
      </c>
      <c r="AT480" s="71">
        <f t="shared" si="287"/>
        <v>3.8196891863509448E-2</v>
      </c>
      <c r="AU480" s="72">
        <f t="shared" si="267"/>
        <v>6.8214933659622723E-3</v>
      </c>
      <c r="AV480" s="73">
        <f t="shared" si="284"/>
        <v>1.0068214933659623</v>
      </c>
      <c r="AW480" s="74">
        <f>PRODUCT(AV$4:AV480)</f>
        <v>25.605431141498546</v>
      </c>
    </row>
    <row r="481" spans="5:49">
      <c r="E481">
        <f t="shared" si="285"/>
        <v>478</v>
      </c>
      <c r="F481" s="64">
        <f t="shared" si="268"/>
        <v>100.16</v>
      </c>
      <c r="G481" s="55">
        <f t="shared" si="269"/>
        <v>5.3587726218805809E-2</v>
      </c>
      <c r="H481" s="78">
        <f t="shared" si="288"/>
        <v>6.3631660617026757E-4</v>
      </c>
      <c r="I481" s="79">
        <f t="shared" ca="1" si="270"/>
        <v>0</v>
      </c>
      <c r="J481" s="79">
        <f t="shared" ca="1" si="271"/>
        <v>0</v>
      </c>
      <c r="K481" s="80">
        <f t="shared" ca="1" si="272"/>
        <v>0</v>
      </c>
      <c r="L481" s="80">
        <f t="shared" ca="1" si="273"/>
        <v>0</v>
      </c>
      <c r="M481" s="80">
        <f t="shared" ca="1" si="274"/>
        <v>0</v>
      </c>
      <c r="N481" s="80">
        <f t="shared" ca="1" si="275"/>
        <v>0</v>
      </c>
      <c r="O481" s="81">
        <f t="shared" ca="1" si="258"/>
        <v>0</v>
      </c>
      <c r="P481" s="79">
        <f t="shared" ca="1" si="259"/>
        <v>0</v>
      </c>
      <c r="Q481" s="35"/>
      <c r="R481">
        <f t="shared" ca="1" si="276"/>
        <v>478</v>
      </c>
      <c r="S481" s="78">
        <f t="shared" ca="1" si="277"/>
        <v>100.16</v>
      </c>
      <c r="T481" s="55">
        <f t="shared" ca="1" si="278"/>
        <v>5.3587726218805809E-2</v>
      </c>
      <c r="U481" s="78">
        <f t="shared" ca="1" si="279"/>
        <v>6.3631660617026757E-4</v>
      </c>
      <c r="V481" s="79">
        <f t="shared" ca="1" si="280"/>
        <v>0</v>
      </c>
      <c r="W481" s="79">
        <f t="shared" ca="1" si="260"/>
        <v>0</v>
      </c>
      <c r="X481" s="80">
        <f t="shared" ca="1" si="261"/>
        <v>0</v>
      </c>
      <c r="Y481" s="80">
        <f t="shared" ca="1" si="281"/>
        <v>0</v>
      </c>
      <c r="Z481" s="80">
        <f t="shared" ca="1" si="262"/>
        <v>0</v>
      </c>
      <c r="AA481" s="80">
        <f t="shared" ca="1" si="282"/>
        <v>0</v>
      </c>
      <c r="AB481" s="81">
        <f t="shared" ca="1" si="263"/>
        <v>0</v>
      </c>
      <c r="AC481" s="79">
        <f t="shared" ca="1" si="264"/>
        <v>0</v>
      </c>
      <c r="AD481" s="35"/>
      <c r="AE481" s="62">
        <f t="shared" ca="1" si="265"/>
        <v>0</v>
      </c>
      <c r="AF481" s="62">
        <f t="shared" ca="1" si="266"/>
        <v>0</v>
      </c>
      <c r="AG481" s="35"/>
      <c r="AH481" s="35"/>
      <c r="AR481" s="69">
        <f t="shared" si="283"/>
        <v>40</v>
      </c>
      <c r="AS481" s="70">
        <f t="shared" si="286"/>
        <v>478</v>
      </c>
      <c r="AT481" s="71">
        <f t="shared" si="287"/>
        <v>3.7936332019062137E-2</v>
      </c>
      <c r="AU481" s="72">
        <f t="shared" si="267"/>
        <v>6.8214933659622723E-3</v>
      </c>
      <c r="AV481" s="73">
        <f t="shared" si="284"/>
        <v>1.0068214933659623</v>
      </c>
      <c r="AW481" s="74">
        <f>PRODUCT(AV$4:AV481)</f>
        <v>25.780098420162883</v>
      </c>
    </row>
    <row r="482" spans="5:49">
      <c r="E482">
        <f t="shared" si="285"/>
        <v>479</v>
      </c>
      <c r="F482" s="64">
        <f t="shared" si="268"/>
        <v>100.24</v>
      </c>
      <c r="G482" s="55">
        <f t="shared" si="269"/>
        <v>5.3587726218805809E-2</v>
      </c>
      <c r="H482" s="78">
        <f t="shared" si="288"/>
        <v>6.0221784609033554E-4</v>
      </c>
      <c r="I482" s="79">
        <f t="shared" ca="1" si="270"/>
        <v>0</v>
      </c>
      <c r="J482" s="79">
        <f t="shared" ca="1" si="271"/>
        <v>0</v>
      </c>
      <c r="K482" s="80">
        <f t="shared" ca="1" si="272"/>
        <v>0</v>
      </c>
      <c r="L482" s="80">
        <f t="shared" ca="1" si="273"/>
        <v>0</v>
      </c>
      <c r="M482" s="80">
        <f t="shared" ca="1" si="274"/>
        <v>0</v>
      </c>
      <c r="N482" s="80">
        <f t="shared" ca="1" si="275"/>
        <v>0</v>
      </c>
      <c r="O482" s="81">
        <f t="shared" ca="1" si="258"/>
        <v>0</v>
      </c>
      <c r="P482" s="79">
        <f t="shared" ca="1" si="259"/>
        <v>0</v>
      </c>
      <c r="Q482" s="35"/>
      <c r="R482">
        <f t="shared" ca="1" si="276"/>
        <v>479</v>
      </c>
      <c r="S482" s="78">
        <f t="shared" ca="1" si="277"/>
        <v>100.24</v>
      </c>
      <c r="T482" s="55">
        <f t="shared" ca="1" si="278"/>
        <v>5.3587726218805809E-2</v>
      </c>
      <c r="U482" s="78">
        <f t="shared" ca="1" si="279"/>
        <v>6.0221784609033554E-4</v>
      </c>
      <c r="V482" s="79">
        <f t="shared" ca="1" si="280"/>
        <v>0</v>
      </c>
      <c r="W482" s="79">
        <f t="shared" ca="1" si="260"/>
        <v>0</v>
      </c>
      <c r="X482" s="80">
        <f t="shared" ca="1" si="261"/>
        <v>0</v>
      </c>
      <c r="Y482" s="80">
        <f t="shared" ca="1" si="281"/>
        <v>0</v>
      </c>
      <c r="Z482" s="80">
        <f t="shared" ca="1" si="262"/>
        <v>0</v>
      </c>
      <c r="AA482" s="80">
        <f t="shared" ca="1" si="282"/>
        <v>0</v>
      </c>
      <c r="AB482" s="81">
        <f t="shared" ca="1" si="263"/>
        <v>0</v>
      </c>
      <c r="AC482" s="79">
        <f t="shared" ca="1" si="264"/>
        <v>0</v>
      </c>
      <c r="AD482" s="35"/>
      <c r="AE482" s="62">
        <f t="shared" ca="1" si="265"/>
        <v>0</v>
      </c>
      <c r="AF482" s="62">
        <f t="shared" ca="1" si="266"/>
        <v>0</v>
      </c>
      <c r="AG482" s="35"/>
      <c r="AH482" s="35"/>
      <c r="AR482" s="69">
        <f t="shared" si="283"/>
        <v>40</v>
      </c>
      <c r="AS482" s="70">
        <f t="shared" si="286"/>
        <v>479</v>
      </c>
      <c r="AT482" s="71">
        <f t="shared" si="287"/>
        <v>3.7677549581865165E-2</v>
      </c>
      <c r="AU482" s="72">
        <f t="shared" si="267"/>
        <v>6.8214933659622723E-3</v>
      </c>
      <c r="AV482" s="73">
        <f t="shared" si="284"/>
        <v>1.0068214933659623</v>
      </c>
      <c r="AW482" s="74">
        <f>PRODUCT(AV$4:AV482)</f>
        <v>25.955957190509878</v>
      </c>
    </row>
    <row r="483" spans="5:49">
      <c r="E483">
        <f t="shared" si="285"/>
        <v>480</v>
      </c>
      <c r="F483" s="64">
        <f t="shared" si="268"/>
        <v>100.32</v>
      </c>
      <c r="G483" s="55">
        <f t="shared" si="269"/>
        <v>5.3587726218805809E-2</v>
      </c>
      <c r="H483" s="78">
        <f t="shared" si="288"/>
        <v>5.6994636102996774E-4</v>
      </c>
      <c r="I483" s="79">
        <f t="shared" ca="1" si="270"/>
        <v>0</v>
      </c>
      <c r="J483" s="79">
        <f t="shared" ca="1" si="271"/>
        <v>0</v>
      </c>
      <c r="K483" s="80">
        <f t="shared" ca="1" si="272"/>
        <v>0</v>
      </c>
      <c r="L483" s="80">
        <f t="shared" ca="1" si="273"/>
        <v>0</v>
      </c>
      <c r="M483" s="80">
        <f t="shared" ca="1" si="274"/>
        <v>0</v>
      </c>
      <c r="N483" s="80">
        <f t="shared" ca="1" si="275"/>
        <v>0</v>
      </c>
      <c r="O483" s="81">
        <f t="shared" ca="1" si="258"/>
        <v>0</v>
      </c>
      <c r="P483" s="79">
        <f t="shared" ca="1" si="259"/>
        <v>0</v>
      </c>
      <c r="Q483" s="35"/>
      <c r="R483">
        <f t="shared" ca="1" si="276"/>
        <v>480</v>
      </c>
      <c r="S483" s="78">
        <f t="shared" ca="1" si="277"/>
        <v>100.32</v>
      </c>
      <c r="T483" s="55">
        <f t="shared" ca="1" si="278"/>
        <v>5.3587726218805809E-2</v>
      </c>
      <c r="U483" s="78">
        <f t="shared" ca="1" si="279"/>
        <v>5.6994636102996774E-4</v>
      </c>
      <c r="V483" s="79">
        <f t="shared" ca="1" si="280"/>
        <v>0</v>
      </c>
      <c r="W483" s="79">
        <f t="shared" ca="1" si="260"/>
        <v>0</v>
      </c>
      <c r="X483" s="80">
        <f t="shared" ca="1" si="261"/>
        <v>0</v>
      </c>
      <c r="Y483" s="80">
        <f t="shared" ca="1" si="281"/>
        <v>0</v>
      </c>
      <c r="Z483" s="80">
        <f t="shared" ca="1" si="262"/>
        <v>0</v>
      </c>
      <c r="AA483" s="80">
        <f t="shared" ca="1" si="282"/>
        <v>0</v>
      </c>
      <c r="AB483" s="81">
        <f t="shared" ca="1" si="263"/>
        <v>0</v>
      </c>
      <c r="AC483" s="79">
        <f t="shared" ca="1" si="264"/>
        <v>0</v>
      </c>
      <c r="AD483" s="35"/>
      <c r="AE483" s="62">
        <f t="shared" ca="1" si="265"/>
        <v>0</v>
      </c>
      <c r="AF483" s="62">
        <f t="shared" ca="1" si="266"/>
        <v>0</v>
      </c>
      <c r="AG483" s="35"/>
      <c r="AH483" s="35"/>
      <c r="AR483" s="69">
        <f t="shared" si="283"/>
        <v>40</v>
      </c>
      <c r="AS483" s="70">
        <f t="shared" si="286"/>
        <v>480</v>
      </c>
      <c r="AT483" s="71">
        <f t="shared" si="287"/>
        <v>3.7420532427346755E-2</v>
      </c>
      <c r="AU483" s="72">
        <f t="shared" si="267"/>
        <v>6.8214933659622723E-3</v>
      </c>
      <c r="AV483" s="73">
        <f t="shared" si="284"/>
        <v>1.0068214933659623</v>
      </c>
      <c r="AW483" s="74">
        <f>PRODUCT(AV$4:AV483)</f>
        <v>26.133015580292142</v>
      </c>
    </row>
    <row r="484" spans="5:49">
      <c r="E484">
        <f t="shared" si="285"/>
        <v>481</v>
      </c>
      <c r="F484" s="64">
        <f t="shared" si="268"/>
        <v>100.4</v>
      </c>
      <c r="G484" s="55">
        <f t="shared" si="269"/>
        <v>5.3587726218805809E-2</v>
      </c>
      <c r="H484" s="78">
        <f t="shared" si="288"/>
        <v>5.3940423147568915E-4</v>
      </c>
      <c r="I484" s="79">
        <f t="shared" ca="1" si="270"/>
        <v>0</v>
      </c>
      <c r="J484" s="79">
        <f t="shared" ca="1" si="271"/>
        <v>0</v>
      </c>
      <c r="K484" s="80">
        <f t="shared" ca="1" si="272"/>
        <v>0</v>
      </c>
      <c r="L484" s="80">
        <f t="shared" ca="1" si="273"/>
        <v>0</v>
      </c>
      <c r="M484" s="80">
        <f t="shared" ca="1" si="274"/>
        <v>0</v>
      </c>
      <c r="N484" s="80">
        <f t="shared" ca="1" si="275"/>
        <v>0</v>
      </c>
      <c r="O484" s="81">
        <f t="shared" ca="1" si="258"/>
        <v>0</v>
      </c>
      <c r="P484" s="79">
        <f t="shared" ca="1" si="259"/>
        <v>0</v>
      </c>
      <c r="Q484" s="35"/>
      <c r="R484">
        <f t="shared" ca="1" si="276"/>
        <v>481</v>
      </c>
      <c r="S484" s="78">
        <f t="shared" ca="1" si="277"/>
        <v>100.4</v>
      </c>
      <c r="T484" s="55">
        <f t="shared" ca="1" si="278"/>
        <v>5.3587726218805809E-2</v>
      </c>
      <c r="U484" s="78">
        <f t="shared" ca="1" si="279"/>
        <v>5.3940423147568915E-4</v>
      </c>
      <c r="V484" s="79">
        <f t="shared" ca="1" si="280"/>
        <v>0</v>
      </c>
      <c r="W484" s="79">
        <f t="shared" ca="1" si="260"/>
        <v>0</v>
      </c>
      <c r="X484" s="80">
        <f t="shared" ca="1" si="261"/>
        <v>0</v>
      </c>
      <c r="Y484" s="80">
        <f t="shared" ca="1" si="281"/>
        <v>0</v>
      </c>
      <c r="Z484" s="80">
        <f t="shared" ca="1" si="262"/>
        <v>0</v>
      </c>
      <c r="AA484" s="80">
        <f t="shared" ca="1" si="282"/>
        <v>0</v>
      </c>
      <c r="AB484" s="81">
        <f t="shared" ca="1" si="263"/>
        <v>0</v>
      </c>
      <c r="AC484" s="79">
        <f t="shared" ca="1" si="264"/>
        <v>0</v>
      </c>
      <c r="AD484" s="35"/>
      <c r="AE484" s="62">
        <f t="shared" ca="1" si="265"/>
        <v>0</v>
      </c>
      <c r="AF484" s="62">
        <f t="shared" ca="1" si="266"/>
        <v>0</v>
      </c>
      <c r="AG484" s="35"/>
      <c r="AH484" s="35"/>
      <c r="AR484" s="69">
        <f t="shared" si="283"/>
        <v>41</v>
      </c>
      <c r="AS484" s="70">
        <f t="shared" si="286"/>
        <v>481</v>
      </c>
      <c r="AT484" s="71">
        <f t="shared" si="287"/>
        <v>3.7165268513642831E-2</v>
      </c>
      <c r="AU484" s="72">
        <f t="shared" si="267"/>
        <v>6.8214933659622723E-3</v>
      </c>
      <c r="AV484" s="73">
        <f t="shared" si="284"/>
        <v>1.0068214933659623</v>
      </c>
      <c r="AW484" s="74">
        <f>PRODUCT(AV$4:AV484)</f>
        <v>26.311281772705694</v>
      </c>
    </row>
    <row r="485" spans="5:49">
      <c r="E485">
        <f t="shared" si="285"/>
        <v>482</v>
      </c>
      <c r="F485" s="64">
        <f t="shared" si="268"/>
        <v>100.48</v>
      </c>
      <c r="G485" s="55">
        <f t="shared" si="269"/>
        <v>5.3587726218805809E-2</v>
      </c>
      <c r="H485" s="78">
        <f t="shared" si="288"/>
        <v>5.1049878519810452E-4</v>
      </c>
      <c r="I485" s="79">
        <f t="shared" ca="1" si="270"/>
        <v>0</v>
      </c>
      <c r="J485" s="79">
        <f t="shared" ca="1" si="271"/>
        <v>0</v>
      </c>
      <c r="K485" s="80">
        <f t="shared" ca="1" si="272"/>
        <v>0</v>
      </c>
      <c r="L485" s="80">
        <f t="shared" ca="1" si="273"/>
        <v>0</v>
      </c>
      <c r="M485" s="80">
        <f t="shared" ca="1" si="274"/>
        <v>0</v>
      </c>
      <c r="N485" s="80">
        <f t="shared" ca="1" si="275"/>
        <v>0</v>
      </c>
      <c r="O485" s="81">
        <f t="shared" ca="1" si="258"/>
        <v>0</v>
      </c>
      <c r="P485" s="79">
        <f t="shared" ca="1" si="259"/>
        <v>0</v>
      </c>
      <c r="Q485" s="35"/>
      <c r="R485">
        <f t="shared" ca="1" si="276"/>
        <v>482</v>
      </c>
      <c r="S485" s="78">
        <f t="shared" ca="1" si="277"/>
        <v>100.48</v>
      </c>
      <c r="T485" s="55">
        <f t="shared" ca="1" si="278"/>
        <v>5.3587726218805809E-2</v>
      </c>
      <c r="U485" s="78">
        <f t="shared" ca="1" si="279"/>
        <v>5.1049878519810452E-4</v>
      </c>
      <c r="V485" s="79">
        <f t="shared" ca="1" si="280"/>
        <v>0</v>
      </c>
      <c r="W485" s="79">
        <f t="shared" ca="1" si="260"/>
        <v>0</v>
      </c>
      <c r="X485" s="80">
        <f t="shared" ca="1" si="261"/>
        <v>0</v>
      </c>
      <c r="Y485" s="80">
        <f t="shared" ca="1" si="281"/>
        <v>0</v>
      </c>
      <c r="Z485" s="80">
        <f t="shared" ca="1" si="262"/>
        <v>0</v>
      </c>
      <c r="AA485" s="80">
        <f t="shared" ca="1" si="282"/>
        <v>0</v>
      </c>
      <c r="AB485" s="81">
        <f t="shared" ca="1" si="263"/>
        <v>0</v>
      </c>
      <c r="AC485" s="79">
        <f t="shared" ca="1" si="264"/>
        <v>0</v>
      </c>
      <c r="AD485" s="35"/>
      <c r="AE485" s="62">
        <f t="shared" ca="1" si="265"/>
        <v>0</v>
      </c>
      <c r="AF485" s="62">
        <f t="shared" ca="1" si="266"/>
        <v>0</v>
      </c>
      <c r="AG485" s="35"/>
      <c r="AH485" s="35"/>
      <c r="AR485" s="69">
        <f t="shared" si="283"/>
        <v>41</v>
      </c>
      <c r="AS485" s="70">
        <f t="shared" si="286"/>
        <v>482</v>
      </c>
      <c r="AT485" s="71">
        <f t="shared" si="287"/>
        <v>3.6911745881032812E-2</v>
      </c>
      <c r="AU485" s="72">
        <f t="shared" si="267"/>
        <v>6.8214933659622723E-3</v>
      </c>
      <c r="AV485" s="73">
        <f t="shared" si="284"/>
        <v>1.0068214933659623</v>
      </c>
      <c r="AW485" s="74">
        <f>PRODUCT(AV$4:AV485)</f>
        <v>26.49076400676817</v>
      </c>
    </row>
    <row r="486" spans="5:49">
      <c r="E486">
        <f t="shared" si="285"/>
        <v>483</v>
      </c>
      <c r="F486" s="64">
        <f t="shared" si="268"/>
        <v>100.56</v>
      </c>
      <c r="G486" s="55">
        <f t="shared" si="269"/>
        <v>5.8781892102293565E-2</v>
      </c>
      <c r="H486" s="78">
        <f t="shared" si="288"/>
        <v>4.804907006882376E-4</v>
      </c>
      <c r="I486" s="79">
        <f t="shared" ca="1" si="270"/>
        <v>0</v>
      </c>
      <c r="J486" s="79">
        <f t="shared" ca="1" si="271"/>
        <v>0</v>
      </c>
      <c r="K486" s="80">
        <f t="shared" ca="1" si="272"/>
        <v>0</v>
      </c>
      <c r="L486" s="80">
        <f t="shared" ca="1" si="273"/>
        <v>0</v>
      </c>
      <c r="M486" s="80">
        <f t="shared" ca="1" si="274"/>
        <v>0</v>
      </c>
      <c r="N486" s="80">
        <f t="shared" ca="1" si="275"/>
        <v>0</v>
      </c>
      <c r="O486" s="81">
        <f t="shared" ca="1" si="258"/>
        <v>0</v>
      </c>
      <c r="P486" s="79">
        <f t="shared" ca="1" si="259"/>
        <v>0</v>
      </c>
      <c r="Q486" s="35"/>
      <c r="R486">
        <f t="shared" ca="1" si="276"/>
        <v>483</v>
      </c>
      <c r="S486" s="78">
        <f t="shared" ca="1" si="277"/>
        <v>100.56</v>
      </c>
      <c r="T486" s="55">
        <f t="shared" ca="1" si="278"/>
        <v>5.8781892102293565E-2</v>
      </c>
      <c r="U486" s="78">
        <f t="shared" ca="1" si="279"/>
        <v>4.804907006882376E-4</v>
      </c>
      <c r="V486" s="79">
        <f t="shared" ca="1" si="280"/>
        <v>0</v>
      </c>
      <c r="W486" s="79">
        <f t="shared" ca="1" si="260"/>
        <v>0</v>
      </c>
      <c r="X486" s="80">
        <f t="shared" ca="1" si="261"/>
        <v>0</v>
      </c>
      <c r="Y486" s="80">
        <f t="shared" ca="1" si="281"/>
        <v>0</v>
      </c>
      <c r="Z486" s="80">
        <f t="shared" ca="1" si="262"/>
        <v>0</v>
      </c>
      <c r="AA486" s="80">
        <f t="shared" ca="1" si="282"/>
        <v>0</v>
      </c>
      <c r="AB486" s="81">
        <f t="shared" ca="1" si="263"/>
        <v>0</v>
      </c>
      <c r="AC486" s="79">
        <f t="shared" ca="1" si="264"/>
        <v>0</v>
      </c>
      <c r="AD486" s="35"/>
      <c r="AE486" s="62">
        <f t="shared" ca="1" si="265"/>
        <v>0</v>
      </c>
      <c r="AF486" s="62">
        <f t="shared" ca="1" si="266"/>
        <v>0</v>
      </c>
      <c r="AG486" s="35"/>
      <c r="AH486" s="35"/>
      <c r="AR486" s="69">
        <f t="shared" si="283"/>
        <v>41</v>
      </c>
      <c r="AS486" s="70">
        <f t="shared" si="286"/>
        <v>483</v>
      </c>
      <c r="AT486" s="71">
        <f t="shared" si="287"/>
        <v>3.6659952651379259E-2</v>
      </c>
      <c r="AU486" s="72">
        <f t="shared" si="267"/>
        <v>6.8214933659622723E-3</v>
      </c>
      <c r="AV486" s="73">
        <f t="shared" si="284"/>
        <v>1.0068214933659623</v>
      </c>
      <c r="AW486" s="74">
        <f>PRODUCT(AV$4:AV486)</f>
        <v>26.671470577699612</v>
      </c>
    </row>
    <row r="487" spans="5:49">
      <c r="E487">
        <f t="shared" si="285"/>
        <v>484</v>
      </c>
      <c r="F487" s="64">
        <f t="shared" si="268"/>
        <v>100.64</v>
      </c>
      <c r="G487" s="55">
        <f t="shared" si="269"/>
        <v>5.8781892102293565E-2</v>
      </c>
      <c r="H487" s="78">
        <f t="shared" si="288"/>
        <v>4.522465481642262E-4</v>
      </c>
      <c r="I487" s="79">
        <f t="shared" ca="1" si="270"/>
        <v>0</v>
      </c>
      <c r="J487" s="79">
        <f t="shared" ca="1" si="271"/>
        <v>0</v>
      </c>
      <c r="K487" s="80">
        <f t="shared" ca="1" si="272"/>
        <v>0</v>
      </c>
      <c r="L487" s="80">
        <f t="shared" ca="1" si="273"/>
        <v>0</v>
      </c>
      <c r="M487" s="80">
        <f t="shared" ca="1" si="274"/>
        <v>0</v>
      </c>
      <c r="N487" s="80">
        <f t="shared" ca="1" si="275"/>
        <v>0</v>
      </c>
      <c r="O487" s="81">
        <f t="shared" ca="1" si="258"/>
        <v>0</v>
      </c>
      <c r="P487" s="79">
        <f t="shared" ca="1" si="259"/>
        <v>0</v>
      </c>
      <c r="Q487" s="35"/>
      <c r="R487">
        <f t="shared" ca="1" si="276"/>
        <v>484</v>
      </c>
      <c r="S487" s="78">
        <f t="shared" ca="1" si="277"/>
        <v>100.64</v>
      </c>
      <c r="T487" s="55">
        <f t="shared" ca="1" si="278"/>
        <v>5.8781892102293565E-2</v>
      </c>
      <c r="U487" s="78">
        <f t="shared" ca="1" si="279"/>
        <v>4.522465481642262E-4</v>
      </c>
      <c r="V487" s="79">
        <f t="shared" ca="1" si="280"/>
        <v>0</v>
      </c>
      <c r="W487" s="79">
        <f t="shared" ca="1" si="260"/>
        <v>0</v>
      </c>
      <c r="X487" s="80">
        <f t="shared" ca="1" si="261"/>
        <v>0</v>
      </c>
      <c r="Y487" s="80">
        <f t="shared" ca="1" si="281"/>
        <v>0</v>
      </c>
      <c r="Z487" s="80">
        <f t="shared" ca="1" si="262"/>
        <v>0</v>
      </c>
      <c r="AA487" s="80">
        <f t="shared" ca="1" si="282"/>
        <v>0</v>
      </c>
      <c r="AB487" s="81">
        <f t="shared" ca="1" si="263"/>
        <v>0</v>
      </c>
      <c r="AC487" s="79">
        <f t="shared" ca="1" si="264"/>
        <v>0</v>
      </c>
      <c r="AD487" s="35"/>
      <c r="AE487" s="62">
        <f t="shared" ca="1" si="265"/>
        <v>0</v>
      </c>
      <c r="AF487" s="62">
        <f t="shared" ca="1" si="266"/>
        <v>0</v>
      </c>
      <c r="AG487" s="35"/>
      <c r="AH487" s="35"/>
      <c r="AR487" s="69">
        <f t="shared" si="283"/>
        <v>41</v>
      </c>
      <c r="AS487" s="70">
        <f t="shared" si="286"/>
        <v>484</v>
      </c>
      <c r="AT487" s="71">
        <f t="shared" si="287"/>
        <v>3.6409877027571383E-2</v>
      </c>
      <c r="AU487" s="72">
        <f t="shared" si="267"/>
        <v>6.8214933659622723E-3</v>
      </c>
      <c r="AV487" s="73">
        <f t="shared" si="284"/>
        <v>1.0068214933659623</v>
      </c>
      <c r="AW487" s="74">
        <f>PRODUCT(AV$4:AV487)</f>
        <v>26.853409837305847</v>
      </c>
    </row>
    <row r="488" spans="5:49">
      <c r="E488">
        <f t="shared" si="285"/>
        <v>485</v>
      </c>
      <c r="F488" s="64">
        <f t="shared" si="268"/>
        <v>100.72</v>
      </c>
      <c r="G488" s="55">
        <f t="shared" si="269"/>
        <v>5.8781892102293565E-2</v>
      </c>
      <c r="H488" s="78">
        <f t="shared" si="288"/>
        <v>4.2566264036640193E-4</v>
      </c>
      <c r="I488" s="79">
        <f t="shared" ca="1" si="270"/>
        <v>0</v>
      </c>
      <c r="J488" s="79">
        <f t="shared" ca="1" si="271"/>
        <v>0</v>
      </c>
      <c r="K488" s="80">
        <f t="shared" ca="1" si="272"/>
        <v>0</v>
      </c>
      <c r="L488" s="80">
        <f t="shared" ca="1" si="273"/>
        <v>0</v>
      </c>
      <c r="M488" s="80">
        <f t="shared" ca="1" si="274"/>
        <v>0</v>
      </c>
      <c r="N488" s="80">
        <f t="shared" ca="1" si="275"/>
        <v>0</v>
      </c>
      <c r="O488" s="81">
        <f t="shared" ca="1" si="258"/>
        <v>0</v>
      </c>
      <c r="P488" s="79">
        <f t="shared" ca="1" si="259"/>
        <v>0</v>
      </c>
      <c r="Q488" s="35"/>
      <c r="R488">
        <f t="shared" ca="1" si="276"/>
        <v>485</v>
      </c>
      <c r="S488" s="78">
        <f t="shared" ca="1" si="277"/>
        <v>100.72</v>
      </c>
      <c r="T488" s="55">
        <f t="shared" ca="1" si="278"/>
        <v>5.8781892102293565E-2</v>
      </c>
      <c r="U488" s="78">
        <f t="shared" ca="1" si="279"/>
        <v>4.2566264036640193E-4</v>
      </c>
      <c r="V488" s="79">
        <f t="shared" ca="1" si="280"/>
        <v>0</v>
      </c>
      <c r="W488" s="79">
        <f t="shared" ca="1" si="260"/>
        <v>0</v>
      </c>
      <c r="X488" s="80">
        <f t="shared" ca="1" si="261"/>
        <v>0</v>
      </c>
      <c r="Y488" s="80">
        <f t="shared" ca="1" si="281"/>
        <v>0</v>
      </c>
      <c r="Z488" s="80">
        <f t="shared" ca="1" si="262"/>
        <v>0</v>
      </c>
      <c r="AA488" s="80">
        <f t="shared" ca="1" si="282"/>
        <v>0</v>
      </c>
      <c r="AB488" s="81">
        <f t="shared" ca="1" si="263"/>
        <v>0</v>
      </c>
      <c r="AC488" s="79">
        <f t="shared" ca="1" si="264"/>
        <v>0</v>
      </c>
      <c r="AD488" s="35"/>
      <c r="AE488" s="62">
        <f t="shared" ca="1" si="265"/>
        <v>0</v>
      </c>
      <c r="AF488" s="62">
        <f t="shared" ca="1" si="266"/>
        <v>0</v>
      </c>
      <c r="AG488" s="35"/>
      <c r="AH488" s="35"/>
      <c r="AR488" s="69">
        <f t="shared" si="283"/>
        <v>41</v>
      </c>
      <c r="AS488" s="70">
        <f t="shared" si="286"/>
        <v>485</v>
      </c>
      <c r="AT488" s="71">
        <f t="shared" si="287"/>
        <v>3.6161507292972302E-2</v>
      </c>
      <c r="AU488" s="72">
        <f t="shared" si="267"/>
        <v>6.8214933659622723E-3</v>
      </c>
      <c r="AV488" s="73">
        <f t="shared" si="284"/>
        <v>1.0068214933659623</v>
      </c>
      <c r="AW488" s="74">
        <f>PRODUCT(AV$4:AV488)</f>
        <v>27.036590194364496</v>
      </c>
    </row>
    <row r="489" spans="5:49">
      <c r="E489">
        <f t="shared" si="285"/>
        <v>486</v>
      </c>
      <c r="F489" s="64">
        <f t="shared" si="268"/>
        <v>100.8</v>
      </c>
      <c r="G489" s="55">
        <f t="shared" si="269"/>
        <v>5.8781892102293565E-2</v>
      </c>
      <c r="H489" s="78">
        <f t="shared" si="288"/>
        <v>4.0064138496840668E-4</v>
      </c>
      <c r="I489" s="79">
        <f t="shared" ca="1" si="270"/>
        <v>0</v>
      </c>
      <c r="J489" s="79">
        <f t="shared" ca="1" si="271"/>
        <v>0</v>
      </c>
      <c r="K489" s="80">
        <f t="shared" ca="1" si="272"/>
        <v>0</v>
      </c>
      <c r="L489" s="80">
        <f t="shared" ca="1" si="273"/>
        <v>0</v>
      </c>
      <c r="M489" s="80">
        <f t="shared" ca="1" si="274"/>
        <v>0</v>
      </c>
      <c r="N489" s="80">
        <f t="shared" ca="1" si="275"/>
        <v>0</v>
      </c>
      <c r="O489" s="81">
        <f t="shared" ca="1" si="258"/>
        <v>0</v>
      </c>
      <c r="P489" s="79">
        <f t="shared" ca="1" si="259"/>
        <v>0</v>
      </c>
      <c r="Q489" s="35"/>
      <c r="R489">
        <f t="shared" ca="1" si="276"/>
        <v>486</v>
      </c>
      <c r="S489" s="78">
        <f t="shared" ca="1" si="277"/>
        <v>100.8</v>
      </c>
      <c r="T489" s="55">
        <f t="shared" ca="1" si="278"/>
        <v>5.8781892102293565E-2</v>
      </c>
      <c r="U489" s="78">
        <f t="shared" ca="1" si="279"/>
        <v>4.0064138496840668E-4</v>
      </c>
      <c r="V489" s="79">
        <f t="shared" ca="1" si="280"/>
        <v>0</v>
      </c>
      <c r="W489" s="79">
        <f t="shared" ca="1" si="260"/>
        <v>0</v>
      </c>
      <c r="X489" s="80">
        <f t="shared" ca="1" si="261"/>
        <v>0</v>
      </c>
      <c r="Y489" s="80">
        <f t="shared" ca="1" si="281"/>
        <v>0</v>
      </c>
      <c r="Z489" s="80">
        <f t="shared" ca="1" si="262"/>
        <v>0</v>
      </c>
      <c r="AA489" s="80">
        <f t="shared" ca="1" si="282"/>
        <v>0</v>
      </c>
      <c r="AB489" s="81">
        <f t="shared" ca="1" si="263"/>
        <v>0</v>
      </c>
      <c r="AC489" s="79">
        <f t="shared" ca="1" si="264"/>
        <v>0</v>
      </c>
      <c r="AD489" s="35"/>
      <c r="AE489" s="62">
        <f t="shared" ca="1" si="265"/>
        <v>0</v>
      </c>
      <c r="AF489" s="62">
        <f t="shared" ca="1" si="266"/>
        <v>0</v>
      </c>
      <c r="AG489" s="35"/>
      <c r="AH489" s="35"/>
      <c r="AR489" s="69">
        <f t="shared" si="283"/>
        <v>41</v>
      </c>
      <c r="AS489" s="70">
        <f t="shared" si="286"/>
        <v>486</v>
      </c>
      <c r="AT489" s="71">
        <f t="shared" si="287"/>
        <v>3.5914831810870095E-2</v>
      </c>
      <c r="AU489" s="72">
        <f t="shared" si="267"/>
        <v>6.8214933659622723E-3</v>
      </c>
      <c r="AV489" s="73">
        <f t="shared" si="284"/>
        <v>1.0068214933659623</v>
      </c>
      <c r="AW489" s="74">
        <f>PRODUCT(AV$4:AV489)</f>
        <v>27.221020115013594</v>
      </c>
    </row>
    <row r="490" spans="5:49">
      <c r="E490">
        <f t="shared" si="285"/>
        <v>487</v>
      </c>
      <c r="F490" s="64">
        <f t="shared" si="268"/>
        <v>100.88</v>
      </c>
      <c r="G490" s="55">
        <f t="shared" si="269"/>
        <v>5.8781892102293565E-2</v>
      </c>
      <c r="H490" s="78">
        <f t="shared" si="288"/>
        <v>3.7709092630548035E-4</v>
      </c>
      <c r="I490" s="79">
        <f t="shared" ca="1" si="270"/>
        <v>0</v>
      </c>
      <c r="J490" s="79">
        <f t="shared" ca="1" si="271"/>
        <v>0</v>
      </c>
      <c r="K490" s="80">
        <f t="shared" ca="1" si="272"/>
        <v>0</v>
      </c>
      <c r="L490" s="80">
        <f t="shared" ca="1" si="273"/>
        <v>0</v>
      </c>
      <c r="M490" s="80">
        <f t="shared" ca="1" si="274"/>
        <v>0</v>
      </c>
      <c r="N490" s="80">
        <f t="shared" ca="1" si="275"/>
        <v>0</v>
      </c>
      <c r="O490" s="81">
        <f t="shared" ca="1" si="258"/>
        <v>0</v>
      </c>
      <c r="P490" s="79">
        <f t="shared" ca="1" si="259"/>
        <v>0</v>
      </c>
      <c r="Q490" s="35"/>
      <c r="R490">
        <f t="shared" ca="1" si="276"/>
        <v>487</v>
      </c>
      <c r="S490" s="78">
        <f t="shared" ca="1" si="277"/>
        <v>100.88</v>
      </c>
      <c r="T490" s="55">
        <f t="shared" ca="1" si="278"/>
        <v>5.8781892102293565E-2</v>
      </c>
      <c r="U490" s="78">
        <f t="shared" ca="1" si="279"/>
        <v>3.7709092630548035E-4</v>
      </c>
      <c r="V490" s="79">
        <f t="shared" ca="1" si="280"/>
        <v>0</v>
      </c>
      <c r="W490" s="79">
        <f t="shared" ca="1" si="260"/>
        <v>0</v>
      </c>
      <c r="X490" s="80">
        <f t="shared" ca="1" si="261"/>
        <v>0</v>
      </c>
      <c r="Y490" s="80">
        <f t="shared" ca="1" si="281"/>
        <v>0</v>
      </c>
      <c r="Z490" s="80">
        <f t="shared" ca="1" si="262"/>
        <v>0</v>
      </c>
      <c r="AA490" s="80">
        <f t="shared" ca="1" si="282"/>
        <v>0</v>
      </c>
      <c r="AB490" s="81">
        <f t="shared" ca="1" si="263"/>
        <v>0</v>
      </c>
      <c r="AC490" s="79">
        <f t="shared" ca="1" si="264"/>
        <v>0</v>
      </c>
      <c r="AD490" s="35"/>
      <c r="AE490" s="62">
        <f t="shared" ca="1" si="265"/>
        <v>0</v>
      </c>
      <c r="AF490" s="62">
        <f t="shared" ca="1" si="266"/>
        <v>0</v>
      </c>
      <c r="AG490" s="35"/>
      <c r="AH490" s="35"/>
      <c r="AR490" s="69">
        <f t="shared" si="283"/>
        <v>41</v>
      </c>
      <c r="AS490" s="70">
        <f t="shared" si="286"/>
        <v>487</v>
      </c>
      <c r="AT490" s="71">
        <f t="shared" si="287"/>
        <v>3.5669839023932594E-2</v>
      </c>
      <c r="AU490" s="72">
        <f t="shared" si="267"/>
        <v>6.8214933659622723E-3</v>
      </c>
      <c r="AV490" s="73">
        <f t="shared" si="284"/>
        <v>1.0068214933659623</v>
      </c>
      <c r="AW490" s="74">
        <f>PRODUCT(AV$4:AV490)</f>
        <v>27.406708123142884</v>
      </c>
    </row>
    <row r="491" spans="5:49">
      <c r="E491">
        <f t="shared" si="285"/>
        <v>488</v>
      </c>
      <c r="F491" s="64">
        <f t="shared" si="268"/>
        <v>100.96</v>
      </c>
      <c r="G491" s="55">
        <f t="shared" si="269"/>
        <v>5.8781892102293565E-2</v>
      </c>
      <c r="H491" s="78">
        <f t="shared" si="288"/>
        <v>3.5492480816263767E-4</v>
      </c>
      <c r="I491" s="79">
        <f t="shared" ca="1" si="270"/>
        <v>0</v>
      </c>
      <c r="J491" s="79">
        <f t="shared" ca="1" si="271"/>
        <v>0</v>
      </c>
      <c r="K491" s="80">
        <f t="shared" ca="1" si="272"/>
        <v>0</v>
      </c>
      <c r="L491" s="80">
        <f t="shared" ca="1" si="273"/>
        <v>0</v>
      </c>
      <c r="M491" s="80">
        <f t="shared" ca="1" si="274"/>
        <v>0</v>
      </c>
      <c r="N491" s="80">
        <f t="shared" ca="1" si="275"/>
        <v>0</v>
      </c>
      <c r="O491" s="81">
        <f t="shared" ca="1" si="258"/>
        <v>0</v>
      </c>
      <c r="P491" s="79">
        <f t="shared" ca="1" si="259"/>
        <v>0</v>
      </c>
      <c r="Q491" s="35"/>
      <c r="R491">
        <f t="shared" ca="1" si="276"/>
        <v>488</v>
      </c>
      <c r="S491" s="78">
        <f t="shared" ca="1" si="277"/>
        <v>100.96</v>
      </c>
      <c r="T491" s="55">
        <f t="shared" ca="1" si="278"/>
        <v>5.8781892102293565E-2</v>
      </c>
      <c r="U491" s="78">
        <f t="shared" ca="1" si="279"/>
        <v>3.5492480816263767E-4</v>
      </c>
      <c r="V491" s="79">
        <f t="shared" ca="1" si="280"/>
        <v>0</v>
      </c>
      <c r="W491" s="79">
        <f t="shared" ca="1" si="260"/>
        <v>0</v>
      </c>
      <c r="X491" s="80">
        <f t="shared" ca="1" si="261"/>
        <v>0</v>
      </c>
      <c r="Y491" s="80">
        <f t="shared" ca="1" si="281"/>
        <v>0</v>
      </c>
      <c r="Z491" s="80">
        <f t="shared" ca="1" si="262"/>
        <v>0</v>
      </c>
      <c r="AA491" s="80">
        <f t="shared" ca="1" si="282"/>
        <v>0</v>
      </c>
      <c r="AB491" s="81">
        <f t="shared" ca="1" si="263"/>
        <v>0</v>
      </c>
      <c r="AC491" s="79">
        <f t="shared" ca="1" si="264"/>
        <v>0</v>
      </c>
      <c r="AD491" s="35"/>
      <c r="AE491" s="62">
        <f t="shared" ca="1" si="265"/>
        <v>0</v>
      </c>
      <c r="AF491" s="62">
        <f t="shared" ca="1" si="266"/>
        <v>0</v>
      </c>
      <c r="AG491" s="35"/>
      <c r="AH491" s="35"/>
      <c r="AR491" s="69">
        <f t="shared" si="283"/>
        <v>41</v>
      </c>
      <c r="AS491" s="70">
        <f t="shared" si="286"/>
        <v>488</v>
      </c>
      <c r="AT491" s="71">
        <f t="shared" si="287"/>
        <v>3.5426517453665894E-2</v>
      </c>
      <c r="AU491" s="72">
        <f t="shared" si="267"/>
        <v>6.8214933659622723E-3</v>
      </c>
      <c r="AV491" s="73">
        <f t="shared" si="284"/>
        <v>1.0068214933659623</v>
      </c>
      <c r="AW491" s="74">
        <f>PRODUCT(AV$4:AV491)</f>
        <v>27.593662800787769</v>
      </c>
    </row>
    <row r="492" spans="5:49">
      <c r="E492">
        <f t="shared" si="285"/>
        <v>489</v>
      </c>
      <c r="F492" s="64">
        <f t="shared" si="268"/>
        <v>101.04</v>
      </c>
      <c r="G492" s="55">
        <f t="shared" si="269"/>
        <v>5.8781892102293565E-2</v>
      </c>
      <c r="H492" s="78">
        <f t="shared" si="288"/>
        <v>3.3406165638479425E-4</v>
      </c>
      <c r="I492" s="79">
        <f t="shared" ca="1" si="270"/>
        <v>0</v>
      </c>
      <c r="J492" s="79">
        <f t="shared" ca="1" si="271"/>
        <v>0</v>
      </c>
      <c r="K492" s="80">
        <f t="shared" ca="1" si="272"/>
        <v>0</v>
      </c>
      <c r="L492" s="80">
        <f t="shared" ca="1" si="273"/>
        <v>0</v>
      </c>
      <c r="M492" s="80">
        <f t="shared" ca="1" si="274"/>
        <v>0</v>
      </c>
      <c r="N492" s="80">
        <f t="shared" ca="1" si="275"/>
        <v>0</v>
      </c>
      <c r="O492" s="81">
        <f t="shared" ca="1" si="258"/>
        <v>0</v>
      </c>
      <c r="P492" s="79">
        <f t="shared" ca="1" si="259"/>
        <v>0</v>
      </c>
      <c r="Q492" s="35"/>
      <c r="R492">
        <f t="shared" ca="1" si="276"/>
        <v>489</v>
      </c>
      <c r="S492" s="78">
        <f t="shared" ca="1" si="277"/>
        <v>101.04</v>
      </c>
      <c r="T492" s="55">
        <f t="shared" ca="1" si="278"/>
        <v>5.8781892102293565E-2</v>
      </c>
      <c r="U492" s="78">
        <f t="shared" ca="1" si="279"/>
        <v>3.3406165638479425E-4</v>
      </c>
      <c r="V492" s="79">
        <f t="shared" ca="1" si="280"/>
        <v>0</v>
      </c>
      <c r="W492" s="79">
        <f t="shared" ca="1" si="260"/>
        <v>0</v>
      </c>
      <c r="X492" s="80">
        <f t="shared" ca="1" si="261"/>
        <v>0</v>
      </c>
      <c r="Y492" s="80">
        <f t="shared" ca="1" si="281"/>
        <v>0</v>
      </c>
      <c r="Z492" s="80">
        <f t="shared" ca="1" si="262"/>
        <v>0</v>
      </c>
      <c r="AA492" s="80">
        <f t="shared" ca="1" si="282"/>
        <v>0</v>
      </c>
      <c r="AB492" s="81">
        <f t="shared" ca="1" si="263"/>
        <v>0</v>
      </c>
      <c r="AC492" s="79">
        <f t="shared" ca="1" si="264"/>
        <v>0</v>
      </c>
      <c r="AD492" s="35"/>
      <c r="AE492" s="62">
        <f t="shared" ca="1" si="265"/>
        <v>0</v>
      </c>
      <c r="AF492" s="62">
        <f t="shared" ca="1" si="266"/>
        <v>0</v>
      </c>
      <c r="AG492" s="35"/>
      <c r="AH492" s="35"/>
      <c r="AR492" s="69">
        <f t="shared" si="283"/>
        <v>41</v>
      </c>
      <c r="AS492" s="70">
        <f t="shared" si="286"/>
        <v>489</v>
      </c>
      <c r="AT492" s="71">
        <f t="shared" si="287"/>
        <v>3.5184855699876567E-2</v>
      </c>
      <c r="AU492" s="72">
        <f t="shared" si="267"/>
        <v>6.8214933659622723E-3</v>
      </c>
      <c r="AV492" s="73">
        <f t="shared" si="284"/>
        <v>1.0068214933659623</v>
      </c>
      <c r="AW492" s="74">
        <f>PRODUCT(AV$4:AV492)</f>
        <v>27.781892788525944</v>
      </c>
    </row>
    <row r="493" spans="5:49">
      <c r="E493">
        <f t="shared" si="285"/>
        <v>490</v>
      </c>
      <c r="F493" s="64">
        <f t="shared" si="268"/>
        <v>101.12</v>
      </c>
      <c r="G493" s="55">
        <f t="shared" si="269"/>
        <v>5.8781892102293565E-2</v>
      </c>
      <c r="H493" s="78">
        <f t="shared" si="288"/>
        <v>3.144248801436698E-4</v>
      </c>
      <c r="I493" s="79">
        <f t="shared" ca="1" si="270"/>
        <v>0</v>
      </c>
      <c r="J493" s="79">
        <f t="shared" ca="1" si="271"/>
        <v>0</v>
      </c>
      <c r="K493" s="80">
        <f t="shared" ca="1" si="272"/>
        <v>0</v>
      </c>
      <c r="L493" s="80">
        <f t="shared" ca="1" si="273"/>
        <v>0</v>
      </c>
      <c r="M493" s="80">
        <f t="shared" ca="1" si="274"/>
        <v>0</v>
      </c>
      <c r="N493" s="80">
        <f t="shared" ca="1" si="275"/>
        <v>0</v>
      </c>
      <c r="O493" s="81">
        <f t="shared" ca="1" si="258"/>
        <v>0</v>
      </c>
      <c r="P493" s="79">
        <f t="shared" ca="1" si="259"/>
        <v>0</v>
      </c>
      <c r="Q493" s="35"/>
      <c r="R493">
        <f t="shared" ca="1" si="276"/>
        <v>490</v>
      </c>
      <c r="S493" s="78">
        <f t="shared" ca="1" si="277"/>
        <v>101.12</v>
      </c>
      <c r="T493" s="55">
        <f t="shared" ca="1" si="278"/>
        <v>5.8781892102293565E-2</v>
      </c>
      <c r="U493" s="78">
        <f t="shared" ca="1" si="279"/>
        <v>3.144248801436698E-4</v>
      </c>
      <c r="V493" s="79">
        <f t="shared" ca="1" si="280"/>
        <v>0</v>
      </c>
      <c r="W493" s="79">
        <f t="shared" ca="1" si="260"/>
        <v>0</v>
      </c>
      <c r="X493" s="80">
        <f t="shared" ca="1" si="261"/>
        <v>0</v>
      </c>
      <c r="Y493" s="80">
        <f t="shared" ca="1" si="281"/>
        <v>0</v>
      </c>
      <c r="Z493" s="80">
        <f t="shared" ca="1" si="262"/>
        <v>0</v>
      </c>
      <c r="AA493" s="80">
        <f t="shared" ca="1" si="282"/>
        <v>0</v>
      </c>
      <c r="AB493" s="81">
        <f t="shared" ca="1" si="263"/>
        <v>0</v>
      </c>
      <c r="AC493" s="79">
        <f t="shared" ca="1" si="264"/>
        <v>0</v>
      </c>
      <c r="AD493" s="35"/>
      <c r="AE493" s="62">
        <f t="shared" ca="1" si="265"/>
        <v>0</v>
      </c>
      <c r="AF493" s="62">
        <f t="shared" ca="1" si="266"/>
        <v>0</v>
      </c>
      <c r="AG493" s="35"/>
      <c r="AH493" s="35"/>
      <c r="AR493" s="69">
        <f t="shared" si="283"/>
        <v>41</v>
      </c>
      <c r="AS493" s="70">
        <f t="shared" si="286"/>
        <v>490</v>
      </c>
      <c r="AT493" s="71">
        <f t="shared" si="287"/>
        <v>3.494484244013752E-2</v>
      </c>
      <c r="AU493" s="72">
        <f t="shared" si="267"/>
        <v>6.8214933659622723E-3</v>
      </c>
      <c r="AV493" s="73">
        <f t="shared" si="284"/>
        <v>1.0068214933659623</v>
      </c>
      <c r="AW493" s="74">
        <f>PRODUCT(AV$4:AV493)</f>
        <v>27.971406785876749</v>
      </c>
    </row>
    <row r="494" spans="5:49">
      <c r="E494">
        <f t="shared" si="285"/>
        <v>491</v>
      </c>
      <c r="F494" s="64">
        <f t="shared" si="268"/>
        <v>101.2</v>
      </c>
      <c r="G494" s="55">
        <f t="shared" si="269"/>
        <v>5.8781892102293565E-2</v>
      </c>
      <c r="H494" s="78">
        <f t="shared" si="288"/>
        <v>2.9594239076478803E-4</v>
      </c>
      <c r="I494" s="79">
        <f t="shared" ca="1" si="270"/>
        <v>0</v>
      </c>
      <c r="J494" s="79">
        <f t="shared" ca="1" si="271"/>
        <v>0</v>
      </c>
      <c r="K494" s="80">
        <f t="shared" ca="1" si="272"/>
        <v>0</v>
      </c>
      <c r="L494" s="80">
        <f t="shared" ca="1" si="273"/>
        <v>0</v>
      </c>
      <c r="M494" s="80">
        <f t="shared" ca="1" si="274"/>
        <v>0</v>
      </c>
      <c r="N494" s="80">
        <f t="shared" ca="1" si="275"/>
        <v>0</v>
      </c>
      <c r="O494" s="81">
        <f t="shared" ca="1" si="258"/>
        <v>0</v>
      </c>
      <c r="P494" s="79">
        <f t="shared" ca="1" si="259"/>
        <v>0</v>
      </c>
      <c r="Q494" s="35"/>
      <c r="R494">
        <f t="shared" ca="1" si="276"/>
        <v>491</v>
      </c>
      <c r="S494" s="78">
        <f t="shared" ca="1" si="277"/>
        <v>101.2</v>
      </c>
      <c r="T494" s="55">
        <f t="shared" ca="1" si="278"/>
        <v>5.8781892102293565E-2</v>
      </c>
      <c r="U494" s="78">
        <f t="shared" ca="1" si="279"/>
        <v>2.9594239076478803E-4</v>
      </c>
      <c r="V494" s="79">
        <f t="shared" ca="1" si="280"/>
        <v>0</v>
      </c>
      <c r="W494" s="79">
        <f t="shared" ca="1" si="260"/>
        <v>0</v>
      </c>
      <c r="X494" s="80">
        <f t="shared" ca="1" si="261"/>
        <v>0</v>
      </c>
      <c r="Y494" s="80">
        <f t="shared" ca="1" si="281"/>
        <v>0</v>
      </c>
      <c r="Z494" s="80">
        <f t="shared" ca="1" si="262"/>
        <v>0</v>
      </c>
      <c r="AA494" s="80">
        <f t="shared" ca="1" si="282"/>
        <v>0</v>
      </c>
      <c r="AB494" s="81">
        <f t="shared" ca="1" si="263"/>
        <v>0</v>
      </c>
      <c r="AC494" s="79">
        <f t="shared" ca="1" si="264"/>
        <v>0</v>
      </c>
      <c r="AD494" s="35"/>
      <c r="AE494" s="62">
        <f t="shared" ca="1" si="265"/>
        <v>0</v>
      </c>
      <c r="AF494" s="62">
        <f t="shared" ca="1" si="266"/>
        <v>0</v>
      </c>
      <c r="AG494" s="35"/>
      <c r="AH494" s="35"/>
      <c r="AR494" s="69">
        <f t="shared" si="283"/>
        <v>41</v>
      </c>
      <c r="AS494" s="70">
        <f t="shared" si="286"/>
        <v>491</v>
      </c>
      <c r="AT494" s="71">
        <f t="shared" si="287"/>
        <v>3.4706466429257524E-2</v>
      </c>
      <c r="AU494" s="72">
        <f t="shared" si="267"/>
        <v>6.8214933659622723E-3</v>
      </c>
      <c r="AV494" s="73">
        <f t="shared" si="284"/>
        <v>1.0068214933659623</v>
      </c>
      <c r="AW494" s="74">
        <f>PRODUCT(AV$4:AV494)</f>
        <v>28.162213551703239</v>
      </c>
    </row>
    <row r="495" spans="5:49">
      <c r="E495">
        <f t="shared" si="285"/>
        <v>492</v>
      </c>
      <c r="F495" s="64">
        <f t="shared" si="268"/>
        <v>101.28</v>
      </c>
      <c r="G495" s="55">
        <f t="shared" si="269"/>
        <v>5.8781892102293565E-2</v>
      </c>
      <c r="H495" s="78">
        <f t="shared" si="288"/>
        <v>2.7854633708235748E-4</v>
      </c>
      <c r="I495" s="79">
        <f t="shared" ca="1" si="270"/>
        <v>0</v>
      </c>
      <c r="J495" s="79">
        <f t="shared" ca="1" si="271"/>
        <v>0</v>
      </c>
      <c r="K495" s="80">
        <f t="shared" ca="1" si="272"/>
        <v>0</v>
      </c>
      <c r="L495" s="80">
        <f t="shared" ca="1" si="273"/>
        <v>0</v>
      </c>
      <c r="M495" s="80">
        <f t="shared" ca="1" si="274"/>
        <v>0</v>
      </c>
      <c r="N495" s="80">
        <f t="shared" ca="1" si="275"/>
        <v>0</v>
      </c>
      <c r="O495" s="81">
        <f t="shared" ca="1" si="258"/>
        <v>0</v>
      </c>
      <c r="P495" s="79">
        <f t="shared" ca="1" si="259"/>
        <v>0</v>
      </c>
      <c r="Q495" s="35"/>
      <c r="R495">
        <f t="shared" ca="1" si="276"/>
        <v>492</v>
      </c>
      <c r="S495" s="78">
        <f t="shared" ca="1" si="277"/>
        <v>101.28</v>
      </c>
      <c r="T495" s="55">
        <f t="shared" ca="1" si="278"/>
        <v>5.8781892102293565E-2</v>
      </c>
      <c r="U495" s="78">
        <f t="shared" ca="1" si="279"/>
        <v>2.7854633708235748E-4</v>
      </c>
      <c r="V495" s="79">
        <f t="shared" ca="1" si="280"/>
        <v>0</v>
      </c>
      <c r="W495" s="79">
        <f t="shared" ca="1" si="260"/>
        <v>0</v>
      </c>
      <c r="X495" s="80">
        <f t="shared" ca="1" si="261"/>
        <v>0</v>
      </c>
      <c r="Y495" s="80">
        <f t="shared" ca="1" si="281"/>
        <v>0</v>
      </c>
      <c r="Z495" s="80">
        <f t="shared" ca="1" si="262"/>
        <v>0</v>
      </c>
      <c r="AA495" s="80">
        <f t="shared" ca="1" si="282"/>
        <v>0</v>
      </c>
      <c r="AB495" s="81">
        <f t="shared" ca="1" si="263"/>
        <v>0</v>
      </c>
      <c r="AC495" s="79">
        <f t="shared" ca="1" si="264"/>
        <v>0</v>
      </c>
      <c r="AD495" s="35"/>
      <c r="AE495" s="62">
        <f t="shared" ca="1" si="265"/>
        <v>0</v>
      </c>
      <c r="AF495" s="62">
        <f t="shared" ca="1" si="266"/>
        <v>0</v>
      </c>
      <c r="AG495" s="35"/>
      <c r="AH495" s="35"/>
      <c r="AR495" s="69">
        <f t="shared" si="283"/>
        <v>41</v>
      </c>
      <c r="AS495" s="70">
        <f t="shared" si="286"/>
        <v>492</v>
      </c>
      <c r="AT495" s="71">
        <f t="shared" si="287"/>
        <v>3.4469716498754348E-2</v>
      </c>
      <c r="AU495" s="72">
        <f t="shared" si="267"/>
        <v>6.8214933659622723E-3</v>
      </c>
      <c r="AV495" s="73">
        <f t="shared" si="284"/>
        <v>1.0068214933659623</v>
      </c>
      <c r="AW495" s="74">
        <f>PRODUCT(AV$4:AV495)</f>
        <v>28.354321904616995</v>
      </c>
    </row>
    <row r="496" spans="5:49">
      <c r="E496">
        <f t="shared" si="285"/>
        <v>493</v>
      </c>
      <c r="F496" s="64">
        <f t="shared" si="268"/>
        <v>101.36</v>
      </c>
      <c r="G496" s="55">
        <f t="shared" si="269"/>
        <v>5.8781892102293565E-2</v>
      </c>
      <c r="H496" s="78">
        <f t="shared" si="288"/>
        <v>2.6217285635049325E-4</v>
      </c>
      <c r="I496" s="79">
        <f t="shared" ca="1" si="270"/>
        <v>0</v>
      </c>
      <c r="J496" s="79">
        <f t="shared" ca="1" si="271"/>
        <v>0</v>
      </c>
      <c r="K496" s="80">
        <f t="shared" ca="1" si="272"/>
        <v>0</v>
      </c>
      <c r="L496" s="80">
        <f t="shared" ca="1" si="273"/>
        <v>0</v>
      </c>
      <c r="M496" s="80">
        <f t="shared" ca="1" si="274"/>
        <v>0</v>
      </c>
      <c r="N496" s="80">
        <f t="shared" ca="1" si="275"/>
        <v>0</v>
      </c>
      <c r="O496" s="81">
        <f t="shared" ca="1" si="258"/>
        <v>0</v>
      </c>
      <c r="P496" s="79">
        <f t="shared" ca="1" si="259"/>
        <v>0</v>
      </c>
      <c r="Q496" s="35"/>
      <c r="R496">
        <f t="shared" ca="1" si="276"/>
        <v>493</v>
      </c>
      <c r="S496" s="78">
        <f t="shared" ca="1" si="277"/>
        <v>101.36</v>
      </c>
      <c r="T496" s="55">
        <f t="shared" ca="1" si="278"/>
        <v>5.8781892102293565E-2</v>
      </c>
      <c r="U496" s="78">
        <f t="shared" ca="1" si="279"/>
        <v>2.6217285635049325E-4</v>
      </c>
      <c r="V496" s="79">
        <f t="shared" ca="1" si="280"/>
        <v>0</v>
      </c>
      <c r="W496" s="79">
        <f t="shared" ca="1" si="260"/>
        <v>0</v>
      </c>
      <c r="X496" s="80">
        <f t="shared" ca="1" si="261"/>
        <v>0</v>
      </c>
      <c r="Y496" s="80">
        <f t="shared" ca="1" si="281"/>
        <v>0</v>
      </c>
      <c r="Z496" s="80">
        <f t="shared" ca="1" si="262"/>
        <v>0</v>
      </c>
      <c r="AA496" s="80">
        <f t="shared" ca="1" si="282"/>
        <v>0</v>
      </c>
      <c r="AB496" s="81">
        <f t="shared" ca="1" si="263"/>
        <v>0</v>
      </c>
      <c r="AC496" s="79">
        <f t="shared" ca="1" si="264"/>
        <v>0</v>
      </c>
      <c r="AD496" s="35"/>
      <c r="AE496" s="62">
        <f t="shared" ca="1" si="265"/>
        <v>0</v>
      </c>
      <c r="AF496" s="62">
        <f t="shared" ca="1" si="266"/>
        <v>0</v>
      </c>
      <c r="AG496" s="35"/>
      <c r="AH496" s="35"/>
      <c r="AR496" s="69">
        <f t="shared" si="283"/>
        <v>42</v>
      </c>
      <c r="AS496" s="70">
        <f t="shared" si="286"/>
        <v>493</v>
      </c>
      <c r="AT496" s="71">
        <f t="shared" si="287"/>
        <v>3.4234581556331495E-2</v>
      </c>
      <c r="AU496" s="72">
        <f t="shared" si="267"/>
        <v>6.8214933659622723E-3</v>
      </c>
      <c r="AV496" s="73">
        <f t="shared" si="284"/>
        <v>1.0068214933659623</v>
      </c>
      <c r="AW496" s="74">
        <f>PRODUCT(AV$4:AV496)</f>
        <v>28.547740723385697</v>
      </c>
    </row>
    <row r="497" spans="5:49">
      <c r="E497">
        <f t="shared" si="285"/>
        <v>494</v>
      </c>
      <c r="F497" s="64">
        <f t="shared" si="268"/>
        <v>101.44</v>
      </c>
      <c r="G497" s="55">
        <f t="shared" si="269"/>
        <v>5.8781892102293565E-2</v>
      </c>
      <c r="H497" s="78">
        <f t="shared" si="288"/>
        <v>2.4676183979634847E-4</v>
      </c>
      <c r="I497" s="79">
        <f t="shared" ca="1" si="270"/>
        <v>0</v>
      </c>
      <c r="J497" s="79">
        <f t="shared" ca="1" si="271"/>
        <v>0</v>
      </c>
      <c r="K497" s="80">
        <f t="shared" ca="1" si="272"/>
        <v>0</v>
      </c>
      <c r="L497" s="80">
        <f t="shared" ca="1" si="273"/>
        <v>0</v>
      </c>
      <c r="M497" s="80">
        <f t="shared" ca="1" si="274"/>
        <v>0</v>
      </c>
      <c r="N497" s="80">
        <f t="shared" ca="1" si="275"/>
        <v>0</v>
      </c>
      <c r="O497" s="81">
        <f t="shared" ca="1" si="258"/>
        <v>0</v>
      </c>
      <c r="P497" s="79">
        <f t="shared" ca="1" si="259"/>
        <v>0</v>
      </c>
      <c r="Q497" s="35"/>
      <c r="R497">
        <f t="shared" ca="1" si="276"/>
        <v>494</v>
      </c>
      <c r="S497" s="78">
        <f t="shared" ca="1" si="277"/>
        <v>101.44</v>
      </c>
      <c r="T497" s="55">
        <f t="shared" ca="1" si="278"/>
        <v>5.8781892102293565E-2</v>
      </c>
      <c r="U497" s="78">
        <f t="shared" ca="1" si="279"/>
        <v>2.4676183979634847E-4</v>
      </c>
      <c r="V497" s="79">
        <f t="shared" ca="1" si="280"/>
        <v>0</v>
      </c>
      <c r="W497" s="79">
        <f t="shared" ca="1" si="260"/>
        <v>0</v>
      </c>
      <c r="X497" s="80">
        <f t="shared" ca="1" si="261"/>
        <v>0</v>
      </c>
      <c r="Y497" s="80">
        <f t="shared" ca="1" si="281"/>
        <v>0</v>
      </c>
      <c r="Z497" s="80">
        <f t="shared" ca="1" si="262"/>
        <v>0</v>
      </c>
      <c r="AA497" s="80">
        <f t="shared" ca="1" si="282"/>
        <v>0</v>
      </c>
      <c r="AB497" s="81">
        <f t="shared" ca="1" si="263"/>
        <v>0</v>
      </c>
      <c r="AC497" s="79">
        <f t="shared" ca="1" si="264"/>
        <v>0</v>
      </c>
      <c r="AD497" s="35"/>
      <c r="AE497" s="62">
        <f t="shared" ca="1" si="265"/>
        <v>0</v>
      </c>
      <c r="AF497" s="62">
        <f t="shared" ca="1" si="266"/>
        <v>0</v>
      </c>
      <c r="AG497" s="35"/>
      <c r="AH497" s="35"/>
      <c r="AR497" s="69">
        <f t="shared" si="283"/>
        <v>42</v>
      </c>
      <c r="AS497" s="70">
        <f t="shared" si="286"/>
        <v>494</v>
      </c>
      <c r="AT497" s="71">
        <f t="shared" si="287"/>
        <v>3.4001050585358482E-2</v>
      </c>
      <c r="AU497" s="72">
        <f t="shared" si="267"/>
        <v>6.8214933659622723E-3</v>
      </c>
      <c r="AV497" s="73">
        <f t="shared" si="284"/>
        <v>1.0068214933659623</v>
      </c>
      <c r="AW497" s="74">
        <f>PRODUCT(AV$4:AV497)</f>
        <v>28.742478947343482</v>
      </c>
    </row>
    <row r="498" spans="5:49">
      <c r="E498">
        <f t="shared" si="285"/>
        <v>495</v>
      </c>
      <c r="F498" s="64">
        <f t="shared" si="268"/>
        <v>101.52</v>
      </c>
      <c r="G498" s="55">
        <f t="shared" si="269"/>
        <v>6.4504460562804344E-2</v>
      </c>
      <c r="H498" s="78">
        <f t="shared" si="288"/>
        <v>2.3084460043279988E-4</v>
      </c>
      <c r="I498" s="79">
        <f t="shared" ca="1" si="270"/>
        <v>0</v>
      </c>
      <c r="J498" s="79">
        <f t="shared" ca="1" si="271"/>
        <v>0</v>
      </c>
      <c r="K498" s="80">
        <f t="shared" ca="1" si="272"/>
        <v>0</v>
      </c>
      <c r="L498" s="80">
        <f t="shared" ca="1" si="273"/>
        <v>0</v>
      </c>
      <c r="M498" s="80">
        <f t="shared" ca="1" si="274"/>
        <v>0</v>
      </c>
      <c r="N498" s="80">
        <f t="shared" ca="1" si="275"/>
        <v>0</v>
      </c>
      <c r="O498" s="81">
        <f t="shared" ca="1" si="258"/>
        <v>0</v>
      </c>
      <c r="P498" s="79">
        <f t="shared" ca="1" si="259"/>
        <v>0</v>
      </c>
      <c r="Q498" s="35"/>
      <c r="R498">
        <f t="shared" ca="1" si="276"/>
        <v>495</v>
      </c>
      <c r="S498" s="78">
        <f t="shared" ca="1" si="277"/>
        <v>101.52</v>
      </c>
      <c r="T498" s="55">
        <f t="shared" ca="1" si="278"/>
        <v>6.4504460562804344E-2</v>
      </c>
      <c r="U498" s="78">
        <f t="shared" ca="1" si="279"/>
        <v>2.3084460043279988E-4</v>
      </c>
      <c r="V498" s="79">
        <f t="shared" ca="1" si="280"/>
        <v>0</v>
      </c>
      <c r="W498" s="79">
        <f t="shared" ca="1" si="260"/>
        <v>0</v>
      </c>
      <c r="X498" s="80">
        <f t="shared" ca="1" si="261"/>
        <v>0</v>
      </c>
      <c r="Y498" s="80">
        <f t="shared" ca="1" si="281"/>
        <v>0</v>
      </c>
      <c r="Z498" s="80">
        <f t="shared" ca="1" si="262"/>
        <v>0</v>
      </c>
      <c r="AA498" s="80">
        <f t="shared" ca="1" si="282"/>
        <v>0</v>
      </c>
      <c r="AB498" s="81">
        <f t="shared" ca="1" si="263"/>
        <v>0</v>
      </c>
      <c r="AC498" s="79">
        <f t="shared" ca="1" si="264"/>
        <v>0</v>
      </c>
      <c r="AD498" s="35"/>
      <c r="AE498" s="62">
        <f t="shared" ca="1" si="265"/>
        <v>0</v>
      </c>
      <c r="AF498" s="62">
        <f t="shared" ca="1" si="266"/>
        <v>0</v>
      </c>
      <c r="AG498" s="35"/>
      <c r="AH498" s="35"/>
      <c r="AR498" s="69">
        <f t="shared" si="283"/>
        <v>42</v>
      </c>
      <c r="AS498" s="70">
        <f t="shared" si="286"/>
        <v>495</v>
      </c>
      <c r="AT498" s="71">
        <f t="shared" si="287"/>
        <v>3.3769112644354712E-2</v>
      </c>
      <c r="AU498" s="72">
        <f t="shared" si="267"/>
        <v>6.8214933659622723E-3</v>
      </c>
      <c r="AV498" s="73">
        <f t="shared" si="284"/>
        <v>1.0068214933659623</v>
      </c>
      <c r="AW498" s="74">
        <f>PRODUCT(AV$4:AV498)</f>
        <v>28.938545576804096</v>
      </c>
    </row>
    <row r="499" spans="5:49">
      <c r="E499">
        <f t="shared" si="285"/>
        <v>496</v>
      </c>
      <c r="F499" s="64">
        <f t="shared" si="268"/>
        <v>101.6</v>
      </c>
      <c r="G499" s="55">
        <f t="shared" si="269"/>
        <v>6.4504460562804344E-2</v>
      </c>
      <c r="H499" s="78">
        <f t="shared" si="288"/>
        <v>2.15954094008046E-4</v>
      </c>
      <c r="I499" s="79">
        <f t="shared" ca="1" si="270"/>
        <v>0</v>
      </c>
      <c r="J499" s="79">
        <f t="shared" ca="1" si="271"/>
        <v>0</v>
      </c>
      <c r="K499" s="80">
        <f t="shared" ca="1" si="272"/>
        <v>0</v>
      </c>
      <c r="L499" s="80">
        <f t="shared" ca="1" si="273"/>
        <v>0</v>
      </c>
      <c r="M499" s="80">
        <f t="shared" ca="1" si="274"/>
        <v>0</v>
      </c>
      <c r="N499" s="80">
        <f t="shared" ca="1" si="275"/>
        <v>0</v>
      </c>
      <c r="O499" s="81">
        <f t="shared" ca="1" si="258"/>
        <v>0</v>
      </c>
      <c r="P499" s="79">
        <f t="shared" ca="1" si="259"/>
        <v>0</v>
      </c>
      <c r="Q499" s="35"/>
      <c r="R499">
        <f t="shared" ca="1" si="276"/>
        <v>496</v>
      </c>
      <c r="S499" s="78">
        <f t="shared" ca="1" si="277"/>
        <v>101.6</v>
      </c>
      <c r="T499" s="55">
        <f t="shared" ca="1" si="278"/>
        <v>6.4504460562804344E-2</v>
      </c>
      <c r="U499" s="78">
        <f t="shared" ca="1" si="279"/>
        <v>2.15954094008046E-4</v>
      </c>
      <c r="V499" s="79">
        <f t="shared" ca="1" si="280"/>
        <v>0</v>
      </c>
      <c r="W499" s="79">
        <f t="shared" ca="1" si="260"/>
        <v>0</v>
      </c>
      <c r="X499" s="80">
        <f t="shared" ca="1" si="261"/>
        <v>0</v>
      </c>
      <c r="Y499" s="80">
        <f t="shared" ca="1" si="281"/>
        <v>0</v>
      </c>
      <c r="Z499" s="80">
        <f t="shared" ca="1" si="262"/>
        <v>0</v>
      </c>
      <c r="AA499" s="80">
        <f t="shared" ca="1" si="282"/>
        <v>0</v>
      </c>
      <c r="AB499" s="81">
        <f t="shared" ca="1" si="263"/>
        <v>0</v>
      </c>
      <c r="AC499" s="79">
        <f t="shared" ca="1" si="264"/>
        <v>0</v>
      </c>
      <c r="AD499" s="35"/>
      <c r="AE499" s="62">
        <f t="shared" ca="1" si="265"/>
        <v>0</v>
      </c>
      <c r="AF499" s="62">
        <f t="shared" ca="1" si="266"/>
        <v>0</v>
      </c>
      <c r="AG499" s="35"/>
      <c r="AH499" s="35"/>
      <c r="AR499" s="69">
        <f t="shared" si="283"/>
        <v>42</v>
      </c>
      <c r="AS499" s="70">
        <f t="shared" si="286"/>
        <v>496</v>
      </c>
      <c r="AT499" s="71">
        <f t="shared" si="287"/>
        <v>3.3538756866476817E-2</v>
      </c>
      <c r="AU499" s="72">
        <f t="shared" si="267"/>
        <v>6.8214933659622723E-3</v>
      </c>
      <c r="AV499" s="73">
        <f t="shared" si="284"/>
        <v>1.0068214933659623</v>
      </c>
      <c r="AW499" s="74">
        <f>PRODUCT(AV$4:AV499)</f>
        <v>29.135949673476862</v>
      </c>
    </row>
    <row r="500" spans="5:49">
      <c r="E500">
        <f t="shared" si="285"/>
        <v>497</v>
      </c>
      <c r="F500" s="64">
        <f t="shared" si="268"/>
        <v>101.68</v>
      </c>
      <c r="G500" s="55">
        <f t="shared" si="269"/>
        <v>6.4504460562804344E-2</v>
      </c>
      <c r="H500" s="78">
        <f t="shared" si="288"/>
        <v>2.0202409166772785E-4</v>
      </c>
      <c r="I500" s="79">
        <f t="shared" ca="1" si="270"/>
        <v>0</v>
      </c>
      <c r="J500" s="79">
        <f t="shared" ca="1" si="271"/>
        <v>0</v>
      </c>
      <c r="K500" s="80">
        <f t="shared" ca="1" si="272"/>
        <v>0</v>
      </c>
      <c r="L500" s="80">
        <f t="shared" ca="1" si="273"/>
        <v>0</v>
      </c>
      <c r="M500" s="80">
        <f t="shared" ca="1" si="274"/>
        <v>0</v>
      </c>
      <c r="N500" s="80">
        <f t="shared" ca="1" si="275"/>
        <v>0</v>
      </c>
      <c r="O500" s="81">
        <f t="shared" ca="1" si="258"/>
        <v>0</v>
      </c>
      <c r="P500" s="79">
        <f t="shared" ca="1" si="259"/>
        <v>0</v>
      </c>
      <c r="Q500" s="35"/>
      <c r="R500">
        <f t="shared" ca="1" si="276"/>
        <v>497</v>
      </c>
      <c r="S500" s="78">
        <f t="shared" ca="1" si="277"/>
        <v>101.68</v>
      </c>
      <c r="T500" s="55">
        <f t="shared" ca="1" si="278"/>
        <v>6.4504460562804344E-2</v>
      </c>
      <c r="U500" s="78">
        <f t="shared" ca="1" si="279"/>
        <v>2.0202409166772785E-4</v>
      </c>
      <c r="V500" s="79">
        <f t="shared" ca="1" si="280"/>
        <v>0</v>
      </c>
      <c r="W500" s="79">
        <f t="shared" ca="1" si="260"/>
        <v>0</v>
      </c>
      <c r="X500" s="80">
        <f t="shared" ca="1" si="261"/>
        <v>0</v>
      </c>
      <c r="Y500" s="80">
        <f t="shared" ca="1" si="281"/>
        <v>0</v>
      </c>
      <c r="Z500" s="80">
        <f t="shared" ca="1" si="262"/>
        <v>0</v>
      </c>
      <c r="AA500" s="80">
        <f t="shared" ca="1" si="282"/>
        <v>0</v>
      </c>
      <c r="AB500" s="81">
        <f t="shared" ca="1" si="263"/>
        <v>0</v>
      </c>
      <c r="AC500" s="79">
        <f t="shared" ca="1" si="264"/>
        <v>0</v>
      </c>
      <c r="AD500" s="35"/>
      <c r="AE500" s="62">
        <f t="shared" ca="1" si="265"/>
        <v>0</v>
      </c>
      <c r="AF500" s="62">
        <f t="shared" ca="1" si="266"/>
        <v>0</v>
      </c>
      <c r="AG500" s="35"/>
      <c r="AH500" s="35"/>
      <c r="AR500" s="69">
        <f t="shared" si="283"/>
        <v>42</v>
      </c>
      <c r="AS500" s="70">
        <f t="shared" si="286"/>
        <v>497</v>
      </c>
      <c r="AT500" s="71">
        <f t="shared" si="287"/>
        <v>3.3309972459009525E-2</v>
      </c>
      <c r="AU500" s="72">
        <f t="shared" si="267"/>
        <v>6.8214933659622723E-3</v>
      </c>
      <c r="AV500" s="73">
        <f t="shared" si="284"/>
        <v>1.0068214933659623</v>
      </c>
      <c r="AW500" s="74">
        <f>PRODUCT(AV$4:AV500)</f>
        <v>29.334700360885495</v>
      </c>
    </row>
    <row r="501" spans="5:49">
      <c r="E501">
        <f t="shared" si="285"/>
        <v>498</v>
      </c>
      <c r="F501" s="64">
        <f t="shared" si="268"/>
        <v>101.76</v>
      </c>
      <c r="G501" s="55">
        <f t="shared" si="269"/>
        <v>6.4504460562804344E-2</v>
      </c>
      <c r="H501" s="78">
        <f t="shared" si="288"/>
        <v>1.8899263661401053E-4</v>
      </c>
      <c r="I501" s="79">
        <f t="shared" ca="1" si="270"/>
        <v>0</v>
      </c>
      <c r="J501" s="79">
        <f t="shared" ca="1" si="271"/>
        <v>0</v>
      </c>
      <c r="K501" s="80">
        <f t="shared" ca="1" si="272"/>
        <v>0</v>
      </c>
      <c r="L501" s="80">
        <f t="shared" ca="1" si="273"/>
        <v>0</v>
      </c>
      <c r="M501" s="80">
        <f t="shared" ca="1" si="274"/>
        <v>0</v>
      </c>
      <c r="N501" s="80">
        <f t="shared" ca="1" si="275"/>
        <v>0</v>
      </c>
      <c r="O501" s="81">
        <f t="shared" ca="1" si="258"/>
        <v>0</v>
      </c>
      <c r="P501" s="79">
        <f t="shared" ca="1" si="259"/>
        <v>0</v>
      </c>
      <c r="Q501" s="35"/>
      <c r="R501">
        <f t="shared" ca="1" si="276"/>
        <v>498</v>
      </c>
      <c r="S501" s="78">
        <f t="shared" ca="1" si="277"/>
        <v>101.76</v>
      </c>
      <c r="T501" s="55">
        <f t="shared" ca="1" si="278"/>
        <v>6.4504460562804344E-2</v>
      </c>
      <c r="U501" s="78">
        <f t="shared" ca="1" si="279"/>
        <v>1.8899263661401053E-4</v>
      </c>
      <c r="V501" s="79">
        <f t="shared" ca="1" si="280"/>
        <v>0</v>
      </c>
      <c r="W501" s="79">
        <f t="shared" ca="1" si="260"/>
        <v>0</v>
      </c>
      <c r="X501" s="80">
        <f t="shared" ca="1" si="261"/>
        <v>0</v>
      </c>
      <c r="Y501" s="80">
        <f t="shared" ca="1" si="281"/>
        <v>0</v>
      </c>
      <c r="Z501" s="80">
        <f t="shared" ca="1" si="262"/>
        <v>0</v>
      </c>
      <c r="AA501" s="80">
        <f t="shared" ca="1" si="282"/>
        <v>0</v>
      </c>
      <c r="AB501" s="81">
        <f t="shared" ca="1" si="263"/>
        <v>0</v>
      </c>
      <c r="AC501" s="79">
        <f t="shared" ca="1" si="264"/>
        <v>0</v>
      </c>
      <c r="AD501" s="35"/>
      <c r="AE501" s="62">
        <f t="shared" ca="1" si="265"/>
        <v>0</v>
      </c>
      <c r="AF501" s="62">
        <f t="shared" ca="1" si="266"/>
        <v>0</v>
      </c>
      <c r="AG501" s="35"/>
      <c r="AH501" s="35"/>
      <c r="AR501" s="69">
        <f t="shared" si="283"/>
        <v>42</v>
      </c>
      <c r="AS501" s="70">
        <f t="shared" si="286"/>
        <v>498</v>
      </c>
      <c r="AT501" s="71">
        <f t="shared" si="287"/>
        <v>3.3082748702860008E-2</v>
      </c>
      <c r="AU501" s="72">
        <f t="shared" si="267"/>
        <v>6.8214933659622723E-3</v>
      </c>
      <c r="AV501" s="73">
        <f t="shared" si="284"/>
        <v>1.0068214933659623</v>
      </c>
      <c r="AW501" s="74">
        <f>PRODUCT(AV$4:AV501)</f>
        <v>29.534806824789769</v>
      </c>
    </row>
    <row r="502" spans="5:49">
      <c r="E502">
        <f t="shared" si="285"/>
        <v>499</v>
      </c>
      <c r="F502" s="64">
        <f t="shared" si="268"/>
        <v>101.84</v>
      </c>
      <c r="G502" s="55">
        <f t="shared" si="269"/>
        <v>6.4504460562804344E-2</v>
      </c>
      <c r="H502" s="78">
        <f t="shared" si="288"/>
        <v>1.7680176853888168E-4</v>
      </c>
      <c r="I502" s="79">
        <f t="shared" ca="1" si="270"/>
        <v>0</v>
      </c>
      <c r="J502" s="79">
        <f t="shared" ca="1" si="271"/>
        <v>0</v>
      </c>
      <c r="K502" s="80">
        <f t="shared" ca="1" si="272"/>
        <v>0</v>
      </c>
      <c r="L502" s="80">
        <f t="shared" ca="1" si="273"/>
        <v>0</v>
      </c>
      <c r="M502" s="80">
        <f t="shared" ca="1" si="274"/>
        <v>0</v>
      </c>
      <c r="N502" s="80">
        <f t="shared" ca="1" si="275"/>
        <v>0</v>
      </c>
      <c r="O502" s="81">
        <f t="shared" ca="1" si="258"/>
        <v>0</v>
      </c>
      <c r="P502" s="79">
        <f t="shared" ca="1" si="259"/>
        <v>0</v>
      </c>
      <c r="Q502" s="35"/>
      <c r="R502">
        <f t="shared" ca="1" si="276"/>
        <v>499</v>
      </c>
      <c r="S502" s="78">
        <f t="shared" ca="1" si="277"/>
        <v>101.84</v>
      </c>
      <c r="T502" s="55">
        <f t="shared" ca="1" si="278"/>
        <v>6.4504460562804344E-2</v>
      </c>
      <c r="U502" s="78">
        <f t="shared" ca="1" si="279"/>
        <v>1.7680176853888168E-4</v>
      </c>
      <c r="V502" s="79">
        <f t="shared" ca="1" si="280"/>
        <v>0</v>
      </c>
      <c r="W502" s="79">
        <f t="shared" ca="1" si="260"/>
        <v>0</v>
      </c>
      <c r="X502" s="80">
        <f t="shared" ca="1" si="261"/>
        <v>0</v>
      </c>
      <c r="Y502" s="80">
        <f t="shared" ca="1" si="281"/>
        <v>0</v>
      </c>
      <c r="Z502" s="80">
        <f t="shared" ca="1" si="262"/>
        <v>0</v>
      </c>
      <c r="AA502" s="80">
        <f t="shared" ca="1" si="282"/>
        <v>0</v>
      </c>
      <c r="AB502" s="81">
        <f t="shared" ca="1" si="263"/>
        <v>0</v>
      </c>
      <c r="AC502" s="79">
        <f t="shared" ca="1" si="264"/>
        <v>0</v>
      </c>
      <c r="AD502" s="35"/>
      <c r="AE502" s="62">
        <f t="shared" ca="1" si="265"/>
        <v>0</v>
      </c>
      <c r="AF502" s="62">
        <f t="shared" ca="1" si="266"/>
        <v>0</v>
      </c>
      <c r="AG502" s="35"/>
      <c r="AH502" s="35"/>
      <c r="AR502" s="69">
        <f t="shared" si="283"/>
        <v>42</v>
      </c>
      <c r="AS502" s="70">
        <f t="shared" si="286"/>
        <v>499</v>
      </c>
      <c r="AT502" s="71">
        <f t="shared" si="287"/>
        <v>3.285707495205565E-2</v>
      </c>
      <c r="AU502" s="72">
        <f t="shared" si="267"/>
        <v>6.8214933659622723E-3</v>
      </c>
      <c r="AV502" s="73">
        <f t="shared" si="284"/>
        <v>1.0068214933659623</v>
      </c>
      <c r="AW502" s="74">
        <f>PRODUCT(AV$4:AV502)</f>
        <v>29.73627831361005</v>
      </c>
    </row>
    <row r="503" spans="5:49">
      <c r="E503">
        <f t="shared" si="285"/>
        <v>500</v>
      </c>
      <c r="F503" s="64">
        <f t="shared" si="268"/>
        <v>101.92</v>
      </c>
      <c r="G503" s="55">
        <f t="shared" si="269"/>
        <v>6.4504460562804344E-2</v>
      </c>
      <c r="H503" s="78">
        <f t="shared" si="288"/>
        <v>1.6539726583273133E-4</v>
      </c>
      <c r="I503" s="79">
        <f t="shared" ca="1" si="270"/>
        <v>0</v>
      </c>
      <c r="J503" s="79">
        <f t="shared" ca="1" si="271"/>
        <v>0</v>
      </c>
      <c r="K503" s="80">
        <f t="shared" ca="1" si="272"/>
        <v>0</v>
      </c>
      <c r="L503" s="80">
        <f t="shared" ca="1" si="273"/>
        <v>0</v>
      </c>
      <c r="M503" s="80">
        <f t="shared" ca="1" si="274"/>
        <v>0</v>
      </c>
      <c r="N503" s="80">
        <f t="shared" ca="1" si="275"/>
        <v>0</v>
      </c>
      <c r="O503" s="81">
        <f t="shared" ca="1" si="258"/>
        <v>0</v>
      </c>
      <c r="P503" s="79">
        <f t="shared" ca="1" si="259"/>
        <v>0</v>
      </c>
      <c r="Q503" s="35"/>
      <c r="R503">
        <f t="shared" ca="1" si="276"/>
        <v>500</v>
      </c>
      <c r="S503" s="78">
        <f t="shared" ca="1" si="277"/>
        <v>101.92</v>
      </c>
      <c r="T503" s="55">
        <f t="shared" ca="1" si="278"/>
        <v>6.4504460562804344E-2</v>
      </c>
      <c r="U503" s="78">
        <f t="shared" ca="1" si="279"/>
        <v>1.6539726583273133E-4</v>
      </c>
      <c r="V503" s="79">
        <f t="shared" ca="1" si="280"/>
        <v>0</v>
      </c>
      <c r="W503" s="79">
        <f t="shared" ca="1" si="260"/>
        <v>0</v>
      </c>
      <c r="X503" s="80">
        <f t="shared" ca="1" si="261"/>
        <v>0</v>
      </c>
      <c r="Y503" s="80">
        <f t="shared" ca="1" si="281"/>
        <v>0</v>
      </c>
      <c r="Z503" s="80">
        <f t="shared" ca="1" si="262"/>
        <v>0</v>
      </c>
      <c r="AA503" s="80">
        <f t="shared" ca="1" si="282"/>
        <v>0</v>
      </c>
      <c r="AB503" s="81">
        <f t="shared" ca="1" si="263"/>
        <v>0</v>
      </c>
      <c r="AC503" s="79">
        <f t="shared" ca="1" si="264"/>
        <v>0</v>
      </c>
      <c r="AD503" s="35"/>
      <c r="AE503" s="62">
        <f t="shared" ca="1" si="265"/>
        <v>0</v>
      </c>
      <c r="AF503" s="62">
        <f t="shared" ca="1" si="266"/>
        <v>0</v>
      </c>
      <c r="AG503" s="35"/>
      <c r="AH503" s="35"/>
      <c r="AR503" s="69">
        <f t="shared" si="283"/>
        <v>42</v>
      </c>
      <c r="AS503" s="70">
        <f t="shared" si="286"/>
        <v>500</v>
      </c>
      <c r="AT503" s="71">
        <f t="shared" si="287"/>
        <v>3.2632940633245275E-2</v>
      </c>
      <c r="AU503" s="72">
        <f t="shared" si="267"/>
        <v>6.8214933659622723E-3</v>
      </c>
      <c r="AV503" s="73">
        <f t="shared" si="284"/>
        <v>1.0068214933659623</v>
      </c>
      <c r="AW503" s="74">
        <f>PRODUCT(AV$4:AV503)</f>
        <v>29.939124138854748</v>
      </c>
    </row>
    <row r="504" spans="5:49">
      <c r="E504">
        <f t="shared" si="285"/>
        <v>501</v>
      </c>
      <c r="F504" s="64">
        <f t="shared" si="268"/>
        <v>102</v>
      </c>
      <c r="G504" s="55">
        <f t="shared" si="269"/>
        <v>6.4504460562804344E-2</v>
      </c>
      <c r="H504" s="78">
        <f t="shared" si="288"/>
        <v>1.5472840442162824E-4</v>
      </c>
      <c r="I504" s="79">
        <f t="shared" ca="1" si="270"/>
        <v>0</v>
      </c>
      <c r="J504" s="79">
        <f t="shared" ca="1" si="271"/>
        <v>0</v>
      </c>
      <c r="K504" s="80">
        <f t="shared" ca="1" si="272"/>
        <v>0</v>
      </c>
      <c r="L504" s="80">
        <f t="shared" ca="1" si="273"/>
        <v>0</v>
      </c>
      <c r="M504" s="80">
        <f t="shared" ca="1" si="274"/>
        <v>0</v>
      </c>
      <c r="N504" s="80">
        <f t="shared" ca="1" si="275"/>
        <v>0</v>
      </c>
      <c r="O504" s="81">
        <f t="shared" ca="1" si="258"/>
        <v>0</v>
      </c>
      <c r="P504" s="79">
        <f t="shared" ca="1" si="259"/>
        <v>0</v>
      </c>
      <c r="Q504" s="35"/>
      <c r="R504">
        <f t="shared" ca="1" si="276"/>
        <v>501</v>
      </c>
      <c r="S504" s="78">
        <f t="shared" ca="1" si="277"/>
        <v>102</v>
      </c>
      <c r="T504" s="55">
        <f t="shared" ca="1" si="278"/>
        <v>6.4504460562804344E-2</v>
      </c>
      <c r="U504" s="78">
        <f t="shared" ca="1" si="279"/>
        <v>1.5472840442162824E-4</v>
      </c>
      <c r="V504" s="79">
        <f t="shared" ca="1" si="280"/>
        <v>0</v>
      </c>
      <c r="W504" s="79">
        <f t="shared" ca="1" si="260"/>
        <v>0</v>
      </c>
      <c r="X504" s="80">
        <f t="shared" ca="1" si="261"/>
        <v>0</v>
      </c>
      <c r="Y504" s="80">
        <f t="shared" ca="1" si="281"/>
        <v>0</v>
      </c>
      <c r="Z504" s="80">
        <f t="shared" ca="1" si="262"/>
        <v>0</v>
      </c>
      <c r="AA504" s="80">
        <f t="shared" ca="1" si="282"/>
        <v>0</v>
      </c>
      <c r="AB504" s="81">
        <f t="shared" ca="1" si="263"/>
        <v>0</v>
      </c>
      <c r="AC504" s="79">
        <f t="shared" ca="1" si="264"/>
        <v>0</v>
      </c>
      <c r="AD504" s="35"/>
      <c r="AE504" s="137">
        <v>1</v>
      </c>
      <c r="AF504" s="62">
        <f t="shared" ca="1" si="266"/>
        <v>0</v>
      </c>
      <c r="AG504" s="35"/>
      <c r="AH504" s="35"/>
      <c r="AR504" s="69">
        <f t="shared" si="283"/>
        <v>42</v>
      </c>
      <c r="AS504" s="70">
        <f t="shared" si="286"/>
        <v>501</v>
      </c>
      <c r="AT504" s="71">
        <f t="shared" si="287"/>
        <v>3.2410335245203752E-2</v>
      </c>
      <c r="AU504" s="72">
        <f t="shared" si="267"/>
        <v>6.8214933659622723E-3</v>
      </c>
      <c r="AV504" s="73">
        <f t="shared" si="284"/>
        <v>1.0068214933659623</v>
      </c>
      <c r="AW504" s="74">
        <f>PRODUCT(AV$4:AV504)</f>
        <v>30.143353675550667</v>
      </c>
    </row>
    <row r="505" spans="5:49">
      <c r="E505">
        <f t="shared" si="285"/>
        <v>502</v>
      </c>
      <c r="F505" s="64">
        <f t="shared" si="268"/>
        <v>102.08</v>
      </c>
      <c r="G505" s="55">
        <f t="shared" si="269"/>
        <v>6.4504460562804344E-2</v>
      </c>
      <c r="H505" s="78">
        <f t="shared" si="288"/>
        <v>1.4474773216066768E-4</v>
      </c>
      <c r="I505" s="79">
        <f t="shared" ca="1" si="270"/>
        <v>0</v>
      </c>
      <c r="J505" s="79">
        <f t="shared" ca="1" si="271"/>
        <v>0</v>
      </c>
      <c r="K505" s="80">
        <f t="shared" ca="1" si="272"/>
        <v>0</v>
      </c>
      <c r="L505" s="80">
        <f t="shared" ca="1" si="273"/>
        <v>0</v>
      </c>
      <c r="M505" s="80">
        <f t="shared" ca="1" si="274"/>
        <v>0</v>
      </c>
      <c r="N505" s="80">
        <f t="shared" ca="1" si="275"/>
        <v>0</v>
      </c>
      <c r="O505" s="81">
        <f t="shared" ca="1" si="258"/>
        <v>0</v>
      </c>
      <c r="P505" s="79">
        <f t="shared" ca="1" si="259"/>
        <v>0</v>
      </c>
      <c r="Q505" s="35"/>
      <c r="R505">
        <f t="shared" ca="1" si="276"/>
        <v>502</v>
      </c>
      <c r="S505" s="78">
        <f t="shared" ca="1" si="277"/>
        <v>102.08</v>
      </c>
      <c r="T505" s="55">
        <f t="shared" ca="1" si="278"/>
        <v>6.4504460562804344E-2</v>
      </c>
      <c r="U505" s="78">
        <f t="shared" ca="1" si="279"/>
        <v>1.4474773216066768E-4</v>
      </c>
      <c r="V505" s="79">
        <f t="shared" ca="1" si="280"/>
        <v>0</v>
      </c>
      <c r="W505" s="79">
        <f t="shared" ca="1" si="260"/>
        <v>0</v>
      </c>
      <c r="X505" s="80">
        <f t="shared" ca="1" si="261"/>
        <v>0</v>
      </c>
      <c r="Y505" s="80">
        <f t="shared" ca="1" si="281"/>
        <v>0</v>
      </c>
      <c r="Z505" s="80">
        <f t="shared" ca="1" si="262"/>
        <v>0</v>
      </c>
      <c r="AA505" s="80">
        <f t="shared" ca="1" si="282"/>
        <v>0</v>
      </c>
      <c r="AB505" s="81">
        <f t="shared" ca="1" si="263"/>
        <v>0</v>
      </c>
      <c r="AC505" s="79">
        <f t="shared" ca="1" si="264"/>
        <v>0</v>
      </c>
      <c r="AD505" s="35"/>
      <c r="AE505" s="62">
        <f ca="1">AB505/U505</f>
        <v>0</v>
      </c>
      <c r="AF505" s="62">
        <f t="shared" ca="1" si="266"/>
        <v>0</v>
      </c>
      <c r="AG505" s="35"/>
      <c r="AH505" s="35"/>
      <c r="AR505" s="69">
        <f t="shared" si="283"/>
        <v>42</v>
      </c>
      <c r="AS505" s="70">
        <f t="shared" si="286"/>
        <v>502</v>
      </c>
      <c r="AT505" s="71">
        <f t="shared" si="287"/>
        <v>3.2189248358339979E-2</v>
      </c>
      <c r="AU505" s="72">
        <f t="shared" si="267"/>
        <v>6.8214933659622723E-3</v>
      </c>
      <c r="AV505" s="73">
        <f t="shared" si="284"/>
        <v>1.0068214933659623</v>
      </c>
      <c r="AW505" s="74">
        <f>PRODUCT(AV$4:AV505)</f>
        <v>30.348976362676289</v>
      </c>
    </row>
    <row r="506" spans="5:49">
      <c r="E506">
        <f t="shared" si="285"/>
        <v>503</v>
      </c>
      <c r="F506" s="64">
        <f t="shared" si="268"/>
        <v>102.16</v>
      </c>
      <c r="G506" s="55">
        <f t="shared" si="269"/>
        <v>6.4504460562804344E-2</v>
      </c>
      <c r="H506" s="78">
        <f t="shared" si="288"/>
        <v>1.3541085777995452E-4</v>
      </c>
      <c r="I506" s="79">
        <f t="shared" ca="1" si="270"/>
        <v>0</v>
      </c>
      <c r="J506" s="79">
        <f t="shared" ca="1" si="271"/>
        <v>0</v>
      </c>
      <c r="K506" s="80">
        <f t="shared" ca="1" si="272"/>
        <v>0</v>
      </c>
      <c r="L506" s="80">
        <f t="shared" ca="1" si="273"/>
        <v>0</v>
      </c>
      <c r="M506" s="80">
        <f t="shared" ca="1" si="274"/>
        <v>0</v>
      </c>
      <c r="N506" s="80">
        <f t="shared" ca="1" si="275"/>
        <v>0</v>
      </c>
      <c r="O506" s="81">
        <f t="shared" ca="1" si="258"/>
        <v>0</v>
      </c>
      <c r="P506" s="79">
        <f t="shared" ca="1" si="259"/>
        <v>0</v>
      </c>
      <c r="Q506" s="35"/>
      <c r="R506">
        <f t="shared" ca="1" si="276"/>
        <v>503</v>
      </c>
      <c r="S506" s="78">
        <f t="shared" ca="1" si="277"/>
        <v>102.16</v>
      </c>
      <c r="T506" s="55">
        <f t="shared" ca="1" si="278"/>
        <v>6.4504460562804344E-2</v>
      </c>
      <c r="U506" s="78">
        <f t="shared" ca="1" si="279"/>
        <v>1.3541085777995452E-4</v>
      </c>
      <c r="V506" s="79">
        <f t="shared" ca="1" si="280"/>
        <v>0</v>
      </c>
      <c r="W506" s="79">
        <f t="shared" ca="1" si="260"/>
        <v>0</v>
      </c>
      <c r="X506" s="80">
        <f t="shared" ca="1" si="261"/>
        <v>0</v>
      </c>
      <c r="Y506" s="80">
        <f t="shared" ca="1" si="281"/>
        <v>0</v>
      </c>
      <c r="Z506" s="80">
        <f t="shared" ca="1" si="262"/>
        <v>0</v>
      </c>
      <c r="AA506" s="80">
        <f t="shared" ca="1" si="282"/>
        <v>0</v>
      </c>
      <c r="AB506" s="81">
        <f t="shared" ca="1" si="263"/>
        <v>0</v>
      </c>
      <c r="AC506" s="79">
        <f t="shared" ca="1" si="264"/>
        <v>0</v>
      </c>
      <c r="AD506" s="35"/>
      <c r="AE506" s="62">
        <f ca="1">AB506/U506</f>
        <v>0</v>
      </c>
      <c r="AF506" s="62">
        <f t="shared" ca="1" si="266"/>
        <v>0</v>
      </c>
      <c r="AG506" s="35"/>
      <c r="AH506" s="35"/>
      <c r="AR506" s="69">
        <f t="shared" si="283"/>
        <v>42</v>
      </c>
      <c r="AS506" s="70">
        <f t="shared" si="286"/>
        <v>503</v>
      </c>
      <c r="AT506" s="71">
        <f t="shared" si="287"/>
        <v>3.1969669614208253E-2</v>
      </c>
      <c r="AU506" s="72">
        <f t="shared" si="267"/>
        <v>6.8214933659622723E-3</v>
      </c>
      <c r="AV506" s="73">
        <f t="shared" si="284"/>
        <v>1.0068214933659623</v>
      </c>
      <c r="AW506" s="74">
        <f>PRODUCT(AV$4:AV506)</f>
        <v>30.556001703598032</v>
      </c>
    </row>
    <row r="507" spans="5:49">
      <c r="E507">
        <f t="shared" si="285"/>
        <v>504</v>
      </c>
      <c r="F507" s="64">
        <f t="shared" si="268"/>
        <v>102.24</v>
      </c>
      <c r="G507" s="55">
        <f t="shared" si="269"/>
        <v>6.4504460562804344E-2</v>
      </c>
      <c r="H507" s="78">
        <f t="shared" si="288"/>
        <v>1.2667625344451195E-4</v>
      </c>
      <c r="I507" s="79">
        <f t="shared" ca="1" si="270"/>
        <v>0</v>
      </c>
      <c r="J507" s="79">
        <f t="shared" ca="1" si="271"/>
        <v>0</v>
      </c>
      <c r="K507" s="80">
        <f t="shared" ca="1" si="272"/>
        <v>0</v>
      </c>
      <c r="L507" s="80">
        <f t="shared" ca="1" si="273"/>
        <v>0</v>
      </c>
      <c r="M507" s="80">
        <f t="shared" ca="1" si="274"/>
        <v>0</v>
      </c>
      <c r="N507" s="80">
        <f t="shared" ca="1" si="275"/>
        <v>0</v>
      </c>
      <c r="O507" s="81">
        <f t="shared" ca="1" si="258"/>
        <v>0</v>
      </c>
      <c r="P507" s="79">
        <f t="shared" ca="1" si="259"/>
        <v>0</v>
      </c>
      <c r="Q507" s="35"/>
      <c r="R507">
        <f t="shared" ca="1" si="276"/>
        <v>504</v>
      </c>
      <c r="S507" s="78">
        <f t="shared" ca="1" si="277"/>
        <v>102.24</v>
      </c>
      <c r="T507" s="55">
        <f t="shared" ca="1" si="278"/>
        <v>6.4504460562804344E-2</v>
      </c>
      <c r="U507" s="78">
        <f t="shared" ca="1" si="279"/>
        <v>1.2667625344451195E-4</v>
      </c>
      <c r="V507" s="79">
        <f t="shared" ca="1" si="280"/>
        <v>0</v>
      </c>
      <c r="W507" s="79">
        <f t="shared" ca="1" si="260"/>
        <v>0</v>
      </c>
      <c r="X507" s="80">
        <f t="shared" ca="1" si="261"/>
        <v>0</v>
      </c>
      <c r="Y507" s="80">
        <f t="shared" ca="1" si="281"/>
        <v>0</v>
      </c>
      <c r="Z507" s="80">
        <f t="shared" ca="1" si="262"/>
        <v>0</v>
      </c>
      <c r="AA507" s="80">
        <f t="shared" ca="1" si="282"/>
        <v>0</v>
      </c>
      <c r="AB507" s="81">
        <f t="shared" ca="1" si="263"/>
        <v>0</v>
      </c>
      <c r="AC507" s="79">
        <f t="shared" ca="1" si="264"/>
        <v>0</v>
      </c>
      <c r="AD507" s="35"/>
      <c r="AE507" s="35"/>
      <c r="AF507" s="35"/>
      <c r="AG507" s="35"/>
      <c r="AH507" s="35"/>
      <c r="AR507" s="69">
        <f t="shared" si="283"/>
        <v>42</v>
      </c>
      <c r="AS507" s="70">
        <f t="shared" si="286"/>
        <v>504</v>
      </c>
      <c r="AT507" s="71">
        <f t="shared" si="287"/>
        <v>3.1751588725022928E-2</v>
      </c>
      <c r="AU507" s="72">
        <f t="shared" si="267"/>
        <v>6.8214933659622723E-3</v>
      </c>
      <c r="AV507" s="73">
        <f t="shared" si="284"/>
        <v>1.0068214933659623</v>
      </c>
      <c r="AW507" s="74">
        <f>PRODUCT(AV$4:AV507)</f>
        <v>30.764439266509456</v>
      </c>
    </row>
    <row r="508" spans="5:49">
      <c r="E508">
        <f t="shared" si="285"/>
        <v>505</v>
      </c>
      <c r="F508" s="64">
        <f t="shared" si="268"/>
        <v>102.32</v>
      </c>
      <c r="G508" s="55">
        <f t="shared" si="269"/>
        <v>6.4504460562804344E-2</v>
      </c>
      <c r="H508" s="78">
        <f t="shared" si="288"/>
        <v>1.1850507004995662E-4</v>
      </c>
      <c r="I508" s="79">
        <f t="shared" ca="1" si="270"/>
        <v>0</v>
      </c>
      <c r="J508" s="79">
        <f t="shared" ca="1" si="271"/>
        <v>0</v>
      </c>
      <c r="K508" s="80">
        <f t="shared" ca="1" si="272"/>
        <v>0</v>
      </c>
      <c r="L508" s="80">
        <f t="shared" ca="1" si="273"/>
        <v>0</v>
      </c>
      <c r="M508" s="80">
        <f t="shared" ca="1" si="274"/>
        <v>0</v>
      </c>
      <c r="N508" s="80">
        <f t="shared" ca="1" si="275"/>
        <v>0</v>
      </c>
      <c r="O508" s="81">
        <f t="shared" ca="1" si="258"/>
        <v>0</v>
      </c>
      <c r="P508" s="79">
        <f t="shared" ca="1" si="259"/>
        <v>0</v>
      </c>
      <c r="Q508" s="35"/>
      <c r="R508">
        <f t="shared" ca="1" si="276"/>
        <v>505</v>
      </c>
      <c r="S508" s="78">
        <f t="shared" ca="1" si="277"/>
        <v>102.32</v>
      </c>
      <c r="T508" s="55">
        <f t="shared" ca="1" si="278"/>
        <v>6.4504460562804344E-2</v>
      </c>
      <c r="U508" s="78">
        <f t="shared" ca="1" si="279"/>
        <v>1.1850507004995662E-4</v>
      </c>
      <c r="V508" s="79">
        <f t="shared" ca="1" si="280"/>
        <v>0</v>
      </c>
      <c r="W508" s="79">
        <f t="shared" ca="1" si="260"/>
        <v>0</v>
      </c>
      <c r="X508" s="80">
        <f t="shared" ca="1" si="261"/>
        <v>0</v>
      </c>
      <c r="Y508" s="80">
        <f t="shared" ca="1" si="281"/>
        <v>0</v>
      </c>
      <c r="Z508" s="80">
        <f t="shared" ca="1" si="262"/>
        <v>0</v>
      </c>
      <c r="AA508" s="80">
        <f t="shared" ca="1" si="282"/>
        <v>0</v>
      </c>
      <c r="AB508" s="81">
        <f t="shared" ca="1" si="263"/>
        <v>0</v>
      </c>
      <c r="AC508" s="79">
        <f t="shared" ca="1" si="264"/>
        <v>0</v>
      </c>
      <c r="AD508" s="35"/>
      <c r="AE508" s="35"/>
      <c r="AF508" s="35"/>
      <c r="AG508" s="35"/>
      <c r="AH508" s="35"/>
      <c r="AR508" s="69">
        <f t="shared" si="283"/>
        <v>43</v>
      </c>
      <c r="AS508" s="70">
        <f t="shared" si="286"/>
        <v>505</v>
      </c>
      <c r="AT508" s="71">
        <f t="shared" si="287"/>
        <v>3.1534995473176425E-2</v>
      </c>
      <c r="AU508" s="72">
        <f t="shared" si="267"/>
        <v>6.8214933659622723E-3</v>
      </c>
      <c r="AV508" s="73">
        <f t="shared" si="284"/>
        <v>1.0068214933659623</v>
      </c>
      <c r="AW508" s="74">
        <f>PRODUCT(AV$4:AV508)</f>
        <v>30.974298684873499</v>
      </c>
    </row>
    <row r="509" spans="5:49">
      <c r="E509">
        <f t="shared" si="285"/>
        <v>506</v>
      </c>
      <c r="F509" s="64">
        <f t="shared" si="268"/>
        <v>102.4</v>
      </c>
      <c r="G509" s="55">
        <f t="shared" si="269"/>
        <v>6.4504460562804344E-2</v>
      </c>
      <c r="H509" s="78">
        <f t="shared" si="288"/>
        <v>1.1086096443242683E-4</v>
      </c>
      <c r="I509" s="79">
        <f t="shared" ca="1" si="270"/>
        <v>0</v>
      </c>
      <c r="J509" s="79">
        <f t="shared" ca="1" si="271"/>
        <v>0</v>
      </c>
      <c r="K509" s="80">
        <f t="shared" ca="1" si="272"/>
        <v>0</v>
      </c>
      <c r="L509" s="80">
        <f t="shared" ca="1" si="273"/>
        <v>0</v>
      </c>
      <c r="M509" s="80">
        <f t="shared" ca="1" si="274"/>
        <v>0</v>
      </c>
      <c r="N509" s="80">
        <f t="shared" ca="1" si="275"/>
        <v>0</v>
      </c>
      <c r="O509" s="81">
        <f t="shared" ca="1" si="258"/>
        <v>0</v>
      </c>
      <c r="P509" s="79">
        <f t="shared" ca="1" si="259"/>
        <v>0</v>
      </c>
      <c r="Q509" s="35"/>
      <c r="R509">
        <f t="shared" ca="1" si="276"/>
        <v>506</v>
      </c>
      <c r="S509" s="78">
        <f t="shared" ca="1" si="277"/>
        <v>102.4</v>
      </c>
      <c r="T509" s="55">
        <f t="shared" ca="1" si="278"/>
        <v>6.4504460562804344E-2</v>
      </c>
      <c r="U509" s="78">
        <f t="shared" ca="1" si="279"/>
        <v>1.1086096443242683E-4</v>
      </c>
      <c r="V509" s="79">
        <f t="shared" ca="1" si="280"/>
        <v>0</v>
      </c>
      <c r="W509" s="79">
        <f t="shared" ca="1" si="260"/>
        <v>0</v>
      </c>
      <c r="X509" s="80">
        <f t="shared" ca="1" si="261"/>
        <v>0</v>
      </c>
      <c r="Y509" s="80">
        <f t="shared" ca="1" si="281"/>
        <v>0</v>
      </c>
      <c r="Z509" s="80">
        <f t="shared" ca="1" si="262"/>
        <v>0</v>
      </c>
      <c r="AA509" s="80">
        <f t="shared" ca="1" si="282"/>
        <v>0</v>
      </c>
      <c r="AB509" s="81">
        <f t="shared" ca="1" si="263"/>
        <v>0</v>
      </c>
      <c r="AC509" s="79">
        <f t="shared" ca="1" si="264"/>
        <v>0</v>
      </c>
      <c r="AD509" s="35"/>
      <c r="AE509" s="35"/>
      <c r="AF509" s="35"/>
      <c r="AG509" s="35"/>
      <c r="AH509" s="35"/>
      <c r="AR509" s="69">
        <f t="shared" si="283"/>
        <v>43</v>
      </c>
      <c r="AS509" s="70">
        <f t="shared" si="286"/>
        <v>506</v>
      </c>
      <c r="AT509" s="71">
        <f t="shared" si="287"/>
        <v>3.1319879710760501E-2</v>
      </c>
      <c r="AU509" s="72">
        <f t="shared" si="267"/>
        <v>6.8214933659622723E-3</v>
      </c>
      <c r="AV509" s="73">
        <f t="shared" si="284"/>
        <v>1.0068214933659623</v>
      </c>
      <c r="AW509" s="74">
        <f>PRODUCT(AV$4:AV509)</f>
        <v>31.185589657867698</v>
      </c>
    </row>
    <row r="510" spans="5:49">
      <c r="E510">
        <f t="shared" si="285"/>
        <v>507</v>
      </c>
      <c r="F510" s="64">
        <f t="shared" si="268"/>
        <v>102.48</v>
      </c>
      <c r="G510" s="55">
        <f t="shared" si="269"/>
        <v>6.4504460562804344E-2</v>
      </c>
      <c r="H510" s="78">
        <f t="shared" si="288"/>
        <v>1.037099377242409E-4</v>
      </c>
      <c r="I510" s="79">
        <f t="shared" ca="1" si="270"/>
        <v>0</v>
      </c>
      <c r="J510" s="79">
        <f t="shared" ca="1" si="271"/>
        <v>0</v>
      </c>
      <c r="K510" s="80">
        <f t="shared" ca="1" si="272"/>
        <v>0</v>
      </c>
      <c r="L510" s="80">
        <f t="shared" ca="1" si="273"/>
        <v>0</v>
      </c>
      <c r="M510" s="80">
        <f t="shared" ca="1" si="274"/>
        <v>0</v>
      </c>
      <c r="N510" s="80">
        <f t="shared" ca="1" si="275"/>
        <v>0</v>
      </c>
      <c r="O510" s="81">
        <f t="shared" ca="1" si="258"/>
        <v>0</v>
      </c>
      <c r="P510" s="79">
        <f t="shared" ca="1" si="259"/>
        <v>0</v>
      </c>
      <c r="Q510" s="35"/>
      <c r="R510">
        <f t="shared" ca="1" si="276"/>
        <v>507</v>
      </c>
      <c r="S510" s="78">
        <f t="shared" ca="1" si="277"/>
        <v>102.48</v>
      </c>
      <c r="T510" s="55">
        <f t="shared" ca="1" si="278"/>
        <v>6.4504460562804344E-2</v>
      </c>
      <c r="U510" s="78">
        <f t="shared" ca="1" si="279"/>
        <v>1.037099377242409E-4</v>
      </c>
      <c r="V510" s="79">
        <f t="shared" ca="1" si="280"/>
        <v>0</v>
      </c>
      <c r="W510" s="79">
        <f t="shared" ca="1" si="260"/>
        <v>0</v>
      </c>
      <c r="X510" s="80">
        <f t="shared" ca="1" si="261"/>
        <v>0</v>
      </c>
      <c r="Y510" s="80">
        <f t="shared" ca="1" si="281"/>
        <v>0</v>
      </c>
      <c r="Z510" s="80">
        <f t="shared" ca="1" si="262"/>
        <v>0</v>
      </c>
      <c r="AA510" s="80">
        <f t="shared" ca="1" si="282"/>
        <v>0</v>
      </c>
      <c r="AB510" s="81">
        <f t="shared" ca="1" si="263"/>
        <v>0</v>
      </c>
      <c r="AC510" s="79">
        <f t="shared" ca="1" si="264"/>
        <v>0</v>
      </c>
      <c r="AD510" s="35"/>
      <c r="AE510" s="35"/>
      <c r="AF510" s="35"/>
      <c r="AG510" s="35"/>
      <c r="AH510" s="35"/>
      <c r="AR510" s="69">
        <f t="shared" si="283"/>
        <v>43</v>
      </c>
      <c r="AS510" s="70">
        <f t="shared" si="286"/>
        <v>507</v>
      </c>
      <c r="AT510" s="71">
        <f t="shared" si="287"/>
        <v>3.1106231359090811E-2</v>
      </c>
      <c r="AU510" s="72">
        <f t="shared" si="267"/>
        <v>6.8214933659622723E-3</v>
      </c>
      <c r="AV510" s="73">
        <f t="shared" si="284"/>
        <v>1.0068214933659623</v>
      </c>
      <c r="AW510" s="74">
        <f>PRODUCT(AV$4:AV510)</f>
        <v>31.398321950832464</v>
      </c>
    </row>
    <row r="511" spans="5:49">
      <c r="E511">
        <f t="shared" si="285"/>
        <v>508</v>
      </c>
      <c r="F511" s="64">
        <f t="shared" si="268"/>
        <v>102.56</v>
      </c>
      <c r="G511" s="55">
        <f t="shared" si="269"/>
        <v>7.0818821105846697E-2</v>
      </c>
      <c r="H511" s="78">
        <f t="shared" si="288"/>
        <v>9.6365322197649382E-5</v>
      </c>
      <c r="I511" s="79">
        <f t="shared" ca="1" si="270"/>
        <v>0</v>
      </c>
      <c r="J511" s="79">
        <f t="shared" ca="1" si="271"/>
        <v>0</v>
      </c>
      <c r="K511" s="80">
        <f t="shared" ca="1" si="272"/>
        <v>0</v>
      </c>
      <c r="L511" s="80">
        <f t="shared" ca="1" si="273"/>
        <v>0</v>
      </c>
      <c r="M511" s="80">
        <f t="shared" ca="1" si="274"/>
        <v>0</v>
      </c>
      <c r="N511" s="80">
        <f t="shared" ca="1" si="275"/>
        <v>0</v>
      </c>
      <c r="O511" s="81">
        <f t="shared" ca="1" si="258"/>
        <v>0</v>
      </c>
      <c r="P511" s="79">
        <f t="shared" ca="1" si="259"/>
        <v>0</v>
      </c>
      <c r="Q511" s="35"/>
      <c r="R511">
        <f t="shared" ca="1" si="276"/>
        <v>508</v>
      </c>
      <c r="S511" s="78">
        <f t="shared" ca="1" si="277"/>
        <v>102.56</v>
      </c>
      <c r="T511" s="55">
        <f t="shared" ca="1" si="278"/>
        <v>7.0818821105846697E-2</v>
      </c>
      <c r="U511" s="78">
        <f t="shared" ca="1" si="279"/>
        <v>9.6365322197649382E-5</v>
      </c>
      <c r="V511" s="79">
        <f t="shared" ca="1" si="280"/>
        <v>0</v>
      </c>
      <c r="W511" s="79">
        <f t="shared" ca="1" si="260"/>
        <v>0</v>
      </c>
      <c r="X511" s="80">
        <f t="shared" ca="1" si="261"/>
        <v>0</v>
      </c>
      <c r="Y511" s="80">
        <f t="shared" ca="1" si="281"/>
        <v>0</v>
      </c>
      <c r="Z511" s="80">
        <f t="shared" ca="1" si="262"/>
        <v>0</v>
      </c>
      <c r="AA511" s="80">
        <f t="shared" ca="1" si="282"/>
        <v>0</v>
      </c>
      <c r="AB511" s="81">
        <f t="shared" ca="1" si="263"/>
        <v>0</v>
      </c>
      <c r="AC511" s="79">
        <f t="shared" ca="1" si="264"/>
        <v>0</v>
      </c>
      <c r="AD511" s="35"/>
      <c r="AE511" s="35"/>
      <c r="AF511" s="35"/>
      <c r="AG511" s="35"/>
      <c r="AH511" s="35"/>
      <c r="AR511" s="69">
        <f t="shared" si="283"/>
        <v>43</v>
      </c>
      <c r="AS511" s="70">
        <f t="shared" si="286"/>
        <v>508</v>
      </c>
      <c r="AT511" s="71">
        <f t="shared" si="287"/>
        <v>3.0894040408234687E-2</v>
      </c>
      <c r="AU511" s="72">
        <f t="shared" si="267"/>
        <v>6.8214933659622723E-3</v>
      </c>
      <c r="AV511" s="73">
        <f t="shared" si="284"/>
        <v>1.0068214933659623</v>
      </c>
      <c r="AW511" s="74">
        <f>PRODUCT(AV$4:AV511)</f>
        <v>31.612505395722415</v>
      </c>
    </row>
    <row r="512" spans="5:49">
      <c r="E512">
        <f t="shared" si="285"/>
        <v>509</v>
      </c>
      <c r="F512" s="64">
        <f t="shared" si="268"/>
        <v>102.64</v>
      </c>
      <c r="G512" s="55">
        <f t="shared" si="269"/>
        <v>7.0818821105846697E-2</v>
      </c>
      <c r="H512" s="78">
        <f t="shared" si="288"/>
        <v>8.9540843684126779E-5</v>
      </c>
      <c r="I512" s="79">
        <f t="shared" ca="1" si="270"/>
        <v>0</v>
      </c>
      <c r="J512" s="79">
        <f t="shared" ca="1" si="271"/>
        <v>0</v>
      </c>
      <c r="K512" s="80">
        <f t="shared" ca="1" si="272"/>
        <v>0</v>
      </c>
      <c r="L512" s="80">
        <f t="shared" ca="1" si="273"/>
        <v>0</v>
      </c>
      <c r="M512" s="80">
        <f t="shared" ca="1" si="274"/>
        <v>0</v>
      </c>
      <c r="N512" s="80">
        <f t="shared" ca="1" si="275"/>
        <v>0</v>
      </c>
      <c r="O512" s="81">
        <f t="shared" ca="1" si="258"/>
        <v>0</v>
      </c>
      <c r="P512" s="79">
        <f t="shared" ca="1" si="259"/>
        <v>0</v>
      </c>
      <c r="Q512" s="35"/>
      <c r="R512">
        <f t="shared" ca="1" si="276"/>
        <v>509</v>
      </c>
      <c r="S512" s="78">
        <f t="shared" ca="1" si="277"/>
        <v>102.64</v>
      </c>
      <c r="T512" s="55">
        <f t="shared" ca="1" si="278"/>
        <v>7.0818821105846697E-2</v>
      </c>
      <c r="U512" s="78">
        <f t="shared" ca="1" si="279"/>
        <v>8.9540843684126779E-5</v>
      </c>
      <c r="V512" s="79">
        <f t="shared" ca="1" si="280"/>
        <v>0</v>
      </c>
      <c r="W512" s="79">
        <f t="shared" ca="1" si="260"/>
        <v>0</v>
      </c>
      <c r="X512" s="80">
        <f t="shared" ca="1" si="261"/>
        <v>0</v>
      </c>
      <c r="Y512" s="80">
        <f t="shared" ca="1" si="281"/>
        <v>0</v>
      </c>
      <c r="Z512" s="80">
        <f t="shared" ca="1" si="262"/>
        <v>0</v>
      </c>
      <c r="AA512" s="80">
        <f t="shared" ca="1" si="282"/>
        <v>0</v>
      </c>
      <c r="AB512" s="81">
        <f t="shared" ca="1" si="263"/>
        <v>0</v>
      </c>
      <c r="AC512" s="79">
        <f t="shared" ca="1" si="264"/>
        <v>0</v>
      </c>
      <c r="AD512" s="35"/>
      <c r="AE512" s="35"/>
      <c r="AF512" s="35"/>
      <c r="AG512" s="35"/>
      <c r="AH512" s="35"/>
      <c r="AR512" s="69">
        <f t="shared" si="283"/>
        <v>43</v>
      </c>
      <c r="AS512" s="70">
        <f t="shared" si="286"/>
        <v>509</v>
      </c>
      <c r="AT512" s="71">
        <f t="shared" si="287"/>
        <v>3.0683296916542143E-2</v>
      </c>
      <c r="AU512" s="72">
        <f t="shared" si="267"/>
        <v>6.8214933659622723E-3</v>
      </c>
      <c r="AV512" s="73">
        <f t="shared" si="284"/>
        <v>1.0068214933659623</v>
      </c>
      <c r="AW512" s="74">
        <f>PRODUCT(AV$4:AV512)</f>
        <v>31.828149891560784</v>
      </c>
    </row>
    <row r="513" spans="5:49">
      <c r="E513">
        <f t="shared" si="285"/>
        <v>510</v>
      </c>
      <c r="F513" s="64">
        <f t="shared" si="268"/>
        <v>102.72</v>
      </c>
      <c r="G513" s="55">
        <f t="shared" si="269"/>
        <v>7.0818821105846697E-2</v>
      </c>
      <c r="H513" s="78">
        <f t="shared" si="288"/>
        <v>8.3199666693594023E-5</v>
      </c>
      <c r="I513" s="79">
        <f t="shared" ca="1" si="270"/>
        <v>0</v>
      </c>
      <c r="J513" s="79">
        <f t="shared" ca="1" si="271"/>
        <v>0</v>
      </c>
      <c r="K513" s="80">
        <f t="shared" ca="1" si="272"/>
        <v>0</v>
      </c>
      <c r="L513" s="80">
        <f t="shared" ca="1" si="273"/>
        <v>0</v>
      </c>
      <c r="M513" s="80">
        <f t="shared" ca="1" si="274"/>
        <v>0</v>
      </c>
      <c r="N513" s="80">
        <f t="shared" ca="1" si="275"/>
        <v>0</v>
      </c>
      <c r="O513" s="81">
        <f t="shared" ca="1" si="258"/>
        <v>0</v>
      </c>
      <c r="P513" s="79">
        <f t="shared" ca="1" si="259"/>
        <v>0</v>
      </c>
      <c r="Q513" s="35"/>
      <c r="R513">
        <f t="shared" ca="1" si="276"/>
        <v>510</v>
      </c>
      <c r="S513" s="78">
        <f t="shared" ca="1" si="277"/>
        <v>102.72</v>
      </c>
      <c r="T513" s="55">
        <f t="shared" ca="1" si="278"/>
        <v>7.0818821105846697E-2</v>
      </c>
      <c r="U513" s="78">
        <f t="shared" ca="1" si="279"/>
        <v>8.3199666693594023E-5</v>
      </c>
      <c r="V513" s="79">
        <f t="shared" ca="1" si="280"/>
        <v>0</v>
      </c>
      <c r="W513" s="79">
        <f t="shared" ca="1" si="260"/>
        <v>0</v>
      </c>
      <c r="X513" s="80">
        <f t="shared" ca="1" si="261"/>
        <v>0</v>
      </c>
      <c r="Y513" s="80">
        <f t="shared" ca="1" si="281"/>
        <v>0</v>
      </c>
      <c r="Z513" s="80">
        <f t="shared" ca="1" si="262"/>
        <v>0</v>
      </c>
      <c r="AA513" s="80">
        <f t="shared" ca="1" si="282"/>
        <v>0</v>
      </c>
      <c r="AB513" s="81">
        <f t="shared" ca="1" si="263"/>
        <v>0</v>
      </c>
      <c r="AC513" s="79">
        <f t="shared" ca="1" si="264"/>
        <v>0</v>
      </c>
      <c r="AD513" s="35"/>
      <c r="AE513" s="35"/>
      <c r="AF513" s="35"/>
      <c r="AG513" s="35"/>
      <c r="AH513" s="35"/>
      <c r="AR513" s="69">
        <f t="shared" si="283"/>
        <v>43</v>
      </c>
      <c r="AS513" s="70">
        <f t="shared" si="286"/>
        <v>510</v>
      </c>
      <c r="AT513" s="71">
        <f t="shared" si="287"/>
        <v>3.0473991010180099E-2</v>
      </c>
      <c r="AU513" s="72">
        <f t="shared" si="267"/>
        <v>6.8214933659622723E-3</v>
      </c>
      <c r="AV513" s="73">
        <f t="shared" si="284"/>
        <v>1.0068214933659623</v>
      </c>
      <c r="AW513" s="74">
        <f>PRODUCT(AV$4:AV513)</f>
        <v>32.045265404896917</v>
      </c>
    </row>
    <row r="514" spans="5:49">
      <c r="E514">
        <f t="shared" si="285"/>
        <v>511</v>
      </c>
      <c r="F514" s="64">
        <f t="shared" si="268"/>
        <v>102.8</v>
      </c>
      <c r="G514" s="55">
        <f t="shared" si="269"/>
        <v>7.0818821105846697E-2</v>
      </c>
      <c r="H514" s="78">
        <f t="shared" si="288"/>
        <v>7.7307564381954322E-5</v>
      </c>
      <c r="I514" s="79">
        <f t="shared" ca="1" si="270"/>
        <v>0</v>
      </c>
      <c r="J514" s="79">
        <f t="shared" ca="1" si="271"/>
        <v>0</v>
      </c>
      <c r="K514" s="80">
        <f t="shared" ca="1" si="272"/>
        <v>0</v>
      </c>
      <c r="L514" s="80">
        <f t="shared" ca="1" si="273"/>
        <v>0</v>
      </c>
      <c r="M514" s="80">
        <f t="shared" ca="1" si="274"/>
        <v>0</v>
      </c>
      <c r="N514" s="80">
        <f t="shared" ca="1" si="275"/>
        <v>0</v>
      </c>
      <c r="O514" s="81">
        <f t="shared" ca="1" si="258"/>
        <v>0</v>
      </c>
      <c r="P514" s="79">
        <f t="shared" ca="1" si="259"/>
        <v>0</v>
      </c>
      <c r="Q514" s="35"/>
      <c r="R514">
        <f t="shared" ca="1" si="276"/>
        <v>511</v>
      </c>
      <c r="S514" s="78">
        <f t="shared" ca="1" si="277"/>
        <v>102.8</v>
      </c>
      <c r="T514" s="55">
        <f t="shared" ca="1" si="278"/>
        <v>7.0818821105846697E-2</v>
      </c>
      <c r="U514" s="78">
        <f t="shared" ca="1" si="279"/>
        <v>7.7307564381954322E-5</v>
      </c>
      <c r="V514" s="79">
        <f t="shared" ca="1" si="280"/>
        <v>0</v>
      </c>
      <c r="W514" s="79">
        <f t="shared" ca="1" si="260"/>
        <v>0</v>
      </c>
      <c r="X514" s="80">
        <f t="shared" ca="1" si="261"/>
        <v>0</v>
      </c>
      <c r="Y514" s="80">
        <f t="shared" ca="1" si="281"/>
        <v>0</v>
      </c>
      <c r="Z514" s="80">
        <f t="shared" ca="1" si="262"/>
        <v>0</v>
      </c>
      <c r="AA514" s="80">
        <f t="shared" ca="1" si="282"/>
        <v>0</v>
      </c>
      <c r="AB514" s="81">
        <f t="shared" ca="1" si="263"/>
        <v>0</v>
      </c>
      <c r="AC514" s="79">
        <f t="shared" ca="1" si="264"/>
        <v>0</v>
      </c>
      <c r="AD514" s="35"/>
      <c r="AE514" s="35"/>
      <c r="AF514" s="35"/>
      <c r="AG514" s="35"/>
      <c r="AH514" s="35"/>
      <c r="AR514" s="69">
        <f t="shared" si="283"/>
        <v>43</v>
      </c>
      <c r="AS514" s="70">
        <f t="shared" si="286"/>
        <v>511</v>
      </c>
      <c r="AT514" s="71">
        <f t="shared" si="287"/>
        <v>3.0266112882669761E-2</v>
      </c>
      <c r="AU514" s="72">
        <f t="shared" si="267"/>
        <v>6.8214933659622723E-3</v>
      </c>
      <c r="AV514" s="73">
        <f t="shared" si="284"/>
        <v>1.0068214933659623</v>
      </c>
      <c r="AW514" s="74">
        <f>PRODUCT(AV$4:AV514)</f>
        <v>32.263861970266923</v>
      </c>
    </row>
    <row r="515" spans="5:49">
      <c r="E515">
        <f t="shared" si="285"/>
        <v>512</v>
      </c>
      <c r="F515" s="64">
        <f t="shared" si="268"/>
        <v>102.88</v>
      </c>
      <c r="G515" s="55">
        <f t="shared" si="269"/>
        <v>7.0818821105846697E-2</v>
      </c>
      <c r="H515" s="78">
        <f t="shared" si="288"/>
        <v>7.1832733809859976E-5</v>
      </c>
      <c r="I515" s="79">
        <f t="shared" ca="1" si="270"/>
        <v>0</v>
      </c>
      <c r="J515" s="79">
        <f t="shared" ca="1" si="271"/>
        <v>0</v>
      </c>
      <c r="K515" s="80">
        <f t="shared" ca="1" si="272"/>
        <v>0</v>
      </c>
      <c r="L515" s="80">
        <f t="shared" ca="1" si="273"/>
        <v>0</v>
      </c>
      <c r="M515" s="80">
        <f t="shared" ca="1" si="274"/>
        <v>0</v>
      </c>
      <c r="N515" s="80">
        <f t="shared" ca="1" si="275"/>
        <v>0</v>
      </c>
      <c r="O515" s="81">
        <f t="shared" ca="1" si="258"/>
        <v>0</v>
      </c>
      <c r="P515" s="79">
        <f t="shared" ca="1" si="259"/>
        <v>0</v>
      </c>
      <c r="Q515" s="35"/>
      <c r="R515">
        <f t="shared" ca="1" si="276"/>
        <v>512</v>
      </c>
      <c r="S515" s="78">
        <f t="shared" ca="1" si="277"/>
        <v>102.88</v>
      </c>
      <c r="T515" s="55">
        <f t="shared" ca="1" si="278"/>
        <v>7.0818821105846697E-2</v>
      </c>
      <c r="U515" s="78">
        <f t="shared" ca="1" si="279"/>
        <v>7.1832733809859976E-5</v>
      </c>
      <c r="V515" s="79">
        <f t="shared" ca="1" si="280"/>
        <v>0</v>
      </c>
      <c r="W515" s="79">
        <f t="shared" ca="1" si="260"/>
        <v>0</v>
      </c>
      <c r="X515" s="80">
        <f t="shared" ca="1" si="261"/>
        <v>0</v>
      </c>
      <c r="Y515" s="80">
        <f t="shared" ca="1" si="281"/>
        <v>0</v>
      </c>
      <c r="Z515" s="80">
        <f t="shared" ca="1" si="262"/>
        <v>0</v>
      </c>
      <c r="AA515" s="80">
        <f t="shared" ca="1" si="282"/>
        <v>0</v>
      </c>
      <c r="AB515" s="81">
        <f t="shared" ca="1" si="263"/>
        <v>0</v>
      </c>
      <c r="AC515" s="79">
        <f t="shared" ca="1" si="264"/>
        <v>0</v>
      </c>
      <c r="AD515" s="35"/>
      <c r="AE515" s="35"/>
      <c r="AF515" s="35"/>
      <c r="AG515" s="35"/>
      <c r="AH515" s="35"/>
      <c r="AR515" s="69">
        <f t="shared" si="283"/>
        <v>43</v>
      </c>
      <c r="AS515" s="70">
        <f t="shared" si="286"/>
        <v>512</v>
      </c>
      <c r="AT515" s="71">
        <f t="shared" si="287"/>
        <v>3.0059652794427166E-2</v>
      </c>
      <c r="AU515" s="72">
        <f t="shared" si="267"/>
        <v>6.8214933659622723E-3</v>
      </c>
      <c r="AV515" s="73">
        <f t="shared" si="284"/>
        <v>1.0068214933659623</v>
      </c>
      <c r="AW515" s="74">
        <f>PRODUCT(AV$4:AV515)</f>
        <v>32.483949690657418</v>
      </c>
    </row>
    <row r="516" spans="5:49">
      <c r="E516">
        <f t="shared" si="285"/>
        <v>513</v>
      </c>
      <c r="F516" s="64">
        <f t="shared" si="268"/>
        <v>102.96</v>
      </c>
      <c r="G516" s="55">
        <f t="shared" si="269"/>
        <v>7.0818821105846697E-2</v>
      </c>
      <c r="H516" s="78">
        <f t="shared" si="288"/>
        <v>6.6745624284635595E-5</v>
      </c>
      <c r="I516" s="79">
        <f t="shared" ca="1" si="270"/>
        <v>0</v>
      </c>
      <c r="J516" s="79">
        <f t="shared" ca="1" si="271"/>
        <v>0</v>
      </c>
      <c r="K516" s="80">
        <f t="shared" ca="1" si="272"/>
        <v>0</v>
      </c>
      <c r="L516" s="80">
        <f t="shared" ca="1" si="273"/>
        <v>0</v>
      </c>
      <c r="M516" s="80">
        <f t="shared" ca="1" si="274"/>
        <v>0</v>
      </c>
      <c r="N516" s="80">
        <f t="shared" ca="1" si="275"/>
        <v>0</v>
      </c>
      <c r="O516" s="81">
        <f t="shared" ref="O516:O579" ca="1" si="289">-MIN(IF(MOD(R516,IF($C$5="Annual",12,1))=0,1,0)*$C$33*U516/IF($C$5="Monthly",12,1),I516)</f>
        <v>0</v>
      </c>
      <c r="P516" s="79">
        <f t="shared" ref="P516:P579" ca="1" si="290">SUM(I516:O516)</f>
        <v>0</v>
      </c>
      <c r="Q516" s="35"/>
      <c r="R516">
        <f t="shared" ca="1" si="276"/>
        <v>513</v>
      </c>
      <c r="S516" s="78">
        <f t="shared" ca="1" si="277"/>
        <v>102.96</v>
      </c>
      <c r="T516" s="55">
        <f t="shared" ca="1" si="278"/>
        <v>7.0818821105846697E-2</v>
      </c>
      <c r="U516" s="78">
        <f t="shared" ca="1" si="279"/>
        <v>6.6745624284635595E-5</v>
      </c>
      <c r="V516" s="79">
        <f t="shared" ca="1" si="280"/>
        <v>0</v>
      </c>
      <c r="W516" s="79">
        <f t="shared" ref="W516:W579" ca="1" si="291">(V516)*$AU516</f>
        <v>0</v>
      </c>
      <c r="X516" s="80">
        <f t="shared" ref="X516:X579" ca="1" si="292">IF(V516=0,0,-$C$19)*U516</f>
        <v>0</v>
      </c>
      <c r="Y516" s="80">
        <f t="shared" ca="1" si="281"/>
        <v>0</v>
      </c>
      <c r="Z516" s="80">
        <f t="shared" ref="Z516:Z579" ca="1" si="293">-IF(MOD(R516-1,12)=0,1,0)*V516*($C$17)</f>
        <v>0</v>
      </c>
      <c r="AA516" s="80">
        <f t="shared" ca="1" si="282"/>
        <v>0</v>
      </c>
      <c r="AB516" s="81">
        <f t="shared" ref="AB516:AB579" ca="1" si="294">-MIN(IF(MOD(R516,IF($C$5="Annual",12,1))=0,1,0)*$C$33*U516/IF($C$5="Monthly",12,1),V516)</f>
        <v>0</v>
      </c>
      <c r="AC516" s="79">
        <f t="shared" ref="AC516:AC579" ca="1" si="295">SUM(V516:AB516)</f>
        <v>0</v>
      </c>
      <c r="AD516" s="35"/>
      <c r="AE516" s="35"/>
      <c r="AF516" s="35"/>
      <c r="AG516" s="35"/>
      <c r="AH516" s="35"/>
      <c r="AR516" s="69">
        <f t="shared" si="283"/>
        <v>43</v>
      </c>
      <c r="AS516" s="70">
        <f t="shared" si="286"/>
        <v>513</v>
      </c>
      <c r="AT516" s="71">
        <f t="shared" si="287"/>
        <v>2.9854601072306853E-2</v>
      </c>
      <c r="AU516" s="72">
        <f t="shared" ref="AU516:AU579" si="296">((1+$AH$21)^(1/12))-1</f>
        <v>6.8214933659622723E-3</v>
      </c>
      <c r="AV516" s="73">
        <f t="shared" si="284"/>
        <v>1.0068214933659623</v>
      </c>
      <c r="AW516" s="74">
        <f>PRODUCT(AV$4:AV516)</f>
        <v>32.705538737972489</v>
      </c>
    </row>
    <row r="517" spans="5:49">
      <c r="E517">
        <f t="shared" si="285"/>
        <v>514</v>
      </c>
      <c r="F517" s="64">
        <f t="shared" ref="F517:F580" si="297">ROUND((E517-E516)/12+F516,2)</f>
        <v>103.04</v>
      </c>
      <c r="G517" s="55">
        <f t="shared" ref="G517:G580" si="298">(1-(1-IF(F517&gt;$AJ$90,0,VLOOKUP(ROUND(F517,0),$AJ$4:$AK$90,2,FALSE)))^(1/12))</f>
        <v>7.0818821105846697E-2</v>
      </c>
      <c r="H517" s="78">
        <f t="shared" si="288"/>
        <v>6.2018777858823931E-5</v>
      </c>
      <c r="I517" s="79">
        <f t="shared" ref="I517:I580" ca="1" si="299">MAX(P516,0)*(1-G517)</f>
        <v>0</v>
      </c>
      <c r="J517" s="79">
        <f t="shared" ref="J517:J580" ca="1" si="300">(I517)*$AU517</f>
        <v>0</v>
      </c>
      <c r="K517" s="80">
        <f t="shared" ref="K517:K580" ca="1" si="301">IF(I517=0,0,-$C$19)*H517</f>
        <v>0</v>
      </c>
      <c r="L517" s="80">
        <f t="shared" ref="L517:L580" ca="1" si="302">IF(OR(I516+O516=0,K516=0),0,-I517*($C$16/12))</f>
        <v>0</v>
      </c>
      <c r="M517" s="80">
        <f t="shared" ref="M517:M580" ca="1" si="303">IF(OR(I516+O516=0,K516=0),0,-IF(MOD(E517-1,12)=0,1,0)*I517*($C$17))</f>
        <v>0</v>
      </c>
      <c r="N517" s="80">
        <f t="shared" ref="N517:N580" ca="1" si="304">IF(OR(I516+O516=0,K516=0),0,-I517*($C$18*(1+$C$20))/12)</f>
        <v>0</v>
      </c>
      <c r="O517" s="81">
        <f t="shared" ca="1" si="289"/>
        <v>0</v>
      </c>
      <c r="P517" s="79">
        <f t="shared" ca="1" si="290"/>
        <v>0</v>
      </c>
      <c r="Q517" s="35"/>
      <c r="R517">
        <f t="shared" ref="R517:R580" ca="1" si="305">R516+1</f>
        <v>514</v>
      </c>
      <c r="S517" s="78">
        <f t="shared" ref="S517:S580" ca="1" si="306">ROUND((R517-R516)/12+S516,2)</f>
        <v>103.04</v>
      </c>
      <c r="T517" s="55">
        <f t="shared" ref="T517:T580" ca="1" si="307">(1-(1-IF(S517&gt;$AJ$90,0,VLOOKUP(ROUND(S517,0),$AJ$4:$AK$90,2,FALSE)))^(1/12))</f>
        <v>7.0818821105846697E-2</v>
      </c>
      <c r="U517" s="78">
        <f t="shared" ref="U517:U580" ca="1" si="308">U516*(1-T517)</f>
        <v>6.2018777858823931E-5</v>
      </c>
      <c r="V517" s="79">
        <f t="shared" ref="V517:V580" ca="1" si="309">MAX(AC516,0)*(1-T517)</f>
        <v>0</v>
      </c>
      <c r="W517" s="79">
        <f t="shared" ca="1" si="291"/>
        <v>0</v>
      </c>
      <c r="X517" s="80">
        <f t="shared" ca="1" si="292"/>
        <v>0</v>
      </c>
      <c r="Y517" s="80">
        <f t="shared" ref="Y517:Y580" ca="1" si="310">IF(OR(V516+AB516=0,X516=0),0,-V517*($C$16/12))</f>
        <v>0</v>
      </c>
      <c r="Z517" s="80">
        <f t="shared" ca="1" si="293"/>
        <v>0</v>
      </c>
      <c r="AA517" s="80">
        <f t="shared" ref="AA517:AA580" ca="1" si="311">IF(OR(V516+AB516=0,X516=0),0,-V517*($C$18*(1+$C$20))/12)</f>
        <v>0</v>
      </c>
      <c r="AB517" s="81">
        <f t="shared" ca="1" si="294"/>
        <v>0</v>
      </c>
      <c r="AC517" s="79">
        <f t="shared" ca="1" si="295"/>
        <v>0</v>
      </c>
      <c r="AD517" s="35"/>
      <c r="AE517" s="35"/>
      <c r="AF517" s="35"/>
      <c r="AG517" s="35"/>
      <c r="AH517" s="35"/>
      <c r="AR517" s="69">
        <f t="shared" ref="AR517:AR580" si="312">ROUNDDOWN((AS517-1)/12,0)+1</f>
        <v>43</v>
      </c>
      <c r="AS517" s="70">
        <f t="shared" si="286"/>
        <v>514</v>
      </c>
      <c r="AT517" s="71">
        <f t="shared" si="287"/>
        <v>2.9650948109148662E-2</v>
      </c>
      <c r="AU517" s="72">
        <f t="shared" si="296"/>
        <v>6.8214933659622723E-3</v>
      </c>
      <c r="AV517" s="73">
        <f t="shared" ref="AV517:AV580" si="313">(1+AU517)</f>
        <v>1.0068214933659623</v>
      </c>
      <c r="AW517" s="74">
        <f>PRODUCT(AV$4:AV517)</f>
        <v>32.92863935350379</v>
      </c>
    </row>
    <row r="518" spans="5:49">
      <c r="E518">
        <f t="shared" ref="E518:E581" si="314">E517+1</f>
        <v>515</v>
      </c>
      <c r="F518" s="64">
        <f t="shared" si="297"/>
        <v>103.12</v>
      </c>
      <c r="G518" s="55">
        <f t="shared" si="298"/>
        <v>7.0818821105846697E-2</v>
      </c>
      <c r="H518" s="78">
        <f t="shared" si="288"/>
        <v>5.7626681124436631E-5</v>
      </c>
      <c r="I518" s="79">
        <f t="shared" ca="1" si="299"/>
        <v>0</v>
      </c>
      <c r="J518" s="79">
        <f t="shared" ca="1" si="300"/>
        <v>0</v>
      </c>
      <c r="K518" s="80">
        <f t="shared" ca="1" si="301"/>
        <v>0</v>
      </c>
      <c r="L518" s="80">
        <f t="shared" ca="1" si="302"/>
        <v>0</v>
      </c>
      <c r="M518" s="80">
        <f t="shared" ca="1" si="303"/>
        <v>0</v>
      </c>
      <c r="N518" s="80">
        <f t="shared" ca="1" si="304"/>
        <v>0</v>
      </c>
      <c r="O518" s="81">
        <f t="shared" ca="1" si="289"/>
        <v>0</v>
      </c>
      <c r="P518" s="79">
        <f t="shared" ca="1" si="290"/>
        <v>0</v>
      </c>
      <c r="Q518" s="35"/>
      <c r="R518">
        <f t="shared" ca="1" si="305"/>
        <v>515</v>
      </c>
      <c r="S518" s="78">
        <f t="shared" ca="1" si="306"/>
        <v>103.12</v>
      </c>
      <c r="T518" s="55">
        <f t="shared" ca="1" si="307"/>
        <v>7.0818821105846697E-2</v>
      </c>
      <c r="U518" s="78">
        <f t="shared" ca="1" si="308"/>
        <v>5.7626681124436631E-5</v>
      </c>
      <c r="V518" s="79">
        <f t="shared" ca="1" si="309"/>
        <v>0</v>
      </c>
      <c r="W518" s="79">
        <f t="shared" ca="1" si="291"/>
        <v>0</v>
      </c>
      <c r="X518" s="80">
        <f t="shared" ca="1" si="292"/>
        <v>0</v>
      </c>
      <c r="Y518" s="80">
        <f t="shared" ca="1" si="310"/>
        <v>0</v>
      </c>
      <c r="Z518" s="80">
        <f t="shared" ca="1" si="293"/>
        <v>0</v>
      </c>
      <c r="AA518" s="80">
        <f t="shared" ca="1" si="311"/>
        <v>0</v>
      </c>
      <c r="AB518" s="81">
        <f t="shared" ca="1" si="294"/>
        <v>0</v>
      </c>
      <c r="AC518" s="79">
        <f t="shared" ca="1" si="295"/>
        <v>0</v>
      </c>
      <c r="AD518" s="35"/>
      <c r="AE518" s="35"/>
      <c r="AF518" s="35"/>
      <c r="AG518" s="35"/>
      <c r="AH518" s="35"/>
      <c r="AR518" s="69">
        <f t="shared" si="312"/>
        <v>43</v>
      </c>
      <c r="AS518" s="70">
        <f t="shared" ref="AS518:AS581" si="315">AS517+1</f>
        <v>515</v>
      </c>
      <c r="AT518" s="71">
        <f t="shared" ref="AT518:AT581" si="316">(1-AU518)*AT517</f>
        <v>2.9448684363327614E-2</v>
      </c>
      <c r="AU518" s="72">
        <f t="shared" si="296"/>
        <v>6.8214933659622723E-3</v>
      </c>
      <c r="AV518" s="73">
        <f t="shared" si="313"/>
        <v>1.0068214933659623</v>
      </c>
      <c r="AW518" s="74">
        <f>PRODUCT(AV$4:AV518)</f>
        <v>33.153261848403879</v>
      </c>
    </row>
    <row r="519" spans="5:49">
      <c r="E519">
        <f t="shared" si="314"/>
        <v>516</v>
      </c>
      <c r="F519" s="64">
        <f t="shared" si="297"/>
        <v>103.2</v>
      </c>
      <c r="G519" s="55">
        <f t="shared" si="298"/>
        <v>7.0818821105846697E-2</v>
      </c>
      <c r="H519" s="78">
        <f t="shared" ref="H519:H582" si="317">H518*(1-G519)</f>
        <v>5.3545627502961481E-5</v>
      </c>
      <c r="I519" s="79">
        <f t="shared" ca="1" si="299"/>
        <v>0</v>
      </c>
      <c r="J519" s="79">
        <f t="shared" ca="1" si="300"/>
        <v>0</v>
      </c>
      <c r="K519" s="80">
        <f t="shared" ca="1" si="301"/>
        <v>0</v>
      </c>
      <c r="L519" s="80">
        <f t="shared" ca="1" si="302"/>
        <v>0</v>
      </c>
      <c r="M519" s="80">
        <f t="shared" ca="1" si="303"/>
        <v>0</v>
      </c>
      <c r="N519" s="80">
        <f t="shared" ca="1" si="304"/>
        <v>0</v>
      </c>
      <c r="O519" s="81">
        <f t="shared" ca="1" si="289"/>
        <v>0</v>
      </c>
      <c r="P519" s="79">
        <f t="shared" ca="1" si="290"/>
        <v>0</v>
      </c>
      <c r="Q519" s="35"/>
      <c r="R519">
        <f t="shared" ca="1" si="305"/>
        <v>516</v>
      </c>
      <c r="S519" s="78">
        <f t="shared" ca="1" si="306"/>
        <v>103.2</v>
      </c>
      <c r="T519" s="55">
        <f t="shared" ca="1" si="307"/>
        <v>7.0818821105846697E-2</v>
      </c>
      <c r="U519" s="78">
        <f t="shared" ca="1" si="308"/>
        <v>5.3545627502961481E-5</v>
      </c>
      <c r="V519" s="79">
        <f t="shared" ca="1" si="309"/>
        <v>0</v>
      </c>
      <c r="W519" s="79">
        <f t="shared" ca="1" si="291"/>
        <v>0</v>
      </c>
      <c r="X519" s="80">
        <f t="shared" ca="1" si="292"/>
        <v>0</v>
      </c>
      <c r="Y519" s="80">
        <f t="shared" ca="1" si="310"/>
        <v>0</v>
      </c>
      <c r="Z519" s="80">
        <f t="shared" ca="1" si="293"/>
        <v>0</v>
      </c>
      <c r="AA519" s="80">
        <f t="shared" ca="1" si="311"/>
        <v>0</v>
      </c>
      <c r="AB519" s="81">
        <f t="shared" ca="1" si="294"/>
        <v>0</v>
      </c>
      <c r="AC519" s="79">
        <f t="shared" ca="1" si="295"/>
        <v>0</v>
      </c>
      <c r="AD519" s="35"/>
      <c r="AE519" s="35"/>
      <c r="AF519" s="35"/>
      <c r="AG519" s="35"/>
      <c r="AH519" s="35"/>
      <c r="AR519" s="69">
        <f t="shared" si="312"/>
        <v>43</v>
      </c>
      <c r="AS519" s="70">
        <f t="shared" si="315"/>
        <v>516</v>
      </c>
      <c r="AT519" s="71">
        <f t="shared" si="316"/>
        <v>2.9247800358306857E-2</v>
      </c>
      <c r="AU519" s="72">
        <f t="shared" si="296"/>
        <v>6.8214933659622723E-3</v>
      </c>
      <c r="AV519" s="73">
        <f t="shared" si="313"/>
        <v>1.0068214933659623</v>
      </c>
      <c r="AW519" s="74">
        <f>PRODUCT(AV$4:AV519)</f>
        <v>33.379416604162778</v>
      </c>
    </row>
    <row r="520" spans="5:49">
      <c r="E520">
        <f t="shared" si="314"/>
        <v>517</v>
      </c>
      <c r="F520" s="64">
        <f t="shared" si="297"/>
        <v>103.28</v>
      </c>
      <c r="G520" s="55">
        <f t="shared" si="298"/>
        <v>7.0818821105846697E-2</v>
      </c>
      <c r="H520" s="78">
        <f t="shared" si="317"/>
        <v>4.9753589287828945E-5</v>
      </c>
      <c r="I520" s="79">
        <f t="shared" ca="1" si="299"/>
        <v>0</v>
      </c>
      <c r="J520" s="79">
        <f t="shared" ca="1" si="300"/>
        <v>0</v>
      </c>
      <c r="K520" s="80">
        <f t="shared" ca="1" si="301"/>
        <v>0</v>
      </c>
      <c r="L520" s="80">
        <f t="shared" ca="1" si="302"/>
        <v>0</v>
      </c>
      <c r="M520" s="80">
        <f t="shared" ca="1" si="303"/>
        <v>0</v>
      </c>
      <c r="N520" s="80">
        <f t="shared" ca="1" si="304"/>
        <v>0</v>
      </c>
      <c r="O520" s="81">
        <f t="shared" ca="1" si="289"/>
        <v>0</v>
      </c>
      <c r="P520" s="79">
        <f t="shared" ca="1" si="290"/>
        <v>0</v>
      </c>
      <c r="Q520" s="35"/>
      <c r="R520">
        <f t="shared" ca="1" si="305"/>
        <v>517</v>
      </c>
      <c r="S520" s="78">
        <f t="shared" ca="1" si="306"/>
        <v>103.28</v>
      </c>
      <c r="T520" s="55">
        <f t="shared" ca="1" si="307"/>
        <v>7.0818821105846697E-2</v>
      </c>
      <c r="U520" s="78">
        <f t="shared" ca="1" si="308"/>
        <v>4.9753589287828945E-5</v>
      </c>
      <c r="V520" s="79">
        <f t="shared" ca="1" si="309"/>
        <v>0</v>
      </c>
      <c r="W520" s="79">
        <f t="shared" ca="1" si="291"/>
        <v>0</v>
      </c>
      <c r="X520" s="80">
        <f t="shared" ca="1" si="292"/>
        <v>0</v>
      </c>
      <c r="Y520" s="80">
        <f t="shared" ca="1" si="310"/>
        <v>0</v>
      </c>
      <c r="Z520" s="80">
        <f t="shared" ca="1" si="293"/>
        <v>0</v>
      </c>
      <c r="AA520" s="80">
        <f t="shared" ca="1" si="311"/>
        <v>0</v>
      </c>
      <c r="AB520" s="81">
        <f t="shared" ca="1" si="294"/>
        <v>0</v>
      </c>
      <c r="AC520" s="79">
        <f t="shared" ca="1" si="295"/>
        <v>0</v>
      </c>
      <c r="AD520" s="35"/>
      <c r="AE520" s="35"/>
      <c r="AF520" s="35"/>
      <c r="AG520" s="35"/>
      <c r="AH520" s="35"/>
      <c r="AR520" s="69">
        <f t="shared" si="312"/>
        <v>44</v>
      </c>
      <c r="AS520" s="70">
        <f t="shared" si="315"/>
        <v>517</v>
      </c>
      <c r="AT520" s="71">
        <f t="shared" si="316"/>
        <v>2.904828668219368E-2</v>
      </c>
      <c r="AU520" s="72">
        <f t="shared" si="296"/>
        <v>6.8214933659622723E-3</v>
      </c>
      <c r="AV520" s="73">
        <f t="shared" si="313"/>
        <v>1.0068214933659623</v>
      </c>
      <c r="AW520" s="74">
        <f>PRODUCT(AV$4:AV520)</f>
        <v>33.607114073087764</v>
      </c>
    </row>
    <row r="521" spans="5:49">
      <c r="E521">
        <f t="shared" si="314"/>
        <v>518</v>
      </c>
      <c r="F521" s="64">
        <f t="shared" si="297"/>
        <v>103.36</v>
      </c>
      <c r="G521" s="55">
        <f t="shared" si="298"/>
        <v>7.0818821105846697E-2</v>
      </c>
      <c r="H521" s="78">
        <f t="shared" si="317"/>
        <v>4.6230098748680419E-5</v>
      </c>
      <c r="I521" s="79">
        <f t="shared" ca="1" si="299"/>
        <v>0</v>
      </c>
      <c r="J521" s="79">
        <f t="shared" ca="1" si="300"/>
        <v>0</v>
      </c>
      <c r="K521" s="80">
        <f t="shared" ca="1" si="301"/>
        <v>0</v>
      </c>
      <c r="L521" s="80">
        <f t="shared" ca="1" si="302"/>
        <v>0</v>
      </c>
      <c r="M521" s="80">
        <f t="shared" ca="1" si="303"/>
        <v>0</v>
      </c>
      <c r="N521" s="80">
        <f t="shared" ca="1" si="304"/>
        <v>0</v>
      </c>
      <c r="O521" s="81">
        <f t="shared" ca="1" si="289"/>
        <v>0</v>
      </c>
      <c r="P521" s="79">
        <f t="shared" ca="1" si="290"/>
        <v>0</v>
      </c>
      <c r="Q521" s="35"/>
      <c r="R521">
        <f t="shared" ca="1" si="305"/>
        <v>518</v>
      </c>
      <c r="S521" s="78">
        <f t="shared" ca="1" si="306"/>
        <v>103.36</v>
      </c>
      <c r="T521" s="55">
        <f t="shared" ca="1" si="307"/>
        <v>7.0818821105846697E-2</v>
      </c>
      <c r="U521" s="78">
        <f t="shared" ca="1" si="308"/>
        <v>4.6230098748680419E-5</v>
      </c>
      <c r="V521" s="79">
        <f t="shared" ca="1" si="309"/>
        <v>0</v>
      </c>
      <c r="W521" s="79">
        <f t="shared" ca="1" si="291"/>
        <v>0</v>
      </c>
      <c r="X521" s="80">
        <f t="shared" ca="1" si="292"/>
        <v>0</v>
      </c>
      <c r="Y521" s="80">
        <f t="shared" ca="1" si="310"/>
        <v>0</v>
      </c>
      <c r="Z521" s="80">
        <f t="shared" ca="1" si="293"/>
        <v>0</v>
      </c>
      <c r="AA521" s="80">
        <f t="shared" ca="1" si="311"/>
        <v>0</v>
      </c>
      <c r="AB521" s="81">
        <f t="shared" ca="1" si="294"/>
        <v>0</v>
      </c>
      <c r="AC521" s="79">
        <f t="shared" ca="1" si="295"/>
        <v>0</v>
      </c>
      <c r="AD521" s="35"/>
      <c r="AE521" s="35"/>
      <c r="AF521" s="35"/>
      <c r="AG521" s="35"/>
      <c r="AH521" s="35"/>
      <c r="AR521" s="69">
        <f t="shared" si="312"/>
        <v>44</v>
      </c>
      <c r="AS521" s="70">
        <f t="shared" si="315"/>
        <v>518</v>
      </c>
      <c r="AT521" s="71">
        <f t="shared" si="316"/>
        <v>2.8850133987298524E-2</v>
      </c>
      <c r="AU521" s="72">
        <f t="shared" si="296"/>
        <v>6.8214933659622723E-3</v>
      </c>
      <c r="AV521" s="73">
        <f t="shared" si="313"/>
        <v>1.0068214933659623</v>
      </c>
      <c r="AW521" s="74">
        <f>PRODUCT(AV$4:AV521)</f>
        <v>33.836364778786468</v>
      </c>
    </row>
    <row r="522" spans="5:49">
      <c r="E522">
        <f t="shared" si="314"/>
        <v>519</v>
      </c>
      <c r="F522" s="64">
        <f t="shared" si="297"/>
        <v>103.44</v>
      </c>
      <c r="G522" s="55">
        <f t="shared" si="298"/>
        <v>7.0818821105846697E-2</v>
      </c>
      <c r="H522" s="78">
        <f t="shared" si="317"/>
        <v>4.2956137655691994E-5</v>
      </c>
      <c r="I522" s="79">
        <f t="shared" ca="1" si="299"/>
        <v>0</v>
      </c>
      <c r="J522" s="79">
        <f t="shared" ca="1" si="300"/>
        <v>0</v>
      </c>
      <c r="K522" s="80">
        <f t="shared" ca="1" si="301"/>
        <v>0</v>
      </c>
      <c r="L522" s="80">
        <f t="shared" ca="1" si="302"/>
        <v>0</v>
      </c>
      <c r="M522" s="80">
        <f t="shared" ca="1" si="303"/>
        <v>0</v>
      </c>
      <c r="N522" s="80">
        <f t="shared" ca="1" si="304"/>
        <v>0</v>
      </c>
      <c r="O522" s="81">
        <f t="shared" ca="1" si="289"/>
        <v>0</v>
      </c>
      <c r="P522" s="79">
        <f t="shared" ca="1" si="290"/>
        <v>0</v>
      </c>
      <c r="Q522" s="35"/>
      <c r="R522">
        <f t="shared" ca="1" si="305"/>
        <v>519</v>
      </c>
      <c r="S522" s="78">
        <f t="shared" ca="1" si="306"/>
        <v>103.44</v>
      </c>
      <c r="T522" s="55">
        <f t="shared" ca="1" si="307"/>
        <v>7.0818821105846697E-2</v>
      </c>
      <c r="U522" s="78">
        <f t="shared" ca="1" si="308"/>
        <v>4.2956137655691994E-5</v>
      </c>
      <c r="V522" s="79">
        <f t="shared" ca="1" si="309"/>
        <v>0</v>
      </c>
      <c r="W522" s="79">
        <f t="shared" ca="1" si="291"/>
        <v>0</v>
      </c>
      <c r="X522" s="80">
        <f t="shared" ca="1" si="292"/>
        <v>0</v>
      </c>
      <c r="Y522" s="80">
        <f t="shared" ca="1" si="310"/>
        <v>0</v>
      </c>
      <c r="Z522" s="80">
        <f t="shared" ca="1" si="293"/>
        <v>0</v>
      </c>
      <c r="AA522" s="80">
        <f t="shared" ca="1" si="311"/>
        <v>0</v>
      </c>
      <c r="AB522" s="81">
        <f t="shared" ca="1" si="294"/>
        <v>0</v>
      </c>
      <c r="AC522" s="79">
        <f t="shared" ca="1" si="295"/>
        <v>0</v>
      </c>
      <c r="AD522" s="35"/>
      <c r="AE522" s="35"/>
      <c r="AF522" s="35"/>
      <c r="AG522" s="35"/>
      <c r="AH522" s="35"/>
      <c r="AR522" s="69">
        <f t="shared" si="312"/>
        <v>44</v>
      </c>
      <c r="AS522" s="70">
        <f t="shared" si="315"/>
        <v>519</v>
      </c>
      <c r="AT522" s="71">
        <f t="shared" si="316"/>
        <v>2.8653332989697043E-2</v>
      </c>
      <c r="AU522" s="72">
        <f t="shared" si="296"/>
        <v>6.8214933659622723E-3</v>
      </c>
      <c r="AV522" s="73">
        <f t="shared" si="313"/>
        <v>1.0068214933659623</v>
      </c>
      <c r="AW522" s="74">
        <f>PRODUCT(AV$4:AV522)</f>
        <v>34.067179316653238</v>
      </c>
    </row>
    <row r="523" spans="5:49">
      <c r="E523">
        <f t="shared" si="314"/>
        <v>520</v>
      </c>
      <c r="F523" s="64">
        <f t="shared" si="297"/>
        <v>103.52</v>
      </c>
      <c r="G523" s="55">
        <f t="shared" si="298"/>
        <v>7.7799936530410396E-2</v>
      </c>
      <c r="H523" s="78">
        <f t="shared" si="317"/>
        <v>3.9614152872487588E-5</v>
      </c>
      <c r="I523" s="79">
        <f t="shared" ca="1" si="299"/>
        <v>0</v>
      </c>
      <c r="J523" s="79">
        <f t="shared" ca="1" si="300"/>
        <v>0</v>
      </c>
      <c r="K523" s="80">
        <f t="shared" ca="1" si="301"/>
        <v>0</v>
      </c>
      <c r="L523" s="80">
        <f t="shared" ca="1" si="302"/>
        <v>0</v>
      </c>
      <c r="M523" s="80">
        <f t="shared" ca="1" si="303"/>
        <v>0</v>
      </c>
      <c r="N523" s="80">
        <f t="shared" ca="1" si="304"/>
        <v>0</v>
      </c>
      <c r="O523" s="81">
        <f t="shared" ca="1" si="289"/>
        <v>0</v>
      </c>
      <c r="P523" s="79">
        <f t="shared" ca="1" si="290"/>
        <v>0</v>
      </c>
      <c r="Q523" s="35"/>
      <c r="R523">
        <f t="shared" ca="1" si="305"/>
        <v>520</v>
      </c>
      <c r="S523" s="78">
        <f t="shared" ca="1" si="306"/>
        <v>103.52</v>
      </c>
      <c r="T523" s="55">
        <f t="shared" ca="1" si="307"/>
        <v>7.7799936530410396E-2</v>
      </c>
      <c r="U523" s="78">
        <f t="shared" ca="1" si="308"/>
        <v>3.9614152872487588E-5</v>
      </c>
      <c r="V523" s="79">
        <f t="shared" ca="1" si="309"/>
        <v>0</v>
      </c>
      <c r="W523" s="79">
        <f t="shared" ca="1" si="291"/>
        <v>0</v>
      </c>
      <c r="X523" s="80">
        <f t="shared" ca="1" si="292"/>
        <v>0</v>
      </c>
      <c r="Y523" s="80">
        <f t="shared" ca="1" si="310"/>
        <v>0</v>
      </c>
      <c r="Z523" s="80">
        <f t="shared" ca="1" si="293"/>
        <v>0</v>
      </c>
      <c r="AA523" s="80">
        <f t="shared" ca="1" si="311"/>
        <v>0</v>
      </c>
      <c r="AB523" s="81">
        <f t="shared" ca="1" si="294"/>
        <v>0</v>
      </c>
      <c r="AC523" s="79">
        <f t="shared" ca="1" si="295"/>
        <v>0</v>
      </c>
      <c r="AD523" s="35"/>
      <c r="AE523" s="35"/>
      <c r="AF523" s="35"/>
      <c r="AG523" s="35"/>
      <c r="AH523" s="35"/>
      <c r="AR523" s="69">
        <f t="shared" si="312"/>
        <v>44</v>
      </c>
      <c r="AS523" s="70">
        <f t="shared" si="315"/>
        <v>520</v>
      </c>
      <c r="AT523" s="71">
        <f t="shared" si="316"/>
        <v>2.8457874468795118E-2</v>
      </c>
      <c r="AU523" s="72">
        <f t="shared" si="296"/>
        <v>6.8214933659622723E-3</v>
      </c>
      <c r="AV523" s="73">
        <f t="shared" si="313"/>
        <v>1.0068214933659623</v>
      </c>
      <c r="AW523" s="74">
        <f>PRODUCT(AV$4:AV523)</f>
        <v>34.299568354358833</v>
      </c>
    </row>
    <row r="524" spans="5:49">
      <c r="E524">
        <f t="shared" si="314"/>
        <v>521</v>
      </c>
      <c r="F524" s="64">
        <f t="shared" si="297"/>
        <v>103.6</v>
      </c>
      <c r="G524" s="55">
        <f t="shared" si="298"/>
        <v>7.7799936530410396E-2</v>
      </c>
      <c r="H524" s="78">
        <f t="shared" si="317"/>
        <v>3.6532174293302076E-5</v>
      </c>
      <c r="I524" s="79">
        <f t="shared" ca="1" si="299"/>
        <v>0</v>
      </c>
      <c r="J524" s="79">
        <f t="shared" ca="1" si="300"/>
        <v>0</v>
      </c>
      <c r="K524" s="80">
        <f t="shared" ca="1" si="301"/>
        <v>0</v>
      </c>
      <c r="L524" s="80">
        <f t="shared" ca="1" si="302"/>
        <v>0</v>
      </c>
      <c r="M524" s="80">
        <f t="shared" ca="1" si="303"/>
        <v>0</v>
      </c>
      <c r="N524" s="80">
        <f t="shared" ca="1" si="304"/>
        <v>0</v>
      </c>
      <c r="O524" s="81">
        <f t="shared" ca="1" si="289"/>
        <v>0</v>
      </c>
      <c r="P524" s="79">
        <f t="shared" ca="1" si="290"/>
        <v>0</v>
      </c>
      <c r="Q524" s="35"/>
      <c r="R524">
        <f t="shared" ca="1" si="305"/>
        <v>521</v>
      </c>
      <c r="S524" s="78">
        <f t="shared" ca="1" si="306"/>
        <v>103.6</v>
      </c>
      <c r="T524" s="55">
        <f t="shared" ca="1" si="307"/>
        <v>7.7799936530410396E-2</v>
      </c>
      <c r="U524" s="78">
        <f t="shared" ca="1" si="308"/>
        <v>3.6532174293302076E-5</v>
      </c>
      <c r="V524" s="79">
        <f t="shared" ca="1" si="309"/>
        <v>0</v>
      </c>
      <c r="W524" s="79">
        <f t="shared" ca="1" si="291"/>
        <v>0</v>
      </c>
      <c r="X524" s="80">
        <f t="shared" ca="1" si="292"/>
        <v>0</v>
      </c>
      <c r="Y524" s="80">
        <f t="shared" ca="1" si="310"/>
        <v>0</v>
      </c>
      <c r="Z524" s="80">
        <f t="shared" ca="1" si="293"/>
        <v>0</v>
      </c>
      <c r="AA524" s="80">
        <f t="shared" ca="1" si="311"/>
        <v>0</v>
      </c>
      <c r="AB524" s="81">
        <f t="shared" ca="1" si="294"/>
        <v>0</v>
      </c>
      <c r="AC524" s="79">
        <f t="shared" ca="1" si="295"/>
        <v>0</v>
      </c>
      <c r="AD524" s="35"/>
      <c r="AE524" s="35"/>
      <c r="AF524" s="35"/>
      <c r="AG524" s="35"/>
      <c r="AH524" s="35"/>
      <c r="AR524" s="69">
        <f t="shared" si="312"/>
        <v>44</v>
      </c>
      <c r="AS524" s="70">
        <f t="shared" si="315"/>
        <v>521</v>
      </c>
      <c r="AT524" s="71">
        <f t="shared" si="316"/>
        <v>2.8263749266896846E-2</v>
      </c>
      <c r="AU524" s="72">
        <f t="shared" si="296"/>
        <v>6.8214933659622723E-3</v>
      </c>
      <c r="AV524" s="73">
        <f t="shared" si="313"/>
        <v>1.0068214933659623</v>
      </c>
      <c r="AW524" s="74">
        <f>PRODUCT(AV$4:AV524)</f>
        <v>34.533542632343462</v>
      </c>
    </row>
    <row r="525" spans="5:49">
      <c r="E525">
        <f t="shared" si="314"/>
        <v>522</v>
      </c>
      <c r="F525" s="64">
        <f t="shared" si="297"/>
        <v>103.68</v>
      </c>
      <c r="G525" s="55">
        <f t="shared" si="298"/>
        <v>7.7799936530410396E-2</v>
      </c>
      <c r="H525" s="78">
        <f t="shared" si="317"/>
        <v>3.3689973451965285E-5</v>
      </c>
      <c r="I525" s="79">
        <f t="shared" ca="1" si="299"/>
        <v>0</v>
      </c>
      <c r="J525" s="79">
        <f t="shared" ca="1" si="300"/>
        <v>0</v>
      </c>
      <c r="K525" s="80">
        <f t="shared" ca="1" si="301"/>
        <v>0</v>
      </c>
      <c r="L525" s="80">
        <f t="shared" ca="1" si="302"/>
        <v>0</v>
      </c>
      <c r="M525" s="80">
        <f t="shared" ca="1" si="303"/>
        <v>0</v>
      </c>
      <c r="N525" s="80">
        <f t="shared" ca="1" si="304"/>
        <v>0</v>
      </c>
      <c r="O525" s="81">
        <f t="shared" ca="1" si="289"/>
        <v>0</v>
      </c>
      <c r="P525" s="79">
        <f t="shared" ca="1" si="290"/>
        <v>0</v>
      </c>
      <c r="Q525" s="35"/>
      <c r="R525">
        <f t="shared" ca="1" si="305"/>
        <v>522</v>
      </c>
      <c r="S525" s="78">
        <f t="shared" ca="1" si="306"/>
        <v>103.68</v>
      </c>
      <c r="T525" s="55">
        <f t="shared" ca="1" si="307"/>
        <v>7.7799936530410396E-2</v>
      </c>
      <c r="U525" s="78">
        <f t="shared" ca="1" si="308"/>
        <v>3.3689973451965285E-5</v>
      </c>
      <c r="V525" s="79">
        <f t="shared" ca="1" si="309"/>
        <v>0</v>
      </c>
      <c r="W525" s="79">
        <f t="shared" ca="1" si="291"/>
        <v>0</v>
      </c>
      <c r="X525" s="80">
        <f t="shared" ca="1" si="292"/>
        <v>0</v>
      </c>
      <c r="Y525" s="80">
        <f t="shared" ca="1" si="310"/>
        <v>0</v>
      </c>
      <c r="Z525" s="80">
        <f t="shared" ca="1" si="293"/>
        <v>0</v>
      </c>
      <c r="AA525" s="80">
        <f t="shared" ca="1" si="311"/>
        <v>0</v>
      </c>
      <c r="AB525" s="81">
        <f t="shared" ca="1" si="294"/>
        <v>0</v>
      </c>
      <c r="AC525" s="79">
        <f t="shared" ca="1" si="295"/>
        <v>0</v>
      </c>
      <c r="AD525" s="35"/>
      <c r="AE525" s="35"/>
      <c r="AF525" s="35"/>
      <c r="AG525" s="35"/>
      <c r="AH525" s="35"/>
      <c r="AR525" s="69">
        <f t="shared" si="312"/>
        <v>44</v>
      </c>
      <c r="AS525" s="70">
        <f t="shared" si="315"/>
        <v>522</v>
      </c>
      <c r="AT525" s="71">
        <f t="shared" si="316"/>
        <v>2.8070948288775488E-2</v>
      </c>
      <c r="AU525" s="72">
        <f t="shared" si="296"/>
        <v>6.8214933659622723E-3</v>
      </c>
      <c r="AV525" s="73">
        <f t="shared" si="313"/>
        <v>1.0068214933659623</v>
      </c>
      <c r="AW525" s="74">
        <f>PRODUCT(AV$4:AV525)</f>
        <v>34.769112964313166</v>
      </c>
    </row>
    <row r="526" spans="5:49">
      <c r="E526">
        <f t="shared" si="314"/>
        <v>523</v>
      </c>
      <c r="F526" s="64">
        <f t="shared" si="297"/>
        <v>103.76</v>
      </c>
      <c r="G526" s="55">
        <f t="shared" si="298"/>
        <v>7.7799936530410396E-2</v>
      </c>
      <c r="H526" s="78">
        <f t="shared" si="317"/>
        <v>3.1068895655691175E-5</v>
      </c>
      <c r="I526" s="79">
        <f t="shared" ca="1" si="299"/>
        <v>0</v>
      </c>
      <c r="J526" s="79">
        <f t="shared" ca="1" si="300"/>
        <v>0</v>
      </c>
      <c r="K526" s="80">
        <f t="shared" ca="1" si="301"/>
        <v>0</v>
      </c>
      <c r="L526" s="80">
        <f t="shared" ca="1" si="302"/>
        <v>0</v>
      </c>
      <c r="M526" s="80">
        <f t="shared" ca="1" si="303"/>
        <v>0</v>
      </c>
      <c r="N526" s="80">
        <f t="shared" ca="1" si="304"/>
        <v>0</v>
      </c>
      <c r="O526" s="81">
        <f t="shared" ca="1" si="289"/>
        <v>0</v>
      </c>
      <c r="P526" s="79">
        <f t="shared" ca="1" si="290"/>
        <v>0</v>
      </c>
      <c r="Q526" s="35"/>
      <c r="R526">
        <f t="shared" ca="1" si="305"/>
        <v>523</v>
      </c>
      <c r="S526" s="78">
        <f t="shared" ca="1" si="306"/>
        <v>103.76</v>
      </c>
      <c r="T526" s="55">
        <f t="shared" ca="1" si="307"/>
        <v>7.7799936530410396E-2</v>
      </c>
      <c r="U526" s="78">
        <f t="shared" ca="1" si="308"/>
        <v>3.1068895655691175E-5</v>
      </c>
      <c r="V526" s="79">
        <f t="shared" ca="1" si="309"/>
        <v>0</v>
      </c>
      <c r="W526" s="79">
        <f t="shared" ca="1" si="291"/>
        <v>0</v>
      </c>
      <c r="X526" s="80">
        <f t="shared" ca="1" si="292"/>
        <v>0</v>
      </c>
      <c r="Y526" s="80">
        <f t="shared" ca="1" si="310"/>
        <v>0</v>
      </c>
      <c r="Z526" s="80">
        <f t="shared" ca="1" si="293"/>
        <v>0</v>
      </c>
      <c r="AA526" s="80">
        <f t="shared" ca="1" si="311"/>
        <v>0</v>
      </c>
      <c r="AB526" s="81">
        <f t="shared" ca="1" si="294"/>
        <v>0</v>
      </c>
      <c r="AC526" s="79">
        <f t="shared" ca="1" si="295"/>
        <v>0</v>
      </c>
      <c r="AD526" s="35"/>
      <c r="AE526" s="35"/>
      <c r="AF526" s="35"/>
      <c r="AG526" s="35"/>
      <c r="AH526" s="35"/>
      <c r="AR526" s="69">
        <f t="shared" si="312"/>
        <v>44</v>
      </c>
      <c r="AS526" s="70">
        <f t="shared" si="315"/>
        <v>523</v>
      </c>
      <c r="AT526" s="71">
        <f t="shared" si="316"/>
        <v>2.7879462501247336E-2</v>
      </c>
      <c r="AU526" s="72">
        <f t="shared" si="296"/>
        <v>6.8214933659622723E-3</v>
      </c>
      <c r="AV526" s="73">
        <f t="shared" si="313"/>
        <v>1.0068214933659623</v>
      </c>
      <c r="AW526" s="74">
        <f>PRODUCT(AV$4:AV526)</f>
        <v>35.00629023773962</v>
      </c>
    </row>
    <row r="527" spans="5:49">
      <c r="E527">
        <f t="shared" si="314"/>
        <v>524</v>
      </c>
      <c r="F527" s="64">
        <f t="shared" si="297"/>
        <v>103.84</v>
      </c>
      <c r="G527" s="55">
        <f t="shared" si="298"/>
        <v>7.7799936530410396E-2</v>
      </c>
      <c r="H527" s="78">
        <f t="shared" si="317"/>
        <v>2.865173754560846E-5</v>
      </c>
      <c r="I527" s="79">
        <f t="shared" ca="1" si="299"/>
        <v>0</v>
      </c>
      <c r="J527" s="79">
        <f t="shared" ca="1" si="300"/>
        <v>0</v>
      </c>
      <c r="K527" s="80">
        <f t="shared" ca="1" si="301"/>
        <v>0</v>
      </c>
      <c r="L527" s="80">
        <f t="shared" ca="1" si="302"/>
        <v>0</v>
      </c>
      <c r="M527" s="80">
        <f t="shared" ca="1" si="303"/>
        <v>0</v>
      </c>
      <c r="N527" s="80">
        <f t="shared" ca="1" si="304"/>
        <v>0</v>
      </c>
      <c r="O527" s="81">
        <f t="shared" ca="1" si="289"/>
        <v>0</v>
      </c>
      <c r="P527" s="79">
        <f t="shared" ca="1" si="290"/>
        <v>0</v>
      </c>
      <c r="Q527" s="35"/>
      <c r="R527">
        <f t="shared" ca="1" si="305"/>
        <v>524</v>
      </c>
      <c r="S527" s="78">
        <f t="shared" ca="1" si="306"/>
        <v>103.84</v>
      </c>
      <c r="T527" s="55">
        <f t="shared" ca="1" si="307"/>
        <v>7.7799936530410396E-2</v>
      </c>
      <c r="U527" s="78">
        <f t="shared" ca="1" si="308"/>
        <v>2.865173754560846E-5</v>
      </c>
      <c r="V527" s="79">
        <f t="shared" ca="1" si="309"/>
        <v>0</v>
      </c>
      <c r="W527" s="79">
        <f t="shared" ca="1" si="291"/>
        <v>0</v>
      </c>
      <c r="X527" s="80">
        <f t="shared" ca="1" si="292"/>
        <v>0</v>
      </c>
      <c r="Y527" s="80">
        <f t="shared" ca="1" si="310"/>
        <v>0</v>
      </c>
      <c r="Z527" s="80">
        <f t="shared" ca="1" si="293"/>
        <v>0</v>
      </c>
      <c r="AA527" s="80">
        <f t="shared" ca="1" si="311"/>
        <v>0</v>
      </c>
      <c r="AB527" s="81">
        <f t="shared" ca="1" si="294"/>
        <v>0</v>
      </c>
      <c r="AC527" s="79">
        <f t="shared" ca="1" si="295"/>
        <v>0</v>
      </c>
      <c r="AD527" s="35"/>
      <c r="AE527" s="35"/>
      <c r="AF527" s="35"/>
      <c r="AG527" s="35"/>
      <c r="AH527" s="35"/>
      <c r="AR527" s="69">
        <f t="shared" si="312"/>
        <v>44</v>
      </c>
      <c r="AS527" s="70">
        <f t="shared" si="315"/>
        <v>524</v>
      </c>
      <c r="AT527" s="71">
        <f t="shared" si="316"/>
        <v>2.7689282932748482E-2</v>
      </c>
      <c r="AU527" s="72">
        <f t="shared" si="296"/>
        <v>6.8214933659622723E-3</v>
      </c>
      <c r="AV527" s="73">
        <f t="shared" si="313"/>
        <v>1.0068214933659623</v>
      </c>
      <c r="AW527" s="74">
        <f>PRODUCT(AV$4:AV527)</f>
        <v>35.245085414363309</v>
      </c>
    </row>
    <row r="528" spans="5:49">
      <c r="E528">
        <f t="shared" si="314"/>
        <v>525</v>
      </c>
      <c r="F528" s="64">
        <f t="shared" si="297"/>
        <v>103.92</v>
      </c>
      <c r="G528" s="55">
        <f t="shared" si="298"/>
        <v>7.7799936530410396E-2</v>
      </c>
      <c r="H528" s="78">
        <f t="shared" si="317"/>
        <v>2.6422634183074147E-5</v>
      </c>
      <c r="I528" s="79">
        <f t="shared" ca="1" si="299"/>
        <v>0</v>
      </c>
      <c r="J528" s="79">
        <f t="shared" ca="1" si="300"/>
        <v>0</v>
      </c>
      <c r="K528" s="80">
        <f t="shared" ca="1" si="301"/>
        <v>0</v>
      </c>
      <c r="L528" s="80">
        <f t="shared" ca="1" si="302"/>
        <v>0</v>
      </c>
      <c r="M528" s="80">
        <f t="shared" ca="1" si="303"/>
        <v>0</v>
      </c>
      <c r="N528" s="80">
        <f t="shared" ca="1" si="304"/>
        <v>0</v>
      </c>
      <c r="O528" s="81">
        <f t="shared" ca="1" si="289"/>
        <v>0</v>
      </c>
      <c r="P528" s="79">
        <f t="shared" ca="1" si="290"/>
        <v>0</v>
      </c>
      <c r="Q528" s="35"/>
      <c r="R528">
        <f t="shared" ca="1" si="305"/>
        <v>525</v>
      </c>
      <c r="S528" s="78">
        <f t="shared" ca="1" si="306"/>
        <v>103.92</v>
      </c>
      <c r="T528" s="55">
        <f t="shared" ca="1" si="307"/>
        <v>7.7799936530410396E-2</v>
      </c>
      <c r="U528" s="78">
        <f t="shared" ca="1" si="308"/>
        <v>2.6422634183074147E-5</v>
      </c>
      <c r="V528" s="79">
        <f t="shared" ca="1" si="309"/>
        <v>0</v>
      </c>
      <c r="W528" s="79">
        <f t="shared" ca="1" si="291"/>
        <v>0</v>
      </c>
      <c r="X528" s="80">
        <f t="shared" ca="1" si="292"/>
        <v>0</v>
      </c>
      <c r="Y528" s="80">
        <f t="shared" ca="1" si="310"/>
        <v>0</v>
      </c>
      <c r="Z528" s="80">
        <f t="shared" ca="1" si="293"/>
        <v>0</v>
      </c>
      <c r="AA528" s="80">
        <f t="shared" ca="1" si="311"/>
        <v>0</v>
      </c>
      <c r="AB528" s="81">
        <f t="shared" ca="1" si="294"/>
        <v>0</v>
      </c>
      <c r="AC528" s="79">
        <f t="shared" ca="1" si="295"/>
        <v>0</v>
      </c>
      <c r="AD528" s="35"/>
      <c r="AE528" s="35"/>
      <c r="AF528" s="35"/>
      <c r="AG528" s="35"/>
      <c r="AH528" s="35"/>
      <c r="AR528" s="69">
        <f t="shared" si="312"/>
        <v>44</v>
      </c>
      <c r="AS528" s="70">
        <f t="shared" si="315"/>
        <v>525</v>
      </c>
      <c r="AT528" s="71">
        <f t="shared" si="316"/>
        <v>2.7500400672914486E-2</v>
      </c>
      <c r="AU528" s="72">
        <f t="shared" si="296"/>
        <v>6.8214933659622723E-3</v>
      </c>
      <c r="AV528" s="73">
        <f t="shared" si="313"/>
        <v>1.0068214933659623</v>
      </c>
      <c r="AW528" s="74">
        <f>PRODUCT(AV$4:AV528)</f>
        <v>35.485509530700163</v>
      </c>
    </row>
    <row r="529" spans="5:49">
      <c r="E529">
        <f t="shared" si="314"/>
        <v>526</v>
      </c>
      <c r="F529" s="64">
        <f t="shared" si="297"/>
        <v>104</v>
      </c>
      <c r="G529" s="55">
        <f t="shared" si="298"/>
        <v>7.7799936530410396E-2</v>
      </c>
      <c r="H529" s="78">
        <f t="shared" si="317"/>
        <v>2.4366954920664725E-5</v>
      </c>
      <c r="I529" s="79">
        <f t="shared" ca="1" si="299"/>
        <v>0</v>
      </c>
      <c r="J529" s="79">
        <f t="shared" ca="1" si="300"/>
        <v>0</v>
      </c>
      <c r="K529" s="80">
        <f t="shared" ca="1" si="301"/>
        <v>0</v>
      </c>
      <c r="L529" s="80">
        <f t="shared" ca="1" si="302"/>
        <v>0</v>
      </c>
      <c r="M529" s="80">
        <f t="shared" ca="1" si="303"/>
        <v>0</v>
      </c>
      <c r="N529" s="80">
        <f t="shared" ca="1" si="304"/>
        <v>0</v>
      </c>
      <c r="O529" s="81">
        <f t="shared" ca="1" si="289"/>
        <v>0</v>
      </c>
      <c r="P529" s="79">
        <f t="shared" ca="1" si="290"/>
        <v>0</v>
      </c>
      <c r="Q529" s="35"/>
      <c r="R529">
        <f t="shared" ca="1" si="305"/>
        <v>526</v>
      </c>
      <c r="S529" s="78">
        <f t="shared" ca="1" si="306"/>
        <v>104</v>
      </c>
      <c r="T529" s="55">
        <f t="shared" ca="1" si="307"/>
        <v>7.7799936530410396E-2</v>
      </c>
      <c r="U529" s="78">
        <f t="shared" ca="1" si="308"/>
        <v>2.4366954920664725E-5</v>
      </c>
      <c r="V529" s="79">
        <f t="shared" ca="1" si="309"/>
        <v>0</v>
      </c>
      <c r="W529" s="79">
        <f t="shared" ca="1" si="291"/>
        <v>0</v>
      </c>
      <c r="X529" s="80">
        <f t="shared" ca="1" si="292"/>
        <v>0</v>
      </c>
      <c r="Y529" s="80">
        <f t="shared" ca="1" si="310"/>
        <v>0</v>
      </c>
      <c r="Z529" s="80">
        <f t="shared" ca="1" si="293"/>
        <v>0</v>
      </c>
      <c r="AA529" s="80">
        <f t="shared" ca="1" si="311"/>
        <v>0</v>
      </c>
      <c r="AB529" s="81">
        <f t="shared" ca="1" si="294"/>
        <v>0</v>
      </c>
      <c r="AC529" s="79">
        <f t="shared" ca="1" si="295"/>
        <v>0</v>
      </c>
      <c r="AD529" s="35"/>
      <c r="AE529" s="35"/>
      <c r="AF529" s="35"/>
      <c r="AG529" s="35"/>
      <c r="AH529" s="35"/>
      <c r="AR529" s="69">
        <f t="shared" si="312"/>
        <v>44</v>
      </c>
      <c r="AS529" s="70">
        <f t="shared" si="315"/>
        <v>526</v>
      </c>
      <c r="AT529" s="71">
        <f t="shared" si="316"/>
        <v>2.7312806872162896E-2</v>
      </c>
      <c r="AU529" s="72">
        <f t="shared" si="296"/>
        <v>6.8214933659622723E-3</v>
      </c>
      <c r="AV529" s="73">
        <f t="shared" si="313"/>
        <v>1.0068214933659623</v>
      </c>
      <c r="AW529" s="74">
        <f>PRODUCT(AV$4:AV529)</f>
        <v>35.727573698551623</v>
      </c>
    </row>
    <row r="530" spans="5:49">
      <c r="E530">
        <f t="shared" si="314"/>
        <v>527</v>
      </c>
      <c r="F530" s="64">
        <f t="shared" si="297"/>
        <v>104.08</v>
      </c>
      <c r="G530" s="55">
        <f t="shared" si="298"/>
        <v>0</v>
      </c>
      <c r="H530" s="78">
        <f t="shared" si="317"/>
        <v>2.4366954920664725E-5</v>
      </c>
      <c r="I530" s="79">
        <f t="shared" ca="1" si="299"/>
        <v>0</v>
      </c>
      <c r="J530" s="79">
        <f t="shared" ca="1" si="300"/>
        <v>0</v>
      </c>
      <c r="K530" s="80">
        <f t="shared" ca="1" si="301"/>
        <v>0</v>
      </c>
      <c r="L530" s="80">
        <f t="shared" ca="1" si="302"/>
        <v>0</v>
      </c>
      <c r="M530" s="80">
        <f t="shared" ca="1" si="303"/>
        <v>0</v>
      </c>
      <c r="N530" s="80">
        <f t="shared" ca="1" si="304"/>
        <v>0</v>
      </c>
      <c r="O530" s="81">
        <f t="shared" ca="1" si="289"/>
        <v>0</v>
      </c>
      <c r="P530" s="79">
        <f t="shared" ca="1" si="290"/>
        <v>0</v>
      </c>
      <c r="Q530" s="35"/>
      <c r="R530">
        <f t="shared" ca="1" si="305"/>
        <v>527</v>
      </c>
      <c r="S530" s="78">
        <f t="shared" ca="1" si="306"/>
        <v>104.08</v>
      </c>
      <c r="T530" s="55">
        <f t="shared" ca="1" si="307"/>
        <v>0</v>
      </c>
      <c r="U530" s="78">
        <f t="shared" ca="1" si="308"/>
        <v>2.4366954920664725E-5</v>
      </c>
      <c r="V530" s="79">
        <f t="shared" ca="1" si="309"/>
        <v>0</v>
      </c>
      <c r="W530" s="79">
        <f t="shared" ca="1" si="291"/>
        <v>0</v>
      </c>
      <c r="X530" s="80">
        <f t="shared" ca="1" si="292"/>
        <v>0</v>
      </c>
      <c r="Y530" s="80">
        <f t="shared" ca="1" si="310"/>
        <v>0</v>
      </c>
      <c r="Z530" s="80">
        <f t="shared" ca="1" si="293"/>
        <v>0</v>
      </c>
      <c r="AA530" s="80">
        <f t="shared" ca="1" si="311"/>
        <v>0</v>
      </c>
      <c r="AB530" s="81">
        <f t="shared" ca="1" si="294"/>
        <v>0</v>
      </c>
      <c r="AC530" s="79">
        <f t="shared" ca="1" si="295"/>
        <v>0</v>
      </c>
      <c r="AD530" s="35"/>
      <c r="AE530" s="35"/>
      <c r="AF530" s="35"/>
      <c r="AG530" s="35"/>
      <c r="AH530" s="35"/>
      <c r="AR530" s="69">
        <f t="shared" si="312"/>
        <v>44</v>
      </c>
      <c r="AS530" s="70">
        <f t="shared" si="315"/>
        <v>527</v>
      </c>
      <c r="AT530" s="71">
        <f t="shared" si="316"/>
        <v>2.7126492741278627E-2</v>
      </c>
      <c r="AU530" s="72">
        <f t="shared" si="296"/>
        <v>6.8214933659622723E-3</v>
      </c>
      <c r="AV530" s="73">
        <f t="shared" si="313"/>
        <v>1.0068214933659623</v>
      </c>
      <c r="AW530" s="74">
        <f>PRODUCT(AV$4:AV530)</f>
        <v>35.971289105518224</v>
      </c>
    </row>
    <row r="531" spans="5:49">
      <c r="E531">
        <f t="shared" si="314"/>
        <v>528</v>
      </c>
      <c r="F531" s="64">
        <f t="shared" si="297"/>
        <v>104.16</v>
      </c>
      <c r="G531" s="55">
        <f t="shared" si="298"/>
        <v>0</v>
      </c>
      <c r="H531" s="78">
        <f t="shared" si="317"/>
        <v>2.4366954920664725E-5</v>
      </c>
      <c r="I531" s="79">
        <f t="shared" ca="1" si="299"/>
        <v>0</v>
      </c>
      <c r="J531" s="79">
        <f t="shared" ca="1" si="300"/>
        <v>0</v>
      </c>
      <c r="K531" s="80">
        <f t="shared" ca="1" si="301"/>
        <v>0</v>
      </c>
      <c r="L531" s="80">
        <f t="shared" ca="1" si="302"/>
        <v>0</v>
      </c>
      <c r="M531" s="80">
        <f t="shared" ca="1" si="303"/>
        <v>0</v>
      </c>
      <c r="N531" s="80">
        <f t="shared" ca="1" si="304"/>
        <v>0</v>
      </c>
      <c r="O531" s="81">
        <f t="shared" ca="1" si="289"/>
        <v>0</v>
      </c>
      <c r="P531" s="79">
        <f t="shared" ca="1" si="290"/>
        <v>0</v>
      </c>
      <c r="Q531" s="35"/>
      <c r="R531">
        <f t="shared" ca="1" si="305"/>
        <v>528</v>
      </c>
      <c r="S531" s="78">
        <f t="shared" ca="1" si="306"/>
        <v>104.16</v>
      </c>
      <c r="T531" s="55">
        <f t="shared" ca="1" si="307"/>
        <v>0</v>
      </c>
      <c r="U531" s="78">
        <f t="shared" ca="1" si="308"/>
        <v>2.4366954920664725E-5</v>
      </c>
      <c r="V531" s="79">
        <f t="shared" ca="1" si="309"/>
        <v>0</v>
      </c>
      <c r="W531" s="79">
        <f t="shared" ca="1" si="291"/>
        <v>0</v>
      </c>
      <c r="X531" s="80">
        <f t="shared" ca="1" si="292"/>
        <v>0</v>
      </c>
      <c r="Y531" s="80">
        <f t="shared" ca="1" si="310"/>
        <v>0</v>
      </c>
      <c r="Z531" s="80">
        <f t="shared" ca="1" si="293"/>
        <v>0</v>
      </c>
      <c r="AA531" s="80">
        <f t="shared" ca="1" si="311"/>
        <v>0</v>
      </c>
      <c r="AB531" s="81">
        <f t="shared" ca="1" si="294"/>
        <v>0</v>
      </c>
      <c r="AC531" s="79">
        <f t="shared" ca="1" si="295"/>
        <v>0</v>
      </c>
      <c r="AD531" s="35"/>
      <c r="AE531" s="35"/>
      <c r="AF531" s="35"/>
      <c r="AG531" s="35"/>
      <c r="AH531" s="35"/>
      <c r="AR531" s="69">
        <f t="shared" si="312"/>
        <v>44</v>
      </c>
      <c r="AS531" s="70">
        <f t="shared" si="315"/>
        <v>528</v>
      </c>
      <c r="AT531" s="71">
        <f t="shared" si="316"/>
        <v>2.694144955100217E-2</v>
      </c>
      <c r="AU531" s="72">
        <f t="shared" si="296"/>
        <v>6.8214933659622723E-3</v>
      </c>
      <c r="AV531" s="73">
        <f t="shared" si="313"/>
        <v>1.0068214933659623</v>
      </c>
      <c r="AW531" s="74">
        <f>PRODUCT(AV$4:AV531)</f>
        <v>36.216667015516627</v>
      </c>
    </row>
    <row r="532" spans="5:49">
      <c r="E532">
        <f t="shared" si="314"/>
        <v>529</v>
      </c>
      <c r="F532" s="64">
        <f t="shared" si="297"/>
        <v>104.24</v>
      </c>
      <c r="G532" s="55">
        <f t="shared" si="298"/>
        <v>0</v>
      </c>
      <c r="H532" s="78">
        <f t="shared" si="317"/>
        <v>2.4366954920664725E-5</v>
      </c>
      <c r="I532" s="79">
        <f t="shared" ca="1" si="299"/>
        <v>0</v>
      </c>
      <c r="J532" s="79">
        <f t="shared" ca="1" si="300"/>
        <v>0</v>
      </c>
      <c r="K532" s="80">
        <f t="shared" ca="1" si="301"/>
        <v>0</v>
      </c>
      <c r="L532" s="80">
        <f t="shared" ca="1" si="302"/>
        <v>0</v>
      </c>
      <c r="M532" s="80">
        <f t="shared" ca="1" si="303"/>
        <v>0</v>
      </c>
      <c r="N532" s="80">
        <f t="shared" ca="1" si="304"/>
        <v>0</v>
      </c>
      <c r="O532" s="81">
        <f t="shared" ca="1" si="289"/>
        <v>0</v>
      </c>
      <c r="P532" s="79">
        <f t="shared" ca="1" si="290"/>
        <v>0</v>
      </c>
      <c r="Q532" s="35"/>
      <c r="R532">
        <f t="shared" ca="1" si="305"/>
        <v>529</v>
      </c>
      <c r="S532" s="78">
        <f t="shared" ca="1" si="306"/>
        <v>104.24</v>
      </c>
      <c r="T532" s="55">
        <f t="shared" ca="1" si="307"/>
        <v>0</v>
      </c>
      <c r="U532" s="78">
        <f t="shared" ca="1" si="308"/>
        <v>2.4366954920664725E-5</v>
      </c>
      <c r="V532" s="79">
        <f t="shared" ca="1" si="309"/>
        <v>0</v>
      </c>
      <c r="W532" s="79">
        <f t="shared" ca="1" si="291"/>
        <v>0</v>
      </c>
      <c r="X532" s="80">
        <f t="shared" ca="1" si="292"/>
        <v>0</v>
      </c>
      <c r="Y532" s="80">
        <f t="shared" ca="1" si="310"/>
        <v>0</v>
      </c>
      <c r="Z532" s="80">
        <f t="shared" ca="1" si="293"/>
        <v>0</v>
      </c>
      <c r="AA532" s="80">
        <f t="shared" ca="1" si="311"/>
        <v>0</v>
      </c>
      <c r="AB532" s="81">
        <f t="shared" ca="1" si="294"/>
        <v>0</v>
      </c>
      <c r="AC532" s="79">
        <f t="shared" ca="1" si="295"/>
        <v>0</v>
      </c>
      <c r="AD532" s="35"/>
      <c r="AE532" s="35"/>
      <c r="AF532" s="35"/>
      <c r="AG532" s="35"/>
      <c r="AH532" s="35"/>
      <c r="AR532" s="69">
        <f t="shared" si="312"/>
        <v>45</v>
      </c>
      <c r="AS532" s="70">
        <f t="shared" si="315"/>
        <v>529</v>
      </c>
      <c r="AT532" s="71">
        <f t="shared" si="316"/>
        <v>2.6757668631620601E-2</v>
      </c>
      <c r="AU532" s="72">
        <f t="shared" si="296"/>
        <v>6.8214933659622723E-3</v>
      </c>
      <c r="AV532" s="73">
        <f t="shared" si="313"/>
        <v>1.0068214933659623</v>
      </c>
      <c r="AW532" s="74">
        <f>PRODUCT(AV$4:AV532)</f>
        <v>36.463718769300236</v>
      </c>
    </row>
    <row r="533" spans="5:49">
      <c r="E533">
        <f t="shared" si="314"/>
        <v>530</v>
      </c>
      <c r="F533" s="64">
        <f t="shared" si="297"/>
        <v>104.32</v>
      </c>
      <c r="G533" s="55">
        <f t="shared" si="298"/>
        <v>0</v>
      </c>
      <c r="H533" s="78">
        <f t="shared" si="317"/>
        <v>2.4366954920664725E-5</v>
      </c>
      <c r="I533" s="79">
        <f t="shared" ca="1" si="299"/>
        <v>0</v>
      </c>
      <c r="J533" s="79">
        <f t="shared" ca="1" si="300"/>
        <v>0</v>
      </c>
      <c r="K533" s="80">
        <f t="shared" ca="1" si="301"/>
        <v>0</v>
      </c>
      <c r="L533" s="80">
        <f t="shared" ca="1" si="302"/>
        <v>0</v>
      </c>
      <c r="M533" s="80">
        <f t="shared" ca="1" si="303"/>
        <v>0</v>
      </c>
      <c r="N533" s="80">
        <f t="shared" ca="1" si="304"/>
        <v>0</v>
      </c>
      <c r="O533" s="81">
        <f t="shared" ca="1" si="289"/>
        <v>0</v>
      </c>
      <c r="P533" s="79">
        <f t="shared" ca="1" si="290"/>
        <v>0</v>
      </c>
      <c r="Q533" s="35"/>
      <c r="R533">
        <f t="shared" ca="1" si="305"/>
        <v>530</v>
      </c>
      <c r="S533" s="78">
        <f t="shared" ca="1" si="306"/>
        <v>104.32</v>
      </c>
      <c r="T533" s="55">
        <f t="shared" ca="1" si="307"/>
        <v>0</v>
      </c>
      <c r="U533" s="78">
        <f t="shared" ca="1" si="308"/>
        <v>2.4366954920664725E-5</v>
      </c>
      <c r="V533" s="79">
        <f t="shared" ca="1" si="309"/>
        <v>0</v>
      </c>
      <c r="W533" s="79">
        <f t="shared" ca="1" si="291"/>
        <v>0</v>
      </c>
      <c r="X533" s="80">
        <f t="shared" ca="1" si="292"/>
        <v>0</v>
      </c>
      <c r="Y533" s="80">
        <f t="shared" ca="1" si="310"/>
        <v>0</v>
      </c>
      <c r="Z533" s="80">
        <f t="shared" ca="1" si="293"/>
        <v>0</v>
      </c>
      <c r="AA533" s="80">
        <f t="shared" ca="1" si="311"/>
        <v>0</v>
      </c>
      <c r="AB533" s="81">
        <f t="shared" ca="1" si="294"/>
        <v>0</v>
      </c>
      <c r="AC533" s="79">
        <f t="shared" ca="1" si="295"/>
        <v>0</v>
      </c>
      <c r="AD533" s="35"/>
      <c r="AE533" s="35"/>
      <c r="AF533" s="35"/>
      <c r="AG533" s="35"/>
      <c r="AH533" s="35"/>
      <c r="AR533" s="69">
        <f t="shared" si="312"/>
        <v>45</v>
      </c>
      <c r="AS533" s="70">
        <f t="shared" si="315"/>
        <v>530</v>
      </c>
      <c r="AT533" s="71">
        <f t="shared" si="316"/>
        <v>2.6575141372561385E-2</v>
      </c>
      <c r="AU533" s="72">
        <f t="shared" si="296"/>
        <v>6.8214933659622723E-3</v>
      </c>
      <c r="AV533" s="73">
        <f t="shared" si="313"/>
        <v>1.0068214933659623</v>
      </c>
      <c r="AW533" s="74">
        <f>PRODUCT(AV$4:AV533)</f>
        <v>36.712455784983334</v>
      </c>
    </row>
    <row r="534" spans="5:49">
      <c r="E534">
        <f t="shared" si="314"/>
        <v>531</v>
      </c>
      <c r="F534" s="64">
        <f t="shared" si="297"/>
        <v>104.4</v>
      </c>
      <c r="G534" s="55">
        <f t="shared" si="298"/>
        <v>0</v>
      </c>
      <c r="H534" s="78">
        <f t="shared" si="317"/>
        <v>2.4366954920664725E-5</v>
      </c>
      <c r="I534" s="79">
        <f t="shared" ca="1" si="299"/>
        <v>0</v>
      </c>
      <c r="J534" s="79">
        <f t="shared" ca="1" si="300"/>
        <v>0</v>
      </c>
      <c r="K534" s="80">
        <f t="shared" ca="1" si="301"/>
        <v>0</v>
      </c>
      <c r="L534" s="80">
        <f t="shared" ca="1" si="302"/>
        <v>0</v>
      </c>
      <c r="M534" s="80">
        <f t="shared" ca="1" si="303"/>
        <v>0</v>
      </c>
      <c r="N534" s="80">
        <f t="shared" ca="1" si="304"/>
        <v>0</v>
      </c>
      <c r="O534" s="81">
        <f t="shared" ca="1" si="289"/>
        <v>0</v>
      </c>
      <c r="P534" s="79">
        <f t="shared" ca="1" si="290"/>
        <v>0</v>
      </c>
      <c r="Q534" s="35"/>
      <c r="R534">
        <f t="shared" ca="1" si="305"/>
        <v>531</v>
      </c>
      <c r="S534" s="78">
        <f t="shared" ca="1" si="306"/>
        <v>104.4</v>
      </c>
      <c r="T534" s="55">
        <f t="shared" ca="1" si="307"/>
        <v>0</v>
      </c>
      <c r="U534" s="78">
        <f t="shared" ca="1" si="308"/>
        <v>2.4366954920664725E-5</v>
      </c>
      <c r="V534" s="79">
        <f t="shared" ca="1" si="309"/>
        <v>0</v>
      </c>
      <c r="W534" s="79">
        <f t="shared" ca="1" si="291"/>
        <v>0</v>
      </c>
      <c r="X534" s="80">
        <f t="shared" ca="1" si="292"/>
        <v>0</v>
      </c>
      <c r="Y534" s="80">
        <f t="shared" ca="1" si="310"/>
        <v>0</v>
      </c>
      <c r="Z534" s="80">
        <f t="shared" ca="1" si="293"/>
        <v>0</v>
      </c>
      <c r="AA534" s="80">
        <f t="shared" ca="1" si="311"/>
        <v>0</v>
      </c>
      <c r="AB534" s="81">
        <f t="shared" ca="1" si="294"/>
        <v>0</v>
      </c>
      <c r="AC534" s="79">
        <f t="shared" ca="1" si="295"/>
        <v>0</v>
      </c>
      <c r="AD534" s="35"/>
      <c r="AE534" s="35"/>
      <c r="AF534" s="35"/>
      <c r="AG534" s="35"/>
      <c r="AH534" s="35"/>
      <c r="AR534" s="69">
        <f t="shared" si="312"/>
        <v>45</v>
      </c>
      <c r="AS534" s="70">
        <f t="shared" si="315"/>
        <v>531</v>
      </c>
      <c r="AT534" s="71">
        <f t="shared" si="316"/>
        <v>2.6393859221988947E-2</v>
      </c>
      <c r="AU534" s="72">
        <f t="shared" si="296"/>
        <v>6.8214933659622723E-3</v>
      </c>
      <c r="AV534" s="73">
        <f t="shared" si="313"/>
        <v>1.0068214933659623</v>
      </c>
      <c r="AW534" s="74">
        <f>PRODUCT(AV$4:AV534)</f>
        <v>36.962889558568783</v>
      </c>
    </row>
    <row r="535" spans="5:49">
      <c r="E535">
        <f t="shared" si="314"/>
        <v>532</v>
      </c>
      <c r="F535" s="64">
        <f t="shared" si="297"/>
        <v>104.48</v>
      </c>
      <c r="G535" s="55">
        <f t="shared" si="298"/>
        <v>0</v>
      </c>
      <c r="H535" s="78">
        <f t="shared" si="317"/>
        <v>2.4366954920664725E-5</v>
      </c>
      <c r="I535" s="79">
        <f t="shared" ca="1" si="299"/>
        <v>0</v>
      </c>
      <c r="J535" s="79">
        <f t="shared" ca="1" si="300"/>
        <v>0</v>
      </c>
      <c r="K535" s="80">
        <f t="shared" ca="1" si="301"/>
        <v>0</v>
      </c>
      <c r="L535" s="80">
        <f t="shared" ca="1" si="302"/>
        <v>0</v>
      </c>
      <c r="M535" s="80">
        <f t="shared" ca="1" si="303"/>
        <v>0</v>
      </c>
      <c r="N535" s="80">
        <f t="shared" ca="1" si="304"/>
        <v>0</v>
      </c>
      <c r="O535" s="81">
        <f t="shared" ca="1" si="289"/>
        <v>0</v>
      </c>
      <c r="P535" s="79">
        <f t="shared" ca="1" si="290"/>
        <v>0</v>
      </c>
      <c r="Q535" s="35"/>
      <c r="R535">
        <f t="shared" ca="1" si="305"/>
        <v>532</v>
      </c>
      <c r="S535" s="78">
        <f t="shared" ca="1" si="306"/>
        <v>104.48</v>
      </c>
      <c r="T535" s="55">
        <f t="shared" ca="1" si="307"/>
        <v>0</v>
      </c>
      <c r="U535" s="78">
        <f t="shared" ca="1" si="308"/>
        <v>2.4366954920664725E-5</v>
      </c>
      <c r="V535" s="79">
        <f t="shared" ca="1" si="309"/>
        <v>0</v>
      </c>
      <c r="W535" s="79">
        <f t="shared" ca="1" si="291"/>
        <v>0</v>
      </c>
      <c r="X535" s="80">
        <f t="shared" ca="1" si="292"/>
        <v>0</v>
      </c>
      <c r="Y535" s="80">
        <f t="shared" ca="1" si="310"/>
        <v>0</v>
      </c>
      <c r="Z535" s="80">
        <f t="shared" ca="1" si="293"/>
        <v>0</v>
      </c>
      <c r="AA535" s="80">
        <f t="shared" ca="1" si="311"/>
        <v>0</v>
      </c>
      <c r="AB535" s="81">
        <f t="shared" ca="1" si="294"/>
        <v>0</v>
      </c>
      <c r="AC535" s="79">
        <f t="shared" ca="1" si="295"/>
        <v>0</v>
      </c>
      <c r="AD535" s="35"/>
      <c r="AE535" s="35"/>
      <c r="AF535" s="35"/>
      <c r="AG535" s="35"/>
      <c r="AH535" s="35"/>
      <c r="AR535" s="69">
        <f t="shared" si="312"/>
        <v>45</v>
      </c>
      <c r="AS535" s="70">
        <f t="shared" si="315"/>
        <v>532</v>
      </c>
      <c r="AT535" s="71">
        <f t="shared" si="316"/>
        <v>2.6213813686404006E-2</v>
      </c>
      <c r="AU535" s="72">
        <f t="shared" si="296"/>
        <v>6.8214933659622723E-3</v>
      </c>
      <c r="AV535" s="73">
        <f t="shared" si="313"/>
        <v>1.0068214933659623</v>
      </c>
      <c r="AW535" s="74">
        <f>PRODUCT(AV$4:AV535)</f>
        <v>37.215031664479355</v>
      </c>
    </row>
    <row r="536" spans="5:49">
      <c r="E536">
        <f t="shared" si="314"/>
        <v>533</v>
      </c>
      <c r="F536" s="64">
        <f t="shared" si="297"/>
        <v>104.56</v>
      </c>
      <c r="G536" s="55">
        <f t="shared" si="298"/>
        <v>0</v>
      </c>
      <c r="H536" s="78">
        <f t="shared" si="317"/>
        <v>2.4366954920664725E-5</v>
      </c>
      <c r="I536" s="79">
        <f t="shared" ca="1" si="299"/>
        <v>0</v>
      </c>
      <c r="J536" s="79">
        <f t="shared" ca="1" si="300"/>
        <v>0</v>
      </c>
      <c r="K536" s="80">
        <f t="shared" ca="1" si="301"/>
        <v>0</v>
      </c>
      <c r="L536" s="80">
        <f t="shared" ca="1" si="302"/>
        <v>0</v>
      </c>
      <c r="M536" s="80">
        <f t="shared" ca="1" si="303"/>
        <v>0</v>
      </c>
      <c r="N536" s="80">
        <f t="shared" ca="1" si="304"/>
        <v>0</v>
      </c>
      <c r="O536" s="81">
        <f t="shared" ca="1" si="289"/>
        <v>0</v>
      </c>
      <c r="P536" s="79">
        <f t="shared" ca="1" si="290"/>
        <v>0</v>
      </c>
      <c r="Q536" s="35"/>
      <c r="R536">
        <f t="shared" ca="1" si="305"/>
        <v>533</v>
      </c>
      <c r="S536" s="78">
        <f t="shared" ca="1" si="306"/>
        <v>104.56</v>
      </c>
      <c r="T536" s="55">
        <f t="shared" ca="1" si="307"/>
        <v>0</v>
      </c>
      <c r="U536" s="78">
        <f t="shared" ca="1" si="308"/>
        <v>2.4366954920664725E-5</v>
      </c>
      <c r="V536" s="79">
        <f t="shared" ca="1" si="309"/>
        <v>0</v>
      </c>
      <c r="W536" s="79">
        <f t="shared" ca="1" si="291"/>
        <v>0</v>
      </c>
      <c r="X536" s="80">
        <f t="shared" ca="1" si="292"/>
        <v>0</v>
      </c>
      <c r="Y536" s="80">
        <f t="shared" ca="1" si="310"/>
        <v>0</v>
      </c>
      <c r="Z536" s="80">
        <f t="shared" ca="1" si="293"/>
        <v>0</v>
      </c>
      <c r="AA536" s="80">
        <f t="shared" ca="1" si="311"/>
        <v>0</v>
      </c>
      <c r="AB536" s="81">
        <f t="shared" ca="1" si="294"/>
        <v>0</v>
      </c>
      <c r="AC536" s="79">
        <f t="shared" ca="1" si="295"/>
        <v>0</v>
      </c>
      <c r="AD536" s="35"/>
      <c r="AE536" s="35"/>
      <c r="AF536" s="35"/>
      <c r="AG536" s="35"/>
      <c r="AH536" s="35"/>
      <c r="AR536" s="69">
        <f t="shared" si="312"/>
        <v>45</v>
      </c>
      <c r="AS536" s="70">
        <f t="shared" si="315"/>
        <v>533</v>
      </c>
      <c r="AT536" s="71">
        <f t="shared" si="316"/>
        <v>2.6034996330245631E-2</v>
      </c>
      <c r="AU536" s="72">
        <f t="shared" si="296"/>
        <v>6.8214933659622723E-3</v>
      </c>
      <c r="AV536" s="73">
        <f t="shared" si="313"/>
        <v>1.0068214933659623</v>
      </c>
      <c r="AW536" s="74">
        <f>PRODUCT(AV$4:AV536)</f>
        <v>37.468893756092676</v>
      </c>
    </row>
    <row r="537" spans="5:49">
      <c r="E537">
        <f t="shared" si="314"/>
        <v>534</v>
      </c>
      <c r="F537" s="64">
        <f t="shared" si="297"/>
        <v>104.64</v>
      </c>
      <c r="G537" s="55">
        <f t="shared" si="298"/>
        <v>0</v>
      </c>
      <c r="H537" s="78">
        <f t="shared" si="317"/>
        <v>2.4366954920664725E-5</v>
      </c>
      <c r="I537" s="79">
        <f t="shared" ca="1" si="299"/>
        <v>0</v>
      </c>
      <c r="J537" s="79">
        <f t="shared" ca="1" si="300"/>
        <v>0</v>
      </c>
      <c r="K537" s="80">
        <f t="shared" ca="1" si="301"/>
        <v>0</v>
      </c>
      <c r="L537" s="80">
        <f t="shared" ca="1" si="302"/>
        <v>0</v>
      </c>
      <c r="M537" s="80">
        <f t="shared" ca="1" si="303"/>
        <v>0</v>
      </c>
      <c r="N537" s="80">
        <f t="shared" ca="1" si="304"/>
        <v>0</v>
      </c>
      <c r="O537" s="81">
        <f t="shared" ca="1" si="289"/>
        <v>0</v>
      </c>
      <c r="P537" s="79">
        <f t="shared" ca="1" si="290"/>
        <v>0</v>
      </c>
      <c r="Q537" s="35"/>
      <c r="R537">
        <f t="shared" ca="1" si="305"/>
        <v>534</v>
      </c>
      <c r="S537" s="78">
        <f t="shared" ca="1" si="306"/>
        <v>104.64</v>
      </c>
      <c r="T537" s="55">
        <f t="shared" ca="1" si="307"/>
        <v>0</v>
      </c>
      <c r="U537" s="78">
        <f t="shared" ca="1" si="308"/>
        <v>2.4366954920664725E-5</v>
      </c>
      <c r="V537" s="79">
        <f t="shared" ca="1" si="309"/>
        <v>0</v>
      </c>
      <c r="W537" s="79">
        <f t="shared" ca="1" si="291"/>
        <v>0</v>
      </c>
      <c r="X537" s="80">
        <f t="shared" ca="1" si="292"/>
        <v>0</v>
      </c>
      <c r="Y537" s="80">
        <f t="shared" ca="1" si="310"/>
        <v>0</v>
      </c>
      <c r="Z537" s="80">
        <f t="shared" ca="1" si="293"/>
        <v>0</v>
      </c>
      <c r="AA537" s="80">
        <f t="shared" ca="1" si="311"/>
        <v>0</v>
      </c>
      <c r="AB537" s="81">
        <f t="shared" ca="1" si="294"/>
        <v>0</v>
      </c>
      <c r="AC537" s="79">
        <f t="shared" ca="1" si="295"/>
        <v>0</v>
      </c>
      <c r="AD537" s="35"/>
      <c r="AE537" s="35"/>
      <c r="AF537" s="35"/>
      <c r="AG537" s="35"/>
      <c r="AH537" s="35"/>
      <c r="AR537" s="69">
        <f t="shared" si="312"/>
        <v>45</v>
      </c>
      <c r="AS537" s="70">
        <f t="shared" si="315"/>
        <v>534</v>
      </c>
      <c r="AT537" s="71">
        <f t="shared" si="316"/>
        <v>2.5857398775496008E-2</v>
      </c>
      <c r="AU537" s="72">
        <f t="shared" si="296"/>
        <v>6.8214933659622723E-3</v>
      </c>
      <c r="AV537" s="73">
        <f t="shared" si="313"/>
        <v>1.0068214933659623</v>
      </c>
      <c r="AW537" s="74">
        <f>PRODUCT(AV$4:AV537)</f>
        <v>37.724487566279805</v>
      </c>
    </row>
    <row r="538" spans="5:49">
      <c r="E538">
        <f t="shared" si="314"/>
        <v>535</v>
      </c>
      <c r="F538" s="64">
        <f t="shared" si="297"/>
        <v>104.72</v>
      </c>
      <c r="G538" s="55">
        <f t="shared" si="298"/>
        <v>0</v>
      </c>
      <c r="H538" s="78">
        <f t="shared" si="317"/>
        <v>2.4366954920664725E-5</v>
      </c>
      <c r="I538" s="79">
        <f t="shared" ca="1" si="299"/>
        <v>0</v>
      </c>
      <c r="J538" s="79">
        <f t="shared" ca="1" si="300"/>
        <v>0</v>
      </c>
      <c r="K538" s="80">
        <f t="shared" ca="1" si="301"/>
        <v>0</v>
      </c>
      <c r="L538" s="80">
        <f t="shared" ca="1" si="302"/>
        <v>0</v>
      </c>
      <c r="M538" s="80">
        <f t="shared" ca="1" si="303"/>
        <v>0</v>
      </c>
      <c r="N538" s="80">
        <f t="shared" ca="1" si="304"/>
        <v>0</v>
      </c>
      <c r="O538" s="81">
        <f t="shared" ca="1" si="289"/>
        <v>0</v>
      </c>
      <c r="P538" s="79">
        <f t="shared" ca="1" si="290"/>
        <v>0</v>
      </c>
      <c r="Q538" s="35"/>
      <c r="R538">
        <f t="shared" ca="1" si="305"/>
        <v>535</v>
      </c>
      <c r="S538" s="78">
        <f t="shared" ca="1" si="306"/>
        <v>104.72</v>
      </c>
      <c r="T538" s="55">
        <f t="shared" ca="1" si="307"/>
        <v>0</v>
      </c>
      <c r="U538" s="78">
        <f t="shared" ca="1" si="308"/>
        <v>2.4366954920664725E-5</v>
      </c>
      <c r="V538" s="79">
        <f t="shared" ca="1" si="309"/>
        <v>0</v>
      </c>
      <c r="W538" s="79">
        <f t="shared" ca="1" si="291"/>
        <v>0</v>
      </c>
      <c r="X538" s="80">
        <f t="shared" ca="1" si="292"/>
        <v>0</v>
      </c>
      <c r="Y538" s="80">
        <f t="shared" ca="1" si="310"/>
        <v>0</v>
      </c>
      <c r="Z538" s="80">
        <f t="shared" ca="1" si="293"/>
        <v>0</v>
      </c>
      <c r="AA538" s="80">
        <f t="shared" ca="1" si="311"/>
        <v>0</v>
      </c>
      <c r="AB538" s="81">
        <f t="shared" ca="1" si="294"/>
        <v>0</v>
      </c>
      <c r="AC538" s="79">
        <f t="shared" ca="1" si="295"/>
        <v>0</v>
      </c>
      <c r="AD538" s="35"/>
      <c r="AE538" s="35"/>
      <c r="AF538" s="35"/>
      <c r="AG538" s="35"/>
      <c r="AH538" s="35"/>
      <c r="AR538" s="69">
        <f t="shared" si="312"/>
        <v>45</v>
      </c>
      <c r="AS538" s="70">
        <f t="shared" si="315"/>
        <v>535</v>
      </c>
      <c r="AT538" s="71">
        <f t="shared" si="316"/>
        <v>2.568101270128792E-2</v>
      </c>
      <c r="AU538" s="72">
        <f t="shared" si="296"/>
        <v>6.8214933659622723E-3</v>
      </c>
      <c r="AV538" s="73">
        <f t="shared" si="313"/>
        <v>1.0068214933659623</v>
      </c>
      <c r="AW538" s="74">
        <f>PRODUCT(AV$4:AV538)</f>
        <v>37.981824907947512</v>
      </c>
    </row>
    <row r="539" spans="5:49">
      <c r="E539">
        <f t="shared" si="314"/>
        <v>536</v>
      </c>
      <c r="F539" s="64">
        <f t="shared" si="297"/>
        <v>104.8</v>
      </c>
      <c r="G539" s="55">
        <f t="shared" si="298"/>
        <v>0</v>
      </c>
      <c r="H539" s="78">
        <f t="shared" si="317"/>
        <v>2.4366954920664725E-5</v>
      </c>
      <c r="I539" s="79">
        <f t="shared" ca="1" si="299"/>
        <v>0</v>
      </c>
      <c r="J539" s="79">
        <f t="shared" ca="1" si="300"/>
        <v>0</v>
      </c>
      <c r="K539" s="80">
        <f t="shared" ca="1" si="301"/>
        <v>0</v>
      </c>
      <c r="L539" s="80">
        <f t="shared" ca="1" si="302"/>
        <v>0</v>
      </c>
      <c r="M539" s="80">
        <f t="shared" ca="1" si="303"/>
        <v>0</v>
      </c>
      <c r="N539" s="80">
        <f t="shared" ca="1" si="304"/>
        <v>0</v>
      </c>
      <c r="O539" s="81">
        <f t="shared" ca="1" si="289"/>
        <v>0</v>
      </c>
      <c r="P539" s="79">
        <f t="shared" ca="1" si="290"/>
        <v>0</v>
      </c>
      <c r="Q539" s="35"/>
      <c r="R539">
        <f t="shared" ca="1" si="305"/>
        <v>536</v>
      </c>
      <c r="S539" s="78">
        <f t="shared" ca="1" si="306"/>
        <v>104.8</v>
      </c>
      <c r="T539" s="55">
        <f t="shared" ca="1" si="307"/>
        <v>0</v>
      </c>
      <c r="U539" s="78">
        <f t="shared" ca="1" si="308"/>
        <v>2.4366954920664725E-5</v>
      </c>
      <c r="V539" s="79">
        <f t="shared" ca="1" si="309"/>
        <v>0</v>
      </c>
      <c r="W539" s="79">
        <f t="shared" ca="1" si="291"/>
        <v>0</v>
      </c>
      <c r="X539" s="80">
        <f t="shared" ca="1" si="292"/>
        <v>0</v>
      </c>
      <c r="Y539" s="80">
        <f t="shared" ca="1" si="310"/>
        <v>0</v>
      </c>
      <c r="Z539" s="80">
        <f t="shared" ca="1" si="293"/>
        <v>0</v>
      </c>
      <c r="AA539" s="80">
        <f t="shared" ca="1" si="311"/>
        <v>0</v>
      </c>
      <c r="AB539" s="81">
        <f t="shared" ca="1" si="294"/>
        <v>0</v>
      </c>
      <c r="AC539" s="79">
        <f t="shared" ca="1" si="295"/>
        <v>0</v>
      </c>
      <c r="AD539" s="35"/>
      <c r="AE539" s="35"/>
      <c r="AF539" s="35"/>
      <c r="AG539" s="35"/>
      <c r="AH539" s="35"/>
      <c r="AR539" s="69">
        <f t="shared" si="312"/>
        <v>45</v>
      </c>
      <c r="AS539" s="70">
        <f t="shared" si="315"/>
        <v>536</v>
      </c>
      <c r="AT539" s="71">
        <f t="shared" si="316"/>
        <v>2.5505829843514891E-2</v>
      </c>
      <c r="AU539" s="72">
        <f t="shared" si="296"/>
        <v>6.8214933659622723E-3</v>
      </c>
      <c r="AV539" s="73">
        <f t="shared" si="313"/>
        <v>1.0068214933659623</v>
      </c>
      <c r="AW539" s="74">
        <f>PRODUCT(AV$4:AV539)</f>
        <v>38.240917674584217</v>
      </c>
    </row>
    <row r="540" spans="5:49">
      <c r="E540">
        <f t="shared" si="314"/>
        <v>537</v>
      </c>
      <c r="F540" s="64">
        <f t="shared" si="297"/>
        <v>104.88</v>
      </c>
      <c r="G540" s="55">
        <f t="shared" si="298"/>
        <v>0</v>
      </c>
      <c r="H540" s="78">
        <f t="shared" si="317"/>
        <v>2.4366954920664725E-5</v>
      </c>
      <c r="I540" s="79">
        <f t="shared" ca="1" si="299"/>
        <v>0</v>
      </c>
      <c r="J540" s="79">
        <f t="shared" ca="1" si="300"/>
        <v>0</v>
      </c>
      <c r="K540" s="80">
        <f t="shared" ca="1" si="301"/>
        <v>0</v>
      </c>
      <c r="L540" s="80">
        <f t="shared" ca="1" si="302"/>
        <v>0</v>
      </c>
      <c r="M540" s="80">
        <f t="shared" ca="1" si="303"/>
        <v>0</v>
      </c>
      <c r="N540" s="80">
        <f t="shared" ca="1" si="304"/>
        <v>0</v>
      </c>
      <c r="O540" s="81">
        <f t="shared" ca="1" si="289"/>
        <v>0</v>
      </c>
      <c r="P540" s="79">
        <f t="shared" ca="1" si="290"/>
        <v>0</v>
      </c>
      <c r="Q540" s="35"/>
      <c r="R540">
        <f t="shared" ca="1" si="305"/>
        <v>537</v>
      </c>
      <c r="S540" s="78">
        <f t="shared" ca="1" si="306"/>
        <v>104.88</v>
      </c>
      <c r="T540" s="55">
        <f t="shared" ca="1" si="307"/>
        <v>0</v>
      </c>
      <c r="U540" s="78">
        <f t="shared" ca="1" si="308"/>
        <v>2.4366954920664725E-5</v>
      </c>
      <c r="V540" s="79">
        <f t="shared" ca="1" si="309"/>
        <v>0</v>
      </c>
      <c r="W540" s="79">
        <f t="shared" ca="1" si="291"/>
        <v>0</v>
      </c>
      <c r="X540" s="80">
        <f t="shared" ca="1" si="292"/>
        <v>0</v>
      </c>
      <c r="Y540" s="80">
        <f t="shared" ca="1" si="310"/>
        <v>0</v>
      </c>
      <c r="Z540" s="80">
        <f t="shared" ca="1" si="293"/>
        <v>0</v>
      </c>
      <c r="AA540" s="80">
        <f t="shared" ca="1" si="311"/>
        <v>0</v>
      </c>
      <c r="AB540" s="81">
        <f t="shared" ca="1" si="294"/>
        <v>0</v>
      </c>
      <c r="AC540" s="79">
        <f t="shared" ca="1" si="295"/>
        <v>0</v>
      </c>
      <c r="AD540" s="35"/>
      <c r="AE540" s="35"/>
      <c r="AF540" s="35"/>
      <c r="AG540" s="35"/>
      <c r="AH540" s="35"/>
      <c r="AR540" s="69">
        <f t="shared" si="312"/>
        <v>45</v>
      </c>
      <c r="AS540" s="70">
        <f t="shared" si="315"/>
        <v>537</v>
      </c>
      <c r="AT540" s="71">
        <f t="shared" si="316"/>
        <v>2.533184199444399E-2</v>
      </c>
      <c r="AU540" s="72">
        <f t="shared" si="296"/>
        <v>6.8214933659622723E-3</v>
      </c>
      <c r="AV540" s="73">
        <f t="shared" si="313"/>
        <v>1.0068214933659623</v>
      </c>
      <c r="AW540" s="74">
        <f>PRODUCT(AV$4:AV540)</f>
        <v>38.501777840809702</v>
      </c>
    </row>
    <row r="541" spans="5:49">
      <c r="E541">
        <f t="shared" si="314"/>
        <v>538</v>
      </c>
      <c r="F541" s="64">
        <f t="shared" si="297"/>
        <v>104.96</v>
      </c>
      <c r="G541" s="55">
        <f t="shared" si="298"/>
        <v>0</v>
      </c>
      <c r="H541" s="78">
        <f t="shared" si="317"/>
        <v>2.4366954920664725E-5</v>
      </c>
      <c r="I541" s="79">
        <f t="shared" ca="1" si="299"/>
        <v>0</v>
      </c>
      <c r="J541" s="79">
        <f t="shared" ca="1" si="300"/>
        <v>0</v>
      </c>
      <c r="K541" s="80">
        <f t="shared" ca="1" si="301"/>
        <v>0</v>
      </c>
      <c r="L541" s="80">
        <f t="shared" ca="1" si="302"/>
        <v>0</v>
      </c>
      <c r="M541" s="80">
        <f t="shared" ca="1" si="303"/>
        <v>0</v>
      </c>
      <c r="N541" s="80">
        <f t="shared" ca="1" si="304"/>
        <v>0</v>
      </c>
      <c r="O541" s="81">
        <f t="shared" ca="1" si="289"/>
        <v>0</v>
      </c>
      <c r="P541" s="79">
        <f t="shared" ca="1" si="290"/>
        <v>0</v>
      </c>
      <c r="Q541" s="35"/>
      <c r="R541">
        <f t="shared" ca="1" si="305"/>
        <v>538</v>
      </c>
      <c r="S541" s="78">
        <f t="shared" ca="1" si="306"/>
        <v>104.96</v>
      </c>
      <c r="T541" s="55">
        <f t="shared" ca="1" si="307"/>
        <v>0</v>
      </c>
      <c r="U541" s="78">
        <f t="shared" ca="1" si="308"/>
        <v>2.4366954920664725E-5</v>
      </c>
      <c r="V541" s="79">
        <f t="shared" ca="1" si="309"/>
        <v>0</v>
      </c>
      <c r="W541" s="79">
        <f t="shared" ca="1" si="291"/>
        <v>0</v>
      </c>
      <c r="X541" s="80">
        <f t="shared" ca="1" si="292"/>
        <v>0</v>
      </c>
      <c r="Y541" s="80">
        <f t="shared" ca="1" si="310"/>
        <v>0</v>
      </c>
      <c r="Z541" s="80">
        <f t="shared" ca="1" si="293"/>
        <v>0</v>
      </c>
      <c r="AA541" s="80">
        <f t="shared" ca="1" si="311"/>
        <v>0</v>
      </c>
      <c r="AB541" s="81">
        <f t="shared" ca="1" si="294"/>
        <v>0</v>
      </c>
      <c r="AC541" s="79">
        <f t="shared" ca="1" si="295"/>
        <v>0</v>
      </c>
      <c r="AD541" s="35"/>
      <c r="AE541" s="35"/>
      <c r="AF541" s="35"/>
      <c r="AG541" s="35"/>
      <c r="AH541" s="35"/>
      <c r="AR541" s="69">
        <f t="shared" si="312"/>
        <v>45</v>
      </c>
      <c r="AS541" s="70">
        <f t="shared" si="315"/>
        <v>538</v>
      </c>
      <c r="AT541" s="71">
        <f t="shared" si="316"/>
        <v>2.5159041002331285E-2</v>
      </c>
      <c r="AU541" s="72">
        <f t="shared" si="296"/>
        <v>6.8214933659622723E-3</v>
      </c>
      <c r="AV541" s="73">
        <f t="shared" si="313"/>
        <v>1.0068214933659623</v>
      </c>
      <c r="AW541" s="74">
        <f>PRODUCT(AV$4:AV541)</f>
        <v>38.764417462928542</v>
      </c>
    </row>
    <row r="542" spans="5:49">
      <c r="E542">
        <f t="shared" si="314"/>
        <v>539</v>
      </c>
      <c r="F542" s="64">
        <f t="shared" si="297"/>
        <v>105.04</v>
      </c>
      <c r="G542" s="55">
        <f t="shared" si="298"/>
        <v>0</v>
      </c>
      <c r="H542" s="78">
        <f t="shared" si="317"/>
        <v>2.4366954920664725E-5</v>
      </c>
      <c r="I542" s="79">
        <f t="shared" ca="1" si="299"/>
        <v>0</v>
      </c>
      <c r="J542" s="79">
        <f t="shared" ca="1" si="300"/>
        <v>0</v>
      </c>
      <c r="K542" s="80">
        <f t="shared" ca="1" si="301"/>
        <v>0</v>
      </c>
      <c r="L542" s="80">
        <f t="shared" ca="1" si="302"/>
        <v>0</v>
      </c>
      <c r="M542" s="80">
        <f t="shared" ca="1" si="303"/>
        <v>0</v>
      </c>
      <c r="N542" s="80">
        <f t="shared" ca="1" si="304"/>
        <v>0</v>
      </c>
      <c r="O542" s="81">
        <f t="shared" ca="1" si="289"/>
        <v>0</v>
      </c>
      <c r="P542" s="79">
        <f t="shared" ca="1" si="290"/>
        <v>0</v>
      </c>
      <c r="Q542" s="35"/>
      <c r="R542">
        <f t="shared" ca="1" si="305"/>
        <v>539</v>
      </c>
      <c r="S542" s="78">
        <f t="shared" ca="1" si="306"/>
        <v>105.04</v>
      </c>
      <c r="T542" s="55">
        <f t="shared" ca="1" si="307"/>
        <v>0</v>
      </c>
      <c r="U542" s="78">
        <f t="shared" ca="1" si="308"/>
        <v>2.4366954920664725E-5</v>
      </c>
      <c r="V542" s="79">
        <f t="shared" ca="1" si="309"/>
        <v>0</v>
      </c>
      <c r="W542" s="79">
        <f t="shared" ca="1" si="291"/>
        <v>0</v>
      </c>
      <c r="X542" s="80">
        <f t="shared" ca="1" si="292"/>
        <v>0</v>
      </c>
      <c r="Y542" s="80">
        <f t="shared" ca="1" si="310"/>
        <v>0</v>
      </c>
      <c r="Z542" s="80">
        <f t="shared" ca="1" si="293"/>
        <v>0</v>
      </c>
      <c r="AA542" s="80">
        <f t="shared" ca="1" si="311"/>
        <v>0</v>
      </c>
      <c r="AB542" s="81">
        <f t="shared" ca="1" si="294"/>
        <v>0</v>
      </c>
      <c r="AC542" s="79">
        <f t="shared" ca="1" si="295"/>
        <v>0</v>
      </c>
      <c r="AD542" s="35"/>
      <c r="AE542" s="35"/>
      <c r="AF542" s="35"/>
      <c r="AG542" s="35"/>
      <c r="AH542" s="35"/>
      <c r="AR542" s="69">
        <f t="shared" si="312"/>
        <v>45</v>
      </c>
      <c r="AS542" s="70">
        <f t="shared" si="315"/>
        <v>539</v>
      </c>
      <c r="AT542" s="71">
        <f t="shared" si="316"/>
        <v>2.498741877103991E-2</v>
      </c>
      <c r="AU542" s="72">
        <f t="shared" si="296"/>
        <v>6.8214933659622723E-3</v>
      </c>
      <c r="AV542" s="73">
        <f t="shared" si="313"/>
        <v>1.0068214933659623</v>
      </c>
      <c r="AW542" s="74">
        <f>PRODUCT(AV$4:AV542)</f>
        <v>39.028848679487304</v>
      </c>
    </row>
    <row r="543" spans="5:49">
      <c r="E543">
        <f t="shared" si="314"/>
        <v>540</v>
      </c>
      <c r="F543" s="64">
        <f t="shared" si="297"/>
        <v>105.12</v>
      </c>
      <c r="G543" s="55">
        <f t="shared" si="298"/>
        <v>0</v>
      </c>
      <c r="H543" s="78">
        <f t="shared" si="317"/>
        <v>2.4366954920664725E-5</v>
      </c>
      <c r="I543" s="79">
        <f t="shared" ca="1" si="299"/>
        <v>0</v>
      </c>
      <c r="J543" s="79">
        <f t="shared" ca="1" si="300"/>
        <v>0</v>
      </c>
      <c r="K543" s="80">
        <f t="shared" ca="1" si="301"/>
        <v>0</v>
      </c>
      <c r="L543" s="80">
        <f t="shared" ca="1" si="302"/>
        <v>0</v>
      </c>
      <c r="M543" s="80">
        <f t="shared" ca="1" si="303"/>
        <v>0</v>
      </c>
      <c r="N543" s="80">
        <f t="shared" ca="1" si="304"/>
        <v>0</v>
      </c>
      <c r="O543" s="81">
        <f t="shared" ca="1" si="289"/>
        <v>0</v>
      </c>
      <c r="P543" s="79">
        <f t="shared" ca="1" si="290"/>
        <v>0</v>
      </c>
      <c r="Q543" s="35"/>
      <c r="R543">
        <f t="shared" ca="1" si="305"/>
        <v>540</v>
      </c>
      <c r="S543" s="78">
        <f t="shared" ca="1" si="306"/>
        <v>105.12</v>
      </c>
      <c r="T543" s="55">
        <f t="shared" ca="1" si="307"/>
        <v>0</v>
      </c>
      <c r="U543" s="78">
        <f t="shared" ca="1" si="308"/>
        <v>2.4366954920664725E-5</v>
      </c>
      <c r="V543" s="79">
        <f t="shared" ca="1" si="309"/>
        <v>0</v>
      </c>
      <c r="W543" s="79">
        <f t="shared" ca="1" si="291"/>
        <v>0</v>
      </c>
      <c r="X543" s="80">
        <f t="shared" ca="1" si="292"/>
        <v>0</v>
      </c>
      <c r="Y543" s="80">
        <f t="shared" ca="1" si="310"/>
        <v>0</v>
      </c>
      <c r="Z543" s="80">
        <f t="shared" ca="1" si="293"/>
        <v>0</v>
      </c>
      <c r="AA543" s="80">
        <f t="shared" ca="1" si="311"/>
        <v>0</v>
      </c>
      <c r="AB543" s="81">
        <f t="shared" ca="1" si="294"/>
        <v>0</v>
      </c>
      <c r="AC543" s="79">
        <f t="shared" ca="1" si="295"/>
        <v>0</v>
      </c>
      <c r="AD543" s="35"/>
      <c r="AE543" s="35"/>
      <c r="AF543" s="35"/>
      <c r="AG543" s="35"/>
      <c r="AH543" s="35"/>
      <c r="AR543" s="69">
        <f t="shared" si="312"/>
        <v>45</v>
      </c>
      <c r="AS543" s="70">
        <f t="shared" si="315"/>
        <v>540</v>
      </c>
      <c r="AT543" s="71">
        <f t="shared" si="316"/>
        <v>2.481696725966074E-2</v>
      </c>
      <c r="AU543" s="72">
        <f t="shared" si="296"/>
        <v>6.8214933659622723E-3</v>
      </c>
      <c r="AV543" s="73">
        <f t="shared" si="313"/>
        <v>1.0068214933659623</v>
      </c>
      <c r="AW543" s="74">
        <f>PRODUCT(AV$4:AV543)</f>
        <v>39.295083711835574</v>
      </c>
    </row>
    <row r="544" spans="5:49">
      <c r="E544">
        <f t="shared" si="314"/>
        <v>541</v>
      </c>
      <c r="F544" s="64">
        <f t="shared" si="297"/>
        <v>105.2</v>
      </c>
      <c r="G544" s="55">
        <f t="shared" si="298"/>
        <v>0</v>
      </c>
      <c r="H544" s="78">
        <f t="shared" si="317"/>
        <v>2.4366954920664725E-5</v>
      </c>
      <c r="I544" s="79">
        <f t="shared" ca="1" si="299"/>
        <v>0</v>
      </c>
      <c r="J544" s="79">
        <f t="shared" ca="1" si="300"/>
        <v>0</v>
      </c>
      <c r="K544" s="80">
        <f t="shared" ca="1" si="301"/>
        <v>0</v>
      </c>
      <c r="L544" s="80">
        <f t="shared" ca="1" si="302"/>
        <v>0</v>
      </c>
      <c r="M544" s="80">
        <f t="shared" ca="1" si="303"/>
        <v>0</v>
      </c>
      <c r="N544" s="80">
        <f t="shared" ca="1" si="304"/>
        <v>0</v>
      </c>
      <c r="O544" s="81">
        <f t="shared" ca="1" si="289"/>
        <v>0</v>
      </c>
      <c r="P544" s="79">
        <f t="shared" ca="1" si="290"/>
        <v>0</v>
      </c>
      <c r="Q544" s="35"/>
      <c r="R544">
        <f t="shared" ca="1" si="305"/>
        <v>541</v>
      </c>
      <c r="S544" s="78">
        <f t="shared" ca="1" si="306"/>
        <v>105.2</v>
      </c>
      <c r="T544" s="55">
        <f t="shared" ca="1" si="307"/>
        <v>0</v>
      </c>
      <c r="U544" s="78">
        <f t="shared" ca="1" si="308"/>
        <v>2.4366954920664725E-5</v>
      </c>
      <c r="V544" s="79">
        <f t="shared" ca="1" si="309"/>
        <v>0</v>
      </c>
      <c r="W544" s="79">
        <f t="shared" ca="1" si="291"/>
        <v>0</v>
      </c>
      <c r="X544" s="80">
        <f t="shared" ca="1" si="292"/>
        <v>0</v>
      </c>
      <c r="Y544" s="80">
        <f t="shared" ca="1" si="310"/>
        <v>0</v>
      </c>
      <c r="Z544" s="80">
        <f t="shared" ca="1" si="293"/>
        <v>0</v>
      </c>
      <c r="AA544" s="80">
        <f t="shared" ca="1" si="311"/>
        <v>0</v>
      </c>
      <c r="AB544" s="81">
        <f t="shared" ca="1" si="294"/>
        <v>0</v>
      </c>
      <c r="AC544" s="79">
        <f t="shared" ca="1" si="295"/>
        <v>0</v>
      </c>
      <c r="AD544" s="35"/>
      <c r="AE544" s="35"/>
      <c r="AF544" s="35"/>
      <c r="AG544" s="35"/>
      <c r="AH544" s="35"/>
      <c r="AR544" s="69">
        <f t="shared" si="312"/>
        <v>46</v>
      </c>
      <c r="AS544" s="70">
        <f t="shared" si="315"/>
        <v>541</v>
      </c>
      <c r="AT544" s="71">
        <f t="shared" si="316"/>
        <v>2.4647678482135661E-2</v>
      </c>
      <c r="AU544" s="72">
        <f t="shared" si="296"/>
        <v>6.8214933659622723E-3</v>
      </c>
      <c r="AV544" s="73">
        <f t="shared" si="313"/>
        <v>1.0068214933659623</v>
      </c>
      <c r="AW544" s="74">
        <f>PRODUCT(AV$4:AV544)</f>
        <v>39.563134864690795</v>
      </c>
    </row>
    <row r="545" spans="5:49">
      <c r="E545">
        <f t="shared" si="314"/>
        <v>542</v>
      </c>
      <c r="F545" s="64">
        <f t="shared" si="297"/>
        <v>105.28</v>
      </c>
      <c r="G545" s="55">
        <f t="shared" si="298"/>
        <v>0</v>
      </c>
      <c r="H545" s="78">
        <f t="shared" si="317"/>
        <v>2.4366954920664725E-5</v>
      </c>
      <c r="I545" s="79">
        <f t="shared" ca="1" si="299"/>
        <v>0</v>
      </c>
      <c r="J545" s="79">
        <f t="shared" ca="1" si="300"/>
        <v>0</v>
      </c>
      <c r="K545" s="80">
        <f t="shared" ca="1" si="301"/>
        <v>0</v>
      </c>
      <c r="L545" s="80">
        <f t="shared" ca="1" si="302"/>
        <v>0</v>
      </c>
      <c r="M545" s="80">
        <f t="shared" ca="1" si="303"/>
        <v>0</v>
      </c>
      <c r="N545" s="80">
        <f t="shared" ca="1" si="304"/>
        <v>0</v>
      </c>
      <c r="O545" s="81">
        <f t="shared" ca="1" si="289"/>
        <v>0</v>
      </c>
      <c r="P545" s="79">
        <f t="shared" ca="1" si="290"/>
        <v>0</v>
      </c>
      <c r="Q545" s="35"/>
      <c r="R545">
        <f t="shared" ca="1" si="305"/>
        <v>542</v>
      </c>
      <c r="S545" s="78">
        <f t="shared" ca="1" si="306"/>
        <v>105.28</v>
      </c>
      <c r="T545" s="55">
        <f t="shared" ca="1" si="307"/>
        <v>0</v>
      </c>
      <c r="U545" s="78">
        <f t="shared" ca="1" si="308"/>
        <v>2.4366954920664725E-5</v>
      </c>
      <c r="V545" s="79">
        <f t="shared" ca="1" si="309"/>
        <v>0</v>
      </c>
      <c r="W545" s="79">
        <f t="shared" ca="1" si="291"/>
        <v>0</v>
      </c>
      <c r="X545" s="80">
        <f t="shared" ca="1" si="292"/>
        <v>0</v>
      </c>
      <c r="Y545" s="80">
        <f t="shared" ca="1" si="310"/>
        <v>0</v>
      </c>
      <c r="Z545" s="80">
        <f t="shared" ca="1" si="293"/>
        <v>0</v>
      </c>
      <c r="AA545" s="80">
        <f t="shared" ca="1" si="311"/>
        <v>0</v>
      </c>
      <c r="AB545" s="81">
        <f t="shared" ca="1" si="294"/>
        <v>0</v>
      </c>
      <c r="AC545" s="79">
        <f t="shared" ca="1" si="295"/>
        <v>0</v>
      </c>
      <c r="AD545" s="35"/>
      <c r="AE545" s="35"/>
      <c r="AF545" s="35"/>
      <c r="AG545" s="35"/>
      <c r="AH545" s="35"/>
      <c r="AR545" s="69">
        <f t="shared" si="312"/>
        <v>46</v>
      </c>
      <c r="AS545" s="70">
        <f t="shared" si="315"/>
        <v>542</v>
      </c>
      <c r="AT545" s="71">
        <f t="shared" si="316"/>
        <v>2.4479544506883402E-2</v>
      </c>
      <c r="AU545" s="72">
        <f t="shared" si="296"/>
        <v>6.8214933659622723E-3</v>
      </c>
      <c r="AV545" s="73">
        <f t="shared" si="313"/>
        <v>1.0068214933659623</v>
      </c>
      <c r="AW545" s="74">
        <f>PRODUCT(AV$4:AV545)</f>
        <v>39.833014526706954</v>
      </c>
    </row>
    <row r="546" spans="5:49">
      <c r="E546">
        <f t="shared" si="314"/>
        <v>543</v>
      </c>
      <c r="F546" s="64">
        <f t="shared" si="297"/>
        <v>105.36</v>
      </c>
      <c r="G546" s="55">
        <f t="shared" si="298"/>
        <v>0</v>
      </c>
      <c r="H546" s="78">
        <f t="shared" si="317"/>
        <v>2.4366954920664725E-5</v>
      </c>
      <c r="I546" s="79">
        <f t="shared" ca="1" si="299"/>
        <v>0</v>
      </c>
      <c r="J546" s="79">
        <f t="shared" ca="1" si="300"/>
        <v>0</v>
      </c>
      <c r="K546" s="80">
        <f t="shared" ca="1" si="301"/>
        <v>0</v>
      </c>
      <c r="L546" s="80">
        <f t="shared" ca="1" si="302"/>
        <v>0</v>
      </c>
      <c r="M546" s="80">
        <f t="shared" ca="1" si="303"/>
        <v>0</v>
      </c>
      <c r="N546" s="80">
        <f t="shared" ca="1" si="304"/>
        <v>0</v>
      </c>
      <c r="O546" s="81">
        <f t="shared" ca="1" si="289"/>
        <v>0</v>
      </c>
      <c r="P546" s="79">
        <f t="shared" ca="1" si="290"/>
        <v>0</v>
      </c>
      <c r="R546">
        <f t="shared" ca="1" si="305"/>
        <v>543</v>
      </c>
      <c r="S546" s="78">
        <f t="shared" ca="1" si="306"/>
        <v>105.36</v>
      </c>
      <c r="T546" s="55">
        <f t="shared" ca="1" si="307"/>
        <v>0</v>
      </c>
      <c r="U546" s="78">
        <f t="shared" ca="1" si="308"/>
        <v>2.4366954920664725E-5</v>
      </c>
      <c r="V546" s="79">
        <f t="shared" ca="1" si="309"/>
        <v>0</v>
      </c>
      <c r="W546" s="79">
        <f t="shared" ca="1" si="291"/>
        <v>0</v>
      </c>
      <c r="X546" s="80">
        <f t="shared" ca="1" si="292"/>
        <v>0</v>
      </c>
      <c r="Y546" s="80">
        <f t="shared" ca="1" si="310"/>
        <v>0</v>
      </c>
      <c r="Z546" s="80">
        <f t="shared" ca="1" si="293"/>
        <v>0</v>
      </c>
      <c r="AA546" s="80">
        <f t="shared" ca="1" si="311"/>
        <v>0</v>
      </c>
      <c r="AB546" s="81">
        <f t="shared" ca="1" si="294"/>
        <v>0</v>
      </c>
      <c r="AC546" s="79">
        <f t="shared" ca="1" si="295"/>
        <v>0</v>
      </c>
      <c r="AE546" s="35"/>
      <c r="AF546" s="35"/>
      <c r="AR546" s="69">
        <f t="shared" si="312"/>
        <v>46</v>
      </c>
      <c r="AS546" s="70">
        <f t="shared" si="315"/>
        <v>543</v>
      </c>
      <c r="AT546" s="71">
        <f t="shared" si="316"/>
        <v>2.4312557456427918E-2</v>
      </c>
      <c r="AU546" s="72">
        <f t="shared" si="296"/>
        <v>6.8214933659622723E-3</v>
      </c>
      <c r="AV546" s="73">
        <f t="shared" si="313"/>
        <v>1.0068214933659623</v>
      </c>
      <c r="AW546" s="74">
        <f>PRODUCT(AV$4:AV546)</f>
        <v>40.104735171047167</v>
      </c>
    </row>
    <row r="547" spans="5:49">
      <c r="E547">
        <f t="shared" si="314"/>
        <v>544</v>
      </c>
      <c r="F547" s="64">
        <f t="shared" si="297"/>
        <v>105.44</v>
      </c>
      <c r="G547" s="55">
        <f t="shared" si="298"/>
        <v>0</v>
      </c>
      <c r="H547" s="78">
        <f t="shared" si="317"/>
        <v>2.4366954920664725E-5</v>
      </c>
      <c r="I547" s="79">
        <f t="shared" ca="1" si="299"/>
        <v>0</v>
      </c>
      <c r="J547" s="79">
        <f t="shared" ca="1" si="300"/>
        <v>0</v>
      </c>
      <c r="K547" s="80">
        <f t="shared" ca="1" si="301"/>
        <v>0</v>
      </c>
      <c r="L547" s="80">
        <f t="shared" ca="1" si="302"/>
        <v>0</v>
      </c>
      <c r="M547" s="80">
        <f t="shared" ca="1" si="303"/>
        <v>0</v>
      </c>
      <c r="N547" s="80">
        <f t="shared" ca="1" si="304"/>
        <v>0</v>
      </c>
      <c r="O547" s="81">
        <f t="shared" ca="1" si="289"/>
        <v>0</v>
      </c>
      <c r="P547" s="79">
        <f t="shared" ca="1" si="290"/>
        <v>0</v>
      </c>
      <c r="R547">
        <f t="shared" ca="1" si="305"/>
        <v>544</v>
      </c>
      <c r="S547" s="78">
        <f t="shared" ca="1" si="306"/>
        <v>105.44</v>
      </c>
      <c r="T547" s="55">
        <f t="shared" ca="1" si="307"/>
        <v>0</v>
      </c>
      <c r="U547" s="78">
        <f t="shared" ca="1" si="308"/>
        <v>2.4366954920664725E-5</v>
      </c>
      <c r="V547" s="79">
        <f t="shared" ca="1" si="309"/>
        <v>0</v>
      </c>
      <c r="W547" s="79">
        <f t="shared" ca="1" si="291"/>
        <v>0</v>
      </c>
      <c r="X547" s="80">
        <f t="shared" ca="1" si="292"/>
        <v>0</v>
      </c>
      <c r="Y547" s="80">
        <f t="shared" ca="1" si="310"/>
        <v>0</v>
      </c>
      <c r="Z547" s="80">
        <f t="shared" ca="1" si="293"/>
        <v>0</v>
      </c>
      <c r="AA547" s="80">
        <f t="shared" ca="1" si="311"/>
        <v>0</v>
      </c>
      <c r="AB547" s="81">
        <f t="shared" ca="1" si="294"/>
        <v>0</v>
      </c>
      <c r="AC547" s="79">
        <f t="shared" ca="1" si="295"/>
        <v>0</v>
      </c>
      <c r="AE547" s="35"/>
      <c r="AF547" s="35"/>
      <c r="AR547" s="69">
        <f t="shared" si="312"/>
        <v>46</v>
      </c>
      <c r="AS547" s="70">
        <f t="shared" si="315"/>
        <v>544</v>
      </c>
      <c r="AT547" s="71">
        <f t="shared" si="316"/>
        <v>2.414670950702932E-2</v>
      </c>
      <c r="AU547" s="72">
        <f t="shared" si="296"/>
        <v>6.8214933659622723E-3</v>
      </c>
      <c r="AV547" s="73">
        <f t="shared" si="313"/>
        <v>1.0068214933659623</v>
      </c>
      <c r="AW547" s="74">
        <f>PRODUCT(AV$4:AV547)</f>
        <v>40.378309355960141</v>
      </c>
    </row>
    <row r="548" spans="5:49">
      <c r="E548">
        <f t="shared" si="314"/>
        <v>545</v>
      </c>
      <c r="F548" s="64">
        <f t="shared" si="297"/>
        <v>105.52</v>
      </c>
      <c r="G548" s="55">
        <f t="shared" si="298"/>
        <v>0</v>
      </c>
      <c r="H548" s="78">
        <f t="shared" si="317"/>
        <v>2.4366954920664725E-5</v>
      </c>
      <c r="I548" s="79">
        <f t="shared" ca="1" si="299"/>
        <v>0</v>
      </c>
      <c r="J548" s="79">
        <f t="shared" ca="1" si="300"/>
        <v>0</v>
      </c>
      <c r="K548" s="80">
        <f t="shared" ca="1" si="301"/>
        <v>0</v>
      </c>
      <c r="L548" s="80">
        <f t="shared" ca="1" si="302"/>
        <v>0</v>
      </c>
      <c r="M548" s="80">
        <f t="shared" ca="1" si="303"/>
        <v>0</v>
      </c>
      <c r="N548" s="80">
        <f t="shared" ca="1" si="304"/>
        <v>0</v>
      </c>
      <c r="O548" s="81">
        <f t="shared" ca="1" si="289"/>
        <v>0</v>
      </c>
      <c r="P548" s="79">
        <f t="shared" ca="1" si="290"/>
        <v>0</v>
      </c>
      <c r="R548">
        <f t="shared" ca="1" si="305"/>
        <v>545</v>
      </c>
      <c r="S548" s="78">
        <f t="shared" ca="1" si="306"/>
        <v>105.52</v>
      </c>
      <c r="T548" s="55">
        <f t="shared" ca="1" si="307"/>
        <v>0</v>
      </c>
      <c r="U548" s="78">
        <f t="shared" ca="1" si="308"/>
        <v>2.4366954920664725E-5</v>
      </c>
      <c r="V548" s="79">
        <f t="shared" ca="1" si="309"/>
        <v>0</v>
      </c>
      <c r="W548" s="79">
        <f t="shared" ca="1" si="291"/>
        <v>0</v>
      </c>
      <c r="X548" s="80">
        <f t="shared" ca="1" si="292"/>
        <v>0</v>
      </c>
      <c r="Y548" s="80">
        <f t="shared" ca="1" si="310"/>
        <v>0</v>
      </c>
      <c r="Z548" s="80">
        <f t="shared" ca="1" si="293"/>
        <v>0</v>
      </c>
      <c r="AA548" s="80">
        <f t="shared" ca="1" si="311"/>
        <v>0</v>
      </c>
      <c r="AB548" s="81">
        <f t="shared" ca="1" si="294"/>
        <v>0</v>
      </c>
      <c r="AC548" s="79">
        <f t="shared" ca="1" si="295"/>
        <v>0</v>
      </c>
      <c r="AE548" s="35"/>
      <c r="AF548" s="35"/>
      <c r="AR548" s="69">
        <f t="shared" si="312"/>
        <v>46</v>
      </c>
      <c r="AS548" s="70">
        <f t="shared" si="315"/>
        <v>545</v>
      </c>
      <c r="AT548" s="71">
        <f t="shared" si="316"/>
        <v>2.3981992888317302E-2</v>
      </c>
      <c r="AU548" s="72">
        <f t="shared" si="296"/>
        <v>6.8214933659622723E-3</v>
      </c>
      <c r="AV548" s="73">
        <f t="shared" si="313"/>
        <v>1.0068214933659623</v>
      </c>
      <c r="AW548" s="74">
        <f>PRODUCT(AV$4:AV548)</f>
        <v>40.653749725360598</v>
      </c>
    </row>
    <row r="549" spans="5:49">
      <c r="E549">
        <f t="shared" si="314"/>
        <v>546</v>
      </c>
      <c r="F549" s="64">
        <f t="shared" si="297"/>
        <v>105.6</v>
      </c>
      <c r="G549" s="55">
        <f t="shared" si="298"/>
        <v>0</v>
      </c>
      <c r="H549" s="78">
        <f t="shared" si="317"/>
        <v>2.4366954920664725E-5</v>
      </c>
      <c r="I549" s="79">
        <f t="shared" ca="1" si="299"/>
        <v>0</v>
      </c>
      <c r="J549" s="79">
        <f t="shared" ca="1" si="300"/>
        <v>0</v>
      </c>
      <c r="K549" s="80">
        <f t="shared" ca="1" si="301"/>
        <v>0</v>
      </c>
      <c r="L549" s="80">
        <f t="shared" ca="1" si="302"/>
        <v>0</v>
      </c>
      <c r="M549" s="80">
        <f t="shared" ca="1" si="303"/>
        <v>0</v>
      </c>
      <c r="N549" s="80">
        <f t="shared" ca="1" si="304"/>
        <v>0</v>
      </c>
      <c r="O549" s="81">
        <f t="shared" ca="1" si="289"/>
        <v>0</v>
      </c>
      <c r="P549" s="79">
        <f t="shared" ca="1" si="290"/>
        <v>0</v>
      </c>
      <c r="R549">
        <f t="shared" ca="1" si="305"/>
        <v>546</v>
      </c>
      <c r="S549" s="78">
        <f t="shared" ca="1" si="306"/>
        <v>105.6</v>
      </c>
      <c r="T549" s="55">
        <f t="shared" ca="1" si="307"/>
        <v>0</v>
      </c>
      <c r="U549" s="78">
        <f t="shared" ca="1" si="308"/>
        <v>2.4366954920664725E-5</v>
      </c>
      <c r="V549" s="79">
        <f t="shared" ca="1" si="309"/>
        <v>0</v>
      </c>
      <c r="W549" s="79">
        <f t="shared" ca="1" si="291"/>
        <v>0</v>
      </c>
      <c r="X549" s="80">
        <f t="shared" ca="1" si="292"/>
        <v>0</v>
      </c>
      <c r="Y549" s="80">
        <f t="shared" ca="1" si="310"/>
        <v>0</v>
      </c>
      <c r="Z549" s="80">
        <f t="shared" ca="1" si="293"/>
        <v>0</v>
      </c>
      <c r="AA549" s="80">
        <f t="shared" ca="1" si="311"/>
        <v>0</v>
      </c>
      <c r="AB549" s="81">
        <f t="shared" ca="1" si="294"/>
        <v>0</v>
      </c>
      <c r="AC549" s="79">
        <f t="shared" ca="1" si="295"/>
        <v>0</v>
      </c>
      <c r="AE549" s="35"/>
      <c r="AF549" s="35"/>
      <c r="AR549" s="69">
        <f t="shared" si="312"/>
        <v>46</v>
      </c>
      <c r="AS549" s="70">
        <f t="shared" si="315"/>
        <v>546</v>
      </c>
      <c r="AT549" s="71">
        <f t="shared" si="316"/>
        <v>2.3818399882927093E-2</v>
      </c>
      <c r="AU549" s="72">
        <f t="shared" si="296"/>
        <v>6.8214933659622723E-3</v>
      </c>
      <c r="AV549" s="73">
        <f t="shared" si="313"/>
        <v>1.0068214933659623</v>
      </c>
      <c r="AW549" s="74">
        <f>PRODUCT(AV$4:AV549)</f>
        <v>40.931069009413633</v>
      </c>
    </row>
    <row r="550" spans="5:49">
      <c r="E550">
        <f t="shared" si="314"/>
        <v>547</v>
      </c>
      <c r="F550" s="64">
        <f t="shared" si="297"/>
        <v>105.68</v>
      </c>
      <c r="G550" s="55">
        <f t="shared" si="298"/>
        <v>0</v>
      </c>
      <c r="H550" s="78">
        <f t="shared" si="317"/>
        <v>2.4366954920664725E-5</v>
      </c>
      <c r="I550" s="79">
        <f t="shared" ca="1" si="299"/>
        <v>0</v>
      </c>
      <c r="J550" s="79">
        <f t="shared" ca="1" si="300"/>
        <v>0</v>
      </c>
      <c r="K550" s="80">
        <f t="shared" ca="1" si="301"/>
        <v>0</v>
      </c>
      <c r="L550" s="80">
        <f t="shared" ca="1" si="302"/>
        <v>0</v>
      </c>
      <c r="M550" s="80">
        <f t="shared" ca="1" si="303"/>
        <v>0</v>
      </c>
      <c r="N550" s="80">
        <f t="shared" ca="1" si="304"/>
        <v>0</v>
      </c>
      <c r="O550" s="81">
        <f t="shared" ca="1" si="289"/>
        <v>0</v>
      </c>
      <c r="P550" s="79">
        <f t="shared" ca="1" si="290"/>
        <v>0</v>
      </c>
      <c r="R550">
        <f t="shared" ca="1" si="305"/>
        <v>547</v>
      </c>
      <c r="S550" s="78">
        <f t="shared" ca="1" si="306"/>
        <v>105.68</v>
      </c>
      <c r="T550" s="55">
        <f t="shared" ca="1" si="307"/>
        <v>0</v>
      </c>
      <c r="U550" s="78">
        <f t="shared" ca="1" si="308"/>
        <v>2.4366954920664725E-5</v>
      </c>
      <c r="V550" s="79">
        <f t="shared" ca="1" si="309"/>
        <v>0</v>
      </c>
      <c r="W550" s="79">
        <f t="shared" ca="1" si="291"/>
        <v>0</v>
      </c>
      <c r="X550" s="80">
        <f t="shared" ca="1" si="292"/>
        <v>0</v>
      </c>
      <c r="Y550" s="80">
        <f t="shared" ca="1" si="310"/>
        <v>0</v>
      </c>
      <c r="Z550" s="80">
        <f t="shared" ca="1" si="293"/>
        <v>0</v>
      </c>
      <c r="AA550" s="80">
        <f t="shared" ca="1" si="311"/>
        <v>0</v>
      </c>
      <c r="AB550" s="81">
        <f t="shared" ca="1" si="294"/>
        <v>0</v>
      </c>
      <c r="AC550" s="79">
        <f t="shared" ca="1" si="295"/>
        <v>0</v>
      </c>
      <c r="AE550" s="35"/>
      <c r="AF550" s="35"/>
      <c r="AR550" s="69">
        <f t="shared" si="312"/>
        <v>46</v>
      </c>
      <c r="AS550" s="70">
        <f t="shared" si="315"/>
        <v>547</v>
      </c>
      <c r="AT550" s="71">
        <f t="shared" si="316"/>
        <v>2.3655922826137869E-2</v>
      </c>
      <c r="AU550" s="72">
        <f t="shared" si="296"/>
        <v>6.8214933659622723E-3</v>
      </c>
      <c r="AV550" s="73">
        <f t="shared" si="313"/>
        <v>1.0068214933659623</v>
      </c>
      <c r="AW550" s="74">
        <f>PRODUCT(AV$4:AV550)</f>
        <v>41.21028002512309</v>
      </c>
    </row>
    <row r="551" spans="5:49">
      <c r="E551">
        <f t="shared" si="314"/>
        <v>548</v>
      </c>
      <c r="F551" s="64">
        <f t="shared" si="297"/>
        <v>105.76</v>
      </c>
      <c r="G551" s="55">
        <f t="shared" si="298"/>
        <v>0</v>
      </c>
      <c r="H551" s="78">
        <f t="shared" si="317"/>
        <v>2.4366954920664725E-5</v>
      </c>
      <c r="I551" s="79">
        <f t="shared" ca="1" si="299"/>
        <v>0</v>
      </c>
      <c r="J551" s="79">
        <f t="shared" ca="1" si="300"/>
        <v>0</v>
      </c>
      <c r="K551" s="80">
        <f t="shared" ca="1" si="301"/>
        <v>0</v>
      </c>
      <c r="L551" s="80">
        <f t="shared" ca="1" si="302"/>
        <v>0</v>
      </c>
      <c r="M551" s="80">
        <f t="shared" ca="1" si="303"/>
        <v>0</v>
      </c>
      <c r="N551" s="80">
        <f t="shared" ca="1" si="304"/>
        <v>0</v>
      </c>
      <c r="O551" s="81">
        <f t="shared" ca="1" si="289"/>
        <v>0</v>
      </c>
      <c r="P551" s="79">
        <f t="shared" ca="1" si="290"/>
        <v>0</v>
      </c>
      <c r="R551">
        <f t="shared" ca="1" si="305"/>
        <v>548</v>
      </c>
      <c r="S551" s="78">
        <f t="shared" ca="1" si="306"/>
        <v>105.76</v>
      </c>
      <c r="T551" s="55">
        <f t="shared" ca="1" si="307"/>
        <v>0</v>
      </c>
      <c r="U551" s="78">
        <f t="shared" ca="1" si="308"/>
        <v>2.4366954920664725E-5</v>
      </c>
      <c r="V551" s="79">
        <f t="shared" ca="1" si="309"/>
        <v>0</v>
      </c>
      <c r="W551" s="79">
        <f t="shared" ca="1" si="291"/>
        <v>0</v>
      </c>
      <c r="X551" s="80">
        <f t="shared" ca="1" si="292"/>
        <v>0</v>
      </c>
      <c r="Y551" s="80">
        <f t="shared" ca="1" si="310"/>
        <v>0</v>
      </c>
      <c r="Z551" s="80">
        <f t="shared" ca="1" si="293"/>
        <v>0</v>
      </c>
      <c r="AA551" s="80">
        <f t="shared" ca="1" si="311"/>
        <v>0</v>
      </c>
      <c r="AB551" s="81">
        <f t="shared" ca="1" si="294"/>
        <v>0</v>
      </c>
      <c r="AC551" s="79">
        <f t="shared" ca="1" si="295"/>
        <v>0</v>
      </c>
      <c r="AE551" s="35"/>
      <c r="AF551" s="35"/>
      <c r="AR551" s="69">
        <f t="shared" si="312"/>
        <v>46</v>
      </c>
      <c r="AS551" s="70">
        <f t="shared" si="315"/>
        <v>548</v>
      </c>
      <c r="AT551" s="71">
        <f t="shared" si="316"/>
        <v>2.3494554105513654E-2</v>
      </c>
      <c r="AU551" s="72">
        <f t="shared" si="296"/>
        <v>6.8214933659622723E-3</v>
      </c>
      <c r="AV551" s="73">
        <f t="shared" si="313"/>
        <v>1.0068214933659623</v>
      </c>
      <c r="AW551" s="74">
        <f>PRODUCT(AV$4:AV551)</f>
        <v>41.491395676923915</v>
      </c>
    </row>
    <row r="552" spans="5:49">
      <c r="E552">
        <f t="shared" si="314"/>
        <v>549</v>
      </c>
      <c r="F552" s="64">
        <f t="shared" si="297"/>
        <v>105.84</v>
      </c>
      <c r="G552" s="55">
        <f t="shared" si="298"/>
        <v>0</v>
      </c>
      <c r="H552" s="78">
        <f t="shared" si="317"/>
        <v>2.4366954920664725E-5</v>
      </c>
      <c r="I552" s="79">
        <f t="shared" ca="1" si="299"/>
        <v>0</v>
      </c>
      <c r="J552" s="79">
        <f t="shared" ca="1" si="300"/>
        <v>0</v>
      </c>
      <c r="K552" s="80">
        <f t="shared" ca="1" si="301"/>
        <v>0</v>
      </c>
      <c r="L552" s="80">
        <f t="shared" ca="1" si="302"/>
        <v>0</v>
      </c>
      <c r="M552" s="80">
        <f t="shared" ca="1" si="303"/>
        <v>0</v>
      </c>
      <c r="N552" s="80">
        <f t="shared" ca="1" si="304"/>
        <v>0</v>
      </c>
      <c r="O552" s="81">
        <f t="shared" ca="1" si="289"/>
        <v>0</v>
      </c>
      <c r="P552" s="79">
        <f t="shared" ca="1" si="290"/>
        <v>0</v>
      </c>
      <c r="R552">
        <f t="shared" ca="1" si="305"/>
        <v>549</v>
      </c>
      <c r="S552" s="78">
        <f t="shared" ca="1" si="306"/>
        <v>105.84</v>
      </c>
      <c r="T552" s="55">
        <f t="shared" ca="1" si="307"/>
        <v>0</v>
      </c>
      <c r="U552" s="78">
        <f t="shared" ca="1" si="308"/>
        <v>2.4366954920664725E-5</v>
      </c>
      <c r="V552" s="79">
        <f t="shared" ca="1" si="309"/>
        <v>0</v>
      </c>
      <c r="W552" s="79">
        <f t="shared" ca="1" si="291"/>
        <v>0</v>
      </c>
      <c r="X552" s="80">
        <f t="shared" ca="1" si="292"/>
        <v>0</v>
      </c>
      <c r="Y552" s="80">
        <f t="shared" ca="1" si="310"/>
        <v>0</v>
      </c>
      <c r="Z552" s="80">
        <f t="shared" ca="1" si="293"/>
        <v>0</v>
      </c>
      <c r="AA552" s="80">
        <f t="shared" ca="1" si="311"/>
        <v>0</v>
      </c>
      <c r="AB552" s="81">
        <f t="shared" ca="1" si="294"/>
        <v>0</v>
      </c>
      <c r="AC552" s="79">
        <f t="shared" ca="1" si="295"/>
        <v>0</v>
      </c>
      <c r="AE552" s="35"/>
      <c r="AF552" s="35"/>
      <c r="AR552" s="69">
        <f t="shared" si="312"/>
        <v>46</v>
      </c>
      <c r="AS552" s="70">
        <f t="shared" si="315"/>
        <v>549</v>
      </c>
      <c r="AT552" s="71">
        <f t="shared" si="316"/>
        <v>2.3334286160546652E-2</v>
      </c>
      <c r="AU552" s="72">
        <f t="shared" si="296"/>
        <v>6.8214933659622723E-3</v>
      </c>
      <c r="AV552" s="73">
        <f t="shared" si="313"/>
        <v>1.0068214933659623</v>
      </c>
      <c r="AW552" s="74">
        <f>PRODUCT(AV$4:AV552)</f>
        <v>41.774428957278566</v>
      </c>
    </row>
    <row r="553" spans="5:49">
      <c r="E553">
        <f t="shared" si="314"/>
        <v>550</v>
      </c>
      <c r="F553" s="64">
        <f t="shared" si="297"/>
        <v>105.92</v>
      </c>
      <c r="G553" s="55">
        <f t="shared" si="298"/>
        <v>0</v>
      </c>
      <c r="H553" s="78">
        <f t="shared" si="317"/>
        <v>2.4366954920664725E-5</v>
      </c>
      <c r="I553" s="79">
        <f t="shared" ca="1" si="299"/>
        <v>0</v>
      </c>
      <c r="J553" s="79">
        <f t="shared" ca="1" si="300"/>
        <v>0</v>
      </c>
      <c r="K553" s="80">
        <f t="shared" ca="1" si="301"/>
        <v>0</v>
      </c>
      <c r="L553" s="80">
        <f t="shared" ca="1" si="302"/>
        <v>0</v>
      </c>
      <c r="M553" s="80">
        <f t="shared" ca="1" si="303"/>
        <v>0</v>
      </c>
      <c r="N553" s="80">
        <f t="shared" ca="1" si="304"/>
        <v>0</v>
      </c>
      <c r="O553" s="81">
        <f t="shared" ca="1" si="289"/>
        <v>0</v>
      </c>
      <c r="P553" s="79">
        <f t="shared" ca="1" si="290"/>
        <v>0</v>
      </c>
      <c r="R553">
        <f t="shared" ca="1" si="305"/>
        <v>550</v>
      </c>
      <c r="S553" s="78">
        <f t="shared" ca="1" si="306"/>
        <v>105.92</v>
      </c>
      <c r="T553" s="55">
        <f t="shared" ca="1" si="307"/>
        <v>0</v>
      </c>
      <c r="U553" s="78">
        <f t="shared" ca="1" si="308"/>
        <v>2.4366954920664725E-5</v>
      </c>
      <c r="V553" s="79">
        <f t="shared" ca="1" si="309"/>
        <v>0</v>
      </c>
      <c r="W553" s="79">
        <f t="shared" ca="1" si="291"/>
        <v>0</v>
      </c>
      <c r="X553" s="80">
        <f t="shared" ca="1" si="292"/>
        <v>0</v>
      </c>
      <c r="Y553" s="80">
        <f t="shared" ca="1" si="310"/>
        <v>0</v>
      </c>
      <c r="Z553" s="80">
        <f t="shared" ca="1" si="293"/>
        <v>0</v>
      </c>
      <c r="AA553" s="80">
        <f t="shared" ca="1" si="311"/>
        <v>0</v>
      </c>
      <c r="AB553" s="81">
        <f t="shared" ca="1" si="294"/>
        <v>0</v>
      </c>
      <c r="AC553" s="79">
        <f t="shared" ca="1" si="295"/>
        <v>0</v>
      </c>
      <c r="AE553" s="35"/>
      <c r="AF553" s="35"/>
      <c r="AR553" s="69">
        <f t="shared" si="312"/>
        <v>46</v>
      </c>
      <c r="AS553" s="70">
        <f t="shared" si="315"/>
        <v>550</v>
      </c>
      <c r="AT553" s="71">
        <f t="shared" si="316"/>
        <v>2.3175111482303019E-2</v>
      </c>
      <c r="AU553" s="72">
        <f t="shared" si="296"/>
        <v>6.8214933659622723E-3</v>
      </c>
      <c r="AV553" s="73">
        <f t="shared" si="313"/>
        <v>1.0068214933659623</v>
      </c>
      <c r="AW553" s="74">
        <f>PRODUCT(AV$4:AV553)</f>
        <v>42.059392947277502</v>
      </c>
    </row>
    <row r="554" spans="5:49">
      <c r="E554">
        <f t="shared" si="314"/>
        <v>551</v>
      </c>
      <c r="F554" s="64">
        <f t="shared" si="297"/>
        <v>106</v>
      </c>
      <c r="G554" s="55">
        <f t="shared" si="298"/>
        <v>0</v>
      </c>
      <c r="H554" s="78">
        <f t="shared" si="317"/>
        <v>2.4366954920664725E-5</v>
      </c>
      <c r="I554" s="79">
        <f t="shared" ca="1" si="299"/>
        <v>0</v>
      </c>
      <c r="J554" s="79">
        <f t="shared" ca="1" si="300"/>
        <v>0</v>
      </c>
      <c r="K554" s="80">
        <f t="shared" ca="1" si="301"/>
        <v>0</v>
      </c>
      <c r="L554" s="80">
        <f t="shared" ca="1" si="302"/>
        <v>0</v>
      </c>
      <c r="M554" s="80">
        <f t="shared" ca="1" si="303"/>
        <v>0</v>
      </c>
      <c r="N554" s="80">
        <f t="shared" ca="1" si="304"/>
        <v>0</v>
      </c>
      <c r="O554" s="81">
        <f t="shared" ca="1" si="289"/>
        <v>0</v>
      </c>
      <c r="P554" s="79">
        <f t="shared" ca="1" si="290"/>
        <v>0</v>
      </c>
      <c r="R554">
        <f t="shared" ca="1" si="305"/>
        <v>551</v>
      </c>
      <c r="S554" s="78">
        <f t="shared" ca="1" si="306"/>
        <v>106</v>
      </c>
      <c r="T554" s="55">
        <f t="shared" ca="1" si="307"/>
        <v>0</v>
      </c>
      <c r="U554" s="78">
        <f t="shared" ca="1" si="308"/>
        <v>2.4366954920664725E-5</v>
      </c>
      <c r="V554" s="79">
        <f t="shared" ca="1" si="309"/>
        <v>0</v>
      </c>
      <c r="W554" s="79">
        <f t="shared" ca="1" si="291"/>
        <v>0</v>
      </c>
      <c r="X554" s="80">
        <f t="shared" ca="1" si="292"/>
        <v>0</v>
      </c>
      <c r="Y554" s="80">
        <f t="shared" ca="1" si="310"/>
        <v>0</v>
      </c>
      <c r="Z554" s="80">
        <f t="shared" ca="1" si="293"/>
        <v>0</v>
      </c>
      <c r="AA554" s="80">
        <f t="shared" ca="1" si="311"/>
        <v>0</v>
      </c>
      <c r="AB554" s="81">
        <f t="shared" ca="1" si="294"/>
        <v>0</v>
      </c>
      <c r="AC554" s="79">
        <f t="shared" ca="1" si="295"/>
        <v>0</v>
      </c>
      <c r="AE554" s="35"/>
      <c r="AF554" s="35"/>
      <c r="AR554" s="69">
        <f t="shared" si="312"/>
        <v>46</v>
      </c>
      <c r="AS554" s="70">
        <f t="shared" si="315"/>
        <v>551</v>
      </c>
      <c r="AT554" s="71">
        <f t="shared" si="316"/>
        <v>2.3017022613071054E-2</v>
      </c>
      <c r="AU554" s="72">
        <f t="shared" si="296"/>
        <v>6.8214933659622723E-3</v>
      </c>
      <c r="AV554" s="73">
        <f t="shared" si="313"/>
        <v>1.0068214933659623</v>
      </c>
      <c r="AW554" s="74">
        <f>PRODUCT(AV$4:AV554)</f>
        <v>42.346300817243758</v>
      </c>
    </row>
    <row r="555" spans="5:49">
      <c r="E555">
        <f t="shared" si="314"/>
        <v>552</v>
      </c>
      <c r="F555" s="64">
        <f t="shared" si="297"/>
        <v>106.08</v>
      </c>
      <c r="G555" s="55">
        <f t="shared" si="298"/>
        <v>0</v>
      </c>
      <c r="H555" s="78">
        <f t="shared" si="317"/>
        <v>2.4366954920664725E-5</v>
      </c>
      <c r="I555" s="79">
        <f t="shared" ca="1" si="299"/>
        <v>0</v>
      </c>
      <c r="J555" s="79">
        <f t="shared" ca="1" si="300"/>
        <v>0</v>
      </c>
      <c r="K555" s="80">
        <f t="shared" ca="1" si="301"/>
        <v>0</v>
      </c>
      <c r="L555" s="80">
        <f t="shared" ca="1" si="302"/>
        <v>0</v>
      </c>
      <c r="M555" s="80">
        <f t="shared" ca="1" si="303"/>
        <v>0</v>
      </c>
      <c r="N555" s="80">
        <f t="shared" ca="1" si="304"/>
        <v>0</v>
      </c>
      <c r="O555" s="81">
        <f t="shared" ca="1" si="289"/>
        <v>0</v>
      </c>
      <c r="P555" s="79">
        <f t="shared" ca="1" si="290"/>
        <v>0</v>
      </c>
      <c r="R555">
        <f t="shared" ca="1" si="305"/>
        <v>552</v>
      </c>
      <c r="S555" s="78">
        <f t="shared" ca="1" si="306"/>
        <v>106.08</v>
      </c>
      <c r="T555" s="55">
        <f t="shared" ca="1" si="307"/>
        <v>0</v>
      </c>
      <c r="U555" s="78">
        <f t="shared" ca="1" si="308"/>
        <v>2.4366954920664725E-5</v>
      </c>
      <c r="V555" s="79">
        <f t="shared" ca="1" si="309"/>
        <v>0</v>
      </c>
      <c r="W555" s="79">
        <f t="shared" ca="1" si="291"/>
        <v>0</v>
      </c>
      <c r="X555" s="80">
        <f t="shared" ca="1" si="292"/>
        <v>0</v>
      </c>
      <c r="Y555" s="80">
        <f t="shared" ca="1" si="310"/>
        <v>0</v>
      </c>
      <c r="Z555" s="80">
        <f t="shared" ca="1" si="293"/>
        <v>0</v>
      </c>
      <c r="AA555" s="80">
        <f t="shared" ca="1" si="311"/>
        <v>0</v>
      </c>
      <c r="AB555" s="81">
        <f t="shared" ca="1" si="294"/>
        <v>0</v>
      </c>
      <c r="AC555" s="79">
        <f t="shared" ca="1" si="295"/>
        <v>0</v>
      </c>
      <c r="AE555" s="35"/>
      <c r="AF555" s="35"/>
      <c r="AR555" s="69">
        <f t="shared" si="312"/>
        <v>46</v>
      </c>
      <c r="AS555" s="70">
        <f t="shared" si="315"/>
        <v>552</v>
      </c>
      <c r="AT555" s="71">
        <f t="shared" si="316"/>
        <v>2.2860012146011785E-2</v>
      </c>
      <c r="AU555" s="72">
        <f t="shared" si="296"/>
        <v>6.8214933659622723E-3</v>
      </c>
      <c r="AV555" s="73">
        <f t="shared" si="313"/>
        <v>1.0068214933659623</v>
      </c>
      <c r="AW555" s="74">
        <f>PRODUCT(AV$4:AV555)</f>
        <v>42.635165827341631</v>
      </c>
    </row>
    <row r="556" spans="5:49">
      <c r="E556">
        <f t="shared" si="314"/>
        <v>553</v>
      </c>
      <c r="F556" s="64">
        <f t="shared" si="297"/>
        <v>106.16</v>
      </c>
      <c r="G556" s="55">
        <f t="shared" si="298"/>
        <v>0</v>
      </c>
      <c r="H556" s="78">
        <f t="shared" si="317"/>
        <v>2.4366954920664725E-5</v>
      </c>
      <c r="I556" s="79">
        <f t="shared" ca="1" si="299"/>
        <v>0</v>
      </c>
      <c r="J556" s="79">
        <f t="shared" ca="1" si="300"/>
        <v>0</v>
      </c>
      <c r="K556" s="80">
        <f t="shared" ca="1" si="301"/>
        <v>0</v>
      </c>
      <c r="L556" s="80">
        <f t="shared" ca="1" si="302"/>
        <v>0</v>
      </c>
      <c r="M556" s="80">
        <f t="shared" ca="1" si="303"/>
        <v>0</v>
      </c>
      <c r="N556" s="80">
        <f t="shared" ca="1" si="304"/>
        <v>0</v>
      </c>
      <c r="O556" s="81">
        <f t="shared" ca="1" si="289"/>
        <v>0</v>
      </c>
      <c r="P556" s="79">
        <f t="shared" ca="1" si="290"/>
        <v>0</v>
      </c>
      <c r="R556">
        <f t="shared" ca="1" si="305"/>
        <v>553</v>
      </c>
      <c r="S556" s="78">
        <f t="shared" ca="1" si="306"/>
        <v>106.16</v>
      </c>
      <c r="T556" s="55">
        <f t="shared" ca="1" si="307"/>
        <v>0</v>
      </c>
      <c r="U556" s="78">
        <f t="shared" ca="1" si="308"/>
        <v>2.4366954920664725E-5</v>
      </c>
      <c r="V556" s="79">
        <f t="shared" ca="1" si="309"/>
        <v>0</v>
      </c>
      <c r="W556" s="79">
        <f t="shared" ca="1" si="291"/>
        <v>0</v>
      </c>
      <c r="X556" s="80">
        <f t="shared" ca="1" si="292"/>
        <v>0</v>
      </c>
      <c r="Y556" s="80">
        <f t="shared" ca="1" si="310"/>
        <v>0</v>
      </c>
      <c r="Z556" s="80">
        <f t="shared" ca="1" si="293"/>
        <v>0</v>
      </c>
      <c r="AA556" s="80">
        <f t="shared" ca="1" si="311"/>
        <v>0</v>
      </c>
      <c r="AB556" s="81">
        <f t="shared" ca="1" si="294"/>
        <v>0</v>
      </c>
      <c r="AC556" s="79">
        <f t="shared" ca="1" si="295"/>
        <v>0</v>
      </c>
      <c r="AE556" s="35"/>
      <c r="AF556" s="35"/>
      <c r="AR556" s="69">
        <f t="shared" si="312"/>
        <v>47</v>
      </c>
      <c r="AS556" s="70">
        <f t="shared" si="315"/>
        <v>553</v>
      </c>
      <c r="AT556" s="71">
        <f t="shared" si="316"/>
        <v>2.2704072724811949E-2</v>
      </c>
      <c r="AU556" s="72">
        <f t="shared" si="296"/>
        <v>6.8214933659622723E-3</v>
      </c>
      <c r="AV556" s="73">
        <f t="shared" si="313"/>
        <v>1.0068214933659623</v>
      </c>
      <c r="AW556" s="74">
        <f>PRODUCT(AV$4:AV556)</f>
        <v>42.926001328189543</v>
      </c>
    </row>
    <row r="557" spans="5:49">
      <c r="E557">
        <f t="shared" si="314"/>
        <v>554</v>
      </c>
      <c r="F557" s="64">
        <f t="shared" si="297"/>
        <v>106.24</v>
      </c>
      <c r="G557" s="55">
        <f t="shared" si="298"/>
        <v>0</v>
      </c>
      <c r="H557" s="78">
        <f t="shared" si="317"/>
        <v>2.4366954920664725E-5</v>
      </c>
      <c r="I557" s="79">
        <f t="shared" ca="1" si="299"/>
        <v>0</v>
      </c>
      <c r="J557" s="79">
        <f t="shared" ca="1" si="300"/>
        <v>0</v>
      </c>
      <c r="K557" s="80">
        <f t="shared" ca="1" si="301"/>
        <v>0</v>
      </c>
      <c r="L557" s="80">
        <f t="shared" ca="1" si="302"/>
        <v>0</v>
      </c>
      <c r="M557" s="80">
        <f t="shared" ca="1" si="303"/>
        <v>0</v>
      </c>
      <c r="N557" s="80">
        <f t="shared" ca="1" si="304"/>
        <v>0</v>
      </c>
      <c r="O557" s="81">
        <f t="shared" ca="1" si="289"/>
        <v>0</v>
      </c>
      <c r="P557" s="79">
        <f t="shared" ca="1" si="290"/>
        <v>0</v>
      </c>
      <c r="R557">
        <f t="shared" ca="1" si="305"/>
        <v>554</v>
      </c>
      <c r="S557" s="78">
        <f t="shared" ca="1" si="306"/>
        <v>106.24</v>
      </c>
      <c r="T557" s="55">
        <f t="shared" ca="1" si="307"/>
        <v>0</v>
      </c>
      <c r="U557" s="78">
        <f t="shared" ca="1" si="308"/>
        <v>2.4366954920664725E-5</v>
      </c>
      <c r="V557" s="79">
        <f t="shared" ca="1" si="309"/>
        <v>0</v>
      </c>
      <c r="W557" s="79">
        <f t="shared" ca="1" si="291"/>
        <v>0</v>
      </c>
      <c r="X557" s="80">
        <f t="shared" ca="1" si="292"/>
        <v>0</v>
      </c>
      <c r="Y557" s="80">
        <f t="shared" ca="1" si="310"/>
        <v>0</v>
      </c>
      <c r="Z557" s="80">
        <f t="shared" ca="1" si="293"/>
        <v>0</v>
      </c>
      <c r="AA557" s="80">
        <f t="shared" ca="1" si="311"/>
        <v>0</v>
      </c>
      <c r="AB557" s="81">
        <f t="shared" ca="1" si="294"/>
        <v>0</v>
      </c>
      <c r="AC557" s="79">
        <f t="shared" ca="1" si="295"/>
        <v>0</v>
      </c>
      <c r="AE557" s="35"/>
      <c r="AF557" s="35"/>
      <c r="AR557" s="69">
        <f t="shared" si="312"/>
        <v>47</v>
      </c>
      <c r="AS557" s="70">
        <f t="shared" si="315"/>
        <v>554</v>
      </c>
      <c r="AT557" s="71">
        <f t="shared" si="316"/>
        <v>2.2549197043339318E-2</v>
      </c>
      <c r="AU557" s="72">
        <f t="shared" si="296"/>
        <v>6.8214933659622723E-3</v>
      </c>
      <c r="AV557" s="73">
        <f t="shared" si="313"/>
        <v>1.0068214933659623</v>
      </c>
      <c r="AW557" s="74">
        <f>PRODUCT(AV$4:AV557)</f>
        <v>43.218820761477076</v>
      </c>
    </row>
    <row r="558" spans="5:49">
      <c r="E558">
        <f t="shared" si="314"/>
        <v>555</v>
      </c>
      <c r="F558" s="64">
        <f t="shared" si="297"/>
        <v>106.32</v>
      </c>
      <c r="G558" s="55">
        <f t="shared" si="298"/>
        <v>0</v>
      </c>
      <c r="H558" s="78">
        <f t="shared" si="317"/>
        <v>2.4366954920664725E-5</v>
      </c>
      <c r="I558" s="79">
        <f t="shared" ca="1" si="299"/>
        <v>0</v>
      </c>
      <c r="J558" s="79">
        <f t="shared" ca="1" si="300"/>
        <v>0</v>
      </c>
      <c r="K558" s="80">
        <f t="shared" ca="1" si="301"/>
        <v>0</v>
      </c>
      <c r="L558" s="80">
        <f t="shared" ca="1" si="302"/>
        <v>0</v>
      </c>
      <c r="M558" s="80">
        <f t="shared" ca="1" si="303"/>
        <v>0</v>
      </c>
      <c r="N558" s="80">
        <f t="shared" ca="1" si="304"/>
        <v>0</v>
      </c>
      <c r="O558" s="81">
        <f t="shared" ca="1" si="289"/>
        <v>0</v>
      </c>
      <c r="P558" s="79">
        <f t="shared" ca="1" si="290"/>
        <v>0</v>
      </c>
      <c r="R558">
        <f t="shared" ca="1" si="305"/>
        <v>555</v>
      </c>
      <c r="S558" s="78">
        <f t="shared" ca="1" si="306"/>
        <v>106.32</v>
      </c>
      <c r="T558" s="55">
        <f t="shared" ca="1" si="307"/>
        <v>0</v>
      </c>
      <c r="U558" s="78">
        <f t="shared" ca="1" si="308"/>
        <v>2.4366954920664725E-5</v>
      </c>
      <c r="V558" s="79">
        <f t="shared" ca="1" si="309"/>
        <v>0</v>
      </c>
      <c r="W558" s="79">
        <f t="shared" ca="1" si="291"/>
        <v>0</v>
      </c>
      <c r="X558" s="80">
        <f t="shared" ca="1" si="292"/>
        <v>0</v>
      </c>
      <c r="Y558" s="80">
        <f t="shared" ca="1" si="310"/>
        <v>0</v>
      </c>
      <c r="Z558" s="80">
        <f t="shared" ca="1" si="293"/>
        <v>0</v>
      </c>
      <c r="AA558" s="80">
        <f t="shared" ca="1" si="311"/>
        <v>0</v>
      </c>
      <c r="AB558" s="81">
        <f t="shared" ca="1" si="294"/>
        <v>0</v>
      </c>
      <c r="AC558" s="79">
        <f t="shared" ca="1" si="295"/>
        <v>0</v>
      </c>
      <c r="AE558" s="35"/>
      <c r="AF558" s="35"/>
      <c r="AR558" s="69">
        <f t="shared" si="312"/>
        <v>47</v>
      </c>
      <c r="AS558" s="70">
        <f t="shared" si="315"/>
        <v>555</v>
      </c>
      <c r="AT558" s="71">
        <f t="shared" si="316"/>
        <v>2.2395377845300404E-2</v>
      </c>
      <c r="AU558" s="72">
        <f t="shared" si="296"/>
        <v>6.8214933659622723E-3</v>
      </c>
      <c r="AV558" s="73">
        <f t="shared" si="313"/>
        <v>1.0068214933659623</v>
      </c>
      <c r="AW558" s="74">
        <f>PRODUCT(AV$4:AV558)</f>
        <v>43.513637660586205</v>
      </c>
    </row>
    <row r="559" spans="5:49">
      <c r="E559">
        <f t="shared" si="314"/>
        <v>556</v>
      </c>
      <c r="F559" s="64">
        <f t="shared" si="297"/>
        <v>106.4</v>
      </c>
      <c r="G559" s="55">
        <f t="shared" si="298"/>
        <v>0</v>
      </c>
      <c r="H559" s="78">
        <f t="shared" si="317"/>
        <v>2.4366954920664725E-5</v>
      </c>
      <c r="I559" s="79">
        <f t="shared" ca="1" si="299"/>
        <v>0</v>
      </c>
      <c r="J559" s="79">
        <f t="shared" ca="1" si="300"/>
        <v>0</v>
      </c>
      <c r="K559" s="80">
        <f t="shared" ca="1" si="301"/>
        <v>0</v>
      </c>
      <c r="L559" s="80">
        <f t="shared" ca="1" si="302"/>
        <v>0</v>
      </c>
      <c r="M559" s="80">
        <f t="shared" ca="1" si="303"/>
        <v>0</v>
      </c>
      <c r="N559" s="80">
        <f t="shared" ca="1" si="304"/>
        <v>0</v>
      </c>
      <c r="O559" s="81">
        <f t="shared" ca="1" si="289"/>
        <v>0</v>
      </c>
      <c r="P559" s="79">
        <f t="shared" ca="1" si="290"/>
        <v>0</v>
      </c>
      <c r="R559">
        <f t="shared" ca="1" si="305"/>
        <v>556</v>
      </c>
      <c r="S559" s="78">
        <f t="shared" ca="1" si="306"/>
        <v>106.4</v>
      </c>
      <c r="T559" s="55">
        <f t="shared" ca="1" si="307"/>
        <v>0</v>
      </c>
      <c r="U559" s="78">
        <f t="shared" ca="1" si="308"/>
        <v>2.4366954920664725E-5</v>
      </c>
      <c r="V559" s="79">
        <f t="shared" ca="1" si="309"/>
        <v>0</v>
      </c>
      <c r="W559" s="79">
        <f t="shared" ca="1" si="291"/>
        <v>0</v>
      </c>
      <c r="X559" s="80">
        <f t="shared" ca="1" si="292"/>
        <v>0</v>
      </c>
      <c r="Y559" s="80">
        <f t="shared" ca="1" si="310"/>
        <v>0</v>
      </c>
      <c r="Z559" s="80">
        <f t="shared" ca="1" si="293"/>
        <v>0</v>
      </c>
      <c r="AA559" s="80">
        <f t="shared" ca="1" si="311"/>
        <v>0</v>
      </c>
      <c r="AB559" s="81">
        <f t="shared" ca="1" si="294"/>
        <v>0</v>
      </c>
      <c r="AC559" s="79">
        <f t="shared" ca="1" si="295"/>
        <v>0</v>
      </c>
      <c r="AE559" s="35"/>
      <c r="AF559" s="35"/>
      <c r="AR559" s="69">
        <f t="shared" si="312"/>
        <v>47</v>
      </c>
      <c r="AS559" s="70">
        <f t="shared" si="315"/>
        <v>556</v>
      </c>
      <c r="AT559" s="71">
        <f t="shared" si="316"/>
        <v>2.2242607923900468E-2</v>
      </c>
      <c r="AU559" s="72">
        <f t="shared" si="296"/>
        <v>6.8214933659622723E-3</v>
      </c>
      <c r="AV559" s="73">
        <f t="shared" si="313"/>
        <v>1.0068214933659623</v>
      </c>
      <c r="AW559" s="74">
        <f>PRODUCT(AV$4:AV559)</f>
        <v>43.810465651216781</v>
      </c>
    </row>
    <row r="560" spans="5:49">
      <c r="E560">
        <f t="shared" si="314"/>
        <v>557</v>
      </c>
      <c r="F560" s="64">
        <f t="shared" si="297"/>
        <v>106.48</v>
      </c>
      <c r="G560" s="55">
        <f t="shared" si="298"/>
        <v>0</v>
      </c>
      <c r="H560" s="78">
        <f t="shared" si="317"/>
        <v>2.4366954920664725E-5</v>
      </c>
      <c r="I560" s="79">
        <f t="shared" ca="1" si="299"/>
        <v>0</v>
      </c>
      <c r="J560" s="79">
        <f t="shared" ca="1" si="300"/>
        <v>0</v>
      </c>
      <c r="K560" s="80">
        <f t="shared" ca="1" si="301"/>
        <v>0</v>
      </c>
      <c r="L560" s="80">
        <f t="shared" ca="1" si="302"/>
        <v>0</v>
      </c>
      <c r="M560" s="80">
        <f t="shared" ca="1" si="303"/>
        <v>0</v>
      </c>
      <c r="N560" s="80">
        <f t="shared" ca="1" si="304"/>
        <v>0</v>
      </c>
      <c r="O560" s="81">
        <f t="shared" ca="1" si="289"/>
        <v>0</v>
      </c>
      <c r="P560" s="79">
        <f t="shared" ca="1" si="290"/>
        <v>0</v>
      </c>
      <c r="R560">
        <f t="shared" ca="1" si="305"/>
        <v>557</v>
      </c>
      <c r="S560" s="78">
        <f t="shared" ca="1" si="306"/>
        <v>106.48</v>
      </c>
      <c r="T560" s="55">
        <f t="shared" ca="1" si="307"/>
        <v>0</v>
      </c>
      <c r="U560" s="78">
        <f t="shared" ca="1" si="308"/>
        <v>2.4366954920664725E-5</v>
      </c>
      <c r="V560" s="79">
        <f t="shared" ca="1" si="309"/>
        <v>0</v>
      </c>
      <c r="W560" s="79">
        <f t="shared" ca="1" si="291"/>
        <v>0</v>
      </c>
      <c r="X560" s="80">
        <f t="shared" ca="1" si="292"/>
        <v>0</v>
      </c>
      <c r="Y560" s="80">
        <f t="shared" ca="1" si="310"/>
        <v>0</v>
      </c>
      <c r="Z560" s="80">
        <f t="shared" ca="1" si="293"/>
        <v>0</v>
      </c>
      <c r="AA560" s="80">
        <f t="shared" ca="1" si="311"/>
        <v>0</v>
      </c>
      <c r="AB560" s="81">
        <f t="shared" ca="1" si="294"/>
        <v>0</v>
      </c>
      <c r="AC560" s="79">
        <f t="shared" ca="1" si="295"/>
        <v>0</v>
      </c>
      <c r="AE560" s="35"/>
      <c r="AF560" s="35"/>
      <c r="AR560" s="69">
        <f t="shared" si="312"/>
        <v>47</v>
      </c>
      <c r="AS560" s="70">
        <f t="shared" si="315"/>
        <v>557</v>
      </c>
      <c r="AT560" s="71">
        <f t="shared" si="316"/>
        <v>2.2090880121505882E-2</v>
      </c>
      <c r="AU560" s="72">
        <f t="shared" si="296"/>
        <v>6.8214933659622723E-3</v>
      </c>
      <c r="AV560" s="73">
        <f t="shared" si="313"/>
        <v>1.0068214933659623</v>
      </c>
      <c r="AW560" s="74">
        <f>PRODUCT(AV$4:AV560)</f>
        <v>44.109318452016275</v>
      </c>
    </row>
    <row r="561" spans="5:49">
      <c r="E561">
        <f t="shared" si="314"/>
        <v>558</v>
      </c>
      <c r="F561" s="64">
        <f t="shared" si="297"/>
        <v>106.56</v>
      </c>
      <c r="G561" s="55">
        <f t="shared" si="298"/>
        <v>0</v>
      </c>
      <c r="H561" s="78">
        <f t="shared" si="317"/>
        <v>2.4366954920664725E-5</v>
      </c>
      <c r="I561" s="79">
        <f t="shared" ca="1" si="299"/>
        <v>0</v>
      </c>
      <c r="J561" s="79">
        <f t="shared" ca="1" si="300"/>
        <v>0</v>
      </c>
      <c r="K561" s="80">
        <f t="shared" ca="1" si="301"/>
        <v>0</v>
      </c>
      <c r="L561" s="80">
        <f t="shared" ca="1" si="302"/>
        <v>0</v>
      </c>
      <c r="M561" s="80">
        <f t="shared" ca="1" si="303"/>
        <v>0</v>
      </c>
      <c r="N561" s="80">
        <f t="shared" ca="1" si="304"/>
        <v>0</v>
      </c>
      <c r="O561" s="81">
        <f t="shared" ca="1" si="289"/>
        <v>0</v>
      </c>
      <c r="P561" s="79">
        <f t="shared" ca="1" si="290"/>
        <v>0</v>
      </c>
      <c r="R561">
        <f t="shared" ca="1" si="305"/>
        <v>558</v>
      </c>
      <c r="S561" s="78">
        <f t="shared" ca="1" si="306"/>
        <v>106.56</v>
      </c>
      <c r="T561" s="55">
        <f t="shared" ca="1" si="307"/>
        <v>0</v>
      </c>
      <c r="U561" s="78">
        <f t="shared" ca="1" si="308"/>
        <v>2.4366954920664725E-5</v>
      </c>
      <c r="V561" s="79">
        <f t="shared" ca="1" si="309"/>
        <v>0</v>
      </c>
      <c r="W561" s="79">
        <f t="shared" ca="1" si="291"/>
        <v>0</v>
      </c>
      <c r="X561" s="80">
        <f t="shared" ca="1" si="292"/>
        <v>0</v>
      </c>
      <c r="Y561" s="80">
        <f t="shared" ca="1" si="310"/>
        <v>0</v>
      </c>
      <c r="Z561" s="80">
        <f t="shared" ca="1" si="293"/>
        <v>0</v>
      </c>
      <c r="AA561" s="80">
        <f t="shared" ca="1" si="311"/>
        <v>0</v>
      </c>
      <c r="AB561" s="81">
        <f t="shared" ca="1" si="294"/>
        <v>0</v>
      </c>
      <c r="AC561" s="79">
        <f t="shared" ca="1" si="295"/>
        <v>0</v>
      </c>
      <c r="AE561" s="35"/>
      <c r="AF561" s="35"/>
      <c r="AR561" s="69">
        <f t="shared" si="312"/>
        <v>47</v>
      </c>
      <c r="AS561" s="70">
        <f t="shared" si="315"/>
        <v>558</v>
      </c>
      <c r="AT561" s="71">
        <f t="shared" si="316"/>
        <v>2.1940187329308761E-2</v>
      </c>
      <c r="AU561" s="72">
        <f t="shared" si="296"/>
        <v>6.8214933659622723E-3</v>
      </c>
      <c r="AV561" s="73">
        <f t="shared" si="313"/>
        <v>1.0068214933659623</v>
      </c>
      <c r="AW561" s="74">
        <f>PRODUCT(AV$4:AV561)</f>
        <v>44.410209875213823</v>
      </c>
    </row>
    <row r="562" spans="5:49">
      <c r="E562">
        <f t="shared" si="314"/>
        <v>559</v>
      </c>
      <c r="F562" s="64">
        <f t="shared" si="297"/>
        <v>106.64</v>
      </c>
      <c r="G562" s="55">
        <f t="shared" si="298"/>
        <v>0</v>
      </c>
      <c r="H562" s="78">
        <f t="shared" si="317"/>
        <v>2.4366954920664725E-5</v>
      </c>
      <c r="I562" s="79">
        <f t="shared" ca="1" si="299"/>
        <v>0</v>
      </c>
      <c r="J562" s="79">
        <f t="shared" ca="1" si="300"/>
        <v>0</v>
      </c>
      <c r="K562" s="80">
        <f t="shared" ca="1" si="301"/>
        <v>0</v>
      </c>
      <c r="L562" s="80">
        <f t="shared" ca="1" si="302"/>
        <v>0</v>
      </c>
      <c r="M562" s="80">
        <f t="shared" ca="1" si="303"/>
        <v>0</v>
      </c>
      <c r="N562" s="80">
        <f t="shared" ca="1" si="304"/>
        <v>0</v>
      </c>
      <c r="O562" s="81">
        <f t="shared" ca="1" si="289"/>
        <v>0</v>
      </c>
      <c r="P562" s="79">
        <f t="shared" ca="1" si="290"/>
        <v>0</v>
      </c>
      <c r="R562">
        <f t="shared" ca="1" si="305"/>
        <v>559</v>
      </c>
      <c r="S562" s="78">
        <f t="shared" ca="1" si="306"/>
        <v>106.64</v>
      </c>
      <c r="T562" s="55">
        <f t="shared" ca="1" si="307"/>
        <v>0</v>
      </c>
      <c r="U562" s="78">
        <f t="shared" ca="1" si="308"/>
        <v>2.4366954920664725E-5</v>
      </c>
      <c r="V562" s="79">
        <f t="shared" ca="1" si="309"/>
        <v>0</v>
      </c>
      <c r="W562" s="79">
        <f t="shared" ca="1" si="291"/>
        <v>0</v>
      </c>
      <c r="X562" s="80">
        <f t="shared" ca="1" si="292"/>
        <v>0</v>
      </c>
      <c r="Y562" s="80">
        <f t="shared" ca="1" si="310"/>
        <v>0</v>
      </c>
      <c r="Z562" s="80">
        <f t="shared" ca="1" si="293"/>
        <v>0</v>
      </c>
      <c r="AA562" s="80">
        <f t="shared" ca="1" si="311"/>
        <v>0</v>
      </c>
      <c r="AB562" s="81">
        <f t="shared" ca="1" si="294"/>
        <v>0</v>
      </c>
      <c r="AC562" s="79">
        <f t="shared" ca="1" si="295"/>
        <v>0</v>
      </c>
      <c r="AE562" s="35"/>
      <c r="AF562" s="35"/>
      <c r="AR562" s="69">
        <f t="shared" si="312"/>
        <v>47</v>
      </c>
      <c r="AS562" s="70">
        <f t="shared" si="315"/>
        <v>559</v>
      </c>
      <c r="AT562" s="71">
        <f t="shared" si="316"/>
        <v>2.179052248699391E-2</v>
      </c>
      <c r="AU562" s="72">
        <f t="shared" si="296"/>
        <v>6.8214933659622723E-3</v>
      </c>
      <c r="AV562" s="73">
        <f t="shared" si="313"/>
        <v>1.0068214933659623</v>
      </c>
      <c r="AW562" s="74">
        <f>PRODUCT(AV$4:AV562)</f>
        <v>44.713153827258587</v>
      </c>
    </row>
    <row r="563" spans="5:49">
      <c r="E563">
        <f t="shared" si="314"/>
        <v>560</v>
      </c>
      <c r="F563" s="64">
        <f t="shared" si="297"/>
        <v>106.72</v>
      </c>
      <c r="G563" s="55">
        <f t="shared" si="298"/>
        <v>0</v>
      </c>
      <c r="H563" s="78">
        <f t="shared" si="317"/>
        <v>2.4366954920664725E-5</v>
      </c>
      <c r="I563" s="79">
        <f t="shared" ca="1" si="299"/>
        <v>0</v>
      </c>
      <c r="J563" s="79">
        <f t="shared" ca="1" si="300"/>
        <v>0</v>
      </c>
      <c r="K563" s="80">
        <f t="shared" ca="1" si="301"/>
        <v>0</v>
      </c>
      <c r="L563" s="80">
        <f t="shared" ca="1" si="302"/>
        <v>0</v>
      </c>
      <c r="M563" s="80">
        <f t="shared" ca="1" si="303"/>
        <v>0</v>
      </c>
      <c r="N563" s="80">
        <f t="shared" ca="1" si="304"/>
        <v>0</v>
      </c>
      <c r="O563" s="81">
        <f t="shared" ca="1" si="289"/>
        <v>0</v>
      </c>
      <c r="P563" s="79">
        <f t="shared" ca="1" si="290"/>
        <v>0</v>
      </c>
      <c r="R563">
        <f t="shared" ca="1" si="305"/>
        <v>560</v>
      </c>
      <c r="S563" s="78">
        <f t="shared" ca="1" si="306"/>
        <v>106.72</v>
      </c>
      <c r="T563" s="55">
        <f t="shared" ca="1" si="307"/>
        <v>0</v>
      </c>
      <c r="U563" s="78">
        <f t="shared" ca="1" si="308"/>
        <v>2.4366954920664725E-5</v>
      </c>
      <c r="V563" s="79">
        <f t="shared" ca="1" si="309"/>
        <v>0</v>
      </c>
      <c r="W563" s="79">
        <f t="shared" ca="1" si="291"/>
        <v>0</v>
      </c>
      <c r="X563" s="80">
        <f t="shared" ca="1" si="292"/>
        <v>0</v>
      </c>
      <c r="Y563" s="80">
        <f t="shared" ca="1" si="310"/>
        <v>0</v>
      </c>
      <c r="Z563" s="80">
        <f t="shared" ca="1" si="293"/>
        <v>0</v>
      </c>
      <c r="AA563" s="80">
        <f t="shared" ca="1" si="311"/>
        <v>0</v>
      </c>
      <c r="AB563" s="81">
        <f t="shared" ca="1" si="294"/>
        <v>0</v>
      </c>
      <c r="AC563" s="79">
        <f t="shared" ca="1" si="295"/>
        <v>0</v>
      </c>
      <c r="AE563" s="35"/>
      <c r="AF563" s="35"/>
      <c r="AR563" s="69">
        <f t="shared" si="312"/>
        <v>47</v>
      </c>
      <c r="AS563" s="70">
        <f t="shared" si="315"/>
        <v>560</v>
      </c>
      <c r="AT563" s="71">
        <f t="shared" si="316"/>
        <v>2.1641878582408028E-2</v>
      </c>
      <c r="AU563" s="72">
        <f t="shared" si="296"/>
        <v>6.8214933659622723E-3</v>
      </c>
      <c r="AV563" s="73">
        <f t="shared" si="313"/>
        <v>1.0068214933659623</v>
      </c>
      <c r="AW563" s="74">
        <f>PRODUCT(AV$4:AV563)</f>
        <v>45.018164309462485</v>
      </c>
    </row>
    <row r="564" spans="5:49">
      <c r="E564">
        <f t="shared" si="314"/>
        <v>561</v>
      </c>
      <c r="F564" s="64">
        <f t="shared" si="297"/>
        <v>106.8</v>
      </c>
      <c r="G564" s="55">
        <f t="shared" si="298"/>
        <v>0</v>
      </c>
      <c r="H564" s="78">
        <f t="shared" si="317"/>
        <v>2.4366954920664725E-5</v>
      </c>
      <c r="I564" s="79">
        <f t="shared" ca="1" si="299"/>
        <v>0</v>
      </c>
      <c r="J564" s="79">
        <f t="shared" ca="1" si="300"/>
        <v>0</v>
      </c>
      <c r="K564" s="80">
        <f t="shared" ca="1" si="301"/>
        <v>0</v>
      </c>
      <c r="L564" s="80">
        <f t="shared" ca="1" si="302"/>
        <v>0</v>
      </c>
      <c r="M564" s="80">
        <f t="shared" ca="1" si="303"/>
        <v>0</v>
      </c>
      <c r="N564" s="80">
        <f t="shared" ca="1" si="304"/>
        <v>0</v>
      </c>
      <c r="O564" s="81">
        <f t="shared" ca="1" si="289"/>
        <v>0</v>
      </c>
      <c r="P564" s="79">
        <f t="shared" ca="1" si="290"/>
        <v>0</v>
      </c>
      <c r="R564">
        <f t="shared" ca="1" si="305"/>
        <v>561</v>
      </c>
      <c r="S564" s="78">
        <f t="shared" ca="1" si="306"/>
        <v>106.8</v>
      </c>
      <c r="T564" s="55">
        <f t="shared" ca="1" si="307"/>
        <v>0</v>
      </c>
      <c r="U564" s="78">
        <f t="shared" ca="1" si="308"/>
        <v>2.4366954920664725E-5</v>
      </c>
      <c r="V564" s="79">
        <f t="shared" ca="1" si="309"/>
        <v>0</v>
      </c>
      <c r="W564" s="79">
        <f t="shared" ca="1" si="291"/>
        <v>0</v>
      </c>
      <c r="X564" s="80">
        <f t="shared" ca="1" si="292"/>
        <v>0</v>
      </c>
      <c r="Y564" s="80">
        <f t="shared" ca="1" si="310"/>
        <v>0</v>
      </c>
      <c r="Z564" s="80">
        <f t="shared" ca="1" si="293"/>
        <v>0</v>
      </c>
      <c r="AA564" s="80">
        <f t="shared" ca="1" si="311"/>
        <v>0</v>
      </c>
      <c r="AB564" s="81">
        <f t="shared" ca="1" si="294"/>
        <v>0</v>
      </c>
      <c r="AC564" s="79">
        <f t="shared" ca="1" si="295"/>
        <v>0</v>
      </c>
      <c r="AE564" s="35"/>
      <c r="AF564" s="35"/>
      <c r="AR564" s="69">
        <f t="shared" si="312"/>
        <v>47</v>
      </c>
      <c r="AS564" s="70">
        <f t="shared" si="315"/>
        <v>561</v>
      </c>
      <c r="AT564" s="71">
        <f t="shared" si="316"/>
        <v>2.149424865123117E-2</v>
      </c>
      <c r="AU564" s="72">
        <f t="shared" si="296"/>
        <v>6.8214933659622723E-3</v>
      </c>
      <c r="AV564" s="73">
        <f t="shared" si="313"/>
        <v>1.0068214933659623</v>
      </c>
      <c r="AW564" s="74">
        <f>PRODUCT(AV$4:AV564)</f>
        <v>45.325255418647281</v>
      </c>
    </row>
    <row r="565" spans="5:49">
      <c r="E565">
        <f t="shared" si="314"/>
        <v>562</v>
      </c>
      <c r="F565" s="64">
        <f t="shared" si="297"/>
        <v>106.88</v>
      </c>
      <c r="G565" s="55">
        <f t="shared" si="298"/>
        <v>0</v>
      </c>
      <c r="H565" s="78">
        <f t="shared" si="317"/>
        <v>2.4366954920664725E-5</v>
      </c>
      <c r="I565" s="79">
        <f t="shared" ca="1" si="299"/>
        <v>0</v>
      </c>
      <c r="J565" s="79">
        <f t="shared" ca="1" si="300"/>
        <v>0</v>
      </c>
      <c r="K565" s="80">
        <f t="shared" ca="1" si="301"/>
        <v>0</v>
      </c>
      <c r="L565" s="80">
        <f t="shared" ca="1" si="302"/>
        <v>0</v>
      </c>
      <c r="M565" s="80">
        <f t="shared" ca="1" si="303"/>
        <v>0</v>
      </c>
      <c r="N565" s="80">
        <f t="shared" ca="1" si="304"/>
        <v>0</v>
      </c>
      <c r="O565" s="81">
        <f t="shared" ca="1" si="289"/>
        <v>0</v>
      </c>
      <c r="P565" s="79">
        <f t="shared" ca="1" si="290"/>
        <v>0</v>
      </c>
      <c r="R565">
        <f t="shared" ca="1" si="305"/>
        <v>562</v>
      </c>
      <c r="S565" s="78">
        <f t="shared" ca="1" si="306"/>
        <v>106.88</v>
      </c>
      <c r="T565" s="55">
        <f t="shared" ca="1" si="307"/>
        <v>0</v>
      </c>
      <c r="U565" s="78">
        <f t="shared" ca="1" si="308"/>
        <v>2.4366954920664725E-5</v>
      </c>
      <c r="V565" s="79">
        <f t="shared" ca="1" si="309"/>
        <v>0</v>
      </c>
      <c r="W565" s="79">
        <f t="shared" ca="1" si="291"/>
        <v>0</v>
      </c>
      <c r="X565" s="80">
        <f t="shared" ca="1" si="292"/>
        <v>0</v>
      </c>
      <c r="Y565" s="80">
        <f t="shared" ca="1" si="310"/>
        <v>0</v>
      </c>
      <c r="Z565" s="80">
        <f t="shared" ca="1" si="293"/>
        <v>0</v>
      </c>
      <c r="AA565" s="80">
        <f t="shared" ca="1" si="311"/>
        <v>0</v>
      </c>
      <c r="AB565" s="81">
        <f t="shared" ca="1" si="294"/>
        <v>0</v>
      </c>
      <c r="AC565" s="79">
        <f t="shared" ca="1" si="295"/>
        <v>0</v>
      </c>
      <c r="AE565" s="35"/>
      <c r="AF565" s="35"/>
      <c r="AR565" s="69">
        <f t="shared" si="312"/>
        <v>47</v>
      </c>
      <c r="AS565" s="70">
        <f t="shared" si="315"/>
        <v>562</v>
      </c>
      <c r="AT565" s="71">
        <f t="shared" si="316"/>
        <v>2.1347625776650454E-2</v>
      </c>
      <c r="AU565" s="72">
        <f t="shared" si="296"/>
        <v>6.8214933659622723E-3</v>
      </c>
      <c r="AV565" s="73">
        <f t="shared" si="313"/>
        <v>1.0068214933659623</v>
      </c>
      <c r="AW565" s="74">
        <f>PRODUCT(AV$4:AV565)</f>
        <v>45.634441347796127</v>
      </c>
    </row>
    <row r="566" spans="5:49">
      <c r="E566">
        <f t="shared" si="314"/>
        <v>563</v>
      </c>
      <c r="F566" s="64">
        <f t="shared" si="297"/>
        <v>106.96</v>
      </c>
      <c r="G566" s="55">
        <f t="shared" si="298"/>
        <v>0</v>
      </c>
      <c r="H566" s="78">
        <f t="shared" si="317"/>
        <v>2.4366954920664725E-5</v>
      </c>
      <c r="I566" s="79">
        <f t="shared" ca="1" si="299"/>
        <v>0</v>
      </c>
      <c r="J566" s="79">
        <f t="shared" ca="1" si="300"/>
        <v>0</v>
      </c>
      <c r="K566" s="80">
        <f t="shared" ca="1" si="301"/>
        <v>0</v>
      </c>
      <c r="L566" s="80">
        <f t="shared" ca="1" si="302"/>
        <v>0</v>
      </c>
      <c r="M566" s="80">
        <f t="shared" ca="1" si="303"/>
        <v>0</v>
      </c>
      <c r="N566" s="80">
        <f t="shared" ca="1" si="304"/>
        <v>0</v>
      </c>
      <c r="O566" s="81">
        <f t="shared" ca="1" si="289"/>
        <v>0</v>
      </c>
      <c r="P566" s="79">
        <f t="shared" ca="1" si="290"/>
        <v>0</v>
      </c>
      <c r="R566">
        <f t="shared" ca="1" si="305"/>
        <v>563</v>
      </c>
      <c r="S566" s="78">
        <f t="shared" ca="1" si="306"/>
        <v>106.96</v>
      </c>
      <c r="T566" s="55">
        <f t="shared" ca="1" si="307"/>
        <v>0</v>
      </c>
      <c r="U566" s="78">
        <f t="shared" ca="1" si="308"/>
        <v>2.4366954920664725E-5</v>
      </c>
      <c r="V566" s="79">
        <f t="shared" ca="1" si="309"/>
        <v>0</v>
      </c>
      <c r="W566" s="79">
        <f t="shared" ca="1" si="291"/>
        <v>0</v>
      </c>
      <c r="X566" s="80">
        <f t="shared" ca="1" si="292"/>
        <v>0</v>
      </c>
      <c r="Y566" s="80">
        <f t="shared" ca="1" si="310"/>
        <v>0</v>
      </c>
      <c r="Z566" s="80">
        <f t="shared" ca="1" si="293"/>
        <v>0</v>
      </c>
      <c r="AA566" s="80">
        <f t="shared" ca="1" si="311"/>
        <v>0</v>
      </c>
      <c r="AB566" s="81">
        <f t="shared" ca="1" si="294"/>
        <v>0</v>
      </c>
      <c r="AC566" s="79">
        <f t="shared" ca="1" si="295"/>
        <v>0</v>
      </c>
      <c r="AE566" s="35"/>
      <c r="AF566" s="35"/>
      <c r="AR566" s="69">
        <f t="shared" si="312"/>
        <v>47</v>
      </c>
      <c r="AS566" s="70">
        <f t="shared" si="315"/>
        <v>563</v>
      </c>
      <c r="AT566" s="71">
        <f t="shared" si="316"/>
        <v>2.1202003089035987E-2</v>
      </c>
      <c r="AU566" s="72">
        <f t="shared" si="296"/>
        <v>6.8214933659622723E-3</v>
      </c>
      <c r="AV566" s="73">
        <f t="shared" si="313"/>
        <v>1.0068214933659623</v>
      </c>
      <c r="AW566" s="74">
        <f>PRODUCT(AV$4:AV566)</f>
        <v>45.945736386709513</v>
      </c>
    </row>
    <row r="567" spans="5:49">
      <c r="E567">
        <f t="shared" si="314"/>
        <v>564</v>
      </c>
      <c r="F567" s="64">
        <f t="shared" si="297"/>
        <v>107.04</v>
      </c>
      <c r="G567" s="55">
        <f t="shared" si="298"/>
        <v>0</v>
      </c>
      <c r="H567" s="78">
        <f t="shared" si="317"/>
        <v>2.4366954920664725E-5</v>
      </c>
      <c r="I567" s="79">
        <f t="shared" ca="1" si="299"/>
        <v>0</v>
      </c>
      <c r="J567" s="79">
        <f t="shared" ca="1" si="300"/>
        <v>0</v>
      </c>
      <c r="K567" s="80">
        <f t="shared" ca="1" si="301"/>
        <v>0</v>
      </c>
      <c r="L567" s="80">
        <f t="shared" ca="1" si="302"/>
        <v>0</v>
      </c>
      <c r="M567" s="80">
        <f t="shared" ca="1" si="303"/>
        <v>0</v>
      </c>
      <c r="N567" s="80">
        <f t="shared" ca="1" si="304"/>
        <v>0</v>
      </c>
      <c r="O567" s="81">
        <f t="shared" ca="1" si="289"/>
        <v>0</v>
      </c>
      <c r="P567" s="79">
        <f t="shared" ca="1" si="290"/>
        <v>0</v>
      </c>
      <c r="R567">
        <f t="shared" ca="1" si="305"/>
        <v>564</v>
      </c>
      <c r="S567" s="78">
        <f t="shared" ca="1" si="306"/>
        <v>107.04</v>
      </c>
      <c r="T567" s="55">
        <f t="shared" ca="1" si="307"/>
        <v>0</v>
      </c>
      <c r="U567" s="78">
        <f t="shared" ca="1" si="308"/>
        <v>2.4366954920664725E-5</v>
      </c>
      <c r="V567" s="79">
        <f t="shared" ca="1" si="309"/>
        <v>0</v>
      </c>
      <c r="W567" s="79">
        <f t="shared" ca="1" si="291"/>
        <v>0</v>
      </c>
      <c r="X567" s="80">
        <f t="shared" ca="1" si="292"/>
        <v>0</v>
      </c>
      <c r="Y567" s="80">
        <f t="shared" ca="1" si="310"/>
        <v>0</v>
      </c>
      <c r="Z567" s="80">
        <f t="shared" ca="1" si="293"/>
        <v>0</v>
      </c>
      <c r="AA567" s="80">
        <f t="shared" ca="1" si="311"/>
        <v>0</v>
      </c>
      <c r="AB567" s="81">
        <f t="shared" ca="1" si="294"/>
        <v>0</v>
      </c>
      <c r="AC567" s="79">
        <f t="shared" ca="1" si="295"/>
        <v>0</v>
      </c>
      <c r="AE567" s="35"/>
      <c r="AF567" s="35"/>
      <c r="AR567" s="69">
        <f t="shared" si="312"/>
        <v>47</v>
      </c>
      <c r="AS567" s="70">
        <f t="shared" si="315"/>
        <v>564</v>
      </c>
      <c r="AT567" s="71">
        <f t="shared" si="316"/>
        <v>2.1057373765619017E-2</v>
      </c>
      <c r="AU567" s="72">
        <f t="shared" si="296"/>
        <v>6.8214933659622723E-3</v>
      </c>
      <c r="AV567" s="73">
        <f t="shared" si="313"/>
        <v>1.0068214933659623</v>
      </c>
      <c r="AW567" s="74">
        <f>PRODUCT(AV$4:AV567)</f>
        <v>46.259154922665701</v>
      </c>
    </row>
    <row r="568" spans="5:49">
      <c r="E568">
        <f t="shared" si="314"/>
        <v>565</v>
      </c>
      <c r="F568" s="64">
        <f t="shared" si="297"/>
        <v>107.12</v>
      </c>
      <c r="G568" s="55">
        <f t="shared" si="298"/>
        <v>0</v>
      </c>
      <c r="H568" s="78">
        <f t="shared" si="317"/>
        <v>2.4366954920664725E-5</v>
      </c>
      <c r="I568" s="79">
        <f t="shared" ca="1" si="299"/>
        <v>0</v>
      </c>
      <c r="J568" s="79">
        <f t="shared" ca="1" si="300"/>
        <v>0</v>
      </c>
      <c r="K568" s="80">
        <f t="shared" ca="1" si="301"/>
        <v>0</v>
      </c>
      <c r="L568" s="80">
        <f t="shared" ca="1" si="302"/>
        <v>0</v>
      </c>
      <c r="M568" s="80">
        <f t="shared" ca="1" si="303"/>
        <v>0</v>
      </c>
      <c r="N568" s="80">
        <f t="shared" ca="1" si="304"/>
        <v>0</v>
      </c>
      <c r="O568" s="81">
        <f t="shared" ca="1" si="289"/>
        <v>0</v>
      </c>
      <c r="P568" s="79">
        <f t="shared" ca="1" si="290"/>
        <v>0</v>
      </c>
      <c r="R568">
        <f t="shared" ca="1" si="305"/>
        <v>565</v>
      </c>
      <c r="S568" s="78">
        <f t="shared" ca="1" si="306"/>
        <v>107.12</v>
      </c>
      <c r="T568" s="55">
        <f t="shared" ca="1" si="307"/>
        <v>0</v>
      </c>
      <c r="U568" s="78">
        <f t="shared" ca="1" si="308"/>
        <v>2.4366954920664725E-5</v>
      </c>
      <c r="V568" s="79">
        <f t="shared" ca="1" si="309"/>
        <v>0</v>
      </c>
      <c r="W568" s="79">
        <f t="shared" ca="1" si="291"/>
        <v>0</v>
      </c>
      <c r="X568" s="80">
        <f t="shared" ca="1" si="292"/>
        <v>0</v>
      </c>
      <c r="Y568" s="80">
        <f t="shared" ca="1" si="310"/>
        <v>0</v>
      </c>
      <c r="Z568" s="80">
        <f t="shared" ca="1" si="293"/>
        <v>0</v>
      </c>
      <c r="AA568" s="80">
        <f t="shared" ca="1" si="311"/>
        <v>0</v>
      </c>
      <c r="AB568" s="81">
        <f t="shared" ca="1" si="294"/>
        <v>0</v>
      </c>
      <c r="AC568" s="79">
        <f t="shared" ca="1" si="295"/>
        <v>0</v>
      </c>
      <c r="AE568" s="35"/>
      <c r="AF568" s="35"/>
      <c r="AR568" s="69">
        <f t="shared" si="312"/>
        <v>48</v>
      </c>
      <c r="AS568" s="70">
        <f t="shared" si="315"/>
        <v>565</v>
      </c>
      <c r="AT568" s="71">
        <f t="shared" si="316"/>
        <v>2.0913731030172258E-2</v>
      </c>
      <c r="AU568" s="72">
        <f t="shared" si="296"/>
        <v>6.8214933659622723E-3</v>
      </c>
      <c r="AV568" s="73">
        <f t="shared" si="313"/>
        <v>1.0068214933659623</v>
      </c>
      <c r="AW568" s="74">
        <f>PRODUCT(AV$4:AV568)</f>
        <v>46.574711441085682</v>
      </c>
    </row>
    <row r="569" spans="5:49">
      <c r="E569">
        <f t="shared" si="314"/>
        <v>566</v>
      </c>
      <c r="F569" s="64">
        <f t="shared" si="297"/>
        <v>107.2</v>
      </c>
      <c r="G569" s="55">
        <f t="shared" si="298"/>
        <v>0</v>
      </c>
      <c r="H569" s="78">
        <f t="shared" si="317"/>
        <v>2.4366954920664725E-5</v>
      </c>
      <c r="I569" s="79">
        <f t="shared" ca="1" si="299"/>
        <v>0</v>
      </c>
      <c r="J569" s="79">
        <f t="shared" ca="1" si="300"/>
        <v>0</v>
      </c>
      <c r="K569" s="80">
        <f t="shared" ca="1" si="301"/>
        <v>0</v>
      </c>
      <c r="L569" s="80">
        <f t="shared" ca="1" si="302"/>
        <v>0</v>
      </c>
      <c r="M569" s="80">
        <f t="shared" ca="1" si="303"/>
        <v>0</v>
      </c>
      <c r="N569" s="80">
        <f t="shared" ca="1" si="304"/>
        <v>0</v>
      </c>
      <c r="O569" s="81">
        <f t="shared" ca="1" si="289"/>
        <v>0</v>
      </c>
      <c r="P569" s="79">
        <f t="shared" ca="1" si="290"/>
        <v>0</v>
      </c>
      <c r="R569">
        <f t="shared" ca="1" si="305"/>
        <v>566</v>
      </c>
      <c r="S569" s="78">
        <f t="shared" ca="1" si="306"/>
        <v>107.2</v>
      </c>
      <c r="T569" s="55">
        <f t="shared" ca="1" si="307"/>
        <v>0</v>
      </c>
      <c r="U569" s="78">
        <f t="shared" ca="1" si="308"/>
        <v>2.4366954920664725E-5</v>
      </c>
      <c r="V569" s="79">
        <f t="shared" ca="1" si="309"/>
        <v>0</v>
      </c>
      <c r="W569" s="79">
        <f t="shared" ca="1" si="291"/>
        <v>0</v>
      </c>
      <c r="X569" s="80">
        <f t="shared" ca="1" si="292"/>
        <v>0</v>
      </c>
      <c r="Y569" s="80">
        <f t="shared" ca="1" si="310"/>
        <v>0</v>
      </c>
      <c r="Z569" s="80">
        <f t="shared" ca="1" si="293"/>
        <v>0</v>
      </c>
      <c r="AA569" s="80">
        <f t="shared" ca="1" si="311"/>
        <v>0</v>
      </c>
      <c r="AB569" s="81">
        <f t="shared" ca="1" si="294"/>
        <v>0</v>
      </c>
      <c r="AC569" s="79">
        <f t="shared" ca="1" si="295"/>
        <v>0</v>
      </c>
      <c r="AE569" s="35"/>
      <c r="AF569" s="35"/>
      <c r="AR569" s="69">
        <f t="shared" si="312"/>
        <v>48</v>
      </c>
      <c r="AS569" s="70">
        <f t="shared" si="315"/>
        <v>566</v>
      </c>
      <c r="AT569" s="71">
        <f t="shared" si="316"/>
        <v>2.0771068152692418E-2</v>
      </c>
      <c r="AU569" s="72">
        <f t="shared" si="296"/>
        <v>6.8214933659622723E-3</v>
      </c>
      <c r="AV569" s="73">
        <f t="shared" si="313"/>
        <v>1.0068214933659623</v>
      </c>
      <c r="AW569" s="74">
        <f>PRODUCT(AV$4:AV569)</f>
        <v>46.892420526202656</v>
      </c>
    </row>
    <row r="570" spans="5:49">
      <c r="E570">
        <f t="shared" si="314"/>
        <v>567</v>
      </c>
      <c r="F570" s="64">
        <f t="shared" si="297"/>
        <v>107.28</v>
      </c>
      <c r="G570" s="55">
        <f t="shared" si="298"/>
        <v>0</v>
      </c>
      <c r="H570" s="78">
        <f t="shared" si="317"/>
        <v>2.4366954920664725E-5</v>
      </c>
      <c r="I570" s="79">
        <f t="shared" ca="1" si="299"/>
        <v>0</v>
      </c>
      <c r="J570" s="79">
        <f t="shared" ca="1" si="300"/>
        <v>0</v>
      </c>
      <c r="K570" s="80">
        <f t="shared" ca="1" si="301"/>
        <v>0</v>
      </c>
      <c r="L570" s="80">
        <f t="shared" ca="1" si="302"/>
        <v>0</v>
      </c>
      <c r="M570" s="80">
        <f t="shared" ca="1" si="303"/>
        <v>0</v>
      </c>
      <c r="N570" s="80">
        <f t="shared" ca="1" si="304"/>
        <v>0</v>
      </c>
      <c r="O570" s="81">
        <f t="shared" ca="1" si="289"/>
        <v>0</v>
      </c>
      <c r="P570" s="79">
        <f t="shared" ca="1" si="290"/>
        <v>0</v>
      </c>
      <c r="R570">
        <f t="shared" ca="1" si="305"/>
        <v>567</v>
      </c>
      <c r="S570" s="78">
        <f t="shared" ca="1" si="306"/>
        <v>107.28</v>
      </c>
      <c r="T570" s="55">
        <f t="shared" ca="1" si="307"/>
        <v>0</v>
      </c>
      <c r="U570" s="78">
        <f t="shared" ca="1" si="308"/>
        <v>2.4366954920664725E-5</v>
      </c>
      <c r="V570" s="79">
        <f t="shared" ca="1" si="309"/>
        <v>0</v>
      </c>
      <c r="W570" s="79">
        <f t="shared" ca="1" si="291"/>
        <v>0</v>
      </c>
      <c r="X570" s="80">
        <f t="shared" ca="1" si="292"/>
        <v>0</v>
      </c>
      <c r="Y570" s="80">
        <f t="shared" ca="1" si="310"/>
        <v>0</v>
      </c>
      <c r="Z570" s="80">
        <f t="shared" ca="1" si="293"/>
        <v>0</v>
      </c>
      <c r="AA570" s="80">
        <f t="shared" ca="1" si="311"/>
        <v>0</v>
      </c>
      <c r="AB570" s="81">
        <f t="shared" ca="1" si="294"/>
        <v>0</v>
      </c>
      <c r="AC570" s="79">
        <f t="shared" ca="1" si="295"/>
        <v>0</v>
      </c>
      <c r="AE570" s="35"/>
      <c r="AF570" s="35"/>
      <c r="AR570" s="69">
        <f t="shared" si="312"/>
        <v>48</v>
      </c>
      <c r="AS570" s="70">
        <f t="shared" si="315"/>
        <v>567</v>
      </c>
      <c r="AT570" s="71">
        <f t="shared" si="316"/>
        <v>2.0629378449084877E-2</v>
      </c>
      <c r="AU570" s="72">
        <f t="shared" si="296"/>
        <v>6.8214933659622723E-3</v>
      </c>
      <c r="AV570" s="73">
        <f t="shared" si="313"/>
        <v>1.0068214933659623</v>
      </c>
      <c r="AW570" s="74">
        <f>PRODUCT(AV$4:AV570)</f>
        <v>47.212296861736064</v>
      </c>
    </row>
    <row r="571" spans="5:49">
      <c r="E571">
        <f t="shared" si="314"/>
        <v>568</v>
      </c>
      <c r="F571" s="64">
        <f t="shared" si="297"/>
        <v>107.36</v>
      </c>
      <c r="G571" s="55">
        <f t="shared" si="298"/>
        <v>0</v>
      </c>
      <c r="H571" s="78">
        <f t="shared" si="317"/>
        <v>2.4366954920664725E-5</v>
      </c>
      <c r="I571" s="79">
        <f t="shared" ca="1" si="299"/>
        <v>0</v>
      </c>
      <c r="J571" s="79">
        <f t="shared" ca="1" si="300"/>
        <v>0</v>
      </c>
      <c r="K571" s="80">
        <f t="shared" ca="1" si="301"/>
        <v>0</v>
      </c>
      <c r="L571" s="80">
        <f t="shared" ca="1" si="302"/>
        <v>0</v>
      </c>
      <c r="M571" s="80">
        <f t="shared" ca="1" si="303"/>
        <v>0</v>
      </c>
      <c r="N571" s="80">
        <f t="shared" ca="1" si="304"/>
        <v>0</v>
      </c>
      <c r="O571" s="81">
        <f t="shared" ca="1" si="289"/>
        <v>0</v>
      </c>
      <c r="P571" s="79">
        <f t="shared" ca="1" si="290"/>
        <v>0</v>
      </c>
      <c r="R571">
        <f t="shared" ca="1" si="305"/>
        <v>568</v>
      </c>
      <c r="S571" s="78">
        <f t="shared" ca="1" si="306"/>
        <v>107.36</v>
      </c>
      <c r="T571" s="55">
        <f t="shared" ca="1" si="307"/>
        <v>0</v>
      </c>
      <c r="U571" s="78">
        <f t="shared" ca="1" si="308"/>
        <v>2.4366954920664725E-5</v>
      </c>
      <c r="V571" s="79">
        <f t="shared" ca="1" si="309"/>
        <v>0</v>
      </c>
      <c r="W571" s="79">
        <f t="shared" ca="1" si="291"/>
        <v>0</v>
      </c>
      <c r="X571" s="80">
        <f t="shared" ca="1" si="292"/>
        <v>0</v>
      </c>
      <c r="Y571" s="80">
        <f t="shared" ca="1" si="310"/>
        <v>0</v>
      </c>
      <c r="Z571" s="80">
        <f t="shared" ca="1" si="293"/>
        <v>0</v>
      </c>
      <c r="AA571" s="80">
        <f t="shared" ca="1" si="311"/>
        <v>0</v>
      </c>
      <c r="AB571" s="81">
        <f t="shared" ca="1" si="294"/>
        <v>0</v>
      </c>
      <c r="AC571" s="79">
        <f t="shared" ca="1" si="295"/>
        <v>0</v>
      </c>
      <c r="AE571" s="35"/>
      <c r="AF571" s="35"/>
      <c r="AR571" s="69">
        <f t="shared" si="312"/>
        <v>48</v>
      </c>
      <c r="AS571" s="70">
        <f t="shared" si="315"/>
        <v>568</v>
      </c>
      <c r="AT571" s="71">
        <f t="shared" si="316"/>
        <v>2.0488655280850521E-2</v>
      </c>
      <c r="AU571" s="72">
        <f t="shared" si="296"/>
        <v>6.8214933659622723E-3</v>
      </c>
      <c r="AV571" s="73">
        <f t="shared" si="313"/>
        <v>1.0068214933659623</v>
      </c>
      <c r="AW571" s="74">
        <f>PRODUCT(AV$4:AV571)</f>
        <v>47.534355231570238</v>
      </c>
    </row>
    <row r="572" spans="5:49">
      <c r="E572">
        <f t="shared" si="314"/>
        <v>569</v>
      </c>
      <c r="F572" s="64">
        <f t="shared" si="297"/>
        <v>107.44</v>
      </c>
      <c r="G572" s="55">
        <f t="shared" si="298"/>
        <v>0</v>
      </c>
      <c r="H572" s="78">
        <f t="shared" si="317"/>
        <v>2.4366954920664725E-5</v>
      </c>
      <c r="I572" s="79">
        <f t="shared" ca="1" si="299"/>
        <v>0</v>
      </c>
      <c r="J572" s="79">
        <f t="shared" ca="1" si="300"/>
        <v>0</v>
      </c>
      <c r="K572" s="80">
        <f t="shared" ca="1" si="301"/>
        <v>0</v>
      </c>
      <c r="L572" s="80">
        <f t="shared" ca="1" si="302"/>
        <v>0</v>
      </c>
      <c r="M572" s="80">
        <f t="shared" ca="1" si="303"/>
        <v>0</v>
      </c>
      <c r="N572" s="80">
        <f t="shared" ca="1" si="304"/>
        <v>0</v>
      </c>
      <c r="O572" s="81">
        <f t="shared" ca="1" si="289"/>
        <v>0</v>
      </c>
      <c r="P572" s="79">
        <f t="shared" ca="1" si="290"/>
        <v>0</v>
      </c>
      <c r="R572">
        <f t="shared" ca="1" si="305"/>
        <v>569</v>
      </c>
      <c r="S572" s="78">
        <f t="shared" ca="1" si="306"/>
        <v>107.44</v>
      </c>
      <c r="T572" s="55">
        <f t="shared" ca="1" si="307"/>
        <v>0</v>
      </c>
      <c r="U572" s="78">
        <f t="shared" ca="1" si="308"/>
        <v>2.4366954920664725E-5</v>
      </c>
      <c r="V572" s="79">
        <f t="shared" ca="1" si="309"/>
        <v>0</v>
      </c>
      <c r="W572" s="79">
        <f t="shared" ca="1" si="291"/>
        <v>0</v>
      </c>
      <c r="X572" s="80">
        <f t="shared" ca="1" si="292"/>
        <v>0</v>
      </c>
      <c r="Y572" s="80">
        <f t="shared" ca="1" si="310"/>
        <v>0</v>
      </c>
      <c r="Z572" s="80">
        <f t="shared" ca="1" si="293"/>
        <v>0</v>
      </c>
      <c r="AA572" s="80">
        <f t="shared" ca="1" si="311"/>
        <v>0</v>
      </c>
      <c r="AB572" s="81">
        <f t="shared" ca="1" si="294"/>
        <v>0</v>
      </c>
      <c r="AC572" s="79">
        <f t="shared" ca="1" si="295"/>
        <v>0</v>
      </c>
      <c r="AE572" s="35"/>
      <c r="AF572" s="35"/>
      <c r="AR572" s="69">
        <f t="shared" si="312"/>
        <v>48</v>
      </c>
      <c r="AS572" s="70">
        <f t="shared" si="315"/>
        <v>569</v>
      </c>
      <c r="AT572" s="71">
        <f t="shared" si="316"/>
        <v>2.0348892054774713E-2</v>
      </c>
      <c r="AU572" s="72">
        <f t="shared" si="296"/>
        <v>6.8214933659622723E-3</v>
      </c>
      <c r="AV572" s="73">
        <f t="shared" si="313"/>
        <v>1.0068214933659623</v>
      </c>
      <c r="AW572" s="74">
        <f>PRODUCT(AV$4:AV572)</f>
        <v>47.858610520437686</v>
      </c>
    </row>
    <row r="573" spans="5:49">
      <c r="E573">
        <f t="shared" si="314"/>
        <v>570</v>
      </c>
      <c r="F573" s="64">
        <f t="shared" si="297"/>
        <v>107.52</v>
      </c>
      <c r="G573" s="55">
        <f t="shared" si="298"/>
        <v>0</v>
      </c>
      <c r="H573" s="78">
        <f t="shared" si="317"/>
        <v>2.4366954920664725E-5</v>
      </c>
      <c r="I573" s="79">
        <f t="shared" ca="1" si="299"/>
        <v>0</v>
      </c>
      <c r="J573" s="79">
        <f t="shared" ca="1" si="300"/>
        <v>0</v>
      </c>
      <c r="K573" s="80">
        <f t="shared" ca="1" si="301"/>
        <v>0</v>
      </c>
      <c r="L573" s="80">
        <f t="shared" ca="1" si="302"/>
        <v>0</v>
      </c>
      <c r="M573" s="80">
        <f t="shared" ca="1" si="303"/>
        <v>0</v>
      </c>
      <c r="N573" s="80">
        <f t="shared" ca="1" si="304"/>
        <v>0</v>
      </c>
      <c r="O573" s="81">
        <f t="shared" ca="1" si="289"/>
        <v>0</v>
      </c>
      <c r="P573" s="79">
        <f t="shared" ca="1" si="290"/>
        <v>0</v>
      </c>
      <c r="R573">
        <f t="shared" ca="1" si="305"/>
        <v>570</v>
      </c>
      <c r="S573" s="78">
        <f t="shared" ca="1" si="306"/>
        <v>107.52</v>
      </c>
      <c r="T573" s="55">
        <f t="shared" ca="1" si="307"/>
        <v>0</v>
      </c>
      <c r="U573" s="78">
        <f t="shared" ca="1" si="308"/>
        <v>2.4366954920664725E-5</v>
      </c>
      <c r="V573" s="79">
        <f t="shared" ca="1" si="309"/>
        <v>0</v>
      </c>
      <c r="W573" s="79">
        <f t="shared" ca="1" si="291"/>
        <v>0</v>
      </c>
      <c r="X573" s="80">
        <f t="shared" ca="1" si="292"/>
        <v>0</v>
      </c>
      <c r="Y573" s="80">
        <f t="shared" ca="1" si="310"/>
        <v>0</v>
      </c>
      <c r="Z573" s="80">
        <f t="shared" ca="1" si="293"/>
        <v>0</v>
      </c>
      <c r="AA573" s="80">
        <f t="shared" ca="1" si="311"/>
        <v>0</v>
      </c>
      <c r="AB573" s="81">
        <f t="shared" ca="1" si="294"/>
        <v>0</v>
      </c>
      <c r="AC573" s="79">
        <f t="shared" ca="1" si="295"/>
        <v>0</v>
      </c>
      <c r="AE573" s="35"/>
      <c r="AF573" s="35"/>
      <c r="AR573" s="69">
        <f t="shared" si="312"/>
        <v>48</v>
      </c>
      <c r="AS573" s="70">
        <f t="shared" si="315"/>
        <v>570</v>
      </c>
      <c r="AT573" s="71">
        <f t="shared" si="316"/>
        <v>2.0210082222618386E-2</v>
      </c>
      <c r="AU573" s="72">
        <f t="shared" si="296"/>
        <v>6.8214933659622723E-3</v>
      </c>
      <c r="AV573" s="73">
        <f t="shared" si="313"/>
        <v>1.0068214933659623</v>
      </c>
      <c r="AW573" s="74">
        <f>PRODUCT(AV$4:AV573)</f>
        <v>48.185077714607026</v>
      </c>
    </row>
    <row r="574" spans="5:49">
      <c r="E574">
        <f t="shared" si="314"/>
        <v>571</v>
      </c>
      <c r="F574" s="64">
        <f t="shared" si="297"/>
        <v>107.6</v>
      </c>
      <c r="G574" s="55">
        <f t="shared" si="298"/>
        <v>0</v>
      </c>
      <c r="H574" s="78">
        <f t="shared" si="317"/>
        <v>2.4366954920664725E-5</v>
      </c>
      <c r="I574" s="79">
        <f t="shared" ca="1" si="299"/>
        <v>0</v>
      </c>
      <c r="J574" s="79">
        <f t="shared" ca="1" si="300"/>
        <v>0</v>
      </c>
      <c r="K574" s="80">
        <f t="shared" ca="1" si="301"/>
        <v>0</v>
      </c>
      <c r="L574" s="80">
        <f t="shared" ca="1" si="302"/>
        <v>0</v>
      </c>
      <c r="M574" s="80">
        <f t="shared" ca="1" si="303"/>
        <v>0</v>
      </c>
      <c r="N574" s="80">
        <f t="shared" ca="1" si="304"/>
        <v>0</v>
      </c>
      <c r="O574" s="81">
        <f t="shared" ca="1" si="289"/>
        <v>0</v>
      </c>
      <c r="P574" s="79">
        <f t="shared" ca="1" si="290"/>
        <v>0</v>
      </c>
      <c r="R574">
        <f t="shared" ca="1" si="305"/>
        <v>571</v>
      </c>
      <c r="S574" s="78">
        <f t="shared" ca="1" si="306"/>
        <v>107.6</v>
      </c>
      <c r="T574" s="55">
        <f t="shared" ca="1" si="307"/>
        <v>0</v>
      </c>
      <c r="U574" s="78">
        <f t="shared" ca="1" si="308"/>
        <v>2.4366954920664725E-5</v>
      </c>
      <c r="V574" s="79">
        <f t="shared" ca="1" si="309"/>
        <v>0</v>
      </c>
      <c r="W574" s="79">
        <f t="shared" ca="1" si="291"/>
        <v>0</v>
      </c>
      <c r="X574" s="80">
        <f t="shared" ca="1" si="292"/>
        <v>0</v>
      </c>
      <c r="Y574" s="80">
        <f t="shared" ca="1" si="310"/>
        <v>0</v>
      </c>
      <c r="Z574" s="80">
        <f t="shared" ca="1" si="293"/>
        <v>0</v>
      </c>
      <c r="AA574" s="80">
        <f t="shared" ca="1" si="311"/>
        <v>0</v>
      </c>
      <c r="AB574" s="81">
        <f t="shared" ca="1" si="294"/>
        <v>0</v>
      </c>
      <c r="AC574" s="79">
        <f t="shared" ca="1" si="295"/>
        <v>0</v>
      </c>
      <c r="AE574" s="35"/>
      <c r="AF574" s="35"/>
      <c r="AR574" s="69">
        <f t="shared" si="312"/>
        <v>48</v>
      </c>
      <c r="AS574" s="70">
        <f t="shared" si="315"/>
        <v>571</v>
      </c>
      <c r="AT574" s="71">
        <f t="shared" si="316"/>
        <v>2.0072219280811245E-2</v>
      </c>
      <c r="AU574" s="72">
        <f t="shared" si="296"/>
        <v>6.8214933659622723E-3</v>
      </c>
      <c r="AV574" s="73">
        <f t="shared" si="313"/>
        <v>1.0068214933659623</v>
      </c>
      <c r="AW574" s="74">
        <f>PRODUCT(AV$4:AV574)</f>
        <v>48.513771902575591</v>
      </c>
    </row>
    <row r="575" spans="5:49">
      <c r="E575">
        <f t="shared" si="314"/>
        <v>572</v>
      </c>
      <c r="F575" s="64">
        <f t="shared" si="297"/>
        <v>107.68</v>
      </c>
      <c r="G575" s="55">
        <f t="shared" si="298"/>
        <v>0</v>
      </c>
      <c r="H575" s="78">
        <f t="shared" si="317"/>
        <v>2.4366954920664725E-5</v>
      </c>
      <c r="I575" s="79">
        <f t="shared" ca="1" si="299"/>
        <v>0</v>
      </c>
      <c r="J575" s="79">
        <f t="shared" ca="1" si="300"/>
        <v>0</v>
      </c>
      <c r="K575" s="80">
        <f t="shared" ca="1" si="301"/>
        <v>0</v>
      </c>
      <c r="L575" s="80">
        <f t="shared" ca="1" si="302"/>
        <v>0</v>
      </c>
      <c r="M575" s="80">
        <f t="shared" ca="1" si="303"/>
        <v>0</v>
      </c>
      <c r="N575" s="80">
        <f t="shared" ca="1" si="304"/>
        <v>0</v>
      </c>
      <c r="O575" s="81">
        <f t="shared" ca="1" si="289"/>
        <v>0</v>
      </c>
      <c r="P575" s="79">
        <f t="shared" ca="1" si="290"/>
        <v>0</v>
      </c>
      <c r="R575">
        <f t="shared" ca="1" si="305"/>
        <v>572</v>
      </c>
      <c r="S575" s="78">
        <f t="shared" ca="1" si="306"/>
        <v>107.68</v>
      </c>
      <c r="T575" s="55">
        <f t="shared" ca="1" si="307"/>
        <v>0</v>
      </c>
      <c r="U575" s="78">
        <f t="shared" ca="1" si="308"/>
        <v>2.4366954920664725E-5</v>
      </c>
      <c r="V575" s="79">
        <f t="shared" ca="1" si="309"/>
        <v>0</v>
      </c>
      <c r="W575" s="79">
        <f t="shared" ca="1" si="291"/>
        <v>0</v>
      </c>
      <c r="X575" s="80">
        <f t="shared" ca="1" si="292"/>
        <v>0</v>
      </c>
      <c r="Y575" s="80">
        <f t="shared" ca="1" si="310"/>
        <v>0</v>
      </c>
      <c r="Z575" s="80">
        <f t="shared" ca="1" si="293"/>
        <v>0</v>
      </c>
      <c r="AA575" s="80">
        <f t="shared" ca="1" si="311"/>
        <v>0</v>
      </c>
      <c r="AB575" s="81">
        <f t="shared" ca="1" si="294"/>
        <v>0</v>
      </c>
      <c r="AC575" s="79">
        <f t="shared" ca="1" si="295"/>
        <v>0</v>
      </c>
      <c r="AE575" s="35"/>
      <c r="AF575" s="35"/>
      <c r="AR575" s="69">
        <f t="shared" si="312"/>
        <v>48</v>
      </c>
      <c r="AS575" s="70">
        <f t="shared" si="315"/>
        <v>572</v>
      </c>
      <c r="AT575" s="71">
        <f t="shared" si="316"/>
        <v>1.9935296770147052E-2</v>
      </c>
      <c r="AU575" s="72">
        <f t="shared" si="296"/>
        <v>6.8214933659622723E-3</v>
      </c>
      <c r="AV575" s="73">
        <f t="shared" si="313"/>
        <v>1.0068214933659623</v>
      </c>
      <c r="AW575" s="74">
        <f>PRODUCT(AV$4:AV575)</f>
        <v>48.84470827576682</v>
      </c>
    </row>
    <row r="576" spans="5:49">
      <c r="E576">
        <f t="shared" si="314"/>
        <v>573</v>
      </c>
      <c r="F576" s="64">
        <f t="shared" si="297"/>
        <v>107.76</v>
      </c>
      <c r="G576" s="55">
        <f t="shared" si="298"/>
        <v>0</v>
      </c>
      <c r="H576" s="78">
        <f t="shared" si="317"/>
        <v>2.4366954920664725E-5</v>
      </c>
      <c r="I576" s="79">
        <f t="shared" ca="1" si="299"/>
        <v>0</v>
      </c>
      <c r="J576" s="79">
        <f t="shared" ca="1" si="300"/>
        <v>0</v>
      </c>
      <c r="K576" s="80">
        <f t="shared" ca="1" si="301"/>
        <v>0</v>
      </c>
      <c r="L576" s="80">
        <f t="shared" ca="1" si="302"/>
        <v>0</v>
      </c>
      <c r="M576" s="80">
        <f t="shared" ca="1" si="303"/>
        <v>0</v>
      </c>
      <c r="N576" s="80">
        <f t="shared" ca="1" si="304"/>
        <v>0</v>
      </c>
      <c r="O576" s="81">
        <f t="shared" ca="1" si="289"/>
        <v>0</v>
      </c>
      <c r="P576" s="79">
        <f t="shared" ca="1" si="290"/>
        <v>0</v>
      </c>
      <c r="R576">
        <f t="shared" ca="1" si="305"/>
        <v>573</v>
      </c>
      <c r="S576" s="78">
        <f t="shared" ca="1" si="306"/>
        <v>107.76</v>
      </c>
      <c r="T576" s="55">
        <f t="shared" ca="1" si="307"/>
        <v>0</v>
      </c>
      <c r="U576" s="78">
        <f t="shared" ca="1" si="308"/>
        <v>2.4366954920664725E-5</v>
      </c>
      <c r="V576" s="79">
        <f t="shared" ca="1" si="309"/>
        <v>0</v>
      </c>
      <c r="W576" s="79">
        <f t="shared" ca="1" si="291"/>
        <v>0</v>
      </c>
      <c r="X576" s="80">
        <f t="shared" ca="1" si="292"/>
        <v>0</v>
      </c>
      <c r="Y576" s="80">
        <f t="shared" ca="1" si="310"/>
        <v>0</v>
      </c>
      <c r="Z576" s="80">
        <f t="shared" ca="1" si="293"/>
        <v>0</v>
      </c>
      <c r="AA576" s="80">
        <f t="shared" ca="1" si="311"/>
        <v>0</v>
      </c>
      <c r="AB576" s="81">
        <f t="shared" ca="1" si="294"/>
        <v>0</v>
      </c>
      <c r="AC576" s="79">
        <f t="shared" ca="1" si="295"/>
        <v>0</v>
      </c>
      <c r="AE576" s="35"/>
      <c r="AF576" s="35"/>
      <c r="AR576" s="69">
        <f t="shared" si="312"/>
        <v>48</v>
      </c>
      <c r="AS576" s="70">
        <f t="shared" si="315"/>
        <v>573</v>
      </c>
      <c r="AT576" s="71">
        <f t="shared" si="316"/>
        <v>1.9799308275481004E-2</v>
      </c>
      <c r="AU576" s="72">
        <f t="shared" si="296"/>
        <v>6.8214933659622723E-3</v>
      </c>
      <c r="AV576" s="73">
        <f t="shared" si="313"/>
        <v>1.0068214933659623</v>
      </c>
      <c r="AW576" s="74">
        <f>PRODUCT(AV$4:AV576)</f>
        <v>49.177902129232322</v>
      </c>
    </row>
    <row r="577" spans="5:49">
      <c r="E577">
        <f t="shared" si="314"/>
        <v>574</v>
      </c>
      <c r="F577" s="64">
        <f t="shared" si="297"/>
        <v>107.84</v>
      </c>
      <c r="G577" s="55">
        <f t="shared" si="298"/>
        <v>0</v>
      </c>
      <c r="H577" s="78">
        <f t="shared" si="317"/>
        <v>2.4366954920664725E-5</v>
      </c>
      <c r="I577" s="79">
        <f t="shared" ca="1" si="299"/>
        <v>0</v>
      </c>
      <c r="J577" s="79">
        <f t="shared" ca="1" si="300"/>
        <v>0</v>
      </c>
      <c r="K577" s="80">
        <f t="shared" ca="1" si="301"/>
        <v>0</v>
      </c>
      <c r="L577" s="80">
        <f t="shared" ca="1" si="302"/>
        <v>0</v>
      </c>
      <c r="M577" s="80">
        <f t="shared" ca="1" si="303"/>
        <v>0</v>
      </c>
      <c r="N577" s="80">
        <f t="shared" ca="1" si="304"/>
        <v>0</v>
      </c>
      <c r="O577" s="81">
        <f t="shared" ca="1" si="289"/>
        <v>0</v>
      </c>
      <c r="P577" s="79">
        <f t="shared" ca="1" si="290"/>
        <v>0</v>
      </c>
      <c r="R577">
        <f t="shared" ca="1" si="305"/>
        <v>574</v>
      </c>
      <c r="S577" s="78">
        <f t="shared" ca="1" si="306"/>
        <v>107.84</v>
      </c>
      <c r="T577" s="55">
        <f t="shared" ca="1" si="307"/>
        <v>0</v>
      </c>
      <c r="U577" s="78">
        <f t="shared" ca="1" si="308"/>
        <v>2.4366954920664725E-5</v>
      </c>
      <c r="V577" s="79">
        <f t="shared" ca="1" si="309"/>
        <v>0</v>
      </c>
      <c r="W577" s="79">
        <f t="shared" ca="1" si="291"/>
        <v>0</v>
      </c>
      <c r="X577" s="80">
        <f t="shared" ca="1" si="292"/>
        <v>0</v>
      </c>
      <c r="Y577" s="80">
        <f t="shared" ca="1" si="310"/>
        <v>0</v>
      </c>
      <c r="Z577" s="80">
        <f t="shared" ca="1" si="293"/>
        <v>0</v>
      </c>
      <c r="AA577" s="80">
        <f t="shared" ca="1" si="311"/>
        <v>0</v>
      </c>
      <c r="AB577" s="81">
        <f t="shared" ca="1" si="294"/>
        <v>0</v>
      </c>
      <c r="AC577" s="79">
        <f t="shared" ca="1" si="295"/>
        <v>0</v>
      </c>
      <c r="AE577" s="35"/>
      <c r="AF577" s="35"/>
      <c r="AR577" s="69">
        <f t="shared" si="312"/>
        <v>48</v>
      </c>
      <c r="AS577" s="70">
        <f t="shared" si="315"/>
        <v>574</v>
      </c>
      <c r="AT577" s="71">
        <f t="shared" si="316"/>
        <v>1.9664247425429167E-2</v>
      </c>
      <c r="AU577" s="72">
        <f t="shared" si="296"/>
        <v>6.8214933659622723E-3</v>
      </c>
      <c r="AV577" s="73">
        <f t="shared" si="313"/>
        <v>1.0068214933659623</v>
      </c>
      <c r="AW577" s="74">
        <f>PRODUCT(AV$4:AV577)</f>
        <v>49.513368862358824</v>
      </c>
    </row>
    <row r="578" spans="5:49">
      <c r="E578">
        <f t="shared" si="314"/>
        <v>575</v>
      </c>
      <c r="F578" s="64">
        <f t="shared" si="297"/>
        <v>107.92</v>
      </c>
      <c r="G578" s="55">
        <f t="shared" si="298"/>
        <v>0</v>
      </c>
      <c r="H578" s="78">
        <f t="shared" si="317"/>
        <v>2.4366954920664725E-5</v>
      </c>
      <c r="I578" s="79">
        <f t="shared" ca="1" si="299"/>
        <v>0</v>
      </c>
      <c r="J578" s="79">
        <f t="shared" ca="1" si="300"/>
        <v>0</v>
      </c>
      <c r="K578" s="80">
        <f t="shared" ca="1" si="301"/>
        <v>0</v>
      </c>
      <c r="L578" s="80">
        <f t="shared" ca="1" si="302"/>
        <v>0</v>
      </c>
      <c r="M578" s="80">
        <f t="shared" ca="1" si="303"/>
        <v>0</v>
      </c>
      <c r="N578" s="80">
        <f t="shared" ca="1" si="304"/>
        <v>0</v>
      </c>
      <c r="O578" s="81">
        <f t="shared" ca="1" si="289"/>
        <v>0</v>
      </c>
      <c r="P578" s="79">
        <f t="shared" ca="1" si="290"/>
        <v>0</v>
      </c>
      <c r="R578">
        <f t="shared" ca="1" si="305"/>
        <v>575</v>
      </c>
      <c r="S578" s="78">
        <f t="shared" ca="1" si="306"/>
        <v>107.92</v>
      </c>
      <c r="T578" s="55">
        <f t="shared" ca="1" si="307"/>
        <v>0</v>
      </c>
      <c r="U578" s="78">
        <f t="shared" ca="1" si="308"/>
        <v>2.4366954920664725E-5</v>
      </c>
      <c r="V578" s="79">
        <f t="shared" ca="1" si="309"/>
        <v>0</v>
      </c>
      <c r="W578" s="79">
        <f t="shared" ca="1" si="291"/>
        <v>0</v>
      </c>
      <c r="X578" s="80">
        <f t="shared" ca="1" si="292"/>
        <v>0</v>
      </c>
      <c r="Y578" s="80">
        <f t="shared" ca="1" si="310"/>
        <v>0</v>
      </c>
      <c r="Z578" s="80">
        <f t="shared" ca="1" si="293"/>
        <v>0</v>
      </c>
      <c r="AA578" s="80">
        <f t="shared" ca="1" si="311"/>
        <v>0</v>
      </c>
      <c r="AB578" s="81">
        <f t="shared" ca="1" si="294"/>
        <v>0</v>
      </c>
      <c r="AC578" s="79">
        <f t="shared" ca="1" si="295"/>
        <v>0</v>
      </c>
      <c r="AE578" s="35"/>
      <c r="AF578" s="35"/>
      <c r="AR578" s="69">
        <f t="shared" si="312"/>
        <v>48</v>
      </c>
      <c r="AS578" s="70">
        <f t="shared" si="315"/>
        <v>575</v>
      </c>
      <c r="AT578" s="71">
        <f t="shared" si="316"/>
        <v>1.9530107892069961E-2</v>
      </c>
      <c r="AU578" s="72">
        <f t="shared" si="296"/>
        <v>6.8214933659622723E-3</v>
      </c>
      <c r="AV578" s="73">
        <f t="shared" si="313"/>
        <v>1.0068214933659623</v>
      </c>
      <c r="AW578" s="74">
        <f>PRODUCT(AV$4:AV578)</f>
        <v>49.851123979579846</v>
      </c>
    </row>
    <row r="579" spans="5:49">
      <c r="E579">
        <f t="shared" si="314"/>
        <v>576</v>
      </c>
      <c r="F579" s="64">
        <f t="shared" si="297"/>
        <v>108</v>
      </c>
      <c r="G579" s="55">
        <f t="shared" si="298"/>
        <v>0</v>
      </c>
      <c r="H579" s="78">
        <f t="shared" si="317"/>
        <v>2.4366954920664725E-5</v>
      </c>
      <c r="I579" s="79">
        <f t="shared" ca="1" si="299"/>
        <v>0</v>
      </c>
      <c r="J579" s="79">
        <f t="shared" ca="1" si="300"/>
        <v>0</v>
      </c>
      <c r="K579" s="80">
        <f t="shared" ca="1" si="301"/>
        <v>0</v>
      </c>
      <c r="L579" s="80">
        <f t="shared" ca="1" si="302"/>
        <v>0</v>
      </c>
      <c r="M579" s="80">
        <f t="shared" ca="1" si="303"/>
        <v>0</v>
      </c>
      <c r="N579" s="80">
        <f t="shared" ca="1" si="304"/>
        <v>0</v>
      </c>
      <c r="O579" s="81">
        <f t="shared" ca="1" si="289"/>
        <v>0</v>
      </c>
      <c r="P579" s="79">
        <f t="shared" ca="1" si="290"/>
        <v>0</v>
      </c>
      <c r="R579">
        <f t="shared" ca="1" si="305"/>
        <v>576</v>
      </c>
      <c r="S579" s="78">
        <f t="shared" ca="1" si="306"/>
        <v>108</v>
      </c>
      <c r="T579" s="55">
        <f t="shared" ca="1" si="307"/>
        <v>0</v>
      </c>
      <c r="U579" s="78">
        <f t="shared" ca="1" si="308"/>
        <v>2.4366954920664725E-5</v>
      </c>
      <c r="V579" s="79">
        <f t="shared" ca="1" si="309"/>
        <v>0</v>
      </c>
      <c r="W579" s="79">
        <f t="shared" ca="1" si="291"/>
        <v>0</v>
      </c>
      <c r="X579" s="80">
        <f t="shared" ca="1" si="292"/>
        <v>0</v>
      </c>
      <c r="Y579" s="80">
        <f t="shared" ca="1" si="310"/>
        <v>0</v>
      </c>
      <c r="Z579" s="80">
        <f t="shared" ca="1" si="293"/>
        <v>0</v>
      </c>
      <c r="AA579" s="80">
        <f t="shared" ca="1" si="311"/>
        <v>0</v>
      </c>
      <c r="AB579" s="81">
        <f t="shared" ca="1" si="294"/>
        <v>0</v>
      </c>
      <c r="AC579" s="79">
        <f t="shared" ca="1" si="295"/>
        <v>0</v>
      </c>
      <c r="AE579" s="35"/>
      <c r="AF579" s="35"/>
      <c r="AR579" s="69">
        <f t="shared" si="312"/>
        <v>48</v>
      </c>
      <c r="AS579" s="70">
        <f t="shared" si="315"/>
        <v>576</v>
      </c>
      <c r="AT579" s="71">
        <f t="shared" si="316"/>
        <v>1.9396883390647678E-2</v>
      </c>
      <c r="AU579" s="72">
        <f t="shared" si="296"/>
        <v>6.8214933659622723E-3</v>
      </c>
      <c r="AV579" s="73">
        <f t="shared" si="313"/>
        <v>1.0068214933659623</v>
      </c>
      <c r="AW579" s="74">
        <f>PRODUCT(AV$4:AV579)</f>
        <v>50.191183091092313</v>
      </c>
    </row>
    <row r="580" spans="5:49">
      <c r="E580">
        <f t="shared" si="314"/>
        <v>577</v>
      </c>
      <c r="F580" s="64">
        <f t="shared" si="297"/>
        <v>108.08</v>
      </c>
      <c r="G580" s="55">
        <f t="shared" si="298"/>
        <v>0</v>
      </c>
      <c r="H580" s="78">
        <f t="shared" si="317"/>
        <v>2.4366954920664725E-5</v>
      </c>
      <c r="I580" s="79">
        <f t="shared" ca="1" si="299"/>
        <v>0</v>
      </c>
      <c r="J580" s="79">
        <f t="shared" ca="1" si="300"/>
        <v>0</v>
      </c>
      <c r="K580" s="80">
        <f t="shared" ca="1" si="301"/>
        <v>0</v>
      </c>
      <c r="L580" s="80">
        <f t="shared" ca="1" si="302"/>
        <v>0</v>
      </c>
      <c r="M580" s="80">
        <f t="shared" ca="1" si="303"/>
        <v>0</v>
      </c>
      <c r="N580" s="80">
        <f t="shared" ca="1" si="304"/>
        <v>0</v>
      </c>
      <c r="O580" s="81">
        <f t="shared" ref="O580:O643" ca="1" si="318">-MIN(IF(MOD(R580,IF($C$5="Annual",12,1))=0,1,0)*$C$33*U580/IF($C$5="Monthly",12,1),I580)</f>
        <v>0</v>
      </c>
      <c r="P580" s="79">
        <f t="shared" ref="P580:P643" ca="1" si="319">SUM(I580:O580)</f>
        <v>0</v>
      </c>
      <c r="R580">
        <f t="shared" ca="1" si="305"/>
        <v>577</v>
      </c>
      <c r="S580" s="78">
        <f t="shared" ca="1" si="306"/>
        <v>108.08</v>
      </c>
      <c r="T580" s="55">
        <f t="shared" ca="1" si="307"/>
        <v>0</v>
      </c>
      <c r="U580" s="78">
        <f t="shared" ca="1" si="308"/>
        <v>2.4366954920664725E-5</v>
      </c>
      <c r="V580" s="79">
        <f t="shared" ca="1" si="309"/>
        <v>0</v>
      </c>
      <c r="W580" s="79">
        <f t="shared" ref="W580:W643" ca="1" si="320">(V580)*$AU580</f>
        <v>0</v>
      </c>
      <c r="X580" s="80">
        <f t="shared" ref="X580:X643" ca="1" si="321">IF(V580=0,0,-$C$19)*U580</f>
        <v>0</v>
      </c>
      <c r="Y580" s="80">
        <f t="shared" ca="1" si="310"/>
        <v>0</v>
      </c>
      <c r="Z580" s="80">
        <f t="shared" ref="Z580:Z643" ca="1" si="322">-IF(MOD(R580-1,12)=0,1,0)*V580*($C$17)</f>
        <v>0</v>
      </c>
      <c r="AA580" s="80">
        <f t="shared" ca="1" si="311"/>
        <v>0</v>
      </c>
      <c r="AB580" s="81">
        <f t="shared" ref="AB580:AB643" ca="1" si="323">-MIN(IF(MOD(R580,IF($C$5="Annual",12,1))=0,1,0)*$C$33*U580/IF($C$5="Monthly",12,1),V580)</f>
        <v>0</v>
      </c>
      <c r="AC580" s="79">
        <f t="shared" ref="AC580:AC643" ca="1" si="324">SUM(V580:AB580)</f>
        <v>0</v>
      </c>
      <c r="AE580" s="35"/>
      <c r="AF580" s="35"/>
      <c r="AR580" s="69">
        <f t="shared" si="312"/>
        <v>49</v>
      </c>
      <c r="AS580" s="70">
        <f t="shared" si="315"/>
        <v>577</v>
      </c>
      <c r="AT580" s="71">
        <f t="shared" si="316"/>
        <v>1.9264567679278029E-2</v>
      </c>
      <c r="AU580" s="72">
        <f t="shared" ref="AU580:AU643" si="325">((1+$AH$21)^(1/12))-1</f>
        <v>6.8214933659622723E-3</v>
      </c>
      <c r="AV580" s="73">
        <f t="shared" si="313"/>
        <v>1.0068214933659623</v>
      </c>
      <c r="AW580" s="74">
        <f>PRODUCT(AV$4:AV580)</f>
        <v>50.533561913577998</v>
      </c>
    </row>
    <row r="581" spans="5:49">
      <c r="E581">
        <f t="shared" si="314"/>
        <v>578</v>
      </c>
      <c r="F581" s="64">
        <f t="shared" ref="F581:F644" si="326">ROUND((E581-E580)/12+F580,2)</f>
        <v>108.16</v>
      </c>
      <c r="G581" s="55">
        <f t="shared" ref="G581:G644" si="327">(1-(1-IF(F581&gt;$AJ$90,0,VLOOKUP(ROUND(F581,0),$AJ$4:$AK$90,2,FALSE)))^(1/12))</f>
        <v>0</v>
      </c>
      <c r="H581" s="78">
        <f t="shared" si="317"/>
        <v>2.4366954920664725E-5</v>
      </c>
      <c r="I581" s="79">
        <f t="shared" ref="I581:I644" ca="1" si="328">MAX(P580,0)*(1-G581)</f>
        <v>0</v>
      </c>
      <c r="J581" s="79">
        <f t="shared" ref="J581:J644" ca="1" si="329">(I581)*$AU581</f>
        <v>0</v>
      </c>
      <c r="K581" s="80">
        <f t="shared" ref="K581:K644" ca="1" si="330">IF(I581=0,0,-$C$19)*H581</f>
        <v>0</v>
      </c>
      <c r="L581" s="80">
        <f t="shared" ref="L581:L644" ca="1" si="331">IF(OR(I580+O580=0,K580=0),0,-I581*($C$16/12))</f>
        <v>0</v>
      </c>
      <c r="M581" s="80">
        <f t="shared" ref="M581:M644" ca="1" si="332">IF(OR(I580+O580=0,K580=0),0,-IF(MOD(E581-1,12)=0,1,0)*I581*($C$17))</f>
        <v>0</v>
      </c>
      <c r="N581" s="80">
        <f t="shared" ref="N581:N644" ca="1" si="333">IF(OR(I580+O580=0,K580=0),0,-I581*($C$18*(1+$C$20))/12)</f>
        <v>0</v>
      </c>
      <c r="O581" s="81">
        <f t="shared" ca="1" si="318"/>
        <v>0</v>
      </c>
      <c r="P581" s="79">
        <f t="shared" ca="1" si="319"/>
        <v>0</v>
      </c>
      <c r="R581">
        <f t="shared" ref="R581:R644" ca="1" si="334">R580+1</f>
        <v>578</v>
      </c>
      <c r="S581" s="78">
        <f t="shared" ref="S581:S644" ca="1" si="335">ROUND((R581-R580)/12+S580,2)</f>
        <v>108.16</v>
      </c>
      <c r="T581" s="55">
        <f t="shared" ref="T581:T644" ca="1" si="336">(1-(1-IF(S581&gt;$AJ$90,0,VLOOKUP(ROUND(S581,0),$AJ$4:$AK$90,2,FALSE)))^(1/12))</f>
        <v>0</v>
      </c>
      <c r="U581" s="78">
        <f t="shared" ref="U581:U644" ca="1" si="337">U580*(1-T581)</f>
        <v>2.4366954920664725E-5</v>
      </c>
      <c r="V581" s="79">
        <f t="shared" ref="V581:V644" ca="1" si="338">MAX(AC580,0)*(1-T581)</f>
        <v>0</v>
      </c>
      <c r="W581" s="79">
        <f t="shared" ca="1" si="320"/>
        <v>0</v>
      </c>
      <c r="X581" s="80">
        <f t="shared" ca="1" si="321"/>
        <v>0</v>
      </c>
      <c r="Y581" s="80">
        <f t="shared" ref="Y581:Y644" ca="1" si="339">IF(OR(V580+AB580=0,X580=0),0,-V581*($C$16/12))</f>
        <v>0</v>
      </c>
      <c r="Z581" s="80">
        <f t="shared" ca="1" si="322"/>
        <v>0</v>
      </c>
      <c r="AA581" s="80">
        <f t="shared" ref="AA581:AA644" ca="1" si="340">IF(OR(V580+AB580=0,X580=0),0,-V581*($C$18*(1+$C$20))/12)</f>
        <v>0</v>
      </c>
      <c r="AB581" s="81">
        <f t="shared" ca="1" si="323"/>
        <v>0</v>
      </c>
      <c r="AC581" s="79">
        <f t="shared" ca="1" si="324"/>
        <v>0</v>
      </c>
      <c r="AE581" s="35"/>
      <c r="AF581" s="35"/>
      <c r="AR581" s="69">
        <f t="shared" ref="AR581:AR644" si="341">ROUNDDOWN((AS581-1)/12,0)+1</f>
        <v>49</v>
      </c>
      <c r="AS581" s="70">
        <f t="shared" si="315"/>
        <v>578</v>
      </c>
      <c r="AT581" s="71">
        <f t="shared" si="316"/>
        <v>1.9133154558655704E-2</v>
      </c>
      <c r="AU581" s="72">
        <f t="shared" si="325"/>
        <v>6.8214933659622723E-3</v>
      </c>
      <c r="AV581" s="73">
        <f t="shared" ref="AV581:AV644" si="342">(1+AU581)</f>
        <v>1.0068214933659623</v>
      </c>
      <c r="AW581" s="74">
        <f>PRODUCT(AV$4:AV581)</f>
        <v>50.878276270929916</v>
      </c>
    </row>
    <row r="582" spans="5:49">
      <c r="E582">
        <f t="shared" ref="E582:E645" si="343">E581+1</f>
        <v>579</v>
      </c>
      <c r="F582" s="64">
        <f t="shared" si="326"/>
        <v>108.24</v>
      </c>
      <c r="G582" s="55">
        <f t="shared" si="327"/>
        <v>0</v>
      </c>
      <c r="H582" s="78">
        <f t="shared" si="317"/>
        <v>2.4366954920664725E-5</v>
      </c>
      <c r="I582" s="79">
        <f t="shared" ca="1" si="328"/>
        <v>0</v>
      </c>
      <c r="J582" s="79">
        <f t="shared" ca="1" si="329"/>
        <v>0</v>
      </c>
      <c r="K582" s="80">
        <f t="shared" ca="1" si="330"/>
        <v>0</v>
      </c>
      <c r="L582" s="80">
        <f t="shared" ca="1" si="331"/>
        <v>0</v>
      </c>
      <c r="M582" s="80">
        <f t="shared" ca="1" si="332"/>
        <v>0</v>
      </c>
      <c r="N582" s="80">
        <f t="shared" ca="1" si="333"/>
        <v>0</v>
      </c>
      <c r="O582" s="81">
        <f t="shared" ca="1" si="318"/>
        <v>0</v>
      </c>
      <c r="P582" s="79">
        <f t="shared" ca="1" si="319"/>
        <v>0</v>
      </c>
      <c r="R582">
        <f t="shared" ca="1" si="334"/>
        <v>579</v>
      </c>
      <c r="S582" s="78">
        <f t="shared" ca="1" si="335"/>
        <v>108.24</v>
      </c>
      <c r="T582" s="55">
        <f t="shared" ca="1" si="336"/>
        <v>0</v>
      </c>
      <c r="U582" s="78">
        <f t="shared" ca="1" si="337"/>
        <v>2.4366954920664725E-5</v>
      </c>
      <c r="V582" s="79">
        <f t="shared" ca="1" si="338"/>
        <v>0</v>
      </c>
      <c r="W582" s="79">
        <f t="shared" ca="1" si="320"/>
        <v>0</v>
      </c>
      <c r="X582" s="80">
        <f t="shared" ca="1" si="321"/>
        <v>0</v>
      </c>
      <c r="Y582" s="80">
        <f t="shared" ca="1" si="339"/>
        <v>0</v>
      </c>
      <c r="Z582" s="80">
        <f t="shared" ca="1" si="322"/>
        <v>0</v>
      </c>
      <c r="AA582" s="80">
        <f t="shared" ca="1" si="340"/>
        <v>0</v>
      </c>
      <c r="AB582" s="81">
        <f t="shared" ca="1" si="323"/>
        <v>0</v>
      </c>
      <c r="AC582" s="79">
        <f t="shared" ca="1" si="324"/>
        <v>0</v>
      </c>
      <c r="AE582" s="35"/>
      <c r="AF582" s="35"/>
      <c r="AR582" s="69">
        <f t="shared" si="341"/>
        <v>49</v>
      </c>
      <c r="AS582" s="70">
        <f t="shared" ref="AS582:AS645" si="344">AS581+1</f>
        <v>579</v>
      </c>
      <c r="AT582" s="71">
        <f t="shared" ref="AT582:AT645" si="345">(1-AU582)*AT581</f>
        <v>1.9002637871763903E-2</v>
      </c>
      <c r="AU582" s="72">
        <f t="shared" si="325"/>
        <v>6.8214933659622723E-3</v>
      </c>
      <c r="AV582" s="73">
        <f t="shared" si="342"/>
        <v>1.0068214933659623</v>
      </c>
      <c r="AW582" s="74">
        <f>PRODUCT(AV$4:AV582)</f>
        <v>51.22534209498366</v>
      </c>
    </row>
    <row r="583" spans="5:49">
      <c r="E583">
        <f t="shared" si="343"/>
        <v>580</v>
      </c>
      <c r="F583" s="64">
        <f t="shared" si="326"/>
        <v>108.32</v>
      </c>
      <c r="G583" s="55">
        <f t="shared" si="327"/>
        <v>0</v>
      </c>
      <c r="H583" s="78">
        <f t="shared" ref="H583:H646" si="346">H582*(1-G583)</f>
        <v>2.4366954920664725E-5</v>
      </c>
      <c r="I583" s="79">
        <f t="shared" ca="1" si="328"/>
        <v>0</v>
      </c>
      <c r="J583" s="79">
        <f t="shared" ca="1" si="329"/>
        <v>0</v>
      </c>
      <c r="K583" s="80">
        <f t="shared" ca="1" si="330"/>
        <v>0</v>
      </c>
      <c r="L583" s="80">
        <f t="shared" ca="1" si="331"/>
        <v>0</v>
      </c>
      <c r="M583" s="80">
        <f t="shared" ca="1" si="332"/>
        <v>0</v>
      </c>
      <c r="N583" s="80">
        <f t="shared" ca="1" si="333"/>
        <v>0</v>
      </c>
      <c r="O583" s="81">
        <f t="shared" ca="1" si="318"/>
        <v>0</v>
      </c>
      <c r="P583" s="79">
        <f t="shared" ca="1" si="319"/>
        <v>0</v>
      </c>
      <c r="R583">
        <f t="shared" ca="1" si="334"/>
        <v>580</v>
      </c>
      <c r="S583" s="78">
        <f t="shared" ca="1" si="335"/>
        <v>108.32</v>
      </c>
      <c r="T583" s="55">
        <f t="shared" ca="1" si="336"/>
        <v>0</v>
      </c>
      <c r="U583" s="78">
        <f t="shared" ca="1" si="337"/>
        <v>2.4366954920664725E-5</v>
      </c>
      <c r="V583" s="79">
        <f t="shared" ca="1" si="338"/>
        <v>0</v>
      </c>
      <c r="W583" s="79">
        <f t="shared" ca="1" si="320"/>
        <v>0</v>
      </c>
      <c r="X583" s="80">
        <f t="shared" ca="1" si="321"/>
        <v>0</v>
      </c>
      <c r="Y583" s="80">
        <f t="shared" ca="1" si="339"/>
        <v>0</v>
      </c>
      <c r="Z583" s="80">
        <f t="shared" ca="1" si="322"/>
        <v>0</v>
      </c>
      <c r="AA583" s="80">
        <f t="shared" ca="1" si="340"/>
        <v>0</v>
      </c>
      <c r="AB583" s="81">
        <f t="shared" ca="1" si="323"/>
        <v>0</v>
      </c>
      <c r="AC583" s="79">
        <f t="shared" ca="1" si="324"/>
        <v>0</v>
      </c>
      <c r="AE583" s="35"/>
      <c r="AF583" s="35"/>
      <c r="AR583" s="69">
        <f t="shared" si="341"/>
        <v>49</v>
      </c>
      <c r="AS583" s="70">
        <f t="shared" si="344"/>
        <v>580</v>
      </c>
      <c r="AT583" s="71">
        <f t="shared" si="345"/>
        <v>1.8873011503585883E-2</v>
      </c>
      <c r="AU583" s="72">
        <f t="shared" si="325"/>
        <v>6.8214933659622723E-3</v>
      </c>
      <c r="AV583" s="73">
        <f t="shared" si="342"/>
        <v>1.0068214933659623</v>
      </c>
      <c r="AW583" s="74">
        <f>PRODUCT(AV$4:AV583)</f>
        <v>51.574775426253737</v>
      </c>
    </row>
    <row r="584" spans="5:49">
      <c r="E584">
        <f t="shared" si="343"/>
        <v>581</v>
      </c>
      <c r="F584" s="64">
        <f t="shared" si="326"/>
        <v>108.4</v>
      </c>
      <c r="G584" s="55">
        <f t="shared" si="327"/>
        <v>0</v>
      </c>
      <c r="H584" s="78">
        <f t="shared" si="346"/>
        <v>2.4366954920664725E-5</v>
      </c>
      <c r="I584" s="79">
        <f t="shared" ca="1" si="328"/>
        <v>0</v>
      </c>
      <c r="J584" s="79">
        <f t="shared" ca="1" si="329"/>
        <v>0</v>
      </c>
      <c r="K584" s="80">
        <f t="shared" ca="1" si="330"/>
        <v>0</v>
      </c>
      <c r="L584" s="80">
        <f t="shared" ca="1" si="331"/>
        <v>0</v>
      </c>
      <c r="M584" s="80">
        <f t="shared" ca="1" si="332"/>
        <v>0</v>
      </c>
      <c r="N584" s="80">
        <f t="shared" ca="1" si="333"/>
        <v>0</v>
      </c>
      <c r="O584" s="81">
        <f t="shared" ca="1" si="318"/>
        <v>0</v>
      </c>
      <c r="P584" s="79">
        <f t="shared" ca="1" si="319"/>
        <v>0</v>
      </c>
      <c r="R584">
        <f t="shared" ca="1" si="334"/>
        <v>581</v>
      </c>
      <c r="S584" s="78">
        <f t="shared" ca="1" si="335"/>
        <v>108.4</v>
      </c>
      <c r="T584" s="55">
        <f t="shared" ca="1" si="336"/>
        <v>0</v>
      </c>
      <c r="U584" s="78">
        <f t="shared" ca="1" si="337"/>
        <v>2.4366954920664725E-5</v>
      </c>
      <c r="V584" s="79">
        <f t="shared" ca="1" si="338"/>
        <v>0</v>
      </c>
      <c r="W584" s="79">
        <f t="shared" ca="1" si="320"/>
        <v>0</v>
      </c>
      <c r="X584" s="80">
        <f t="shared" ca="1" si="321"/>
        <v>0</v>
      </c>
      <c r="Y584" s="80">
        <f t="shared" ca="1" si="339"/>
        <v>0</v>
      </c>
      <c r="Z584" s="80">
        <f t="shared" ca="1" si="322"/>
        <v>0</v>
      </c>
      <c r="AA584" s="80">
        <f t="shared" ca="1" si="340"/>
        <v>0</v>
      </c>
      <c r="AB584" s="81">
        <f t="shared" ca="1" si="323"/>
        <v>0</v>
      </c>
      <c r="AC584" s="79">
        <f t="shared" ca="1" si="324"/>
        <v>0</v>
      </c>
      <c r="AE584" s="35"/>
      <c r="AF584" s="35"/>
      <c r="AR584" s="69">
        <f t="shared" si="341"/>
        <v>49</v>
      </c>
      <c r="AS584" s="70">
        <f t="shared" si="344"/>
        <v>581</v>
      </c>
      <c r="AT584" s="71">
        <f t="shared" si="345"/>
        <v>1.8744269380818444E-2</v>
      </c>
      <c r="AU584" s="72">
        <f t="shared" si="325"/>
        <v>6.8214933659622723E-3</v>
      </c>
      <c r="AV584" s="73">
        <f t="shared" si="342"/>
        <v>1.0068214933659623</v>
      </c>
      <c r="AW584" s="74">
        <f>PRODUCT(AV$4:AV584)</f>
        <v>51.926592414674921</v>
      </c>
    </row>
    <row r="585" spans="5:49">
      <c r="E585">
        <f t="shared" si="343"/>
        <v>582</v>
      </c>
      <c r="F585" s="64">
        <f t="shared" si="326"/>
        <v>108.48</v>
      </c>
      <c r="G585" s="55">
        <f t="shared" si="327"/>
        <v>0</v>
      </c>
      <c r="H585" s="78">
        <f t="shared" si="346"/>
        <v>2.4366954920664725E-5</v>
      </c>
      <c r="I585" s="79">
        <f t="shared" ca="1" si="328"/>
        <v>0</v>
      </c>
      <c r="J585" s="79">
        <f t="shared" ca="1" si="329"/>
        <v>0</v>
      </c>
      <c r="K585" s="80">
        <f t="shared" ca="1" si="330"/>
        <v>0</v>
      </c>
      <c r="L585" s="80">
        <f t="shared" ca="1" si="331"/>
        <v>0</v>
      </c>
      <c r="M585" s="80">
        <f t="shared" ca="1" si="332"/>
        <v>0</v>
      </c>
      <c r="N585" s="80">
        <f t="shared" ca="1" si="333"/>
        <v>0</v>
      </c>
      <c r="O585" s="81">
        <f t="shared" ca="1" si="318"/>
        <v>0</v>
      </c>
      <c r="P585" s="79">
        <f t="shared" ca="1" si="319"/>
        <v>0</v>
      </c>
      <c r="R585">
        <f t="shared" ca="1" si="334"/>
        <v>582</v>
      </c>
      <c r="S585" s="78">
        <f t="shared" ca="1" si="335"/>
        <v>108.48</v>
      </c>
      <c r="T585" s="55">
        <f t="shared" ca="1" si="336"/>
        <v>0</v>
      </c>
      <c r="U585" s="78">
        <f t="shared" ca="1" si="337"/>
        <v>2.4366954920664725E-5</v>
      </c>
      <c r="V585" s="79">
        <f t="shared" ca="1" si="338"/>
        <v>0</v>
      </c>
      <c r="W585" s="79">
        <f t="shared" ca="1" si="320"/>
        <v>0</v>
      </c>
      <c r="X585" s="80">
        <f t="shared" ca="1" si="321"/>
        <v>0</v>
      </c>
      <c r="Y585" s="80">
        <f t="shared" ca="1" si="339"/>
        <v>0</v>
      </c>
      <c r="Z585" s="80">
        <f t="shared" ca="1" si="322"/>
        <v>0</v>
      </c>
      <c r="AA585" s="80">
        <f t="shared" ca="1" si="340"/>
        <v>0</v>
      </c>
      <c r="AB585" s="81">
        <f t="shared" ca="1" si="323"/>
        <v>0</v>
      </c>
      <c r="AC585" s="79">
        <f t="shared" ca="1" si="324"/>
        <v>0</v>
      </c>
      <c r="AE585" s="35"/>
      <c r="AF585" s="35"/>
      <c r="AR585" s="69">
        <f t="shared" si="341"/>
        <v>49</v>
      </c>
      <c r="AS585" s="70">
        <f t="shared" si="344"/>
        <v>582</v>
      </c>
      <c r="AT585" s="71">
        <f t="shared" si="345"/>
        <v>1.8616405471587379E-2</v>
      </c>
      <c r="AU585" s="72">
        <f t="shared" si="325"/>
        <v>6.8214933659622723E-3</v>
      </c>
      <c r="AV585" s="73">
        <f t="shared" si="342"/>
        <v>1.0068214933659623</v>
      </c>
      <c r="AW585" s="74">
        <f>PRODUCT(AV$4:AV585)</f>
        <v>52.280809320348652</v>
      </c>
    </row>
    <row r="586" spans="5:49">
      <c r="E586">
        <f t="shared" si="343"/>
        <v>583</v>
      </c>
      <c r="F586" s="64">
        <f t="shared" si="326"/>
        <v>108.56</v>
      </c>
      <c r="G586" s="55">
        <f t="shared" si="327"/>
        <v>0</v>
      </c>
      <c r="H586" s="78">
        <f t="shared" si="346"/>
        <v>2.4366954920664725E-5</v>
      </c>
      <c r="I586" s="79">
        <f t="shared" ca="1" si="328"/>
        <v>0</v>
      </c>
      <c r="J586" s="79">
        <f t="shared" ca="1" si="329"/>
        <v>0</v>
      </c>
      <c r="K586" s="80">
        <f t="shared" ca="1" si="330"/>
        <v>0</v>
      </c>
      <c r="L586" s="80">
        <f t="shared" ca="1" si="331"/>
        <v>0</v>
      </c>
      <c r="M586" s="80">
        <f t="shared" ca="1" si="332"/>
        <v>0</v>
      </c>
      <c r="N586" s="80">
        <f t="shared" ca="1" si="333"/>
        <v>0</v>
      </c>
      <c r="O586" s="81">
        <f t="shared" ca="1" si="318"/>
        <v>0</v>
      </c>
      <c r="P586" s="79">
        <f t="shared" ca="1" si="319"/>
        <v>0</v>
      </c>
      <c r="R586">
        <f t="shared" ca="1" si="334"/>
        <v>583</v>
      </c>
      <c r="S586" s="78">
        <f t="shared" ca="1" si="335"/>
        <v>108.56</v>
      </c>
      <c r="T586" s="55">
        <f t="shared" ca="1" si="336"/>
        <v>0</v>
      </c>
      <c r="U586" s="78">
        <f t="shared" ca="1" si="337"/>
        <v>2.4366954920664725E-5</v>
      </c>
      <c r="V586" s="79">
        <f t="shared" ca="1" si="338"/>
        <v>0</v>
      </c>
      <c r="W586" s="79">
        <f t="shared" ca="1" si="320"/>
        <v>0</v>
      </c>
      <c r="X586" s="80">
        <f t="shared" ca="1" si="321"/>
        <v>0</v>
      </c>
      <c r="Y586" s="80">
        <f t="shared" ca="1" si="339"/>
        <v>0</v>
      </c>
      <c r="Z586" s="80">
        <f t="shared" ca="1" si="322"/>
        <v>0</v>
      </c>
      <c r="AA586" s="80">
        <f t="shared" ca="1" si="340"/>
        <v>0</v>
      </c>
      <c r="AB586" s="81">
        <f t="shared" ca="1" si="323"/>
        <v>0</v>
      </c>
      <c r="AC586" s="79">
        <f t="shared" ca="1" si="324"/>
        <v>0</v>
      </c>
      <c r="AE586" s="35"/>
      <c r="AF586" s="35"/>
      <c r="AR586" s="69">
        <f t="shared" si="341"/>
        <v>49</v>
      </c>
      <c r="AS586" s="70">
        <f t="shared" si="344"/>
        <v>583</v>
      </c>
      <c r="AT586" s="71">
        <f t="shared" si="345"/>
        <v>1.8489413785164881E-2</v>
      </c>
      <c r="AU586" s="72">
        <f t="shared" si="325"/>
        <v>6.8214933659622723E-3</v>
      </c>
      <c r="AV586" s="73">
        <f t="shared" si="342"/>
        <v>1.0068214933659623</v>
      </c>
      <c r="AW586" s="74">
        <f>PRODUCT(AV$4:AV586)</f>
        <v>52.637442514294548</v>
      </c>
    </row>
    <row r="587" spans="5:49">
      <c r="E587">
        <f t="shared" si="343"/>
        <v>584</v>
      </c>
      <c r="F587" s="64">
        <f t="shared" si="326"/>
        <v>108.64</v>
      </c>
      <c r="G587" s="55">
        <f t="shared" si="327"/>
        <v>0</v>
      </c>
      <c r="H587" s="78">
        <f t="shared" si="346"/>
        <v>2.4366954920664725E-5</v>
      </c>
      <c r="I587" s="79">
        <f t="shared" ca="1" si="328"/>
        <v>0</v>
      </c>
      <c r="J587" s="79">
        <f t="shared" ca="1" si="329"/>
        <v>0</v>
      </c>
      <c r="K587" s="80">
        <f t="shared" ca="1" si="330"/>
        <v>0</v>
      </c>
      <c r="L587" s="80">
        <f t="shared" ca="1" si="331"/>
        <v>0</v>
      </c>
      <c r="M587" s="80">
        <f t="shared" ca="1" si="332"/>
        <v>0</v>
      </c>
      <c r="N587" s="80">
        <f t="shared" ca="1" si="333"/>
        <v>0</v>
      </c>
      <c r="O587" s="81">
        <f t="shared" ca="1" si="318"/>
        <v>0</v>
      </c>
      <c r="P587" s="79">
        <f t="shared" ca="1" si="319"/>
        <v>0</v>
      </c>
      <c r="R587">
        <f t="shared" ca="1" si="334"/>
        <v>584</v>
      </c>
      <c r="S587" s="78">
        <f t="shared" ca="1" si="335"/>
        <v>108.64</v>
      </c>
      <c r="T587" s="55">
        <f t="shared" ca="1" si="336"/>
        <v>0</v>
      </c>
      <c r="U587" s="78">
        <f t="shared" ca="1" si="337"/>
        <v>2.4366954920664725E-5</v>
      </c>
      <c r="V587" s="79">
        <f t="shared" ca="1" si="338"/>
        <v>0</v>
      </c>
      <c r="W587" s="79">
        <f t="shared" ca="1" si="320"/>
        <v>0</v>
      </c>
      <c r="X587" s="80">
        <f t="shared" ca="1" si="321"/>
        <v>0</v>
      </c>
      <c r="Y587" s="80">
        <f t="shared" ca="1" si="339"/>
        <v>0</v>
      </c>
      <c r="Z587" s="80">
        <f t="shared" ca="1" si="322"/>
        <v>0</v>
      </c>
      <c r="AA587" s="80">
        <f t="shared" ca="1" si="340"/>
        <v>0</v>
      </c>
      <c r="AB587" s="81">
        <f t="shared" ca="1" si="323"/>
        <v>0</v>
      </c>
      <c r="AC587" s="79">
        <f t="shared" ca="1" si="324"/>
        <v>0</v>
      </c>
      <c r="AE587" s="35"/>
      <c r="AF587" s="35"/>
      <c r="AR587" s="69">
        <f t="shared" si="341"/>
        <v>49</v>
      </c>
      <c r="AS587" s="70">
        <f t="shared" si="344"/>
        <v>584</v>
      </c>
      <c r="AT587" s="71">
        <f t="shared" si="345"/>
        <v>1.8363288371688848E-2</v>
      </c>
      <c r="AU587" s="72">
        <f t="shared" si="325"/>
        <v>6.8214933659622723E-3</v>
      </c>
      <c r="AV587" s="73">
        <f t="shared" si="342"/>
        <v>1.0068214933659623</v>
      </c>
      <c r="AW587" s="74">
        <f>PRODUCT(AV$4:AV587)</f>
        <v>52.99650847920703</v>
      </c>
    </row>
    <row r="588" spans="5:49">
      <c r="E588">
        <f t="shared" si="343"/>
        <v>585</v>
      </c>
      <c r="F588" s="64">
        <f t="shared" si="326"/>
        <v>108.72</v>
      </c>
      <c r="G588" s="55">
        <f t="shared" si="327"/>
        <v>0</v>
      </c>
      <c r="H588" s="78">
        <f t="shared" si="346"/>
        <v>2.4366954920664725E-5</v>
      </c>
      <c r="I588" s="79">
        <f t="shared" ca="1" si="328"/>
        <v>0</v>
      </c>
      <c r="J588" s="79">
        <f t="shared" ca="1" si="329"/>
        <v>0</v>
      </c>
      <c r="K588" s="80">
        <f t="shared" ca="1" si="330"/>
        <v>0</v>
      </c>
      <c r="L588" s="80">
        <f t="shared" ca="1" si="331"/>
        <v>0</v>
      </c>
      <c r="M588" s="80">
        <f t="shared" ca="1" si="332"/>
        <v>0</v>
      </c>
      <c r="N588" s="80">
        <f t="shared" ca="1" si="333"/>
        <v>0</v>
      </c>
      <c r="O588" s="81">
        <f t="shared" ca="1" si="318"/>
        <v>0</v>
      </c>
      <c r="P588" s="79">
        <f t="shared" ca="1" si="319"/>
        <v>0</v>
      </c>
      <c r="R588">
        <f t="shared" ca="1" si="334"/>
        <v>585</v>
      </c>
      <c r="S588" s="78">
        <f t="shared" ca="1" si="335"/>
        <v>108.72</v>
      </c>
      <c r="T588" s="55">
        <f t="shared" ca="1" si="336"/>
        <v>0</v>
      </c>
      <c r="U588" s="78">
        <f t="shared" ca="1" si="337"/>
        <v>2.4366954920664725E-5</v>
      </c>
      <c r="V588" s="79">
        <f t="shared" ca="1" si="338"/>
        <v>0</v>
      </c>
      <c r="W588" s="79">
        <f t="shared" ca="1" si="320"/>
        <v>0</v>
      </c>
      <c r="X588" s="80">
        <f t="shared" ca="1" si="321"/>
        <v>0</v>
      </c>
      <c r="Y588" s="80">
        <f t="shared" ca="1" si="339"/>
        <v>0</v>
      </c>
      <c r="Z588" s="80">
        <f t="shared" ca="1" si="322"/>
        <v>0</v>
      </c>
      <c r="AA588" s="80">
        <f t="shared" ca="1" si="340"/>
        <v>0</v>
      </c>
      <c r="AB588" s="81">
        <f t="shared" ca="1" si="323"/>
        <v>0</v>
      </c>
      <c r="AC588" s="79">
        <f t="shared" ca="1" si="324"/>
        <v>0</v>
      </c>
      <c r="AE588" s="35"/>
      <c r="AF588" s="35"/>
      <c r="AR588" s="69">
        <f t="shared" si="341"/>
        <v>49</v>
      </c>
      <c r="AS588" s="70">
        <f t="shared" si="344"/>
        <v>585</v>
      </c>
      <c r="AT588" s="71">
        <f t="shared" si="345"/>
        <v>1.8238023321884119E-2</v>
      </c>
      <c r="AU588" s="72">
        <f t="shared" si="325"/>
        <v>6.8214933659622723E-3</v>
      </c>
      <c r="AV588" s="73">
        <f t="shared" si="342"/>
        <v>1.0068214933659623</v>
      </c>
      <c r="AW588" s="74">
        <f>PRODUCT(AV$4:AV588)</f>
        <v>53.358023810217105</v>
      </c>
    </row>
    <row r="589" spans="5:49">
      <c r="E589">
        <f t="shared" si="343"/>
        <v>586</v>
      </c>
      <c r="F589" s="64">
        <f t="shared" si="326"/>
        <v>108.8</v>
      </c>
      <c r="G589" s="55">
        <f t="shared" si="327"/>
        <v>0</v>
      </c>
      <c r="H589" s="78">
        <f t="shared" si="346"/>
        <v>2.4366954920664725E-5</v>
      </c>
      <c r="I589" s="79">
        <f t="shared" ca="1" si="328"/>
        <v>0</v>
      </c>
      <c r="J589" s="79">
        <f t="shared" ca="1" si="329"/>
        <v>0</v>
      </c>
      <c r="K589" s="80">
        <f t="shared" ca="1" si="330"/>
        <v>0</v>
      </c>
      <c r="L589" s="80">
        <f t="shared" ca="1" si="331"/>
        <v>0</v>
      </c>
      <c r="M589" s="80">
        <f t="shared" ca="1" si="332"/>
        <v>0</v>
      </c>
      <c r="N589" s="80">
        <f t="shared" ca="1" si="333"/>
        <v>0</v>
      </c>
      <c r="O589" s="81">
        <f t="shared" ca="1" si="318"/>
        <v>0</v>
      </c>
      <c r="P589" s="79">
        <f t="shared" ca="1" si="319"/>
        <v>0</v>
      </c>
      <c r="R589">
        <f t="shared" ca="1" si="334"/>
        <v>586</v>
      </c>
      <c r="S589" s="78">
        <f t="shared" ca="1" si="335"/>
        <v>108.8</v>
      </c>
      <c r="T589" s="55">
        <f t="shared" ca="1" si="336"/>
        <v>0</v>
      </c>
      <c r="U589" s="78">
        <f t="shared" ca="1" si="337"/>
        <v>2.4366954920664725E-5</v>
      </c>
      <c r="V589" s="79">
        <f t="shared" ca="1" si="338"/>
        <v>0</v>
      </c>
      <c r="W589" s="79">
        <f t="shared" ca="1" si="320"/>
        <v>0</v>
      </c>
      <c r="X589" s="80">
        <f t="shared" ca="1" si="321"/>
        <v>0</v>
      </c>
      <c r="Y589" s="80">
        <f t="shared" ca="1" si="339"/>
        <v>0</v>
      </c>
      <c r="Z589" s="80">
        <f t="shared" ca="1" si="322"/>
        <v>0</v>
      </c>
      <c r="AA589" s="80">
        <f t="shared" ca="1" si="340"/>
        <v>0</v>
      </c>
      <c r="AB589" s="81">
        <f t="shared" ca="1" si="323"/>
        <v>0</v>
      </c>
      <c r="AC589" s="79">
        <f t="shared" ca="1" si="324"/>
        <v>0</v>
      </c>
      <c r="AE589" s="35"/>
      <c r="AF589" s="35"/>
      <c r="AR589" s="69">
        <f t="shared" si="341"/>
        <v>49</v>
      </c>
      <c r="AS589" s="70">
        <f t="shared" si="344"/>
        <v>586</v>
      </c>
      <c r="AT589" s="71">
        <f t="shared" si="345"/>
        <v>1.8113612766785622E-2</v>
      </c>
      <c r="AU589" s="72">
        <f t="shared" si="325"/>
        <v>6.8214933659622723E-3</v>
      </c>
      <c r="AV589" s="73">
        <f t="shared" si="342"/>
        <v>1.0068214933659623</v>
      </c>
      <c r="AW589" s="74">
        <f>PRODUCT(AV$4:AV589)</f>
        <v>53.722005215659358</v>
      </c>
    </row>
    <row r="590" spans="5:49">
      <c r="E590">
        <f t="shared" si="343"/>
        <v>587</v>
      </c>
      <c r="F590" s="64">
        <f t="shared" si="326"/>
        <v>108.88</v>
      </c>
      <c r="G590" s="55">
        <f t="shared" si="327"/>
        <v>0</v>
      </c>
      <c r="H590" s="78">
        <f t="shared" si="346"/>
        <v>2.4366954920664725E-5</v>
      </c>
      <c r="I590" s="79">
        <f t="shared" ca="1" si="328"/>
        <v>0</v>
      </c>
      <c r="J590" s="79">
        <f t="shared" ca="1" si="329"/>
        <v>0</v>
      </c>
      <c r="K590" s="80">
        <f t="shared" ca="1" si="330"/>
        <v>0</v>
      </c>
      <c r="L590" s="80">
        <f t="shared" ca="1" si="331"/>
        <v>0</v>
      </c>
      <c r="M590" s="80">
        <f t="shared" ca="1" si="332"/>
        <v>0</v>
      </c>
      <c r="N590" s="80">
        <f t="shared" ca="1" si="333"/>
        <v>0</v>
      </c>
      <c r="O590" s="81">
        <f t="shared" ca="1" si="318"/>
        <v>0</v>
      </c>
      <c r="P590" s="79">
        <f t="shared" ca="1" si="319"/>
        <v>0</v>
      </c>
      <c r="R590">
        <f t="shared" ca="1" si="334"/>
        <v>587</v>
      </c>
      <c r="S590" s="78">
        <f t="shared" ca="1" si="335"/>
        <v>108.88</v>
      </c>
      <c r="T590" s="55">
        <f t="shared" ca="1" si="336"/>
        <v>0</v>
      </c>
      <c r="U590" s="78">
        <f t="shared" ca="1" si="337"/>
        <v>2.4366954920664725E-5</v>
      </c>
      <c r="V590" s="79">
        <f t="shared" ca="1" si="338"/>
        <v>0</v>
      </c>
      <c r="W590" s="79">
        <f t="shared" ca="1" si="320"/>
        <v>0</v>
      </c>
      <c r="X590" s="80">
        <f t="shared" ca="1" si="321"/>
        <v>0</v>
      </c>
      <c r="Y590" s="80">
        <f t="shared" ca="1" si="339"/>
        <v>0</v>
      </c>
      <c r="Z590" s="80">
        <f t="shared" ca="1" si="322"/>
        <v>0</v>
      </c>
      <c r="AA590" s="80">
        <f t="shared" ca="1" si="340"/>
        <v>0</v>
      </c>
      <c r="AB590" s="81">
        <f t="shared" ca="1" si="323"/>
        <v>0</v>
      </c>
      <c r="AC590" s="79">
        <f t="shared" ca="1" si="324"/>
        <v>0</v>
      </c>
      <c r="AE590" s="35"/>
      <c r="AF590" s="35"/>
      <c r="AR590" s="69">
        <f t="shared" si="341"/>
        <v>49</v>
      </c>
      <c r="AS590" s="70">
        <f t="shared" si="344"/>
        <v>587</v>
      </c>
      <c r="AT590" s="71">
        <f t="shared" si="345"/>
        <v>1.7990050877463384E-2</v>
      </c>
      <c r="AU590" s="72">
        <f t="shared" si="325"/>
        <v>6.8214933659622723E-3</v>
      </c>
      <c r="AV590" s="73">
        <f t="shared" si="342"/>
        <v>1.0068214933659623</v>
      </c>
      <c r="AW590" s="74">
        <f>PRODUCT(AV$4:AV590)</f>
        <v>54.088469517844167</v>
      </c>
    </row>
    <row r="591" spans="5:49">
      <c r="E591">
        <f t="shared" si="343"/>
        <v>588</v>
      </c>
      <c r="F591" s="64">
        <f t="shared" si="326"/>
        <v>108.96</v>
      </c>
      <c r="G591" s="55">
        <f t="shared" si="327"/>
        <v>0</v>
      </c>
      <c r="H591" s="78">
        <f t="shared" si="346"/>
        <v>2.4366954920664725E-5</v>
      </c>
      <c r="I591" s="79">
        <f t="shared" ca="1" si="328"/>
        <v>0</v>
      </c>
      <c r="J591" s="79">
        <f t="shared" ca="1" si="329"/>
        <v>0</v>
      </c>
      <c r="K591" s="80">
        <f t="shared" ca="1" si="330"/>
        <v>0</v>
      </c>
      <c r="L591" s="80">
        <f t="shared" ca="1" si="331"/>
        <v>0</v>
      </c>
      <c r="M591" s="80">
        <f t="shared" ca="1" si="332"/>
        <v>0</v>
      </c>
      <c r="N591" s="80">
        <f t="shared" ca="1" si="333"/>
        <v>0</v>
      </c>
      <c r="O591" s="81">
        <f t="shared" ca="1" si="318"/>
        <v>0</v>
      </c>
      <c r="P591" s="79">
        <f t="shared" ca="1" si="319"/>
        <v>0</v>
      </c>
      <c r="R591">
        <f t="shared" ca="1" si="334"/>
        <v>588</v>
      </c>
      <c r="S591" s="78">
        <f t="shared" ca="1" si="335"/>
        <v>108.96</v>
      </c>
      <c r="T591" s="55">
        <f t="shared" ca="1" si="336"/>
        <v>0</v>
      </c>
      <c r="U591" s="78">
        <f t="shared" ca="1" si="337"/>
        <v>2.4366954920664725E-5</v>
      </c>
      <c r="V591" s="79">
        <f t="shared" ca="1" si="338"/>
        <v>0</v>
      </c>
      <c r="W591" s="79">
        <f t="shared" ca="1" si="320"/>
        <v>0</v>
      </c>
      <c r="X591" s="80">
        <f t="shared" ca="1" si="321"/>
        <v>0</v>
      </c>
      <c r="Y591" s="80">
        <f t="shared" ca="1" si="339"/>
        <v>0</v>
      </c>
      <c r="Z591" s="80">
        <f t="shared" ca="1" si="322"/>
        <v>0</v>
      </c>
      <c r="AA591" s="80">
        <f t="shared" ca="1" si="340"/>
        <v>0</v>
      </c>
      <c r="AB591" s="81">
        <f t="shared" ca="1" si="323"/>
        <v>0</v>
      </c>
      <c r="AC591" s="79">
        <f t="shared" ca="1" si="324"/>
        <v>0</v>
      </c>
      <c r="AE591" s="35"/>
      <c r="AF591" s="35"/>
      <c r="AR591" s="69">
        <f t="shared" si="341"/>
        <v>49</v>
      </c>
      <c r="AS591" s="70">
        <f t="shared" si="344"/>
        <v>588</v>
      </c>
      <c r="AT591" s="71">
        <f t="shared" si="345"/>
        <v>1.7867331864749442E-2</v>
      </c>
      <c r="AU591" s="72">
        <f t="shared" si="325"/>
        <v>6.8214933659622723E-3</v>
      </c>
      <c r="AV591" s="73">
        <f t="shared" si="342"/>
        <v>1.0068214933659623</v>
      </c>
      <c r="AW591" s="74">
        <f>PRODUCT(AV$4:AV591)</f>
        <v>54.457433653835196</v>
      </c>
    </row>
    <row r="592" spans="5:49">
      <c r="E592">
        <f t="shared" si="343"/>
        <v>589</v>
      </c>
      <c r="F592" s="64">
        <f t="shared" si="326"/>
        <v>109.04</v>
      </c>
      <c r="G592" s="55">
        <f t="shared" si="327"/>
        <v>0</v>
      </c>
      <c r="H592" s="78">
        <f t="shared" si="346"/>
        <v>2.4366954920664725E-5</v>
      </c>
      <c r="I592" s="79">
        <f t="shared" ca="1" si="328"/>
        <v>0</v>
      </c>
      <c r="J592" s="79">
        <f t="shared" ca="1" si="329"/>
        <v>0</v>
      </c>
      <c r="K592" s="80">
        <f t="shared" ca="1" si="330"/>
        <v>0</v>
      </c>
      <c r="L592" s="80">
        <f t="shared" ca="1" si="331"/>
        <v>0</v>
      </c>
      <c r="M592" s="80">
        <f t="shared" ca="1" si="332"/>
        <v>0</v>
      </c>
      <c r="N592" s="80">
        <f t="shared" ca="1" si="333"/>
        <v>0</v>
      </c>
      <c r="O592" s="81">
        <f t="shared" ca="1" si="318"/>
        <v>0</v>
      </c>
      <c r="P592" s="79">
        <f t="shared" ca="1" si="319"/>
        <v>0</v>
      </c>
      <c r="R592">
        <f t="shared" ca="1" si="334"/>
        <v>589</v>
      </c>
      <c r="S592" s="78">
        <f t="shared" ca="1" si="335"/>
        <v>109.04</v>
      </c>
      <c r="T592" s="55">
        <f t="shared" ca="1" si="336"/>
        <v>0</v>
      </c>
      <c r="U592" s="78">
        <f t="shared" ca="1" si="337"/>
        <v>2.4366954920664725E-5</v>
      </c>
      <c r="V592" s="79">
        <f t="shared" ca="1" si="338"/>
        <v>0</v>
      </c>
      <c r="W592" s="79">
        <f t="shared" ca="1" si="320"/>
        <v>0</v>
      </c>
      <c r="X592" s="80">
        <f t="shared" ca="1" si="321"/>
        <v>0</v>
      </c>
      <c r="Y592" s="80">
        <f t="shared" ca="1" si="339"/>
        <v>0</v>
      </c>
      <c r="Z592" s="80">
        <f t="shared" ca="1" si="322"/>
        <v>0</v>
      </c>
      <c r="AA592" s="80">
        <f t="shared" ca="1" si="340"/>
        <v>0</v>
      </c>
      <c r="AB592" s="81">
        <f t="shared" ca="1" si="323"/>
        <v>0</v>
      </c>
      <c r="AC592" s="79">
        <f t="shared" ca="1" si="324"/>
        <v>0</v>
      </c>
      <c r="AE592" s="35"/>
      <c r="AF592" s="35"/>
      <c r="AR592" s="69">
        <f t="shared" si="341"/>
        <v>50</v>
      </c>
      <c r="AS592" s="70">
        <f t="shared" si="344"/>
        <v>589</v>
      </c>
      <c r="AT592" s="71">
        <f t="shared" si="345"/>
        <v>1.7745449978966609E-2</v>
      </c>
      <c r="AU592" s="72">
        <f t="shared" si="325"/>
        <v>6.8214933659622723E-3</v>
      </c>
      <c r="AV592" s="73">
        <f t="shared" si="342"/>
        <v>1.0068214933659623</v>
      </c>
      <c r="AW592" s="74">
        <f>PRODUCT(AV$4:AV592)</f>
        <v>54.828914676232166</v>
      </c>
    </row>
    <row r="593" spans="5:49">
      <c r="E593">
        <f t="shared" si="343"/>
        <v>590</v>
      </c>
      <c r="F593" s="64">
        <f t="shared" si="326"/>
        <v>109.12</v>
      </c>
      <c r="G593" s="55">
        <f t="shared" si="327"/>
        <v>0</v>
      </c>
      <c r="H593" s="78">
        <f t="shared" si="346"/>
        <v>2.4366954920664725E-5</v>
      </c>
      <c r="I593" s="79">
        <f t="shared" ca="1" si="328"/>
        <v>0</v>
      </c>
      <c r="J593" s="79">
        <f t="shared" ca="1" si="329"/>
        <v>0</v>
      </c>
      <c r="K593" s="80">
        <f t="shared" ca="1" si="330"/>
        <v>0</v>
      </c>
      <c r="L593" s="80">
        <f t="shared" ca="1" si="331"/>
        <v>0</v>
      </c>
      <c r="M593" s="80">
        <f t="shared" ca="1" si="332"/>
        <v>0</v>
      </c>
      <c r="N593" s="80">
        <f t="shared" ca="1" si="333"/>
        <v>0</v>
      </c>
      <c r="O593" s="81">
        <f t="shared" ca="1" si="318"/>
        <v>0</v>
      </c>
      <c r="P593" s="79">
        <f t="shared" ca="1" si="319"/>
        <v>0</v>
      </c>
      <c r="R593">
        <f t="shared" ca="1" si="334"/>
        <v>590</v>
      </c>
      <c r="S593" s="78">
        <f t="shared" ca="1" si="335"/>
        <v>109.12</v>
      </c>
      <c r="T593" s="55">
        <f t="shared" ca="1" si="336"/>
        <v>0</v>
      </c>
      <c r="U593" s="78">
        <f t="shared" ca="1" si="337"/>
        <v>2.4366954920664725E-5</v>
      </c>
      <c r="V593" s="79">
        <f t="shared" ca="1" si="338"/>
        <v>0</v>
      </c>
      <c r="W593" s="79">
        <f t="shared" ca="1" si="320"/>
        <v>0</v>
      </c>
      <c r="X593" s="80">
        <f t="shared" ca="1" si="321"/>
        <v>0</v>
      </c>
      <c r="Y593" s="80">
        <f t="shared" ca="1" si="339"/>
        <v>0</v>
      </c>
      <c r="Z593" s="80">
        <f t="shared" ca="1" si="322"/>
        <v>0</v>
      </c>
      <c r="AA593" s="80">
        <f t="shared" ca="1" si="340"/>
        <v>0</v>
      </c>
      <c r="AB593" s="81">
        <f t="shared" ca="1" si="323"/>
        <v>0</v>
      </c>
      <c r="AC593" s="79">
        <f t="shared" ca="1" si="324"/>
        <v>0</v>
      </c>
      <c r="AE593" s="35"/>
      <c r="AF593" s="35"/>
      <c r="AR593" s="69">
        <f t="shared" si="341"/>
        <v>50</v>
      </c>
      <c r="AS593" s="70">
        <f t="shared" si="344"/>
        <v>590</v>
      </c>
      <c r="AT593" s="71">
        <f t="shared" si="345"/>
        <v>1.7624399509659074E-2</v>
      </c>
      <c r="AU593" s="72">
        <f t="shared" si="325"/>
        <v>6.8214933659622723E-3</v>
      </c>
      <c r="AV593" s="73">
        <f t="shared" si="342"/>
        <v>1.0068214933659623</v>
      </c>
      <c r="AW593" s="74">
        <f>PRODUCT(AV$4:AV593)</f>
        <v>55.202929753958998</v>
      </c>
    </row>
    <row r="594" spans="5:49">
      <c r="E594">
        <f t="shared" si="343"/>
        <v>591</v>
      </c>
      <c r="F594" s="64">
        <f t="shared" si="326"/>
        <v>109.2</v>
      </c>
      <c r="G594" s="55">
        <f t="shared" si="327"/>
        <v>0</v>
      </c>
      <c r="H594" s="78">
        <f t="shared" si="346"/>
        <v>2.4366954920664725E-5</v>
      </c>
      <c r="I594" s="79">
        <f t="shared" ca="1" si="328"/>
        <v>0</v>
      </c>
      <c r="J594" s="79">
        <f t="shared" ca="1" si="329"/>
        <v>0</v>
      </c>
      <c r="K594" s="80">
        <f t="shared" ca="1" si="330"/>
        <v>0</v>
      </c>
      <c r="L594" s="80">
        <f t="shared" ca="1" si="331"/>
        <v>0</v>
      </c>
      <c r="M594" s="80">
        <f t="shared" ca="1" si="332"/>
        <v>0</v>
      </c>
      <c r="N594" s="80">
        <f t="shared" ca="1" si="333"/>
        <v>0</v>
      </c>
      <c r="O594" s="81">
        <f t="shared" ca="1" si="318"/>
        <v>0</v>
      </c>
      <c r="P594" s="79">
        <f t="shared" ca="1" si="319"/>
        <v>0</v>
      </c>
      <c r="R594">
        <f t="shared" ca="1" si="334"/>
        <v>591</v>
      </c>
      <c r="S594" s="78">
        <f t="shared" ca="1" si="335"/>
        <v>109.2</v>
      </c>
      <c r="T594" s="55">
        <f t="shared" ca="1" si="336"/>
        <v>0</v>
      </c>
      <c r="U594" s="78">
        <f t="shared" ca="1" si="337"/>
        <v>2.4366954920664725E-5</v>
      </c>
      <c r="V594" s="79">
        <f t="shared" ca="1" si="338"/>
        <v>0</v>
      </c>
      <c r="W594" s="79">
        <f t="shared" ca="1" si="320"/>
        <v>0</v>
      </c>
      <c r="X594" s="80">
        <f t="shared" ca="1" si="321"/>
        <v>0</v>
      </c>
      <c r="Y594" s="80">
        <f t="shared" ca="1" si="339"/>
        <v>0</v>
      </c>
      <c r="Z594" s="80">
        <f t="shared" ca="1" si="322"/>
        <v>0</v>
      </c>
      <c r="AA594" s="80">
        <f t="shared" ca="1" si="340"/>
        <v>0</v>
      </c>
      <c r="AB594" s="81">
        <f t="shared" ca="1" si="323"/>
        <v>0</v>
      </c>
      <c r="AC594" s="79">
        <f t="shared" ca="1" si="324"/>
        <v>0</v>
      </c>
      <c r="AE594" s="35"/>
      <c r="AF594" s="35"/>
      <c r="AR594" s="69">
        <f t="shared" si="341"/>
        <v>50</v>
      </c>
      <c r="AS594" s="70">
        <f t="shared" si="344"/>
        <v>591</v>
      </c>
      <c r="AT594" s="71">
        <f t="shared" si="345"/>
        <v>1.7504174785324865E-2</v>
      </c>
      <c r="AU594" s="72">
        <f t="shared" si="325"/>
        <v>6.8214933659622723E-3</v>
      </c>
      <c r="AV594" s="73">
        <f t="shared" si="342"/>
        <v>1.0068214933659623</v>
      </c>
      <c r="AW594" s="74">
        <f>PRODUCT(AV$4:AV594)</f>
        <v>55.579496173057308</v>
      </c>
    </row>
    <row r="595" spans="5:49">
      <c r="E595">
        <f t="shared" si="343"/>
        <v>592</v>
      </c>
      <c r="F595" s="64">
        <f t="shared" si="326"/>
        <v>109.28</v>
      </c>
      <c r="G595" s="55">
        <f t="shared" si="327"/>
        <v>0</v>
      </c>
      <c r="H595" s="78">
        <f t="shared" si="346"/>
        <v>2.4366954920664725E-5</v>
      </c>
      <c r="I595" s="79">
        <f t="shared" ca="1" si="328"/>
        <v>0</v>
      </c>
      <c r="J595" s="79">
        <f t="shared" ca="1" si="329"/>
        <v>0</v>
      </c>
      <c r="K595" s="80">
        <f t="shared" ca="1" si="330"/>
        <v>0</v>
      </c>
      <c r="L595" s="80">
        <f t="shared" ca="1" si="331"/>
        <v>0</v>
      </c>
      <c r="M595" s="80">
        <f t="shared" ca="1" si="332"/>
        <v>0</v>
      </c>
      <c r="N595" s="80">
        <f t="shared" ca="1" si="333"/>
        <v>0</v>
      </c>
      <c r="O595" s="81">
        <f t="shared" ca="1" si="318"/>
        <v>0</v>
      </c>
      <c r="P595" s="79">
        <f t="shared" ca="1" si="319"/>
        <v>0</v>
      </c>
      <c r="R595">
        <f t="shared" ca="1" si="334"/>
        <v>592</v>
      </c>
      <c r="S595" s="78">
        <f t="shared" ca="1" si="335"/>
        <v>109.28</v>
      </c>
      <c r="T595" s="55">
        <f t="shared" ca="1" si="336"/>
        <v>0</v>
      </c>
      <c r="U595" s="78">
        <f t="shared" ca="1" si="337"/>
        <v>2.4366954920664725E-5</v>
      </c>
      <c r="V595" s="79">
        <f t="shared" ca="1" si="338"/>
        <v>0</v>
      </c>
      <c r="W595" s="79">
        <f t="shared" ca="1" si="320"/>
        <v>0</v>
      </c>
      <c r="X595" s="80">
        <f t="shared" ca="1" si="321"/>
        <v>0</v>
      </c>
      <c r="Y595" s="80">
        <f t="shared" ca="1" si="339"/>
        <v>0</v>
      </c>
      <c r="Z595" s="80">
        <f t="shared" ca="1" si="322"/>
        <v>0</v>
      </c>
      <c r="AA595" s="80">
        <f t="shared" ca="1" si="340"/>
        <v>0</v>
      </c>
      <c r="AB595" s="81">
        <f t="shared" ca="1" si="323"/>
        <v>0</v>
      </c>
      <c r="AC595" s="79">
        <f t="shared" ca="1" si="324"/>
        <v>0</v>
      </c>
      <c r="AE595" s="35"/>
      <c r="AF595" s="35"/>
      <c r="AR595" s="69">
        <f t="shared" si="341"/>
        <v>50</v>
      </c>
      <c r="AS595" s="70">
        <f t="shared" si="344"/>
        <v>592</v>
      </c>
      <c r="AT595" s="71">
        <f t="shared" si="345"/>
        <v>1.7384770173150127E-2</v>
      </c>
      <c r="AU595" s="72">
        <f t="shared" si="325"/>
        <v>6.8214933659622723E-3</v>
      </c>
      <c r="AV595" s="73">
        <f t="shared" si="342"/>
        <v>1.0068214933659623</v>
      </c>
      <c r="AW595" s="74">
        <f>PRODUCT(AV$4:AV595)</f>
        <v>55.958631337485343</v>
      </c>
    </row>
    <row r="596" spans="5:49">
      <c r="E596">
        <f t="shared" si="343"/>
        <v>593</v>
      </c>
      <c r="F596" s="64">
        <f t="shared" si="326"/>
        <v>109.36</v>
      </c>
      <c r="G596" s="55">
        <f t="shared" si="327"/>
        <v>0</v>
      </c>
      <c r="H596" s="78">
        <f t="shared" si="346"/>
        <v>2.4366954920664725E-5</v>
      </c>
      <c r="I596" s="79">
        <f t="shared" ca="1" si="328"/>
        <v>0</v>
      </c>
      <c r="J596" s="79">
        <f t="shared" ca="1" si="329"/>
        <v>0</v>
      </c>
      <c r="K596" s="80">
        <f t="shared" ca="1" si="330"/>
        <v>0</v>
      </c>
      <c r="L596" s="80">
        <f t="shared" ca="1" si="331"/>
        <v>0</v>
      </c>
      <c r="M596" s="80">
        <f t="shared" ca="1" si="332"/>
        <v>0</v>
      </c>
      <c r="N596" s="80">
        <f t="shared" ca="1" si="333"/>
        <v>0</v>
      </c>
      <c r="O596" s="81">
        <f t="shared" ca="1" si="318"/>
        <v>0</v>
      </c>
      <c r="P596" s="79">
        <f t="shared" ca="1" si="319"/>
        <v>0</v>
      </c>
      <c r="R596">
        <f t="shared" ca="1" si="334"/>
        <v>593</v>
      </c>
      <c r="S596" s="78">
        <f t="shared" ca="1" si="335"/>
        <v>109.36</v>
      </c>
      <c r="T596" s="55">
        <f t="shared" ca="1" si="336"/>
        <v>0</v>
      </c>
      <c r="U596" s="78">
        <f t="shared" ca="1" si="337"/>
        <v>2.4366954920664725E-5</v>
      </c>
      <c r="V596" s="79">
        <f t="shared" ca="1" si="338"/>
        <v>0</v>
      </c>
      <c r="W596" s="79">
        <f t="shared" ca="1" si="320"/>
        <v>0</v>
      </c>
      <c r="X596" s="80">
        <f t="shared" ca="1" si="321"/>
        <v>0</v>
      </c>
      <c r="Y596" s="80">
        <f t="shared" ca="1" si="339"/>
        <v>0</v>
      </c>
      <c r="Z596" s="80">
        <f t="shared" ca="1" si="322"/>
        <v>0</v>
      </c>
      <c r="AA596" s="80">
        <f t="shared" ca="1" si="340"/>
        <v>0</v>
      </c>
      <c r="AB596" s="81">
        <f t="shared" ca="1" si="323"/>
        <v>0</v>
      </c>
      <c r="AC596" s="79">
        <f t="shared" ca="1" si="324"/>
        <v>0</v>
      </c>
      <c r="AE596" s="35"/>
      <c r="AF596" s="35"/>
      <c r="AR596" s="69">
        <f t="shared" si="341"/>
        <v>50</v>
      </c>
      <c r="AS596" s="70">
        <f t="shared" si="344"/>
        <v>593</v>
      </c>
      <c r="AT596" s="71">
        <f t="shared" si="345"/>
        <v>1.7266180078745204E-2</v>
      </c>
      <c r="AU596" s="72">
        <f t="shared" si="325"/>
        <v>6.8214933659622723E-3</v>
      </c>
      <c r="AV596" s="73">
        <f t="shared" si="342"/>
        <v>1.0068214933659623</v>
      </c>
      <c r="AW596" s="74">
        <f>PRODUCT(AV$4:AV596)</f>
        <v>56.340352769922326</v>
      </c>
    </row>
    <row r="597" spans="5:49">
      <c r="E597">
        <f t="shared" si="343"/>
        <v>594</v>
      </c>
      <c r="F597" s="64">
        <f t="shared" si="326"/>
        <v>109.44</v>
      </c>
      <c r="G597" s="55">
        <f t="shared" si="327"/>
        <v>0</v>
      </c>
      <c r="H597" s="78">
        <f t="shared" si="346"/>
        <v>2.4366954920664725E-5</v>
      </c>
      <c r="I597" s="79">
        <f t="shared" ca="1" si="328"/>
        <v>0</v>
      </c>
      <c r="J597" s="79">
        <f t="shared" ca="1" si="329"/>
        <v>0</v>
      </c>
      <c r="K597" s="80">
        <f t="shared" ca="1" si="330"/>
        <v>0</v>
      </c>
      <c r="L597" s="80">
        <f t="shared" ca="1" si="331"/>
        <v>0</v>
      </c>
      <c r="M597" s="80">
        <f t="shared" ca="1" si="332"/>
        <v>0</v>
      </c>
      <c r="N597" s="80">
        <f t="shared" ca="1" si="333"/>
        <v>0</v>
      </c>
      <c r="O597" s="81">
        <f t="shared" ca="1" si="318"/>
        <v>0</v>
      </c>
      <c r="P597" s="79">
        <f t="shared" ca="1" si="319"/>
        <v>0</v>
      </c>
      <c r="R597">
        <f t="shared" ca="1" si="334"/>
        <v>594</v>
      </c>
      <c r="S597" s="78">
        <f t="shared" ca="1" si="335"/>
        <v>109.44</v>
      </c>
      <c r="T597" s="55">
        <f t="shared" ca="1" si="336"/>
        <v>0</v>
      </c>
      <c r="U597" s="78">
        <f t="shared" ca="1" si="337"/>
        <v>2.4366954920664725E-5</v>
      </c>
      <c r="V597" s="79">
        <f t="shared" ca="1" si="338"/>
        <v>0</v>
      </c>
      <c r="W597" s="79">
        <f t="shared" ca="1" si="320"/>
        <v>0</v>
      </c>
      <c r="X597" s="80">
        <f t="shared" ca="1" si="321"/>
        <v>0</v>
      </c>
      <c r="Y597" s="80">
        <f t="shared" ca="1" si="339"/>
        <v>0</v>
      </c>
      <c r="Z597" s="80">
        <f t="shared" ca="1" si="322"/>
        <v>0</v>
      </c>
      <c r="AA597" s="80">
        <f t="shared" ca="1" si="340"/>
        <v>0</v>
      </c>
      <c r="AB597" s="81">
        <f t="shared" ca="1" si="323"/>
        <v>0</v>
      </c>
      <c r="AC597" s="79">
        <f t="shared" ca="1" si="324"/>
        <v>0</v>
      </c>
      <c r="AE597" s="35"/>
      <c r="AF597" s="35"/>
      <c r="AR597" s="69">
        <f t="shared" si="341"/>
        <v>50</v>
      </c>
      <c r="AS597" s="70">
        <f t="shared" si="344"/>
        <v>594</v>
      </c>
      <c r="AT597" s="71">
        <f t="shared" si="345"/>
        <v>1.7148398945882534E-2</v>
      </c>
      <c r="AU597" s="72">
        <f t="shared" si="325"/>
        <v>6.8214933659622723E-3</v>
      </c>
      <c r="AV597" s="73">
        <f t="shared" si="342"/>
        <v>1.0068214933659623</v>
      </c>
      <c r="AW597" s="74">
        <f>PRODUCT(AV$4:AV597)</f>
        <v>56.724678112578324</v>
      </c>
    </row>
    <row r="598" spans="5:49">
      <c r="E598">
        <f t="shared" si="343"/>
        <v>595</v>
      </c>
      <c r="F598" s="64">
        <f t="shared" si="326"/>
        <v>109.52</v>
      </c>
      <c r="G598" s="55">
        <f t="shared" si="327"/>
        <v>0</v>
      </c>
      <c r="H598" s="78">
        <f t="shared" si="346"/>
        <v>2.4366954920664725E-5</v>
      </c>
      <c r="I598" s="79">
        <f t="shared" ca="1" si="328"/>
        <v>0</v>
      </c>
      <c r="J598" s="79">
        <f t="shared" ca="1" si="329"/>
        <v>0</v>
      </c>
      <c r="K598" s="80">
        <f t="shared" ca="1" si="330"/>
        <v>0</v>
      </c>
      <c r="L598" s="80">
        <f t="shared" ca="1" si="331"/>
        <v>0</v>
      </c>
      <c r="M598" s="80">
        <f t="shared" ca="1" si="332"/>
        <v>0</v>
      </c>
      <c r="N598" s="80">
        <f t="shared" ca="1" si="333"/>
        <v>0</v>
      </c>
      <c r="O598" s="81">
        <f t="shared" ca="1" si="318"/>
        <v>0</v>
      </c>
      <c r="P598" s="79">
        <f t="shared" ca="1" si="319"/>
        <v>0</v>
      </c>
      <c r="R598">
        <f t="shared" ca="1" si="334"/>
        <v>595</v>
      </c>
      <c r="S598" s="78">
        <f t="shared" ca="1" si="335"/>
        <v>109.52</v>
      </c>
      <c r="T598" s="55">
        <f t="shared" ca="1" si="336"/>
        <v>0</v>
      </c>
      <c r="U598" s="78">
        <f t="shared" ca="1" si="337"/>
        <v>2.4366954920664725E-5</v>
      </c>
      <c r="V598" s="79">
        <f t="shared" ca="1" si="338"/>
        <v>0</v>
      </c>
      <c r="W598" s="79">
        <f t="shared" ca="1" si="320"/>
        <v>0</v>
      </c>
      <c r="X598" s="80">
        <f t="shared" ca="1" si="321"/>
        <v>0</v>
      </c>
      <c r="Y598" s="80">
        <f t="shared" ca="1" si="339"/>
        <v>0</v>
      </c>
      <c r="Z598" s="80">
        <f t="shared" ca="1" si="322"/>
        <v>0</v>
      </c>
      <c r="AA598" s="80">
        <f t="shared" ca="1" si="340"/>
        <v>0</v>
      </c>
      <c r="AB598" s="81">
        <f t="shared" ca="1" si="323"/>
        <v>0</v>
      </c>
      <c r="AC598" s="79">
        <f t="shared" ca="1" si="324"/>
        <v>0</v>
      </c>
      <c r="AE598" s="35"/>
      <c r="AF598" s="35"/>
      <c r="AR598" s="69">
        <f t="shared" si="341"/>
        <v>50</v>
      </c>
      <c r="AS598" s="70">
        <f t="shared" si="344"/>
        <v>595</v>
      </c>
      <c r="AT598" s="71">
        <f t="shared" si="345"/>
        <v>1.7031421256236322E-2</v>
      </c>
      <c r="AU598" s="72">
        <f t="shared" si="325"/>
        <v>6.8214933659622723E-3</v>
      </c>
      <c r="AV598" s="73">
        <f t="shared" si="342"/>
        <v>1.0068214933659623</v>
      </c>
      <c r="AW598" s="74">
        <f>PRODUCT(AV$4:AV598)</f>
        <v>57.111625128009621</v>
      </c>
    </row>
    <row r="599" spans="5:49">
      <c r="E599">
        <f t="shared" si="343"/>
        <v>596</v>
      </c>
      <c r="F599" s="64">
        <f t="shared" si="326"/>
        <v>109.6</v>
      </c>
      <c r="G599" s="55">
        <f t="shared" si="327"/>
        <v>0</v>
      </c>
      <c r="H599" s="78">
        <f t="shared" si="346"/>
        <v>2.4366954920664725E-5</v>
      </c>
      <c r="I599" s="79">
        <f t="shared" ca="1" si="328"/>
        <v>0</v>
      </c>
      <c r="J599" s="79">
        <f t="shared" ca="1" si="329"/>
        <v>0</v>
      </c>
      <c r="K599" s="80">
        <f t="shared" ca="1" si="330"/>
        <v>0</v>
      </c>
      <c r="L599" s="80">
        <f t="shared" ca="1" si="331"/>
        <v>0</v>
      </c>
      <c r="M599" s="80">
        <f t="shared" ca="1" si="332"/>
        <v>0</v>
      </c>
      <c r="N599" s="80">
        <f t="shared" ca="1" si="333"/>
        <v>0</v>
      </c>
      <c r="O599" s="81">
        <f t="shared" ca="1" si="318"/>
        <v>0</v>
      </c>
      <c r="P599" s="79">
        <f t="shared" ca="1" si="319"/>
        <v>0</v>
      </c>
      <c r="R599">
        <f t="shared" ca="1" si="334"/>
        <v>596</v>
      </c>
      <c r="S599" s="78">
        <f t="shared" ca="1" si="335"/>
        <v>109.6</v>
      </c>
      <c r="T599" s="55">
        <f t="shared" ca="1" si="336"/>
        <v>0</v>
      </c>
      <c r="U599" s="78">
        <f t="shared" ca="1" si="337"/>
        <v>2.4366954920664725E-5</v>
      </c>
      <c r="V599" s="79">
        <f t="shared" ca="1" si="338"/>
        <v>0</v>
      </c>
      <c r="W599" s="79">
        <f t="shared" ca="1" si="320"/>
        <v>0</v>
      </c>
      <c r="X599" s="80">
        <f t="shared" ca="1" si="321"/>
        <v>0</v>
      </c>
      <c r="Y599" s="80">
        <f t="shared" ca="1" si="339"/>
        <v>0</v>
      </c>
      <c r="Z599" s="80">
        <f t="shared" ca="1" si="322"/>
        <v>0</v>
      </c>
      <c r="AA599" s="80">
        <f t="shared" ca="1" si="340"/>
        <v>0</v>
      </c>
      <c r="AB599" s="81">
        <f t="shared" ca="1" si="323"/>
        <v>0</v>
      </c>
      <c r="AC599" s="79">
        <f t="shared" ca="1" si="324"/>
        <v>0</v>
      </c>
      <c r="AE599" s="35"/>
      <c r="AF599" s="35"/>
      <c r="AR599" s="69">
        <f t="shared" si="341"/>
        <v>50</v>
      </c>
      <c r="AS599" s="70">
        <f t="shared" si="344"/>
        <v>596</v>
      </c>
      <c r="AT599" s="71">
        <f t="shared" si="345"/>
        <v>1.6915241529123996E-2</v>
      </c>
      <c r="AU599" s="72">
        <f t="shared" si="325"/>
        <v>6.8214933659622723E-3</v>
      </c>
      <c r="AV599" s="73">
        <f t="shared" si="342"/>
        <v>1.0068214933659623</v>
      </c>
      <c r="AW599" s="74">
        <f>PRODUCT(AV$4:AV599)</f>
        <v>57.50121169993966</v>
      </c>
    </row>
    <row r="600" spans="5:49">
      <c r="E600">
        <f t="shared" si="343"/>
        <v>597</v>
      </c>
      <c r="F600" s="64">
        <f t="shared" si="326"/>
        <v>109.68</v>
      </c>
      <c r="G600" s="55">
        <f t="shared" si="327"/>
        <v>0</v>
      </c>
      <c r="H600" s="78">
        <f t="shared" si="346"/>
        <v>2.4366954920664725E-5</v>
      </c>
      <c r="I600" s="79">
        <f t="shared" ca="1" si="328"/>
        <v>0</v>
      </c>
      <c r="J600" s="79">
        <f t="shared" ca="1" si="329"/>
        <v>0</v>
      </c>
      <c r="K600" s="80">
        <f t="shared" ca="1" si="330"/>
        <v>0</v>
      </c>
      <c r="L600" s="80">
        <f t="shared" ca="1" si="331"/>
        <v>0</v>
      </c>
      <c r="M600" s="80">
        <f t="shared" ca="1" si="332"/>
        <v>0</v>
      </c>
      <c r="N600" s="80">
        <f t="shared" ca="1" si="333"/>
        <v>0</v>
      </c>
      <c r="O600" s="81">
        <f t="shared" ca="1" si="318"/>
        <v>0</v>
      </c>
      <c r="P600" s="79">
        <f t="shared" ca="1" si="319"/>
        <v>0</v>
      </c>
      <c r="R600">
        <f t="shared" ca="1" si="334"/>
        <v>597</v>
      </c>
      <c r="S600" s="78">
        <f t="shared" ca="1" si="335"/>
        <v>109.68</v>
      </c>
      <c r="T600" s="55">
        <f t="shared" ca="1" si="336"/>
        <v>0</v>
      </c>
      <c r="U600" s="78">
        <f t="shared" ca="1" si="337"/>
        <v>2.4366954920664725E-5</v>
      </c>
      <c r="V600" s="79">
        <f t="shared" ca="1" si="338"/>
        <v>0</v>
      </c>
      <c r="W600" s="79">
        <f t="shared" ca="1" si="320"/>
        <v>0</v>
      </c>
      <c r="X600" s="80">
        <f t="shared" ca="1" si="321"/>
        <v>0</v>
      </c>
      <c r="Y600" s="80">
        <f t="shared" ca="1" si="339"/>
        <v>0</v>
      </c>
      <c r="Z600" s="80">
        <f t="shared" ca="1" si="322"/>
        <v>0</v>
      </c>
      <c r="AA600" s="80">
        <f t="shared" ca="1" si="340"/>
        <v>0</v>
      </c>
      <c r="AB600" s="81">
        <f t="shared" ca="1" si="323"/>
        <v>0</v>
      </c>
      <c r="AC600" s="79">
        <f t="shared" ca="1" si="324"/>
        <v>0</v>
      </c>
      <c r="AE600" s="35"/>
      <c r="AF600" s="35"/>
      <c r="AR600" s="69">
        <f t="shared" si="341"/>
        <v>50</v>
      </c>
      <c r="AS600" s="70">
        <f t="shared" si="344"/>
        <v>597</v>
      </c>
      <c r="AT600" s="71">
        <f t="shared" si="345"/>
        <v>1.6799854321249426E-2</v>
      </c>
      <c r="AU600" s="72">
        <f t="shared" si="325"/>
        <v>6.8214933659622723E-3</v>
      </c>
      <c r="AV600" s="73">
        <f t="shared" si="342"/>
        <v>1.0068214933659623</v>
      </c>
      <c r="AW600" s="74">
        <f>PRODUCT(AV$4:AV600)</f>
        <v>57.893455834085593</v>
      </c>
    </row>
    <row r="601" spans="5:49">
      <c r="E601">
        <f t="shared" si="343"/>
        <v>598</v>
      </c>
      <c r="F601" s="64">
        <f t="shared" si="326"/>
        <v>109.76</v>
      </c>
      <c r="G601" s="55">
        <f t="shared" si="327"/>
        <v>0</v>
      </c>
      <c r="H601" s="78">
        <f t="shared" si="346"/>
        <v>2.4366954920664725E-5</v>
      </c>
      <c r="I601" s="79">
        <f t="shared" ca="1" si="328"/>
        <v>0</v>
      </c>
      <c r="J601" s="79">
        <f t="shared" ca="1" si="329"/>
        <v>0</v>
      </c>
      <c r="K601" s="80">
        <f t="shared" ca="1" si="330"/>
        <v>0</v>
      </c>
      <c r="L601" s="80">
        <f t="shared" ca="1" si="331"/>
        <v>0</v>
      </c>
      <c r="M601" s="80">
        <f t="shared" ca="1" si="332"/>
        <v>0</v>
      </c>
      <c r="N601" s="80">
        <f t="shared" ca="1" si="333"/>
        <v>0</v>
      </c>
      <c r="O601" s="81">
        <f t="shared" ca="1" si="318"/>
        <v>0</v>
      </c>
      <c r="P601" s="79">
        <f t="shared" ca="1" si="319"/>
        <v>0</v>
      </c>
      <c r="R601">
        <f t="shared" ca="1" si="334"/>
        <v>598</v>
      </c>
      <c r="S601" s="78">
        <f t="shared" ca="1" si="335"/>
        <v>109.76</v>
      </c>
      <c r="T601" s="55">
        <f t="shared" ca="1" si="336"/>
        <v>0</v>
      </c>
      <c r="U601" s="78">
        <f t="shared" ca="1" si="337"/>
        <v>2.4366954920664725E-5</v>
      </c>
      <c r="V601" s="79">
        <f t="shared" ca="1" si="338"/>
        <v>0</v>
      </c>
      <c r="W601" s="79">
        <f t="shared" ca="1" si="320"/>
        <v>0</v>
      </c>
      <c r="X601" s="80">
        <f t="shared" ca="1" si="321"/>
        <v>0</v>
      </c>
      <c r="Y601" s="80">
        <f t="shared" ca="1" si="339"/>
        <v>0</v>
      </c>
      <c r="Z601" s="80">
        <f t="shared" ca="1" si="322"/>
        <v>0</v>
      </c>
      <c r="AA601" s="80">
        <f t="shared" ca="1" si="340"/>
        <v>0</v>
      </c>
      <c r="AB601" s="81">
        <f t="shared" ca="1" si="323"/>
        <v>0</v>
      </c>
      <c r="AC601" s="79">
        <f t="shared" ca="1" si="324"/>
        <v>0</v>
      </c>
      <c r="AE601" s="35"/>
      <c r="AF601" s="35"/>
      <c r="AR601" s="69">
        <f t="shared" si="341"/>
        <v>50</v>
      </c>
      <c r="AS601" s="70">
        <f t="shared" si="344"/>
        <v>598</v>
      </c>
      <c r="AT601" s="71">
        <f t="shared" si="345"/>
        <v>1.6685254226447892E-2</v>
      </c>
      <c r="AU601" s="72">
        <f t="shared" si="325"/>
        <v>6.8214933659622723E-3</v>
      </c>
      <c r="AV601" s="73">
        <f t="shared" si="342"/>
        <v>1.0068214933659623</v>
      </c>
      <c r="AW601" s="74">
        <f>PRODUCT(AV$4:AV601)</f>
        <v>58.288375658990439</v>
      </c>
    </row>
    <row r="602" spans="5:49">
      <c r="E602">
        <f t="shared" si="343"/>
        <v>599</v>
      </c>
      <c r="F602" s="64">
        <f t="shared" si="326"/>
        <v>109.84</v>
      </c>
      <c r="G602" s="55">
        <f t="shared" si="327"/>
        <v>0</v>
      </c>
      <c r="H602" s="78">
        <f t="shared" si="346"/>
        <v>2.4366954920664725E-5</v>
      </c>
      <c r="I602" s="79">
        <f t="shared" ca="1" si="328"/>
        <v>0</v>
      </c>
      <c r="J602" s="79">
        <f t="shared" ca="1" si="329"/>
        <v>0</v>
      </c>
      <c r="K602" s="80">
        <f t="shared" ca="1" si="330"/>
        <v>0</v>
      </c>
      <c r="L602" s="80">
        <f t="shared" ca="1" si="331"/>
        <v>0</v>
      </c>
      <c r="M602" s="80">
        <f t="shared" ca="1" si="332"/>
        <v>0</v>
      </c>
      <c r="N602" s="80">
        <f t="shared" ca="1" si="333"/>
        <v>0</v>
      </c>
      <c r="O602" s="81">
        <f t="shared" ca="1" si="318"/>
        <v>0</v>
      </c>
      <c r="P602" s="79">
        <f t="shared" ca="1" si="319"/>
        <v>0</v>
      </c>
      <c r="R602">
        <f t="shared" ca="1" si="334"/>
        <v>599</v>
      </c>
      <c r="S602" s="78">
        <f t="shared" ca="1" si="335"/>
        <v>109.84</v>
      </c>
      <c r="T602" s="55">
        <f t="shared" ca="1" si="336"/>
        <v>0</v>
      </c>
      <c r="U602" s="78">
        <f t="shared" ca="1" si="337"/>
        <v>2.4366954920664725E-5</v>
      </c>
      <c r="V602" s="79">
        <f t="shared" ca="1" si="338"/>
        <v>0</v>
      </c>
      <c r="W602" s="79">
        <f t="shared" ca="1" si="320"/>
        <v>0</v>
      </c>
      <c r="X602" s="80">
        <f t="shared" ca="1" si="321"/>
        <v>0</v>
      </c>
      <c r="Y602" s="80">
        <f t="shared" ca="1" si="339"/>
        <v>0</v>
      </c>
      <c r="Z602" s="80">
        <f t="shared" ca="1" si="322"/>
        <v>0</v>
      </c>
      <c r="AA602" s="80">
        <f t="shared" ca="1" si="340"/>
        <v>0</v>
      </c>
      <c r="AB602" s="81">
        <f t="shared" ca="1" si="323"/>
        <v>0</v>
      </c>
      <c r="AC602" s="79">
        <f t="shared" ca="1" si="324"/>
        <v>0</v>
      </c>
      <c r="AE602" s="35"/>
      <c r="AF602" s="35"/>
      <c r="AR602" s="69">
        <f t="shared" si="341"/>
        <v>50</v>
      </c>
      <c r="AS602" s="70">
        <f t="shared" si="344"/>
        <v>599</v>
      </c>
      <c r="AT602" s="71">
        <f t="shared" si="345"/>
        <v>1.6571435875432784E-2</v>
      </c>
      <c r="AU602" s="72">
        <f t="shared" si="325"/>
        <v>6.8214933659622723E-3</v>
      </c>
      <c r="AV602" s="73">
        <f t="shared" si="342"/>
        <v>1.0068214933659623</v>
      </c>
      <c r="AW602" s="74">
        <f>PRODUCT(AV$4:AV602)</f>
        <v>58.685989426860957</v>
      </c>
    </row>
    <row r="603" spans="5:49">
      <c r="E603">
        <f t="shared" si="343"/>
        <v>600</v>
      </c>
      <c r="F603" s="64">
        <f t="shared" si="326"/>
        <v>109.92</v>
      </c>
      <c r="G603" s="55">
        <f t="shared" si="327"/>
        <v>0</v>
      </c>
      <c r="H603" s="78">
        <f t="shared" si="346"/>
        <v>2.4366954920664725E-5</v>
      </c>
      <c r="I603" s="79">
        <f t="shared" ca="1" si="328"/>
        <v>0</v>
      </c>
      <c r="J603" s="79">
        <f t="shared" ca="1" si="329"/>
        <v>0</v>
      </c>
      <c r="K603" s="80">
        <f t="shared" ca="1" si="330"/>
        <v>0</v>
      </c>
      <c r="L603" s="80">
        <f t="shared" ca="1" si="331"/>
        <v>0</v>
      </c>
      <c r="M603" s="80">
        <f t="shared" ca="1" si="332"/>
        <v>0</v>
      </c>
      <c r="N603" s="80">
        <f t="shared" ca="1" si="333"/>
        <v>0</v>
      </c>
      <c r="O603" s="81">
        <f t="shared" ca="1" si="318"/>
        <v>0</v>
      </c>
      <c r="P603" s="79">
        <f t="shared" ca="1" si="319"/>
        <v>0</v>
      </c>
      <c r="R603">
        <f t="shared" ca="1" si="334"/>
        <v>600</v>
      </c>
      <c r="S603" s="78">
        <f t="shared" ca="1" si="335"/>
        <v>109.92</v>
      </c>
      <c r="T603" s="55">
        <f t="shared" ca="1" si="336"/>
        <v>0</v>
      </c>
      <c r="U603" s="78">
        <f t="shared" ca="1" si="337"/>
        <v>2.4366954920664725E-5</v>
      </c>
      <c r="V603" s="79">
        <f t="shared" ca="1" si="338"/>
        <v>0</v>
      </c>
      <c r="W603" s="79">
        <f t="shared" ca="1" si="320"/>
        <v>0</v>
      </c>
      <c r="X603" s="80">
        <f t="shared" ca="1" si="321"/>
        <v>0</v>
      </c>
      <c r="Y603" s="80">
        <f t="shared" ca="1" si="339"/>
        <v>0</v>
      </c>
      <c r="Z603" s="80">
        <f t="shared" ca="1" si="322"/>
        <v>0</v>
      </c>
      <c r="AA603" s="80">
        <f t="shared" ca="1" si="340"/>
        <v>0</v>
      </c>
      <c r="AB603" s="81">
        <f t="shared" ca="1" si="323"/>
        <v>0</v>
      </c>
      <c r="AC603" s="79">
        <f t="shared" ca="1" si="324"/>
        <v>0</v>
      </c>
      <c r="AE603" s="35"/>
      <c r="AF603" s="35"/>
      <c r="AR603" s="69">
        <f t="shared" si="341"/>
        <v>50</v>
      </c>
      <c r="AS603" s="70">
        <f t="shared" si="344"/>
        <v>600</v>
      </c>
      <c r="AT603" s="71">
        <f t="shared" si="345"/>
        <v>1.645839393554405E-2</v>
      </c>
      <c r="AU603" s="72">
        <f t="shared" si="325"/>
        <v>6.8214933659622723E-3</v>
      </c>
      <c r="AV603" s="73">
        <f t="shared" si="342"/>
        <v>1.0068214933659623</v>
      </c>
      <c r="AW603" s="74">
        <f>PRODUCT(AV$4:AV603)</f>
        <v>59.086315514411218</v>
      </c>
    </row>
    <row r="604" spans="5:49">
      <c r="E604">
        <f t="shared" si="343"/>
        <v>601</v>
      </c>
      <c r="F604" s="64">
        <f t="shared" si="326"/>
        <v>110</v>
      </c>
      <c r="G604" s="55">
        <f t="shared" si="327"/>
        <v>0</v>
      </c>
      <c r="H604" s="78">
        <f t="shared" si="346"/>
        <v>2.4366954920664725E-5</v>
      </c>
      <c r="I604" s="79">
        <f t="shared" ca="1" si="328"/>
        <v>0</v>
      </c>
      <c r="J604" s="79">
        <f t="shared" ca="1" si="329"/>
        <v>0</v>
      </c>
      <c r="K604" s="80">
        <f t="shared" ca="1" si="330"/>
        <v>0</v>
      </c>
      <c r="L604" s="80">
        <f t="shared" ca="1" si="331"/>
        <v>0</v>
      </c>
      <c r="M604" s="80">
        <f t="shared" ca="1" si="332"/>
        <v>0</v>
      </c>
      <c r="N604" s="80">
        <f t="shared" ca="1" si="333"/>
        <v>0</v>
      </c>
      <c r="O604" s="81">
        <f t="shared" ca="1" si="318"/>
        <v>0</v>
      </c>
      <c r="P604" s="79">
        <f t="shared" ca="1" si="319"/>
        <v>0</v>
      </c>
      <c r="R604">
        <f t="shared" ca="1" si="334"/>
        <v>601</v>
      </c>
      <c r="S604" s="78">
        <f t="shared" ca="1" si="335"/>
        <v>110</v>
      </c>
      <c r="T604" s="55">
        <f t="shared" ca="1" si="336"/>
        <v>0</v>
      </c>
      <c r="U604" s="78">
        <f t="shared" ca="1" si="337"/>
        <v>2.4366954920664725E-5</v>
      </c>
      <c r="V604" s="79">
        <f t="shared" ca="1" si="338"/>
        <v>0</v>
      </c>
      <c r="W604" s="79">
        <f t="shared" ca="1" si="320"/>
        <v>0</v>
      </c>
      <c r="X604" s="80">
        <f t="shared" ca="1" si="321"/>
        <v>0</v>
      </c>
      <c r="Y604" s="80">
        <f t="shared" ca="1" si="339"/>
        <v>0</v>
      </c>
      <c r="Z604" s="80">
        <f t="shared" ca="1" si="322"/>
        <v>0</v>
      </c>
      <c r="AA604" s="80">
        <f t="shared" ca="1" si="340"/>
        <v>0</v>
      </c>
      <c r="AB604" s="81">
        <f t="shared" ca="1" si="323"/>
        <v>0</v>
      </c>
      <c r="AC604" s="79">
        <f t="shared" ca="1" si="324"/>
        <v>0</v>
      </c>
      <c r="AE604" s="35"/>
      <c r="AF604" s="35"/>
      <c r="AR604" s="69">
        <f t="shared" si="341"/>
        <v>51</v>
      </c>
      <c r="AS604" s="70">
        <f t="shared" si="344"/>
        <v>601</v>
      </c>
      <c r="AT604" s="71">
        <f t="shared" si="345"/>
        <v>1.6346123110498344E-2</v>
      </c>
      <c r="AU604" s="72">
        <f t="shared" si="325"/>
        <v>6.8214933659622723E-3</v>
      </c>
      <c r="AV604" s="73">
        <f t="shared" si="342"/>
        <v>1.0068214933659623</v>
      </c>
      <c r="AW604" s="74">
        <f>PRODUCT(AV$4:AV604)</f>
        <v>59.489372423711927</v>
      </c>
    </row>
    <row r="605" spans="5:49">
      <c r="E605">
        <f t="shared" si="343"/>
        <v>602</v>
      </c>
      <c r="F605" s="64">
        <f t="shared" si="326"/>
        <v>110.08</v>
      </c>
      <c r="G605" s="55">
        <f t="shared" si="327"/>
        <v>0</v>
      </c>
      <c r="H605" s="78">
        <f t="shared" si="346"/>
        <v>2.4366954920664725E-5</v>
      </c>
      <c r="I605" s="79">
        <f t="shared" ca="1" si="328"/>
        <v>0</v>
      </c>
      <c r="J605" s="79">
        <f t="shared" ca="1" si="329"/>
        <v>0</v>
      </c>
      <c r="K605" s="80">
        <f t="shared" ca="1" si="330"/>
        <v>0</v>
      </c>
      <c r="L605" s="80">
        <f t="shared" ca="1" si="331"/>
        <v>0</v>
      </c>
      <c r="M605" s="80">
        <f t="shared" ca="1" si="332"/>
        <v>0</v>
      </c>
      <c r="N605" s="80">
        <f t="shared" ca="1" si="333"/>
        <v>0</v>
      </c>
      <c r="O605" s="81">
        <f t="shared" ca="1" si="318"/>
        <v>0</v>
      </c>
      <c r="P605" s="79">
        <f t="shared" ca="1" si="319"/>
        <v>0</v>
      </c>
      <c r="R605">
        <f t="shared" ca="1" si="334"/>
        <v>602</v>
      </c>
      <c r="S605" s="78">
        <f t="shared" ca="1" si="335"/>
        <v>110.08</v>
      </c>
      <c r="T605" s="55">
        <f t="shared" ca="1" si="336"/>
        <v>0</v>
      </c>
      <c r="U605" s="78">
        <f t="shared" ca="1" si="337"/>
        <v>2.4366954920664725E-5</v>
      </c>
      <c r="V605" s="79">
        <f t="shared" ca="1" si="338"/>
        <v>0</v>
      </c>
      <c r="W605" s="79">
        <f t="shared" ca="1" si="320"/>
        <v>0</v>
      </c>
      <c r="X605" s="80">
        <f t="shared" ca="1" si="321"/>
        <v>0</v>
      </c>
      <c r="Y605" s="80">
        <f t="shared" ca="1" si="339"/>
        <v>0</v>
      </c>
      <c r="Z605" s="80">
        <f t="shared" ca="1" si="322"/>
        <v>0</v>
      </c>
      <c r="AA605" s="80">
        <f t="shared" ca="1" si="340"/>
        <v>0</v>
      </c>
      <c r="AB605" s="81">
        <f t="shared" ca="1" si="323"/>
        <v>0</v>
      </c>
      <c r="AC605" s="79">
        <f t="shared" ca="1" si="324"/>
        <v>0</v>
      </c>
      <c r="AE605" s="35"/>
      <c r="AF605" s="35"/>
      <c r="AR605" s="69">
        <f t="shared" si="341"/>
        <v>51</v>
      </c>
      <c r="AS605" s="70">
        <f t="shared" si="344"/>
        <v>602</v>
      </c>
      <c r="AT605" s="71">
        <f t="shared" si="345"/>
        <v>1.6234618140140877E-2</v>
      </c>
      <c r="AU605" s="72">
        <f t="shared" si="325"/>
        <v>6.8214933659622723E-3</v>
      </c>
      <c r="AV605" s="73">
        <f t="shared" si="342"/>
        <v>1.0068214933659623</v>
      </c>
      <c r="AW605" s="74">
        <f>PRODUCT(AV$4:AV605)</f>
        <v>59.895178783045537</v>
      </c>
    </row>
    <row r="606" spans="5:49">
      <c r="E606">
        <f t="shared" si="343"/>
        <v>603</v>
      </c>
      <c r="F606" s="64">
        <f t="shared" si="326"/>
        <v>110.16</v>
      </c>
      <c r="G606" s="55">
        <f t="shared" si="327"/>
        <v>0</v>
      </c>
      <c r="H606" s="78">
        <f t="shared" si="346"/>
        <v>2.4366954920664725E-5</v>
      </c>
      <c r="I606" s="79">
        <f t="shared" ca="1" si="328"/>
        <v>0</v>
      </c>
      <c r="J606" s="79">
        <f t="shared" ca="1" si="329"/>
        <v>0</v>
      </c>
      <c r="K606" s="80">
        <f t="shared" ca="1" si="330"/>
        <v>0</v>
      </c>
      <c r="L606" s="80">
        <f t="shared" ca="1" si="331"/>
        <v>0</v>
      </c>
      <c r="M606" s="80">
        <f t="shared" ca="1" si="332"/>
        <v>0</v>
      </c>
      <c r="N606" s="80">
        <f t="shared" ca="1" si="333"/>
        <v>0</v>
      </c>
      <c r="O606" s="81">
        <f t="shared" ca="1" si="318"/>
        <v>0</v>
      </c>
      <c r="P606" s="79">
        <f t="shared" ca="1" si="319"/>
        <v>0</v>
      </c>
      <c r="R606">
        <f t="shared" ca="1" si="334"/>
        <v>603</v>
      </c>
      <c r="S606" s="78">
        <f t="shared" ca="1" si="335"/>
        <v>110.16</v>
      </c>
      <c r="T606" s="55">
        <f t="shared" ca="1" si="336"/>
        <v>0</v>
      </c>
      <c r="U606" s="78">
        <f t="shared" ca="1" si="337"/>
        <v>2.4366954920664725E-5</v>
      </c>
      <c r="V606" s="79">
        <f t="shared" ca="1" si="338"/>
        <v>0</v>
      </c>
      <c r="W606" s="79">
        <f t="shared" ca="1" si="320"/>
        <v>0</v>
      </c>
      <c r="X606" s="80">
        <f t="shared" ca="1" si="321"/>
        <v>0</v>
      </c>
      <c r="Y606" s="80">
        <f t="shared" ca="1" si="339"/>
        <v>0</v>
      </c>
      <c r="Z606" s="80">
        <f t="shared" ca="1" si="322"/>
        <v>0</v>
      </c>
      <c r="AA606" s="80">
        <f t="shared" ca="1" si="340"/>
        <v>0</v>
      </c>
      <c r="AB606" s="81">
        <f t="shared" ca="1" si="323"/>
        <v>0</v>
      </c>
      <c r="AC606" s="79">
        <f t="shared" ca="1" si="324"/>
        <v>0</v>
      </c>
      <c r="AE606" s="35"/>
      <c r="AF606" s="35"/>
      <c r="AR606" s="69">
        <f t="shared" si="341"/>
        <v>51</v>
      </c>
      <c r="AS606" s="70">
        <f t="shared" si="344"/>
        <v>603</v>
      </c>
      <c r="AT606" s="71">
        <f t="shared" si="345"/>
        <v>1.6123873800198977E-2</v>
      </c>
      <c r="AU606" s="72">
        <f t="shared" si="325"/>
        <v>6.8214933659622723E-3</v>
      </c>
      <c r="AV606" s="73">
        <f t="shared" si="342"/>
        <v>1.0068214933659623</v>
      </c>
      <c r="AW606" s="74">
        <f>PRODUCT(AV$4:AV606)</f>
        <v>60.303753347767206</v>
      </c>
    </row>
    <row r="607" spans="5:49">
      <c r="E607">
        <f t="shared" si="343"/>
        <v>604</v>
      </c>
      <c r="F607" s="64">
        <f t="shared" si="326"/>
        <v>110.24</v>
      </c>
      <c r="G607" s="55">
        <f t="shared" si="327"/>
        <v>0</v>
      </c>
      <c r="H607" s="78">
        <f t="shared" si="346"/>
        <v>2.4366954920664725E-5</v>
      </c>
      <c r="I607" s="79">
        <f t="shared" ca="1" si="328"/>
        <v>0</v>
      </c>
      <c r="J607" s="79">
        <f t="shared" ca="1" si="329"/>
        <v>0</v>
      </c>
      <c r="K607" s="80">
        <f t="shared" ca="1" si="330"/>
        <v>0</v>
      </c>
      <c r="L607" s="80">
        <f t="shared" ca="1" si="331"/>
        <v>0</v>
      </c>
      <c r="M607" s="80">
        <f t="shared" ca="1" si="332"/>
        <v>0</v>
      </c>
      <c r="N607" s="80">
        <f t="shared" ca="1" si="333"/>
        <v>0</v>
      </c>
      <c r="O607" s="81">
        <f t="shared" ca="1" si="318"/>
        <v>0</v>
      </c>
      <c r="P607" s="79">
        <f t="shared" ca="1" si="319"/>
        <v>0</v>
      </c>
      <c r="R607">
        <f t="shared" ca="1" si="334"/>
        <v>604</v>
      </c>
      <c r="S607" s="78">
        <f t="shared" ca="1" si="335"/>
        <v>110.24</v>
      </c>
      <c r="T607" s="55">
        <f t="shared" ca="1" si="336"/>
        <v>0</v>
      </c>
      <c r="U607" s="78">
        <f t="shared" ca="1" si="337"/>
        <v>2.4366954920664725E-5</v>
      </c>
      <c r="V607" s="79">
        <f t="shared" ca="1" si="338"/>
        <v>0</v>
      </c>
      <c r="W607" s="79">
        <f t="shared" ca="1" si="320"/>
        <v>0</v>
      </c>
      <c r="X607" s="80">
        <f t="shared" ca="1" si="321"/>
        <v>0</v>
      </c>
      <c r="Y607" s="80">
        <f t="shared" ca="1" si="339"/>
        <v>0</v>
      </c>
      <c r="Z607" s="80">
        <f t="shared" ca="1" si="322"/>
        <v>0</v>
      </c>
      <c r="AA607" s="80">
        <f t="shared" ca="1" si="340"/>
        <v>0</v>
      </c>
      <c r="AB607" s="81">
        <f t="shared" ca="1" si="323"/>
        <v>0</v>
      </c>
      <c r="AC607" s="79">
        <f t="shared" ca="1" si="324"/>
        <v>0</v>
      </c>
      <c r="AE607" s="35"/>
      <c r="AF607" s="35"/>
      <c r="AR607" s="69">
        <f t="shared" si="341"/>
        <v>51</v>
      </c>
      <c r="AS607" s="70">
        <f t="shared" si="344"/>
        <v>604</v>
      </c>
      <c r="AT607" s="71">
        <f t="shared" si="345"/>
        <v>1.6013884902037305E-2</v>
      </c>
      <c r="AU607" s="72">
        <f t="shared" si="325"/>
        <v>6.8214933659622723E-3</v>
      </c>
      <c r="AV607" s="73">
        <f t="shared" si="342"/>
        <v>1.0068214933659623</v>
      </c>
      <c r="AW607" s="74">
        <f>PRODUCT(AV$4:AV607)</f>
        <v>60.715115001171625</v>
      </c>
    </row>
    <row r="608" spans="5:49">
      <c r="E608">
        <f t="shared" si="343"/>
        <v>605</v>
      </c>
      <c r="F608" s="64">
        <f t="shared" si="326"/>
        <v>110.32</v>
      </c>
      <c r="G608" s="55">
        <f t="shared" si="327"/>
        <v>0</v>
      </c>
      <c r="H608" s="78">
        <f t="shared" si="346"/>
        <v>2.4366954920664725E-5</v>
      </c>
      <c r="I608" s="79">
        <f t="shared" ca="1" si="328"/>
        <v>0</v>
      </c>
      <c r="J608" s="79">
        <f t="shared" ca="1" si="329"/>
        <v>0</v>
      </c>
      <c r="K608" s="80">
        <f t="shared" ca="1" si="330"/>
        <v>0</v>
      </c>
      <c r="L608" s="80">
        <f t="shared" ca="1" si="331"/>
        <v>0</v>
      </c>
      <c r="M608" s="80">
        <f t="shared" ca="1" si="332"/>
        <v>0</v>
      </c>
      <c r="N608" s="80">
        <f t="shared" ca="1" si="333"/>
        <v>0</v>
      </c>
      <c r="O608" s="81">
        <f t="shared" ca="1" si="318"/>
        <v>0</v>
      </c>
      <c r="P608" s="79">
        <f t="shared" ca="1" si="319"/>
        <v>0</v>
      </c>
      <c r="R608">
        <f t="shared" ca="1" si="334"/>
        <v>605</v>
      </c>
      <c r="S608" s="78">
        <f t="shared" ca="1" si="335"/>
        <v>110.32</v>
      </c>
      <c r="T608" s="55">
        <f t="shared" ca="1" si="336"/>
        <v>0</v>
      </c>
      <c r="U608" s="78">
        <f t="shared" ca="1" si="337"/>
        <v>2.4366954920664725E-5</v>
      </c>
      <c r="V608" s="79">
        <f t="shared" ca="1" si="338"/>
        <v>0</v>
      </c>
      <c r="W608" s="79">
        <f t="shared" ca="1" si="320"/>
        <v>0</v>
      </c>
      <c r="X608" s="80">
        <f t="shared" ca="1" si="321"/>
        <v>0</v>
      </c>
      <c r="Y608" s="80">
        <f t="shared" ca="1" si="339"/>
        <v>0</v>
      </c>
      <c r="Z608" s="80">
        <f t="shared" ca="1" si="322"/>
        <v>0</v>
      </c>
      <c r="AA608" s="80">
        <f t="shared" ca="1" si="340"/>
        <v>0</v>
      </c>
      <c r="AB608" s="81">
        <f t="shared" ca="1" si="323"/>
        <v>0</v>
      </c>
      <c r="AC608" s="79">
        <f t="shared" ca="1" si="324"/>
        <v>0</v>
      </c>
      <c r="AE608" s="35"/>
      <c r="AF608" s="35"/>
      <c r="AR608" s="69">
        <f t="shared" si="341"/>
        <v>51</v>
      </c>
      <c r="AS608" s="70">
        <f t="shared" si="344"/>
        <v>605</v>
      </c>
      <c r="AT608" s="71">
        <f t="shared" si="345"/>
        <v>1.5904646292414774E-2</v>
      </c>
      <c r="AU608" s="72">
        <f t="shared" si="325"/>
        <v>6.8214933659622723E-3</v>
      </c>
      <c r="AV608" s="73">
        <f t="shared" si="342"/>
        <v>1.0068214933659623</v>
      </c>
      <c r="AW608" s="74">
        <f>PRODUCT(AV$4:AV608)</f>
        <v>61.129282755365757</v>
      </c>
    </row>
    <row r="609" spans="5:49">
      <c r="E609">
        <f t="shared" si="343"/>
        <v>606</v>
      </c>
      <c r="F609" s="64">
        <f t="shared" si="326"/>
        <v>110.4</v>
      </c>
      <c r="G609" s="55">
        <f t="shared" si="327"/>
        <v>0</v>
      </c>
      <c r="H609" s="78">
        <f t="shared" si="346"/>
        <v>2.4366954920664725E-5</v>
      </c>
      <c r="I609" s="79">
        <f t="shared" ca="1" si="328"/>
        <v>0</v>
      </c>
      <c r="J609" s="79">
        <f t="shared" ca="1" si="329"/>
        <v>0</v>
      </c>
      <c r="K609" s="80">
        <f t="shared" ca="1" si="330"/>
        <v>0</v>
      </c>
      <c r="L609" s="80">
        <f t="shared" ca="1" si="331"/>
        <v>0</v>
      </c>
      <c r="M609" s="80">
        <f t="shared" ca="1" si="332"/>
        <v>0</v>
      </c>
      <c r="N609" s="80">
        <f t="shared" ca="1" si="333"/>
        <v>0</v>
      </c>
      <c r="O609" s="81">
        <f t="shared" ca="1" si="318"/>
        <v>0</v>
      </c>
      <c r="P609" s="79">
        <f t="shared" ca="1" si="319"/>
        <v>0</v>
      </c>
      <c r="R609">
        <f t="shared" ca="1" si="334"/>
        <v>606</v>
      </c>
      <c r="S609" s="78">
        <f t="shared" ca="1" si="335"/>
        <v>110.4</v>
      </c>
      <c r="T609" s="55">
        <f t="shared" ca="1" si="336"/>
        <v>0</v>
      </c>
      <c r="U609" s="78">
        <f t="shared" ca="1" si="337"/>
        <v>2.4366954920664725E-5</v>
      </c>
      <c r="V609" s="79">
        <f t="shared" ca="1" si="338"/>
        <v>0</v>
      </c>
      <c r="W609" s="79">
        <f t="shared" ca="1" si="320"/>
        <v>0</v>
      </c>
      <c r="X609" s="80">
        <f t="shared" ca="1" si="321"/>
        <v>0</v>
      </c>
      <c r="Y609" s="80">
        <f t="shared" ca="1" si="339"/>
        <v>0</v>
      </c>
      <c r="Z609" s="80">
        <f t="shared" ca="1" si="322"/>
        <v>0</v>
      </c>
      <c r="AA609" s="80">
        <f t="shared" ca="1" si="340"/>
        <v>0</v>
      </c>
      <c r="AB609" s="81">
        <f t="shared" ca="1" si="323"/>
        <v>0</v>
      </c>
      <c r="AC609" s="79">
        <f t="shared" ca="1" si="324"/>
        <v>0</v>
      </c>
      <c r="AE609" s="35"/>
      <c r="AF609" s="35"/>
      <c r="AR609" s="69">
        <f t="shared" si="341"/>
        <v>51</v>
      </c>
      <c r="AS609" s="70">
        <f t="shared" si="344"/>
        <v>606</v>
      </c>
      <c r="AT609" s="71">
        <f t="shared" si="345"/>
        <v>1.5796152853243092E-2</v>
      </c>
      <c r="AU609" s="72">
        <f t="shared" si="325"/>
        <v>6.8214933659622723E-3</v>
      </c>
      <c r="AV609" s="73">
        <f t="shared" si="342"/>
        <v>1.0068214933659623</v>
      </c>
      <c r="AW609" s="74">
        <f>PRODUCT(AV$4:AV609)</f>
        <v>61.546275752147515</v>
      </c>
    </row>
    <row r="610" spans="5:49">
      <c r="E610">
        <f t="shared" si="343"/>
        <v>607</v>
      </c>
      <c r="F610" s="64">
        <f t="shared" si="326"/>
        <v>110.48</v>
      </c>
      <c r="G610" s="55">
        <f t="shared" si="327"/>
        <v>0</v>
      </c>
      <c r="H610" s="78">
        <f t="shared" si="346"/>
        <v>2.4366954920664725E-5</v>
      </c>
      <c r="I610" s="79">
        <f t="shared" ca="1" si="328"/>
        <v>0</v>
      </c>
      <c r="J610" s="79">
        <f t="shared" ca="1" si="329"/>
        <v>0</v>
      </c>
      <c r="K610" s="80">
        <f t="shared" ca="1" si="330"/>
        <v>0</v>
      </c>
      <c r="L610" s="80">
        <f t="shared" ca="1" si="331"/>
        <v>0</v>
      </c>
      <c r="M610" s="80">
        <f t="shared" ca="1" si="332"/>
        <v>0</v>
      </c>
      <c r="N610" s="80">
        <f t="shared" ca="1" si="333"/>
        <v>0</v>
      </c>
      <c r="O610" s="81">
        <f t="shared" ca="1" si="318"/>
        <v>0</v>
      </c>
      <c r="P610" s="79">
        <f t="shared" ca="1" si="319"/>
        <v>0</v>
      </c>
      <c r="R610">
        <f t="shared" ca="1" si="334"/>
        <v>607</v>
      </c>
      <c r="S610" s="78">
        <f t="shared" ca="1" si="335"/>
        <v>110.48</v>
      </c>
      <c r="T610" s="55">
        <f t="shared" ca="1" si="336"/>
        <v>0</v>
      </c>
      <c r="U610" s="78">
        <f t="shared" ca="1" si="337"/>
        <v>2.4366954920664725E-5</v>
      </c>
      <c r="V610" s="79">
        <f t="shared" ca="1" si="338"/>
        <v>0</v>
      </c>
      <c r="W610" s="79">
        <f t="shared" ca="1" si="320"/>
        <v>0</v>
      </c>
      <c r="X610" s="80">
        <f t="shared" ca="1" si="321"/>
        <v>0</v>
      </c>
      <c r="Y610" s="80">
        <f t="shared" ca="1" si="339"/>
        <v>0</v>
      </c>
      <c r="Z610" s="80">
        <f t="shared" ca="1" si="322"/>
        <v>0</v>
      </c>
      <c r="AA610" s="80">
        <f t="shared" ca="1" si="340"/>
        <v>0</v>
      </c>
      <c r="AB610" s="81">
        <f t="shared" ca="1" si="323"/>
        <v>0</v>
      </c>
      <c r="AC610" s="79">
        <f t="shared" ca="1" si="324"/>
        <v>0</v>
      </c>
      <c r="AE610" s="35"/>
      <c r="AF610" s="35"/>
      <c r="AR610" s="69">
        <f t="shared" si="341"/>
        <v>51</v>
      </c>
      <c r="AS610" s="70">
        <f t="shared" si="344"/>
        <v>607</v>
      </c>
      <c r="AT610" s="71">
        <f t="shared" si="345"/>
        <v>1.5688399501346966E-2</v>
      </c>
      <c r="AU610" s="72">
        <f t="shared" si="325"/>
        <v>6.8214933659622723E-3</v>
      </c>
      <c r="AV610" s="73">
        <f t="shared" si="342"/>
        <v>1.0068214933659623</v>
      </c>
      <c r="AW610" s="74">
        <f>PRODUCT(AV$4:AV610)</f>
        <v>61.966113263890477</v>
      </c>
    </row>
    <row r="611" spans="5:49">
      <c r="E611">
        <f t="shared" si="343"/>
        <v>608</v>
      </c>
      <c r="F611" s="64">
        <f t="shared" si="326"/>
        <v>110.56</v>
      </c>
      <c r="G611" s="55">
        <f t="shared" si="327"/>
        <v>0</v>
      </c>
      <c r="H611" s="78">
        <f t="shared" si="346"/>
        <v>2.4366954920664725E-5</v>
      </c>
      <c r="I611" s="79">
        <f t="shared" ca="1" si="328"/>
        <v>0</v>
      </c>
      <c r="J611" s="79">
        <f t="shared" ca="1" si="329"/>
        <v>0</v>
      </c>
      <c r="K611" s="80">
        <f t="shared" ca="1" si="330"/>
        <v>0</v>
      </c>
      <c r="L611" s="80">
        <f t="shared" ca="1" si="331"/>
        <v>0</v>
      </c>
      <c r="M611" s="80">
        <f t="shared" ca="1" si="332"/>
        <v>0</v>
      </c>
      <c r="N611" s="80">
        <f t="shared" ca="1" si="333"/>
        <v>0</v>
      </c>
      <c r="O611" s="81">
        <f t="shared" ca="1" si="318"/>
        <v>0</v>
      </c>
      <c r="P611" s="79">
        <f t="shared" ca="1" si="319"/>
        <v>0</v>
      </c>
      <c r="R611">
        <f t="shared" ca="1" si="334"/>
        <v>608</v>
      </c>
      <c r="S611" s="78">
        <f t="shared" ca="1" si="335"/>
        <v>110.56</v>
      </c>
      <c r="T611" s="55">
        <f t="shared" ca="1" si="336"/>
        <v>0</v>
      </c>
      <c r="U611" s="78">
        <f t="shared" ca="1" si="337"/>
        <v>2.4366954920664725E-5</v>
      </c>
      <c r="V611" s="79">
        <f t="shared" ca="1" si="338"/>
        <v>0</v>
      </c>
      <c r="W611" s="79">
        <f t="shared" ca="1" si="320"/>
        <v>0</v>
      </c>
      <c r="X611" s="80">
        <f t="shared" ca="1" si="321"/>
        <v>0</v>
      </c>
      <c r="Y611" s="80">
        <f t="shared" ca="1" si="339"/>
        <v>0</v>
      </c>
      <c r="Z611" s="80">
        <f t="shared" ca="1" si="322"/>
        <v>0</v>
      </c>
      <c r="AA611" s="80">
        <f t="shared" ca="1" si="340"/>
        <v>0</v>
      </c>
      <c r="AB611" s="81">
        <f t="shared" ca="1" si="323"/>
        <v>0</v>
      </c>
      <c r="AC611" s="79">
        <f t="shared" ca="1" si="324"/>
        <v>0</v>
      </c>
      <c r="AE611" s="35"/>
      <c r="AF611" s="35"/>
      <c r="AR611" s="69">
        <f t="shared" si="341"/>
        <v>51</v>
      </c>
      <c r="AS611" s="70">
        <f t="shared" si="344"/>
        <v>608</v>
      </c>
      <c r="AT611" s="71">
        <f t="shared" si="345"/>
        <v>1.5581381188225963E-2</v>
      </c>
      <c r="AU611" s="72">
        <f t="shared" si="325"/>
        <v>6.8214933659622723E-3</v>
      </c>
      <c r="AV611" s="73">
        <f t="shared" si="342"/>
        <v>1.0068214933659623</v>
      </c>
      <c r="AW611" s="74">
        <f>PRODUCT(AV$4:AV611)</f>
        <v>62.388814694434572</v>
      </c>
    </row>
    <row r="612" spans="5:49">
      <c r="E612">
        <f t="shared" si="343"/>
        <v>609</v>
      </c>
      <c r="F612" s="64">
        <f t="shared" si="326"/>
        <v>110.64</v>
      </c>
      <c r="G612" s="55">
        <f t="shared" si="327"/>
        <v>0</v>
      </c>
      <c r="H612" s="78">
        <f t="shared" si="346"/>
        <v>2.4366954920664725E-5</v>
      </c>
      <c r="I612" s="79">
        <f t="shared" ca="1" si="328"/>
        <v>0</v>
      </c>
      <c r="J612" s="79">
        <f t="shared" ca="1" si="329"/>
        <v>0</v>
      </c>
      <c r="K612" s="80">
        <f t="shared" ca="1" si="330"/>
        <v>0</v>
      </c>
      <c r="L612" s="80">
        <f t="shared" ca="1" si="331"/>
        <v>0</v>
      </c>
      <c r="M612" s="80">
        <f t="shared" ca="1" si="332"/>
        <v>0</v>
      </c>
      <c r="N612" s="80">
        <f t="shared" ca="1" si="333"/>
        <v>0</v>
      </c>
      <c r="O612" s="81">
        <f t="shared" ca="1" si="318"/>
        <v>0</v>
      </c>
      <c r="P612" s="79">
        <f t="shared" ca="1" si="319"/>
        <v>0</v>
      </c>
      <c r="R612">
        <f t="shared" ca="1" si="334"/>
        <v>609</v>
      </c>
      <c r="S612" s="78">
        <f t="shared" ca="1" si="335"/>
        <v>110.64</v>
      </c>
      <c r="T612" s="55">
        <f t="shared" ca="1" si="336"/>
        <v>0</v>
      </c>
      <c r="U612" s="78">
        <f t="shared" ca="1" si="337"/>
        <v>2.4366954920664725E-5</v>
      </c>
      <c r="V612" s="79">
        <f t="shared" ca="1" si="338"/>
        <v>0</v>
      </c>
      <c r="W612" s="79">
        <f t="shared" ca="1" si="320"/>
        <v>0</v>
      </c>
      <c r="X612" s="80">
        <f t="shared" ca="1" si="321"/>
        <v>0</v>
      </c>
      <c r="Y612" s="80">
        <f t="shared" ca="1" si="339"/>
        <v>0</v>
      </c>
      <c r="Z612" s="80">
        <f t="shared" ca="1" si="322"/>
        <v>0</v>
      </c>
      <c r="AA612" s="80">
        <f t="shared" ca="1" si="340"/>
        <v>0</v>
      </c>
      <c r="AB612" s="81">
        <f t="shared" ca="1" si="323"/>
        <v>0</v>
      </c>
      <c r="AC612" s="79">
        <f t="shared" ca="1" si="324"/>
        <v>0</v>
      </c>
      <c r="AE612" s="35"/>
      <c r="AF612" s="35"/>
      <c r="AR612" s="69">
        <f t="shared" si="341"/>
        <v>51</v>
      </c>
      <c r="AS612" s="70">
        <f t="shared" si="344"/>
        <v>609</v>
      </c>
      <c r="AT612" s="71">
        <f t="shared" si="345"/>
        <v>1.547509289981795E-2</v>
      </c>
      <c r="AU612" s="72">
        <f t="shared" si="325"/>
        <v>6.8214933659622723E-3</v>
      </c>
      <c r="AV612" s="73">
        <f t="shared" si="342"/>
        <v>1.0068214933659623</v>
      </c>
      <c r="AW612" s="74">
        <f>PRODUCT(AV$4:AV612)</f>
        <v>62.814399579982904</v>
      </c>
    </row>
    <row r="613" spans="5:49">
      <c r="E613">
        <f t="shared" si="343"/>
        <v>610</v>
      </c>
      <c r="F613" s="64">
        <f t="shared" si="326"/>
        <v>110.72</v>
      </c>
      <c r="G613" s="55">
        <f t="shared" si="327"/>
        <v>0</v>
      </c>
      <c r="H613" s="78">
        <f t="shared" si="346"/>
        <v>2.4366954920664725E-5</v>
      </c>
      <c r="I613" s="79">
        <f t="shared" ca="1" si="328"/>
        <v>0</v>
      </c>
      <c r="J613" s="79">
        <f t="shared" ca="1" si="329"/>
        <v>0</v>
      </c>
      <c r="K613" s="80">
        <f t="shared" ca="1" si="330"/>
        <v>0</v>
      </c>
      <c r="L613" s="80">
        <f t="shared" ca="1" si="331"/>
        <v>0</v>
      </c>
      <c r="M613" s="80">
        <f t="shared" ca="1" si="332"/>
        <v>0</v>
      </c>
      <c r="N613" s="80">
        <f t="shared" ca="1" si="333"/>
        <v>0</v>
      </c>
      <c r="O613" s="81">
        <f t="shared" ca="1" si="318"/>
        <v>0</v>
      </c>
      <c r="P613" s="79">
        <f t="shared" ca="1" si="319"/>
        <v>0</v>
      </c>
      <c r="R613">
        <f t="shared" ca="1" si="334"/>
        <v>610</v>
      </c>
      <c r="S613" s="78">
        <f t="shared" ca="1" si="335"/>
        <v>110.72</v>
      </c>
      <c r="T613" s="55">
        <f t="shared" ca="1" si="336"/>
        <v>0</v>
      </c>
      <c r="U613" s="78">
        <f t="shared" ca="1" si="337"/>
        <v>2.4366954920664725E-5</v>
      </c>
      <c r="V613" s="79">
        <f t="shared" ca="1" si="338"/>
        <v>0</v>
      </c>
      <c r="W613" s="79">
        <f t="shared" ca="1" si="320"/>
        <v>0</v>
      </c>
      <c r="X613" s="80">
        <f t="shared" ca="1" si="321"/>
        <v>0</v>
      </c>
      <c r="Y613" s="80">
        <f t="shared" ca="1" si="339"/>
        <v>0</v>
      </c>
      <c r="Z613" s="80">
        <f t="shared" ca="1" si="322"/>
        <v>0</v>
      </c>
      <c r="AA613" s="80">
        <f t="shared" ca="1" si="340"/>
        <v>0</v>
      </c>
      <c r="AB613" s="81">
        <f t="shared" ca="1" si="323"/>
        <v>0</v>
      </c>
      <c r="AC613" s="79">
        <f t="shared" ca="1" si="324"/>
        <v>0</v>
      </c>
      <c r="AE613" s="35"/>
      <c r="AF613" s="35"/>
      <c r="AR613" s="69">
        <f t="shared" si="341"/>
        <v>51</v>
      </c>
      <c r="AS613" s="70">
        <f t="shared" si="344"/>
        <v>610</v>
      </c>
      <c r="AT613" s="71">
        <f t="shared" si="345"/>
        <v>1.5369529656264192E-2</v>
      </c>
      <c r="AU613" s="72">
        <f t="shared" si="325"/>
        <v>6.8214933659622723E-3</v>
      </c>
      <c r="AV613" s="73">
        <f t="shared" si="342"/>
        <v>1.0068214933659623</v>
      </c>
      <c r="AW613" s="74">
        <f>PRODUCT(AV$4:AV613)</f>
        <v>63.242887590004663</v>
      </c>
    </row>
    <row r="614" spans="5:49">
      <c r="E614">
        <f t="shared" si="343"/>
        <v>611</v>
      </c>
      <c r="F614" s="64">
        <f t="shared" si="326"/>
        <v>110.8</v>
      </c>
      <c r="G614" s="55">
        <f t="shared" si="327"/>
        <v>0</v>
      </c>
      <c r="H614" s="78">
        <f t="shared" si="346"/>
        <v>2.4366954920664725E-5</v>
      </c>
      <c r="I614" s="79">
        <f t="shared" ca="1" si="328"/>
        <v>0</v>
      </c>
      <c r="J614" s="79">
        <f t="shared" ca="1" si="329"/>
        <v>0</v>
      </c>
      <c r="K614" s="80">
        <f t="shared" ca="1" si="330"/>
        <v>0</v>
      </c>
      <c r="L614" s="80">
        <f t="shared" ca="1" si="331"/>
        <v>0</v>
      </c>
      <c r="M614" s="80">
        <f t="shared" ca="1" si="332"/>
        <v>0</v>
      </c>
      <c r="N614" s="80">
        <f t="shared" ca="1" si="333"/>
        <v>0</v>
      </c>
      <c r="O614" s="81">
        <f t="shared" ca="1" si="318"/>
        <v>0</v>
      </c>
      <c r="P614" s="79">
        <f t="shared" ca="1" si="319"/>
        <v>0</v>
      </c>
      <c r="R614">
        <f t="shared" ca="1" si="334"/>
        <v>611</v>
      </c>
      <c r="S614" s="78">
        <f t="shared" ca="1" si="335"/>
        <v>110.8</v>
      </c>
      <c r="T614" s="55">
        <f t="shared" ca="1" si="336"/>
        <v>0</v>
      </c>
      <c r="U614" s="78">
        <f t="shared" ca="1" si="337"/>
        <v>2.4366954920664725E-5</v>
      </c>
      <c r="V614" s="79">
        <f t="shared" ca="1" si="338"/>
        <v>0</v>
      </c>
      <c r="W614" s="79">
        <f t="shared" ca="1" si="320"/>
        <v>0</v>
      </c>
      <c r="X614" s="80">
        <f t="shared" ca="1" si="321"/>
        <v>0</v>
      </c>
      <c r="Y614" s="80">
        <f t="shared" ca="1" si="339"/>
        <v>0</v>
      </c>
      <c r="Z614" s="80">
        <f t="shared" ca="1" si="322"/>
        <v>0</v>
      </c>
      <c r="AA614" s="80">
        <f t="shared" ca="1" si="340"/>
        <v>0</v>
      </c>
      <c r="AB614" s="81">
        <f t="shared" ca="1" si="323"/>
        <v>0</v>
      </c>
      <c r="AC614" s="79">
        <f t="shared" ca="1" si="324"/>
        <v>0</v>
      </c>
      <c r="AE614" s="35"/>
      <c r="AF614" s="35"/>
      <c r="AR614" s="69">
        <f t="shared" si="341"/>
        <v>51</v>
      </c>
      <c r="AS614" s="70">
        <f t="shared" si="344"/>
        <v>611</v>
      </c>
      <c r="AT614" s="71">
        <f t="shared" si="345"/>
        <v>1.5264686511676026E-2</v>
      </c>
      <c r="AU614" s="72">
        <f t="shared" si="325"/>
        <v>6.8214933659622723E-3</v>
      </c>
      <c r="AV614" s="73">
        <f t="shared" si="342"/>
        <v>1.0068214933659623</v>
      </c>
      <c r="AW614" s="74">
        <f>PRODUCT(AV$4:AV614)</f>
        <v>63.674298528144178</v>
      </c>
    </row>
    <row r="615" spans="5:49">
      <c r="E615">
        <f t="shared" si="343"/>
        <v>612</v>
      </c>
      <c r="F615" s="64">
        <f t="shared" si="326"/>
        <v>110.88</v>
      </c>
      <c r="G615" s="55">
        <f t="shared" si="327"/>
        <v>0</v>
      </c>
      <c r="H615" s="78">
        <f t="shared" si="346"/>
        <v>2.4366954920664725E-5</v>
      </c>
      <c r="I615" s="79">
        <f t="shared" ca="1" si="328"/>
        <v>0</v>
      </c>
      <c r="J615" s="79">
        <f t="shared" ca="1" si="329"/>
        <v>0</v>
      </c>
      <c r="K615" s="80">
        <f t="shared" ca="1" si="330"/>
        <v>0</v>
      </c>
      <c r="L615" s="80">
        <f t="shared" ca="1" si="331"/>
        <v>0</v>
      </c>
      <c r="M615" s="80">
        <f t="shared" ca="1" si="332"/>
        <v>0</v>
      </c>
      <c r="N615" s="80">
        <f t="shared" ca="1" si="333"/>
        <v>0</v>
      </c>
      <c r="O615" s="81">
        <f t="shared" ca="1" si="318"/>
        <v>0</v>
      </c>
      <c r="P615" s="79">
        <f t="shared" ca="1" si="319"/>
        <v>0</v>
      </c>
      <c r="R615">
        <f t="shared" ca="1" si="334"/>
        <v>612</v>
      </c>
      <c r="S615" s="78">
        <f t="shared" ca="1" si="335"/>
        <v>110.88</v>
      </c>
      <c r="T615" s="55">
        <f t="shared" ca="1" si="336"/>
        <v>0</v>
      </c>
      <c r="U615" s="78">
        <f t="shared" ca="1" si="337"/>
        <v>2.4366954920664725E-5</v>
      </c>
      <c r="V615" s="79">
        <f t="shared" ca="1" si="338"/>
        <v>0</v>
      </c>
      <c r="W615" s="79">
        <f t="shared" ca="1" si="320"/>
        <v>0</v>
      </c>
      <c r="X615" s="80">
        <f t="shared" ca="1" si="321"/>
        <v>0</v>
      </c>
      <c r="Y615" s="80">
        <f t="shared" ca="1" si="339"/>
        <v>0</v>
      </c>
      <c r="Z615" s="80">
        <f t="shared" ca="1" si="322"/>
        <v>0</v>
      </c>
      <c r="AA615" s="80">
        <f t="shared" ca="1" si="340"/>
        <v>0</v>
      </c>
      <c r="AB615" s="81">
        <f t="shared" ca="1" si="323"/>
        <v>0</v>
      </c>
      <c r="AC615" s="79">
        <f t="shared" ca="1" si="324"/>
        <v>0</v>
      </c>
      <c r="AE615" s="35"/>
      <c r="AF615" s="35"/>
      <c r="AR615" s="69">
        <f t="shared" si="341"/>
        <v>51</v>
      </c>
      <c r="AS615" s="70">
        <f t="shared" si="344"/>
        <v>612</v>
      </c>
      <c r="AT615" s="71">
        <f t="shared" si="345"/>
        <v>1.5160558553903134E-2</v>
      </c>
      <c r="AU615" s="72">
        <f t="shared" si="325"/>
        <v>6.8214933659622723E-3</v>
      </c>
      <c r="AV615" s="73">
        <f t="shared" si="342"/>
        <v>1.0068214933659623</v>
      </c>
      <c r="AW615" s="74">
        <f>PRODUCT(AV$4:AV615)</f>
        <v>64.10865233313622</v>
      </c>
    </row>
    <row r="616" spans="5:49">
      <c r="E616">
        <f t="shared" si="343"/>
        <v>613</v>
      </c>
      <c r="F616" s="64">
        <f t="shared" si="326"/>
        <v>110.96</v>
      </c>
      <c r="G616" s="55">
        <f t="shared" si="327"/>
        <v>0</v>
      </c>
      <c r="H616" s="78">
        <f t="shared" si="346"/>
        <v>2.4366954920664725E-5</v>
      </c>
      <c r="I616" s="79">
        <f t="shared" ca="1" si="328"/>
        <v>0</v>
      </c>
      <c r="J616" s="79">
        <f t="shared" ca="1" si="329"/>
        <v>0</v>
      </c>
      <c r="K616" s="80">
        <f t="shared" ca="1" si="330"/>
        <v>0</v>
      </c>
      <c r="L616" s="80">
        <f t="shared" ca="1" si="331"/>
        <v>0</v>
      </c>
      <c r="M616" s="80">
        <f t="shared" ca="1" si="332"/>
        <v>0</v>
      </c>
      <c r="N616" s="80">
        <f t="shared" ca="1" si="333"/>
        <v>0</v>
      </c>
      <c r="O616" s="81">
        <f t="shared" ca="1" si="318"/>
        <v>0</v>
      </c>
      <c r="P616" s="79">
        <f t="shared" ca="1" si="319"/>
        <v>0</v>
      </c>
      <c r="R616">
        <f t="shared" ca="1" si="334"/>
        <v>613</v>
      </c>
      <c r="S616" s="78">
        <f t="shared" ca="1" si="335"/>
        <v>110.96</v>
      </c>
      <c r="T616" s="55">
        <f t="shared" ca="1" si="336"/>
        <v>0</v>
      </c>
      <c r="U616" s="78">
        <f t="shared" ca="1" si="337"/>
        <v>2.4366954920664725E-5</v>
      </c>
      <c r="V616" s="79">
        <f t="shared" ca="1" si="338"/>
        <v>0</v>
      </c>
      <c r="W616" s="79">
        <f t="shared" ca="1" si="320"/>
        <v>0</v>
      </c>
      <c r="X616" s="80">
        <f t="shared" ca="1" si="321"/>
        <v>0</v>
      </c>
      <c r="Y616" s="80">
        <f t="shared" ca="1" si="339"/>
        <v>0</v>
      </c>
      <c r="Z616" s="80">
        <f t="shared" ca="1" si="322"/>
        <v>0</v>
      </c>
      <c r="AA616" s="80">
        <f t="shared" ca="1" si="340"/>
        <v>0</v>
      </c>
      <c r="AB616" s="81">
        <f t="shared" ca="1" si="323"/>
        <v>0</v>
      </c>
      <c r="AC616" s="79">
        <f t="shared" ca="1" si="324"/>
        <v>0</v>
      </c>
      <c r="AE616" s="35"/>
      <c r="AF616" s="35"/>
      <c r="AR616" s="69">
        <f t="shared" si="341"/>
        <v>52</v>
      </c>
      <c r="AS616" s="70">
        <f t="shared" si="344"/>
        <v>613</v>
      </c>
      <c r="AT616" s="71">
        <f t="shared" si="345"/>
        <v>1.5057140904303401E-2</v>
      </c>
      <c r="AU616" s="72">
        <f t="shared" si="325"/>
        <v>6.8214933659622723E-3</v>
      </c>
      <c r="AV616" s="73">
        <f t="shared" si="342"/>
        <v>1.0068214933659623</v>
      </c>
      <c r="AW616" s="74">
        <f>PRODUCT(AV$4:AV616)</f>
        <v>64.545969079727485</v>
      </c>
    </row>
    <row r="617" spans="5:49">
      <c r="E617">
        <f t="shared" si="343"/>
        <v>614</v>
      </c>
      <c r="F617" s="64">
        <f t="shared" si="326"/>
        <v>111.04</v>
      </c>
      <c r="G617" s="55">
        <f t="shared" si="327"/>
        <v>0</v>
      </c>
      <c r="H617" s="78">
        <f t="shared" si="346"/>
        <v>2.4366954920664725E-5</v>
      </c>
      <c r="I617" s="79">
        <f t="shared" ca="1" si="328"/>
        <v>0</v>
      </c>
      <c r="J617" s="79">
        <f t="shared" ca="1" si="329"/>
        <v>0</v>
      </c>
      <c r="K617" s="80">
        <f t="shared" ca="1" si="330"/>
        <v>0</v>
      </c>
      <c r="L617" s="80">
        <f t="shared" ca="1" si="331"/>
        <v>0</v>
      </c>
      <c r="M617" s="80">
        <f t="shared" ca="1" si="332"/>
        <v>0</v>
      </c>
      <c r="N617" s="80">
        <f t="shared" ca="1" si="333"/>
        <v>0</v>
      </c>
      <c r="O617" s="81">
        <f t="shared" ca="1" si="318"/>
        <v>0</v>
      </c>
      <c r="P617" s="79">
        <f t="shared" ca="1" si="319"/>
        <v>0</v>
      </c>
      <c r="R617">
        <f t="shared" ca="1" si="334"/>
        <v>614</v>
      </c>
      <c r="S617" s="78">
        <f t="shared" ca="1" si="335"/>
        <v>111.04</v>
      </c>
      <c r="T617" s="55">
        <f t="shared" ca="1" si="336"/>
        <v>0</v>
      </c>
      <c r="U617" s="78">
        <f t="shared" ca="1" si="337"/>
        <v>2.4366954920664725E-5</v>
      </c>
      <c r="V617" s="79">
        <f t="shared" ca="1" si="338"/>
        <v>0</v>
      </c>
      <c r="W617" s="79">
        <f t="shared" ca="1" si="320"/>
        <v>0</v>
      </c>
      <c r="X617" s="80">
        <f t="shared" ca="1" si="321"/>
        <v>0</v>
      </c>
      <c r="Y617" s="80">
        <f t="shared" ca="1" si="339"/>
        <v>0</v>
      </c>
      <c r="Z617" s="80">
        <f t="shared" ca="1" si="322"/>
        <v>0</v>
      </c>
      <c r="AA617" s="80">
        <f t="shared" ca="1" si="340"/>
        <v>0</v>
      </c>
      <c r="AB617" s="81">
        <f t="shared" ca="1" si="323"/>
        <v>0</v>
      </c>
      <c r="AC617" s="79">
        <f t="shared" ca="1" si="324"/>
        <v>0</v>
      </c>
      <c r="AE617" s="35"/>
      <c r="AF617" s="35"/>
      <c r="AR617" s="69">
        <f t="shared" si="341"/>
        <v>52</v>
      </c>
      <c r="AS617" s="70">
        <f t="shared" si="344"/>
        <v>614</v>
      </c>
      <c r="AT617" s="71">
        <f t="shared" si="345"/>
        <v>1.4954428717514337E-2</v>
      </c>
      <c r="AU617" s="72">
        <f t="shared" si="325"/>
        <v>6.8214933659622723E-3</v>
      </c>
      <c r="AV617" s="73">
        <f t="shared" si="342"/>
        <v>1.0068214933659623</v>
      </c>
      <c r="AW617" s="74">
        <f>PRODUCT(AV$4:AV617)</f>
        <v>64.986268979604446</v>
      </c>
    </row>
    <row r="618" spans="5:49">
      <c r="E618">
        <f t="shared" si="343"/>
        <v>615</v>
      </c>
      <c r="F618" s="64">
        <f t="shared" si="326"/>
        <v>111.12</v>
      </c>
      <c r="G618" s="55">
        <f t="shared" si="327"/>
        <v>0</v>
      </c>
      <c r="H618" s="78">
        <f t="shared" si="346"/>
        <v>2.4366954920664725E-5</v>
      </c>
      <c r="I618" s="79">
        <f t="shared" ca="1" si="328"/>
        <v>0</v>
      </c>
      <c r="J618" s="79">
        <f t="shared" ca="1" si="329"/>
        <v>0</v>
      </c>
      <c r="K618" s="80">
        <f t="shared" ca="1" si="330"/>
        <v>0</v>
      </c>
      <c r="L618" s="80">
        <f t="shared" ca="1" si="331"/>
        <v>0</v>
      </c>
      <c r="M618" s="80">
        <f t="shared" ca="1" si="332"/>
        <v>0</v>
      </c>
      <c r="N618" s="80">
        <f t="shared" ca="1" si="333"/>
        <v>0</v>
      </c>
      <c r="O618" s="81">
        <f t="shared" ca="1" si="318"/>
        <v>0</v>
      </c>
      <c r="P618" s="79">
        <f t="shared" ca="1" si="319"/>
        <v>0</v>
      </c>
      <c r="R618">
        <f t="shared" ca="1" si="334"/>
        <v>615</v>
      </c>
      <c r="S618" s="78">
        <f t="shared" ca="1" si="335"/>
        <v>111.12</v>
      </c>
      <c r="T618" s="55">
        <f t="shared" ca="1" si="336"/>
        <v>0</v>
      </c>
      <c r="U618" s="78">
        <f t="shared" ca="1" si="337"/>
        <v>2.4366954920664725E-5</v>
      </c>
      <c r="V618" s="79">
        <f t="shared" ca="1" si="338"/>
        <v>0</v>
      </c>
      <c r="W618" s="79">
        <f t="shared" ca="1" si="320"/>
        <v>0</v>
      </c>
      <c r="X618" s="80">
        <f t="shared" ca="1" si="321"/>
        <v>0</v>
      </c>
      <c r="Y618" s="80">
        <f t="shared" ca="1" si="339"/>
        <v>0</v>
      </c>
      <c r="Z618" s="80">
        <f t="shared" ca="1" si="322"/>
        <v>0</v>
      </c>
      <c r="AA618" s="80">
        <f t="shared" ca="1" si="340"/>
        <v>0</v>
      </c>
      <c r="AB618" s="81">
        <f t="shared" ca="1" si="323"/>
        <v>0</v>
      </c>
      <c r="AC618" s="79">
        <f t="shared" ca="1" si="324"/>
        <v>0</v>
      </c>
      <c r="AE618" s="35"/>
      <c r="AF618" s="35"/>
      <c r="AR618" s="69">
        <f t="shared" si="341"/>
        <v>52</v>
      </c>
      <c r="AS618" s="70">
        <f t="shared" si="344"/>
        <v>615</v>
      </c>
      <c r="AT618" s="71">
        <f t="shared" si="345"/>
        <v>1.4852417181226056E-2</v>
      </c>
      <c r="AU618" s="72">
        <f t="shared" si="325"/>
        <v>6.8214933659622723E-3</v>
      </c>
      <c r="AV618" s="73">
        <f t="shared" si="342"/>
        <v>1.0068214933659623</v>
      </c>
      <c r="AW618" s="74">
        <f>PRODUCT(AV$4:AV618)</f>
        <v>65.429572382327464</v>
      </c>
    </row>
    <row r="619" spans="5:49">
      <c r="E619">
        <f t="shared" si="343"/>
        <v>616</v>
      </c>
      <c r="F619" s="64">
        <f t="shared" si="326"/>
        <v>111.2</v>
      </c>
      <c r="G619" s="55">
        <f t="shared" si="327"/>
        <v>0</v>
      </c>
      <c r="H619" s="78">
        <f t="shared" si="346"/>
        <v>2.4366954920664725E-5</v>
      </c>
      <c r="I619" s="79">
        <f t="shared" ca="1" si="328"/>
        <v>0</v>
      </c>
      <c r="J619" s="79">
        <f t="shared" ca="1" si="329"/>
        <v>0</v>
      </c>
      <c r="K619" s="80">
        <f t="shared" ca="1" si="330"/>
        <v>0</v>
      </c>
      <c r="L619" s="80">
        <f t="shared" ca="1" si="331"/>
        <v>0</v>
      </c>
      <c r="M619" s="80">
        <f t="shared" ca="1" si="332"/>
        <v>0</v>
      </c>
      <c r="N619" s="80">
        <f t="shared" ca="1" si="333"/>
        <v>0</v>
      </c>
      <c r="O619" s="81">
        <f t="shared" ca="1" si="318"/>
        <v>0</v>
      </c>
      <c r="P619" s="79">
        <f t="shared" ca="1" si="319"/>
        <v>0</v>
      </c>
      <c r="R619">
        <f t="shared" ca="1" si="334"/>
        <v>616</v>
      </c>
      <c r="S619" s="78">
        <f t="shared" ca="1" si="335"/>
        <v>111.2</v>
      </c>
      <c r="T619" s="55">
        <f t="shared" ca="1" si="336"/>
        <v>0</v>
      </c>
      <c r="U619" s="78">
        <f t="shared" ca="1" si="337"/>
        <v>2.4366954920664725E-5</v>
      </c>
      <c r="V619" s="79">
        <f t="shared" ca="1" si="338"/>
        <v>0</v>
      </c>
      <c r="W619" s="79">
        <f t="shared" ca="1" si="320"/>
        <v>0</v>
      </c>
      <c r="X619" s="80">
        <f t="shared" ca="1" si="321"/>
        <v>0</v>
      </c>
      <c r="Y619" s="80">
        <f t="shared" ca="1" si="339"/>
        <v>0</v>
      </c>
      <c r="Z619" s="80">
        <f t="shared" ca="1" si="322"/>
        <v>0</v>
      </c>
      <c r="AA619" s="80">
        <f t="shared" ca="1" si="340"/>
        <v>0</v>
      </c>
      <c r="AB619" s="81">
        <f t="shared" ca="1" si="323"/>
        <v>0</v>
      </c>
      <c r="AC619" s="79">
        <f t="shared" ca="1" si="324"/>
        <v>0</v>
      </c>
      <c r="AE619" s="35"/>
      <c r="AF619" s="35"/>
      <c r="AR619" s="69">
        <f t="shared" si="341"/>
        <v>52</v>
      </c>
      <c r="AS619" s="70">
        <f t="shared" si="344"/>
        <v>616</v>
      </c>
      <c r="AT619" s="71">
        <f t="shared" si="345"/>
        <v>1.4751101515955819E-2</v>
      </c>
      <c r="AU619" s="72">
        <f t="shared" si="325"/>
        <v>6.8214933659622723E-3</v>
      </c>
      <c r="AV619" s="73">
        <f t="shared" si="342"/>
        <v>1.0068214933659623</v>
      </c>
      <c r="AW619" s="74">
        <f>PRODUCT(AV$4:AV619)</f>
        <v>65.875899776271254</v>
      </c>
    </row>
    <row r="620" spans="5:49">
      <c r="E620">
        <f t="shared" si="343"/>
        <v>617</v>
      </c>
      <c r="F620" s="64">
        <f t="shared" si="326"/>
        <v>111.28</v>
      </c>
      <c r="G620" s="55">
        <f t="shared" si="327"/>
        <v>0</v>
      </c>
      <c r="H620" s="78">
        <f t="shared" si="346"/>
        <v>2.4366954920664725E-5</v>
      </c>
      <c r="I620" s="79">
        <f t="shared" ca="1" si="328"/>
        <v>0</v>
      </c>
      <c r="J620" s="79">
        <f t="shared" ca="1" si="329"/>
        <v>0</v>
      </c>
      <c r="K620" s="80">
        <f t="shared" ca="1" si="330"/>
        <v>0</v>
      </c>
      <c r="L620" s="80">
        <f t="shared" ca="1" si="331"/>
        <v>0</v>
      </c>
      <c r="M620" s="80">
        <f t="shared" ca="1" si="332"/>
        <v>0</v>
      </c>
      <c r="N620" s="80">
        <f t="shared" ca="1" si="333"/>
        <v>0</v>
      </c>
      <c r="O620" s="81">
        <f t="shared" ca="1" si="318"/>
        <v>0</v>
      </c>
      <c r="P620" s="79">
        <f t="shared" ca="1" si="319"/>
        <v>0</v>
      </c>
      <c r="R620">
        <f t="shared" ca="1" si="334"/>
        <v>617</v>
      </c>
      <c r="S620" s="78">
        <f t="shared" ca="1" si="335"/>
        <v>111.28</v>
      </c>
      <c r="T620" s="55">
        <f t="shared" ca="1" si="336"/>
        <v>0</v>
      </c>
      <c r="U620" s="78">
        <f t="shared" ca="1" si="337"/>
        <v>2.4366954920664725E-5</v>
      </c>
      <c r="V620" s="79">
        <f t="shared" ca="1" si="338"/>
        <v>0</v>
      </c>
      <c r="W620" s="79">
        <f t="shared" ca="1" si="320"/>
        <v>0</v>
      </c>
      <c r="X620" s="80">
        <f t="shared" ca="1" si="321"/>
        <v>0</v>
      </c>
      <c r="Y620" s="80">
        <f t="shared" ca="1" si="339"/>
        <v>0</v>
      </c>
      <c r="Z620" s="80">
        <f t="shared" ca="1" si="322"/>
        <v>0</v>
      </c>
      <c r="AA620" s="80">
        <f t="shared" ca="1" si="340"/>
        <v>0</v>
      </c>
      <c r="AB620" s="81">
        <f t="shared" ca="1" si="323"/>
        <v>0</v>
      </c>
      <c r="AC620" s="79">
        <f t="shared" ca="1" si="324"/>
        <v>0</v>
      </c>
      <c r="AE620" s="35"/>
      <c r="AF620" s="35"/>
      <c r="AR620" s="69">
        <f t="shared" si="341"/>
        <v>52</v>
      </c>
      <c r="AS620" s="70">
        <f t="shared" si="344"/>
        <v>617</v>
      </c>
      <c r="AT620" s="71">
        <f t="shared" si="345"/>
        <v>1.465047697482409E-2</v>
      </c>
      <c r="AU620" s="72">
        <f t="shared" si="325"/>
        <v>6.8214933659622723E-3</v>
      </c>
      <c r="AV620" s="73">
        <f t="shared" si="342"/>
        <v>1.0068214933659623</v>
      </c>
      <c r="AW620" s="74">
        <f>PRODUCT(AV$4:AV620)</f>
        <v>66.325271789571886</v>
      </c>
    </row>
    <row r="621" spans="5:49">
      <c r="E621">
        <f t="shared" si="343"/>
        <v>618</v>
      </c>
      <c r="F621" s="64">
        <f t="shared" si="326"/>
        <v>111.36</v>
      </c>
      <c r="G621" s="55">
        <f t="shared" si="327"/>
        <v>0</v>
      </c>
      <c r="H621" s="78">
        <f t="shared" si="346"/>
        <v>2.4366954920664725E-5</v>
      </c>
      <c r="I621" s="79">
        <f t="shared" ca="1" si="328"/>
        <v>0</v>
      </c>
      <c r="J621" s="79">
        <f t="shared" ca="1" si="329"/>
        <v>0</v>
      </c>
      <c r="K621" s="80">
        <f t="shared" ca="1" si="330"/>
        <v>0</v>
      </c>
      <c r="L621" s="80">
        <f t="shared" ca="1" si="331"/>
        <v>0</v>
      </c>
      <c r="M621" s="80">
        <f t="shared" ca="1" si="332"/>
        <v>0</v>
      </c>
      <c r="N621" s="80">
        <f t="shared" ca="1" si="333"/>
        <v>0</v>
      </c>
      <c r="O621" s="81">
        <f t="shared" ca="1" si="318"/>
        <v>0</v>
      </c>
      <c r="P621" s="79">
        <f t="shared" ca="1" si="319"/>
        <v>0</v>
      </c>
      <c r="R621">
        <f t="shared" ca="1" si="334"/>
        <v>618</v>
      </c>
      <c r="S621" s="78">
        <f t="shared" ca="1" si="335"/>
        <v>111.36</v>
      </c>
      <c r="T621" s="55">
        <f t="shared" ca="1" si="336"/>
        <v>0</v>
      </c>
      <c r="U621" s="78">
        <f t="shared" ca="1" si="337"/>
        <v>2.4366954920664725E-5</v>
      </c>
      <c r="V621" s="79">
        <f t="shared" ca="1" si="338"/>
        <v>0</v>
      </c>
      <c r="W621" s="79">
        <f t="shared" ca="1" si="320"/>
        <v>0</v>
      </c>
      <c r="X621" s="80">
        <f t="shared" ca="1" si="321"/>
        <v>0</v>
      </c>
      <c r="Y621" s="80">
        <f t="shared" ca="1" si="339"/>
        <v>0</v>
      </c>
      <c r="Z621" s="80">
        <f t="shared" ca="1" si="322"/>
        <v>0</v>
      </c>
      <c r="AA621" s="80">
        <f t="shared" ca="1" si="340"/>
        <v>0</v>
      </c>
      <c r="AB621" s="81">
        <f t="shared" ca="1" si="323"/>
        <v>0</v>
      </c>
      <c r="AC621" s="79">
        <f t="shared" ca="1" si="324"/>
        <v>0</v>
      </c>
      <c r="AE621" s="35"/>
      <c r="AF621" s="35"/>
      <c r="AR621" s="69">
        <f t="shared" si="341"/>
        <v>52</v>
      </c>
      <c r="AS621" s="70">
        <f t="shared" si="344"/>
        <v>618</v>
      </c>
      <c r="AT621" s="71">
        <f t="shared" si="345"/>
        <v>1.4550538843332145E-2</v>
      </c>
      <c r="AU621" s="72">
        <f t="shared" si="325"/>
        <v>6.8214933659622723E-3</v>
      </c>
      <c r="AV621" s="73">
        <f t="shared" si="342"/>
        <v>1.0068214933659623</v>
      </c>
      <c r="AW621" s="74">
        <f>PRODUCT(AV$4:AV621)</f>
        <v>66.777709191080092</v>
      </c>
    </row>
    <row r="622" spans="5:49">
      <c r="E622">
        <f t="shared" si="343"/>
        <v>619</v>
      </c>
      <c r="F622" s="64">
        <f t="shared" si="326"/>
        <v>111.44</v>
      </c>
      <c r="G622" s="55">
        <f t="shared" si="327"/>
        <v>0</v>
      </c>
      <c r="H622" s="78">
        <f t="shared" si="346"/>
        <v>2.4366954920664725E-5</v>
      </c>
      <c r="I622" s="79">
        <f t="shared" ca="1" si="328"/>
        <v>0</v>
      </c>
      <c r="J622" s="79">
        <f t="shared" ca="1" si="329"/>
        <v>0</v>
      </c>
      <c r="K622" s="80">
        <f t="shared" ca="1" si="330"/>
        <v>0</v>
      </c>
      <c r="L622" s="80">
        <f t="shared" ca="1" si="331"/>
        <v>0</v>
      </c>
      <c r="M622" s="80">
        <f t="shared" ca="1" si="332"/>
        <v>0</v>
      </c>
      <c r="N622" s="80">
        <f t="shared" ca="1" si="333"/>
        <v>0</v>
      </c>
      <c r="O622" s="81">
        <f t="shared" ca="1" si="318"/>
        <v>0</v>
      </c>
      <c r="P622" s="79">
        <f t="shared" ca="1" si="319"/>
        <v>0</v>
      </c>
      <c r="R622">
        <f t="shared" ca="1" si="334"/>
        <v>619</v>
      </c>
      <c r="S622" s="78">
        <f t="shared" ca="1" si="335"/>
        <v>111.44</v>
      </c>
      <c r="T622" s="55">
        <f t="shared" ca="1" si="336"/>
        <v>0</v>
      </c>
      <c r="U622" s="78">
        <f t="shared" ca="1" si="337"/>
        <v>2.4366954920664725E-5</v>
      </c>
      <c r="V622" s="79">
        <f t="shared" ca="1" si="338"/>
        <v>0</v>
      </c>
      <c r="W622" s="79">
        <f t="shared" ca="1" si="320"/>
        <v>0</v>
      </c>
      <c r="X622" s="80">
        <f t="shared" ca="1" si="321"/>
        <v>0</v>
      </c>
      <c r="Y622" s="80">
        <f t="shared" ca="1" si="339"/>
        <v>0</v>
      </c>
      <c r="Z622" s="80">
        <f t="shared" ca="1" si="322"/>
        <v>0</v>
      </c>
      <c r="AA622" s="80">
        <f t="shared" ca="1" si="340"/>
        <v>0</v>
      </c>
      <c r="AB622" s="81">
        <f t="shared" ca="1" si="323"/>
        <v>0</v>
      </c>
      <c r="AC622" s="79">
        <f t="shared" ca="1" si="324"/>
        <v>0</v>
      </c>
      <c r="AE622" s="35"/>
      <c r="AF622" s="35"/>
      <c r="AR622" s="69">
        <f t="shared" si="341"/>
        <v>52</v>
      </c>
      <c r="AS622" s="70">
        <f t="shared" si="344"/>
        <v>619</v>
      </c>
      <c r="AT622" s="71">
        <f t="shared" si="345"/>
        <v>1.4451282439141179E-2</v>
      </c>
      <c r="AU622" s="72">
        <f t="shared" si="325"/>
        <v>6.8214933659622723E-3</v>
      </c>
      <c r="AV622" s="73">
        <f t="shared" si="342"/>
        <v>1.0068214933659623</v>
      </c>
      <c r="AW622" s="74">
        <f>PRODUCT(AV$4:AV622)</f>
        <v>67.233232891321208</v>
      </c>
    </row>
    <row r="623" spans="5:49">
      <c r="E623">
        <f t="shared" si="343"/>
        <v>620</v>
      </c>
      <c r="F623" s="64">
        <f t="shared" si="326"/>
        <v>111.52</v>
      </c>
      <c r="G623" s="55">
        <f t="shared" si="327"/>
        <v>0</v>
      </c>
      <c r="H623" s="78">
        <f t="shared" si="346"/>
        <v>2.4366954920664725E-5</v>
      </c>
      <c r="I623" s="79">
        <f t="shared" ca="1" si="328"/>
        <v>0</v>
      </c>
      <c r="J623" s="79">
        <f t="shared" ca="1" si="329"/>
        <v>0</v>
      </c>
      <c r="K623" s="80">
        <f t="shared" ca="1" si="330"/>
        <v>0</v>
      </c>
      <c r="L623" s="80">
        <f t="shared" ca="1" si="331"/>
        <v>0</v>
      </c>
      <c r="M623" s="80">
        <f t="shared" ca="1" si="332"/>
        <v>0</v>
      </c>
      <c r="N623" s="80">
        <f t="shared" ca="1" si="333"/>
        <v>0</v>
      </c>
      <c r="O623" s="81">
        <f t="shared" ca="1" si="318"/>
        <v>0</v>
      </c>
      <c r="P623" s="79">
        <f t="shared" ca="1" si="319"/>
        <v>0</v>
      </c>
      <c r="R623">
        <f t="shared" ca="1" si="334"/>
        <v>620</v>
      </c>
      <c r="S623" s="78">
        <f t="shared" ca="1" si="335"/>
        <v>111.52</v>
      </c>
      <c r="T623" s="55">
        <f t="shared" ca="1" si="336"/>
        <v>0</v>
      </c>
      <c r="U623" s="78">
        <f t="shared" ca="1" si="337"/>
        <v>2.4366954920664725E-5</v>
      </c>
      <c r="V623" s="79">
        <f t="shared" ca="1" si="338"/>
        <v>0</v>
      </c>
      <c r="W623" s="79">
        <f t="shared" ca="1" si="320"/>
        <v>0</v>
      </c>
      <c r="X623" s="80">
        <f t="shared" ca="1" si="321"/>
        <v>0</v>
      </c>
      <c r="Y623" s="80">
        <f t="shared" ca="1" si="339"/>
        <v>0</v>
      </c>
      <c r="Z623" s="80">
        <f t="shared" ca="1" si="322"/>
        <v>0</v>
      </c>
      <c r="AA623" s="80">
        <f t="shared" ca="1" si="340"/>
        <v>0</v>
      </c>
      <c r="AB623" s="81">
        <f t="shared" ca="1" si="323"/>
        <v>0</v>
      </c>
      <c r="AC623" s="79">
        <f t="shared" ca="1" si="324"/>
        <v>0</v>
      </c>
      <c r="AE623" s="35"/>
      <c r="AF623" s="35"/>
      <c r="AR623" s="69">
        <f t="shared" si="341"/>
        <v>52</v>
      </c>
      <c r="AS623" s="70">
        <f t="shared" si="344"/>
        <v>620</v>
      </c>
      <c r="AT623" s="71">
        <f t="shared" si="345"/>
        <v>1.4352703111852931E-2</v>
      </c>
      <c r="AU623" s="72">
        <f t="shared" si="325"/>
        <v>6.8214933659622723E-3</v>
      </c>
      <c r="AV623" s="73">
        <f t="shared" si="342"/>
        <v>1.0068214933659623</v>
      </c>
      <c r="AW623" s="74">
        <f>PRODUCT(AV$4:AV623)</f>
        <v>67.691863943461556</v>
      </c>
    </row>
    <row r="624" spans="5:49">
      <c r="E624">
        <f t="shared" si="343"/>
        <v>621</v>
      </c>
      <c r="F624" s="64">
        <f t="shared" si="326"/>
        <v>111.6</v>
      </c>
      <c r="G624" s="55">
        <f t="shared" si="327"/>
        <v>0</v>
      </c>
      <c r="H624" s="78">
        <f t="shared" si="346"/>
        <v>2.4366954920664725E-5</v>
      </c>
      <c r="I624" s="79">
        <f t="shared" ca="1" si="328"/>
        <v>0</v>
      </c>
      <c r="J624" s="79">
        <f t="shared" ca="1" si="329"/>
        <v>0</v>
      </c>
      <c r="K624" s="80">
        <f t="shared" ca="1" si="330"/>
        <v>0</v>
      </c>
      <c r="L624" s="80">
        <f t="shared" ca="1" si="331"/>
        <v>0</v>
      </c>
      <c r="M624" s="80">
        <f t="shared" ca="1" si="332"/>
        <v>0</v>
      </c>
      <c r="N624" s="80">
        <f t="shared" ca="1" si="333"/>
        <v>0</v>
      </c>
      <c r="O624" s="81">
        <f t="shared" ca="1" si="318"/>
        <v>0</v>
      </c>
      <c r="P624" s="79">
        <f t="shared" ca="1" si="319"/>
        <v>0</v>
      </c>
      <c r="R624">
        <f t="shared" ca="1" si="334"/>
        <v>621</v>
      </c>
      <c r="S624" s="78">
        <f t="shared" ca="1" si="335"/>
        <v>111.6</v>
      </c>
      <c r="T624" s="55">
        <f t="shared" ca="1" si="336"/>
        <v>0</v>
      </c>
      <c r="U624" s="78">
        <f t="shared" ca="1" si="337"/>
        <v>2.4366954920664725E-5</v>
      </c>
      <c r="V624" s="79">
        <f t="shared" ca="1" si="338"/>
        <v>0</v>
      </c>
      <c r="W624" s="79">
        <f t="shared" ca="1" si="320"/>
        <v>0</v>
      </c>
      <c r="X624" s="80">
        <f t="shared" ca="1" si="321"/>
        <v>0</v>
      </c>
      <c r="Y624" s="80">
        <f t="shared" ca="1" si="339"/>
        <v>0</v>
      </c>
      <c r="Z624" s="80">
        <f t="shared" ca="1" si="322"/>
        <v>0</v>
      </c>
      <c r="AA624" s="80">
        <f t="shared" ca="1" si="340"/>
        <v>0</v>
      </c>
      <c r="AB624" s="81">
        <f t="shared" ca="1" si="323"/>
        <v>0</v>
      </c>
      <c r="AC624" s="79">
        <f t="shared" ca="1" si="324"/>
        <v>0</v>
      </c>
      <c r="AE624" s="35"/>
      <c r="AF624" s="35"/>
      <c r="AR624" s="69">
        <f t="shared" si="341"/>
        <v>52</v>
      </c>
      <c r="AS624" s="70">
        <f t="shared" si="344"/>
        <v>621</v>
      </c>
      <c r="AT624" s="71">
        <f t="shared" si="345"/>
        <v>1.4254796242791801E-2</v>
      </c>
      <c r="AU624" s="72">
        <f t="shared" si="325"/>
        <v>6.8214933659622723E-3</v>
      </c>
      <c r="AV624" s="73">
        <f t="shared" si="342"/>
        <v>1.0068214933659623</v>
      </c>
      <c r="AW624" s="74">
        <f>PRODUCT(AV$4:AV624)</f>
        <v>68.153623544281501</v>
      </c>
    </row>
    <row r="625" spans="5:49">
      <c r="E625">
        <f t="shared" si="343"/>
        <v>622</v>
      </c>
      <c r="F625" s="64">
        <f t="shared" si="326"/>
        <v>111.68</v>
      </c>
      <c r="G625" s="55">
        <f t="shared" si="327"/>
        <v>0</v>
      </c>
      <c r="H625" s="78">
        <f t="shared" si="346"/>
        <v>2.4366954920664725E-5</v>
      </c>
      <c r="I625" s="79">
        <f t="shared" ca="1" si="328"/>
        <v>0</v>
      </c>
      <c r="J625" s="79">
        <f t="shared" ca="1" si="329"/>
        <v>0</v>
      </c>
      <c r="K625" s="80">
        <f t="shared" ca="1" si="330"/>
        <v>0</v>
      </c>
      <c r="L625" s="80">
        <f t="shared" ca="1" si="331"/>
        <v>0</v>
      </c>
      <c r="M625" s="80">
        <f t="shared" ca="1" si="332"/>
        <v>0</v>
      </c>
      <c r="N625" s="80">
        <f t="shared" ca="1" si="333"/>
        <v>0</v>
      </c>
      <c r="O625" s="81">
        <f t="shared" ca="1" si="318"/>
        <v>0</v>
      </c>
      <c r="P625" s="79">
        <f t="shared" ca="1" si="319"/>
        <v>0</v>
      </c>
      <c r="R625">
        <f t="shared" ca="1" si="334"/>
        <v>622</v>
      </c>
      <c r="S625" s="78">
        <f t="shared" ca="1" si="335"/>
        <v>111.68</v>
      </c>
      <c r="T625" s="55">
        <f t="shared" ca="1" si="336"/>
        <v>0</v>
      </c>
      <c r="U625" s="78">
        <f t="shared" ca="1" si="337"/>
        <v>2.4366954920664725E-5</v>
      </c>
      <c r="V625" s="79">
        <f t="shared" ca="1" si="338"/>
        <v>0</v>
      </c>
      <c r="W625" s="79">
        <f t="shared" ca="1" si="320"/>
        <v>0</v>
      </c>
      <c r="X625" s="80">
        <f t="shared" ca="1" si="321"/>
        <v>0</v>
      </c>
      <c r="Y625" s="80">
        <f t="shared" ca="1" si="339"/>
        <v>0</v>
      </c>
      <c r="Z625" s="80">
        <f t="shared" ca="1" si="322"/>
        <v>0</v>
      </c>
      <c r="AA625" s="80">
        <f t="shared" ca="1" si="340"/>
        <v>0</v>
      </c>
      <c r="AB625" s="81">
        <f t="shared" ca="1" si="323"/>
        <v>0</v>
      </c>
      <c r="AC625" s="79">
        <f t="shared" ca="1" si="324"/>
        <v>0</v>
      </c>
      <c r="AE625" s="35"/>
      <c r="AF625" s="35"/>
      <c r="AR625" s="69">
        <f t="shared" si="341"/>
        <v>52</v>
      </c>
      <c r="AS625" s="70">
        <f t="shared" si="344"/>
        <v>622</v>
      </c>
      <c r="AT625" s="71">
        <f t="shared" si="345"/>
        <v>1.4157557244788453E-2</v>
      </c>
      <c r="AU625" s="72">
        <f t="shared" si="325"/>
        <v>6.8214933659622723E-3</v>
      </c>
      <c r="AV625" s="73">
        <f t="shared" si="342"/>
        <v>1.0068214933659623</v>
      </c>
      <c r="AW625" s="74">
        <f>PRODUCT(AV$4:AV625)</f>
        <v>68.61853303515511</v>
      </c>
    </row>
    <row r="626" spans="5:49">
      <c r="E626">
        <f t="shared" si="343"/>
        <v>623</v>
      </c>
      <c r="F626" s="64">
        <f t="shared" si="326"/>
        <v>111.76</v>
      </c>
      <c r="G626" s="55">
        <f t="shared" si="327"/>
        <v>0</v>
      </c>
      <c r="H626" s="78">
        <f t="shared" si="346"/>
        <v>2.4366954920664725E-5</v>
      </c>
      <c r="I626" s="79">
        <f t="shared" ca="1" si="328"/>
        <v>0</v>
      </c>
      <c r="J626" s="79">
        <f t="shared" ca="1" si="329"/>
        <v>0</v>
      </c>
      <c r="K626" s="80">
        <f t="shared" ca="1" si="330"/>
        <v>0</v>
      </c>
      <c r="L626" s="80">
        <f t="shared" ca="1" si="331"/>
        <v>0</v>
      </c>
      <c r="M626" s="80">
        <f t="shared" ca="1" si="332"/>
        <v>0</v>
      </c>
      <c r="N626" s="80">
        <f t="shared" ca="1" si="333"/>
        <v>0</v>
      </c>
      <c r="O626" s="81">
        <f t="shared" ca="1" si="318"/>
        <v>0</v>
      </c>
      <c r="P626" s="79">
        <f t="shared" ca="1" si="319"/>
        <v>0</v>
      </c>
      <c r="R626">
        <f t="shared" ca="1" si="334"/>
        <v>623</v>
      </c>
      <c r="S626" s="78">
        <f t="shared" ca="1" si="335"/>
        <v>111.76</v>
      </c>
      <c r="T626" s="55">
        <f t="shared" ca="1" si="336"/>
        <v>0</v>
      </c>
      <c r="U626" s="78">
        <f t="shared" ca="1" si="337"/>
        <v>2.4366954920664725E-5</v>
      </c>
      <c r="V626" s="79">
        <f t="shared" ca="1" si="338"/>
        <v>0</v>
      </c>
      <c r="W626" s="79">
        <f t="shared" ca="1" si="320"/>
        <v>0</v>
      </c>
      <c r="X626" s="80">
        <f t="shared" ca="1" si="321"/>
        <v>0</v>
      </c>
      <c r="Y626" s="80">
        <f t="shared" ca="1" si="339"/>
        <v>0</v>
      </c>
      <c r="Z626" s="80">
        <f t="shared" ca="1" si="322"/>
        <v>0</v>
      </c>
      <c r="AA626" s="80">
        <f t="shared" ca="1" si="340"/>
        <v>0</v>
      </c>
      <c r="AB626" s="81">
        <f t="shared" ca="1" si="323"/>
        <v>0</v>
      </c>
      <c r="AC626" s="79">
        <f t="shared" ca="1" si="324"/>
        <v>0</v>
      </c>
      <c r="AE626" s="35"/>
      <c r="AF626" s="35"/>
      <c r="AR626" s="69">
        <f t="shared" si="341"/>
        <v>52</v>
      </c>
      <c r="AS626" s="70">
        <f t="shared" si="344"/>
        <v>623</v>
      </c>
      <c r="AT626" s="71">
        <f t="shared" si="345"/>
        <v>1.4060981561964897E-2</v>
      </c>
      <c r="AU626" s="72">
        <f t="shared" si="325"/>
        <v>6.8214933659622723E-3</v>
      </c>
      <c r="AV626" s="73">
        <f t="shared" si="342"/>
        <v>1.0068214933659623</v>
      </c>
      <c r="AW626" s="74">
        <f>PRODUCT(AV$4:AV626)</f>
        <v>69.086613903036479</v>
      </c>
    </row>
    <row r="627" spans="5:49">
      <c r="E627">
        <f t="shared" si="343"/>
        <v>624</v>
      </c>
      <c r="F627" s="64">
        <f t="shared" si="326"/>
        <v>111.84</v>
      </c>
      <c r="G627" s="55">
        <f t="shared" si="327"/>
        <v>0</v>
      </c>
      <c r="H627" s="78">
        <f t="shared" si="346"/>
        <v>2.4366954920664725E-5</v>
      </c>
      <c r="I627" s="79">
        <f t="shared" ca="1" si="328"/>
        <v>0</v>
      </c>
      <c r="J627" s="79">
        <f t="shared" ca="1" si="329"/>
        <v>0</v>
      </c>
      <c r="K627" s="80">
        <f t="shared" ca="1" si="330"/>
        <v>0</v>
      </c>
      <c r="L627" s="80">
        <f t="shared" ca="1" si="331"/>
        <v>0</v>
      </c>
      <c r="M627" s="80">
        <f t="shared" ca="1" si="332"/>
        <v>0</v>
      </c>
      <c r="N627" s="80">
        <f t="shared" ca="1" si="333"/>
        <v>0</v>
      </c>
      <c r="O627" s="81">
        <f t="shared" ca="1" si="318"/>
        <v>0</v>
      </c>
      <c r="P627" s="79">
        <f t="shared" ca="1" si="319"/>
        <v>0</v>
      </c>
      <c r="R627">
        <f t="shared" ca="1" si="334"/>
        <v>624</v>
      </c>
      <c r="S627" s="78">
        <f t="shared" ca="1" si="335"/>
        <v>111.84</v>
      </c>
      <c r="T627" s="55">
        <f t="shared" ca="1" si="336"/>
        <v>0</v>
      </c>
      <c r="U627" s="78">
        <f t="shared" ca="1" si="337"/>
        <v>2.4366954920664725E-5</v>
      </c>
      <c r="V627" s="79">
        <f t="shared" ca="1" si="338"/>
        <v>0</v>
      </c>
      <c r="W627" s="79">
        <f t="shared" ca="1" si="320"/>
        <v>0</v>
      </c>
      <c r="X627" s="80">
        <f t="shared" ca="1" si="321"/>
        <v>0</v>
      </c>
      <c r="Y627" s="80">
        <f t="shared" ca="1" si="339"/>
        <v>0</v>
      </c>
      <c r="Z627" s="80">
        <f t="shared" ca="1" si="322"/>
        <v>0</v>
      </c>
      <c r="AA627" s="80">
        <f t="shared" ca="1" si="340"/>
        <v>0</v>
      </c>
      <c r="AB627" s="81">
        <f t="shared" ca="1" si="323"/>
        <v>0</v>
      </c>
      <c r="AC627" s="79">
        <f t="shared" ca="1" si="324"/>
        <v>0</v>
      </c>
      <c r="AE627" s="35"/>
      <c r="AF627" s="35"/>
      <c r="AR627" s="69">
        <f t="shared" si="341"/>
        <v>52</v>
      </c>
      <c r="AS627" s="70">
        <f t="shared" si="344"/>
        <v>624</v>
      </c>
      <c r="AT627" s="71">
        <f t="shared" si="345"/>
        <v>1.3965064669521035E-2</v>
      </c>
      <c r="AU627" s="72">
        <f t="shared" si="325"/>
        <v>6.8214933659622723E-3</v>
      </c>
      <c r="AV627" s="73">
        <f t="shared" si="342"/>
        <v>1.0068214933659623</v>
      </c>
      <c r="AW627" s="74">
        <f>PRODUCT(AV$4:AV627)</f>
        <v>69.557887781452834</v>
      </c>
    </row>
    <row r="628" spans="5:49">
      <c r="E628">
        <f t="shared" si="343"/>
        <v>625</v>
      </c>
      <c r="F628" s="64">
        <f t="shared" si="326"/>
        <v>111.92</v>
      </c>
      <c r="G628" s="55">
        <f t="shared" si="327"/>
        <v>0</v>
      </c>
      <c r="H628" s="78">
        <f t="shared" si="346"/>
        <v>2.4366954920664725E-5</v>
      </c>
      <c r="I628" s="79">
        <f t="shared" ca="1" si="328"/>
        <v>0</v>
      </c>
      <c r="J628" s="79">
        <f t="shared" ca="1" si="329"/>
        <v>0</v>
      </c>
      <c r="K628" s="80">
        <f t="shared" ca="1" si="330"/>
        <v>0</v>
      </c>
      <c r="L628" s="80">
        <f t="shared" ca="1" si="331"/>
        <v>0</v>
      </c>
      <c r="M628" s="80">
        <f t="shared" ca="1" si="332"/>
        <v>0</v>
      </c>
      <c r="N628" s="80">
        <f t="shared" ca="1" si="333"/>
        <v>0</v>
      </c>
      <c r="O628" s="81">
        <f t="shared" ca="1" si="318"/>
        <v>0</v>
      </c>
      <c r="P628" s="79">
        <f t="shared" ca="1" si="319"/>
        <v>0</v>
      </c>
      <c r="R628">
        <f t="shared" ca="1" si="334"/>
        <v>625</v>
      </c>
      <c r="S628" s="78">
        <f t="shared" ca="1" si="335"/>
        <v>111.92</v>
      </c>
      <c r="T628" s="55">
        <f t="shared" ca="1" si="336"/>
        <v>0</v>
      </c>
      <c r="U628" s="78">
        <f t="shared" ca="1" si="337"/>
        <v>2.4366954920664725E-5</v>
      </c>
      <c r="V628" s="79">
        <f t="shared" ca="1" si="338"/>
        <v>0</v>
      </c>
      <c r="W628" s="79">
        <f t="shared" ca="1" si="320"/>
        <v>0</v>
      </c>
      <c r="X628" s="80">
        <f t="shared" ca="1" si="321"/>
        <v>0</v>
      </c>
      <c r="Y628" s="80">
        <f t="shared" ca="1" si="339"/>
        <v>0</v>
      </c>
      <c r="Z628" s="80">
        <f t="shared" ca="1" si="322"/>
        <v>0</v>
      </c>
      <c r="AA628" s="80">
        <f t="shared" ca="1" si="340"/>
        <v>0</v>
      </c>
      <c r="AB628" s="81">
        <f t="shared" ca="1" si="323"/>
        <v>0</v>
      </c>
      <c r="AC628" s="79">
        <f t="shared" ca="1" si="324"/>
        <v>0</v>
      </c>
      <c r="AE628" s="35"/>
      <c r="AF628" s="35"/>
      <c r="AR628" s="69">
        <f t="shared" si="341"/>
        <v>53</v>
      </c>
      <c r="AS628" s="70">
        <f t="shared" si="344"/>
        <v>625</v>
      </c>
      <c r="AT628" s="71">
        <f t="shared" si="345"/>
        <v>1.3869802073522662E-2</v>
      </c>
      <c r="AU628" s="72">
        <f t="shared" si="325"/>
        <v>6.8214933659622723E-3</v>
      </c>
      <c r="AV628" s="73">
        <f t="shared" si="342"/>
        <v>1.0068214933659623</v>
      </c>
      <c r="AW628" s="74">
        <f>PRODUCT(AV$4:AV628)</f>
        <v>70.032376451504362</v>
      </c>
    </row>
    <row r="629" spans="5:49">
      <c r="E629">
        <f t="shared" si="343"/>
        <v>626</v>
      </c>
      <c r="F629" s="64">
        <f t="shared" si="326"/>
        <v>112</v>
      </c>
      <c r="G629" s="55">
        <f t="shared" si="327"/>
        <v>0</v>
      </c>
      <c r="H629" s="78">
        <f t="shared" si="346"/>
        <v>2.4366954920664725E-5</v>
      </c>
      <c r="I629" s="79">
        <f t="shared" ca="1" si="328"/>
        <v>0</v>
      </c>
      <c r="J629" s="79">
        <f t="shared" ca="1" si="329"/>
        <v>0</v>
      </c>
      <c r="K629" s="80">
        <f t="shared" ca="1" si="330"/>
        <v>0</v>
      </c>
      <c r="L629" s="80">
        <f t="shared" ca="1" si="331"/>
        <v>0</v>
      </c>
      <c r="M629" s="80">
        <f t="shared" ca="1" si="332"/>
        <v>0</v>
      </c>
      <c r="N629" s="80">
        <f t="shared" ca="1" si="333"/>
        <v>0</v>
      </c>
      <c r="O629" s="81">
        <f t="shared" ca="1" si="318"/>
        <v>0</v>
      </c>
      <c r="P629" s="79">
        <f t="shared" ca="1" si="319"/>
        <v>0</v>
      </c>
      <c r="R629">
        <f t="shared" ca="1" si="334"/>
        <v>626</v>
      </c>
      <c r="S629" s="78">
        <f t="shared" ca="1" si="335"/>
        <v>112</v>
      </c>
      <c r="T629" s="55">
        <f t="shared" ca="1" si="336"/>
        <v>0</v>
      </c>
      <c r="U629" s="78">
        <f t="shared" ca="1" si="337"/>
        <v>2.4366954920664725E-5</v>
      </c>
      <c r="V629" s="79">
        <f t="shared" ca="1" si="338"/>
        <v>0</v>
      </c>
      <c r="W629" s="79">
        <f t="shared" ca="1" si="320"/>
        <v>0</v>
      </c>
      <c r="X629" s="80">
        <f t="shared" ca="1" si="321"/>
        <v>0</v>
      </c>
      <c r="Y629" s="80">
        <f t="shared" ca="1" si="339"/>
        <v>0</v>
      </c>
      <c r="Z629" s="80">
        <f t="shared" ca="1" si="322"/>
        <v>0</v>
      </c>
      <c r="AA629" s="80">
        <f t="shared" ca="1" si="340"/>
        <v>0</v>
      </c>
      <c r="AB629" s="81">
        <f t="shared" ca="1" si="323"/>
        <v>0</v>
      </c>
      <c r="AC629" s="79">
        <f t="shared" ca="1" si="324"/>
        <v>0</v>
      </c>
      <c r="AE629" s="35"/>
      <c r="AF629" s="35"/>
      <c r="AR629" s="69">
        <f t="shared" si="341"/>
        <v>53</v>
      </c>
      <c r="AS629" s="70">
        <f t="shared" si="344"/>
        <v>626</v>
      </c>
      <c r="AT629" s="71">
        <f t="shared" si="345"/>
        <v>1.3775189310690918E-2</v>
      </c>
      <c r="AU629" s="72">
        <f t="shared" si="325"/>
        <v>6.8214933659622723E-3</v>
      </c>
      <c r="AV629" s="73">
        <f t="shared" si="342"/>
        <v>1.0068214933659623</v>
      </c>
      <c r="AW629" s="74">
        <f>PRODUCT(AV$4:AV629)</f>
        <v>70.510101842870867</v>
      </c>
    </row>
    <row r="630" spans="5:49">
      <c r="E630">
        <f t="shared" si="343"/>
        <v>627</v>
      </c>
      <c r="F630" s="64">
        <f t="shared" si="326"/>
        <v>112.08</v>
      </c>
      <c r="G630" s="55">
        <f t="shared" si="327"/>
        <v>0</v>
      </c>
      <c r="H630" s="78">
        <f t="shared" si="346"/>
        <v>2.4366954920664725E-5</v>
      </c>
      <c r="I630" s="79">
        <f t="shared" ca="1" si="328"/>
        <v>0</v>
      </c>
      <c r="J630" s="79">
        <f t="shared" ca="1" si="329"/>
        <v>0</v>
      </c>
      <c r="K630" s="80">
        <f t="shared" ca="1" si="330"/>
        <v>0</v>
      </c>
      <c r="L630" s="80">
        <f t="shared" ca="1" si="331"/>
        <v>0</v>
      </c>
      <c r="M630" s="80">
        <f t="shared" ca="1" si="332"/>
        <v>0</v>
      </c>
      <c r="N630" s="80">
        <f t="shared" ca="1" si="333"/>
        <v>0</v>
      </c>
      <c r="O630" s="81">
        <f t="shared" ca="1" si="318"/>
        <v>0</v>
      </c>
      <c r="P630" s="79">
        <f t="shared" ca="1" si="319"/>
        <v>0</v>
      </c>
      <c r="R630">
        <f t="shared" ca="1" si="334"/>
        <v>627</v>
      </c>
      <c r="S630" s="78">
        <f t="shared" ca="1" si="335"/>
        <v>112.08</v>
      </c>
      <c r="T630" s="55">
        <f t="shared" ca="1" si="336"/>
        <v>0</v>
      </c>
      <c r="U630" s="78">
        <f t="shared" ca="1" si="337"/>
        <v>2.4366954920664725E-5</v>
      </c>
      <c r="V630" s="79">
        <f t="shared" ca="1" si="338"/>
        <v>0</v>
      </c>
      <c r="W630" s="79">
        <f t="shared" ca="1" si="320"/>
        <v>0</v>
      </c>
      <c r="X630" s="80">
        <f t="shared" ca="1" si="321"/>
        <v>0</v>
      </c>
      <c r="Y630" s="80">
        <f t="shared" ca="1" si="339"/>
        <v>0</v>
      </c>
      <c r="Z630" s="80">
        <f t="shared" ca="1" si="322"/>
        <v>0</v>
      </c>
      <c r="AA630" s="80">
        <f t="shared" ca="1" si="340"/>
        <v>0</v>
      </c>
      <c r="AB630" s="81">
        <f t="shared" ca="1" si="323"/>
        <v>0</v>
      </c>
      <c r="AC630" s="79">
        <f t="shared" ca="1" si="324"/>
        <v>0</v>
      </c>
      <c r="AE630" s="35"/>
      <c r="AF630" s="35"/>
      <c r="AR630" s="69">
        <f t="shared" si="341"/>
        <v>53</v>
      </c>
      <c r="AS630" s="70">
        <f t="shared" si="344"/>
        <v>627</v>
      </c>
      <c r="AT630" s="71">
        <f t="shared" si="345"/>
        <v>1.3681221948193165E-2</v>
      </c>
      <c r="AU630" s="72">
        <f t="shared" si="325"/>
        <v>6.8214933659622723E-3</v>
      </c>
      <c r="AV630" s="73">
        <f t="shared" si="342"/>
        <v>1.0068214933659623</v>
      </c>
      <c r="AW630" s="74">
        <f>PRODUCT(AV$4:AV630)</f>
        <v>70.991086034825329</v>
      </c>
    </row>
    <row r="631" spans="5:49">
      <c r="E631">
        <f t="shared" si="343"/>
        <v>628</v>
      </c>
      <c r="F631" s="64">
        <f t="shared" si="326"/>
        <v>112.16</v>
      </c>
      <c r="G631" s="55">
        <f t="shared" si="327"/>
        <v>0</v>
      </c>
      <c r="H631" s="78">
        <f t="shared" si="346"/>
        <v>2.4366954920664725E-5</v>
      </c>
      <c r="I631" s="79">
        <f t="shared" ca="1" si="328"/>
        <v>0</v>
      </c>
      <c r="J631" s="79">
        <f t="shared" ca="1" si="329"/>
        <v>0</v>
      </c>
      <c r="K631" s="80">
        <f t="shared" ca="1" si="330"/>
        <v>0</v>
      </c>
      <c r="L631" s="80">
        <f t="shared" ca="1" si="331"/>
        <v>0</v>
      </c>
      <c r="M631" s="80">
        <f t="shared" ca="1" si="332"/>
        <v>0</v>
      </c>
      <c r="N631" s="80">
        <f t="shared" ca="1" si="333"/>
        <v>0</v>
      </c>
      <c r="O631" s="81">
        <f t="shared" ca="1" si="318"/>
        <v>0</v>
      </c>
      <c r="P631" s="79">
        <f t="shared" ca="1" si="319"/>
        <v>0</v>
      </c>
      <c r="R631">
        <f t="shared" ca="1" si="334"/>
        <v>628</v>
      </c>
      <c r="S631" s="78">
        <f t="shared" ca="1" si="335"/>
        <v>112.16</v>
      </c>
      <c r="T631" s="55">
        <f t="shared" ca="1" si="336"/>
        <v>0</v>
      </c>
      <c r="U631" s="78">
        <f t="shared" ca="1" si="337"/>
        <v>2.4366954920664725E-5</v>
      </c>
      <c r="V631" s="79">
        <f t="shared" ca="1" si="338"/>
        <v>0</v>
      </c>
      <c r="W631" s="79">
        <f t="shared" ca="1" si="320"/>
        <v>0</v>
      </c>
      <c r="X631" s="80">
        <f t="shared" ca="1" si="321"/>
        <v>0</v>
      </c>
      <c r="Y631" s="80">
        <f t="shared" ca="1" si="339"/>
        <v>0</v>
      </c>
      <c r="Z631" s="80">
        <f t="shared" ca="1" si="322"/>
        <v>0</v>
      </c>
      <c r="AA631" s="80">
        <f t="shared" ca="1" si="340"/>
        <v>0</v>
      </c>
      <c r="AB631" s="81">
        <f t="shared" ca="1" si="323"/>
        <v>0</v>
      </c>
      <c r="AC631" s="79">
        <f t="shared" ca="1" si="324"/>
        <v>0</v>
      </c>
      <c r="AE631" s="35"/>
      <c r="AF631" s="35"/>
      <c r="AR631" s="69">
        <f t="shared" si="341"/>
        <v>53</v>
      </c>
      <c r="AS631" s="70">
        <f t="shared" si="344"/>
        <v>628</v>
      </c>
      <c r="AT631" s="71">
        <f t="shared" si="345"/>
        <v>1.3587895583435308E-2</v>
      </c>
      <c r="AU631" s="72">
        <f t="shared" si="325"/>
        <v>6.8214933659622723E-3</v>
      </c>
      <c r="AV631" s="73">
        <f t="shared" si="342"/>
        <v>1.0068214933659623</v>
      </c>
      <c r="AW631" s="74">
        <f>PRODUCT(AV$4:AV631)</f>
        <v>71.475351257254346</v>
      </c>
    </row>
    <row r="632" spans="5:49">
      <c r="E632">
        <f t="shared" si="343"/>
        <v>629</v>
      </c>
      <c r="F632" s="64">
        <f t="shared" si="326"/>
        <v>112.24</v>
      </c>
      <c r="G632" s="55">
        <f t="shared" si="327"/>
        <v>0</v>
      </c>
      <c r="H632" s="78">
        <f t="shared" si="346"/>
        <v>2.4366954920664725E-5</v>
      </c>
      <c r="I632" s="79">
        <f t="shared" ca="1" si="328"/>
        <v>0</v>
      </c>
      <c r="J632" s="79">
        <f t="shared" ca="1" si="329"/>
        <v>0</v>
      </c>
      <c r="K632" s="80">
        <f t="shared" ca="1" si="330"/>
        <v>0</v>
      </c>
      <c r="L632" s="80">
        <f t="shared" ca="1" si="331"/>
        <v>0</v>
      </c>
      <c r="M632" s="80">
        <f t="shared" ca="1" si="332"/>
        <v>0</v>
      </c>
      <c r="N632" s="80">
        <f t="shared" ca="1" si="333"/>
        <v>0</v>
      </c>
      <c r="O632" s="81">
        <f t="shared" ca="1" si="318"/>
        <v>0</v>
      </c>
      <c r="P632" s="79">
        <f t="shared" ca="1" si="319"/>
        <v>0</v>
      </c>
      <c r="R632">
        <f t="shared" ca="1" si="334"/>
        <v>629</v>
      </c>
      <c r="S632" s="78">
        <f t="shared" ca="1" si="335"/>
        <v>112.24</v>
      </c>
      <c r="T632" s="55">
        <f t="shared" ca="1" si="336"/>
        <v>0</v>
      </c>
      <c r="U632" s="78">
        <f t="shared" ca="1" si="337"/>
        <v>2.4366954920664725E-5</v>
      </c>
      <c r="V632" s="79">
        <f t="shared" ca="1" si="338"/>
        <v>0</v>
      </c>
      <c r="W632" s="79">
        <f t="shared" ca="1" si="320"/>
        <v>0</v>
      </c>
      <c r="X632" s="80">
        <f t="shared" ca="1" si="321"/>
        <v>0</v>
      </c>
      <c r="Y632" s="80">
        <f t="shared" ca="1" si="339"/>
        <v>0</v>
      </c>
      <c r="Z632" s="80">
        <f t="shared" ca="1" si="322"/>
        <v>0</v>
      </c>
      <c r="AA632" s="80">
        <f t="shared" ca="1" si="340"/>
        <v>0</v>
      </c>
      <c r="AB632" s="81">
        <f t="shared" ca="1" si="323"/>
        <v>0</v>
      </c>
      <c r="AC632" s="79">
        <f t="shared" ca="1" si="324"/>
        <v>0</v>
      </c>
      <c r="AE632" s="35"/>
      <c r="AF632" s="35"/>
      <c r="AR632" s="69">
        <f t="shared" si="341"/>
        <v>53</v>
      </c>
      <c r="AS632" s="70">
        <f t="shared" si="344"/>
        <v>629</v>
      </c>
      <c r="AT632" s="71">
        <f t="shared" si="345"/>
        <v>1.3495205843855516E-2</v>
      </c>
      <c r="AU632" s="72">
        <f t="shared" si="325"/>
        <v>6.8214933659622723E-3</v>
      </c>
      <c r="AV632" s="73">
        <f t="shared" si="342"/>
        <v>1.0068214933659623</v>
      </c>
      <c r="AW632" s="74">
        <f>PRODUCT(AV$4:AV632)</f>
        <v>71.96291989168553</v>
      </c>
    </row>
    <row r="633" spans="5:49">
      <c r="E633">
        <f t="shared" si="343"/>
        <v>630</v>
      </c>
      <c r="F633" s="64">
        <f t="shared" si="326"/>
        <v>112.32</v>
      </c>
      <c r="G633" s="55">
        <f t="shared" si="327"/>
        <v>0</v>
      </c>
      <c r="H633" s="78">
        <f t="shared" si="346"/>
        <v>2.4366954920664725E-5</v>
      </c>
      <c r="I633" s="79">
        <f t="shared" ca="1" si="328"/>
        <v>0</v>
      </c>
      <c r="J633" s="79">
        <f t="shared" ca="1" si="329"/>
        <v>0</v>
      </c>
      <c r="K633" s="80">
        <f t="shared" ca="1" si="330"/>
        <v>0</v>
      </c>
      <c r="L633" s="80">
        <f t="shared" ca="1" si="331"/>
        <v>0</v>
      </c>
      <c r="M633" s="80">
        <f t="shared" ca="1" si="332"/>
        <v>0</v>
      </c>
      <c r="N633" s="80">
        <f t="shared" ca="1" si="333"/>
        <v>0</v>
      </c>
      <c r="O633" s="81">
        <f t="shared" ca="1" si="318"/>
        <v>0</v>
      </c>
      <c r="P633" s="79">
        <f t="shared" ca="1" si="319"/>
        <v>0</v>
      </c>
      <c r="R633">
        <f t="shared" ca="1" si="334"/>
        <v>630</v>
      </c>
      <c r="S633" s="78">
        <f t="shared" ca="1" si="335"/>
        <v>112.32</v>
      </c>
      <c r="T633" s="55">
        <f t="shared" ca="1" si="336"/>
        <v>0</v>
      </c>
      <c r="U633" s="78">
        <f t="shared" ca="1" si="337"/>
        <v>2.4366954920664725E-5</v>
      </c>
      <c r="V633" s="79">
        <f t="shared" ca="1" si="338"/>
        <v>0</v>
      </c>
      <c r="W633" s="79">
        <f t="shared" ca="1" si="320"/>
        <v>0</v>
      </c>
      <c r="X633" s="80">
        <f t="shared" ca="1" si="321"/>
        <v>0</v>
      </c>
      <c r="Y633" s="80">
        <f t="shared" ca="1" si="339"/>
        <v>0</v>
      </c>
      <c r="Z633" s="80">
        <f t="shared" ca="1" si="322"/>
        <v>0</v>
      </c>
      <c r="AA633" s="80">
        <f t="shared" ca="1" si="340"/>
        <v>0</v>
      </c>
      <c r="AB633" s="81">
        <f t="shared" ca="1" si="323"/>
        <v>0</v>
      </c>
      <c r="AC633" s="79">
        <f t="shared" ca="1" si="324"/>
        <v>0</v>
      </c>
      <c r="AE633" s="35"/>
      <c r="AF633" s="35"/>
      <c r="AR633" s="69">
        <f t="shared" si="341"/>
        <v>53</v>
      </c>
      <c r="AS633" s="70">
        <f t="shared" si="344"/>
        <v>630</v>
      </c>
      <c r="AT633" s="71">
        <f t="shared" si="345"/>
        <v>1.3403148386719362E-2</v>
      </c>
      <c r="AU633" s="72">
        <f t="shared" si="325"/>
        <v>6.8214933659622723E-3</v>
      </c>
      <c r="AV633" s="73">
        <f t="shared" si="342"/>
        <v>1.0068214933659623</v>
      </c>
      <c r="AW633" s="74">
        <f>PRODUCT(AV$4:AV633)</f>
        <v>72.453814472321938</v>
      </c>
    </row>
    <row r="634" spans="5:49">
      <c r="E634">
        <f t="shared" si="343"/>
        <v>631</v>
      </c>
      <c r="F634" s="64">
        <f t="shared" si="326"/>
        <v>112.4</v>
      </c>
      <c r="G634" s="55">
        <f t="shared" si="327"/>
        <v>0</v>
      </c>
      <c r="H634" s="78">
        <f t="shared" si="346"/>
        <v>2.4366954920664725E-5</v>
      </c>
      <c r="I634" s="79">
        <f t="shared" ca="1" si="328"/>
        <v>0</v>
      </c>
      <c r="J634" s="79">
        <f t="shared" ca="1" si="329"/>
        <v>0</v>
      </c>
      <c r="K634" s="80">
        <f t="shared" ca="1" si="330"/>
        <v>0</v>
      </c>
      <c r="L634" s="80">
        <f t="shared" ca="1" si="331"/>
        <v>0</v>
      </c>
      <c r="M634" s="80">
        <f t="shared" ca="1" si="332"/>
        <v>0</v>
      </c>
      <c r="N634" s="80">
        <f t="shared" ca="1" si="333"/>
        <v>0</v>
      </c>
      <c r="O634" s="81">
        <f t="shared" ca="1" si="318"/>
        <v>0</v>
      </c>
      <c r="P634" s="79">
        <f t="shared" ca="1" si="319"/>
        <v>0</v>
      </c>
      <c r="R634">
        <f t="shared" ca="1" si="334"/>
        <v>631</v>
      </c>
      <c r="S634" s="78">
        <f t="shared" ca="1" si="335"/>
        <v>112.4</v>
      </c>
      <c r="T634" s="55">
        <f t="shared" ca="1" si="336"/>
        <v>0</v>
      </c>
      <c r="U634" s="78">
        <f t="shared" ca="1" si="337"/>
        <v>2.4366954920664725E-5</v>
      </c>
      <c r="V634" s="79">
        <f t="shared" ca="1" si="338"/>
        <v>0</v>
      </c>
      <c r="W634" s="79">
        <f t="shared" ca="1" si="320"/>
        <v>0</v>
      </c>
      <c r="X634" s="80">
        <f t="shared" ca="1" si="321"/>
        <v>0</v>
      </c>
      <c r="Y634" s="80">
        <f t="shared" ca="1" si="339"/>
        <v>0</v>
      </c>
      <c r="Z634" s="80">
        <f t="shared" ca="1" si="322"/>
        <v>0</v>
      </c>
      <c r="AA634" s="80">
        <f t="shared" ca="1" si="340"/>
        <v>0</v>
      </c>
      <c r="AB634" s="81">
        <f t="shared" ca="1" si="323"/>
        <v>0</v>
      </c>
      <c r="AC634" s="79">
        <f t="shared" ca="1" si="324"/>
        <v>0</v>
      </c>
      <c r="AE634" s="35"/>
      <c r="AF634" s="35"/>
      <c r="AR634" s="69">
        <f t="shared" si="341"/>
        <v>53</v>
      </c>
      <c r="AS634" s="70">
        <f t="shared" si="344"/>
        <v>631</v>
      </c>
      <c r="AT634" s="71">
        <f t="shared" si="345"/>
        <v>1.3311718898916348E-2</v>
      </c>
      <c r="AU634" s="72">
        <f t="shared" si="325"/>
        <v>6.8214933659622723E-3</v>
      </c>
      <c r="AV634" s="73">
        <f t="shared" si="342"/>
        <v>1.0068214933659623</v>
      </c>
      <c r="AW634" s="74">
        <f>PRODUCT(AV$4:AV634)</f>
        <v>72.948057687083548</v>
      </c>
    </row>
    <row r="635" spans="5:49">
      <c r="E635">
        <f t="shared" si="343"/>
        <v>632</v>
      </c>
      <c r="F635" s="64">
        <f t="shared" si="326"/>
        <v>112.48</v>
      </c>
      <c r="G635" s="55">
        <f t="shared" si="327"/>
        <v>0</v>
      </c>
      <c r="H635" s="78">
        <f t="shared" si="346"/>
        <v>2.4366954920664725E-5</v>
      </c>
      <c r="I635" s="79">
        <f t="shared" ca="1" si="328"/>
        <v>0</v>
      </c>
      <c r="J635" s="79">
        <f t="shared" ca="1" si="329"/>
        <v>0</v>
      </c>
      <c r="K635" s="80">
        <f t="shared" ca="1" si="330"/>
        <v>0</v>
      </c>
      <c r="L635" s="80">
        <f t="shared" ca="1" si="331"/>
        <v>0</v>
      </c>
      <c r="M635" s="80">
        <f t="shared" ca="1" si="332"/>
        <v>0</v>
      </c>
      <c r="N635" s="80">
        <f t="shared" ca="1" si="333"/>
        <v>0</v>
      </c>
      <c r="O635" s="81">
        <f t="shared" ca="1" si="318"/>
        <v>0</v>
      </c>
      <c r="P635" s="79">
        <f t="shared" ca="1" si="319"/>
        <v>0</v>
      </c>
      <c r="R635">
        <f t="shared" ca="1" si="334"/>
        <v>632</v>
      </c>
      <c r="S635" s="78">
        <f t="shared" ca="1" si="335"/>
        <v>112.48</v>
      </c>
      <c r="T635" s="55">
        <f t="shared" ca="1" si="336"/>
        <v>0</v>
      </c>
      <c r="U635" s="78">
        <f t="shared" ca="1" si="337"/>
        <v>2.4366954920664725E-5</v>
      </c>
      <c r="V635" s="79">
        <f t="shared" ca="1" si="338"/>
        <v>0</v>
      </c>
      <c r="W635" s="79">
        <f t="shared" ca="1" si="320"/>
        <v>0</v>
      </c>
      <c r="X635" s="80">
        <f t="shared" ca="1" si="321"/>
        <v>0</v>
      </c>
      <c r="Y635" s="80">
        <f t="shared" ca="1" si="339"/>
        <v>0</v>
      </c>
      <c r="Z635" s="80">
        <f t="shared" ca="1" si="322"/>
        <v>0</v>
      </c>
      <c r="AA635" s="80">
        <f t="shared" ca="1" si="340"/>
        <v>0</v>
      </c>
      <c r="AB635" s="81">
        <f t="shared" ca="1" si="323"/>
        <v>0</v>
      </c>
      <c r="AC635" s="79">
        <f t="shared" ca="1" si="324"/>
        <v>0</v>
      </c>
      <c r="AE635" s="35"/>
      <c r="AF635" s="35"/>
      <c r="AR635" s="69">
        <f t="shared" si="341"/>
        <v>53</v>
      </c>
      <c r="AS635" s="70">
        <f t="shared" si="344"/>
        <v>632</v>
      </c>
      <c r="AT635" s="71">
        <f t="shared" si="345"/>
        <v>1.3220913096757835E-2</v>
      </c>
      <c r="AU635" s="72">
        <f t="shared" si="325"/>
        <v>6.8214933659622723E-3</v>
      </c>
      <c r="AV635" s="73">
        <f t="shared" si="342"/>
        <v>1.0068214933659623</v>
      </c>
      <c r="AW635" s="74">
        <f>PRODUCT(AV$4:AV635)</f>
        <v>73.445672378655814</v>
      </c>
    </row>
    <row r="636" spans="5:49">
      <c r="E636">
        <f t="shared" si="343"/>
        <v>633</v>
      </c>
      <c r="F636" s="64">
        <f t="shared" si="326"/>
        <v>112.56</v>
      </c>
      <c r="G636" s="55">
        <f t="shared" si="327"/>
        <v>0</v>
      </c>
      <c r="H636" s="78">
        <f t="shared" si="346"/>
        <v>2.4366954920664725E-5</v>
      </c>
      <c r="I636" s="79">
        <f t="shared" ca="1" si="328"/>
        <v>0</v>
      </c>
      <c r="J636" s="79">
        <f t="shared" ca="1" si="329"/>
        <v>0</v>
      </c>
      <c r="K636" s="80">
        <f t="shared" ca="1" si="330"/>
        <v>0</v>
      </c>
      <c r="L636" s="80">
        <f t="shared" ca="1" si="331"/>
        <v>0</v>
      </c>
      <c r="M636" s="80">
        <f t="shared" ca="1" si="332"/>
        <v>0</v>
      </c>
      <c r="N636" s="80">
        <f t="shared" ca="1" si="333"/>
        <v>0</v>
      </c>
      <c r="O636" s="81">
        <f t="shared" ca="1" si="318"/>
        <v>0</v>
      </c>
      <c r="P636" s="79">
        <f t="shared" ca="1" si="319"/>
        <v>0</v>
      </c>
      <c r="R636">
        <f t="shared" ca="1" si="334"/>
        <v>633</v>
      </c>
      <c r="S636" s="78">
        <f t="shared" ca="1" si="335"/>
        <v>112.56</v>
      </c>
      <c r="T636" s="55">
        <f t="shared" ca="1" si="336"/>
        <v>0</v>
      </c>
      <c r="U636" s="78">
        <f t="shared" ca="1" si="337"/>
        <v>2.4366954920664725E-5</v>
      </c>
      <c r="V636" s="79">
        <f t="shared" ca="1" si="338"/>
        <v>0</v>
      </c>
      <c r="W636" s="79">
        <f t="shared" ca="1" si="320"/>
        <v>0</v>
      </c>
      <c r="X636" s="80">
        <f t="shared" ca="1" si="321"/>
        <v>0</v>
      </c>
      <c r="Y636" s="80">
        <f t="shared" ca="1" si="339"/>
        <v>0</v>
      </c>
      <c r="Z636" s="80">
        <f t="shared" ca="1" si="322"/>
        <v>0</v>
      </c>
      <c r="AA636" s="80">
        <f t="shared" ca="1" si="340"/>
        <v>0</v>
      </c>
      <c r="AB636" s="81">
        <f t="shared" ca="1" si="323"/>
        <v>0</v>
      </c>
      <c r="AC636" s="79">
        <f t="shared" ca="1" si="324"/>
        <v>0</v>
      </c>
      <c r="AE636" s="35"/>
      <c r="AF636" s="35"/>
      <c r="AR636" s="69">
        <f t="shared" si="341"/>
        <v>53</v>
      </c>
      <c r="AS636" s="70">
        <f t="shared" si="344"/>
        <v>633</v>
      </c>
      <c r="AT636" s="71">
        <f t="shared" si="345"/>
        <v>1.3130726725776337E-2</v>
      </c>
      <c r="AU636" s="72">
        <f t="shared" si="325"/>
        <v>6.8214933659622723E-3</v>
      </c>
      <c r="AV636" s="73">
        <f t="shared" si="342"/>
        <v>1.0068214933659623</v>
      </c>
      <c r="AW636" s="74">
        <f>PRODUCT(AV$4:AV636)</f>
        <v>73.946681545545459</v>
      </c>
    </row>
    <row r="637" spans="5:49">
      <c r="E637">
        <f t="shared" si="343"/>
        <v>634</v>
      </c>
      <c r="F637" s="64">
        <f t="shared" si="326"/>
        <v>112.64</v>
      </c>
      <c r="G637" s="55">
        <f t="shared" si="327"/>
        <v>0</v>
      </c>
      <c r="H637" s="78">
        <f t="shared" si="346"/>
        <v>2.4366954920664725E-5</v>
      </c>
      <c r="I637" s="79">
        <f t="shared" ca="1" si="328"/>
        <v>0</v>
      </c>
      <c r="J637" s="79">
        <f t="shared" ca="1" si="329"/>
        <v>0</v>
      </c>
      <c r="K637" s="80">
        <f t="shared" ca="1" si="330"/>
        <v>0</v>
      </c>
      <c r="L637" s="80">
        <f t="shared" ca="1" si="331"/>
        <v>0</v>
      </c>
      <c r="M637" s="80">
        <f t="shared" ca="1" si="332"/>
        <v>0</v>
      </c>
      <c r="N637" s="80">
        <f t="shared" ca="1" si="333"/>
        <v>0</v>
      </c>
      <c r="O637" s="81">
        <f t="shared" ca="1" si="318"/>
        <v>0</v>
      </c>
      <c r="P637" s="79">
        <f t="shared" ca="1" si="319"/>
        <v>0</v>
      </c>
      <c r="R637">
        <f t="shared" ca="1" si="334"/>
        <v>634</v>
      </c>
      <c r="S637" s="78">
        <f t="shared" ca="1" si="335"/>
        <v>112.64</v>
      </c>
      <c r="T637" s="55">
        <f t="shared" ca="1" si="336"/>
        <v>0</v>
      </c>
      <c r="U637" s="78">
        <f t="shared" ca="1" si="337"/>
        <v>2.4366954920664725E-5</v>
      </c>
      <c r="V637" s="79">
        <f t="shared" ca="1" si="338"/>
        <v>0</v>
      </c>
      <c r="W637" s="79">
        <f t="shared" ca="1" si="320"/>
        <v>0</v>
      </c>
      <c r="X637" s="80">
        <f t="shared" ca="1" si="321"/>
        <v>0</v>
      </c>
      <c r="Y637" s="80">
        <f t="shared" ca="1" si="339"/>
        <v>0</v>
      </c>
      <c r="Z637" s="80">
        <f t="shared" ca="1" si="322"/>
        <v>0</v>
      </c>
      <c r="AA637" s="80">
        <f t="shared" ca="1" si="340"/>
        <v>0</v>
      </c>
      <c r="AB637" s="81">
        <f t="shared" ca="1" si="323"/>
        <v>0</v>
      </c>
      <c r="AC637" s="79">
        <f t="shared" ca="1" si="324"/>
        <v>0</v>
      </c>
      <c r="AE637" s="35"/>
      <c r="AF637" s="35"/>
      <c r="AR637" s="69">
        <f t="shared" si="341"/>
        <v>53</v>
      </c>
      <c r="AS637" s="70">
        <f t="shared" si="344"/>
        <v>634</v>
      </c>
      <c r="AT637" s="71">
        <f t="shared" si="345"/>
        <v>1.304115556052619E-2</v>
      </c>
      <c r="AU637" s="72">
        <f t="shared" si="325"/>
        <v>6.8214933659622723E-3</v>
      </c>
      <c r="AV637" s="73">
        <f t="shared" si="342"/>
        <v>1.0068214933659623</v>
      </c>
      <c r="AW637" s="74">
        <f>PRODUCT(AV$4:AV637)</f>
        <v>74.451108343143318</v>
      </c>
    </row>
    <row r="638" spans="5:49">
      <c r="E638">
        <f t="shared" si="343"/>
        <v>635</v>
      </c>
      <c r="F638" s="64">
        <f t="shared" si="326"/>
        <v>112.72</v>
      </c>
      <c r="G638" s="55">
        <f t="shared" si="327"/>
        <v>0</v>
      </c>
      <c r="H638" s="78">
        <f t="shared" si="346"/>
        <v>2.4366954920664725E-5</v>
      </c>
      <c r="I638" s="79">
        <f t="shared" ca="1" si="328"/>
        <v>0</v>
      </c>
      <c r="J638" s="79">
        <f t="shared" ca="1" si="329"/>
        <v>0</v>
      </c>
      <c r="K638" s="80">
        <f t="shared" ca="1" si="330"/>
        <v>0</v>
      </c>
      <c r="L638" s="80">
        <f t="shared" ca="1" si="331"/>
        <v>0</v>
      </c>
      <c r="M638" s="80">
        <f t="shared" ca="1" si="332"/>
        <v>0</v>
      </c>
      <c r="N638" s="80">
        <f t="shared" ca="1" si="333"/>
        <v>0</v>
      </c>
      <c r="O638" s="81">
        <f t="shared" ca="1" si="318"/>
        <v>0</v>
      </c>
      <c r="P638" s="79">
        <f t="shared" ca="1" si="319"/>
        <v>0</v>
      </c>
      <c r="R638">
        <f t="shared" ca="1" si="334"/>
        <v>635</v>
      </c>
      <c r="S638" s="78">
        <f t="shared" ca="1" si="335"/>
        <v>112.72</v>
      </c>
      <c r="T638" s="55">
        <f t="shared" ca="1" si="336"/>
        <v>0</v>
      </c>
      <c r="U638" s="78">
        <f t="shared" ca="1" si="337"/>
        <v>2.4366954920664725E-5</v>
      </c>
      <c r="V638" s="79">
        <f t="shared" ca="1" si="338"/>
        <v>0</v>
      </c>
      <c r="W638" s="79">
        <f t="shared" ca="1" si="320"/>
        <v>0</v>
      </c>
      <c r="X638" s="80">
        <f t="shared" ca="1" si="321"/>
        <v>0</v>
      </c>
      <c r="Y638" s="80">
        <f t="shared" ca="1" si="339"/>
        <v>0</v>
      </c>
      <c r="Z638" s="80">
        <f t="shared" ca="1" si="322"/>
        <v>0</v>
      </c>
      <c r="AA638" s="80">
        <f t="shared" ca="1" si="340"/>
        <v>0</v>
      </c>
      <c r="AB638" s="81">
        <f t="shared" ca="1" si="323"/>
        <v>0</v>
      </c>
      <c r="AC638" s="79">
        <f t="shared" ca="1" si="324"/>
        <v>0</v>
      </c>
      <c r="AE638" s="35"/>
      <c r="AF638" s="35"/>
      <c r="AR638" s="69">
        <f t="shared" si="341"/>
        <v>53</v>
      </c>
      <c r="AS638" s="70">
        <f t="shared" si="344"/>
        <v>635</v>
      </c>
      <c r="AT638" s="71">
        <f t="shared" si="345"/>
        <v>1.2952195404385579E-2</v>
      </c>
      <c r="AU638" s="72">
        <f t="shared" si="325"/>
        <v>6.8214933659622723E-3</v>
      </c>
      <c r="AV638" s="73">
        <f t="shared" si="342"/>
        <v>1.0068214933659623</v>
      </c>
      <c r="AW638" s="74">
        <f>PRODUCT(AV$4:AV638)</f>
        <v>74.958976084794614</v>
      </c>
    </row>
    <row r="639" spans="5:49">
      <c r="E639">
        <f t="shared" si="343"/>
        <v>636</v>
      </c>
      <c r="F639" s="64">
        <f t="shared" si="326"/>
        <v>112.8</v>
      </c>
      <c r="G639" s="55">
        <f t="shared" si="327"/>
        <v>0</v>
      </c>
      <c r="H639" s="78">
        <f t="shared" si="346"/>
        <v>2.4366954920664725E-5</v>
      </c>
      <c r="I639" s="79">
        <f t="shared" ca="1" si="328"/>
        <v>0</v>
      </c>
      <c r="J639" s="79">
        <f t="shared" ca="1" si="329"/>
        <v>0</v>
      </c>
      <c r="K639" s="80">
        <f t="shared" ca="1" si="330"/>
        <v>0</v>
      </c>
      <c r="L639" s="80">
        <f t="shared" ca="1" si="331"/>
        <v>0</v>
      </c>
      <c r="M639" s="80">
        <f t="shared" ca="1" si="332"/>
        <v>0</v>
      </c>
      <c r="N639" s="80">
        <f t="shared" ca="1" si="333"/>
        <v>0</v>
      </c>
      <c r="O639" s="81">
        <f t="shared" ca="1" si="318"/>
        <v>0</v>
      </c>
      <c r="P639" s="79">
        <f t="shared" ca="1" si="319"/>
        <v>0</v>
      </c>
      <c r="R639">
        <f t="shared" ca="1" si="334"/>
        <v>636</v>
      </c>
      <c r="S639" s="78">
        <f t="shared" ca="1" si="335"/>
        <v>112.8</v>
      </c>
      <c r="T639" s="55">
        <f t="shared" ca="1" si="336"/>
        <v>0</v>
      </c>
      <c r="U639" s="78">
        <f t="shared" ca="1" si="337"/>
        <v>2.4366954920664725E-5</v>
      </c>
      <c r="V639" s="79">
        <f t="shared" ca="1" si="338"/>
        <v>0</v>
      </c>
      <c r="W639" s="79">
        <f t="shared" ca="1" si="320"/>
        <v>0</v>
      </c>
      <c r="X639" s="80">
        <f t="shared" ca="1" si="321"/>
        <v>0</v>
      </c>
      <c r="Y639" s="80">
        <f t="shared" ca="1" si="339"/>
        <v>0</v>
      </c>
      <c r="Z639" s="80">
        <f t="shared" ca="1" si="322"/>
        <v>0</v>
      </c>
      <c r="AA639" s="80">
        <f t="shared" ca="1" si="340"/>
        <v>0</v>
      </c>
      <c r="AB639" s="81">
        <f t="shared" ca="1" si="323"/>
        <v>0</v>
      </c>
      <c r="AC639" s="79">
        <f t="shared" ca="1" si="324"/>
        <v>0</v>
      </c>
      <c r="AE639" s="35"/>
      <c r="AF639" s="35"/>
      <c r="AR639" s="69">
        <f t="shared" si="341"/>
        <v>53</v>
      </c>
      <c r="AS639" s="70">
        <f t="shared" si="344"/>
        <v>636</v>
      </c>
      <c r="AT639" s="71">
        <f t="shared" si="345"/>
        <v>1.2863842089359916E-2</v>
      </c>
      <c r="AU639" s="72">
        <f t="shared" si="325"/>
        <v>6.8214933659622723E-3</v>
      </c>
      <c r="AV639" s="73">
        <f t="shared" si="342"/>
        <v>1.0068214933659623</v>
      </c>
      <c r="AW639" s="74">
        <f>PRODUCT(AV$4:AV639)</f>
        <v>75.470308242876371</v>
      </c>
    </row>
    <row r="640" spans="5:49">
      <c r="E640">
        <f t="shared" si="343"/>
        <v>637</v>
      </c>
      <c r="F640" s="64">
        <f t="shared" si="326"/>
        <v>112.88</v>
      </c>
      <c r="G640" s="55">
        <f t="shared" si="327"/>
        <v>0</v>
      </c>
      <c r="H640" s="78">
        <f t="shared" si="346"/>
        <v>2.4366954920664725E-5</v>
      </c>
      <c r="I640" s="79">
        <f t="shared" ca="1" si="328"/>
        <v>0</v>
      </c>
      <c r="J640" s="79">
        <f t="shared" ca="1" si="329"/>
        <v>0</v>
      </c>
      <c r="K640" s="80">
        <f t="shared" ca="1" si="330"/>
        <v>0</v>
      </c>
      <c r="L640" s="80">
        <f t="shared" ca="1" si="331"/>
        <v>0</v>
      </c>
      <c r="M640" s="80">
        <f t="shared" ca="1" si="332"/>
        <v>0</v>
      </c>
      <c r="N640" s="80">
        <f t="shared" ca="1" si="333"/>
        <v>0</v>
      </c>
      <c r="O640" s="81">
        <f t="shared" ca="1" si="318"/>
        <v>0</v>
      </c>
      <c r="P640" s="79">
        <f t="shared" ca="1" si="319"/>
        <v>0</v>
      </c>
      <c r="R640">
        <f t="shared" ca="1" si="334"/>
        <v>637</v>
      </c>
      <c r="S640" s="78">
        <f t="shared" ca="1" si="335"/>
        <v>112.88</v>
      </c>
      <c r="T640" s="55">
        <f t="shared" ca="1" si="336"/>
        <v>0</v>
      </c>
      <c r="U640" s="78">
        <f t="shared" ca="1" si="337"/>
        <v>2.4366954920664725E-5</v>
      </c>
      <c r="V640" s="79">
        <f t="shared" ca="1" si="338"/>
        <v>0</v>
      </c>
      <c r="W640" s="79">
        <f t="shared" ca="1" si="320"/>
        <v>0</v>
      </c>
      <c r="X640" s="80">
        <f t="shared" ca="1" si="321"/>
        <v>0</v>
      </c>
      <c r="Y640" s="80">
        <f t="shared" ca="1" si="339"/>
        <v>0</v>
      </c>
      <c r="Z640" s="80">
        <f t="shared" ca="1" si="322"/>
        <v>0</v>
      </c>
      <c r="AA640" s="80">
        <f t="shared" ca="1" si="340"/>
        <v>0</v>
      </c>
      <c r="AB640" s="81">
        <f t="shared" ca="1" si="323"/>
        <v>0</v>
      </c>
      <c r="AC640" s="79">
        <f t="shared" ca="1" si="324"/>
        <v>0</v>
      </c>
      <c r="AE640" s="35"/>
      <c r="AF640" s="35"/>
      <c r="AR640" s="69">
        <f t="shared" si="341"/>
        <v>54</v>
      </c>
      <c r="AS640" s="70">
        <f t="shared" si="344"/>
        <v>637</v>
      </c>
      <c r="AT640" s="71">
        <f t="shared" si="345"/>
        <v>1.2776091475886561E-2</v>
      </c>
      <c r="AU640" s="72">
        <f t="shared" si="325"/>
        <v>6.8214933659622723E-3</v>
      </c>
      <c r="AV640" s="73">
        <f t="shared" si="342"/>
        <v>1.0068214933659623</v>
      </c>
      <c r="AW640" s="74">
        <f>PRODUCT(AV$4:AV640)</f>
        <v>75.985128449882282</v>
      </c>
    </row>
    <row r="641" spans="5:49">
      <c r="E641">
        <f t="shared" si="343"/>
        <v>638</v>
      </c>
      <c r="F641" s="64">
        <f t="shared" si="326"/>
        <v>112.96</v>
      </c>
      <c r="G641" s="55">
        <f t="shared" si="327"/>
        <v>0</v>
      </c>
      <c r="H641" s="78">
        <f t="shared" si="346"/>
        <v>2.4366954920664725E-5</v>
      </c>
      <c r="I641" s="79">
        <f t="shared" ca="1" si="328"/>
        <v>0</v>
      </c>
      <c r="J641" s="79">
        <f t="shared" ca="1" si="329"/>
        <v>0</v>
      </c>
      <c r="K641" s="80">
        <f t="shared" ca="1" si="330"/>
        <v>0</v>
      </c>
      <c r="L641" s="80">
        <f t="shared" ca="1" si="331"/>
        <v>0</v>
      </c>
      <c r="M641" s="80">
        <f t="shared" ca="1" si="332"/>
        <v>0</v>
      </c>
      <c r="N641" s="80">
        <f t="shared" ca="1" si="333"/>
        <v>0</v>
      </c>
      <c r="O641" s="81">
        <f t="shared" ca="1" si="318"/>
        <v>0</v>
      </c>
      <c r="P641" s="79">
        <f t="shared" ca="1" si="319"/>
        <v>0</v>
      </c>
      <c r="R641">
        <f t="shared" ca="1" si="334"/>
        <v>638</v>
      </c>
      <c r="S641" s="78">
        <f t="shared" ca="1" si="335"/>
        <v>112.96</v>
      </c>
      <c r="T641" s="55">
        <f t="shared" ca="1" si="336"/>
        <v>0</v>
      </c>
      <c r="U641" s="78">
        <f t="shared" ca="1" si="337"/>
        <v>2.4366954920664725E-5</v>
      </c>
      <c r="V641" s="79">
        <f t="shared" ca="1" si="338"/>
        <v>0</v>
      </c>
      <c r="W641" s="79">
        <f t="shared" ca="1" si="320"/>
        <v>0</v>
      </c>
      <c r="X641" s="80">
        <f t="shared" ca="1" si="321"/>
        <v>0</v>
      </c>
      <c r="Y641" s="80">
        <f t="shared" ca="1" si="339"/>
        <v>0</v>
      </c>
      <c r="Z641" s="80">
        <f t="shared" ca="1" si="322"/>
        <v>0</v>
      </c>
      <c r="AA641" s="80">
        <f t="shared" ca="1" si="340"/>
        <v>0</v>
      </c>
      <c r="AB641" s="81">
        <f t="shared" ca="1" si="323"/>
        <v>0</v>
      </c>
      <c r="AC641" s="79">
        <f t="shared" ca="1" si="324"/>
        <v>0</v>
      </c>
      <c r="AE641" s="35"/>
      <c r="AF641" s="35"/>
      <c r="AR641" s="69">
        <f t="shared" si="341"/>
        <v>54</v>
      </c>
      <c r="AS641" s="70">
        <f t="shared" si="344"/>
        <v>638</v>
      </c>
      <c r="AT641" s="71">
        <f t="shared" si="345"/>
        <v>1.2688939452640874E-2</v>
      </c>
      <c r="AU641" s="72">
        <f t="shared" si="325"/>
        <v>6.8214933659622723E-3</v>
      </c>
      <c r="AV641" s="73">
        <f t="shared" si="342"/>
        <v>1.0068214933659623</v>
      </c>
      <c r="AW641" s="74">
        <f>PRODUCT(AV$4:AV641)</f>
        <v>76.503460499514944</v>
      </c>
    </row>
    <row r="642" spans="5:49">
      <c r="E642">
        <f t="shared" si="343"/>
        <v>639</v>
      </c>
      <c r="F642" s="64">
        <f t="shared" si="326"/>
        <v>113.04</v>
      </c>
      <c r="G642" s="55">
        <f t="shared" si="327"/>
        <v>0</v>
      </c>
      <c r="H642" s="78">
        <f t="shared" si="346"/>
        <v>2.4366954920664725E-5</v>
      </c>
      <c r="I642" s="79">
        <f t="shared" ca="1" si="328"/>
        <v>0</v>
      </c>
      <c r="J642" s="79">
        <f t="shared" ca="1" si="329"/>
        <v>0</v>
      </c>
      <c r="K642" s="80">
        <f t="shared" ca="1" si="330"/>
        <v>0</v>
      </c>
      <c r="L642" s="80">
        <f t="shared" ca="1" si="331"/>
        <v>0</v>
      </c>
      <c r="M642" s="80">
        <f t="shared" ca="1" si="332"/>
        <v>0</v>
      </c>
      <c r="N642" s="80">
        <f t="shared" ca="1" si="333"/>
        <v>0</v>
      </c>
      <c r="O642" s="81">
        <f t="shared" ca="1" si="318"/>
        <v>0</v>
      </c>
      <c r="P642" s="79">
        <f t="shared" ca="1" si="319"/>
        <v>0</v>
      </c>
      <c r="R642">
        <f t="shared" ca="1" si="334"/>
        <v>639</v>
      </c>
      <c r="S642" s="78">
        <f t="shared" ca="1" si="335"/>
        <v>113.04</v>
      </c>
      <c r="T642" s="55">
        <f t="shared" ca="1" si="336"/>
        <v>0</v>
      </c>
      <c r="U642" s="78">
        <f t="shared" ca="1" si="337"/>
        <v>2.4366954920664725E-5</v>
      </c>
      <c r="V642" s="79">
        <f t="shared" ca="1" si="338"/>
        <v>0</v>
      </c>
      <c r="W642" s="79">
        <f t="shared" ca="1" si="320"/>
        <v>0</v>
      </c>
      <c r="X642" s="80">
        <f t="shared" ca="1" si="321"/>
        <v>0</v>
      </c>
      <c r="Y642" s="80">
        <f t="shared" ca="1" si="339"/>
        <v>0</v>
      </c>
      <c r="Z642" s="80">
        <f t="shared" ca="1" si="322"/>
        <v>0</v>
      </c>
      <c r="AA642" s="80">
        <f t="shared" ca="1" si="340"/>
        <v>0</v>
      </c>
      <c r="AB642" s="81">
        <f t="shared" ca="1" si="323"/>
        <v>0</v>
      </c>
      <c r="AC642" s="79">
        <f t="shared" ca="1" si="324"/>
        <v>0</v>
      </c>
      <c r="AE642" s="35"/>
      <c r="AF642" s="35"/>
      <c r="AR642" s="69">
        <f t="shared" si="341"/>
        <v>54</v>
      </c>
      <c r="AS642" s="70">
        <f t="shared" si="344"/>
        <v>639</v>
      </c>
      <c r="AT642" s="71">
        <f t="shared" si="345"/>
        <v>1.2602381936343587E-2</v>
      </c>
      <c r="AU642" s="72">
        <f t="shared" si="325"/>
        <v>6.8214933659622723E-3</v>
      </c>
      <c r="AV642" s="73">
        <f t="shared" si="342"/>
        <v>1.0068214933659623</v>
      </c>
      <c r="AW642" s="74">
        <f>PRODUCT(AV$4:AV642)</f>
        <v>77.025328347785546</v>
      </c>
    </row>
    <row r="643" spans="5:49">
      <c r="E643">
        <f t="shared" si="343"/>
        <v>640</v>
      </c>
      <c r="F643" s="64">
        <f t="shared" si="326"/>
        <v>113.12</v>
      </c>
      <c r="G643" s="55">
        <f t="shared" si="327"/>
        <v>0</v>
      </c>
      <c r="H643" s="78">
        <f t="shared" si="346"/>
        <v>2.4366954920664725E-5</v>
      </c>
      <c r="I643" s="79">
        <f t="shared" ca="1" si="328"/>
        <v>0</v>
      </c>
      <c r="J643" s="79">
        <f t="shared" ca="1" si="329"/>
        <v>0</v>
      </c>
      <c r="K643" s="80">
        <f t="shared" ca="1" si="330"/>
        <v>0</v>
      </c>
      <c r="L643" s="80">
        <f t="shared" ca="1" si="331"/>
        <v>0</v>
      </c>
      <c r="M643" s="80">
        <f t="shared" ca="1" si="332"/>
        <v>0</v>
      </c>
      <c r="N643" s="80">
        <f t="shared" ca="1" si="333"/>
        <v>0</v>
      </c>
      <c r="O643" s="81">
        <f t="shared" ca="1" si="318"/>
        <v>0</v>
      </c>
      <c r="P643" s="79">
        <f t="shared" ca="1" si="319"/>
        <v>0</v>
      </c>
      <c r="R643">
        <f t="shared" ca="1" si="334"/>
        <v>640</v>
      </c>
      <c r="S643" s="78">
        <f t="shared" ca="1" si="335"/>
        <v>113.12</v>
      </c>
      <c r="T643" s="55">
        <f t="shared" ca="1" si="336"/>
        <v>0</v>
      </c>
      <c r="U643" s="78">
        <f t="shared" ca="1" si="337"/>
        <v>2.4366954920664725E-5</v>
      </c>
      <c r="V643" s="79">
        <f t="shared" ca="1" si="338"/>
        <v>0</v>
      </c>
      <c r="W643" s="79">
        <f t="shared" ca="1" si="320"/>
        <v>0</v>
      </c>
      <c r="X643" s="80">
        <f t="shared" ca="1" si="321"/>
        <v>0</v>
      </c>
      <c r="Y643" s="80">
        <f t="shared" ca="1" si="339"/>
        <v>0</v>
      </c>
      <c r="Z643" s="80">
        <f t="shared" ca="1" si="322"/>
        <v>0</v>
      </c>
      <c r="AA643" s="80">
        <f t="shared" ca="1" si="340"/>
        <v>0</v>
      </c>
      <c r="AB643" s="81">
        <f t="shared" ca="1" si="323"/>
        <v>0</v>
      </c>
      <c r="AC643" s="79">
        <f t="shared" ca="1" si="324"/>
        <v>0</v>
      </c>
      <c r="AE643" s="35"/>
      <c r="AF643" s="35"/>
      <c r="AR643" s="69">
        <f t="shared" si="341"/>
        <v>54</v>
      </c>
      <c r="AS643" s="70">
        <f t="shared" si="344"/>
        <v>640</v>
      </c>
      <c r="AT643" s="71">
        <f t="shared" si="345"/>
        <v>1.2516414871569497E-2</v>
      </c>
      <c r="AU643" s="72">
        <f t="shared" si="325"/>
        <v>6.8214933659622723E-3</v>
      </c>
      <c r="AV643" s="73">
        <f t="shared" si="342"/>
        <v>1.0068214933659623</v>
      </c>
      <c r="AW643" s="74">
        <f>PRODUCT(AV$4:AV643)</f>
        <v>77.550756114121029</v>
      </c>
    </row>
    <row r="644" spans="5:49">
      <c r="E644">
        <f t="shared" si="343"/>
        <v>641</v>
      </c>
      <c r="F644" s="64">
        <f t="shared" si="326"/>
        <v>113.2</v>
      </c>
      <c r="G644" s="55">
        <f t="shared" si="327"/>
        <v>0</v>
      </c>
      <c r="H644" s="78">
        <f t="shared" si="346"/>
        <v>2.4366954920664725E-5</v>
      </c>
      <c r="I644" s="79">
        <f t="shared" ca="1" si="328"/>
        <v>0</v>
      </c>
      <c r="J644" s="79">
        <f t="shared" ca="1" si="329"/>
        <v>0</v>
      </c>
      <c r="K644" s="80">
        <f t="shared" ca="1" si="330"/>
        <v>0</v>
      </c>
      <c r="L644" s="80">
        <f t="shared" ca="1" si="331"/>
        <v>0</v>
      </c>
      <c r="M644" s="80">
        <f t="shared" ca="1" si="332"/>
        <v>0</v>
      </c>
      <c r="N644" s="80">
        <f t="shared" ca="1" si="333"/>
        <v>0</v>
      </c>
      <c r="O644" s="81">
        <f t="shared" ref="O644:O707" ca="1" si="347">-MIN(IF(MOD(R644,IF($C$5="Annual",12,1))=0,1,0)*$C$33*U644/IF($C$5="Monthly",12,1),I644)</f>
        <v>0</v>
      </c>
      <c r="P644" s="79">
        <f t="shared" ref="P644:P707" ca="1" si="348">SUM(I644:O644)</f>
        <v>0</v>
      </c>
      <c r="R644">
        <f t="shared" ca="1" si="334"/>
        <v>641</v>
      </c>
      <c r="S644" s="78">
        <f t="shared" ca="1" si="335"/>
        <v>113.2</v>
      </c>
      <c r="T644" s="55">
        <f t="shared" ca="1" si="336"/>
        <v>0</v>
      </c>
      <c r="U644" s="78">
        <f t="shared" ca="1" si="337"/>
        <v>2.4366954920664725E-5</v>
      </c>
      <c r="V644" s="79">
        <f t="shared" ca="1" si="338"/>
        <v>0</v>
      </c>
      <c r="W644" s="79">
        <f t="shared" ref="W644:W707" ca="1" si="349">(V644)*$AU644</f>
        <v>0</v>
      </c>
      <c r="X644" s="80">
        <f t="shared" ref="X644:X707" ca="1" si="350">IF(V644=0,0,-$C$19)*U644</f>
        <v>0</v>
      </c>
      <c r="Y644" s="80">
        <f t="shared" ca="1" si="339"/>
        <v>0</v>
      </c>
      <c r="Z644" s="80">
        <f t="shared" ref="Z644:Z707" ca="1" si="351">-IF(MOD(R644-1,12)=0,1,0)*V644*($C$17)</f>
        <v>0</v>
      </c>
      <c r="AA644" s="80">
        <f t="shared" ca="1" si="340"/>
        <v>0</v>
      </c>
      <c r="AB644" s="81">
        <f t="shared" ref="AB644:AB707" ca="1" si="352">-MIN(IF(MOD(R644,IF($C$5="Annual",12,1))=0,1,0)*$C$33*U644/IF($C$5="Monthly",12,1),V644)</f>
        <v>0</v>
      </c>
      <c r="AC644" s="79">
        <f t="shared" ref="AC644:AC707" ca="1" si="353">SUM(V644:AB644)</f>
        <v>0</v>
      </c>
      <c r="AE644" s="35"/>
      <c r="AF644" s="35"/>
      <c r="AR644" s="69">
        <f t="shared" si="341"/>
        <v>54</v>
      </c>
      <c r="AS644" s="70">
        <f t="shared" si="344"/>
        <v>641</v>
      </c>
      <c r="AT644" s="71">
        <f t="shared" si="345"/>
        <v>1.2431034230557454E-2</v>
      </c>
      <c r="AU644" s="72">
        <f t="shared" ref="AU644:AU707" si="354">((1+$AH$21)^(1/12))-1</f>
        <v>6.8214933659622723E-3</v>
      </c>
      <c r="AV644" s="73">
        <f t="shared" si="342"/>
        <v>1.0068214933659623</v>
      </c>
      <c r="AW644" s="74">
        <f>PRODUCT(AV$4:AV644)</f>
        <v>78.079768082478864</v>
      </c>
    </row>
    <row r="645" spans="5:49">
      <c r="E645">
        <f t="shared" si="343"/>
        <v>642</v>
      </c>
      <c r="F645" s="64">
        <f t="shared" ref="F645:F708" si="355">ROUND((E645-E644)/12+F644,2)</f>
        <v>113.28</v>
      </c>
      <c r="G645" s="55">
        <f t="shared" ref="G645:G708" si="356">(1-(1-IF(F645&gt;$AJ$90,0,VLOOKUP(ROUND(F645,0),$AJ$4:$AK$90,2,FALSE)))^(1/12))</f>
        <v>0</v>
      </c>
      <c r="H645" s="78">
        <f t="shared" si="346"/>
        <v>2.4366954920664725E-5</v>
      </c>
      <c r="I645" s="79">
        <f t="shared" ref="I645:I708" ca="1" si="357">MAX(P644,0)*(1-G645)</f>
        <v>0</v>
      </c>
      <c r="J645" s="79">
        <f t="shared" ref="J645:J708" ca="1" si="358">(I645)*$AU645</f>
        <v>0</v>
      </c>
      <c r="K645" s="80">
        <f t="shared" ref="K645:K708" ca="1" si="359">IF(I645=0,0,-$C$19)*H645</f>
        <v>0</v>
      </c>
      <c r="L645" s="80">
        <f t="shared" ref="L645:L708" ca="1" si="360">IF(OR(I644+O644=0,K644=0),0,-I645*($C$16/12))</f>
        <v>0</v>
      </c>
      <c r="M645" s="80">
        <f t="shared" ref="M645:M708" ca="1" si="361">IF(OR(I644+O644=0,K644=0),0,-IF(MOD(E645-1,12)=0,1,0)*I645*($C$17))</f>
        <v>0</v>
      </c>
      <c r="N645" s="80">
        <f t="shared" ref="N645:N708" ca="1" si="362">IF(OR(I644+O644=0,K644=0),0,-I645*($C$18*(1+$C$20))/12)</f>
        <v>0</v>
      </c>
      <c r="O645" s="81">
        <f t="shared" ca="1" si="347"/>
        <v>0</v>
      </c>
      <c r="P645" s="79">
        <f t="shared" ca="1" si="348"/>
        <v>0</v>
      </c>
      <c r="R645">
        <f t="shared" ref="R645:R708" ca="1" si="363">R644+1</f>
        <v>642</v>
      </c>
      <c r="S645" s="78">
        <f t="shared" ref="S645:S708" ca="1" si="364">ROUND((R645-R644)/12+S644,2)</f>
        <v>113.28</v>
      </c>
      <c r="T645" s="55">
        <f t="shared" ref="T645:T708" ca="1" si="365">(1-(1-IF(S645&gt;$AJ$90,0,VLOOKUP(ROUND(S645,0),$AJ$4:$AK$90,2,FALSE)))^(1/12))</f>
        <v>0</v>
      </c>
      <c r="U645" s="78">
        <f t="shared" ref="U645:U708" ca="1" si="366">U644*(1-T645)</f>
        <v>2.4366954920664725E-5</v>
      </c>
      <c r="V645" s="79">
        <f t="shared" ref="V645:V708" ca="1" si="367">MAX(AC644,0)*(1-T645)</f>
        <v>0</v>
      </c>
      <c r="W645" s="79">
        <f t="shared" ca="1" si="349"/>
        <v>0</v>
      </c>
      <c r="X645" s="80">
        <f t="shared" ca="1" si="350"/>
        <v>0</v>
      </c>
      <c r="Y645" s="80">
        <f t="shared" ref="Y645:Y708" ca="1" si="368">IF(OR(V644+AB644=0,X644=0),0,-V645*($C$16/12))</f>
        <v>0</v>
      </c>
      <c r="Z645" s="80">
        <f t="shared" ca="1" si="351"/>
        <v>0</v>
      </c>
      <c r="AA645" s="80">
        <f t="shared" ref="AA645:AA708" ca="1" si="369">IF(OR(V644+AB644=0,X644=0),0,-V645*($C$18*(1+$C$20))/12)</f>
        <v>0</v>
      </c>
      <c r="AB645" s="81">
        <f t="shared" ca="1" si="352"/>
        <v>0</v>
      </c>
      <c r="AC645" s="79">
        <f t="shared" ca="1" si="353"/>
        <v>0</v>
      </c>
      <c r="AE645" s="35"/>
      <c r="AF645" s="35"/>
      <c r="AR645" s="69">
        <f t="shared" ref="AR645:AR708" si="370">ROUNDDOWN((AS645-1)/12,0)+1</f>
        <v>54</v>
      </c>
      <c r="AS645" s="70">
        <f t="shared" si="344"/>
        <v>642</v>
      </c>
      <c r="AT645" s="71">
        <f t="shared" si="345"/>
        <v>1.2346236013021657E-2</v>
      </c>
      <c r="AU645" s="72">
        <f t="shared" si="354"/>
        <v>6.8214933659622723E-3</v>
      </c>
      <c r="AV645" s="73">
        <f t="shared" ref="AV645:AV708" si="371">(1+AU645)</f>
        <v>1.0068214933659623</v>
      </c>
      <c r="AW645" s="74">
        <f>PRODUCT(AV$4:AV645)</f>
        <v>78.61238870246936</v>
      </c>
    </row>
    <row r="646" spans="5:49">
      <c r="E646">
        <f t="shared" ref="E646:E709" si="372">E645+1</f>
        <v>643</v>
      </c>
      <c r="F646" s="64">
        <f t="shared" si="355"/>
        <v>113.36</v>
      </c>
      <c r="G646" s="55">
        <f t="shared" si="356"/>
        <v>0</v>
      </c>
      <c r="H646" s="78">
        <f t="shared" si="346"/>
        <v>2.4366954920664725E-5</v>
      </c>
      <c r="I646" s="79">
        <f t="shared" ca="1" si="357"/>
        <v>0</v>
      </c>
      <c r="J646" s="79">
        <f t="shared" ca="1" si="358"/>
        <v>0</v>
      </c>
      <c r="K646" s="80">
        <f t="shared" ca="1" si="359"/>
        <v>0</v>
      </c>
      <c r="L646" s="80">
        <f t="shared" ca="1" si="360"/>
        <v>0</v>
      </c>
      <c r="M646" s="80">
        <f t="shared" ca="1" si="361"/>
        <v>0</v>
      </c>
      <c r="N646" s="80">
        <f t="shared" ca="1" si="362"/>
        <v>0</v>
      </c>
      <c r="O646" s="81">
        <f t="shared" ca="1" si="347"/>
        <v>0</v>
      </c>
      <c r="P646" s="79">
        <f t="shared" ca="1" si="348"/>
        <v>0</v>
      </c>
      <c r="R646">
        <f t="shared" ca="1" si="363"/>
        <v>643</v>
      </c>
      <c r="S646" s="78">
        <f t="shared" ca="1" si="364"/>
        <v>113.36</v>
      </c>
      <c r="T646" s="55">
        <f t="shared" ca="1" si="365"/>
        <v>0</v>
      </c>
      <c r="U646" s="78">
        <f t="shared" ca="1" si="366"/>
        <v>2.4366954920664725E-5</v>
      </c>
      <c r="V646" s="79">
        <f t="shared" ca="1" si="367"/>
        <v>0</v>
      </c>
      <c r="W646" s="79">
        <f t="shared" ca="1" si="349"/>
        <v>0</v>
      </c>
      <c r="X646" s="80">
        <f t="shared" ca="1" si="350"/>
        <v>0</v>
      </c>
      <c r="Y646" s="80">
        <f t="shared" ca="1" si="368"/>
        <v>0</v>
      </c>
      <c r="Z646" s="80">
        <f t="shared" ca="1" si="351"/>
        <v>0</v>
      </c>
      <c r="AA646" s="80">
        <f t="shared" ca="1" si="369"/>
        <v>0</v>
      </c>
      <c r="AB646" s="81">
        <f t="shared" ca="1" si="352"/>
        <v>0</v>
      </c>
      <c r="AC646" s="79">
        <f t="shared" ca="1" si="353"/>
        <v>0</v>
      </c>
      <c r="AE646" s="35"/>
      <c r="AF646" s="35"/>
      <c r="AR646" s="69">
        <f t="shared" si="370"/>
        <v>54</v>
      </c>
      <c r="AS646" s="70">
        <f t="shared" ref="AS646:AS709" si="373">AS645+1</f>
        <v>643</v>
      </c>
      <c r="AT646" s="71">
        <f t="shared" ref="AT646:AT709" si="374">(1-AU646)*AT645</f>
        <v>1.2262016245964225E-2</v>
      </c>
      <c r="AU646" s="72">
        <f t="shared" si="354"/>
        <v>6.8214933659622723E-3</v>
      </c>
      <c r="AV646" s="73">
        <f t="shared" si="371"/>
        <v>1.0068214933659623</v>
      </c>
      <c r="AW646" s="74">
        <f>PRODUCT(AV$4:AV646)</f>
        <v>79.148642590485707</v>
      </c>
    </row>
    <row r="647" spans="5:49">
      <c r="E647">
        <f t="shared" si="372"/>
        <v>644</v>
      </c>
      <c r="F647" s="64">
        <f t="shared" si="355"/>
        <v>113.44</v>
      </c>
      <c r="G647" s="55">
        <f t="shared" si="356"/>
        <v>0</v>
      </c>
      <c r="H647" s="78">
        <f t="shared" ref="H647:H710" si="375">H646*(1-G647)</f>
        <v>2.4366954920664725E-5</v>
      </c>
      <c r="I647" s="79">
        <f t="shared" ca="1" si="357"/>
        <v>0</v>
      </c>
      <c r="J647" s="79">
        <f t="shared" ca="1" si="358"/>
        <v>0</v>
      </c>
      <c r="K647" s="80">
        <f t="shared" ca="1" si="359"/>
        <v>0</v>
      </c>
      <c r="L647" s="80">
        <f t="shared" ca="1" si="360"/>
        <v>0</v>
      </c>
      <c r="M647" s="80">
        <f t="shared" ca="1" si="361"/>
        <v>0</v>
      </c>
      <c r="N647" s="80">
        <f t="shared" ca="1" si="362"/>
        <v>0</v>
      </c>
      <c r="O647" s="81">
        <f t="shared" ca="1" si="347"/>
        <v>0</v>
      </c>
      <c r="P647" s="79">
        <f t="shared" ca="1" si="348"/>
        <v>0</v>
      </c>
      <c r="R647">
        <f t="shared" ca="1" si="363"/>
        <v>644</v>
      </c>
      <c r="S647" s="78">
        <f t="shared" ca="1" si="364"/>
        <v>113.44</v>
      </c>
      <c r="T647" s="55">
        <f t="shared" ca="1" si="365"/>
        <v>0</v>
      </c>
      <c r="U647" s="78">
        <f t="shared" ca="1" si="366"/>
        <v>2.4366954920664725E-5</v>
      </c>
      <c r="V647" s="79">
        <f t="shared" ca="1" si="367"/>
        <v>0</v>
      </c>
      <c r="W647" s="79">
        <f t="shared" ca="1" si="349"/>
        <v>0</v>
      </c>
      <c r="X647" s="80">
        <f t="shared" ca="1" si="350"/>
        <v>0</v>
      </c>
      <c r="Y647" s="80">
        <f t="shared" ca="1" si="368"/>
        <v>0</v>
      </c>
      <c r="Z647" s="80">
        <f t="shared" ca="1" si="351"/>
        <v>0</v>
      </c>
      <c r="AA647" s="80">
        <f t="shared" ca="1" si="369"/>
        <v>0</v>
      </c>
      <c r="AB647" s="81">
        <f t="shared" ca="1" si="352"/>
        <v>0</v>
      </c>
      <c r="AC647" s="79">
        <f t="shared" ca="1" si="353"/>
        <v>0</v>
      </c>
      <c r="AE647" s="35"/>
      <c r="AF647" s="35"/>
      <c r="AR647" s="69">
        <f t="shared" si="370"/>
        <v>54</v>
      </c>
      <c r="AS647" s="70">
        <f t="shared" si="373"/>
        <v>644</v>
      </c>
      <c r="AT647" s="71">
        <f t="shared" si="374"/>
        <v>1.2178370983489058E-2</v>
      </c>
      <c r="AU647" s="72">
        <f t="shared" si="354"/>
        <v>6.8214933659622723E-3</v>
      </c>
      <c r="AV647" s="73">
        <f t="shared" si="371"/>
        <v>1.0068214933659623</v>
      </c>
      <c r="AW647" s="74">
        <f>PRODUCT(AV$4:AV647)</f>
        <v>79.688554530841628</v>
      </c>
    </row>
    <row r="648" spans="5:49">
      <c r="E648">
        <f t="shared" si="372"/>
        <v>645</v>
      </c>
      <c r="F648" s="64">
        <f t="shared" si="355"/>
        <v>113.52</v>
      </c>
      <c r="G648" s="55">
        <f t="shared" si="356"/>
        <v>0</v>
      </c>
      <c r="H648" s="78">
        <f t="shared" si="375"/>
        <v>2.4366954920664725E-5</v>
      </c>
      <c r="I648" s="79">
        <f t="shared" ca="1" si="357"/>
        <v>0</v>
      </c>
      <c r="J648" s="79">
        <f t="shared" ca="1" si="358"/>
        <v>0</v>
      </c>
      <c r="K648" s="80">
        <f t="shared" ca="1" si="359"/>
        <v>0</v>
      </c>
      <c r="L648" s="80">
        <f t="shared" ca="1" si="360"/>
        <v>0</v>
      </c>
      <c r="M648" s="80">
        <f t="shared" ca="1" si="361"/>
        <v>0</v>
      </c>
      <c r="N648" s="80">
        <f t="shared" ca="1" si="362"/>
        <v>0</v>
      </c>
      <c r="O648" s="81">
        <f t="shared" ca="1" si="347"/>
        <v>0</v>
      </c>
      <c r="P648" s="79">
        <f t="shared" ca="1" si="348"/>
        <v>0</v>
      </c>
      <c r="R648">
        <f t="shared" ca="1" si="363"/>
        <v>645</v>
      </c>
      <c r="S648" s="78">
        <f t="shared" ca="1" si="364"/>
        <v>113.52</v>
      </c>
      <c r="T648" s="55">
        <f t="shared" ca="1" si="365"/>
        <v>0</v>
      </c>
      <c r="U648" s="78">
        <f t="shared" ca="1" si="366"/>
        <v>2.4366954920664725E-5</v>
      </c>
      <c r="V648" s="79">
        <f t="shared" ca="1" si="367"/>
        <v>0</v>
      </c>
      <c r="W648" s="79">
        <f t="shared" ca="1" si="349"/>
        <v>0</v>
      </c>
      <c r="X648" s="80">
        <f t="shared" ca="1" si="350"/>
        <v>0</v>
      </c>
      <c r="Y648" s="80">
        <f t="shared" ca="1" si="368"/>
        <v>0</v>
      </c>
      <c r="Z648" s="80">
        <f t="shared" ca="1" si="351"/>
        <v>0</v>
      </c>
      <c r="AA648" s="80">
        <f t="shared" ca="1" si="369"/>
        <v>0</v>
      </c>
      <c r="AB648" s="81">
        <f t="shared" ca="1" si="352"/>
        <v>0</v>
      </c>
      <c r="AC648" s="79">
        <f t="shared" ca="1" si="353"/>
        <v>0</v>
      </c>
      <c r="AE648" s="35"/>
      <c r="AF648" s="35"/>
      <c r="AR648" s="69">
        <f t="shared" si="370"/>
        <v>54</v>
      </c>
      <c r="AS648" s="70">
        <f t="shared" si="373"/>
        <v>645</v>
      </c>
      <c r="AT648" s="71">
        <f t="shared" si="374"/>
        <v>1.2095296306616961E-2</v>
      </c>
      <c r="AU648" s="72">
        <f t="shared" si="354"/>
        <v>6.8214933659622723E-3</v>
      </c>
      <c r="AV648" s="73">
        <f t="shared" si="371"/>
        <v>1.0068214933659623</v>
      </c>
      <c r="AW648" s="74">
        <f>PRODUCT(AV$4:AV648)</f>
        <v>80.232149476916888</v>
      </c>
    </row>
    <row r="649" spans="5:49">
      <c r="E649">
        <f t="shared" si="372"/>
        <v>646</v>
      </c>
      <c r="F649" s="64">
        <f t="shared" si="355"/>
        <v>113.6</v>
      </c>
      <c r="G649" s="55">
        <f t="shared" si="356"/>
        <v>0</v>
      </c>
      <c r="H649" s="78">
        <f t="shared" si="375"/>
        <v>2.4366954920664725E-5</v>
      </c>
      <c r="I649" s="79">
        <f t="shared" ca="1" si="357"/>
        <v>0</v>
      </c>
      <c r="J649" s="79">
        <f t="shared" ca="1" si="358"/>
        <v>0</v>
      </c>
      <c r="K649" s="80">
        <f t="shared" ca="1" si="359"/>
        <v>0</v>
      </c>
      <c r="L649" s="80">
        <f t="shared" ca="1" si="360"/>
        <v>0</v>
      </c>
      <c r="M649" s="80">
        <f t="shared" ca="1" si="361"/>
        <v>0</v>
      </c>
      <c r="N649" s="80">
        <f t="shared" ca="1" si="362"/>
        <v>0</v>
      </c>
      <c r="O649" s="81">
        <f t="shared" ca="1" si="347"/>
        <v>0</v>
      </c>
      <c r="P649" s="79">
        <f t="shared" ca="1" si="348"/>
        <v>0</v>
      </c>
      <c r="R649">
        <f t="shared" ca="1" si="363"/>
        <v>646</v>
      </c>
      <c r="S649" s="78">
        <f t="shared" ca="1" si="364"/>
        <v>113.6</v>
      </c>
      <c r="T649" s="55">
        <f t="shared" ca="1" si="365"/>
        <v>0</v>
      </c>
      <c r="U649" s="78">
        <f t="shared" ca="1" si="366"/>
        <v>2.4366954920664725E-5</v>
      </c>
      <c r="V649" s="79">
        <f t="shared" ca="1" si="367"/>
        <v>0</v>
      </c>
      <c r="W649" s="79">
        <f t="shared" ca="1" si="349"/>
        <v>0</v>
      </c>
      <c r="X649" s="80">
        <f t="shared" ca="1" si="350"/>
        <v>0</v>
      </c>
      <c r="Y649" s="80">
        <f t="shared" ca="1" si="368"/>
        <v>0</v>
      </c>
      <c r="Z649" s="80">
        <f t="shared" ca="1" si="351"/>
        <v>0</v>
      </c>
      <c r="AA649" s="80">
        <f t="shared" ca="1" si="369"/>
        <v>0</v>
      </c>
      <c r="AB649" s="81">
        <f t="shared" ca="1" si="352"/>
        <v>0</v>
      </c>
      <c r="AC649" s="79">
        <f t="shared" ca="1" si="353"/>
        <v>0</v>
      </c>
      <c r="AE649" s="35"/>
      <c r="AF649" s="35"/>
      <c r="AR649" s="69">
        <f t="shared" si="370"/>
        <v>54</v>
      </c>
      <c r="AS649" s="70">
        <f t="shared" si="373"/>
        <v>646</v>
      </c>
      <c r="AT649" s="71">
        <f t="shared" si="374"/>
        <v>1.2012788323102026E-2</v>
      </c>
      <c r="AU649" s="72">
        <f t="shared" si="354"/>
        <v>6.8214933659622723E-3</v>
      </c>
      <c r="AV649" s="73">
        <f t="shared" si="371"/>
        <v>1.0068214933659623</v>
      </c>
      <c r="AW649" s="74">
        <f>PRODUCT(AV$4:AV649)</f>
        <v>80.779452552310573</v>
      </c>
    </row>
    <row r="650" spans="5:49">
      <c r="E650">
        <f t="shared" si="372"/>
        <v>647</v>
      </c>
      <c r="F650" s="64">
        <f t="shared" si="355"/>
        <v>113.68</v>
      </c>
      <c r="G650" s="55">
        <f t="shared" si="356"/>
        <v>0</v>
      </c>
      <c r="H650" s="78">
        <f t="shared" si="375"/>
        <v>2.4366954920664725E-5</v>
      </c>
      <c r="I650" s="79">
        <f t="shared" ca="1" si="357"/>
        <v>0</v>
      </c>
      <c r="J650" s="79">
        <f t="shared" ca="1" si="358"/>
        <v>0</v>
      </c>
      <c r="K650" s="80">
        <f t="shared" ca="1" si="359"/>
        <v>0</v>
      </c>
      <c r="L650" s="80">
        <f t="shared" ca="1" si="360"/>
        <v>0</v>
      </c>
      <c r="M650" s="80">
        <f t="shared" ca="1" si="361"/>
        <v>0</v>
      </c>
      <c r="N650" s="80">
        <f t="shared" ca="1" si="362"/>
        <v>0</v>
      </c>
      <c r="O650" s="81">
        <f t="shared" ca="1" si="347"/>
        <v>0</v>
      </c>
      <c r="P650" s="79">
        <f t="shared" ca="1" si="348"/>
        <v>0</v>
      </c>
      <c r="R650">
        <f t="shared" ca="1" si="363"/>
        <v>647</v>
      </c>
      <c r="S650" s="78">
        <f t="shared" ca="1" si="364"/>
        <v>113.68</v>
      </c>
      <c r="T650" s="55">
        <f t="shared" ca="1" si="365"/>
        <v>0</v>
      </c>
      <c r="U650" s="78">
        <f t="shared" ca="1" si="366"/>
        <v>2.4366954920664725E-5</v>
      </c>
      <c r="V650" s="79">
        <f t="shared" ca="1" si="367"/>
        <v>0</v>
      </c>
      <c r="W650" s="79">
        <f t="shared" ca="1" si="349"/>
        <v>0</v>
      </c>
      <c r="X650" s="80">
        <f t="shared" ca="1" si="350"/>
        <v>0</v>
      </c>
      <c r="Y650" s="80">
        <f t="shared" ca="1" si="368"/>
        <v>0</v>
      </c>
      <c r="Z650" s="80">
        <f t="shared" ca="1" si="351"/>
        <v>0</v>
      </c>
      <c r="AA650" s="80">
        <f t="shared" ca="1" si="369"/>
        <v>0</v>
      </c>
      <c r="AB650" s="81">
        <f t="shared" ca="1" si="352"/>
        <v>0</v>
      </c>
      <c r="AC650" s="79">
        <f t="shared" ca="1" si="353"/>
        <v>0</v>
      </c>
      <c r="AE650" s="35"/>
      <c r="AF650" s="35"/>
      <c r="AR650" s="69">
        <f t="shared" si="370"/>
        <v>54</v>
      </c>
      <c r="AS650" s="70">
        <f t="shared" si="373"/>
        <v>647</v>
      </c>
      <c r="AT650" s="71">
        <f t="shared" si="374"/>
        <v>1.1930843167249277E-2</v>
      </c>
      <c r="AU650" s="72">
        <f t="shared" si="354"/>
        <v>6.8214933659622723E-3</v>
      </c>
      <c r="AV650" s="73">
        <f t="shared" si="371"/>
        <v>1.0068214933659623</v>
      </c>
      <c r="AW650" s="74">
        <f>PRODUCT(AV$4:AV650)</f>
        <v>81.330489052002221</v>
      </c>
    </row>
    <row r="651" spans="5:49">
      <c r="E651">
        <f t="shared" si="372"/>
        <v>648</v>
      </c>
      <c r="F651" s="64">
        <f t="shared" si="355"/>
        <v>113.76</v>
      </c>
      <c r="G651" s="55">
        <f t="shared" si="356"/>
        <v>0</v>
      </c>
      <c r="H651" s="78">
        <f t="shared" si="375"/>
        <v>2.4366954920664725E-5</v>
      </c>
      <c r="I651" s="79">
        <f t="shared" ca="1" si="357"/>
        <v>0</v>
      </c>
      <c r="J651" s="79">
        <f t="shared" ca="1" si="358"/>
        <v>0</v>
      </c>
      <c r="K651" s="80">
        <f t="shared" ca="1" si="359"/>
        <v>0</v>
      </c>
      <c r="L651" s="80">
        <f t="shared" ca="1" si="360"/>
        <v>0</v>
      </c>
      <c r="M651" s="80">
        <f t="shared" ca="1" si="361"/>
        <v>0</v>
      </c>
      <c r="N651" s="80">
        <f t="shared" ca="1" si="362"/>
        <v>0</v>
      </c>
      <c r="O651" s="81">
        <f t="shared" ca="1" si="347"/>
        <v>0</v>
      </c>
      <c r="P651" s="79">
        <f t="shared" ca="1" si="348"/>
        <v>0</v>
      </c>
      <c r="R651">
        <f t="shared" ca="1" si="363"/>
        <v>648</v>
      </c>
      <c r="S651" s="78">
        <f t="shared" ca="1" si="364"/>
        <v>113.76</v>
      </c>
      <c r="T651" s="55">
        <f t="shared" ca="1" si="365"/>
        <v>0</v>
      </c>
      <c r="U651" s="78">
        <f t="shared" ca="1" si="366"/>
        <v>2.4366954920664725E-5</v>
      </c>
      <c r="V651" s="79">
        <f t="shared" ca="1" si="367"/>
        <v>0</v>
      </c>
      <c r="W651" s="79">
        <f t="shared" ca="1" si="349"/>
        <v>0</v>
      </c>
      <c r="X651" s="80">
        <f t="shared" ca="1" si="350"/>
        <v>0</v>
      </c>
      <c r="Y651" s="80">
        <f t="shared" ca="1" si="368"/>
        <v>0</v>
      </c>
      <c r="Z651" s="80">
        <f t="shared" ca="1" si="351"/>
        <v>0</v>
      </c>
      <c r="AA651" s="80">
        <f t="shared" ca="1" si="369"/>
        <v>0</v>
      </c>
      <c r="AB651" s="81">
        <f t="shared" ca="1" si="352"/>
        <v>0</v>
      </c>
      <c r="AC651" s="79">
        <f t="shared" ca="1" si="353"/>
        <v>0</v>
      </c>
      <c r="AE651" s="35"/>
      <c r="AF651" s="35"/>
      <c r="AR651" s="69">
        <f t="shared" si="370"/>
        <v>54</v>
      </c>
      <c r="AS651" s="70">
        <f t="shared" si="373"/>
        <v>648</v>
      </c>
      <c r="AT651" s="71">
        <f t="shared" si="374"/>
        <v>1.1849456999733549E-2</v>
      </c>
      <c r="AU651" s="72">
        <f t="shared" si="354"/>
        <v>6.8214933659622723E-3</v>
      </c>
      <c r="AV651" s="73">
        <f t="shared" si="371"/>
        <v>1.0068214933659623</v>
      </c>
      <c r="AW651" s="74">
        <f>PRODUCT(AV$4:AV651)</f>
        <v>81.885284443520916</v>
      </c>
    </row>
    <row r="652" spans="5:49">
      <c r="E652">
        <f t="shared" si="372"/>
        <v>649</v>
      </c>
      <c r="F652" s="64">
        <f t="shared" si="355"/>
        <v>113.84</v>
      </c>
      <c r="G652" s="55">
        <f t="shared" si="356"/>
        <v>0</v>
      </c>
      <c r="H652" s="78">
        <f t="shared" si="375"/>
        <v>2.4366954920664725E-5</v>
      </c>
      <c r="I652" s="79">
        <f t="shared" ca="1" si="357"/>
        <v>0</v>
      </c>
      <c r="J652" s="79">
        <f t="shared" ca="1" si="358"/>
        <v>0</v>
      </c>
      <c r="K652" s="80">
        <f t="shared" ca="1" si="359"/>
        <v>0</v>
      </c>
      <c r="L652" s="80">
        <f t="shared" ca="1" si="360"/>
        <v>0</v>
      </c>
      <c r="M652" s="80">
        <f t="shared" ca="1" si="361"/>
        <v>0</v>
      </c>
      <c r="N652" s="80">
        <f t="shared" ca="1" si="362"/>
        <v>0</v>
      </c>
      <c r="O652" s="81">
        <f t="shared" ca="1" si="347"/>
        <v>0</v>
      </c>
      <c r="P652" s="79">
        <f t="shared" ca="1" si="348"/>
        <v>0</v>
      </c>
      <c r="R652">
        <f t="shared" ca="1" si="363"/>
        <v>649</v>
      </c>
      <c r="S652" s="78">
        <f t="shared" ca="1" si="364"/>
        <v>113.84</v>
      </c>
      <c r="T652" s="55">
        <f t="shared" ca="1" si="365"/>
        <v>0</v>
      </c>
      <c r="U652" s="78">
        <f t="shared" ca="1" si="366"/>
        <v>2.4366954920664725E-5</v>
      </c>
      <c r="V652" s="79">
        <f t="shared" ca="1" si="367"/>
        <v>0</v>
      </c>
      <c r="W652" s="79">
        <f t="shared" ca="1" si="349"/>
        <v>0</v>
      </c>
      <c r="X652" s="80">
        <f t="shared" ca="1" si="350"/>
        <v>0</v>
      </c>
      <c r="Y652" s="80">
        <f t="shared" ca="1" si="368"/>
        <v>0</v>
      </c>
      <c r="Z652" s="80">
        <f t="shared" ca="1" si="351"/>
        <v>0</v>
      </c>
      <c r="AA652" s="80">
        <f t="shared" ca="1" si="369"/>
        <v>0</v>
      </c>
      <c r="AB652" s="81">
        <f t="shared" ca="1" si="352"/>
        <v>0</v>
      </c>
      <c r="AC652" s="79">
        <f t="shared" ca="1" si="353"/>
        <v>0</v>
      </c>
      <c r="AE652" s="35"/>
      <c r="AF652" s="35"/>
      <c r="AR652" s="69">
        <f t="shared" si="370"/>
        <v>55</v>
      </c>
      <c r="AS652" s="70">
        <f t="shared" si="373"/>
        <v>649</v>
      </c>
      <c r="AT652" s="71">
        <f t="shared" si="374"/>
        <v>1.1768626007419611E-2</v>
      </c>
      <c r="AU652" s="72">
        <f t="shared" si="354"/>
        <v>6.8214933659622723E-3</v>
      </c>
      <c r="AV652" s="73">
        <f t="shared" si="371"/>
        <v>1.0068214933659623</v>
      </c>
      <c r="AW652" s="74">
        <f>PRODUCT(AV$4:AV652)</f>
        <v>82.443864368122334</v>
      </c>
    </row>
    <row r="653" spans="5:49">
      <c r="E653">
        <f t="shared" si="372"/>
        <v>650</v>
      </c>
      <c r="F653" s="64">
        <f t="shared" si="355"/>
        <v>113.92</v>
      </c>
      <c r="G653" s="55">
        <f t="shared" si="356"/>
        <v>0</v>
      </c>
      <c r="H653" s="78">
        <f t="shared" si="375"/>
        <v>2.4366954920664725E-5</v>
      </c>
      <c r="I653" s="79">
        <f t="shared" ca="1" si="357"/>
        <v>0</v>
      </c>
      <c r="J653" s="79">
        <f t="shared" ca="1" si="358"/>
        <v>0</v>
      </c>
      <c r="K653" s="80">
        <f t="shared" ca="1" si="359"/>
        <v>0</v>
      </c>
      <c r="L653" s="80">
        <f t="shared" ca="1" si="360"/>
        <v>0</v>
      </c>
      <c r="M653" s="80">
        <f t="shared" ca="1" si="361"/>
        <v>0</v>
      </c>
      <c r="N653" s="80">
        <f t="shared" ca="1" si="362"/>
        <v>0</v>
      </c>
      <c r="O653" s="81">
        <f t="shared" ca="1" si="347"/>
        <v>0</v>
      </c>
      <c r="P653" s="79">
        <f t="shared" ca="1" si="348"/>
        <v>0</v>
      </c>
      <c r="R653">
        <f t="shared" ca="1" si="363"/>
        <v>650</v>
      </c>
      <c r="S653" s="78">
        <f t="shared" ca="1" si="364"/>
        <v>113.92</v>
      </c>
      <c r="T653" s="55">
        <f t="shared" ca="1" si="365"/>
        <v>0</v>
      </c>
      <c r="U653" s="78">
        <f t="shared" ca="1" si="366"/>
        <v>2.4366954920664725E-5</v>
      </c>
      <c r="V653" s="79">
        <f t="shared" ca="1" si="367"/>
        <v>0</v>
      </c>
      <c r="W653" s="79">
        <f t="shared" ca="1" si="349"/>
        <v>0</v>
      </c>
      <c r="X653" s="80">
        <f t="shared" ca="1" si="350"/>
        <v>0</v>
      </c>
      <c r="Y653" s="80">
        <f t="shared" ca="1" si="368"/>
        <v>0</v>
      </c>
      <c r="Z653" s="80">
        <f t="shared" ca="1" si="351"/>
        <v>0</v>
      </c>
      <c r="AA653" s="80">
        <f t="shared" ca="1" si="369"/>
        <v>0</v>
      </c>
      <c r="AB653" s="81">
        <f t="shared" ca="1" si="352"/>
        <v>0</v>
      </c>
      <c r="AC653" s="79">
        <f t="shared" ca="1" si="353"/>
        <v>0</v>
      </c>
      <c r="AE653" s="35"/>
      <c r="AF653" s="35"/>
      <c r="AR653" s="69">
        <f t="shared" si="370"/>
        <v>55</v>
      </c>
      <c r="AS653" s="70">
        <f t="shared" si="373"/>
        <v>650</v>
      </c>
      <c r="AT653" s="71">
        <f t="shared" si="374"/>
        <v>1.1688346403183506E-2</v>
      </c>
      <c r="AU653" s="72">
        <f t="shared" si="354"/>
        <v>6.8214933659622723E-3</v>
      </c>
      <c r="AV653" s="73">
        <f t="shared" si="371"/>
        <v>1.0068214933659623</v>
      </c>
      <c r="AW653" s="74">
        <f>PRODUCT(AV$4:AV653)</f>
        <v>83.006254641973769</v>
      </c>
    </row>
    <row r="654" spans="5:49">
      <c r="E654">
        <f t="shared" si="372"/>
        <v>651</v>
      </c>
      <c r="F654" s="64">
        <f t="shared" si="355"/>
        <v>114</v>
      </c>
      <c r="G654" s="55">
        <f t="shared" si="356"/>
        <v>0</v>
      </c>
      <c r="H654" s="78">
        <f t="shared" si="375"/>
        <v>2.4366954920664725E-5</v>
      </c>
      <c r="I654" s="79">
        <f t="shared" ca="1" si="357"/>
        <v>0</v>
      </c>
      <c r="J654" s="79">
        <f t="shared" ca="1" si="358"/>
        <v>0</v>
      </c>
      <c r="K654" s="80">
        <f t="shared" ca="1" si="359"/>
        <v>0</v>
      </c>
      <c r="L654" s="80">
        <f t="shared" ca="1" si="360"/>
        <v>0</v>
      </c>
      <c r="M654" s="80">
        <f t="shared" ca="1" si="361"/>
        <v>0</v>
      </c>
      <c r="N654" s="80">
        <f t="shared" ca="1" si="362"/>
        <v>0</v>
      </c>
      <c r="O654" s="81">
        <f t="shared" ca="1" si="347"/>
        <v>0</v>
      </c>
      <c r="P654" s="79">
        <f t="shared" ca="1" si="348"/>
        <v>0</v>
      </c>
      <c r="R654">
        <f t="shared" ca="1" si="363"/>
        <v>651</v>
      </c>
      <c r="S654" s="78">
        <f t="shared" ca="1" si="364"/>
        <v>114</v>
      </c>
      <c r="T654" s="55">
        <f t="shared" ca="1" si="365"/>
        <v>0</v>
      </c>
      <c r="U654" s="78">
        <f t="shared" ca="1" si="366"/>
        <v>2.4366954920664725E-5</v>
      </c>
      <c r="V654" s="79">
        <f t="shared" ca="1" si="367"/>
        <v>0</v>
      </c>
      <c r="W654" s="79">
        <f t="shared" ca="1" si="349"/>
        <v>0</v>
      </c>
      <c r="X654" s="80">
        <f t="shared" ca="1" si="350"/>
        <v>0</v>
      </c>
      <c r="Y654" s="80">
        <f t="shared" ca="1" si="368"/>
        <v>0</v>
      </c>
      <c r="Z654" s="80">
        <f t="shared" ca="1" si="351"/>
        <v>0</v>
      </c>
      <c r="AA654" s="80">
        <f t="shared" ca="1" si="369"/>
        <v>0</v>
      </c>
      <c r="AB654" s="81">
        <f t="shared" ca="1" si="352"/>
        <v>0</v>
      </c>
      <c r="AC654" s="79">
        <f t="shared" ca="1" si="353"/>
        <v>0</v>
      </c>
      <c r="AE654" s="35"/>
      <c r="AF654" s="35"/>
      <c r="AR654" s="69">
        <f t="shared" si="370"/>
        <v>55</v>
      </c>
      <c r="AS654" s="70">
        <f t="shared" si="373"/>
        <v>651</v>
      </c>
      <c r="AT654" s="71">
        <f t="shared" si="374"/>
        <v>1.1608614425735121E-2</v>
      </c>
      <c r="AU654" s="72">
        <f t="shared" si="354"/>
        <v>6.8214933659622723E-3</v>
      </c>
      <c r="AV654" s="73">
        <f t="shared" si="371"/>
        <v>1.0068214933659623</v>
      </c>
      <c r="AW654" s="74">
        <f>PRODUCT(AV$4:AV654)</f>
        <v>83.572481257347363</v>
      </c>
    </row>
    <row r="655" spans="5:49">
      <c r="E655">
        <f t="shared" si="372"/>
        <v>652</v>
      </c>
      <c r="F655" s="64">
        <f t="shared" si="355"/>
        <v>114.08</v>
      </c>
      <c r="G655" s="55">
        <f t="shared" si="356"/>
        <v>0</v>
      </c>
      <c r="H655" s="78">
        <f t="shared" si="375"/>
        <v>2.4366954920664725E-5</v>
      </c>
      <c r="I655" s="79">
        <f t="shared" ca="1" si="357"/>
        <v>0</v>
      </c>
      <c r="J655" s="79">
        <f t="shared" ca="1" si="358"/>
        <v>0</v>
      </c>
      <c r="K655" s="80">
        <f t="shared" ca="1" si="359"/>
        <v>0</v>
      </c>
      <c r="L655" s="80">
        <f t="shared" ca="1" si="360"/>
        <v>0</v>
      </c>
      <c r="M655" s="80">
        <f t="shared" ca="1" si="361"/>
        <v>0</v>
      </c>
      <c r="N655" s="80">
        <f t="shared" ca="1" si="362"/>
        <v>0</v>
      </c>
      <c r="O655" s="81">
        <f t="shared" ca="1" si="347"/>
        <v>0</v>
      </c>
      <c r="P655" s="79">
        <f t="shared" ca="1" si="348"/>
        <v>0</v>
      </c>
      <c r="R655">
        <f t="shared" ca="1" si="363"/>
        <v>652</v>
      </c>
      <c r="S655" s="78">
        <f t="shared" ca="1" si="364"/>
        <v>114.08</v>
      </c>
      <c r="T655" s="55">
        <f t="shared" ca="1" si="365"/>
        <v>0</v>
      </c>
      <c r="U655" s="78">
        <f t="shared" ca="1" si="366"/>
        <v>2.4366954920664725E-5</v>
      </c>
      <c r="V655" s="79">
        <f t="shared" ca="1" si="367"/>
        <v>0</v>
      </c>
      <c r="W655" s="79">
        <f t="shared" ca="1" si="349"/>
        <v>0</v>
      </c>
      <c r="X655" s="80">
        <f t="shared" ca="1" si="350"/>
        <v>0</v>
      </c>
      <c r="Y655" s="80">
        <f t="shared" ca="1" si="368"/>
        <v>0</v>
      </c>
      <c r="Z655" s="80">
        <f t="shared" ca="1" si="351"/>
        <v>0</v>
      </c>
      <c r="AA655" s="80">
        <f t="shared" ca="1" si="369"/>
        <v>0</v>
      </c>
      <c r="AB655" s="81">
        <f t="shared" ca="1" si="352"/>
        <v>0</v>
      </c>
      <c r="AC655" s="79">
        <f t="shared" ca="1" si="353"/>
        <v>0</v>
      </c>
      <c r="AE655" s="35"/>
      <c r="AF655" s="35"/>
      <c r="AR655" s="69">
        <f t="shared" si="370"/>
        <v>55</v>
      </c>
      <c r="AS655" s="70">
        <f t="shared" si="373"/>
        <v>652</v>
      </c>
      <c r="AT655" s="71">
        <f t="shared" si="374"/>
        <v>1.1529426339441954E-2</v>
      </c>
      <c r="AU655" s="72">
        <f t="shared" si="354"/>
        <v>6.8214933659622723E-3</v>
      </c>
      <c r="AV655" s="73">
        <f t="shared" si="371"/>
        <v>1.0068214933659623</v>
      </c>
      <c r="AW655" s="74">
        <f>PRODUCT(AV$4:AV655)</f>
        <v>84.142570383821365</v>
      </c>
    </row>
    <row r="656" spans="5:49">
      <c r="E656">
        <f t="shared" si="372"/>
        <v>653</v>
      </c>
      <c r="F656" s="64">
        <f t="shared" si="355"/>
        <v>114.16</v>
      </c>
      <c r="G656" s="55">
        <f t="shared" si="356"/>
        <v>0</v>
      </c>
      <c r="H656" s="78">
        <f t="shared" si="375"/>
        <v>2.4366954920664725E-5</v>
      </c>
      <c r="I656" s="79">
        <f t="shared" ca="1" si="357"/>
        <v>0</v>
      </c>
      <c r="J656" s="79">
        <f t="shared" ca="1" si="358"/>
        <v>0</v>
      </c>
      <c r="K656" s="80">
        <f t="shared" ca="1" si="359"/>
        <v>0</v>
      </c>
      <c r="L656" s="80">
        <f t="shared" ca="1" si="360"/>
        <v>0</v>
      </c>
      <c r="M656" s="80">
        <f t="shared" ca="1" si="361"/>
        <v>0</v>
      </c>
      <c r="N656" s="80">
        <f t="shared" ca="1" si="362"/>
        <v>0</v>
      </c>
      <c r="O656" s="81">
        <f t="shared" ca="1" si="347"/>
        <v>0</v>
      </c>
      <c r="P656" s="79">
        <f t="shared" ca="1" si="348"/>
        <v>0</v>
      </c>
      <c r="R656">
        <f t="shared" ca="1" si="363"/>
        <v>653</v>
      </c>
      <c r="S656" s="78">
        <f t="shared" ca="1" si="364"/>
        <v>114.16</v>
      </c>
      <c r="T656" s="55">
        <f t="shared" ca="1" si="365"/>
        <v>0</v>
      </c>
      <c r="U656" s="78">
        <f t="shared" ca="1" si="366"/>
        <v>2.4366954920664725E-5</v>
      </c>
      <c r="V656" s="79">
        <f t="shared" ca="1" si="367"/>
        <v>0</v>
      </c>
      <c r="W656" s="79">
        <f t="shared" ca="1" si="349"/>
        <v>0</v>
      </c>
      <c r="X656" s="80">
        <f t="shared" ca="1" si="350"/>
        <v>0</v>
      </c>
      <c r="Y656" s="80">
        <f t="shared" ca="1" si="368"/>
        <v>0</v>
      </c>
      <c r="Z656" s="80">
        <f t="shared" ca="1" si="351"/>
        <v>0</v>
      </c>
      <c r="AA656" s="80">
        <f t="shared" ca="1" si="369"/>
        <v>0</v>
      </c>
      <c r="AB656" s="81">
        <f t="shared" ca="1" si="352"/>
        <v>0</v>
      </c>
      <c r="AC656" s="79">
        <f t="shared" ca="1" si="353"/>
        <v>0</v>
      </c>
      <c r="AE656" s="35"/>
      <c r="AF656" s="35"/>
      <c r="AR656" s="69">
        <f t="shared" si="370"/>
        <v>55</v>
      </c>
      <c r="AS656" s="70">
        <f t="shared" si="373"/>
        <v>653</v>
      </c>
      <c r="AT656" s="71">
        <f t="shared" si="374"/>
        <v>1.14507784341541E-2</v>
      </c>
      <c r="AU656" s="72">
        <f t="shared" si="354"/>
        <v>6.8214933659622723E-3</v>
      </c>
      <c r="AV656" s="73">
        <f t="shared" si="371"/>
        <v>1.0068214933659623</v>
      </c>
      <c r="AW656" s="74">
        <f>PRODUCT(AV$4:AV656)</f>
        <v>84.716548369489615</v>
      </c>
    </row>
    <row r="657" spans="5:49">
      <c r="E657">
        <f t="shared" si="372"/>
        <v>654</v>
      </c>
      <c r="F657" s="64">
        <f t="shared" si="355"/>
        <v>114.24</v>
      </c>
      <c r="G657" s="55">
        <f t="shared" si="356"/>
        <v>0</v>
      </c>
      <c r="H657" s="78">
        <f t="shared" si="375"/>
        <v>2.4366954920664725E-5</v>
      </c>
      <c r="I657" s="79">
        <f t="shared" ca="1" si="357"/>
        <v>0</v>
      </c>
      <c r="J657" s="79">
        <f t="shared" ca="1" si="358"/>
        <v>0</v>
      </c>
      <c r="K657" s="80">
        <f t="shared" ca="1" si="359"/>
        <v>0</v>
      </c>
      <c r="L657" s="80">
        <f t="shared" ca="1" si="360"/>
        <v>0</v>
      </c>
      <c r="M657" s="80">
        <f t="shared" ca="1" si="361"/>
        <v>0</v>
      </c>
      <c r="N657" s="80">
        <f t="shared" ca="1" si="362"/>
        <v>0</v>
      </c>
      <c r="O657" s="81">
        <f t="shared" ca="1" si="347"/>
        <v>0</v>
      </c>
      <c r="P657" s="79">
        <f t="shared" ca="1" si="348"/>
        <v>0</v>
      </c>
      <c r="R657">
        <f t="shared" ca="1" si="363"/>
        <v>654</v>
      </c>
      <c r="S657" s="78">
        <f t="shared" ca="1" si="364"/>
        <v>114.24</v>
      </c>
      <c r="T657" s="55">
        <f t="shared" ca="1" si="365"/>
        <v>0</v>
      </c>
      <c r="U657" s="78">
        <f t="shared" ca="1" si="366"/>
        <v>2.4366954920664725E-5</v>
      </c>
      <c r="V657" s="79">
        <f t="shared" ca="1" si="367"/>
        <v>0</v>
      </c>
      <c r="W657" s="79">
        <f t="shared" ca="1" si="349"/>
        <v>0</v>
      </c>
      <c r="X657" s="80">
        <f t="shared" ca="1" si="350"/>
        <v>0</v>
      </c>
      <c r="Y657" s="80">
        <f t="shared" ca="1" si="368"/>
        <v>0</v>
      </c>
      <c r="Z657" s="80">
        <f t="shared" ca="1" si="351"/>
        <v>0</v>
      </c>
      <c r="AA657" s="80">
        <f t="shared" ca="1" si="369"/>
        <v>0</v>
      </c>
      <c r="AB657" s="81">
        <f t="shared" ca="1" si="352"/>
        <v>0</v>
      </c>
      <c r="AC657" s="79">
        <f t="shared" ca="1" si="353"/>
        <v>0</v>
      </c>
      <c r="AE657" s="35"/>
      <c r="AF657" s="35"/>
      <c r="AR657" s="69">
        <f t="shared" si="370"/>
        <v>55</v>
      </c>
      <c r="AS657" s="70">
        <f t="shared" si="373"/>
        <v>654</v>
      </c>
      <c r="AT657" s="71">
        <f t="shared" si="374"/>
        <v>1.1372667025030413E-2</v>
      </c>
      <c r="AU657" s="72">
        <f t="shared" si="354"/>
        <v>6.8214933659622723E-3</v>
      </c>
      <c r="AV657" s="73">
        <f t="shared" si="371"/>
        <v>1.0068214933659623</v>
      </c>
      <c r="AW657" s="74">
        <f>PRODUCT(AV$4:AV657)</f>
        <v>85.294441742179316</v>
      </c>
    </row>
    <row r="658" spans="5:49">
      <c r="E658">
        <f t="shared" si="372"/>
        <v>655</v>
      </c>
      <c r="F658" s="64">
        <f t="shared" si="355"/>
        <v>114.32</v>
      </c>
      <c r="G658" s="55">
        <f t="shared" si="356"/>
        <v>0</v>
      </c>
      <c r="H658" s="78">
        <f t="shared" si="375"/>
        <v>2.4366954920664725E-5</v>
      </c>
      <c r="I658" s="79">
        <f t="shared" ca="1" si="357"/>
        <v>0</v>
      </c>
      <c r="J658" s="79">
        <f t="shared" ca="1" si="358"/>
        <v>0</v>
      </c>
      <c r="K658" s="80">
        <f t="shared" ca="1" si="359"/>
        <v>0</v>
      </c>
      <c r="L658" s="80">
        <f t="shared" ca="1" si="360"/>
        <v>0</v>
      </c>
      <c r="M658" s="80">
        <f t="shared" ca="1" si="361"/>
        <v>0</v>
      </c>
      <c r="N658" s="80">
        <f t="shared" ca="1" si="362"/>
        <v>0</v>
      </c>
      <c r="O658" s="81">
        <f t="shared" ca="1" si="347"/>
        <v>0</v>
      </c>
      <c r="P658" s="79">
        <f t="shared" ca="1" si="348"/>
        <v>0</v>
      </c>
      <c r="R658">
        <f t="shared" ca="1" si="363"/>
        <v>655</v>
      </c>
      <c r="S658" s="78">
        <f t="shared" ca="1" si="364"/>
        <v>114.32</v>
      </c>
      <c r="T658" s="55">
        <f t="shared" ca="1" si="365"/>
        <v>0</v>
      </c>
      <c r="U658" s="78">
        <f t="shared" ca="1" si="366"/>
        <v>2.4366954920664725E-5</v>
      </c>
      <c r="V658" s="79">
        <f t="shared" ca="1" si="367"/>
        <v>0</v>
      </c>
      <c r="W658" s="79">
        <f t="shared" ca="1" si="349"/>
        <v>0</v>
      </c>
      <c r="X658" s="80">
        <f t="shared" ca="1" si="350"/>
        <v>0</v>
      </c>
      <c r="Y658" s="80">
        <f t="shared" ca="1" si="368"/>
        <v>0</v>
      </c>
      <c r="Z658" s="80">
        <f t="shared" ca="1" si="351"/>
        <v>0</v>
      </c>
      <c r="AA658" s="80">
        <f t="shared" ca="1" si="369"/>
        <v>0</v>
      </c>
      <c r="AB658" s="81">
        <f t="shared" ca="1" si="352"/>
        <v>0</v>
      </c>
      <c r="AC658" s="79">
        <f t="shared" ca="1" si="353"/>
        <v>0</v>
      </c>
      <c r="AE658" s="35"/>
      <c r="AF658" s="35"/>
      <c r="AR658" s="69">
        <f t="shared" si="370"/>
        <v>55</v>
      </c>
      <c r="AS658" s="70">
        <f t="shared" si="373"/>
        <v>655</v>
      </c>
      <c r="AT658" s="71">
        <f t="shared" si="374"/>
        <v>1.129508845236587E-2</v>
      </c>
      <c r="AU658" s="72">
        <f t="shared" si="354"/>
        <v>6.8214933659622723E-3</v>
      </c>
      <c r="AV658" s="73">
        <f t="shared" si="371"/>
        <v>1.0068214933659623</v>
      </c>
      <c r="AW658" s="74">
        <f>PRODUCT(AV$4:AV658)</f>
        <v>85.876277210677046</v>
      </c>
    </row>
    <row r="659" spans="5:49">
      <c r="E659">
        <f t="shared" si="372"/>
        <v>656</v>
      </c>
      <c r="F659" s="64">
        <f t="shared" si="355"/>
        <v>114.4</v>
      </c>
      <c r="G659" s="55">
        <f t="shared" si="356"/>
        <v>0</v>
      </c>
      <c r="H659" s="78">
        <f t="shared" si="375"/>
        <v>2.4366954920664725E-5</v>
      </c>
      <c r="I659" s="79">
        <f t="shared" ca="1" si="357"/>
        <v>0</v>
      </c>
      <c r="J659" s="79">
        <f t="shared" ca="1" si="358"/>
        <v>0</v>
      </c>
      <c r="K659" s="80">
        <f t="shared" ca="1" si="359"/>
        <v>0</v>
      </c>
      <c r="L659" s="80">
        <f t="shared" ca="1" si="360"/>
        <v>0</v>
      </c>
      <c r="M659" s="80">
        <f t="shared" ca="1" si="361"/>
        <v>0</v>
      </c>
      <c r="N659" s="80">
        <f t="shared" ca="1" si="362"/>
        <v>0</v>
      </c>
      <c r="O659" s="81">
        <f t="shared" ca="1" si="347"/>
        <v>0</v>
      </c>
      <c r="P659" s="79">
        <f t="shared" ca="1" si="348"/>
        <v>0</v>
      </c>
      <c r="R659">
        <f t="shared" ca="1" si="363"/>
        <v>656</v>
      </c>
      <c r="S659" s="78">
        <f t="shared" ca="1" si="364"/>
        <v>114.4</v>
      </c>
      <c r="T659" s="55">
        <f t="shared" ca="1" si="365"/>
        <v>0</v>
      </c>
      <c r="U659" s="78">
        <f t="shared" ca="1" si="366"/>
        <v>2.4366954920664725E-5</v>
      </c>
      <c r="V659" s="79">
        <f t="shared" ca="1" si="367"/>
        <v>0</v>
      </c>
      <c r="W659" s="79">
        <f t="shared" ca="1" si="349"/>
        <v>0</v>
      </c>
      <c r="X659" s="80">
        <f t="shared" ca="1" si="350"/>
        <v>0</v>
      </c>
      <c r="Y659" s="80">
        <f t="shared" ca="1" si="368"/>
        <v>0</v>
      </c>
      <c r="Z659" s="80">
        <f t="shared" ca="1" si="351"/>
        <v>0</v>
      </c>
      <c r="AA659" s="80">
        <f t="shared" ca="1" si="369"/>
        <v>0</v>
      </c>
      <c r="AB659" s="81">
        <f t="shared" ca="1" si="352"/>
        <v>0</v>
      </c>
      <c r="AC659" s="79">
        <f t="shared" ca="1" si="353"/>
        <v>0</v>
      </c>
      <c r="AE659" s="35"/>
      <c r="AF659" s="35"/>
      <c r="AR659" s="69">
        <f t="shared" si="370"/>
        <v>55</v>
      </c>
      <c r="AS659" s="70">
        <f t="shared" si="373"/>
        <v>656</v>
      </c>
      <c r="AT659" s="71">
        <f t="shared" si="374"/>
        <v>1.1218039081420099E-2</v>
      </c>
      <c r="AU659" s="72">
        <f t="shared" si="354"/>
        <v>6.8214933659622723E-3</v>
      </c>
      <c r="AV659" s="73">
        <f t="shared" si="371"/>
        <v>1.0068214933659623</v>
      </c>
      <c r="AW659" s="74">
        <f>PRODUCT(AV$4:AV659)</f>
        <v>86.462081665963211</v>
      </c>
    </row>
    <row r="660" spans="5:49">
      <c r="E660">
        <f t="shared" si="372"/>
        <v>657</v>
      </c>
      <c r="F660" s="64">
        <f t="shared" si="355"/>
        <v>114.48</v>
      </c>
      <c r="G660" s="55">
        <f t="shared" si="356"/>
        <v>0</v>
      </c>
      <c r="H660" s="78">
        <f t="shared" si="375"/>
        <v>2.4366954920664725E-5</v>
      </c>
      <c r="I660" s="79">
        <f t="shared" ca="1" si="357"/>
        <v>0</v>
      </c>
      <c r="J660" s="79">
        <f t="shared" ca="1" si="358"/>
        <v>0</v>
      </c>
      <c r="K660" s="80">
        <f t="shared" ca="1" si="359"/>
        <v>0</v>
      </c>
      <c r="L660" s="80">
        <f t="shared" ca="1" si="360"/>
        <v>0</v>
      </c>
      <c r="M660" s="80">
        <f t="shared" ca="1" si="361"/>
        <v>0</v>
      </c>
      <c r="N660" s="80">
        <f t="shared" ca="1" si="362"/>
        <v>0</v>
      </c>
      <c r="O660" s="81">
        <f t="shared" ca="1" si="347"/>
        <v>0</v>
      </c>
      <c r="P660" s="79">
        <f t="shared" ca="1" si="348"/>
        <v>0</v>
      </c>
      <c r="R660">
        <f t="shared" ca="1" si="363"/>
        <v>657</v>
      </c>
      <c r="S660" s="78">
        <f t="shared" ca="1" si="364"/>
        <v>114.48</v>
      </c>
      <c r="T660" s="55">
        <f t="shared" ca="1" si="365"/>
        <v>0</v>
      </c>
      <c r="U660" s="78">
        <f t="shared" ca="1" si="366"/>
        <v>2.4366954920664725E-5</v>
      </c>
      <c r="V660" s="79">
        <f t="shared" ca="1" si="367"/>
        <v>0</v>
      </c>
      <c r="W660" s="79">
        <f t="shared" ca="1" si="349"/>
        <v>0</v>
      </c>
      <c r="X660" s="80">
        <f t="shared" ca="1" si="350"/>
        <v>0</v>
      </c>
      <c r="Y660" s="80">
        <f t="shared" ca="1" si="368"/>
        <v>0</v>
      </c>
      <c r="Z660" s="80">
        <f t="shared" ca="1" si="351"/>
        <v>0</v>
      </c>
      <c r="AA660" s="80">
        <f t="shared" ca="1" si="369"/>
        <v>0</v>
      </c>
      <c r="AB660" s="81">
        <f t="shared" ca="1" si="352"/>
        <v>0</v>
      </c>
      <c r="AC660" s="79">
        <f t="shared" ca="1" si="353"/>
        <v>0</v>
      </c>
      <c r="AE660" s="35"/>
      <c r="AF660" s="35"/>
      <c r="AR660" s="69">
        <f t="shared" si="370"/>
        <v>55</v>
      </c>
      <c r="AS660" s="70">
        <f t="shared" si="373"/>
        <v>657</v>
      </c>
      <c r="AT660" s="71">
        <f t="shared" si="374"/>
        <v>1.1141515302247086E-2</v>
      </c>
      <c r="AU660" s="72">
        <f t="shared" si="354"/>
        <v>6.8214933659622723E-3</v>
      </c>
      <c r="AV660" s="73">
        <f t="shared" si="371"/>
        <v>1.0068214933659623</v>
      </c>
      <c r="AW660" s="74">
        <f>PRODUCT(AV$4:AV660)</f>
        <v>87.051882182454861</v>
      </c>
    </row>
    <row r="661" spans="5:49">
      <c r="E661">
        <f t="shared" si="372"/>
        <v>658</v>
      </c>
      <c r="F661" s="64">
        <f t="shared" si="355"/>
        <v>114.56</v>
      </c>
      <c r="G661" s="55">
        <f t="shared" si="356"/>
        <v>0</v>
      </c>
      <c r="H661" s="78">
        <f t="shared" si="375"/>
        <v>2.4366954920664725E-5</v>
      </c>
      <c r="I661" s="79">
        <f t="shared" ca="1" si="357"/>
        <v>0</v>
      </c>
      <c r="J661" s="79">
        <f t="shared" ca="1" si="358"/>
        <v>0</v>
      </c>
      <c r="K661" s="80">
        <f t="shared" ca="1" si="359"/>
        <v>0</v>
      </c>
      <c r="L661" s="80">
        <f t="shared" ca="1" si="360"/>
        <v>0</v>
      </c>
      <c r="M661" s="80">
        <f t="shared" ca="1" si="361"/>
        <v>0</v>
      </c>
      <c r="N661" s="80">
        <f t="shared" ca="1" si="362"/>
        <v>0</v>
      </c>
      <c r="O661" s="81">
        <f t="shared" ca="1" si="347"/>
        <v>0</v>
      </c>
      <c r="P661" s="79">
        <f t="shared" ca="1" si="348"/>
        <v>0</v>
      </c>
      <c r="R661">
        <f t="shared" ca="1" si="363"/>
        <v>658</v>
      </c>
      <c r="S661" s="78">
        <f t="shared" ca="1" si="364"/>
        <v>114.56</v>
      </c>
      <c r="T661" s="55">
        <f t="shared" ca="1" si="365"/>
        <v>0</v>
      </c>
      <c r="U661" s="78">
        <f t="shared" ca="1" si="366"/>
        <v>2.4366954920664725E-5</v>
      </c>
      <c r="V661" s="79">
        <f t="shared" ca="1" si="367"/>
        <v>0</v>
      </c>
      <c r="W661" s="79">
        <f t="shared" ca="1" si="349"/>
        <v>0</v>
      </c>
      <c r="X661" s="80">
        <f t="shared" ca="1" si="350"/>
        <v>0</v>
      </c>
      <c r="Y661" s="80">
        <f t="shared" ca="1" si="368"/>
        <v>0</v>
      </c>
      <c r="Z661" s="80">
        <f t="shared" ca="1" si="351"/>
        <v>0</v>
      </c>
      <c r="AA661" s="80">
        <f t="shared" ca="1" si="369"/>
        <v>0</v>
      </c>
      <c r="AB661" s="81">
        <f t="shared" ca="1" si="352"/>
        <v>0</v>
      </c>
      <c r="AC661" s="79">
        <f t="shared" ca="1" si="353"/>
        <v>0</v>
      </c>
      <c r="AE661" s="35"/>
      <c r="AF661" s="35"/>
      <c r="AR661" s="69">
        <f t="shared" si="370"/>
        <v>55</v>
      </c>
      <c r="AS661" s="70">
        <f t="shared" si="373"/>
        <v>658</v>
      </c>
      <c r="AT661" s="71">
        <f t="shared" si="374"/>
        <v>1.106551352952604E-2</v>
      </c>
      <c r="AU661" s="72">
        <f t="shared" si="354"/>
        <v>6.8214933659622723E-3</v>
      </c>
      <c r="AV661" s="73">
        <f t="shared" si="371"/>
        <v>1.0068214933659623</v>
      </c>
      <c r="AW661" s="74">
        <f>PRODUCT(AV$4:AV661)</f>
        <v>87.645706019257005</v>
      </c>
    </row>
    <row r="662" spans="5:49">
      <c r="E662">
        <f t="shared" si="372"/>
        <v>659</v>
      </c>
      <c r="F662" s="64">
        <f t="shared" si="355"/>
        <v>114.64</v>
      </c>
      <c r="G662" s="55">
        <f t="shared" si="356"/>
        <v>0</v>
      </c>
      <c r="H662" s="78">
        <f t="shared" si="375"/>
        <v>2.4366954920664725E-5</v>
      </c>
      <c r="I662" s="79">
        <f t="shared" ca="1" si="357"/>
        <v>0</v>
      </c>
      <c r="J662" s="79">
        <f t="shared" ca="1" si="358"/>
        <v>0</v>
      </c>
      <c r="K662" s="80">
        <f t="shared" ca="1" si="359"/>
        <v>0</v>
      </c>
      <c r="L662" s="80">
        <f t="shared" ca="1" si="360"/>
        <v>0</v>
      </c>
      <c r="M662" s="80">
        <f t="shared" ca="1" si="361"/>
        <v>0</v>
      </c>
      <c r="N662" s="80">
        <f t="shared" ca="1" si="362"/>
        <v>0</v>
      </c>
      <c r="O662" s="81">
        <f t="shared" ca="1" si="347"/>
        <v>0</v>
      </c>
      <c r="P662" s="79">
        <f t="shared" ca="1" si="348"/>
        <v>0</v>
      </c>
      <c r="R662">
        <f t="shared" ca="1" si="363"/>
        <v>659</v>
      </c>
      <c r="S662" s="78">
        <f t="shared" ca="1" si="364"/>
        <v>114.64</v>
      </c>
      <c r="T662" s="55">
        <f t="shared" ca="1" si="365"/>
        <v>0</v>
      </c>
      <c r="U662" s="78">
        <f t="shared" ca="1" si="366"/>
        <v>2.4366954920664725E-5</v>
      </c>
      <c r="V662" s="79">
        <f t="shared" ca="1" si="367"/>
        <v>0</v>
      </c>
      <c r="W662" s="79">
        <f t="shared" ca="1" si="349"/>
        <v>0</v>
      </c>
      <c r="X662" s="80">
        <f t="shared" ca="1" si="350"/>
        <v>0</v>
      </c>
      <c r="Y662" s="80">
        <f t="shared" ca="1" si="368"/>
        <v>0</v>
      </c>
      <c r="Z662" s="80">
        <f t="shared" ca="1" si="351"/>
        <v>0</v>
      </c>
      <c r="AA662" s="80">
        <f t="shared" ca="1" si="369"/>
        <v>0</v>
      </c>
      <c r="AB662" s="81">
        <f t="shared" ca="1" si="352"/>
        <v>0</v>
      </c>
      <c r="AC662" s="79">
        <f t="shared" ca="1" si="353"/>
        <v>0</v>
      </c>
      <c r="AE662" s="35"/>
      <c r="AF662" s="35"/>
      <c r="AR662" s="69">
        <f t="shared" si="370"/>
        <v>55</v>
      </c>
      <c r="AS662" s="70">
        <f t="shared" si="373"/>
        <v>659</v>
      </c>
      <c r="AT662" s="71">
        <f t="shared" si="374"/>
        <v>1.0990030202393412E-2</v>
      </c>
      <c r="AU662" s="72">
        <f t="shared" si="354"/>
        <v>6.8214933659622723E-3</v>
      </c>
      <c r="AV662" s="73">
        <f t="shared" si="371"/>
        <v>1.0068214933659623</v>
      </c>
      <c r="AW662" s="74">
        <f>PRODUCT(AV$4:AV662)</f>
        <v>88.243580621422453</v>
      </c>
    </row>
    <row r="663" spans="5:49">
      <c r="E663">
        <f t="shared" si="372"/>
        <v>660</v>
      </c>
      <c r="F663" s="64">
        <f t="shared" si="355"/>
        <v>114.72</v>
      </c>
      <c r="G663" s="55">
        <f t="shared" si="356"/>
        <v>0</v>
      </c>
      <c r="H663" s="78">
        <f t="shared" si="375"/>
        <v>2.4366954920664725E-5</v>
      </c>
      <c r="I663" s="79">
        <f t="shared" ca="1" si="357"/>
        <v>0</v>
      </c>
      <c r="J663" s="79">
        <f t="shared" ca="1" si="358"/>
        <v>0</v>
      </c>
      <c r="K663" s="80">
        <f t="shared" ca="1" si="359"/>
        <v>0</v>
      </c>
      <c r="L663" s="80">
        <f t="shared" ca="1" si="360"/>
        <v>0</v>
      </c>
      <c r="M663" s="80">
        <f t="shared" ca="1" si="361"/>
        <v>0</v>
      </c>
      <c r="N663" s="80">
        <f t="shared" ca="1" si="362"/>
        <v>0</v>
      </c>
      <c r="O663" s="81">
        <f t="shared" ca="1" si="347"/>
        <v>0</v>
      </c>
      <c r="P663" s="79">
        <f t="shared" ca="1" si="348"/>
        <v>0</v>
      </c>
      <c r="R663">
        <f t="shared" ca="1" si="363"/>
        <v>660</v>
      </c>
      <c r="S663" s="78">
        <f t="shared" ca="1" si="364"/>
        <v>114.72</v>
      </c>
      <c r="T663" s="55">
        <f t="shared" ca="1" si="365"/>
        <v>0</v>
      </c>
      <c r="U663" s="78">
        <f t="shared" ca="1" si="366"/>
        <v>2.4366954920664725E-5</v>
      </c>
      <c r="V663" s="79">
        <f t="shared" ca="1" si="367"/>
        <v>0</v>
      </c>
      <c r="W663" s="79">
        <f t="shared" ca="1" si="349"/>
        <v>0</v>
      </c>
      <c r="X663" s="80">
        <f t="shared" ca="1" si="350"/>
        <v>0</v>
      </c>
      <c r="Y663" s="80">
        <f t="shared" ca="1" si="368"/>
        <v>0</v>
      </c>
      <c r="Z663" s="80">
        <f t="shared" ca="1" si="351"/>
        <v>0</v>
      </c>
      <c r="AA663" s="80">
        <f t="shared" ca="1" si="369"/>
        <v>0</v>
      </c>
      <c r="AB663" s="81">
        <f t="shared" ca="1" si="352"/>
        <v>0</v>
      </c>
      <c r="AC663" s="79">
        <f t="shared" ca="1" si="353"/>
        <v>0</v>
      </c>
      <c r="AE663" s="35"/>
      <c r="AF663" s="35"/>
      <c r="AR663" s="69">
        <f t="shared" si="370"/>
        <v>55</v>
      </c>
      <c r="AS663" s="70">
        <f t="shared" si="373"/>
        <v>660</v>
      </c>
      <c r="AT663" s="71">
        <f t="shared" si="374"/>
        <v>1.0915061784276061E-2</v>
      </c>
      <c r="AU663" s="72">
        <f t="shared" si="354"/>
        <v>6.8214933659622723E-3</v>
      </c>
      <c r="AV663" s="73">
        <f t="shared" si="371"/>
        <v>1.0068214933659623</v>
      </c>
      <c r="AW663" s="74">
        <f>PRODUCT(AV$4:AV663)</f>
        <v>88.845533621220241</v>
      </c>
    </row>
    <row r="664" spans="5:49">
      <c r="E664">
        <f t="shared" si="372"/>
        <v>661</v>
      </c>
      <c r="F664" s="64">
        <f t="shared" si="355"/>
        <v>114.8</v>
      </c>
      <c r="G664" s="55">
        <f t="shared" si="356"/>
        <v>0</v>
      </c>
      <c r="H664" s="78">
        <f t="shared" si="375"/>
        <v>2.4366954920664725E-5</v>
      </c>
      <c r="I664" s="79">
        <f t="shared" ca="1" si="357"/>
        <v>0</v>
      </c>
      <c r="J664" s="79">
        <f t="shared" ca="1" si="358"/>
        <v>0</v>
      </c>
      <c r="K664" s="80">
        <f t="shared" ca="1" si="359"/>
        <v>0</v>
      </c>
      <c r="L664" s="80">
        <f t="shared" ca="1" si="360"/>
        <v>0</v>
      </c>
      <c r="M664" s="80">
        <f t="shared" ca="1" si="361"/>
        <v>0</v>
      </c>
      <c r="N664" s="80">
        <f t="shared" ca="1" si="362"/>
        <v>0</v>
      </c>
      <c r="O664" s="81">
        <f t="shared" ca="1" si="347"/>
        <v>0</v>
      </c>
      <c r="P664" s="79">
        <f t="shared" ca="1" si="348"/>
        <v>0</v>
      </c>
      <c r="R664">
        <f t="shared" ca="1" si="363"/>
        <v>661</v>
      </c>
      <c r="S664" s="78">
        <f t="shared" ca="1" si="364"/>
        <v>114.8</v>
      </c>
      <c r="T664" s="55">
        <f t="shared" ca="1" si="365"/>
        <v>0</v>
      </c>
      <c r="U664" s="78">
        <f t="shared" ca="1" si="366"/>
        <v>2.4366954920664725E-5</v>
      </c>
      <c r="V664" s="79">
        <f t="shared" ca="1" si="367"/>
        <v>0</v>
      </c>
      <c r="W664" s="79">
        <f t="shared" ca="1" si="349"/>
        <v>0</v>
      </c>
      <c r="X664" s="80">
        <f t="shared" ca="1" si="350"/>
        <v>0</v>
      </c>
      <c r="Y664" s="80">
        <f t="shared" ca="1" si="368"/>
        <v>0</v>
      </c>
      <c r="Z664" s="80">
        <f t="shared" ca="1" si="351"/>
        <v>0</v>
      </c>
      <c r="AA664" s="80">
        <f t="shared" ca="1" si="369"/>
        <v>0</v>
      </c>
      <c r="AB664" s="81">
        <f t="shared" ca="1" si="352"/>
        <v>0</v>
      </c>
      <c r="AC664" s="79">
        <f t="shared" ca="1" si="353"/>
        <v>0</v>
      </c>
      <c r="AE664" s="35"/>
      <c r="AF664" s="35"/>
      <c r="AR664" s="69">
        <f t="shared" si="370"/>
        <v>56</v>
      </c>
      <c r="AS664" s="70">
        <f t="shared" si="373"/>
        <v>661</v>
      </c>
      <c r="AT664" s="71">
        <f t="shared" si="374"/>
        <v>1.0840604762725553E-2</v>
      </c>
      <c r="AU664" s="72">
        <f t="shared" si="354"/>
        <v>6.8214933659622723E-3</v>
      </c>
      <c r="AV664" s="73">
        <f t="shared" si="371"/>
        <v>1.0068214933659623</v>
      </c>
      <c r="AW664" s="74">
        <f>PRODUCT(AV$4:AV664)</f>
        <v>89.451592839412768</v>
      </c>
    </row>
    <row r="665" spans="5:49">
      <c r="E665">
        <f t="shared" si="372"/>
        <v>662</v>
      </c>
      <c r="F665" s="64">
        <f t="shared" si="355"/>
        <v>114.88</v>
      </c>
      <c r="G665" s="55">
        <f t="shared" si="356"/>
        <v>0</v>
      </c>
      <c r="H665" s="78">
        <f t="shared" si="375"/>
        <v>2.4366954920664725E-5</v>
      </c>
      <c r="I665" s="79">
        <f t="shared" ca="1" si="357"/>
        <v>0</v>
      </c>
      <c r="J665" s="79">
        <f t="shared" ca="1" si="358"/>
        <v>0</v>
      </c>
      <c r="K665" s="80">
        <f t="shared" ca="1" si="359"/>
        <v>0</v>
      </c>
      <c r="L665" s="80">
        <f t="shared" ca="1" si="360"/>
        <v>0</v>
      </c>
      <c r="M665" s="80">
        <f t="shared" ca="1" si="361"/>
        <v>0</v>
      </c>
      <c r="N665" s="80">
        <f t="shared" ca="1" si="362"/>
        <v>0</v>
      </c>
      <c r="O665" s="81">
        <f t="shared" ca="1" si="347"/>
        <v>0</v>
      </c>
      <c r="P665" s="79">
        <f t="shared" ca="1" si="348"/>
        <v>0</v>
      </c>
      <c r="R665">
        <f t="shared" ca="1" si="363"/>
        <v>662</v>
      </c>
      <c r="S665" s="78">
        <f t="shared" ca="1" si="364"/>
        <v>114.88</v>
      </c>
      <c r="T665" s="55">
        <f t="shared" ca="1" si="365"/>
        <v>0</v>
      </c>
      <c r="U665" s="78">
        <f t="shared" ca="1" si="366"/>
        <v>2.4366954920664725E-5</v>
      </c>
      <c r="V665" s="79">
        <f t="shared" ca="1" si="367"/>
        <v>0</v>
      </c>
      <c r="W665" s="79">
        <f t="shared" ca="1" si="349"/>
        <v>0</v>
      </c>
      <c r="X665" s="80">
        <f t="shared" ca="1" si="350"/>
        <v>0</v>
      </c>
      <c r="Y665" s="80">
        <f t="shared" ca="1" si="368"/>
        <v>0</v>
      </c>
      <c r="Z665" s="80">
        <f t="shared" ca="1" si="351"/>
        <v>0</v>
      </c>
      <c r="AA665" s="80">
        <f t="shared" ca="1" si="369"/>
        <v>0</v>
      </c>
      <c r="AB665" s="81">
        <f t="shared" ca="1" si="352"/>
        <v>0</v>
      </c>
      <c r="AC665" s="79">
        <f t="shared" ca="1" si="353"/>
        <v>0</v>
      </c>
      <c r="AE665" s="35"/>
      <c r="AF665" s="35"/>
      <c r="AR665" s="69">
        <f t="shared" si="370"/>
        <v>56</v>
      </c>
      <c r="AS665" s="70">
        <f t="shared" si="373"/>
        <v>662</v>
      </c>
      <c r="AT665" s="71">
        <f t="shared" si="374"/>
        <v>1.0766655649253602E-2</v>
      </c>
      <c r="AU665" s="72">
        <f t="shared" si="354"/>
        <v>6.8214933659622723E-3</v>
      </c>
      <c r="AV665" s="73">
        <f t="shared" si="371"/>
        <v>1.0068214933659623</v>
      </c>
      <c r="AW665" s="74">
        <f>PRODUCT(AV$4:AV665)</f>
        <v>90.061786286541576</v>
      </c>
    </row>
    <row r="666" spans="5:49">
      <c r="E666">
        <f t="shared" si="372"/>
        <v>663</v>
      </c>
      <c r="F666" s="64">
        <f t="shared" si="355"/>
        <v>114.96</v>
      </c>
      <c r="G666" s="55">
        <f t="shared" si="356"/>
        <v>0</v>
      </c>
      <c r="H666" s="78">
        <f t="shared" si="375"/>
        <v>2.4366954920664725E-5</v>
      </c>
      <c r="I666" s="79">
        <f t="shared" ca="1" si="357"/>
        <v>0</v>
      </c>
      <c r="J666" s="79">
        <f t="shared" ca="1" si="358"/>
        <v>0</v>
      </c>
      <c r="K666" s="80">
        <f t="shared" ca="1" si="359"/>
        <v>0</v>
      </c>
      <c r="L666" s="80">
        <f t="shared" ca="1" si="360"/>
        <v>0</v>
      </c>
      <c r="M666" s="80">
        <f t="shared" ca="1" si="361"/>
        <v>0</v>
      </c>
      <c r="N666" s="80">
        <f t="shared" ca="1" si="362"/>
        <v>0</v>
      </c>
      <c r="O666" s="81">
        <f t="shared" ca="1" si="347"/>
        <v>0</v>
      </c>
      <c r="P666" s="79">
        <f t="shared" ca="1" si="348"/>
        <v>0</v>
      </c>
      <c r="R666">
        <f t="shared" ca="1" si="363"/>
        <v>663</v>
      </c>
      <c r="S666" s="78">
        <f t="shared" ca="1" si="364"/>
        <v>114.96</v>
      </c>
      <c r="T666" s="55">
        <f t="shared" ca="1" si="365"/>
        <v>0</v>
      </c>
      <c r="U666" s="78">
        <f t="shared" ca="1" si="366"/>
        <v>2.4366954920664725E-5</v>
      </c>
      <c r="V666" s="79">
        <f t="shared" ca="1" si="367"/>
        <v>0</v>
      </c>
      <c r="W666" s="79">
        <f t="shared" ca="1" si="349"/>
        <v>0</v>
      </c>
      <c r="X666" s="80">
        <f t="shared" ca="1" si="350"/>
        <v>0</v>
      </c>
      <c r="Y666" s="80">
        <f t="shared" ca="1" si="368"/>
        <v>0</v>
      </c>
      <c r="Z666" s="80">
        <f t="shared" ca="1" si="351"/>
        <v>0</v>
      </c>
      <c r="AA666" s="80">
        <f t="shared" ca="1" si="369"/>
        <v>0</v>
      </c>
      <c r="AB666" s="81">
        <f t="shared" ca="1" si="352"/>
        <v>0</v>
      </c>
      <c r="AC666" s="79">
        <f t="shared" ca="1" si="353"/>
        <v>0</v>
      </c>
      <c r="AE666" s="35"/>
      <c r="AF666" s="35"/>
      <c r="AR666" s="69">
        <f t="shared" si="370"/>
        <v>56</v>
      </c>
      <c r="AS666" s="70">
        <f t="shared" si="373"/>
        <v>663</v>
      </c>
      <c r="AT666" s="71">
        <f t="shared" si="374"/>
        <v>1.0693210979168619E-2</v>
      </c>
      <c r="AU666" s="72">
        <f t="shared" si="354"/>
        <v>6.8214933659622723E-3</v>
      </c>
      <c r="AV666" s="73">
        <f t="shared" si="371"/>
        <v>1.0068214933659623</v>
      </c>
      <c r="AW666" s="74">
        <f>PRODUCT(AV$4:AV666)</f>
        <v>90.676142164221929</v>
      </c>
    </row>
    <row r="667" spans="5:49">
      <c r="E667">
        <f t="shared" si="372"/>
        <v>664</v>
      </c>
      <c r="F667" s="64">
        <f t="shared" si="355"/>
        <v>115.04</v>
      </c>
      <c r="G667" s="55">
        <f t="shared" si="356"/>
        <v>0</v>
      </c>
      <c r="H667" s="78">
        <f t="shared" si="375"/>
        <v>2.4366954920664725E-5</v>
      </c>
      <c r="I667" s="79">
        <f t="shared" ca="1" si="357"/>
        <v>0</v>
      </c>
      <c r="J667" s="79">
        <f t="shared" ca="1" si="358"/>
        <v>0</v>
      </c>
      <c r="K667" s="80">
        <f t="shared" ca="1" si="359"/>
        <v>0</v>
      </c>
      <c r="L667" s="80">
        <f t="shared" ca="1" si="360"/>
        <v>0</v>
      </c>
      <c r="M667" s="80">
        <f t="shared" ca="1" si="361"/>
        <v>0</v>
      </c>
      <c r="N667" s="80">
        <f t="shared" ca="1" si="362"/>
        <v>0</v>
      </c>
      <c r="O667" s="81">
        <f t="shared" ca="1" si="347"/>
        <v>0</v>
      </c>
      <c r="P667" s="79">
        <f t="shared" ca="1" si="348"/>
        <v>0</v>
      </c>
      <c r="R667">
        <f t="shared" ca="1" si="363"/>
        <v>664</v>
      </c>
      <c r="S667" s="78">
        <f t="shared" ca="1" si="364"/>
        <v>115.04</v>
      </c>
      <c r="T667" s="55">
        <f t="shared" ca="1" si="365"/>
        <v>0</v>
      </c>
      <c r="U667" s="78">
        <f t="shared" ca="1" si="366"/>
        <v>2.4366954920664725E-5</v>
      </c>
      <c r="V667" s="79">
        <f t="shared" ca="1" si="367"/>
        <v>0</v>
      </c>
      <c r="W667" s="79">
        <f t="shared" ca="1" si="349"/>
        <v>0</v>
      </c>
      <c r="X667" s="80">
        <f t="shared" ca="1" si="350"/>
        <v>0</v>
      </c>
      <c r="Y667" s="80">
        <f t="shared" ca="1" si="368"/>
        <v>0</v>
      </c>
      <c r="Z667" s="80">
        <f t="shared" ca="1" si="351"/>
        <v>0</v>
      </c>
      <c r="AA667" s="80">
        <f t="shared" ca="1" si="369"/>
        <v>0</v>
      </c>
      <c r="AB667" s="81">
        <f t="shared" ca="1" si="352"/>
        <v>0</v>
      </c>
      <c r="AC667" s="79">
        <f t="shared" ca="1" si="353"/>
        <v>0</v>
      </c>
      <c r="AE667" s="35"/>
      <c r="AF667" s="35"/>
      <c r="AR667" s="69">
        <f t="shared" si="370"/>
        <v>56</v>
      </c>
      <c r="AS667" s="70">
        <f t="shared" si="373"/>
        <v>664</v>
      </c>
      <c r="AT667" s="71">
        <f t="shared" si="374"/>
        <v>1.0620267311413386E-2</v>
      </c>
      <c r="AU667" s="72">
        <f t="shared" si="354"/>
        <v>6.8214933659622723E-3</v>
      </c>
      <c r="AV667" s="73">
        <f t="shared" si="371"/>
        <v>1.0068214933659623</v>
      </c>
      <c r="AW667" s="74">
        <f>PRODUCT(AV$4:AV667)</f>
        <v>91.294688866446222</v>
      </c>
    </row>
    <row r="668" spans="5:49">
      <c r="E668">
        <f t="shared" si="372"/>
        <v>665</v>
      </c>
      <c r="F668" s="64">
        <f t="shared" si="355"/>
        <v>115.12</v>
      </c>
      <c r="G668" s="55">
        <f t="shared" si="356"/>
        <v>0</v>
      </c>
      <c r="H668" s="78">
        <f t="shared" si="375"/>
        <v>2.4366954920664725E-5</v>
      </c>
      <c r="I668" s="79">
        <f t="shared" ca="1" si="357"/>
        <v>0</v>
      </c>
      <c r="J668" s="79">
        <f t="shared" ca="1" si="358"/>
        <v>0</v>
      </c>
      <c r="K668" s="80">
        <f t="shared" ca="1" si="359"/>
        <v>0</v>
      </c>
      <c r="L668" s="80">
        <f t="shared" ca="1" si="360"/>
        <v>0</v>
      </c>
      <c r="M668" s="80">
        <f t="shared" ca="1" si="361"/>
        <v>0</v>
      </c>
      <c r="N668" s="80">
        <f t="shared" ca="1" si="362"/>
        <v>0</v>
      </c>
      <c r="O668" s="81">
        <f t="shared" ca="1" si="347"/>
        <v>0</v>
      </c>
      <c r="P668" s="79">
        <f t="shared" ca="1" si="348"/>
        <v>0</v>
      </c>
      <c r="R668">
        <f t="shared" ca="1" si="363"/>
        <v>665</v>
      </c>
      <c r="S668" s="78">
        <f t="shared" ca="1" si="364"/>
        <v>115.12</v>
      </c>
      <c r="T668" s="55">
        <f t="shared" ca="1" si="365"/>
        <v>0</v>
      </c>
      <c r="U668" s="78">
        <f t="shared" ca="1" si="366"/>
        <v>2.4366954920664725E-5</v>
      </c>
      <c r="V668" s="79">
        <f t="shared" ca="1" si="367"/>
        <v>0</v>
      </c>
      <c r="W668" s="79">
        <f t="shared" ca="1" si="349"/>
        <v>0</v>
      </c>
      <c r="X668" s="80">
        <f t="shared" ca="1" si="350"/>
        <v>0</v>
      </c>
      <c r="Y668" s="80">
        <f t="shared" ca="1" si="368"/>
        <v>0</v>
      </c>
      <c r="Z668" s="80">
        <f t="shared" ca="1" si="351"/>
        <v>0</v>
      </c>
      <c r="AA668" s="80">
        <f t="shared" ca="1" si="369"/>
        <v>0</v>
      </c>
      <c r="AB668" s="81">
        <f t="shared" ca="1" si="352"/>
        <v>0</v>
      </c>
      <c r="AC668" s="79">
        <f t="shared" ca="1" si="353"/>
        <v>0</v>
      </c>
      <c r="AE668" s="35"/>
      <c r="AF668" s="35"/>
      <c r="AR668" s="69">
        <f t="shared" si="370"/>
        <v>56</v>
      </c>
      <c r="AS668" s="70">
        <f t="shared" si="373"/>
        <v>665</v>
      </c>
      <c r="AT668" s="71">
        <f t="shared" si="374"/>
        <v>1.0547821228403833E-2</v>
      </c>
      <c r="AU668" s="72">
        <f t="shared" si="354"/>
        <v>6.8214933659622723E-3</v>
      </c>
      <c r="AV668" s="73">
        <f t="shared" si="371"/>
        <v>1.0068214933659623</v>
      </c>
      <c r="AW668" s="74">
        <f>PRODUCT(AV$4:AV668)</f>
        <v>91.917454980896281</v>
      </c>
    </row>
    <row r="669" spans="5:49">
      <c r="E669">
        <f t="shared" si="372"/>
        <v>666</v>
      </c>
      <c r="F669" s="64">
        <f t="shared" si="355"/>
        <v>115.2</v>
      </c>
      <c r="G669" s="55">
        <f t="shared" si="356"/>
        <v>0</v>
      </c>
      <c r="H669" s="78">
        <f t="shared" si="375"/>
        <v>2.4366954920664725E-5</v>
      </c>
      <c r="I669" s="79">
        <f t="shared" ca="1" si="357"/>
        <v>0</v>
      </c>
      <c r="J669" s="79">
        <f t="shared" ca="1" si="358"/>
        <v>0</v>
      </c>
      <c r="K669" s="80">
        <f t="shared" ca="1" si="359"/>
        <v>0</v>
      </c>
      <c r="L669" s="80">
        <f t="shared" ca="1" si="360"/>
        <v>0</v>
      </c>
      <c r="M669" s="80">
        <f t="shared" ca="1" si="361"/>
        <v>0</v>
      </c>
      <c r="N669" s="80">
        <f t="shared" ca="1" si="362"/>
        <v>0</v>
      </c>
      <c r="O669" s="81">
        <f t="shared" ca="1" si="347"/>
        <v>0</v>
      </c>
      <c r="P669" s="79">
        <f t="shared" ca="1" si="348"/>
        <v>0</v>
      </c>
      <c r="R669">
        <f t="shared" ca="1" si="363"/>
        <v>666</v>
      </c>
      <c r="S669" s="78">
        <f t="shared" ca="1" si="364"/>
        <v>115.2</v>
      </c>
      <c r="T669" s="55">
        <f t="shared" ca="1" si="365"/>
        <v>0</v>
      </c>
      <c r="U669" s="78">
        <f t="shared" ca="1" si="366"/>
        <v>2.4366954920664725E-5</v>
      </c>
      <c r="V669" s="79">
        <f t="shared" ca="1" si="367"/>
        <v>0</v>
      </c>
      <c r="W669" s="79">
        <f t="shared" ca="1" si="349"/>
        <v>0</v>
      </c>
      <c r="X669" s="80">
        <f t="shared" ca="1" si="350"/>
        <v>0</v>
      </c>
      <c r="Y669" s="80">
        <f t="shared" ca="1" si="368"/>
        <v>0</v>
      </c>
      <c r="Z669" s="80">
        <f t="shared" ca="1" si="351"/>
        <v>0</v>
      </c>
      <c r="AA669" s="80">
        <f t="shared" ca="1" si="369"/>
        <v>0</v>
      </c>
      <c r="AB669" s="81">
        <f t="shared" ca="1" si="352"/>
        <v>0</v>
      </c>
      <c r="AC669" s="79">
        <f t="shared" ca="1" si="353"/>
        <v>0</v>
      </c>
      <c r="AE669" s="35"/>
      <c r="AF669" s="35"/>
      <c r="AR669" s="69">
        <f t="shared" si="370"/>
        <v>56</v>
      </c>
      <c r="AS669" s="70">
        <f t="shared" si="373"/>
        <v>666</v>
      </c>
      <c r="AT669" s="71">
        <f t="shared" si="374"/>
        <v>1.047586933586892E-2</v>
      </c>
      <c r="AU669" s="72">
        <f t="shared" si="354"/>
        <v>6.8214933659622723E-3</v>
      </c>
      <c r="AV669" s="73">
        <f t="shared" si="371"/>
        <v>1.0068214933659623</v>
      </c>
      <c r="AW669" s="74">
        <f>PRODUCT(AV$4:AV669)</f>
        <v>92.544469290264601</v>
      </c>
    </row>
    <row r="670" spans="5:49">
      <c r="E670">
        <f t="shared" si="372"/>
        <v>667</v>
      </c>
      <c r="F670" s="64">
        <f t="shared" si="355"/>
        <v>115.28</v>
      </c>
      <c r="G670" s="55">
        <f t="shared" si="356"/>
        <v>0</v>
      </c>
      <c r="H670" s="78">
        <f t="shared" si="375"/>
        <v>2.4366954920664725E-5</v>
      </c>
      <c r="I670" s="79">
        <f t="shared" ca="1" si="357"/>
        <v>0</v>
      </c>
      <c r="J670" s="79">
        <f t="shared" ca="1" si="358"/>
        <v>0</v>
      </c>
      <c r="K670" s="80">
        <f t="shared" ca="1" si="359"/>
        <v>0</v>
      </c>
      <c r="L670" s="80">
        <f t="shared" ca="1" si="360"/>
        <v>0</v>
      </c>
      <c r="M670" s="80">
        <f t="shared" ca="1" si="361"/>
        <v>0</v>
      </c>
      <c r="N670" s="80">
        <f t="shared" ca="1" si="362"/>
        <v>0</v>
      </c>
      <c r="O670" s="81">
        <f t="shared" ca="1" si="347"/>
        <v>0</v>
      </c>
      <c r="P670" s="79">
        <f t="shared" ca="1" si="348"/>
        <v>0</v>
      </c>
      <c r="R670">
        <f t="shared" ca="1" si="363"/>
        <v>667</v>
      </c>
      <c r="S670" s="78">
        <f t="shared" ca="1" si="364"/>
        <v>115.28</v>
      </c>
      <c r="T670" s="55">
        <f t="shared" ca="1" si="365"/>
        <v>0</v>
      </c>
      <c r="U670" s="78">
        <f t="shared" ca="1" si="366"/>
        <v>2.4366954920664725E-5</v>
      </c>
      <c r="V670" s="79">
        <f t="shared" ca="1" si="367"/>
        <v>0</v>
      </c>
      <c r="W670" s="79">
        <f t="shared" ca="1" si="349"/>
        <v>0</v>
      </c>
      <c r="X670" s="80">
        <f t="shared" ca="1" si="350"/>
        <v>0</v>
      </c>
      <c r="Y670" s="80">
        <f t="shared" ca="1" si="368"/>
        <v>0</v>
      </c>
      <c r="Z670" s="80">
        <f t="shared" ca="1" si="351"/>
        <v>0</v>
      </c>
      <c r="AA670" s="80">
        <f t="shared" ca="1" si="369"/>
        <v>0</v>
      </c>
      <c r="AB670" s="81">
        <f t="shared" ca="1" si="352"/>
        <v>0</v>
      </c>
      <c r="AC670" s="79">
        <f t="shared" ca="1" si="353"/>
        <v>0</v>
      </c>
      <c r="AE670" s="35"/>
      <c r="AF670" s="35"/>
      <c r="AR670" s="69">
        <f t="shared" si="370"/>
        <v>56</v>
      </c>
      <c r="AS670" s="70">
        <f t="shared" si="373"/>
        <v>667</v>
      </c>
      <c r="AT670" s="71">
        <f t="shared" si="374"/>
        <v>1.0404408262691603E-2</v>
      </c>
      <c r="AU670" s="72">
        <f t="shared" si="354"/>
        <v>6.8214933659622723E-3</v>
      </c>
      <c r="AV670" s="73">
        <f t="shared" si="371"/>
        <v>1.0068214933659623</v>
      </c>
      <c r="AW670" s="74">
        <f>PRODUCT(AV$4:AV670)</f>
        <v>93.175760773584642</v>
      </c>
    </row>
    <row r="671" spans="5:49">
      <c r="E671">
        <f t="shared" si="372"/>
        <v>668</v>
      </c>
      <c r="F671" s="64">
        <f t="shared" si="355"/>
        <v>115.36</v>
      </c>
      <c r="G671" s="55">
        <f t="shared" si="356"/>
        <v>0</v>
      </c>
      <c r="H671" s="78">
        <f t="shared" si="375"/>
        <v>2.4366954920664725E-5</v>
      </c>
      <c r="I671" s="79">
        <f t="shared" ca="1" si="357"/>
        <v>0</v>
      </c>
      <c r="J671" s="79">
        <f t="shared" ca="1" si="358"/>
        <v>0</v>
      </c>
      <c r="K671" s="80">
        <f t="shared" ca="1" si="359"/>
        <v>0</v>
      </c>
      <c r="L671" s="80">
        <f t="shared" ca="1" si="360"/>
        <v>0</v>
      </c>
      <c r="M671" s="80">
        <f t="shared" ca="1" si="361"/>
        <v>0</v>
      </c>
      <c r="N671" s="80">
        <f t="shared" ca="1" si="362"/>
        <v>0</v>
      </c>
      <c r="O671" s="81">
        <f t="shared" ca="1" si="347"/>
        <v>0</v>
      </c>
      <c r="P671" s="79">
        <f t="shared" ca="1" si="348"/>
        <v>0</v>
      </c>
      <c r="R671">
        <f t="shared" ca="1" si="363"/>
        <v>668</v>
      </c>
      <c r="S671" s="78">
        <f t="shared" ca="1" si="364"/>
        <v>115.36</v>
      </c>
      <c r="T671" s="55">
        <f t="shared" ca="1" si="365"/>
        <v>0</v>
      </c>
      <c r="U671" s="78">
        <f t="shared" ca="1" si="366"/>
        <v>2.4366954920664725E-5</v>
      </c>
      <c r="V671" s="79">
        <f t="shared" ca="1" si="367"/>
        <v>0</v>
      </c>
      <c r="W671" s="79">
        <f t="shared" ca="1" si="349"/>
        <v>0</v>
      </c>
      <c r="X671" s="80">
        <f t="shared" ca="1" si="350"/>
        <v>0</v>
      </c>
      <c r="Y671" s="80">
        <f t="shared" ca="1" si="368"/>
        <v>0</v>
      </c>
      <c r="Z671" s="80">
        <f t="shared" ca="1" si="351"/>
        <v>0</v>
      </c>
      <c r="AA671" s="80">
        <f t="shared" ca="1" si="369"/>
        <v>0</v>
      </c>
      <c r="AB671" s="81">
        <f t="shared" ca="1" si="352"/>
        <v>0</v>
      </c>
      <c r="AC671" s="79">
        <f t="shared" ca="1" si="353"/>
        <v>0</v>
      </c>
      <c r="AE671" s="35"/>
      <c r="AF671" s="35"/>
      <c r="AR671" s="69">
        <f t="shared" si="370"/>
        <v>56</v>
      </c>
      <c r="AS671" s="70">
        <f t="shared" si="373"/>
        <v>668</v>
      </c>
      <c r="AT671" s="71">
        <f t="shared" si="374"/>
        <v>1.0333434660750889E-2</v>
      </c>
      <c r="AU671" s="72">
        <f t="shared" si="354"/>
        <v>6.8214933659622723E-3</v>
      </c>
      <c r="AV671" s="73">
        <f t="shared" si="371"/>
        <v>1.0068214933659623</v>
      </c>
      <c r="AW671" s="74">
        <f>PRODUCT(AV$4:AV671)</f>
        <v>93.811358607570142</v>
      </c>
    </row>
    <row r="672" spans="5:49">
      <c r="E672">
        <f t="shared" si="372"/>
        <v>669</v>
      </c>
      <c r="F672" s="64">
        <f t="shared" si="355"/>
        <v>115.44</v>
      </c>
      <c r="G672" s="55">
        <f t="shared" si="356"/>
        <v>0</v>
      </c>
      <c r="H672" s="78">
        <f t="shared" si="375"/>
        <v>2.4366954920664725E-5</v>
      </c>
      <c r="I672" s="79">
        <f t="shared" ca="1" si="357"/>
        <v>0</v>
      </c>
      <c r="J672" s="79">
        <f t="shared" ca="1" si="358"/>
        <v>0</v>
      </c>
      <c r="K672" s="80">
        <f t="shared" ca="1" si="359"/>
        <v>0</v>
      </c>
      <c r="L672" s="80">
        <f t="shared" ca="1" si="360"/>
        <v>0</v>
      </c>
      <c r="M672" s="80">
        <f t="shared" ca="1" si="361"/>
        <v>0</v>
      </c>
      <c r="N672" s="80">
        <f t="shared" ca="1" si="362"/>
        <v>0</v>
      </c>
      <c r="O672" s="81">
        <f t="shared" ca="1" si="347"/>
        <v>0</v>
      </c>
      <c r="P672" s="79">
        <f t="shared" ca="1" si="348"/>
        <v>0</v>
      </c>
      <c r="R672">
        <f t="shared" ca="1" si="363"/>
        <v>669</v>
      </c>
      <c r="S672" s="78">
        <f t="shared" ca="1" si="364"/>
        <v>115.44</v>
      </c>
      <c r="T672" s="55">
        <f t="shared" ca="1" si="365"/>
        <v>0</v>
      </c>
      <c r="U672" s="78">
        <f t="shared" ca="1" si="366"/>
        <v>2.4366954920664725E-5</v>
      </c>
      <c r="V672" s="79">
        <f t="shared" ca="1" si="367"/>
        <v>0</v>
      </c>
      <c r="W672" s="79">
        <f t="shared" ca="1" si="349"/>
        <v>0</v>
      </c>
      <c r="X672" s="80">
        <f t="shared" ca="1" si="350"/>
        <v>0</v>
      </c>
      <c r="Y672" s="80">
        <f t="shared" ca="1" si="368"/>
        <v>0</v>
      </c>
      <c r="Z672" s="80">
        <f t="shared" ca="1" si="351"/>
        <v>0</v>
      </c>
      <c r="AA672" s="80">
        <f t="shared" ca="1" si="369"/>
        <v>0</v>
      </c>
      <c r="AB672" s="81">
        <f t="shared" ca="1" si="352"/>
        <v>0</v>
      </c>
      <c r="AC672" s="79">
        <f t="shared" ca="1" si="353"/>
        <v>0</v>
      </c>
      <c r="AE672" s="35"/>
      <c r="AF672" s="35"/>
      <c r="AR672" s="69">
        <f t="shared" si="370"/>
        <v>56</v>
      </c>
      <c r="AS672" s="70">
        <f t="shared" si="373"/>
        <v>669</v>
      </c>
      <c r="AT672" s="71">
        <f t="shared" si="374"/>
        <v>1.0262945204764971E-2</v>
      </c>
      <c r="AU672" s="72">
        <f t="shared" si="354"/>
        <v>6.8214933659622723E-3</v>
      </c>
      <c r="AV672" s="73">
        <f t="shared" si="371"/>
        <v>1.0068214933659623</v>
      </c>
      <c r="AW672" s="74">
        <f>PRODUCT(AV$4:AV672)</f>
        <v>94.451292167963587</v>
      </c>
    </row>
    <row r="673" spans="5:49">
      <c r="E673">
        <f t="shared" si="372"/>
        <v>670</v>
      </c>
      <c r="F673" s="64">
        <f t="shared" si="355"/>
        <v>115.52</v>
      </c>
      <c r="G673" s="55">
        <f t="shared" si="356"/>
        <v>0</v>
      </c>
      <c r="H673" s="78">
        <f t="shared" si="375"/>
        <v>2.4366954920664725E-5</v>
      </c>
      <c r="I673" s="79">
        <f t="shared" ca="1" si="357"/>
        <v>0</v>
      </c>
      <c r="J673" s="79">
        <f t="shared" ca="1" si="358"/>
        <v>0</v>
      </c>
      <c r="K673" s="80">
        <f t="shared" ca="1" si="359"/>
        <v>0</v>
      </c>
      <c r="L673" s="80">
        <f t="shared" ca="1" si="360"/>
        <v>0</v>
      </c>
      <c r="M673" s="80">
        <f t="shared" ca="1" si="361"/>
        <v>0</v>
      </c>
      <c r="N673" s="80">
        <f t="shared" ca="1" si="362"/>
        <v>0</v>
      </c>
      <c r="O673" s="81">
        <f t="shared" ca="1" si="347"/>
        <v>0</v>
      </c>
      <c r="P673" s="79">
        <f t="shared" ca="1" si="348"/>
        <v>0</v>
      </c>
      <c r="R673">
        <f t="shared" ca="1" si="363"/>
        <v>670</v>
      </c>
      <c r="S673" s="78">
        <f t="shared" ca="1" si="364"/>
        <v>115.52</v>
      </c>
      <c r="T673" s="55">
        <f t="shared" ca="1" si="365"/>
        <v>0</v>
      </c>
      <c r="U673" s="78">
        <f t="shared" ca="1" si="366"/>
        <v>2.4366954920664725E-5</v>
      </c>
      <c r="V673" s="79">
        <f t="shared" ca="1" si="367"/>
        <v>0</v>
      </c>
      <c r="W673" s="79">
        <f t="shared" ca="1" si="349"/>
        <v>0</v>
      </c>
      <c r="X673" s="80">
        <f t="shared" ca="1" si="350"/>
        <v>0</v>
      </c>
      <c r="Y673" s="80">
        <f t="shared" ca="1" si="368"/>
        <v>0</v>
      </c>
      <c r="Z673" s="80">
        <f t="shared" ca="1" si="351"/>
        <v>0</v>
      </c>
      <c r="AA673" s="80">
        <f t="shared" ca="1" si="369"/>
        <v>0</v>
      </c>
      <c r="AB673" s="81">
        <f t="shared" ca="1" si="352"/>
        <v>0</v>
      </c>
      <c r="AC673" s="79">
        <f t="shared" ca="1" si="353"/>
        <v>0</v>
      </c>
      <c r="AE673" s="35"/>
      <c r="AF673" s="35"/>
      <c r="AR673" s="69">
        <f t="shared" si="370"/>
        <v>56</v>
      </c>
      <c r="AS673" s="70">
        <f t="shared" si="373"/>
        <v>670</v>
      </c>
      <c r="AT673" s="71">
        <f t="shared" si="374"/>
        <v>1.0192936592135432E-2</v>
      </c>
      <c r="AU673" s="72">
        <f t="shared" si="354"/>
        <v>6.8214933659622723E-3</v>
      </c>
      <c r="AV673" s="73">
        <f t="shared" si="371"/>
        <v>1.0068214933659623</v>
      </c>
      <c r="AW673" s="74">
        <f>PRODUCT(AV$4:AV673)</f>
        <v>95.095591030893914</v>
      </c>
    </row>
    <row r="674" spans="5:49">
      <c r="E674">
        <f t="shared" si="372"/>
        <v>671</v>
      </c>
      <c r="F674" s="64">
        <f t="shared" si="355"/>
        <v>115.6</v>
      </c>
      <c r="G674" s="55">
        <f t="shared" si="356"/>
        <v>0</v>
      </c>
      <c r="H674" s="78">
        <f t="shared" si="375"/>
        <v>2.4366954920664725E-5</v>
      </c>
      <c r="I674" s="79">
        <f t="shared" ca="1" si="357"/>
        <v>0</v>
      </c>
      <c r="J674" s="79">
        <f t="shared" ca="1" si="358"/>
        <v>0</v>
      </c>
      <c r="K674" s="80">
        <f t="shared" ca="1" si="359"/>
        <v>0</v>
      </c>
      <c r="L674" s="80">
        <f t="shared" ca="1" si="360"/>
        <v>0</v>
      </c>
      <c r="M674" s="80">
        <f t="shared" ca="1" si="361"/>
        <v>0</v>
      </c>
      <c r="N674" s="80">
        <f t="shared" ca="1" si="362"/>
        <v>0</v>
      </c>
      <c r="O674" s="81">
        <f t="shared" ca="1" si="347"/>
        <v>0</v>
      </c>
      <c r="P674" s="79">
        <f t="shared" ca="1" si="348"/>
        <v>0</v>
      </c>
      <c r="R674">
        <f t="shared" ca="1" si="363"/>
        <v>671</v>
      </c>
      <c r="S674" s="78">
        <f t="shared" ca="1" si="364"/>
        <v>115.6</v>
      </c>
      <c r="T674" s="55">
        <f t="shared" ca="1" si="365"/>
        <v>0</v>
      </c>
      <c r="U674" s="78">
        <f t="shared" ca="1" si="366"/>
        <v>2.4366954920664725E-5</v>
      </c>
      <c r="V674" s="79">
        <f t="shared" ca="1" si="367"/>
        <v>0</v>
      </c>
      <c r="W674" s="79">
        <f t="shared" ca="1" si="349"/>
        <v>0</v>
      </c>
      <c r="X674" s="80">
        <f t="shared" ca="1" si="350"/>
        <v>0</v>
      </c>
      <c r="Y674" s="80">
        <f t="shared" ca="1" si="368"/>
        <v>0</v>
      </c>
      <c r="Z674" s="80">
        <f t="shared" ca="1" si="351"/>
        <v>0</v>
      </c>
      <c r="AA674" s="80">
        <f t="shared" ca="1" si="369"/>
        <v>0</v>
      </c>
      <c r="AB674" s="81">
        <f t="shared" ca="1" si="352"/>
        <v>0</v>
      </c>
      <c r="AC674" s="79">
        <f t="shared" ca="1" si="353"/>
        <v>0</v>
      </c>
      <c r="AE674" s="35"/>
      <c r="AF674" s="35"/>
      <c r="AR674" s="69">
        <f t="shared" si="370"/>
        <v>56</v>
      </c>
      <c r="AS674" s="70">
        <f t="shared" si="373"/>
        <v>671</v>
      </c>
      <c r="AT674" s="71">
        <f t="shared" si="374"/>
        <v>1.0123405542792506E-2</v>
      </c>
      <c r="AU674" s="72">
        <f t="shared" si="354"/>
        <v>6.8214933659622723E-3</v>
      </c>
      <c r="AV674" s="73">
        <f t="shared" si="371"/>
        <v>1.0068214933659623</v>
      </c>
      <c r="AW674" s="74">
        <f>PRODUCT(AV$4:AV674)</f>
        <v>95.744284974243413</v>
      </c>
    </row>
    <row r="675" spans="5:49">
      <c r="E675">
        <f t="shared" si="372"/>
        <v>672</v>
      </c>
      <c r="F675" s="64">
        <f t="shared" si="355"/>
        <v>115.68</v>
      </c>
      <c r="G675" s="55">
        <f t="shared" si="356"/>
        <v>0</v>
      </c>
      <c r="H675" s="78">
        <f t="shared" si="375"/>
        <v>2.4366954920664725E-5</v>
      </c>
      <c r="I675" s="79">
        <f t="shared" ca="1" si="357"/>
        <v>0</v>
      </c>
      <c r="J675" s="79">
        <f t="shared" ca="1" si="358"/>
        <v>0</v>
      </c>
      <c r="K675" s="80">
        <f t="shared" ca="1" si="359"/>
        <v>0</v>
      </c>
      <c r="L675" s="80">
        <f t="shared" ca="1" si="360"/>
        <v>0</v>
      </c>
      <c r="M675" s="80">
        <f t="shared" ca="1" si="361"/>
        <v>0</v>
      </c>
      <c r="N675" s="80">
        <f t="shared" ca="1" si="362"/>
        <v>0</v>
      </c>
      <c r="O675" s="81">
        <f t="shared" ca="1" si="347"/>
        <v>0</v>
      </c>
      <c r="P675" s="79">
        <f t="shared" ca="1" si="348"/>
        <v>0</v>
      </c>
      <c r="R675">
        <f t="shared" ca="1" si="363"/>
        <v>672</v>
      </c>
      <c r="S675" s="78">
        <f t="shared" ca="1" si="364"/>
        <v>115.68</v>
      </c>
      <c r="T675" s="55">
        <f t="shared" ca="1" si="365"/>
        <v>0</v>
      </c>
      <c r="U675" s="78">
        <f t="shared" ca="1" si="366"/>
        <v>2.4366954920664725E-5</v>
      </c>
      <c r="V675" s="79">
        <f t="shared" ca="1" si="367"/>
        <v>0</v>
      </c>
      <c r="W675" s="79">
        <f t="shared" ca="1" si="349"/>
        <v>0</v>
      </c>
      <c r="X675" s="80">
        <f t="shared" ca="1" si="350"/>
        <v>0</v>
      </c>
      <c r="Y675" s="80">
        <f t="shared" ca="1" si="368"/>
        <v>0</v>
      </c>
      <c r="Z675" s="80">
        <f t="shared" ca="1" si="351"/>
        <v>0</v>
      </c>
      <c r="AA675" s="80">
        <f t="shared" ca="1" si="369"/>
        <v>0</v>
      </c>
      <c r="AB675" s="81">
        <f t="shared" ca="1" si="352"/>
        <v>0</v>
      </c>
      <c r="AC675" s="79">
        <f t="shared" ca="1" si="353"/>
        <v>0</v>
      </c>
      <c r="AE675" s="35"/>
      <c r="AF675" s="35"/>
      <c r="AR675" s="69">
        <f t="shared" si="370"/>
        <v>56</v>
      </c>
      <c r="AS675" s="70">
        <f t="shared" si="373"/>
        <v>672</v>
      </c>
      <c r="AT675" s="71">
        <f t="shared" si="374"/>
        <v>1.00543487990414E-2</v>
      </c>
      <c r="AU675" s="72">
        <f t="shared" si="354"/>
        <v>6.8214933659622723E-3</v>
      </c>
      <c r="AV675" s="73">
        <f t="shared" si="371"/>
        <v>1.0068214933659623</v>
      </c>
      <c r="AW675" s="74">
        <f>PRODUCT(AV$4:AV675)</f>
        <v>96.39740397902402</v>
      </c>
    </row>
    <row r="676" spans="5:49">
      <c r="E676">
        <f t="shared" si="372"/>
        <v>673</v>
      </c>
      <c r="F676" s="64">
        <f t="shared" si="355"/>
        <v>115.76</v>
      </c>
      <c r="G676" s="55">
        <f t="shared" si="356"/>
        <v>0</v>
      </c>
      <c r="H676" s="78">
        <f t="shared" si="375"/>
        <v>2.4366954920664725E-5</v>
      </c>
      <c r="I676" s="79">
        <f t="shared" ca="1" si="357"/>
        <v>0</v>
      </c>
      <c r="J676" s="79">
        <f t="shared" ca="1" si="358"/>
        <v>0</v>
      </c>
      <c r="K676" s="80">
        <f t="shared" ca="1" si="359"/>
        <v>0</v>
      </c>
      <c r="L676" s="80">
        <f t="shared" ca="1" si="360"/>
        <v>0</v>
      </c>
      <c r="M676" s="80">
        <f t="shared" ca="1" si="361"/>
        <v>0</v>
      </c>
      <c r="N676" s="80">
        <f t="shared" ca="1" si="362"/>
        <v>0</v>
      </c>
      <c r="O676" s="81">
        <f t="shared" ca="1" si="347"/>
        <v>0</v>
      </c>
      <c r="P676" s="79">
        <f t="shared" ca="1" si="348"/>
        <v>0</v>
      </c>
      <c r="R676">
        <f t="shared" ca="1" si="363"/>
        <v>673</v>
      </c>
      <c r="S676" s="78">
        <f t="shared" ca="1" si="364"/>
        <v>115.76</v>
      </c>
      <c r="T676" s="55">
        <f t="shared" ca="1" si="365"/>
        <v>0</v>
      </c>
      <c r="U676" s="78">
        <f t="shared" ca="1" si="366"/>
        <v>2.4366954920664725E-5</v>
      </c>
      <c r="V676" s="79">
        <f t="shared" ca="1" si="367"/>
        <v>0</v>
      </c>
      <c r="W676" s="79">
        <f t="shared" ca="1" si="349"/>
        <v>0</v>
      </c>
      <c r="X676" s="80">
        <f t="shared" ca="1" si="350"/>
        <v>0</v>
      </c>
      <c r="Y676" s="80">
        <f t="shared" ca="1" si="368"/>
        <v>0</v>
      </c>
      <c r="Z676" s="80">
        <f t="shared" ca="1" si="351"/>
        <v>0</v>
      </c>
      <c r="AA676" s="80">
        <f t="shared" ca="1" si="369"/>
        <v>0</v>
      </c>
      <c r="AB676" s="81">
        <f t="shared" ca="1" si="352"/>
        <v>0</v>
      </c>
      <c r="AC676" s="79">
        <f t="shared" ca="1" si="353"/>
        <v>0</v>
      </c>
      <c r="AE676" s="35"/>
      <c r="AF676" s="35"/>
      <c r="AR676" s="69">
        <f t="shared" si="370"/>
        <v>57</v>
      </c>
      <c r="AS676" s="70">
        <f t="shared" si="373"/>
        <v>673</v>
      </c>
      <c r="AT676" s="71">
        <f t="shared" si="374"/>
        <v>9.9857631254096687E-3</v>
      </c>
      <c r="AU676" s="72">
        <f t="shared" si="354"/>
        <v>6.8214933659622723E-3</v>
      </c>
      <c r="AV676" s="73">
        <f t="shared" si="371"/>
        <v>1.0068214933659623</v>
      </c>
      <c r="AW676" s="74">
        <f>PRODUCT(AV$4:AV676)</f>
        <v>97.054978230762913</v>
      </c>
    </row>
    <row r="677" spans="5:49">
      <c r="E677">
        <f t="shared" si="372"/>
        <v>674</v>
      </c>
      <c r="F677" s="64">
        <f t="shared" si="355"/>
        <v>115.84</v>
      </c>
      <c r="G677" s="55">
        <f t="shared" si="356"/>
        <v>0</v>
      </c>
      <c r="H677" s="78">
        <f t="shared" si="375"/>
        <v>2.4366954920664725E-5</v>
      </c>
      <c r="I677" s="79">
        <f t="shared" ca="1" si="357"/>
        <v>0</v>
      </c>
      <c r="J677" s="79">
        <f t="shared" ca="1" si="358"/>
        <v>0</v>
      </c>
      <c r="K677" s="80">
        <f t="shared" ca="1" si="359"/>
        <v>0</v>
      </c>
      <c r="L677" s="80">
        <f t="shared" ca="1" si="360"/>
        <v>0</v>
      </c>
      <c r="M677" s="80">
        <f t="shared" ca="1" si="361"/>
        <v>0</v>
      </c>
      <c r="N677" s="80">
        <f t="shared" ca="1" si="362"/>
        <v>0</v>
      </c>
      <c r="O677" s="81">
        <f t="shared" ca="1" si="347"/>
        <v>0</v>
      </c>
      <c r="P677" s="79">
        <f t="shared" ca="1" si="348"/>
        <v>0</v>
      </c>
      <c r="R677">
        <f t="shared" ca="1" si="363"/>
        <v>674</v>
      </c>
      <c r="S677" s="78">
        <f t="shared" ca="1" si="364"/>
        <v>115.84</v>
      </c>
      <c r="T677" s="55">
        <f t="shared" ca="1" si="365"/>
        <v>0</v>
      </c>
      <c r="U677" s="78">
        <f t="shared" ca="1" si="366"/>
        <v>2.4366954920664725E-5</v>
      </c>
      <c r="V677" s="79">
        <f t="shared" ca="1" si="367"/>
        <v>0</v>
      </c>
      <c r="W677" s="79">
        <f t="shared" ca="1" si="349"/>
        <v>0</v>
      </c>
      <c r="X677" s="80">
        <f t="shared" ca="1" si="350"/>
        <v>0</v>
      </c>
      <c r="Y677" s="80">
        <f t="shared" ca="1" si="368"/>
        <v>0</v>
      </c>
      <c r="Z677" s="80">
        <f t="shared" ca="1" si="351"/>
        <v>0</v>
      </c>
      <c r="AA677" s="80">
        <f t="shared" ca="1" si="369"/>
        <v>0</v>
      </c>
      <c r="AB677" s="81">
        <f t="shared" ca="1" si="352"/>
        <v>0</v>
      </c>
      <c r="AC677" s="79">
        <f t="shared" ca="1" si="353"/>
        <v>0</v>
      </c>
      <c r="AE677" s="35"/>
      <c r="AF677" s="35"/>
      <c r="AR677" s="69">
        <f t="shared" si="370"/>
        <v>57</v>
      </c>
      <c r="AS677" s="70">
        <f t="shared" si="373"/>
        <v>674</v>
      </c>
      <c r="AT677" s="71">
        <f t="shared" si="374"/>
        <v>9.9176453084956154E-3</v>
      </c>
      <c r="AU677" s="72">
        <f t="shared" si="354"/>
        <v>6.8214933659622723E-3</v>
      </c>
      <c r="AV677" s="73">
        <f t="shared" si="371"/>
        <v>1.0068214933659623</v>
      </c>
      <c r="AW677" s="74">
        <f>PRODUCT(AV$4:AV677)</f>
        <v>97.717038120897669</v>
      </c>
    </row>
    <row r="678" spans="5:49">
      <c r="E678">
        <f t="shared" si="372"/>
        <v>675</v>
      </c>
      <c r="F678" s="64">
        <f t="shared" si="355"/>
        <v>115.92</v>
      </c>
      <c r="G678" s="55">
        <f t="shared" si="356"/>
        <v>0</v>
      </c>
      <c r="H678" s="78">
        <f t="shared" si="375"/>
        <v>2.4366954920664725E-5</v>
      </c>
      <c r="I678" s="79">
        <f t="shared" ca="1" si="357"/>
        <v>0</v>
      </c>
      <c r="J678" s="79">
        <f t="shared" ca="1" si="358"/>
        <v>0</v>
      </c>
      <c r="K678" s="80">
        <f t="shared" ca="1" si="359"/>
        <v>0</v>
      </c>
      <c r="L678" s="80">
        <f t="shared" ca="1" si="360"/>
        <v>0</v>
      </c>
      <c r="M678" s="80">
        <f t="shared" ca="1" si="361"/>
        <v>0</v>
      </c>
      <c r="N678" s="80">
        <f t="shared" ca="1" si="362"/>
        <v>0</v>
      </c>
      <c r="O678" s="81">
        <f t="shared" ca="1" si="347"/>
        <v>0</v>
      </c>
      <c r="P678" s="79">
        <f t="shared" ca="1" si="348"/>
        <v>0</v>
      </c>
      <c r="R678">
        <f t="shared" ca="1" si="363"/>
        <v>675</v>
      </c>
      <c r="S678" s="78">
        <f t="shared" ca="1" si="364"/>
        <v>115.92</v>
      </c>
      <c r="T678" s="55">
        <f t="shared" ca="1" si="365"/>
        <v>0</v>
      </c>
      <c r="U678" s="78">
        <f t="shared" ca="1" si="366"/>
        <v>2.4366954920664725E-5</v>
      </c>
      <c r="V678" s="79">
        <f t="shared" ca="1" si="367"/>
        <v>0</v>
      </c>
      <c r="W678" s="79">
        <f t="shared" ca="1" si="349"/>
        <v>0</v>
      </c>
      <c r="X678" s="80">
        <f t="shared" ca="1" si="350"/>
        <v>0</v>
      </c>
      <c r="Y678" s="80">
        <f t="shared" ca="1" si="368"/>
        <v>0</v>
      </c>
      <c r="Z678" s="80">
        <f t="shared" ca="1" si="351"/>
        <v>0</v>
      </c>
      <c r="AA678" s="80">
        <f t="shared" ca="1" si="369"/>
        <v>0</v>
      </c>
      <c r="AB678" s="81">
        <f t="shared" ca="1" si="352"/>
        <v>0</v>
      </c>
      <c r="AC678" s="79">
        <f t="shared" ca="1" si="353"/>
        <v>0</v>
      </c>
      <c r="AE678" s="35"/>
      <c r="AF678" s="35"/>
      <c r="AR678" s="69">
        <f t="shared" si="370"/>
        <v>57</v>
      </c>
      <c r="AS678" s="70">
        <f t="shared" si="373"/>
        <v>675</v>
      </c>
      <c r="AT678" s="71">
        <f t="shared" si="374"/>
        <v>9.8499921568177464E-3</v>
      </c>
      <c r="AU678" s="72">
        <f t="shared" si="354"/>
        <v>6.8214933659622723E-3</v>
      </c>
      <c r="AV678" s="73">
        <f t="shared" si="371"/>
        <v>1.0068214933659623</v>
      </c>
      <c r="AW678" s="74">
        <f>PRODUCT(AV$4:AV678)</f>
        <v>98.383614248180862</v>
      </c>
    </row>
    <row r="679" spans="5:49">
      <c r="E679">
        <f t="shared" si="372"/>
        <v>676</v>
      </c>
      <c r="F679" s="64">
        <f t="shared" si="355"/>
        <v>116</v>
      </c>
      <c r="G679" s="55">
        <f t="shared" si="356"/>
        <v>0</v>
      </c>
      <c r="H679" s="78">
        <f t="shared" si="375"/>
        <v>2.4366954920664725E-5</v>
      </c>
      <c r="I679" s="79">
        <f t="shared" ca="1" si="357"/>
        <v>0</v>
      </c>
      <c r="J679" s="79">
        <f t="shared" ca="1" si="358"/>
        <v>0</v>
      </c>
      <c r="K679" s="80">
        <f t="shared" ca="1" si="359"/>
        <v>0</v>
      </c>
      <c r="L679" s="80">
        <f t="shared" ca="1" si="360"/>
        <v>0</v>
      </c>
      <c r="M679" s="80">
        <f t="shared" ca="1" si="361"/>
        <v>0</v>
      </c>
      <c r="N679" s="80">
        <f t="shared" ca="1" si="362"/>
        <v>0</v>
      </c>
      <c r="O679" s="81">
        <f t="shared" ca="1" si="347"/>
        <v>0</v>
      </c>
      <c r="P679" s="79">
        <f t="shared" ca="1" si="348"/>
        <v>0</v>
      </c>
      <c r="R679">
        <f t="shared" ca="1" si="363"/>
        <v>676</v>
      </c>
      <c r="S679" s="78">
        <f t="shared" ca="1" si="364"/>
        <v>116</v>
      </c>
      <c r="T679" s="55">
        <f t="shared" ca="1" si="365"/>
        <v>0</v>
      </c>
      <c r="U679" s="78">
        <f t="shared" ca="1" si="366"/>
        <v>2.4366954920664725E-5</v>
      </c>
      <c r="V679" s="79">
        <f t="shared" ca="1" si="367"/>
        <v>0</v>
      </c>
      <c r="W679" s="79">
        <f t="shared" ca="1" si="349"/>
        <v>0</v>
      </c>
      <c r="X679" s="80">
        <f t="shared" ca="1" si="350"/>
        <v>0</v>
      </c>
      <c r="Y679" s="80">
        <f t="shared" ca="1" si="368"/>
        <v>0</v>
      </c>
      <c r="Z679" s="80">
        <f t="shared" ca="1" si="351"/>
        <v>0</v>
      </c>
      <c r="AA679" s="80">
        <f t="shared" ca="1" si="369"/>
        <v>0</v>
      </c>
      <c r="AB679" s="81">
        <f t="shared" ca="1" si="352"/>
        <v>0</v>
      </c>
      <c r="AC679" s="79">
        <f t="shared" ca="1" si="353"/>
        <v>0</v>
      </c>
      <c r="AE679" s="35"/>
      <c r="AF679" s="35"/>
      <c r="AR679" s="69">
        <f t="shared" si="370"/>
        <v>57</v>
      </c>
      <c r="AS679" s="70">
        <f t="shared" si="373"/>
        <v>676</v>
      </c>
      <c r="AT679" s="71">
        <f t="shared" si="374"/>
        <v>9.7828005006652344E-3</v>
      </c>
      <c r="AU679" s="72">
        <f t="shared" si="354"/>
        <v>6.8214933659622723E-3</v>
      </c>
      <c r="AV679" s="73">
        <f t="shared" si="371"/>
        <v>1.0068214933659623</v>
      </c>
      <c r="AW679" s="74">
        <f>PRODUCT(AV$4:AV679)</f>
        <v>99.054737420094213</v>
      </c>
    </row>
    <row r="680" spans="5:49">
      <c r="E680">
        <f t="shared" si="372"/>
        <v>677</v>
      </c>
      <c r="F680" s="64">
        <f t="shared" si="355"/>
        <v>116.08</v>
      </c>
      <c r="G680" s="55">
        <f t="shared" si="356"/>
        <v>0</v>
      </c>
      <c r="H680" s="78">
        <f t="shared" si="375"/>
        <v>2.4366954920664725E-5</v>
      </c>
      <c r="I680" s="79">
        <f t="shared" ca="1" si="357"/>
        <v>0</v>
      </c>
      <c r="J680" s="79">
        <f t="shared" ca="1" si="358"/>
        <v>0</v>
      </c>
      <c r="K680" s="80">
        <f t="shared" ca="1" si="359"/>
        <v>0</v>
      </c>
      <c r="L680" s="80">
        <f t="shared" ca="1" si="360"/>
        <v>0</v>
      </c>
      <c r="M680" s="80">
        <f t="shared" ca="1" si="361"/>
        <v>0</v>
      </c>
      <c r="N680" s="80">
        <f t="shared" ca="1" si="362"/>
        <v>0</v>
      </c>
      <c r="O680" s="81">
        <f t="shared" ca="1" si="347"/>
        <v>0</v>
      </c>
      <c r="P680" s="79">
        <f t="shared" ca="1" si="348"/>
        <v>0</v>
      </c>
      <c r="R680">
        <f t="shared" ca="1" si="363"/>
        <v>677</v>
      </c>
      <c r="S680" s="78">
        <f t="shared" ca="1" si="364"/>
        <v>116.08</v>
      </c>
      <c r="T680" s="55">
        <f t="shared" ca="1" si="365"/>
        <v>0</v>
      </c>
      <c r="U680" s="78">
        <f t="shared" ca="1" si="366"/>
        <v>2.4366954920664725E-5</v>
      </c>
      <c r="V680" s="79">
        <f t="shared" ca="1" si="367"/>
        <v>0</v>
      </c>
      <c r="W680" s="79">
        <f t="shared" ca="1" si="349"/>
        <v>0</v>
      </c>
      <c r="X680" s="80">
        <f t="shared" ca="1" si="350"/>
        <v>0</v>
      </c>
      <c r="Y680" s="80">
        <f t="shared" ca="1" si="368"/>
        <v>0</v>
      </c>
      <c r="Z680" s="80">
        <f t="shared" ca="1" si="351"/>
        <v>0</v>
      </c>
      <c r="AA680" s="80">
        <f t="shared" ca="1" si="369"/>
        <v>0</v>
      </c>
      <c r="AB680" s="81">
        <f t="shared" ca="1" si="352"/>
        <v>0</v>
      </c>
      <c r="AC680" s="79">
        <f t="shared" ca="1" si="353"/>
        <v>0</v>
      </c>
      <c r="AE680" s="35"/>
      <c r="AF680" s="35"/>
      <c r="AR680" s="69">
        <f t="shared" si="370"/>
        <v>57</v>
      </c>
      <c r="AS680" s="70">
        <f t="shared" si="373"/>
        <v>677</v>
      </c>
      <c r="AT680" s="71">
        <f t="shared" si="374"/>
        <v>9.7160671919494148E-3</v>
      </c>
      <c r="AU680" s="72">
        <f t="shared" si="354"/>
        <v>6.8214933659622723E-3</v>
      </c>
      <c r="AV680" s="73">
        <f t="shared" si="371"/>
        <v>1.0068214933659623</v>
      </c>
      <c r="AW680" s="74">
        <f>PRODUCT(AV$4:AV680)</f>
        <v>99.730438654272518</v>
      </c>
    </row>
    <row r="681" spans="5:49">
      <c r="E681">
        <f t="shared" si="372"/>
        <v>678</v>
      </c>
      <c r="F681" s="64">
        <f t="shared" si="355"/>
        <v>116.16</v>
      </c>
      <c r="G681" s="55">
        <f t="shared" si="356"/>
        <v>0</v>
      </c>
      <c r="H681" s="78">
        <f t="shared" si="375"/>
        <v>2.4366954920664725E-5</v>
      </c>
      <c r="I681" s="79">
        <f t="shared" ca="1" si="357"/>
        <v>0</v>
      </c>
      <c r="J681" s="79">
        <f t="shared" ca="1" si="358"/>
        <v>0</v>
      </c>
      <c r="K681" s="80">
        <f t="shared" ca="1" si="359"/>
        <v>0</v>
      </c>
      <c r="L681" s="80">
        <f t="shared" ca="1" si="360"/>
        <v>0</v>
      </c>
      <c r="M681" s="80">
        <f t="shared" ca="1" si="361"/>
        <v>0</v>
      </c>
      <c r="N681" s="80">
        <f t="shared" ca="1" si="362"/>
        <v>0</v>
      </c>
      <c r="O681" s="81">
        <f t="shared" ca="1" si="347"/>
        <v>0</v>
      </c>
      <c r="P681" s="79">
        <f t="shared" ca="1" si="348"/>
        <v>0</v>
      </c>
      <c r="R681">
        <f t="shared" ca="1" si="363"/>
        <v>678</v>
      </c>
      <c r="S681" s="78">
        <f t="shared" ca="1" si="364"/>
        <v>116.16</v>
      </c>
      <c r="T681" s="55">
        <f t="shared" ca="1" si="365"/>
        <v>0</v>
      </c>
      <c r="U681" s="78">
        <f t="shared" ca="1" si="366"/>
        <v>2.4366954920664725E-5</v>
      </c>
      <c r="V681" s="79">
        <f t="shared" ca="1" si="367"/>
        <v>0</v>
      </c>
      <c r="W681" s="79">
        <f t="shared" ca="1" si="349"/>
        <v>0</v>
      </c>
      <c r="X681" s="80">
        <f t="shared" ca="1" si="350"/>
        <v>0</v>
      </c>
      <c r="Y681" s="80">
        <f t="shared" ca="1" si="368"/>
        <v>0</v>
      </c>
      <c r="Z681" s="80">
        <f t="shared" ca="1" si="351"/>
        <v>0</v>
      </c>
      <c r="AA681" s="80">
        <f t="shared" ca="1" si="369"/>
        <v>0</v>
      </c>
      <c r="AB681" s="81">
        <f t="shared" ca="1" si="352"/>
        <v>0</v>
      </c>
      <c r="AC681" s="79">
        <f t="shared" ca="1" si="353"/>
        <v>0</v>
      </c>
      <c r="AE681" s="35"/>
      <c r="AF681" s="35"/>
      <c r="AR681" s="69">
        <f t="shared" si="370"/>
        <v>57</v>
      </c>
      <c r="AS681" s="70">
        <f t="shared" si="373"/>
        <v>678</v>
      </c>
      <c r="AT681" s="71">
        <f t="shared" si="374"/>
        <v>9.6497891040562885E-3</v>
      </c>
      <c r="AU681" s="72">
        <f t="shared" si="354"/>
        <v>6.8214933659622723E-3</v>
      </c>
      <c r="AV681" s="73">
        <f t="shared" si="371"/>
        <v>1.0068214933659623</v>
      </c>
      <c r="AW681" s="74">
        <f>PRODUCT(AV$4:AV681)</f>
        <v>100.41074917993714</v>
      </c>
    </row>
    <row r="682" spans="5:49">
      <c r="E682">
        <f t="shared" si="372"/>
        <v>679</v>
      </c>
      <c r="F682" s="64">
        <f t="shared" si="355"/>
        <v>116.24</v>
      </c>
      <c r="G682" s="55">
        <f t="shared" si="356"/>
        <v>0</v>
      </c>
      <c r="H682" s="78">
        <f t="shared" si="375"/>
        <v>2.4366954920664725E-5</v>
      </c>
      <c r="I682" s="79">
        <f t="shared" ca="1" si="357"/>
        <v>0</v>
      </c>
      <c r="J682" s="79">
        <f t="shared" ca="1" si="358"/>
        <v>0</v>
      </c>
      <c r="K682" s="80">
        <f t="shared" ca="1" si="359"/>
        <v>0</v>
      </c>
      <c r="L682" s="80">
        <f t="shared" ca="1" si="360"/>
        <v>0</v>
      </c>
      <c r="M682" s="80">
        <f t="shared" ca="1" si="361"/>
        <v>0</v>
      </c>
      <c r="N682" s="80">
        <f t="shared" ca="1" si="362"/>
        <v>0</v>
      </c>
      <c r="O682" s="81">
        <f t="shared" ca="1" si="347"/>
        <v>0</v>
      </c>
      <c r="P682" s="79">
        <f t="shared" ca="1" si="348"/>
        <v>0</v>
      </c>
      <c r="R682">
        <f t="shared" ca="1" si="363"/>
        <v>679</v>
      </c>
      <c r="S682" s="78">
        <f t="shared" ca="1" si="364"/>
        <v>116.24</v>
      </c>
      <c r="T682" s="55">
        <f t="shared" ca="1" si="365"/>
        <v>0</v>
      </c>
      <c r="U682" s="78">
        <f t="shared" ca="1" si="366"/>
        <v>2.4366954920664725E-5</v>
      </c>
      <c r="V682" s="79">
        <f t="shared" ca="1" si="367"/>
        <v>0</v>
      </c>
      <c r="W682" s="79">
        <f t="shared" ca="1" si="349"/>
        <v>0</v>
      </c>
      <c r="X682" s="80">
        <f t="shared" ca="1" si="350"/>
        <v>0</v>
      </c>
      <c r="Y682" s="80">
        <f t="shared" ca="1" si="368"/>
        <v>0</v>
      </c>
      <c r="Z682" s="80">
        <f t="shared" ca="1" si="351"/>
        <v>0</v>
      </c>
      <c r="AA682" s="80">
        <f t="shared" ca="1" si="369"/>
        <v>0</v>
      </c>
      <c r="AB682" s="81">
        <f t="shared" ca="1" si="352"/>
        <v>0</v>
      </c>
      <c r="AC682" s="79">
        <f t="shared" ca="1" si="353"/>
        <v>0</v>
      </c>
      <c r="AE682" s="35"/>
      <c r="AF682" s="35"/>
      <c r="AR682" s="69">
        <f t="shared" si="370"/>
        <v>57</v>
      </c>
      <c r="AS682" s="70">
        <f t="shared" si="373"/>
        <v>679</v>
      </c>
      <c r="AT682" s="71">
        <f t="shared" si="374"/>
        <v>9.5839631317000337E-3</v>
      </c>
      <c r="AU682" s="72">
        <f t="shared" si="354"/>
        <v>6.8214933659622723E-3</v>
      </c>
      <c r="AV682" s="73">
        <f t="shared" si="371"/>
        <v>1.0068214933659623</v>
      </c>
      <c r="AW682" s="74">
        <f>PRODUCT(AV$4:AV682)</f>
        <v>101.09570043933938</v>
      </c>
    </row>
    <row r="683" spans="5:49">
      <c r="E683">
        <f t="shared" si="372"/>
        <v>680</v>
      </c>
      <c r="F683" s="64">
        <f t="shared" si="355"/>
        <v>116.32</v>
      </c>
      <c r="G683" s="55">
        <f t="shared" si="356"/>
        <v>0</v>
      </c>
      <c r="H683" s="78">
        <f t="shared" si="375"/>
        <v>2.4366954920664725E-5</v>
      </c>
      <c r="I683" s="79">
        <f t="shared" ca="1" si="357"/>
        <v>0</v>
      </c>
      <c r="J683" s="79">
        <f t="shared" ca="1" si="358"/>
        <v>0</v>
      </c>
      <c r="K683" s="80">
        <f t="shared" ca="1" si="359"/>
        <v>0</v>
      </c>
      <c r="L683" s="80">
        <f t="shared" ca="1" si="360"/>
        <v>0</v>
      </c>
      <c r="M683" s="80">
        <f t="shared" ca="1" si="361"/>
        <v>0</v>
      </c>
      <c r="N683" s="80">
        <f t="shared" ca="1" si="362"/>
        <v>0</v>
      </c>
      <c r="O683" s="81">
        <f t="shared" ca="1" si="347"/>
        <v>0</v>
      </c>
      <c r="P683" s="79">
        <f t="shared" ca="1" si="348"/>
        <v>0</v>
      </c>
      <c r="R683">
        <f t="shared" ca="1" si="363"/>
        <v>680</v>
      </c>
      <c r="S683" s="78">
        <f t="shared" ca="1" si="364"/>
        <v>116.32</v>
      </c>
      <c r="T683" s="55">
        <f t="shared" ca="1" si="365"/>
        <v>0</v>
      </c>
      <c r="U683" s="78">
        <f t="shared" ca="1" si="366"/>
        <v>2.4366954920664725E-5</v>
      </c>
      <c r="V683" s="79">
        <f t="shared" ca="1" si="367"/>
        <v>0</v>
      </c>
      <c r="W683" s="79">
        <f t="shared" ca="1" si="349"/>
        <v>0</v>
      </c>
      <c r="X683" s="80">
        <f t="shared" ca="1" si="350"/>
        <v>0</v>
      </c>
      <c r="Y683" s="80">
        <f t="shared" ca="1" si="368"/>
        <v>0</v>
      </c>
      <c r="Z683" s="80">
        <f t="shared" ca="1" si="351"/>
        <v>0</v>
      </c>
      <c r="AA683" s="80">
        <f t="shared" ca="1" si="369"/>
        <v>0</v>
      </c>
      <c r="AB683" s="81">
        <f t="shared" ca="1" si="352"/>
        <v>0</v>
      </c>
      <c r="AC683" s="79">
        <f t="shared" ca="1" si="353"/>
        <v>0</v>
      </c>
      <c r="AE683" s="35"/>
      <c r="AF683" s="35"/>
      <c r="AR683" s="69">
        <f t="shared" si="370"/>
        <v>57</v>
      </c>
      <c r="AS683" s="70">
        <f t="shared" si="373"/>
        <v>680</v>
      </c>
      <c r="AT683" s="71">
        <f t="shared" si="374"/>
        <v>9.5185861907775143E-3</v>
      </c>
      <c r="AU683" s="72">
        <f t="shared" si="354"/>
        <v>6.8214933659622723E-3</v>
      </c>
      <c r="AV683" s="73">
        <f t="shared" si="371"/>
        <v>1.0068214933659623</v>
      </c>
      <c r="AW683" s="74">
        <f>PRODUCT(AV$4:AV683)</f>
        <v>101.78532408921365</v>
      </c>
    </row>
    <row r="684" spans="5:49">
      <c r="E684">
        <f t="shared" si="372"/>
        <v>681</v>
      </c>
      <c r="F684" s="64">
        <f t="shared" si="355"/>
        <v>116.4</v>
      </c>
      <c r="G684" s="55">
        <f t="shared" si="356"/>
        <v>0</v>
      </c>
      <c r="H684" s="78">
        <f t="shared" si="375"/>
        <v>2.4366954920664725E-5</v>
      </c>
      <c r="I684" s="79">
        <f t="shared" ca="1" si="357"/>
        <v>0</v>
      </c>
      <c r="J684" s="79">
        <f t="shared" ca="1" si="358"/>
        <v>0</v>
      </c>
      <c r="K684" s="80">
        <f t="shared" ca="1" si="359"/>
        <v>0</v>
      </c>
      <c r="L684" s="80">
        <f t="shared" ca="1" si="360"/>
        <v>0</v>
      </c>
      <c r="M684" s="80">
        <f t="shared" ca="1" si="361"/>
        <v>0</v>
      </c>
      <c r="N684" s="80">
        <f t="shared" ca="1" si="362"/>
        <v>0</v>
      </c>
      <c r="O684" s="81">
        <f t="shared" ca="1" si="347"/>
        <v>0</v>
      </c>
      <c r="P684" s="79">
        <f t="shared" ca="1" si="348"/>
        <v>0</v>
      </c>
      <c r="R684">
        <f t="shared" ca="1" si="363"/>
        <v>681</v>
      </c>
      <c r="S684" s="78">
        <f t="shared" ca="1" si="364"/>
        <v>116.4</v>
      </c>
      <c r="T684" s="55">
        <f t="shared" ca="1" si="365"/>
        <v>0</v>
      </c>
      <c r="U684" s="78">
        <f t="shared" ca="1" si="366"/>
        <v>2.4366954920664725E-5</v>
      </c>
      <c r="V684" s="79">
        <f t="shared" ca="1" si="367"/>
        <v>0</v>
      </c>
      <c r="W684" s="79">
        <f t="shared" ca="1" si="349"/>
        <v>0</v>
      </c>
      <c r="X684" s="80">
        <f t="shared" ca="1" si="350"/>
        <v>0</v>
      </c>
      <c r="Y684" s="80">
        <f t="shared" ca="1" si="368"/>
        <v>0</v>
      </c>
      <c r="Z684" s="80">
        <f t="shared" ca="1" si="351"/>
        <v>0</v>
      </c>
      <c r="AA684" s="80">
        <f t="shared" ca="1" si="369"/>
        <v>0</v>
      </c>
      <c r="AB684" s="81">
        <f t="shared" ca="1" si="352"/>
        <v>0</v>
      </c>
      <c r="AC684" s="79">
        <f t="shared" ca="1" si="353"/>
        <v>0</v>
      </c>
      <c r="AE684" s="35"/>
      <c r="AF684" s="35"/>
      <c r="AR684" s="69">
        <f t="shared" si="370"/>
        <v>57</v>
      </c>
      <c r="AS684" s="70">
        <f t="shared" si="373"/>
        <v>681</v>
      </c>
      <c r="AT684" s="71">
        <f t="shared" si="374"/>
        <v>9.4536552182237846E-3</v>
      </c>
      <c r="AU684" s="72">
        <f t="shared" si="354"/>
        <v>6.8214933659622723E-3</v>
      </c>
      <c r="AV684" s="73">
        <f t="shared" si="371"/>
        <v>1.0068214933659623</v>
      </c>
      <c r="AW684" s="74">
        <f>PRODUCT(AV$4:AV684)</f>
        <v>102.47965200224054</v>
      </c>
    </row>
    <row r="685" spans="5:49">
      <c r="E685">
        <f t="shared" si="372"/>
        <v>682</v>
      </c>
      <c r="F685" s="64">
        <f t="shared" si="355"/>
        <v>116.48</v>
      </c>
      <c r="G685" s="55">
        <f t="shared" si="356"/>
        <v>0</v>
      </c>
      <c r="H685" s="78">
        <f t="shared" si="375"/>
        <v>2.4366954920664725E-5</v>
      </c>
      <c r="I685" s="79">
        <f t="shared" ca="1" si="357"/>
        <v>0</v>
      </c>
      <c r="J685" s="79">
        <f t="shared" ca="1" si="358"/>
        <v>0</v>
      </c>
      <c r="K685" s="80">
        <f t="shared" ca="1" si="359"/>
        <v>0</v>
      </c>
      <c r="L685" s="80">
        <f t="shared" ca="1" si="360"/>
        <v>0</v>
      </c>
      <c r="M685" s="80">
        <f t="shared" ca="1" si="361"/>
        <v>0</v>
      </c>
      <c r="N685" s="80">
        <f t="shared" ca="1" si="362"/>
        <v>0</v>
      </c>
      <c r="O685" s="81">
        <f t="shared" ca="1" si="347"/>
        <v>0</v>
      </c>
      <c r="P685" s="79">
        <f t="shared" ca="1" si="348"/>
        <v>0</v>
      </c>
      <c r="R685">
        <f t="shared" ca="1" si="363"/>
        <v>682</v>
      </c>
      <c r="S685" s="78">
        <f t="shared" ca="1" si="364"/>
        <v>116.48</v>
      </c>
      <c r="T685" s="55">
        <f t="shared" ca="1" si="365"/>
        <v>0</v>
      </c>
      <c r="U685" s="78">
        <f t="shared" ca="1" si="366"/>
        <v>2.4366954920664725E-5</v>
      </c>
      <c r="V685" s="79">
        <f t="shared" ca="1" si="367"/>
        <v>0</v>
      </c>
      <c r="W685" s="79">
        <f t="shared" ca="1" si="349"/>
        <v>0</v>
      </c>
      <c r="X685" s="80">
        <f t="shared" ca="1" si="350"/>
        <v>0</v>
      </c>
      <c r="Y685" s="80">
        <f t="shared" ca="1" si="368"/>
        <v>0</v>
      </c>
      <c r="Z685" s="80">
        <f t="shared" ca="1" si="351"/>
        <v>0</v>
      </c>
      <c r="AA685" s="80">
        <f t="shared" ca="1" si="369"/>
        <v>0</v>
      </c>
      <c r="AB685" s="81">
        <f t="shared" ca="1" si="352"/>
        <v>0</v>
      </c>
      <c r="AC685" s="79">
        <f t="shared" ca="1" si="353"/>
        <v>0</v>
      </c>
      <c r="AE685" s="35"/>
      <c r="AF685" s="35"/>
      <c r="AR685" s="69">
        <f t="shared" si="370"/>
        <v>57</v>
      </c>
      <c r="AS685" s="70">
        <f t="shared" si="373"/>
        <v>682</v>
      </c>
      <c r="AT685" s="71">
        <f t="shared" si="374"/>
        <v>9.389167171868577E-3</v>
      </c>
      <c r="AU685" s="72">
        <f t="shared" si="354"/>
        <v>6.8214933659622723E-3</v>
      </c>
      <c r="AV685" s="73">
        <f t="shared" si="371"/>
        <v>1.0068214933659623</v>
      </c>
      <c r="AW685" s="74">
        <f>PRODUCT(AV$4:AV685)</f>
        <v>103.17871626851995</v>
      </c>
    </row>
    <row r="686" spans="5:49">
      <c r="E686">
        <f t="shared" si="372"/>
        <v>683</v>
      </c>
      <c r="F686" s="64">
        <f t="shared" si="355"/>
        <v>116.56</v>
      </c>
      <c r="G686" s="55">
        <f t="shared" si="356"/>
        <v>0</v>
      </c>
      <c r="H686" s="78">
        <f t="shared" si="375"/>
        <v>2.4366954920664725E-5</v>
      </c>
      <c r="I686" s="79">
        <f t="shared" ca="1" si="357"/>
        <v>0</v>
      </c>
      <c r="J686" s="79">
        <f t="shared" ca="1" si="358"/>
        <v>0</v>
      </c>
      <c r="K686" s="80">
        <f t="shared" ca="1" si="359"/>
        <v>0</v>
      </c>
      <c r="L686" s="80">
        <f t="shared" ca="1" si="360"/>
        <v>0</v>
      </c>
      <c r="M686" s="80">
        <f t="shared" ca="1" si="361"/>
        <v>0</v>
      </c>
      <c r="N686" s="80">
        <f t="shared" ca="1" si="362"/>
        <v>0</v>
      </c>
      <c r="O686" s="81">
        <f t="shared" ca="1" si="347"/>
        <v>0</v>
      </c>
      <c r="P686" s="79">
        <f t="shared" ca="1" si="348"/>
        <v>0</v>
      </c>
      <c r="R686">
        <f t="shared" ca="1" si="363"/>
        <v>683</v>
      </c>
      <c r="S686" s="78">
        <f t="shared" ca="1" si="364"/>
        <v>116.56</v>
      </c>
      <c r="T686" s="55">
        <f t="shared" ca="1" si="365"/>
        <v>0</v>
      </c>
      <c r="U686" s="78">
        <f t="shared" ca="1" si="366"/>
        <v>2.4366954920664725E-5</v>
      </c>
      <c r="V686" s="79">
        <f t="shared" ca="1" si="367"/>
        <v>0</v>
      </c>
      <c r="W686" s="79">
        <f t="shared" ca="1" si="349"/>
        <v>0</v>
      </c>
      <c r="X686" s="80">
        <f t="shared" ca="1" si="350"/>
        <v>0</v>
      </c>
      <c r="Y686" s="80">
        <f t="shared" ca="1" si="368"/>
        <v>0</v>
      </c>
      <c r="Z686" s="80">
        <f t="shared" ca="1" si="351"/>
        <v>0</v>
      </c>
      <c r="AA686" s="80">
        <f t="shared" ca="1" si="369"/>
        <v>0</v>
      </c>
      <c r="AB686" s="81">
        <f t="shared" ca="1" si="352"/>
        <v>0</v>
      </c>
      <c r="AC686" s="79">
        <f t="shared" ca="1" si="353"/>
        <v>0</v>
      </c>
      <c r="AE686" s="35"/>
      <c r="AF686" s="35"/>
      <c r="AR686" s="69">
        <f t="shared" si="370"/>
        <v>57</v>
      </c>
      <c r="AS686" s="70">
        <f t="shared" si="373"/>
        <v>683</v>
      </c>
      <c r="AT686" s="71">
        <f t="shared" si="374"/>
        <v>9.3251190302937655E-3</v>
      </c>
      <c r="AU686" s="72">
        <f t="shared" si="354"/>
        <v>6.8214933659622723E-3</v>
      </c>
      <c r="AV686" s="73">
        <f t="shared" si="371"/>
        <v>1.0068214933659623</v>
      </c>
      <c r="AW686" s="74">
        <f>PRODUCT(AV$4:AV686)</f>
        <v>103.88254919705416</v>
      </c>
    </row>
    <row r="687" spans="5:49">
      <c r="E687">
        <f t="shared" si="372"/>
        <v>684</v>
      </c>
      <c r="F687" s="64">
        <f t="shared" si="355"/>
        <v>116.64</v>
      </c>
      <c r="G687" s="55">
        <f t="shared" si="356"/>
        <v>0</v>
      </c>
      <c r="H687" s="78">
        <f t="shared" si="375"/>
        <v>2.4366954920664725E-5</v>
      </c>
      <c r="I687" s="79">
        <f t="shared" ca="1" si="357"/>
        <v>0</v>
      </c>
      <c r="J687" s="79">
        <f t="shared" ca="1" si="358"/>
        <v>0</v>
      </c>
      <c r="K687" s="80">
        <f t="shared" ca="1" si="359"/>
        <v>0</v>
      </c>
      <c r="L687" s="80">
        <f t="shared" ca="1" si="360"/>
        <v>0</v>
      </c>
      <c r="M687" s="80">
        <f t="shared" ca="1" si="361"/>
        <v>0</v>
      </c>
      <c r="N687" s="80">
        <f t="shared" ca="1" si="362"/>
        <v>0</v>
      </c>
      <c r="O687" s="81">
        <f t="shared" ca="1" si="347"/>
        <v>0</v>
      </c>
      <c r="P687" s="79">
        <f t="shared" ca="1" si="348"/>
        <v>0</v>
      </c>
      <c r="R687">
        <f t="shared" ca="1" si="363"/>
        <v>684</v>
      </c>
      <c r="S687" s="78">
        <f t="shared" ca="1" si="364"/>
        <v>116.64</v>
      </c>
      <c r="T687" s="55">
        <f t="shared" ca="1" si="365"/>
        <v>0</v>
      </c>
      <c r="U687" s="78">
        <f t="shared" ca="1" si="366"/>
        <v>2.4366954920664725E-5</v>
      </c>
      <c r="V687" s="79">
        <f t="shared" ca="1" si="367"/>
        <v>0</v>
      </c>
      <c r="W687" s="79">
        <f t="shared" ca="1" si="349"/>
        <v>0</v>
      </c>
      <c r="X687" s="80">
        <f t="shared" ca="1" si="350"/>
        <v>0</v>
      </c>
      <c r="Y687" s="80">
        <f t="shared" ca="1" si="368"/>
        <v>0</v>
      </c>
      <c r="Z687" s="80">
        <f t="shared" ca="1" si="351"/>
        <v>0</v>
      </c>
      <c r="AA687" s="80">
        <f t="shared" ca="1" si="369"/>
        <v>0</v>
      </c>
      <c r="AB687" s="81">
        <f t="shared" ca="1" si="352"/>
        <v>0</v>
      </c>
      <c r="AC687" s="79">
        <f t="shared" ca="1" si="353"/>
        <v>0</v>
      </c>
      <c r="AE687" s="35"/>
      <c r="AF687" s="35"/>
      <c r="AR687" s="69">
        <f t="shared" si="370"/>
        <v>57</v>
      </c>
      <c r="AS687" s="70">
        <f t="shared" si="373"/>
        <v>684</v>
      </c>
      <c r="AT687" s="71">
        <f t="shared" si="374"/>
        <v>9.2615077926918084E-3</v>
      </c>
      <c r="AU687" s="72">
        <f t="shared" si="354"/>
        <v>6.8214933659622723E-3</v>
      </c>
      <c r="AV687" s="73">
        <f t="shared" si="371"/>
        <v>1.0068214933659623</v>
      </c>
      <c r="AW687" s="74">
        <f>PRODUCT(AV$4:AV687)</f>
        <v>104.59118331724112</v>
      </c>
    </row>
    <row r="688" spans="5:49">
      <c r="E688">
        <f t="shared" si="372"/>
        <v>685</v>
      </c>
      <c r="F688" s="64">
        <f t="shared" si="355"/>
        <v>116.72</v>
      </c>
      <c r="G688" s="55">
        <f t="shared" si="356"/>
        <v>0</v>
      </c>
      <c r="H688" s="78">
        <f t="shared" si="375"/>
        <v>2.4366954920664725E-5</v>
      </c>
      <c r="I688" s="79">
        <f t="shared" ca="1" si="357"/>
        <v>0</v>
      </c>
      <c r="J688" s="79">
        <f t="shared" ca="1" si="358"/>
        <v>0</v>
      </c>
      <c r="K688" s="80">
        <f t="shared" ca="1" si="359"/>
        <v>0</v>
      </c>
      <c r="L688" s="80">
        <f t="shared" ca="1" si="360"/>
        <v>0</v>
      </c>
      <c r="M688" s="80">
        <f t="shared" ca="1" si="361"/>
        <v>0</v>
      </c>
      <c r="N688" s="80">
        <f t="shared" ca="1" si="362"/>
        <v>0</v>
      </c>
      <c r="O688" s="81">
        <f t="shared" ca="1" si="347"/>
        <v>0</v>
      </c>
      <c r="P688" s="79">
        <f t="shared" ca="1" si="348"/>
        <v>0</v>
      </c>
      <c r="R688">
        <f t="shared" ca="1" si="363"/>
        <v>685</v>
      </c>
      <c r="S688" s="78">
        <f t="shared" ca="1" si="364"/>
        <v>116.72</v>
      </c>
      <c r="T688" s="55">
        <f t="shared" ca="1" si="365"/>
        <v>0</v>
      </c>
      <c r="U688" s="78">
        <f t="shared" ca="1" si="366"/>
        <v>2.4366954920664725E-5</v>
      </c>
      <c r="V688" s="79">
        <f t="shared" ca="1" si="367"/>
        <v>0</v>
      </c>
      <c r="W688" s="79">
        <f t="shared" ca="1" si="349"/>
        <v>0</v>
      </c>
      <c r="X688" s="80">
        <f t="shared" ca="1" si="350"/>
        <v>0</v>
      </c>
      <c r="Y688" s="80">
        <f t="shared" ca="1" si="368"/>
        <v>0</v>
      </c>
      <c r="Z688" s="80">
        <f t="shared" ca="1" si="351"/>
        <v>0</v>
      </c>
      <c r="AA688" s="80">
        <f t="shared" ca="1" si="369"/>
        <v>0</v>
      </c>
      <c r="AB688" s="81">
        <f t="shared" ca="1" si="352"/>
        <v>0</v>
      </c>
      <c r="AC688" s="79">
        <f t="shared" ca="1" si="353"/>
        <v>0</v>
      </c>
      <c r="AE688" s="35"/>
      <c r="AF688" s="35"/>
      <c r="AR688" s="69">
        <f t="shared" si="370"/>
        <v>58</v>
      </c>
      <c r="AS688" s="70">
        <f t="shared" si="373"/>
        <v>685</v>
      </c>
      <c r="AT688" s="71">
        <f t="shared" si="374"/>
        <v>9.1983304787251526E-3</v>
      </c>
      <c r="AU688" s="72">
        <f t="shared" si="354"/>
        <v>6.8214933659622723E-3</v>
      </c>
      <c r="AV688" s="73">
        <f t="shared" si="371"/>
        <v>1.0068214933659623</v>
      </c>
      <c r="AW688" s="74">
        <f>PRODUCT(AV$4:AV688)</f>
        <v>105.30465138037782</v>
      </c>
    </row>
    <row r="689" spans="5:49">
      <c r="E689">
        <f t="shared" si="372"/>
        <v>686</v>
      </c>
      <c r="F689" s="64">
        <f t="shared" si="355"/>
        <v>116.8</v>
      </c>
      <c r="G689" s="55">
        <f t="shared" si="356"/>
        <v>0</v>
      </c>
      <c r="H689" s="78">
        <f t="shared" si="375"/>
        <v>2.4366954920664725E-5</v>
      </c>
      <c r="I689" s="79">
        <f t="shared" ca="1" si="357"/>
        <v>0</v>
      </c>
      <c r="J689" s="79">
        <f t="shared" ca="1" si="358"/>
        <v>0</v>
      </c>
      <c r="K689" s="80">
        <f t="shared" ca="1" si="359"/>
        <v>0</v>
      </c>
      <c r="L689" s="80">
        <f t="shared" ca="1" si="360"/>
        <v>0</v>
      </c>
      <c r="M689" s="80">
        <f t="shared" ca="1" si="361"/>
        <v>0</v>
      </c>
      <c r="N689" s="80">
        <f t="shared" ca="1" si="362"/>
        <v>0</v>
      </c>
      <c r="O689" s="81">
        <f t="shared" ca="1" si="347"/>
        <v>0</v>
      </c>
      <c r="P689" s="79">
        <f t="shared" ca="1" si="348"/>
        <v>0</v>
      </c>
      <c r="R689">
        <f t="shared" ca="1" si="363"/>
        <v>686</v>
      </c>
      <c r="S689" s="78">
        <f t="shared" ca="1" si="364"/>
        <v>116.8</v>
      </c>
      <c r="T689" s="55">
        <f t="shared" ca="1" si="365"/>
        <v>0</v>
      </c>
      <c r="U689" s="78">
        <f t="shared" ca="1" si="366"/>
        <v>2.4366954920664725E-5</v>
      </c>
      <c r="V689" s="79">
        <f t="shared" ca="1" si="367"/>
        <v>0</v>
      </c>
      <c r="W689" s="79">
        <f t="shared" ca="1" si="349"/>
        <v>0</v>
      </c>
      <c r="X689" s="80">
        <f t="shared" ca="1" si="350"/>
        <v>0</v>
      </c>
      <c r="Y689" s="80">
        <f t="shared" ca="1" si="368"/>
        <v>0</v>
      </c>
      <c r="Z689" s="80">
        <f t="shared" ca="1" si="351"/>
        <v>0</v>
      </c>
      <c r="AA689" s="80">
        <f t="shared" ca="1" si="369"/>
        <v>0</v>
      </c>
      <c r="AB689" s="81">
        <f t="shared" ca="1" si="352"/>
        <v>0</v>
      </c>
      <c r="AC689" s="79">
        <f t="shared" ca="1" si="353"/>
        <v>0</v>
      </c>
      <c r="AE689" s="35"/>
      <c r="AF689" s="35"/>
      <c r="AR689" s="69">
        <f t="shared" si="370"/>
        <v>58</v>
      </c>
      <c r="AS689" s="70">
        <f t="shared" si="373"/>
        <v>686</v>
      </c>
      <c r="AT689" s="71">
        <f t="shared" si="374"/>
        <v>9.1355841283866004E-3</v>
      </c>
      <c r="AU689" s="72">
        <f t="shared" si="354"/>
        <v>6.8214933659622723E-3</v>
      </c>
      <c r="AV689" s="73">
        <f t="shared" si="371"/>
        <v>1.0068214933659623</v>
      </c>
      <c r="AW689" s="74">
        <f>PRODUCT(AV$4:AV689)</f>
        <v>106.02298636117403</v>
      </c>
    </row>
    <row r="690" spans="5:49">
      <c r="E690">
        <f t="shared" si="372"/>
        <v>687</v>
      </c>
      <c r="F690" s="64">
        <f t="shared" si="355"/>
        <v>116.88</v>
      </c>
      <c r="G690" s="55">
        <f t="shared" si="356"/>
        <v>0</v>
      </c>
      <c r="H690" s="78">
        <f t="shared" si="375"/>
        <v>2.4366954920664725E-5</v>
      </c>
      <c r="I690" s="79">
        <f t="shared" ca="1" si="357"/>
        <v>0</v>
      </c>
      <c r="J690" s="79">
        <f t="shared" ca="1" si="358"/>
        <v>0</v>
      </c>
      <c r="K690" s="80">
        <f t="shared" ca="1" si="359"/>
        <v>0</v>
      </c>
      <c r="L690" s="80">
        <f t="shared" ca="1" si="360"/>
        <v>0</v>
      </c>
      <c r="M690" s="80">
        <f t="shared" ca="1" si="361"/>
        <v>0</v>
      </c>
      <c r="N690" s="80">
        <f t="shared" ca="1" si="362"/>
        <v>0</v>
      </c>
      <c r="O690" s="81">
        <f t="shared" ca="1" si="347"/>
        <v>0</v>
      </c>
      <c r="P690" s="79">
        <f t="shared" ca="1" si="348"/>
        <v>0</v>
      </c>
      <c r="R690">
        <f t="shared" ca="1" si="363"/>
        <v>687</v>
      </c>
      <c r="S690" s="78">
        <f t="shared" ca="1" si="364"/>
        <v>116.88</v>
      </c>
      <c r="T690" s="55">
        <f t="shared" ca="1" si="365"/>
        <v>0</v>
      </c>
      <c r="U690" s="78">
        <f t="shared" ca="1" si="366"/>
        <v>2.4366954920664725E-5</v>
      </c>
      <c r="V690" s="79">
        <f t="shared" ca="1" si="367"/>
        <v>0</v>
      </c>
      <c r="W690" s="79">
        <f t="shared" ca="1" si="349"/>
        <v>0</v>
      </c>
      <c r="X690" s="80">
        <f t="shared" ca="1" si="350"/>
        <v>0</v>
      </c>
      <c r="Y690" s="80">
        <f t="shared" ca="1" si="368"/>
        <v>0</v>
      </c>
      <c r="Z690" s="80">
        <f t="shared" ca="1" si="351"/>
        <v>0</v>
      </c>
      <c r="AA690" s="80">
        <f t="shared" ca="1" si="369"/>
        <v>0</v>
      </c>
      <c r="AB690" s="81">
        <f t="shared" ca="1" si="352"/>
        <v>0</v>
      </c>
      <c r="AC690" s="79">
        <f t="shared" ca="1" si="353"/>
        <v>0</v>
      </c>
      <c r="AE690" s="35"/>
      <c r="AF690" s="35"/>
      <c r="AR690" s="69">
        <f t="shared" si="370"/>
        <v>58</v>
      </c>
      <c r="AS690" s="70">
        <f t="shared" si="373"/>
        <v>687</v>
      </c>
      <c r="AT690" s="71">
        <f t="shared" si="374"/>
        <v>9.0732658018606218E-3</v>
      </c>
      <c r="AU690" s="72">
        <f t="shared" si="354"/>
        <v>6.8214933659622723E-3</v>
      </c>
      <c r="AV690" s="73">
        <f t="shared" si="371"/>
        <v>1.0068214933659623</v>
      </c>
      <c r="AW690" s="74">
        <f>PRODUCT(AV$4:AV690)</f>
        <v>106.74622145927628</v>
      </c>
    </row>
    <row r="691" spans="5:49">
      <c r="E691">
        <f t="shared" si="372"/>
        <v>688</v>
      </c>
      <c r="F691" s="64">
        <f t="shared" si="355"/>
        <v>116.96</v>
      </c>
      <c r="G691" s="55">
        <f t="shared" si="356"/>
        <v>0</v>
      </c>
      <c r="H691" s="78">
        <f t="shared" si="375"/>
        <v>2.4366954920664725E-5</v>
      </c>
      <c r="I691" s="79">
        <f t="shared" ca="1" si="357"/>
        <v>0</v>
      </c>
      <c r="J691" s="79">
        <f t="shared" ca="1" si="358"/>
        <v>0</v>
      </c>
      <c r="K691" s="80">
        <f t="shared" ca="1" si="359"/>
        <v>0</v>
      </c>
      <c r="L691" s="80">
        <f t="shared" ca="1" si="360"/>
        <v>0</v>
      </c>
      <c r="M691" s="80">
        <f t="shared" ca="1" si="361"/>
        <v>0</v>
      </c>
      <c r="N691" s="80">
        <f t="shared" ca="1" si="362"/>
        <v>0</v>
      </c>
      <c r="O691" s="81">
        <f t="shared" ca="1" si="347"/>
        <v>0</v>
      </c>
      <c r="P691" s="79">
        <f t="shared" ca="1" si="348"/>
        <v>0</v>
      </c>
      <c r="R691">
        <f t="shared" ca="1" si="363"/>
        <v>688</v>
      </c>
      <c r="S691" s="78">
        <f t="shared" ca="1" si="364"/>
        <v>116.96</v>
      </c>
      <c r="T691" s="55">
        <f t="shared" ca="1" si="365"/>
        <v>0</v>
      </c>
      <c r="U691" s="78">
        <f t="shared" ca="1" si="366"/>
        <v>2.4366954920664725E-5</v>
      </c>
      <c r="V691" s="79">
        <f t="shared" ca="1" si="367"/>
        <v>0</v>
      </c>
      <c r="W691" s="79">
        <f t="shared" ca="1" si="349"/>
        <v>0</v>
      </c>
      <c r="X691" s="80">
        <f t="shared" ca="1" si="350"/>
        <v>0</v>
      </c>
      <c r="Y691" s="80">
        <f t="shared" ca="1" si="368"/>
        <v>0</v>
      </c>
      <c r="Z691" s="80">
        <f t="shared" ca="1" si="351"/>
        <v>0</v>
      </c>
      <c r="AA691" s="80">
        <f t="shared" ca="1" si="369"/>
        <v>0</v>
      </c>
      <c r="AB691" s="81">
        <f t="shared" ca="1" si="352"/>
        <v>0</v>
      </c>
      <c r="AC691" s="79">
        <f t="shared" ca="1" si="353"/>
        <v>0</v>
      </c>
      <c r="AE691" s="35"/>
      <c r="AF691" s="35"/>
      <c r="AR691" s="69">
        <f t="shared" si="370"/>
        <v>58</v>
      </c>
      <c r="AS691" s="70">
        <f t="shared" si="373"/>
        <v>688</v>
      </c>
      <c r="AT691" s="71">
        <f t="shared" si="374"/>
        <v>9.0113725793856177E-3</v>
      </c>
      <c r="AU691" s="72">
        <f t="shared" si="354"/>
        <v>6.8214933659622723E-3</v>
      </c>
      <c r="AV691" s="73">
        <f t="shared" si="371"/>
        <v>1.0068214933659623</v>
      </c>
      <c r="AW691" s="74">
        <f>PRODUCT(AV$4:AV691)</f>
        <v>107.47439010080228</v>
      </c>
    </row>
    <row r="692" spans="5:49">
      <c r="E692">
        <f t="shared" si="372"/>
        <v>689</v>
      </c>
      <c r="F692" s="64">
        <f t="shared" si="355"/>
        <v>117.04</v>
      </c>
      <c r="G692" s="55">
        <f t="shared" si="356"/>
        <v>0</v>
      </c>
      <c r="H692" s="78">
        <f t="shared" si="375"/>
        <v>2.4366954920664725E-5</v>
      </c>
      <c r="I692" s="79">
        <f t="shared" ca="1" si="357"/>
        <v>0</v>
      </c>
      <c r="J692" s="79">
        <f t="shared" ca="1" si="358"/>
        <v>0</v>
      </c>
      <c r="K692" s="80">
        <f t="shared" ca="1" si="359"/>
        <v>0</v>
      </c>
      <c r="L692" s="80">
        <f t="shared" ca="1" si="360"/>
        <v>0</v>
      </c>
      <c r="M692" s="80">
        <f t="shared" ca="1" si="361"/>
        <v>0</v>
      </c>
      <c r="N692" s="80">
        <f t="shared" ca="1" si="362"/>
        <v>0</v>
      </c>
      <c r="O692" s="81">
        <f t="shared" ca="1" si="347"/>
        <v>0</v>
      </c>
      <c r="P692" s="79">
        <f t="shared" ca="1" si="348"/>
        <v>0</v>
      </c>
      <c r="R692">
        <f t="shared" ca="1" si="363"/>
        <v>689</v>
      </c>
      <c r="S692" s="78">
        <f t="shared" ca="1" si="364"/>
        <v>117.04</v>
      </c>
      <c r="T692" s="55">
        <f t="shared" ca="1" si="365"/>
        <v>0</v>
      </c>
      <c r="U692" s="78">
        <f t="shared" ca="1" si="366"/>
        <v>2.4366954920664725E-5</v>
      </c>
      <c r="V692" s="79">
        <f t="shared" ca="1" si="367"/>
        <v>0</v>
      </c>
      <c r="W692" s="79">
        <f t="shared" ca="1" si="349"/>
        <v>0</v>
      </c>
      <c r="X692" s="80">
        <f t="shared" ca="1" si="350"/>
        <v>0</v>
      </c>
      <c r="Y692" s="80">
        <f t="shared" ca="1" si="368"/>
        <v>0</v>
      </c>
      <c r="Z692" s="80">
        <f t="shared" ca="1" si="351"/>
        <v>0</v>
      </c>
      <c r="AA692" s="80">
        <f t="shared" ca="1" si="369"/>
        <v>0</v>
      </c>
      <c r="AB692" s="81">
        <f t="shared" ca="1" si="352"/>
        <v>0</v>
      </c>
      <c r="AC692" s="79">
        <f t="shared" ca="1" si="353"/>
        <v>0</v>
      </c>
      <c r="AE692" s="35"/>
      <c r="AF692" s="35"/>
      <c r="AR692" s="69">
        <f t="shared" si="370"/>
        <v>58</v>
      </c>
      <c r="AS692" s="70">
        <f t="shared" si="373"/>
        <v>689</v>
      </c>
      <c r="AT692" s="71">
        <f t="shared" si="374"/>
        <v>8.9499015611171247E-3</v>
      </c>
      <c r="AU692" s="72">
        <f t="shared" si="354"/>
        <v>6.8214933659622723E-3</v>
      </c>
      <c r="AV692" s="73">
        <f t="shared" si="371"/>
        <v>1.0068214933659623</v>
      </c>
      <c r="AW692" s="74">
        <f>PRODUCT(AV$4:AV692)</f>
        <v>108.20752593988574</v>
      </c>
    </row>
    <row r="693" spans="5:49">
      <c r="E693">
        <f t="shared" si="372"/>
        <v>690</v>
      </c>
      <c r="F693" s="64">
        <f t="shared" si="355"/>
        <v>117.12</v>
      </c>
      <c r="G693" s="55">
        <f t="shared" si="356"/>
        <v>0</v>
      </c>
      <c r="H693" s="78">
        <f t="shared" si="375"/>
        <v>2.4366954920664725E-5</v>
      </c>
      <c r="I693" s="79">
        <f t="shared" ca="1" si="357"/>
        <v>0</v>
      </c>
      <c r="J693" s="79">
        <f t="shared" ca="1" si="358"/>
        <v>0</v>
      </c>
      <c r="K693" s="80">
        <f t="shared" ca="1" si="359"/>
        <v>0</v>
      </c>
      <c r="L693" s="80">
        <f t="shared" ca="1" si="360"/>
        <v>0</v>
      </c>
      <c r="M693" s="80">
        <f t="shared" ca="1" si="361"/>
        <v>0</v>
      </c>
      <c r="N693" s="80">
        <f t="shared" ca="1" si="362"/>
        <v>0</v>
      </c>
      <c r="O693" s="81">
        <f t="shared" ca="1" si="347"/>
        <v>0</v>
      </c>
      <c r="P693" s="79">
        <f t="shared" ca="1" si="348"/>
        <v>0</v>
      </c>
      <c r="R693">
        <f t="shared" ca="1" si="363"/>
        <v>690</v>
      </c>
      <c r="S693" s="78">
        <f t="shared" ca="1" si="364"/>
        <v>117.12</v>
      </c>
      <c r="T693" s="55">
        <f t="shared" ca="1" si="365"/>
        <v>0</v>
      </c>
      <c r="U693" s="78">
        <f t="shared" ca="1" si="366"/>
        <v>2.4366954920664725E-5</v>
      </c>
      <c r="V693" s="79">
        <f t="shared" ca="1" si="367"/>
        <v>0</v>
      </c>
      <c r="W693" s="79">
        <f t="shared" ca="1" si="349"/>
        <v>0</v>
      </c>
      <c r="X693" s="80">
        <f t="shared" ca="1" si="350"/>
        <v>0</v>
      </c>
      <c r="Y693" s="80">
        <f t="shared" ca="1" si="368"/>
        <v>0</v>
      </c>
      <c r="Z693" s="80">
        <f t="shared" ca="1" si="351"/>
        <v>0</v>
      </c>
      <c r="AA693" s="80">
        <f t="shared" ca="1" si="369"/>
        <v>0</v>
      </c>
      <c r="AB693" s="81">
        <f t="shared" ca="1" si="352"/>
        <v>0</v>
      </c>
      <c r="AC693" s="79">
        <f t="shared" ca="1" si="353"/>
        <v>0</v>
      </c>
      <c r="AE693" s="35"/>
      <c r="AF693" s="35"/>
      <c r="AR693" s="69">
        <f t="shared" si="370"/>
        <v>58</v>
      </c>
      <c r="AS693" s="70">
        <f t="shared" si="373"/>
        <v>690</v>
      </c>
      <c r="AT693" s="71">
        <f t="shared" si="374"/>
        <v>8.8888498669919495E-3</v>
      </c>
      <c r="AU693" s="72">
        <f t="shared" si="354"/>
        <v>6.8214933659622723E-3</v>
      </c>
      <c r="AV693" s="73">
        <f t="shared" si="371"/>
        <v>1.0068214933659623</v>
      </c>
      <c r="AW693" s="74">
        <f>PRODUCT(AV$4:AV693)</f>
        <v>108.94566286023186</v>
      </c>
    </row>
    <row r="694" spans="5:49">
      <c r="E694">
        <f t="shared" si="372"/>
        <v>691</v>
      </c>
      <c r="F694" s="64">
        <f t="shared" si="355"/>
        <v>117.2</v>
      </c>
      <c r="G694" s="55">
        <f t="shared" si="356"/>
        <v>0</v>
      </c>
      <c r="H694" s="78">
        <f t="shared" si="375"/>
        <v>2.4366954920664725E-5</v>
      </c>
      <c r="I694" s="79">
        <f t="shared" ca="1" si="357"/>
        <v>0</v>
      </c>
      <c r="J694" s="79">
        <f t="shared" ca="1" si="358"/>
        <v>0</v>
      </c>
      <c r="K694" s="80">
        <f t="shared" ca="1" si="359"/>
        <v>0</v>
      </c>
      <c r="L694" s="80">
        <f t="shared" ca="1" si="360"/>
        <v>0</v>
      </c>
      <c r="M694" s="80">
        <f t="shared" ca="1" si="361"/>
        <v>0</v>
      </c>
      <c r="N694" s="80">
        <f t="shared" ca="1" si="362"/>
        <v>0</v>
      </c>
      <c r="O694" s="81">
        <f t="shared" ca="1" si="347"/>
        <v>0</v>
      </c>
      <c r="P694" s="79">
        <f t="shared" ca="1" si="348"/>
        <v>0</v>
      </c>
      <c r="R694">
        <f t="shared" ca="1" si="363"/>
        <v>691</v>
      </c>
      <c r="S694" s="78">
        <f t="shared" ca="1" si="364"/>
        <v>117.2</v>
      </c>
      <c r="T694" s="55">
        <f t="shared" ca="1" si="365"/>
        <v>0</v>
      </c>
      <c r="U694" s="78">
        <f t="shared" ca="1" si="366"/>
        <v>2.4366954920664725E-5</v>
      </c>
      <c r="V694" s="79">
        <f t="shared" ca="1" si="367"/>
        <v>0</v>
      </c>
      <c r="W694" s="79">
        <f t="shared" ca="1" si="349"/>
        <v>0</v>
      </c>
      <c r="X694" s="80">
        <f t="shared" ca="1" si="350"/>
        <v>0</v>
      </c>
      <c r="Y694" s="80">
        <f t="shared" ca="1" si="368"/>
        <v>0</v>
      </c>
      <c r="Z694" s="80">
        <f t="shared" ca="1" si="351"/>
        <v>0</v>
      </c>
      <c r="AA694" s="80">
        <f t="shared" ca="1" si="369"/>
        <v>0</v>
      </c>
      <c r="AB694" s="81">
        <f t="shared" ca="1" si="352"/>
        <v>0</v>
      </c>
      <c r="AC694" s="79">
        <f t="shared" ca="1" si="353"/>
        <v>0</v>
      </c>
      <c r="AE694" s="35"/>
      <c r="AF694" s="35"/>
      <c r="AR694" s="69">
        <f t="shared" si="370"/>
        <v>58</v>
      </c>
      <c r="AS694" s="70">
        <f t="shared" si="373"/>
        <v>691</v>
      </c>
      <c r="AT694" s="71">
        <f t="shared" si="374"/>
        <v>8.8282146365932287E-3</v>
      </c>
      <c r="AU694" s="72">
        <f t="shared" si="354"/>
        <v>6.8214933659622723E-3</v>
      </c>
      <c r="AV694" s="73">
        <f t="shared" si="371"/>
        <v>1.0068214933659623</v>
      </c>
      <c r="AW694" s="74">
        <f>PRODUCT(AV$4:AV694)</f>
        <v>109.6888349766833</v>
      </c>
    </row>
    <row r="695" spans="5:49">
      <c r="E695">
        <f t="shared" si="372"/>
        <v>692</v>
      </c>
      <c r="F695" s="64">
        <f t="shared" si="355"/>
        <v>117.28</v>
      </c>
      <c r="G695" s="55">
        <f t="shared" si="356"/>
        <v>0</v>
      </c>
      <c r="H695" s="78">
        <f t="shared" si="375"/>
        <v>2.4366954920664725E-5</v>
      </c>
      <c r="I695" s="79">
        <f t="shared" ca="1" si="357"/>
        <v>0</v>
      </c>
      <c r="J695" s="79">
        <f t="shared" ca="1" si="358"/>
        <v>0</v>
      </c>
      <c r="K695" s="80">
        <f t="shared" ca="1" si="359"/>
        <v>0</v>
      </c>
      <c r="L695" s="80">
        <f t="shared" ca="1" si="360"/>
        <v>0</v>
      </c>
      <c r="M695" s="80">
        <f t="shared" ca="1" si="361"/>
        <v>0</v>
      </c>
      <c r="N695" s="80">
        <f t="shared" ca="1" si="362"/>
        <v>0</v>
      </c>
      <c r="O695" s="81">
        <f t="shared" ca="1" si="347"/>
        <v>0</v>
      </c>
      <c r="P695" s="79">
        <f t="shared" ca="1" si="348"/>
        <v>0</v>
      </c>
      <c r="R695">
        <f t="shared" ca="1" si="363"/>
        <v>692</v>
      </c>
      <c r="S695" s="78">
        <f t="shared" ca="1" si="364"/>
        <v>117.28</v>
      </c>
      <c r="T695" s="55">
        <f t="shared" ca="1" si="365"/>
        <v>0</v>
      </c>
      <c r="U695" s="78">
        <f t="shared" ca="1" si="366"/>
        <v>2.4366954920664725E-5</v>
      </c>
      <c r="V695" s="79">
        <f t="shared" ca="1" si="367"/>
        <v>0</v>
      </c>
      <c r="W695" s="79">
        <f t="shared" ca="1" si="349"/>
        <v>0</v>
      </c>
      <c r="X695" s="80">
        <f t="shared" ca="1" si="350"/>
        <v>0</v>
      </c>
      <c r="Y695" s="80">
        <f t="shared" ca="1" si="368"/>
        <v>0</v>
      </c>
      <c r="Z695" s="80">
        <f t="shared" ca="1" si="351"/>
        <v>0</v>
      </c>
      <c r="AA695" s="80">
        <f t="shared" ca="1" si="369"/>
        <v>0</v>
      </c>
      <c r="AB695" s="81">
        <f t="shared" ca="1" si="352"/>
        <v>0</v>
      </c>
      <c r="AC695" s="79">
        <f t="shared" ca="1" si="353"/>
        <v>0</v>
      </c>
      <c r="AE695" s="35"/>
      <c r="AF695" s="35"/>
      <c r="AR695" s="69">
        <f t="shared" si="370"/>
        <v>58</v>
      </c>
      <c r="AS695" s="70">
        <f t="shared" si="373"/>
        <v>692</v>
      </c>
      <c r="AT695" s="71">
        <f t="shared" si="374"/>
        <v>8.7679930290164177E-3</v>
      </c>
      <c r="AU695" s="72">
        <f t="shared" si="354"/>
        <v>6.8214933659622723E-3</v>
      </c>
      <c r="AV695" s="73">
        <f t="shared" si="371"/>
        <v>1.0068214933659623</v>
      </c>
      <c r="AW695" s="74">
        <f>PRODUCT(AV$4:AV695)</f>
        <v>110.43707663679687</v>
      </c>
    </row>
    <row r="696" spans="5:49">
      <c r="E696">
        <f t="shared" si="372"/>
        <v>693</v>
      </c>
      <c r="F696" s="64">
        <f t="shared" si="355"/>
        <v>117.36</v>
      </c>
      <c r="G696" s="55">
        <f t="shared" si="356"/>
        <v>0</v>
      </c>
      <c r="H696" s="78">
        <f t="shared" si="375"/>
        <v>2.4366954920664725E-5</v>
      </c>
      <c r="I696" s="79">
        <f t="shared" ca="1" si="357"/>
        <v>0</v>
      </c>
      <c r="J696" s="79">
        <f t="shared" ca="1" si="358"/>
        <v>0</v>
      </c>
      <c r="K696" s="80">
        <f t="shared" ca="1" si="359"/>
        <v>0</v>
      </c>
      <c r="L696" s="80">
        <f t="shared" ca="1" si="360"/>
        <v>0</v>
      </c>
      <c r="M696" s="80">
        <f t="shared" ca="1" si="361"/>
        <v>0</v>
      </c>
      <c r="N696" s="80">
        <f t="shared" ca="1" si="362"/>
        <v>0</v>
      </c>
      <c r="O696" s="81">
        <f t="shared" ca="1" si="347"/>
        <v>0</v>
      </c>
      <c r="P696" s="79">
        <f t="shared" ca="1" si="348"/>
        <v>0</v>
      </c>
      <c r="R696">
        <f t="shared" ca="1" si="363"/>
        <v>693</v>
      </c>
      <c r="S696" s="78">
        <f t="shared" ca="1" si="364"/>
        <v>117.36</v>
      </c>
      <c r="T696" s="55">
        <f t="shared" ca="1" si="365"/>
        <v>0</v>
      </c>
      <c r="U696" s="78">
        <f t="shared" ca="1" si="366"/>
        <v>2.4366954920664725E-5</v>
      </c>
      <c r="V696" s="79">
        <f t="shared" ca="1" si="367"/>
        <v>0</v>
      </c>
      <c r="W696" s="79">
        <f t="shared" ca="1" si="349"/>
        <v>0</v>
      </c>
      <c r="X696" s="80">
        <f t="shared" ca="1" si="350"/>
        <v>0</v>
      </c>
      <c r="Y696" s="80">
        <f t="shared" ca="1" si="368"/>
        <v>0</v>
      </c>
      <c r="Z696" s="80">
        <f t="shared" ca="1" si="351"/>
        <v>0</v>
      </c>
      <c r="AA696" s="80">
        <f t="shared" ca="1" si="369"/>
        <v>0</v>
      </c>
      <c r="AB696" s="81">
        <f t="shared" ca="1" si="352"/>
        <v>0</v>
      </c>
      <c r="AC696" s="79">
        <f t="shared" ca="1" si="353"/>
        <v>0</v>
      </c>
      <c r="AE696" s="35"/>
      <c r="AF696" s="35"/>
      <c r="AR696" s="69">
        <f t="shared" si="370"/>
        <v>58</v>
      </c>
      <c r="AS696" s="70">
        <f t="shared" si="373"/>
        <v>693</v>
      </c>
      <c r="AT696" s="71">
        <f t="shared" si="374"/>
        <v>8.7081822227361785E-3</v>
      </c>
      <c r="AU696" s="72">
        <f t="shared" si="354"/>
        <v>6.8214933659622723E-3</v>
      </c>
      <c r="AV696" s="73">
        <f t="shared" si="371"/>
        <v>1.0068214933659623</v>
      </c>
      <c r="AW696" s="74">
        <f>PRODUCT(AV$4:AV696)</f>
        <v>111.19042242243106</v>
      </c>
    </row>
    <row r="697" spans="5:49">
      <c r="E697">
        <f t="shared" si="372"/>
        <v>694</v>
      </c>
      <c r="F697" s="64">
        <f t="shared" si="355"/>
        <v>117.44</v>
      </c>
      <c r="G697" s="55">
        <f t="shared" si="356"/>
        <v>0</v>
      </c>
      <c r="H697" s="78">
        <f t="shared" si="375"/>
        <v>2.4366954920664725E-5</v>
      </c>
      <c r="I697" s="79">
        <f t="shared" ca="1" si="357"/>
        <v>0</v>
      </c>
      <c r="J697" s="79">
        <f t="shared" ca="1" si="358"/>
        <v>0</v>
      </c>
      <c r="K697" s="80">
        <f t="shared" ca="1" si="359"/>
        <v>0</v>
      </c>
      <c r="L697" s="80">
        <f t="shared" ca="1" si="360"/>
        <v>0</v>
      </c>
      <c r="M697" s="80">
        <f t="shared" ca="1" si="361"/>
        <v>0</v>
      </c>
      <c r="N697" s="80">
        <f t="shared" ca="1" si="362"/>
        <v>0</v>
      </c>
      <c r="O697" s="81">
        <f t="shared" ca="1" si="347"/>
        <v>0</v>
      </c>
      <c r="P697" s="79">
        <f t="shared" ca="1" si="348"/>
        <v>0</v>
      </c>
      <c r="R697">
        <f t="shared" ca="1" si="363"/>
        <v>694</v>
      </c>
      <c r="S697" s="78">
        <f t="shared" ca="1" si="364"/>
        <v>117.44</v>
      </c>
      <c r="T697" s="55">
        <f t="shared" ca="1" si="365"/>
        <v>0</v>
      </c>
      <c r="U697" s="78">
        <f t="shared" ca="1" si="366"/>
        <v>2.4366954920664725E-5</v>
      </c>
      <c r="V697" s="79">
        <f t="shared" ca="1" si="367"/>
        <v>0</v>
      </c>
      <c r="W697" s="79">
        <f t="shared" ca="1" si="349"/>
        <v>0</v>
      </c>
      <c r="X697" s="80">
        <f t="shared" ca="1" si="350"/>
        <v>0</v>
      </c>
      <c r="Y697" s="80">
        <f t="shared" ca="1" si="368"/>
        <v>0</v>
      </c>
      <c r="Z697" s="80">
        <f t="shared" ca="1" si="351"/>
        <v>0</v>
      </c>
      <c r="AA697" s="80">
        <f t="shared" ca="1" si="369"/>
        <v>0</v>
      </c>
      <c r="AB697" s="81">
        <f t="shared" ca="1" si="352"/>
        <v>0</v>
      </c>
      <c r="AC697" s="79">
        <f t="shared" ca="1" si="353"/>
        <v>0</v>
      </c>
      <c r="AE697" s="35"/>
      <c r="AF697" s="35"/>
      <c r="AR697" s="69">
        <f t="shared" si="370"/>
        <v>58</v>
      </c>
      <c r="AS697" s="70">
        <f t="shared" si="373"/>
        <v>694</v>
      </c>
      <c r="AT697" s="71">
        <f t="shared" si="374"/>
        <v>8.6487794154741938E-3</v>
      </c>
      <c r="AU697" s="72">
        <f t="shared" si="354"/>
        <v>6.8214933659622723E-3</v>
      </c>
      <c r="AV697" s="73">
        <f t="shared" si="371"/>
        <v>1.0068214933659623</v>
      </c>
      <c r="AW697" s="74">
        <f>PRODUCT(AV$4:AV697)</f>
        <v>111.94890715134422</v>
      </c>
    </row>
    <row r="698" spans="5:49">
      <c r="E698">
        <f t="shared" si="372"/>
        <v>695</v>
      </c>
      <c r="F698" s="64">
        <f t="shared" si="355"/>
        <v>117.52</v>
      </c>
      <c r="G698" s="55">
        <f t="shared" si="356"/>
        <v>0</v>
      </c>
      <c r="H698" s="78">
        <f t="shared" si="375"/>
        <v>2.4366954920664725E-5</v>
      </c>
      <c r="I698" s="79">
        <f t="shared" ca="1" si="357"/>
        <v>0</v>
      </c>
      <c r="J698" s="79">
        <f t="shared" ca="1" si="358"/>
        <v>0</v>
      </c>
      <c r="K698" s="80">
        <f t="shared" ca="1" si="359"/>
        <v>0</v>
      </c>
      <c r="L698" s="80">
        <f t="shared" ca="1" si="360"/>
        <v>0</v>
      </c>
      <c r="M698" s="80">
        <f t="shared" ca="1" si="361"/>
        <v>0</v>
      </c>
      <c r="N698" s="80">
        <f t="shared" ca="1" si="362"/>
        <v>0</v>
      </c>
      <c r="O698" s="81">
        <f t="shared" ca="1" si="347"/>
        <v>0</v>
      </c>
      <c r="P698" s="79">
        <f t="shared" ca="1" si="348"/>
        <v>0</v>
      </c>
      <c r="R698">
        <f t="shared" ca="1" si="363"/>
        <v>695</v>
      </c>
      <c r="S698" s="78">
        <f t="shared" ca="1" si="364"/>
        <v>117.52</v>
      </c>
      <c r="T698" s="55">
        <f t="shared" ca="1" si="365"/>
        <v>0</v>
      </c>
      <c r="U698" s="78">
        <f t="shared" ca="1" si="366"/>
        <v>2.4366954920664725E-5</v>
      </c>
      <c r="V698" s="79">
        <f t="shared" ca="1" si="367"/>
        <v>0</v>
      </c>
      <c r="W698" s="79">
        <f t="shared" ca="1" si="349"/>
        <v>0</v>
      </c>
      <c r="X698" s="80">
        <f t="shared" ca="1" si="350"/>
        <v>0</v>
      </c>
      <c r="Y698" s="80">
        <f t="shared" ca="1" si="368"/>
        <v>0</v>
      </c>
      <c r="Z698" s="80">
        <f t="shared" ca="1" si="351"/>
        <v>0</v>
      </c>
      <c r="AA698" s="80">
        <f t="shared" ca="1" si="369"/>
        <v>0</v>
      </c>
      <c r="AB698" s="81">
        <f t="shared" ca="1" si="352"/>
        <v>0</v>
      </c>
      <c r="AC698" s="79">
        <f t="shared" ca="1" si="353"/>
        <v>0</v>
      </c>
      <c r="AE698" s="35"/>
      <c r="AF698" s="35"/>
      <c r="AR698" s="69">
        <f t="shared" si="370"/>
        <v>58</v>
      </c>
      <c r="AS698" s="70">
        <f t="shared" si="373"/>
        <v>695</v>
      </c>
      <c r="AT698" s="71">
        <f t="shared" si="374"/>
        <v>8.5897818240678655E-3</v>
      </c>
      <c r="AU698" s="72">
        <f t="shared" si="354"/>
        <v>6.8214933659622723E-3</v>
      </c>
      <c r="AV698" s="73">
        <f t="shared" si="371"/>
        <v>1.0068214933659623</v>
      </c>
      <c r="AW698" s="74">
        <f>PRODUCT(AV$4:AV698)</f>
        <v>112.71256587880384</v>
      </c>
    </row>
    <row r="699" spans="5:49">
      <c r="E699">
        <f t="shared" si="372"/>
        <v>696</v>
      </c>
      <c r="F699" s="64">
        <f t="shared" si="355"/>
        <v>117.6</v>
      </c>
      <c r="G699" s="55">
        <f t="shared" si="356"/>
        <v>0</v>
      </c>
      <c r="H699" s="78">
        <f t="shared" si="375"/>
        <v>2.4366954920664725E-5</v>
      </c>
      <c r="I699" s="79">
        <f t="shared" ca="1" si="357"/>
        <v>0</v>
      </c>
      <c r="J699" s="79">
        <f t="shared" ca="1" si="358"/>
        <v>0</v>
      </c>
      <c r="K699" s="80">
        <f t="shared" ca="1" si="359"/>
        <v>0</v>
      </c>
      <c r="L699" s="80">
        <f t="shared" ca="1" si="360"/>
        <v>0</v>
      </c>
      <c r="M699" s="80">
        <f t="shared" ca="1" si="361"/>
        <v>0</v>
      </c>
      <c r="N699" s="80">
        <f t="shared" ca="1" si="362"/>
        <v>0</v>
      </c>
      <c r="O699" s="81">
        <f t="shared" ca="1" si="347"/>
        <v>0</v>
      </c>
      <c r="P699" s="79">
        <f t="shared" ca="1" si="348"/>
        <v>0</v>
      </c>
      <c r="R699">
        <f t="shared" ca="1" si="363"/>
        <v>696</v>
      </c>
      <c r="S699" s="78">
        <f t="shared" ca="1" si="364"/>
        <v>117.6</v>
      </c>
      <c r="T699" s="55">
        <f t="shared" ca="1" si="365"/>
        <v>0</v>
      </c>
      <c r="U699" s="78">
        <f t="shared" ca="1" si="366"/>
        <v>2.4366954920664725E-5</v>
      </c>
      <c r="V699" s="79">
        <f t="shared" ca="1" si="367"/>
        <v>0</v>
      </c>
      <c r="W699" s="79">
        <f t="shared" ca="1" si="349"/>
        <v>0</v>
      </c>
      <c r="X699" s="80">
        <f t="shared" ca="1" si="350"/>
        <v>0</v>
      </c>
      <c r="Y699" s="80">
        <f t="shared" ca="1" si="368"/>
        <v>0</v>
      </c>
      <c r="Z699" s="80">
        <f t="shared" ca="1" si="351"/>
        <v>0</v>
      </c>
      <c r="AA699" s="80">
        <f t="shared" ca="1" si="369"/>
        <v>0</v>
      </c>
      <c r="AB699" s="81">
        <f t="shared" ca="1" si="352"/>
        <v>0</v>
      </c>
      <c r="AC699" s="79">
        <f t="shared" ca="1" si="353"/>
        <v>0</v>
      </c>
      <c r="AE699" s="35"/>
      <c r="AF699" s="35"/>
      <c r="AR699" s="69">
        <f t="shared" si="370"/>
        <v>58</v>
      </c>
      <c r="AS699" s="70">
        <f t="shared" si="373"/>
        <v>696</v>
      </c>
      <c r="AT699" s="71">
        <f t="shared" si="374"/>
        <v>8.5311866843399229E-3</v>
      </c>
      <c r="AU699" s="72">
        <f t="shared" si="354"/>
        <v>6.8214933659622723E-3</v>
      </c>
      <c r="AV699" s="73">
        <f t="shared" si="371"/>
        <v>1.0068214933659623</v>
      </c>
      <c r="AW699" s="74">
        <f>PRODUCT(AV$4:AV699)</f>
        <v>113.48143389920669</v>
      </c>
    </row>
    <row r="700" spans="5:49">
      <c r="E700">
        <f t="shared" si="372"/>
        <v>697</v>
      </c>
      <c r="F700" s="64">
        <f t="shared" si="355"/>
        <v>117.68</v>
      </c>
      <c r="G700" s="55">
        <f t="shared" si="356"/>
        <v>0</v>
      </c>
      <c r="H700" s="78">
        <f t="shared" si="375"/>
        <v>2.4366954920664725E-5</v>
      </c>
      <c r="I700" s="79">
        <f t="shared" ca="1" si="357"/>
        <v>0</v>
      </c>
      <c r="J700" s="79">
        <f t="shared" ca="1" si="358"/>
        <v>0</v>
      </c>
      <c r="K700" s="80">
        <f t="shared" ca="1" si="359"/>
        <v>0</v>
      </c>
      <c r="L700" s="80">
        <f t="shared" ca="1" si="360"/>
        <v>0</v>
      </c>
      <c r="M700" s="80">
        <f t="shared" ca="1" si="361"/>
        <v>0</v>
      </c>
      <c r="N700" s="80">
        <f t="shared" ca="1" si="362"/>
        <v>0</v>
      </c>
      <c r="O700" s="81">
        <f t="shared" ca="1" si="347"/>
        <v>0</v>
      </c>
      <c r="P700" s="79">
        <f t="shared" ca="1" si="348"/>
        <v>0</v>
      </c>
      <c r="R700">
        <f t="shared" ca="1" si="363"/>
        <v>697</v>
      </c>
      <c r="S700" s="78">
        <f t="shared" ca="1" si="364"/>
        <v>117.68</v>
      </c>
      <c r="T700" s="55">
        <f t="shared" ca="1" si="365"/>
        <v>0</v>
      </c>
      <c r="U700" s="78">
        <f t="shared" ca="1" si="366"/>
        <v>2.4366954920664725E-5</v>
      </c>
      <c r="V700" s="79">
        <f t="shared" ca="1" si="367"/>
        <v>0</v>
      </c>
      <c r="W700" s="79">
        <f t="shared" ca="1" si="349"/>
        <v>0</v>
      </c>
      <c r="X700" s="80">
        <f t="shared" ca="1" si="350"/>
        <v>0</v>
      </c>
      <c r="Y700" s="80">
        <f t="shared" ca="1" si="368"/>
        <v>0</v>
      </c>
      <c r="Z700" s="80">
        <f t="shared" ca="1" si="351"/>
        <v>0</v>
      </c>
      <c r="AA700" s="80">
        <f t="shared" ca="1" si="369"/>
        <v>0</v>
      </c>
      <c r="AB700" s="81">
        <f t="shared" ca="1" si="352"/>
        <v>0</v>
      </c>
      <c r="AC700" s="79">
        <f t="shared" ca="1" si="353"/>
        <v>0</v>
      </c>
      <c r="AE700" s="35"/>
      <c r="AF700" s="35"/>
      <c r="AR700" s="69">
        <f t="shared" si="370"/>
        <v>59</v>
      </c>
      <c r="AS700" s="70">
        <f t="shared" si="373"/>
        <v>697</v>
      </c>
      <c r="AT700" s="71">
        <f t="shared" si="374"/>
        <v>8.4729912509689132E-3</v>
      </c>
      <c r="AU700" s="72">
        <f t="shared" si="354"/>
        <v>6.8214933659622723E-3</v>
      </c>
      <c r="AV700" s="73">
        <f t="shared" si="371"/>
        <v>1.0068214933659623</v>
      </c>
      <c r="AW700" s="74">
        <f>PRODUCT(AV$4:AV700)</f>
        <v>114.25554674771001</v>
      </c>
    </row>
    <row r="701" spans="5:49">
      <c r="E701">
        <f t="shared" si="372"/>
        <v>698</v>
      </c>
      <c r="F701" s="64">
        <f t="shared" si="355"/>
        <v>117.76</v>
      </c>
      <c r="G701" s="55">
        <f t="shared" si="356"/>
        <v>0</v>
      </c>
      <c r="H701" s="78">
        <f t="shared" si="375"/>
        <v>2.4366954920664725E-5</v>
      </c>
      <c r="I701" s="79">
        <f t="shared" ca="1" si="357"/>
        <v>0</v>
      </c>
      <c r="J701" s="79">
        <f t="shared" ca="1" si="358"/>
        <v>0</v>
      </c>
      <c r="K701" s="80">
        <f t="shared" ca="1" si="359"/>
        <v>0</v>
      </c>
      <c r="L701" s="80">
        <f t="shared" ca="1" si="360"/>
        <v>0</v>
      </c>
      <c r="M701" s="80">
        <f t="shared" ca="1" si="361"/>
        <v>0</v>
      </c>
      <c r="N701" s="80">
        <f t="shared" ca="1" si="362"/>
        <v>0</v>
      </c>
      <c r="O701" s="81">
        <f t="shared" ca="1" si="347"/>
        <v>0</v>
      </c>
      <c r="P701" s="79">
        <f t="shared" ca="1" si="348"/>
        <v>0</v>
      </c>
      <c r="R701">
        <f t="shared" ca="1" si="363"/>
        <v>698</v>
      </c>
      <c r="S701" s="78">
        <f t="shared" ca="1" si="364"/>
        <v>117.76</v>
      </c>
      <c r="T701" s="55">
        <f t="shared" ca="1" si="365"/>
        <v>0</v>
      </c>
      <c r="U701" s="78">
        <f t="shared" ca="1" si="366"/>
        <v>2.4366954920664725E-5</v>
      </c>
      <c r="V701" s="79">
        <f t="shared" ca="1" si="367"/>
        <v>0</v>
      </c>
      <c r="W701" s="79">
        <f t="shared" ca="1" si="349"/>
        <v>0</v>
      </c>
      <c r="X701" s="80">
        <f t="shared" ca="1" si="350"/>
        <v>0</v>
      </c>
      <c r="Y701" s="80">
        <f t="shared" ca="1" si="368"/>
        <v>0</v>
      </c>
      <c r="Z701" s="80">
        <f t="shared" ca="1" si="351"/>
        <v>0</v>
      </c>
      <c r="AA701" s="80">
        <f t="shared" ca="1" si="369"/>
        <v>0</v>
      </c>
      <c r="AB701" s="81">
        <f t="shared" ca="1" si="352"/>
        <v>0</v>
      </c>
      <c r="AC701" s="79">
        <f t="shared" ca="1" si="353"/>
        <v>0</v>
      </c>
      <c r="AE701" s="35"/>
      <c r="AF701" s="35"/>
      <c r="AR701" s="69">
        <f t="shared" si="370"/>
        <v>59</v>
      </c>
      <c r="AS701" s="70">
        <f t="shared" si="373"/>
        <v>698</v>
      </c>
      <c r="AT701" s="71">
        <f t="shared" si="374"/>
        <v>8.4151927973605718E-3</v>
      </c>
      <c r="AU701" s="72">
        <f t="shared" si="354"/>
        <v>6.8214933659622723E-3</v>
      </c>
      <c r="AV701" s="73">
        <f t="shared" si="371"/>
        <v>1.0068214933659623</v>
      </c>
      <c r="AW701" s="74">
        <f>PRODUCT(AV$4:AV701)</f>
        <v>115.03494020187391</v>
      </c>
    </row>
    <row r="702" spans="5:49">
      <c r="E702">
        <f t="shared" si="372"/>
        <v>699</v>
      </c>
      <c r="F702" s="64">
        <f t="shared" si="355"/>
        <v>117.84</v>
      </c>
      <c r="G702" s="55">
        <f t="shared" si="356"/>
        <v>0</v>
      </c>
      <c r="H702" s="78">
        <f t="shared" si="375"/>
        <v>2.4366954920664725E-5</v>
      </c>
      <c r="I702" s="79">
        <f t="shared" ca="1" si="357"/>
        <v>0</v>
      </c>
      <c r="J702" s="79">
        <f t="shared" ca="1" si="358"/>
        <v>0</v>
      </c>
      <c r="K702" s="80">
        <f t="shared" ca="1" si="359"/>
        <v>0</v>
      </c>
      <c r="L702" s="80">
        <f t="shared" ca="1" si="360"/>
        <v>0</v>
      </c>
      <c r="M702" s="80">
        <f t="shared" ca="1" si="361"/>
        <v>0</v>
      </c>
      <c r="N702" s="80">
        <f t="shared" ca="1" si="362"/>
        <v>0</v>
      </c>
      <c r="O702" s="81">
        <f t="shared" ca="1" si="347"/>
        <v>0</v>
      </c>
      <c r="P702" s="79">
        <f t="shared" ca="1" si="348"/>
        <v>0</v>
      </c>
      <c r="R702">
        <f t="shared" ca="1" si="363"/>
        <v>699</v>
      </c>
      <c r="S702" s="78">
        <f t="shared" ca="1" si="364"/>
        <v>117.84</v>
      </c>
      <c r="T702" s="55">
        <f t="shared" ca="1" si="365"/>
        <v>0</v>
      </c>
      <c r="U702" s="78">
        <f t="shared" ca="1" si="366"/>
        <v>2.4366954920664725E-5</v>
      </c>
      <c r="V702" s="79">
        <f t="shared" ca="1" si="367"/>
        <v>0</v>
      </c>
      <c r="W702" s="79">
        <f t="shared" ca="1" si="349"/>
        <v>0</v>
      </c>
      <c r="X702" s="80">
        <f t="shared" ca="1" si="350"/>
        <v>0</v>
      </c>
      <c r="Y702" s="80">
        <f t="shared" ca="1" si="368"/>
        <v>0</v>
      </c>
      <c r="Z702" s="80">
        <f t="shared" ca="1" si="351"/>
        <v>0</v>
      </c>
      <c r="AA702" s="80">
        <f t="shared" ca="1" si="369"/>
        <v>0</v>
      </c>
      <c r="AB702" s="81">
        <f t="shared" ca="1" si="352"/>
        <v>0</v>
      </c>
      <c r="AC702" s="79">
        <f t="shared" ca="1" si="353"/>
        <v>0</v>
      </c>
      <c r="AE702" s="35"/>
      <c r="AF702" s="35"/>
      <c r="AR702" s="69">
        <f t="shared" si="370"/>
        <v>59</v>
      </c>
      <c r="AS702" s="70">
        <f t="shared" si="373"/>
        <v>699</v>
      </c>
      <c r="AT702" s="71">
        <f t="shared" si="374"/>
        <v>8.3577886155200825E-3</v>
      </c>
      <c r="AU702" s="72">
        <f t="shared" si="354"/>
        <v>6.8214933659622723E-3</v>
      </c>
      <c r="AV702" s="73">
        <f t="shared" si="371"/>
        <v>1.0068214933659623</v>
      </c>
      <c r="AW702" s="74">
        <f>PRODUCT(AV$4:AV702)</f>
        <v>115.81965028331486</v>
      </c>
    </row>
    <row r="703" spans="5:49">
      <c r="E703">
        <f t="shared" si="372"/>
        <v>700</v>
      </c>
      <c r="F703" s="64">
        <f t="shared" si="355"/>
        <v>117.92</v>
      </c>
      <c r="G703" s="55">
        <f t="shared" si="356"/>
        <v>0</v>
      </c>
      <c r="H703" s="78">
        <f t="shared" si="375"/>
        <v>2.4366954920664725E-5</v>
      </c>
      <c r="I703" s="79">
        <f t="shared" ca="1" si="357"/>
        <v>0</v>
      </c>
      <c r="J703" s="79">
        <f t="shared" ca="1" si="358"/>
        <v>0</v>
      </c>
      <c r="K703" s="80">
        <f t="shared" ca="1" si="359"/>
        <v>0</v>
      </c>
      <c r="L703" s="80">
        <f t="shared" ca="1" si="360"/>
        <v>0</v>
      </c>
      <c r="M703" s="80">
        <f t="shared" ca="1" si="361"/>
        <v>0</v>
      </c>
      <c r="N703" s="80">
        <f t="shared" ca="1" si="362"/>
        <v>0</v>
      </c>
      <c r="O703" s="81">
        <f t="shared" ca="1" si="347"/>
        <v>0</v>
      </c>
      <c r="P703" s="79">
        <f t="shared" ca="1" si="348"/>
        <v>0</v>
      </c>
      <c r="R703">
        <f t="shared" ca="1" si="363"/>
        <v>700</v>
      </c>
      <c r="S703" s="78">
        <f t="shared" ca="1" si="364"/>
        <v>117.92</v>
      </c>
      <c r="T703" s="55">
        <f t="shared" ca="1" si="365"/>
        <v>0</v>
      </c>
      <c r="U703" s="78">
        <f t="shared" ca="1" si="366"/>
        <v>2.4366954920664725E-5</v>
      </c>
      <c r="V703" s="79">
        <f t="shared" ca="1" si="367"/>
        <v>0</v>
      </c>
      <c r="W703" s="79">
        <f t="shared" ca="1" si="349"/>
        <v>0</v>
      </c>
      <c r="X703" s="80">
        <f t="shared" ca="1" si="350"/>
        <v>0</v>
      </c>
      <c r="Y703" s="80">
        <f t="shared" ca="1" si="368"/>
        <v>0</v>
      </c>
      <c r="Z703" s="80">
        <f t="shared" ca="1" si="351"/>
        <v>0</v>
      </c>
      <c r="AA703" s="80">
        <f t="shared" ca="1" si="369"/>
        <v>0</v>
      </c>
      <c r="AB703" s="81">
        <f t="shared" ca="1" si="352"/>
        <v>0</v>
      </c>
      <c r="AC703" s="79">
        <f t="shared" ca="1" si="353"/>
        <v>0</v>
      </c>
      <c r="AE703" s="35"/>
      <c r="AF703" s="35"/>
      <c r="AR703" s="69">
        <f t="shared" si="370"/>
        <v>59</v>
      </c>
      <c r="AS703" s="70">
        <f t="shared" si="373"/>
        <v>700</v>
      </c>
      <c r="AT703" s="71">
        <f t="shared" si="374"/>
        <v>8.300776015925198E-3</v>
      </c>
      <c r="AU703" s="72">
        <f t="shared" si="354"/>
        <v>6.8214933659622723E-3</v>
      </c>
      <c r="AV703" s="73">
        <f t="shared" si="371"/>
        <v>1.0068214933659623</v>
      </c>
      <c r="AW703" s="74">
        <f>PRODUCT(AV$4:AV703)</f>
        <v>116.60971325937057</v>
      </c>
    </row>
    <row r="704" spans="5:49">
      <c r="E704">
        <f t="shared" si="372"/>
        <v>701</v>
      </c>
      <c r="F704" s="64">
        <f t="shared" si="355"/>
        <v>118</v>
      </c>
      <c r="G704" s="55">
        <f t="shared" si="356"/>
        <v>0</v>
      </c>
      <c r="H704" s="78">
        <f t="shared" si="375"/>
        <v>2.4366954920664725E-5</v>
      </c>
      <c r="I704" s="79">
        <f t="shared" ca="1" si="357"/>
        <v>0</v>
      </c>
      <c r="J704" s="79">
        <f t="shared" ca="1" si="358"/>
        <v>0</v>
      </c>
      <c r="K704" s="80">
        <f t="shared" ca="1" si="359"/>
        <v>0</v>
      </c>
      <c r="L704" s="80">
        <f t="shared" ca="1" si="360"/>
        <v>0</v>
      </c>
      <c r="M704" s="80">
        <f t="shared" ca="1" si="361"/>
        <v>0</v>
      </c>
      <c r="N704" s="80">
        <f t="shared" ca="1" si="362"/>
        <v>0</v>
      </c>
      <c r="O704" s="81">
        <f t="shared" ca="1" si="347"/>
        <v>0</v>
      </c>
      <c r="P704" s="79">
        <f t="shared" ca="1" si="348"/>
        <v>0</v>
      </c>
      <c r="R704">
        <f t="shared" ca="1" si="363"/>
        <v>701</v>
      </c>
      <c r="S704" s="78">
        <f t="shared" ca="1" si="364"/>
        <v>118</v>
      </c>
      <c r="T704" s="55">
        <f t="shared" ca="1" si="365"/>
        <v>0</v>
      </c>
      <c r="U704" s="78">
        <f t="shared" ca="1" si="366"/>
        <v>2.4366954920664725E-5</v>
      </c>
      <c r="V704" s="79">
        <f t="shared" ca="1" si="367"/>
        <v>0</v>
      </c>
      <c r="W704" s="79">
        <f t="shared" ca="1" si="349"/>
        <v>0</v>
      </c>
      <c r="X704" s="80">
        <f t="shared" ca="1" si="350"/>
        <v>0</v>
      </c>
      <c r="Y704" s="80">
        <f t="shared" ca="1" si="368"/>
        <v>0</v>
      </c>
      <c r="Z704" s="80">
        <f t="shared" ca="1" si="351"/>
        <v>0</v>
      </c>
      <c r="AA704" s="80">
        <f t="shared" ca="1" si="369"/>
        <v>0</v>
      </c>
      <c r="AB704" s="81">
        <f t="shared" ca="1" si="352"/>
        <v>0</v>
      </c>
      <c r="AC704" s="79">
        <f t="shared" ca="1" si="353"/>
        <v>0</v>
      </c>
      <c r="AE704" s="35"/>
      <c r="AF704" s="35"/>
      <c r="AR704" s="69">
        <f t="shared" si="370"/>
        <v>59</v>
      </c>
      <c r="AS704" s="70">
        <f t="shared" si="373"/>
        <v>701</v>
      </c>
      <c r="AT704" s="71">
        <f t="shared" si="374"/>
        <v>8.2441523274002261E-3</v>
      </c>
      <c r="AU704" s="72">
        <f t="shared" si="354"/>
        <v>6.8214933659622723E-3</v>
      </c>
      <c r="AV704" s="73">
        <f t="shared" si="371"/>
        <v>1.0068214933659623</v>
      </c>
      <c r="AW704" s="74">
        <f>PRODUCT(AV$4:AV704)</f>
        <v>117.40516564477612</v>
      </c>
    </row>
    <row r="705" spans="5:49">
      <c r="E705">
        <f t="shared" si="372"/>
        <v>702</v>
      </c>
      <c r="F705" s="64">
        <f t="shared" si="355"/>
        <v>118.08</v>
      </c>
      <c r="G705" s="55">
        <f t="shared" si="356"/>
        <v>0</v>
      </c>
      <c r="H705" s="78">
        <f t="shared" si="375"/>
        <v>2.4366954920664725E-5</v>
      </c>
      <c r="I705" s="79">
        <f t="shared" ca="1" si="357"/>
        <v>0</v>
      </c>
      <c r="J705" s="79">
        <f t="shared" ca="1" si="358"/>
        <v>0</v>
      </c>
      <c r="K705" s="80">
        <f t="shared" ca="1" si="359"/>
        <v>0</v>
      </c>
      <c r="L705" s="80">
        <f t="shared" ca="1" si="360"/>
        <v>0</v>
      </c>
      <c r="M705" s="80">
        <f t="shared" ca="1" si="361"/>
        <v>0</v>
      </c>
      <c r="N705" s="80">
        <f t="shared" ca="1" si="362"/>
        <v>0</v>
      </c>
      <c r="O705" s="81">
        <f t="shared" ca="1" si="347"/>
        <v>0</v>
      </c>
      <c r="P705" s="79">
        <f t="shared" ca="1" si="348"/>
        <v>0</v>
      </c>
      <c r="R705">
        <f t="shared" ca="1" si="363"/>
        <v>702</v>
      </c>
      <c r="S705" s="78">
        <f t="shared" ca="1" si="364"/>
        <v>118.08</v>
      </c>
      <c r="T705" s="55">
        <f t="shared" ca="1" si="365"/>
        <v>0</v>
      </c>
      <c r="U705" s="78">
        <f t="shared" ca="1" si="366"/>
        <v>2.4366954920664725E-5</v>
      </c>
      <c r="V705" s="79">
        <f t="shared" ca="1" si="367"/>
        <v>0</v>
      </c>
      <c r="W705" s="79">
        <f t="shared" ca="1" si="349"/>
        <v>0</v>
      </c>
      <c r="X705" s="80">
        <f t="shared" ca="1" si="350"/>
        <v>0</v>
      </c>
      <c r="Y705" s="80">
        <f t="shared" ca="1" si="368"/>
        <v>0</v>
      </c>
      <c r="Z705" s="80">
        <f t="shared" ca="1" si="351"/>
        <v>0</v>
      </c>
      <c r="AA705" s="80">
        <f t="shared" ca="1" si="369"/>
        <v>0</v>
      </c>
      <c r="AB705" s="81">
        <f t="shared" ca="1" si="352"/>
        <v>0</v>
      </c>
      <c r="AC705" s="79">
        <f t="shared" ca="1" si="353"/>
        <v>0</v>
      </c>
      <c r="AE705" s="35"/>
      <c r="AF705" s="35"/>
      <c r="AR705" s="69">
        <f t="shared" si="370"/>
        <v>59</v>
      </c>
      <c r="AS705" s="70">
        <f t="shared" si="373"/>
        <v>702</v>
      </c>
      <c r="AT705" s="71">
        <f t="shared" si="374"/>
        <v>8.1879148969908836E-3</v>
      </c>
      <c r="AU705" s="72">
        <f t="shared" si="354"/>
        <v>6.8214933659622723E-3</v>
      </c>
      <c r="AV705" s="73">
        <f t="shared" si="371"/>
        <v>1.0068214933659623</v>
      </c>
      <c r="AW705" s="74">
        <f>PRODUCT(AV$4:AV705)</f>
        <v>118.20604420335167</v>
      </c>
    </row>
    <row r="706" spans="5:49">
      <c r="E706">
        <f t="shared" si="372"/>
        <v>703</v>
      </c>
      <c r="F706" s="64">
        <f t="shared" si="355"/>
        <v>118.16</v>
      </c>
      <c r="G706" s="55">
        <f t="shared" si="356"/>
        <v>0</v>
      </c>
      <c r="H706" s="78">
        <f t="shared" si="375"/>
        <v>2.4366954920664725E-5</v>
      </c>
      <c r="I706" s="79">
        <f t="shared" ca="1" si="357"/>
        <v>0</v>
      </c>
      <c r="J706" s="79">
        <f t="shared" ca="1" si="358"/>
        <v>0</v>
      </c>
      <c r="K706" s="80">
        <f t="shared" ca="1" si="359"/>
        <v>0</v>
      </c>
      <c r="L706" s="80">
        <f t="shared" ca="1" si="360"/>
        <v>0</v>
      </c>
      <c r="M706" s="80">
        <f t="shared" ca="1" si="361"/>
        <v>0</v>
      </c>
      <c r="N706" s="80">
        <f t="shared" ca="1" si="362"/>
        <v>0</v>
      </c>
      <c r="O706" s="81">
        <f t="shared" ca="1" si="347"/>
        <v>0</v>
      </c>
      <c r="P706" s="79">
        <f t="shared" ca="1" si="348"/>
        <v>0</v>
      </c>
      <c r="R706">
        <f t="shared" ca="1" si="363"/>
        <v>703</v>
      </c>
      <c r="S706" s="78">
        <f t="shared" ca="1" si="364"/>
        <v>118.16</v>
      </c>
      <c r="T706" s="55">
        <f t="shared" ca="1" si="365"/>
        <v>0</v>
      </c>
      <c r="U706" s="78">
        <f t="shared" ca="1" si="366"/>
        <v>2.4366954920664725E-5</v>
      </c>
      <c r="V706" s="79">
        <f t="shared" ca="1" si="367"/>
        <v>0</v>
      </c>
      <c r="W706" s="79">
        <f t="shared" ca="1" si="349"/>
        <v>0</v>
      </c>
      <c r="X706" s="80">
        <f t="shared" ca="1" si="350"/>
        <v>0</v>
      </c>
      <c r="Y706" s="80">
        <f t="shared" ca="1" si="368"/>
        <v>0</v>
      </c>
      <c r="Z706" s="80">
        <f t="shared" ca="1" si="351"/>
        <v>0</v>
      </c>
      <c r="AA706" s="80">
        <f t="shared" ca="1" si="369"/>
        <v>0</v>
      </c>
      <c r="AB706" s="81">
        <f t="shared" ca="1" si="352"/>
        <v>0</v>
      </c>
      <c r="AC706" s="79">
        <f t="shared" ca="1" si="353"/>
        <v>0</v>
      </c>
      <c r="AE706" s="35"/>
      <c r="AF706" s="35"/>
      <c r="AR706" s="69">
        <f t="shared" si="370"/>
        <v>59</v>
      </c>
      <c r="AS706" s="70">
        <f t="shared" si="373"/>
        <v>703</v>
      </c>
      <c r="AT706" s="71">
        <f t="shared" si="374"/>
        <v>8.132061089839996E-3</v>
      </c>
      <c r="AU706" s="72">
        <f t="shared" si="354"/>
        <v>6.8214933659622723E-3</v>
      </c>
      <c r="AV706" s="73">
        <f t="shared" si="371"/>
        <v>1.0068214933659623</v>
      </c>
      <c r="AW706" s="74">
        <f>PRODUCT(AV$4:AV706)</f>
        <v>119.01238594970147</v>
      </c>
    </row>
    <row r="707" spans="5:49">
      <c r="E707">
        <f t="shared" si="372"/>
        <v>704</v>
      </c>
      <c r="F707" s="64">
        <f t="shared" si="355"/>
        <v>118.24</v>
      </c>
      <c r="G707" s="55">
        <f t="shared" si="356"/>
        <v>0</v>
      </c>
      <c r="H707" s="78">
        <f t="shared" si="375"/>
        <v>2.4366954920664725E-5</v>
      </c>
      <c r="I707" s="79">
        <f t="shared" ca="1" si="357"/>
        <v>0</v>
      </c>
      <c r="J707" s="79">
        <f t="shared" ca="1" si="358"/>
        <v>0</v>
      </c>
      <c r="K707" s="80">
        <f t="shared" ca="1" si="359"/>
        <v>0</v>
      </c>
      <c r="L707" s="80">
        <f t="shared" ca="1" si="360"/>
        <v>0</v>
      </c>
      <c r="M707" s="80">
        <f t="shared" ca="1" si="361"/>
        <v>0</v>
      </c>
      <c r="N707" s="80">
        <f t="shared" ca="1" si="362"/>
        <v>0</v>
      </c>
      <c r="O707" s="81">
        <f t="shared" ca="1" si="347"/>
        <v>0</v>
      </c>
      <c r="P707" s="79">
        <f t="shared" ca="1" si="348"/>
        <v>0</v>
      </c>
      <c r="R707">
        <f t="shared" ca="1" si="363"/>
        <v>704</v>
      </c>
      <c r="S707" s="78">
        <f t="shared" ca="1" si="364"/>
        <v>118.24</v>
      </c>
      <c r="T707" s="55">
        <f t="shared" ca="1" si="365"/>
        <v>0</v>
      </c>
      <c r="U707" s="78">
        <f t="shared" ca="1" si="366"/>
        <v>2.4366954920664725E-5</v>
      </c>
      <c r="V707" s="79">
        <f t="shared" ca="1" si="367"/>
        <v>0</v>
      </c>
      <c r="W707" s="79">
        <f t="shared" ca="1" si="349"/>
        <v>0</v>
      </c>
      <c r="X707" s="80">
        <f t="shared" ca="1" si="350"/>
        <v>0</v>
      </c>
      <c r="Y707" s="80">
        <f t="shared" ca="1" si="368"/>
        <v>0</v>
      </c>
      <c r="Z707" s="80">
        <f t="shared" ca="1" si="351"/>
        <v>0</v>
      </c>
      <c r="AA707" s="80">
        <f t="shared" ca="1" si="369"/>
        <v>0</v>
      </c>
      <c r="AB707" s="81">
        <f t="shared" ca="1" si="352"/>
        <v>0</v>
      </c>
      <c r="AC707" s="79">
        <f t="shared" ca="1" si="353"/>
        <v>0</v>
      </c>
      <c r="AE707" s="35"/>
      <c r="AF707" s="35"/>
      <c r="AR707" s="69">
        <f t="shared" si="370"/>
        <v>59</v>
      </c>
      <c r="AS707" s="70">
        <f t="shared" si="373"/>
        <v>704</v>
      </c>
      <c r="AT707" s="71">
        <f t="shared" si="374"/>
        <v>8.0765882890640531E-3</v>
      </c>
      <c r="AU707" s="72">
        <f t="shared" si="354"/>
        <v>6.8214933659622723E-3</v>
      </c>
      <c r="AV707" s="73">
        <f t="shared" si="371"/>
        <v>1.0068214933659623</v>
      </c>
      <c r="AW707" s="74">
        <f>PRODUCT(AV$4:AV707)</f>
        <v>119.8242281509247</v>
      </c>
    </row>
    <row r="708" spans="5:49">
      <c r="E708">
        <f t="shared" si="372"/>
        <v>705</v>
      </c>
      <c r="F708" s="64">
        <f t="shared" si="355"/>
        <v>118.32</v>
      </c>
      <c r="G708" s="55">
        <f t="shared" si="356"/>
        <v>0</v>
      </c>
      <c r="H708" s="78">
        <f t="shared" si="375"/>
        <v>2.4366954920664725E-5</v>
      </c>
      <c r="I708" s="79">
        <f t="shared" ca="1" si="357"/>
        <v>0</v>
      </c>
      <c r="J708" s="79">
        <f t="shared" ca="1" si="358"/>
        <v>0</v>
      </c>
      <c r="K708" s="80">
        <f t="shared" ca="1" si="359"/>
        <v>0</v>
      </c>
      <c r="L708" s="80">
        <f t="shared" ca="1" si="360"/>
        <v>0</v>
      </c>
      <c r="M708" s="80">
        <f t="shared" ca="1" si="361"/>
        <v>0</v>
      </c>
      <c r="N708" s="80">
        <f t="shared" ca="1" si="362"/>
        <v>0</v>
      </c>
      <c r="O708" s="81">
        <f t="shared" ref="O708:O771" ca="1" si="376">-MIN(IF(MOD(R708,IF($C$5="Annual",12,1))=0,1,0)*$C$33*U708/IF($C$5="Monthly",12,1),I708)</f>
        <v>0</v>
      </c>
      <c r="P708" s="79">
        <f t="shared" ref="P708:P771" ca="1" si="377">SUM(I708:O708)</f>
        <v>0</v>
      </c>
      <c r="R708">
        <f t="shared" ca="1" si="363"/>
        <v>705</v>
      </c>
      <c r="S708" s="78">
        <f t="shared" ca="1" si="364"/>
        <v>118.32</v>
      </c>
      <c r="T708" s="55">
        <f t="shared" ca="1" si="365"/>
        <v>0</v>
      </c>
      <c r="U708" s="78">
        <f t="shared" ca="1" si="366"/>
        <v>2.4366954920664725E-5</v>
      </c>
      <c r="V708" s="79">
        <f t="shared" ca="1" si="367"/>
        <v>0</v>
      </c>
      <c r="W708" s="79">
        <f t="shared" ref="W708:W771" ca="1" si="378">(V708)*$AU708</f>
        <v>0</v>
      </c>
      <c r="X708" s="80">
        <f t="shared" ref="X708:X771" ca="1" si="379">IF(V708=0,0,-$C$19)*U708</f>
        <v>0</v>
      </c>
      <c r="Y708" s="80">
        <f t="shared" ca="1" si="368"/>
        <v>0</v>
      </c>
      <c r="Z708" s="80">
        <f t="shared" ref="Z708:Z771" ca="1" si="380">-IF(MOD(R708-1,12)=0,1,0)*V708*($C$17)</f>
        <v>0</v>
      </c>
      <c r="AA708" s="80">
        <f t="shared" ca="1" si="369"/>
        <v>0</v>
      </c>
      <c r="AB708" s="81">
        <f t="shared" ref="AB708:AB771" ca="1" si="381">-MIN(IF(MOD(R708,IF($C$5="Annual",12,1))=0,1,0)*$C$33*U708/IF($C$5="Monthly",12,1),V708)</f>
        <v>0</v>
      </c>
      <c r="AC708" s="79">
        <f t="shared" ref="AC708:AC771" ca="1" si="382">SUM(V708:AB708)</f>
        <v>0</v>
      </c>
      <c r="AE708" s="35"/>
      <c r="AF708" s="35"/>
      <c r="AR708" s="69">
        <f t="shared" si="370"/>
        <v>59</v>
      </c>
      <c r="AS708" s="70">
        <f t="shared" si="373"/>
        <v>705</v>
      </c>
      <c r="AT708" s="71">
        <f t="shared" si="374"/>
        <v>8.0214938956305933E-3</v>
      </c>
      <c r="AU708" s="72">
        <f t="shared" ref="AU708:AU771" si="383">((1+$AH$21)^(1/12))-1</f>
        <v>6.8214933659622723E-3</v>
      </c>
      <c r="AV708" s="73">
        <f t="shared" si="371"/>
        <v>1.0068214933659623</v>
      </c>
      <c r="AW708" s="74">
        <f>PRODUCT(AV$4:AV708)</f>
        <v>120.64160832833778</v>
      </c>
    </row>
    <row r="709" spans="5:49">
      <c r="E709">
        <f t="shared" si="372"/>
        <v>706</v>
      </c>
      <c r="F709" s="64">
        <f t="shared" ref="F709:F772" si="384">ROUND((E709-E708)/12+F708,2)</f>
        <v>118.4</v>
      </c>
      <c r="G709" s="55">
        <f t="shared" ref="G709:G772" si="385">(1-(1-IF(F709&gt;$AJ$90,0,VLOOKUP(ROUND(F709,0),$AJ$4:$AK$90,2,FALSE)))^(1/12))</f>
        <v>0</v>
      </c>
      <c r="H709" s="78">
        <f t="shared" si="375"/>
        <v>2.4366954920664725E-5</v>
      </c>
      <c r="I709" s="79">
        <f t="shared" ref="I709:I772" ca="1" si="386">MAX(P708,0)*(1-G709)</f>
        <v>0</v>
      </c>
      <c r="J709" s="79">
        <f t="shared" ref="J709:J772" ca="1" si="387">(I709)*$AU709</f>
        <v>0</v>
      </c>
      <c r="K709" s="80">
        <f t="shared" ref="K709:K772" ca="1" si="388">IF(I709=0,0,-$C$19)*H709</f>
        <v>0</v>
      </c>
      <c r="L709" s="80">
        <f t="shared" ref="L709:L772" ca="1" si="389">IF(OR(I708+O708=0,K708=0),0,-I709*($C$16/12))</f>
        <v>0</v>
      </c>
      <c r="M709" s="80">
        <f t="shared" ref="M709:M772" ca="1" si="390">IF(OR(I708+O708=0,K708=0),0,-IF(MOD(E709-1,12)=0,1,0)*I709*($C$17))</f>
        <v>0</v>
      </c>
      <c r="N709" s="80">
        <f t="shared" ref="N709:N772" ca="1" si="391">IF(OR(I708+O708=0,K708=0),0,-I709*($C$18*(1+$C$20))/12)</f>
        <v>0</v>
      </c>
      <c r="O709" s="81">
        <f t="shared" ca="1" si="376"/>
        <v>0</v>
      </c>
      <c r="P709" s="79">
        <f t="shared" ca="1" si="377"/>
        <v>0</v>
      </c>
      <c r="R709">
        <f t="shared" ref="R709:R772" ca="1" si="392">R708+1</f>
        <v>706</v>
      </c>
      <c r="S709" s="78">
        <f t="shared" ref="S709:S772" ca="1" si="393">ROUND((R709-R708)/12+S708,2)</f>
        <v>118.4</v>
      </c>
      <c r="T709" s="55">
        <f t="shared" ref="T709:T772" ca="1" si="394">(1-(1-IF(S709&gt;$AJ$90,0,VLOOKUP(ROUND(S709,0),$AJ$4:$AK$90,2,FALSE)))^(1/12))</f>
        <v>0</v>
      </c>
      <c r="U709" s="78">
        <f t="shared" ref="U709:U772" ca="1" si="395">U708*(1-T709)</f>
        <v>2.4366954920664725E-5</v>
      </c>
      <c r="V709" s="79">
        <f t="shared" ref="V709:V772" ca="1" si="396">MAX(AC708,0)*(1-T709)</f>
        <v>0</v>
      </c>
      <c r="W709" s="79">
        <f t="shared" ca="1" si="378"/>
        <v>0</v>
      </c>
      <c r="X709" s="80">
        <f t="shared" ca="1" si="379"/>
        <v>0</v>
      </c>
      <c r="Y709" s="80">
        <f t="shared" ref="Y709:Y772" ca="1" si="397">IF(OR(V708+AB708=0,X708=0),0,-V709*($C$16/12))</f>
        <v>0</v>
      </c>
      <c r="Z709" s="80">
        <f t="shared" ca="1" si="380"/>
        <v>0</v>
      </c>
      <c r="AA709" s="80">
        <f t="shared" ref="AA709:AA772" ca="1" si="398">IF(OR(V708+AB708=0,X708=0),0,-V709*($C$18*(1+$C$20))/12)</f>
        <v>0</v>
      </c>
      <c r="AB709" s="81">
        <f t="shared" ca="1" si="381"/>
        <v>0</v>
      </c>
      <c r="AC709" s="79">
        <f t="shared" ca="1" si="382"/>
        <v>0</v>
      </c>
      <c r="AE709" s="35"/>
      <c r="AF709" s="35"/>
      <c r="AR709" s="69">
        <f t="shared" ref="AR709:AR772" si="399">ROUNDDOWN((AS709-1)/12,0)+1</f>
        <v>59</v>
      </c>
      <c r="AS709" s="70">
        <f t="shared" si="373"/>
        <v>706</v>
      </c>
      <c r="AT709" s="71">
        <f t="shared" si="374"/>
        <v>7.9667753282364421E-3</v>
      </c>
      <c r="AU709" s="72">
        <f t="shared" si="383"/>
        <v>6.8214933659622723E-3</v>
      </c>
      <c r="AV709" s="73">
        <f t="shared" ref="AV709:AV772" si="400">(1+AU709)</f>
        <v>1.0068214933659623</v>
      </c>
      <c r="AW709" s="74">
        <f>PRODUCT(AV$4:AV709)</f>
        <v>121.46456425920856</v>
      </c>
    </row>
    <row r="710" spans="5:49">
      <c r="E710">
        <f t="shared" ref="E710:E773" si="401">E709+1</f>
        <v>707</v>
      </c>
      <c r="F710" s="64">
        <f t="shared" si="384"/>
        <v>118.48</v>
      </c>
      <c r="G710" s="55">
        <f t="shared" si="385"/>
        <v>0</v>
      </c>
      <c r="H710" s="78">
        <f t="shared" si="375"/>
        <v>2.4366954920664725E-5</v>
      </c>
      <c r="I710" s="79">
        <f t="shared" ca="1" si="386"/>
        <v>0</v>
      </c>
      <c r="J710" s="79">
        <f t="shared" ca="1" si="387"/>
        <v>0</v>
      </c>
      <c r="K710" s="80">
        <f t="shared" ca="1" si="388"/>
        <v>0</v>
      </c>
      <c r="L710" s="80">
        <f t="shared" ca="1" si="389"/>
        <v>0</v>
      </c>
      <c r="M710" s="80">
        <f t="shared" ca="1" si="390"/>
        <v>0</v>
      </c>
      <c r="N710" s="80">
        <f t="shared" ca="1" si="391"/>
        <v>0</v>
      </c>
      <c r="O710" s="81">
        <f t="shared" ca="1" si="376"/>
        <v>0</v>
      </c>
      <c r="P710" s="79">
        <f t="shared" ca="1" si="377"/>
        <v>0</v>
      </c>
      <c r="R710">
        <f t="shared" ca="1" si="392"/>
        <v>707</v>
      </c>
      <c r="S710" s="78">
        <f t="shared" ca="1" si="393"/>
        <v>118.48</v>
      </c>
      <c r="T710" s="55">
        <f t="shared" ca="1" si="394"/>
        <v>0</v>
      </c>
      <c r="U710" s="78">
        <f t="shared" ca="1" si="395"/>
        <v>2.4366954920664725E-5</v>
      </c>
      <c r="V710" s="79">
        <f t="shared" ca="1" si="396"/>
        <v>0</v>
      </c>
      <c r="W710" s="79">
        <f t="shared" ca="1" si="378"/>
        <v>0</v>
      </c>
      <c r="X710" s="80">
        <f t="shared" ca="1" si="379"/>
        <v>0</v>
      </c>
      <c r="Y710" s="80">
        <f t="shared" ca="1" si="397"/>
        <v>0</v>
      </c>
      <c r="Z710" s="80">
        <f t="shared" ca="1" si="380"/>
        <v>0</v>
      </c>
      <c r="AA710" s="80">
        <f t="shared" ca="1" si="398"/>
        <v>0</v>
      </c>
      <c r="AB710" s="81">
        <f t="shared" ca="1" si="381"/>
        <v>0</v>
      </c>
      <c r="AC710" s="79">
        <f t="shared" ca="1" si="382"/>
        <v>0</v>
      </c>
      <c r="AE710" s="35"/>
      <c r="AF710" s="35"/>
      <c r="AR710" s="69">
        <f t="shared" si="399"/>
        <v>59</v>
      </c>
      <c r="AS710" s="70">
        <f t="shared" ref="AS710:AS773" si="402">AS709+1</f>
        <v>707</v>
      </c>
      <c r="AT710" s="71">
        <f t="shared" ref="AT710:AT773" si="403">(1-AU710)*AT709</f>
        <v>7.9124300231867648E-3</v>
      </c>
      <c r="AU710" s="72">
        <f t="shared" si="383"/>
        <v>6.8214933659622723E-3</v>
      </c>
      <c r="AV710" s="73">
        <f t="shared" si="400"/>
        <v>1.0068214933659623</v>
      </c>
      <c r="AW710" s="74">
        <f>PRODUCT(AV$4:AV710)</f>
        <v>122.29313397850224</v>
      </c>
    </row>
    <row r="711" spans="5:49">
      <c r="E711">
        <f t="shared" si="401"/>
        <v>708</v>
      </c>
      <c r="F711" s="64">
        <f t="shared" si="384"/>
        <v>118.56</v>
      </c>
      <c r="G711" s="55">
        <f t="shared" si="385"/>
        <v>0</v>
      </c>
      <c r="H711" s="78">
        <f t="shared" ref="H711:H774" si="404">H710*(1-G711)</f>
        <v>2.4366954920664725E-5</v>
      </c>
      <c r="I711" s="79">
        <f t="shared" ca="1" si="386"/>
        <v>0</v>
      </c>
      <c r="J711" s="79">
        <f t="shared" ca="1" si="387"/>
        <v>0</v>
      </c>
      <c r="K711" s="80">
        <f t="shared" ca="1" si="388"/>
        <v>0</v>
      </c>
      <c r="L711" s="80">
        <f t="shared" ca="1" si="389"/>
        <v>0</v>
      </c>
      <c r="M711" s="80">
        <f t="shared" ca="1" si="390"/>
        <v>0</v>
      </c>
      <c r="N711" s="80">
        <f t="shared" ca="1" si="391"/>
        <v>0</v>
      </c>
      <c r="O711" s="81">
        <f t="shared" ca="1" si="376"/>
        <v>0</v>
      </c>
      <c r="P711" s="79">
        <f t="shared" ca="1" si="377"/>
        <v>0</v>
      </c>
      <c r="R711">
        <f t="shared" ca="1" si="392"/>
        <v>708</v>
      </c>
      <c r="S711" s="78">
        <f t="shared" ca="1" si="393"/>
        <v>118.56</v>
      </c>
      <c r="T711" s="55">
        <f t="shared" ca="1" si="394"/>
        <v>0</v>
      </c>
      <c r="U711" s="78">
        <f t="shared" ca="1" si="395"/>
        <v>2.4366954920664725E-5</v>
      </c>
      <c r="V711" s="79">
        <f t="shared" ca="1" si="396"/>
        <v>0</v>
      </c>
      <c r="W711" s="79">
        <f t="shared" ca="1" si="378"/>
        <v>0</v>
      </c>
      <c r="X711" s="80">
        <f t="shared" ca="1" si="379"/>
        <v>0</v>
      </c>
      <c r="Y711" s="80">
        <f t="shared" ca="1" si="397"/>
        <v>0</v>
      </c>
      <c r="Z711" s="80">
        <f t="shared" ca="1" si="380"/>
        <v>0</v>
      </c>
      <c r="AA711" s="80">
        <f t="shared" ca="1" si="398"/>
        <v>0</v>
      </c>
      <c r="AB711" s="81">
        <f t="shared" ca="1" si="381"/>
        <v>0</v>
      </c>
      <c r="AC711" s="79">
        <f t="shared" ca="1" si="382"/>
        <v>0</v>
      </c>
      <c r="AE711" s="35"/>
      <c r="AF711" s="35"/>
      <c r="AR711" s="69">
        <f t="shared" si="399"/>
        <v>59</v>
      </c>
      <c r="AS711" s="70">
        <f t="shared" si="402"/>
        <v>708</v>
      </c>
      <c r="AT711" s="71">
        <f t="shared" si="403"/>
        <v>7.8584554342749548E-3</v>
      </c>
      <c r="AU711" s="72">
        <f t="shared" si="383"/>
        <v>6.8214933659622723E-3</v>
      </c>
      <c r="AV711" s="73">
        <f t="shared" si="400"/>
        <v>1.0068214933659623</v>
      </c>
      <c r="AW711" s="74">
        <f>PRODUCT(AV$4:AV711)</f>
        <v>123.12735578063933</v>
      </c>
    </row>
    <row r="712" spans="5:49">
      <c r="E712">
        <f t="shared" si="401"/>
        <v>709</v>
      </c>
      <c r="F712" s="64">
        <f t="shared" si="384"/>
        <v>118.64</v>
      </c>
      <c r="G712" s="55">
        <f t="shared" si="385"/>
        <v>0</v>
      </c>
      <c r="H712" s="78">
        <f t="shared" si="404"/>
        <v>2.4366954920664725E-5</v>
      </c>
      <c r="I712" s="79">
        <f t="shared" ca="1" si="386"/>
        <v>0</v>
      </c>
      <c r="J712" s="79">
        <f t="shared" ca="1" si="387"/>
        <v>0</v>
      </c>
      <c r="K712" s="80">
        <f t="shared" ca="1" si="388"/>
        <v>0</v>
      </c>
      <c r="L712" s="80">
        <f t="shared" ca="1" si="389"/>
        <v>0</v>
      </c>
      <c r="M712" s="80">
        <f t="shared" ca="1" si="390"/>
        <v>0</v>
      </c>
      <c r="N712" s="80">
        <f t="shared" ca="1" si="391"/>
        <v>0</v>
      </c>
      <c r="O712" s="81">
        <f t="shared" ca="1" si="376"/>
        <v>0</v>
      </c>
      <c r="P712" s="79">
        <f t="shared" ca="1" si="377"/>
        <v>0</v>
      </c>
      <c r="R712">
        <f t="shared" ca="1" si="392"/>
        <v>709</v>
      </c>
      <c r="S712" s="78">
        <f t="shared" ca="1" si="393"/>
        <v>118.64</v>
      </c>
      <c r="T712" s="55">
        <f t="shared" ca="1" si="394"/>
        <v>0</v>
      </c>
      <c r="U712" s="78">
        <f t="shared" ca="1" si="395"/>
        <v>2.4366954920664725E-5</v>
      </c>
      <c r="V712" s="79">
        <f t="shared" ca="1" si="396"/>
        <v>0</v>
      </c>
      <c r="W712" s="79">
        <f t="shared" ca="1" si="378"/>
        <v>0</v>
      </c>
      <c r="X712" s="80">
        <f t="shared" ca="1" si="379"/>
        <v>0</v>
      </c>
      <c r="Y712" s="80">
        <f t="shared" ca="1" si="397"/>
        <v>0</v>
      </c>
      <c r="Z712" s="80">
        <f t="shared" ca="1" si="380"/>
        <v>0</v>
      </c>
      <c r="AA712" s="80">
        <f t="shared" ca="1" si="398"/>
        <v>0</v>
      </c>
      <c r="AB712" s="81">
        <f t="shared" ca="1" si="381"/>
        <v>0</v>
      </c>
      <c r="AC712" s="79">
        <f t="shared" ca="1" si="382"/>
        <v>0</v>
      </c>
      <c r="AE712" s="35"/>
      <c r="AF712" s="35"/>
      <c r="AR712" s="69">
        <f t="shared" si="399"/>
        <v>60</v>
      </c>
      <c r="AS712" s="70">
        <f t="shared" si="402"/>
        <v>709</v>
      </c>
      <c r="AT712" s="71">
        <f t="shared" si="403"/>
        <v>7.8048490326633382E-3</v>
      </c>
      <c r="AU712" s="72">
        <f t="shared" si="383"/>
        <v>6.8214933659622723E-3</v>
      </c>
      <c r="AV712" s="73">
        <f t="shared" si="400"/>
        <v>1.0068214933659623</v>
      </c>
      <c r="AW712" s="74">
        <f>PRODUCT(AV$4:AV712)</f>
        <v>123.96726822126544</v>
      </c>
    </row>
    <row r="713" spans="5:49">
      <c r="E713">
        <f t="shared" si="401"/>
        <v>710</v>
      </c>
      <c r="F713" s="64">
        <f t="shared" si="384"/>
        <v>118.72</v>
      </c>
      <c r="G713" s="55">
        <f t="shared" si="385"/>
        <v>0</v>
      </c>
      <c r="H713" s="78">
        <f t="shared" si="404"/>
        <v>2.4366954920664725E-5</v>
      </c>
      <c r="I713" s="79">
        <f t="shared" ca="1" si="386"/>
        <v>0</v>
      </c>
      <c r="J713" s="79">
        <f t="shared" ca="1" si="387"/>
        <v>0</v>
      </c>
      <c r="K713" s="80">
        <f t="shared" ca="1" si="388"/>
        <v>0</v>
      </c>
      <c r="L713" s="80">
        <f t="shared" ca="1" si="389"/>
        <v>0</v>
      </c>
      <c r="M713" s="80">
        <f t="shared" ca="1" si="390"/>
        <v>0</v>
      </c>
      <c r="N713" s="80">
        <f t="shared" ca="1" si="391"/>
        <v>0</v>
      </c>
      <c r="O713" s="81">
        <f t="shared" ca="1" si="376"/>
        <v>0</v>
      </c>
      <c r="P713" s="79">
        <f t="shared" ca="1" si="377"/>
        <v>0</v>
      </c>
      <c r="R713">
        <f t="shared" ca="1" si="392"/>
        <v>710</v>
      </c>
      <c r="S713" s="78">
        <f t="shared" ca="1" si="393"/>
        <v>118.72</v>
      </c>
      <c r="T713" s="55">
        <f t="shared" ca="1" si="394"/>
        <v>0</v>
      </c>
      <c r="U713" s="78">
        <f t="shared" ca="1" si="395"/>
        <v>2.4366954920664725E-5</v>
      </c>
      <c r="V713" s="79">
        <f t="shared" ca="1" si="396"/>
        <v>0</v>
      </c>
      <c r="W713" s="79">
        <f t="shared" ca="1" si="378"/>
        <v>0</v>
      </c>
      <c r="X713" s="80">
        <f t="shared" ca="1" si="379"/>
        <v>0</v>
      </c>
      <c r="Y713" s="80">
        <f t="shared" ca="1" si="397"/>
        <v>0</v>
      </c>
      <c r="Z713" s="80">
        <f t="shared" ca="1" si="380"/>
        <v>0</v>
      </c>
      <c r="AA713" s="80">
        <f t="shared" ca="1" si="398"/>
        <v>0</v>
      </c>
      <c r="AB713" s="81">
        <f t="shared" ca="1" si="381"/>
        <v>0</v>
      </c>
      <c r="AC713" s="79">
        <f t="shared" ca="1" si="382"/>
        <v>0</v>
      </c>
      <c r="AE713" s="35"/>
      <c r="AF713" s="35"/>
      <c r="AR713" s="69">
        <f t="shared" si="399"/>
        <v>60</v>
      </c>
      <c r="AS713" s="70">
        <f t="shared" si="402"/>
        <v>710</v>
      </c>
      <c r="AT713" s="71">
        <f t="shared" si="403"/>
        <v>7.7516083067646884E-3</v>
      </c>
      <c r="AU713" s="72">
        <f t="shared" si="383"/>
        <v>6.8214933659622723E-3</v>
      </c>
      <c r="AV713" s="73">
        <f t="shared" si="400"/>
        <v>1.0068214933659623</v>
      </c>
      <c r="AW713" s="74">
        <f>PRODUCT(AV$4:AV713)</f>
        <v>124.81291011903328</v>
      </c>
    </row>
    <row r="714" spans="5:49">
      <c r="E714">
        <f t="shared" si="401"/>
        <v>711</v>
      </c>
      <c r="F714" s="64">
        <f t="shared" si="384"/>
        <v>118.8</v>
      </c>
      <c r="G714" s="55">
        <f t="shared" si="385"/>
        <v>0</v>
      </c>
      <c r="H714" s="78">
        <f t="shared" si="404"/>
        <v>2.4366954920664725E-5</v>
      </c>
      <c r="I714" s="79">
        <f t="shared" ca="1" si="386"/>
        <v>0</v>
      </c>
      <c r="J714" s="79">
        <f t="shared" ca="1" si="387"/>
        <v>0</v>
      </c>
      <c r="K714" s="80">
        <f t="shared" ca="1" si="388"/>
        <v>0</v>
      </c>
      <c r="L714" s="80">
        <f t="shared" ca="1" si="389"/>
        <v>0</v>
      </c>
      <c r="M714" s="80">
        <f t="shared" ca="1" si="390"/>
        <v>0</v>
      </c>
      <c r="N714" s="80">
        <f t="shared" ca="1" si="391"/>
        <v>0</v>
      </c>
      <c r="O714" s="81">
        <f t="shared" ca="1" si="376"/>
        <v>0</v>
      </c>
      <c r="P714" s="79">
        <f t="shared" ca="1" si="377"/>
        <v>0</v>
      </c>
      <c r="R714">
        <f t="shared" ca="1" si="392"/>
        <v>711</v>
      </c>
      <c r="S714" s="78">
        <f t="shared" ca="1" si="393"/>
        <v>118.8</v>
      </c>
      <c r="T714" s="55">
        <f t="shared" ca="1" si="394"/>
        <v>0</v>
      </c>
      <c r="U714" s="78">
        <f t="shared" ca="1" si="395"/>
        <v>2.4366954920664725E-5</v>
      </c>
      <c r="V714" s="79">
        <f t="shared" ca="1" si="396"/>
        <v>0</v>
      </c>
      <c r="W714" s="79">
        <f t="shared" ca="1" si="378"/>
        <v>0</v>
      </c>
      <c r="X714" s="80">
        <f t="shared" ca="1" si="379"/>
        <v>0</v>
      </c>
      <c r="Y714" s="80">
        <f t="shared" ca="1" si="397"/>
        <v>0</v>
      </c>
      <c r="Z714" s="80">
        <f t="shared" ca="1" si="380"/>
        <v>0</v>
      </c>
      <c r="AA714" s="80">
        <f t="shared" ca="1" si="398"/>
        <v>0</v>
      </c>
      <c r="AB714" s="81">
        <f t="shared" ca="1" si="381"/>
        <v>0</v>
      </c>
      <c r="AC714" s="79">
        <f t="shared" ca="1" si="382"/>
        <v>0</v>
      </c>
      <c r="AE714" s="35"/>
      <c r="AF714" s="35"/>
      <c r="AR714" s="69">
        <f t="shared" si="399"/>
        <v>60</v>
      </c>
      <c r="AS714" s="70">
        <f t="shared" si="402"/>
        <v>711</v>
      </c>
      <c r="AT714" s="71">
        <f t="shared" si="403"/>
        <v>7.6987307621245553E-3</v>
      </c>
      <c r="AU714" s="72">
        <f t="shared" si="383"/>
        <v>6.8214933659622723E-3</v>
      </c>
      <c r="AV714" s="73">
        <f t="shared" si="400"/>
        <v>1.0068214933659623</v>
      </c>
      <c r="AW714" s="74">
        <f>PRODUCT(AV$4:AV714)</f>
        <v>125.66432055739671</v>
      </c>
    </row>
    <row r="715" spans="5:49">
      <c r="E715">
        <f t="shared" si="401"/>
        <v>712</v>
      </c>
      <c r="F715" s="64">
        <f t="shared" si="384"/>
        <v>118.88</v>
      </c>
      <c r="G715" s="55">
        <f t="shared" si="385"/>
        <v>0</v>
      </c>
      <c r="H715" s="78">
        <f t="shared" si="404"/>
        <v>2.4366954920664725E-5</v>
      </c>
      <c r="I715" s="79">
        <f t="shared" ca="1" si="386"/>
        <v>0</v>
      </c>
      <c r="J715" s="79">
        <f t="shared" ca="1" si="387"/>
        <v>0</v>
      </c>
      <c r="K715" s="80">
        <f t="shared" ca="1" si="388"/>
        <v>0</v>
      </c>
      <c r="L715" s="80">
        <f t="shared" ca="1" si="389"/>
        <v>0</v>
      </c>
      <c r="M715" s="80">
        <f t="shared" ca="1" si="390"/>
        <v>0</v>
      </c>
      <c r="N715" s="80">
        <f t="shared" ca="1" si="391"/>
        <v>0</v>
      </c>
      <c r="O715" s="81">
        <f t="shared" ca="1" si="376"/>
        <v>0</v>
      </c>
      <c r="P715" s="79">
        <f t="shared" ca="1" si="377"/>
        <v>0</v>
      </c>
      <c r="R715">
        <f t="shared" ca="1" si="392"/>
        <v>712</v>
      </c>
      <c r="S715" s="78">
        <f t="shared" ca="1" si="393"/>
        <v>118.88</v>
      </c>
      <c r="T715" s="55">
        <f t="shared" ca="1" si="394"/>
        <v>0</v>
      </c>
      <c r="U715" s="78">
        <f t="shared" ca="1" si="395"/>
        <v>2.4366954920664725E-5</v>
      </c>
      <c r="V715" s="79">
        <f t="shared" ca="1" si="396"/>
        <v>0</v>
      </c>
      <c r="W715" s="79">
        <f t="shared" ca="1" si="378"/>
        <v>0</v>
      </c>
      <c r="X715" s="80">
        <f t="shared" ca="1" si="379"/>
        <v>0</v>
      </c>
      <c r="Y715" s="80">
        <f t="shared" ca="1" si="397"/>
        <v>0</v>
      </c>
      <c r="Z715" s="80">
        <f t="shared" ca="1" si="380"/>
        <v>0</v>
      </c>
      <c r="AA715" s="80">
        <f t="shared" ca="1" si="398"/>
        <v>0</v>
      </c>
      <c r="AB715" s="81">
        <f t="shared" ca="1" si="381"/>
        <v>0</v>
      </c>
      <c r="AC715" s="79">
        <f t="shared" ca="1" si="382"/>
        <v>0</v>
      </c>
      <c r="AE715" s="35"/>
      <c r="AF715" s="35"/>
      <c r="AR715" s="69">
        <f t="shared" si="399"/>
        <v>60</v>
      </c>
      <c r="AS715" s="70">
        <f t="shared" si="402"/>
        <v>712</v>
      </c>
      <c r="AT715" s="71">
        <f t="shared" si="403"/>
        <v>7.6462139213043928E-3</v>
      </c>
      <c r="AU715" s="72">
        <f t="shared" si="383"/>
        <v>6.8214933659622723E-3</v>
      </c>
      <c r="AV715" s="73">
        <f t="shared" si="400"/>
        <v>1.0068214933659623</v>
      </c>
      <c r="AW715" s="74">
        <f>PRODUCT(AV$4:AV715)</f>
        <v>126.52153888641715</v>
      </c>
    </row>
    <row r="716" spans="5:49">
      <c r="E716">
        <f t="shared" si="401"/>
        <v>713</v>
      </c>
      <c r="F716" s="64">
        <f t="shared" si="384"/>
        <v>118.96</v>
      </c>
      <c r="G716" s="55">
        <f t="shared" si="385"/>
        <v>0</v>
      </c>
      <c r="H716" s="78">
        <f t="shared" si="404"/>
        <v>2.4366954920664725E-5</v>
      </c>
      <c r="I716" s="79">
        <f t="shared" ca="1" si="386"/>
        <v>0</v>
      </c>
      <c r="J716" s="79">
        <f t="shared" ca="1" si="387"/>
        <v>0</v>
      </c>
      <c r="K716" s="80">
        <f t="shared" ca="1" si="388"/>
        <v>0</v>
      </c>
      <c r="L716" s="80">
        <f t="shared" ca="1" si="389"/>
        <v>0</v>
      </c>
      <c r="M716" s="80">
        <f t="shared" ca="1" si="390"/>
        <v>0</v>
      </c>
      <c r="N716" s="80">
        <f t="shared" ca="1" si="391"/>
        <v>0</v>
      </c>
      <c r="O716" s="81">
        <f t="shared" ca="1" si="376"/>
        <v>0</v>
      </c>
      <c r="P716" s="79">
        <f t="shared" ca="1" si="377"/>
        <v>0</v>
      </c>
      <c r="R716">
        <f t="shared" ca="1" si="392"/>
        <v>713</v>
      </c>
      <c r="S716" s="78">
        <f t="shared" ca="1" si="393"/>
        <v>118.96</v>
      </c>
      <c r="T716" s="55">
        <f t="shared" ca="1" si="394"/>
        <v>0</v>
      </c>
      <c r="U716" s="78">
        <f t="shared" ca="1" si="395"/>
        <v>2.4366954920664725E-5</v>
      </c>
      <c r="V716" s="79">
        <f t="shared" ca="1" si="396"/>
        <v>0</v>
      </c>
      <c r="W716" s="79">
        <f t="shared" ca="1" si="378"/>
        <v>0</v>
      </c>
      <c r="X716" s="80">
        <f t="shared" ca="1" si="379"/>
        <v>0</v>
      </c>
      <c r="Y716" s="80">
        <f t="shared" ca="1" si="397"/>
        <v>0</v>
      </c>
      <c r="Z716" s="80">
        <f t="shared" ca="1" si="380"/>
        <v>0</v>
      </c>
      <c r="AA716" s="80">
        <f t="shared" ca="1" si="398"/>
        <v>0</v>
      </c>
      <c r="AB716" s="81">
        <f t="shared" ca="1" si="381"/>
        <v>0</v>
      </c>
      <c r="AC716" s="79">
        <f t="shared" ca="1" si="382"/>
        <v>0</v>
      </c>
      <c r="AE716" s="35"/>
      <c r="AF716" s="35"/>
      <c r="AR716" s="69">
        <f t="shared" si="399"/>
        <v>60</v>
      </c>
      <c r="AS716" s="70">
        <f t="shared" si="402"/>
        <v>713</v>
      </c>
      <c r="AT716" s="71">
        <f t="shared" si="403"/>
        <v>7.5940553237654864E-3</v>
      </c>
      <c r="AU716" s="72">
        <f t="shared" si="383"/>
        <v>6.8214933659622723E-3</v>
      </c>
      <c r="AV716" s="73">
        <f t="shared" si="400"/>
        <v>1.0068214933659623</v>
      </c>
      <c r="AW716" s="74">
        <f>PRODUCT(AV$4:AV716)</f>
        <v>127.38460472458218</v>
      </c>
    </row>
    <row r="717" spans="5:49">
      <c r="E717">
        <f t="shared" si="401"/>
        <v>714</v>
      </c>
      <c r="F717" s="64">
        <f t="shared" si="384"/>
        <v>119.04</v>
      </c>
      <c r="G717" s="55">
        <f t="shared" si="385"/>
        <v>0</v>
      </c>
      <c r="H717" s="78">
        <f t="shared" si="404"/>
        <v>2.4366954920664725E-5</v>
      </c>
      <c r="I717" s="79">
        <f t="shared" ca="1" si="386"/>
        <v>0</v>
      </c>
      <c r="J717" s="79">
        <f t="shared" ca="1" si="387"/>
        <v>0</v>
      </c>
      <c r="K717" s="80">
        <f t="shared" ca="1" si="388"/>
        <v>0</v>
      </c>
      <c r="L717" s="80">
        <f t="shared" ca="1" si="389"/>
        <v>0</v>
      </c>
      <c r="M717" s="80">
        <f t="shared" ca="1" si="390"/>
        <v>0</v>
      </c>
      <c r="N717" s="80">
        <f t="shared" ca="1" si="391"/>
        <v>0</v>
      </c>
      <c r="O717" s="81">
        <f t="shared" ca="1" si="376"/>
        <v>0</v>
      </c>
      <c r="P717" s="79">
        <f t="shared" ca="1" si="377"/>
        <v>0</v>
      </c>
      <c r="R717">
        <f t="shared" ca="1" si="392"/>
        <v>714</v>
      </c>
      <c r="S717" s="78">
        <f t="shared" ca="1" si="393"/>
        <v>119.04</v>
      </c>
      <c r="T717" s="55">
        <f t="shared" ca="1" si="394"/>
        <v>0</v>
      </c>
      <c r="U717" s="78">
        <f t="shared" ca="1" si="395"/>
        <v>2.4366954920664725E-5</v>
      </c>
      <c r="V717" s="79">
        <f t="shared" ca="1" si="396"/>
        <v>0</v>
      </c>
      <c r="W717" s="79">
        <f t="shared" ca="1" si="378"/>
        <v>0</v>
      </c>
      <c r="X717" s="80">
        <f t="shared" ca="1" si="379"/>
        <v>0</v>
      </c>
      <c r="Y717" s="80">
        <f t="shared" ca="1" si="397"/>
        <v>0</v>
      </c>
      <c r="Z717" s="80">
        <f t="shared" ca="1" si="380"/>
        <v>0</v>
      </c>
      <c r="AA717" s="80">
        <f t="shared" ca="1" si="398"/>
        <v>0</v>
      </c>
      <c r="AB717" s="81">
        <f t="shared" ca="1" si="381"/>
        <v>0</v>
      </c>
      <c r="AC717" s="79">
        <f t="shared" ca="1" si="382"/>
        <v>0</v>
      </c>
      <c r="AE717" s="35"/>
      <c r="AF717" s="35"/>
      <c r="AR717" s="69">
        <f t="shared" si="399"/>
        <v>60</v>
      </c>
      <c r="AS717" s="70">
        <f t="shared" si="402"/>
        <v>714</v>
      </c>
      <c r="AT717" s="71">
        <f t="shared" si="403"/>
        <v>7.5422525257536699E-3</v>
      </c>
      <c r="AU717" s="72">
        <f t="shared" si="383"/>
        <v>6.8214933659622723E-3</v>
      </c>
      <c r="AV717" s="73">
        <f t="shared" si="400"/>
        <v>1.0068214933659623</v>
      </c>
      <c r="AW717" s="74">
        <f>PRODUCT(AV$4:AV717)</f>
        <v>128.25355796063664</v>
      </c>
    </row>
    <row r="718" spans="5:49">
      <c r="E718">
        <f t="shared" si="401"/>
        <v>715</v>
      </c>
      <c r="F718" s="64">
        <f t="shared" si="384"/>
        <v>119.12</v>
      </c>
      <c r="G718" s="55">
        <f t="shared" si="385"/>
        <v>0</v>
      </c>
      <c r="H718" s="78">
        <f t="shared" si="404"/>
        <v>2.4366954920664725E-5</v>
      </c>
      <c r="I718" s="79">
        <f t="shared" ca="1" si="386"/>
        <v>0</v>
      </c>
      <c r="J718" s="79">
        <f t="shared" ca="1" si="387"/>
        <v>0</v>
      </c>
      <c r="K718" s="80">
        <f t="shared" ca="1" si="388"/>
        <v>0</v>
      </c>
      <c r="L718" s="80">
        <f t="shared" ca="1" si="389"/>
        <v>0</v>
      </c>
      <c r="M718" s="80">
        <f t="shared" ca="1" si="390"/>
        <v>0</v>
      </c>
      <c r="N718" s="80">
        <f t="shared" ca="1" si="391"/>
        <v>0</v>
      </c>
      <c r="O718" s="81">
        <f t="shared" ca="1" si="376"/>
        <v>0</v>
      </c>
      <c r="P718" s="79">
        <f t="shared" ca="1" si="377"/>
        <v>0</v>
      </c>
      <c r="R718">
        <f t="shared" ca="1" si="392"/>
        <v>715</v>
      </c>
      <c r="S718" s="78">
        <f t="shared" ca="1" si="393"/>
        <v>119.12</v>
      </c>
      <c r="T718" s="55">
        <f t="shared" ca="1" si="394"/>
        <v>0</v>
      </c>
      <c r="U718" s="78">
        <f t="shared" ca="1" si="395"/>
        <v>2.4366954920664725E-5</v>
      </c>
      <c r="V718" s="79">
        <f t="shared" ca="1" si="396"/>
        <v>0</v>
      </c>
      <c r="W718" s="79">
        <f t="shared" ca="1" si="378"/>
        <v>0</v>
      </c>
      <c r="X718" s="80">
        <f t="shared" ca="1" si="379"/>
        <v>0</v>
      </c>
      <c r="Y718" s="80">
        <f t="shared" ca="1" si="397"/>
        <v>0</v>
      </c>
      <c r="Z718" s="80">
        <f t="shared" ca="1" si="380"/>
        <v>0</v>
      </c>
      <c r="AA718" s="80">
        <f t="shared" ca="1" si="398"/>
        <v>0</v>
      </c>
      <c r="AB718" s="81">
        <f t="shared" ca="1" si="381"/>
        <v>0</v>
      </c>
      <c r="AC718" s="79">
        <f t="shared" ca="1" si="382"/>
        <v>0</v>
      </c>
      <c r="AE718" s="35"/>
      <c r="AF718" s="35"/>
      <c r="AR718" s="69">
        <f t="shared" si="399"/>
        <v>60</v>
      </c>
      <c r="AS718" s="70">
        <f t="shared" si="402"/>
        <v>715</v>
      </c>
      <c r="AT718" s="71">
        <f t="shared" si="403"/>
        <v>7.4908031001848291E-3</v>
      </c>
      <c r="AU718" s="72">
        <f t="shared" si="383"/>
        <v>6.8214933659622723E-3</v>
      </c>
      <c r="AV718" s="73">
        <f t="shared" si="400"/>
        <v>1.0068214933659623</v>
      </c>
      <c r="AW718" s="74">
        <f>PRODUCT(AV$4:AV718)</f>
        <v>129.12843875542617</v>
      </c>
    </row>
    <row r="719" spans="5:49">
      <c r="E719">
        <f t="shared" si="401"/>
        <v>716</v>
      </c>
      <c r="F719" s="64">
        <f t="shared" si="384"/>
        <v>119.2</v>
      </c>
      <c r="G719" s="55">
        <f t="shared" si="385"/>
        <v>0</v>
      </c>
      <c r="H719" s="78">
        <f t="shared" si="404"/>
        <v>2.4366954920664725E-5</v>
      </c>
      <c r="I719" s="79">
        <f t="shared" ca="1" si="386"/>
        <v>0</v>
      </c>
      <c r="J719" s="79">
        <f t="shared" ca="1" si="387"/>
        <v>0</v>
      </c>
      <c r="K719" s="80">
        <f t="shared" ca="1" si="388"/>
        <v>0</v>
      </c>
      <c r="L719" s="80">
        <f t="shared" ca="1" si="389"/>
        <v>0</v>
      </c>
      <c r="M719" s="80">
        <f t="shared" ca="1" si="390"/>
        <v>0</v>
      </c>
      <c r="N719" s="80">
        <f t="shared" ca="1" si="391"/>
        <v>0</v>
      </c>
      <c r="O719" s="81">
        <f t="shared" ca="1" si="376"/>
        <v>0</v>
      </c>
      <c r="P719" s="79">
        <f t="shared" ca="1" si="377"/>
        <v>0</v>
      </c>
      <c r="R719">
        <f t="shared" ca="1" si="392"/>
        <v>716</v>
      </c>
      <c r="S719" s="78">
        <f t="shared" ca="1" si="393"/>
        <v>119.2</v>
      </c>
      <c r="T719" s="55">
        <f t="shared" ca="1" si="394"/>
        <v>0</v>
      </c>
      <c r="U719" s="78">
        <f t="shared" ca="1" si="395"/>
        <v>2.4366954920664725E-5</v>
      </c>
      <c r="V719" s="79">
        <f t="shared" ca="1" si="396"/>
        <v>0</v>
      </c>
      <c r="W719" s="79">
        <f t="shared" ca="1" si="378"/>
        <v>0</v>
      </c>
      <c r="X719" s="80">
        <f t="shared" ca="1" si="379"/>
        <v>0</v>
      </c>
      <c r="Y719" s="80">
        <f t="shared" ca="1" si="397"/>
        <v>0</v>
      </c>
      <c r="Z719" s="80">
        <f t="shared" ca="1" si="380"/>
        <v>0</v>
      </c>
      <c r="AA719" s="80">
        <f t="shared" ca="1" si="398"/>
        <v>0</v>
      </c>
      <c r="AB719" s="81">
        <f t="shared" ca="1" si="381"/>
        <v>0</v>
      </c>
      <c r="AC719" s="79">
        <f t="shared" ca="1" si="382"/>
        <v>0</v>
      </c>
      <c r="AE719" s="35"/>
      <c r="AF719" s="35"/>
      <c r="AR719" s="69">
        <f t="shared" si="399"/>
        <v>60</v>
      </c>
      <c r="AS719" s="70">
        <f t="shared" si="402"/>
        <v>716</v>
      </c>
      <c r="AT719" s="71">
        <f t="shared" si="403"/>
        <v>7.439704636531189E-3</v>
      </c>
      <c r="AU719" s="72">
        <f t="shared" si="383"/>
        <v>6.8214933659622723E-3</v>
      </c>
      <c r="AV719" s="73">
        <f t="shared" si="400"/>
        <v>1.0068214933659623</v>
      </c>
      <c r="AW719" s="74">
        <f>PRODUCT(AV$4:AV719)</f>
        <v>130.00928754375337</v>
      </c>
    </row>
    <row r="720" spans="5:49">
      <c r="E720">
        <f t="shared" si="401"/>
        <v>717</v>
      </c>
      <c r="F720" s="64">
        <f t="shared" si="384"/>
        <v>119.28</v>
      </c>
      <c r="G720" s="55">
        <f t="shared" si="385"/>
        <v>0</v>
      </c>
      <c r="H720" s="78">
        <f t="shared" si="404"/>
        <v>2.4366954920664725E-5</v>
      </c>
      <c r="I720" s="79">
        <f t="shared" ca="1" si="386"/>
        <v>0</v>
      </c>
      <c r="J720" s="79">
        <f t="shared" ca="1" si="387"/>
        <v>0</v>
      </c>
      <c r="K720" s="80">
        <f t="shared" ca="1" si="388"/>
        <v>0</v>
      </c>
      <c r="L720" s="80">
        <f t="shared" ca="1" si="389"/>
        <v>0</v>
      </c>
      <c r="M720" s="80">
        <f t="shared" ca="1" si="390"/>
        <v>0</v>
      </c>
      <c r="N720" s="80">
        <f t="shared" ca="1" si="391"/>
        <v>0</v>
      </c>
      <c r="O720" s="81">
        <f t="shared" ca="1" si="376"/>
        <v>0</v>
      </c>
      <c r="P720" s="79">
        <f t="shared" ca="1" si="377"/>
        <v>0</v>
      </c>
      <c r="R720">
        <f t="shared" ca="1" si="392"/>
        <v>717</v>
      </c>
      <c r="S720" s="78">
        <f t="shared" ca="1" si="393"/>
        <v>119.28</v>
      </c>
      <c r="T720" s="55">
        <f t="shared" ca="1" si="394"/>
        <v>0</v>
      </c>
      <c r="U720" s="78">
        <f t="shared" ca="1" si="395"/>
        <v>2.4366954920664725E-5</v>
      </c>
      <c r="V720" s="79">
        <f t="shared" ca="1" si="396"/>
        <v>0</v>
      </c>
      <c r="W720" s="79">
        <f t="shared" ca="1" si="378"/>
        <v>0</v>
      </c>
      <c r="X720" s="80">
        <f t="shared" ca="1" si="379"/>
        <v>0</v>
      </c>
      <c r="Y720" s="80">
        <f t="shared" ca="1" si="397"/>
        <v>0</v>
      </c>
      <c r="Z720" s="80">
        <f t="shared" ca="1" si="380"/>
        <v>0</v>
      </c>
      <c r="AA720" s="80">
        <f t="shared" ca="1" si="398"/>
        <v>0</v>
      </c>
      <c r="AB720" s="81">
        <f t="shared" ca="1" si="381"/>
        <v>0</v>
      </c>
      <c r="AC720" s="79">
        <f t="shared" ca="1" si="382"/>
        <v>0</v>
      </c>
      <c r="AE720" s="35"/>
      <c r="AF720" s="35"/>
      <c r="AR720" s="69">
        <f t="shared" si="399"/>
        <v>60</v>
      </c>
      <c r="AS720" s="70">
        <f t="shared" si="402"/>
        <v>717</v>
      </c>
      <c r="AT720" s="71">
        <f t="shared" si="403"/>
        <v>7.3889547407083728E-3</v>
      </c>
      <c r="AU720" s="72">
        <f t="shared" si="383"/>
        <v>6.8214933659622723E-3</v>
      </c>
      <c r="AV720" s="73">
        <f t="shared" si="400"/>
        <v>1.0068214933659623</v>
      </c>
      <c r="AW720" s="74">
        <f>PRODUCT(AV$4:AV720)</f>
        <v>130.89614503624657</v>
      </c>
    </row>
    <row r="721" spans="5:49">
      <c r="E721">
        <f t="shared" si="401"/>
        <v>718</v>
      </c>
      <c r="F721" s="64">
        <f t="shared" si="384"/>
        <v>119.36</v>
      </c>
      <c r="G721" s="55">
        <f t="shared" si="385"/>
        <v>0</v>
      </c>
      <c r="H721" s="78">
        <f t="shared" si="404"/>
        <v>2.4366954920664725E-5</v>
      </c>
      <c r="I721" s="79">
        <f t="shared" ca="1" si="386"/>
        <v>0</v>
      </c>
      <c r="J721" s="79">
        <f t="shared" ca="1" si="387"/>
        <v>0</v>
      </c>
      <c r="K721" s="80">
        <f t="shared" ca="1" si="388"/>
        <v>0</v>
      </c>
      <c r="L721" s="80">
        <f t="shared" ca="1" si="389"/>
        <v>0</v>
      </c>
      <c r="M721" s="80">
        <f t="shared" ca="1" si="390"/>
        <v>0</v>
      </c>
      <c r="N721" s="80">
        <f t="shared" ca="1" si="391"/>
        <v>0</v>
      </c>
      <c r="O721" s="81">
        <f t="shared" ca="1" si="376"/>
        <v>0</v>
      </c>
      <c r="P721" s="79">
        <f t="shared" ca="1" si="377"/>
        <v>0</v>
      </c>
      <c r="R721">
        <f t="shared" ca="1" si="392"/>
        <v>718</v>
      </c>
      <c r="S721" s="78">
        <f t="shared" ca="1" si="393"/>
        <v>119.36</v>
      </c>
      <c r="T721" s="55">
        <f t="shared" ca="1" si="394"/>
        <v>0</v>
      </c>
      <c r="U721" s="78">
        <f t="shared" ca="1" si="395"/>
        <v>2.4366954920664725E-5</v>
      </c>
      <c r="V721" s="79">
        <f t="shared" ca="1" si="396"/>
        <v>0</v>
      </c>
      <c r="W721" s="79">
        <f t="shared" ca="1" si="378"/>
        <v>0</v>
      </c>
      <c r="X721" s="80">
        <f t="shared" ca="1" si="379"/>
        <v>0</v>
      </c>
      <c r="Y721" s="80">
        <f t="shared" ca="1" si="397"/>
        <v>0</v>
      </c>
      <c r="Z721" s="80">
        <f t="shared" ca="1" si="380"/>
        <v>0</v>
      </c>
      <c r="AA721" s="80">
        <f t="shared" ca="1" si="398"/>
        <v>0</v>
      </c>
      <c r="AB721" s="81">
        <f t="shared" ca="1" si="381"/>
        <v>0</v>
      </c>
      <c r="AC721" s="79">
        <f t="shared" ca="1" si="382"/>
        <v>0</v>
      </c>
      <c r="AE721" s="35"/>
      <c r="AF721" s="35"/>
      <c r="AR721" s="69">
        <f t="shared" si="399"/>
        <v>60</v>
      </c>
      <c r="AS721" s="70">
        <f t="shared" si="402"/>
        <v>718</v>
      </c>
      <c r="AT721" s="71">
        <f t="shared" si="403"/>
        <v>7.338551034963235E-3</v>
      </c>
      <c r="AU721" s="72">
        <f t="shared" si="383"/>
        <v>6.8214933659622723E-3</v>
      </c>
      <c r="AV721" s="73">
        <f t="shared" si="400"/>
        <v>1.0068214933659623</v>
      </c>
      <c r="AW721" s="74">
        <f>PRODUCT(AV$4:AV721)</f>
        <v>131.78905222124135</v>
      </c>
    </row>
    <row r="722" spans="5:49">
      <c r="E722">
        <f t="shared" si="401"/>
        <v>719</v>
      </c>
      <c r="F722" s="64">
        <f t="shared" si="384"/>
        <v>119.44</v>
      </c>
      <c r="G722" s="55">
        <f t="shared" si="385"/>
        <v>0</v>
      </c>
      <c r="H722" s="78">
        <f t="shared" si="404"/>
        <v>2.4366954920664725E-5</v>
      </c>
      <c r="I722" s="79">
        <f t="shared" ca="1" si="386"/>
        <v>0</v>
      </c>
      <c r="J722" s="79">
        <f t="shared" ca="1" si="387"/>
        <v>0</v>
      </c>
      <c r="K722" s="80">
        <f t="shared" ca="1" si="388"/>
        <v>0</v>
      </c>
      <c r="L722" s="80">
        <f t="shared" ca="1" si="389"/>
        <v>0</v>
      </c>
      <c r="M722" s="80">
        <f t="shared" ca="1" si="390"/>
        <v>0</v>
      </c>
      <c r="N722" s="80">
        <f t="shared" ca="1" si="391"/>
        <v>0</v>
      </c>
      <c r="O722" s="81">
        <f t="shared" ca="1" si="376"/>
        <v>0</v>
      </c>
      <c r="P722" s="79">
        <f t="shared" ca="1" si="377"/>
        <v>0</v>
      </c>
      <c r="R722">
        <f t="shared" ca="1" si="392"/>
        <v>719</v>
      </c>
      <c r="S722" s="78">
        <f t="shared" ca="1" si="393"/>
        <v>119.44</v>
      </c>
      <c r="T722" s="55">
        <f t="shared" ca="1" si="394"/>
        <v>0</v>
      </c>
      <c r="U722" s="78">
        <f t="shared" ca="1" si="395"/>
        <v>2.4366954920664725E-5</v>
      </c>
      <c r="V722" s="79">
        <f t="shared" ca="1" si="396"/>
        <v>0</v>
      </c>
      <c r="W722" s="79">
        <f t="shared" ca="1" si="378"/>
        <v>0</v>
      </c>
      <c r="X722" s="80">
        <f t="shared" ca="1" si="379"/>
        <v>0</v>
      </c>
      <c r="Y722" s="80">
        <f t="shared" ca="1" si="397"/>
        <v>0</v>
      </c>
      <c r="Z722" s="80">
        <f t="shared" ca="1" si="380"/>
        <v>0</v>
      </c>
      <c r="AA722" s="80">
        <f t="shared" ca="1" si="398"/>
        <v>0</v>
      </c>
      <c r="AB722" s="81">
        <f t="shared" ca="1" si="381"/>
        <v>0</v>
      </c>
      <c r="AC722" s="79">
        <f t="shared" ca="1" si="382"/>
        <v>0</v>
      </c>
      <c r="AE722" s="35"/>
      <c r="AF722" s="35"/>
      <c r="AR722" s="69">
        <f t="shared" si="399"/>
        <v>60</v>
      </c>
      <c r="AS722" s="70">
        <f t="shared" si="402"/>
        <v>719</v>
      </c>
      <c r="AT722" s="71">
        <f t="shared" si="403"/>
        <v>7.2884911577624579E-3</v>
      </c>
      <c r="AU722" s="72">
        <f t="shared" si="383"/>
        <v>6.8214933659622723E-3</v>
      </c>
      <c r="AV722" s="73">
        <f t="shared" si="400"/>
        <v>1.0068214933659623</v>
      </c>
      <c r="AW722" s="74">
        <f>PRODUCT(AV$4:AV722)</f>
        <v>132.68805036667501</v>
      </c>
    </row>
    <row r="723" spans="5:49">
      <c r="E723">
        <f t="shared" si="401"/>
        <v>720</v>
      </c>
      <c r="F723" s="64">
        <f t="shared" si="384"/>
        <v>119.52</v>
      </c>
      <c r="G723" s="55">
        <f t="shared" si="385"/>
        <v>0</v>
      </c>
      <c r="H723" s="78">
        <f t="shared" si="404"/>
        <v>2.4366954920664725E-5</v>
      </c>
      <c r="I723" s="79">
        <f t="shared" ca="1" si="386"/>
        <v>0</v>
      </c>
      <c r="J723" s="79">
        <f t="shared" ca="1" si="387"/>
        <v>0</v>
      </c>
      <c r="K723" s="80">
        <f t="shared" ca="1" si="388"/>
        <v>0</v>
      </c>
      <c r="L723" s="80">
        <f t="shared" ca="1" si="389"/>
        <v>0</v>
      </c>
      <c r="M723" s="80">
        <f t="shared" ca="1" si="390"/>
        <v>0</v>
      </c>
      <c r="N723" s="80">
        <f t="shared" ca="1" si="391"/>
        <v>0</v>
      </c>
      <c r="O723" s="81">
        <f t="shared" ca="1" si="376"/>
        <v>0</v>
      </c>
      <c r="P723" s="79">
        <f t="shared" ca="1" si="377"/>
        <v>0</v>
      </c>
      <c r="R723">
        <f t="shared" ca="1" si="392"/>
        <v>720</v>
      </c>
      <c r="S723" s="78">
        <f t="shared" ca="1" si="393"/>
        <v>119.52</v>
      </c>
      <c r="T723" s="55">
        <f t="shared" ca="1" si="394"/>
        <v>0</v>
      </c>
      <c r="U723" s="78">
        <f t="shared" ca="1" si="395"/>
        <v>2.4366954920664725E-5</v>
      </c>
      <c r="V723" s="79">
        <f t="shared" ca="1" si="396"/>
        <v>0</v>
      </c>
      <c r="W723" s="79">
        <f t="shared" ca="1" si="378"/>
        <v>0</v>
      </c>
      <c r="X723" s="80">
        <f t="shared" ca="1" si="379"/>
        <v>0</v>
      </c>
      <c r="Y723" s="80">
        <f t="shared" ca="1" si="397"/>
        <v>0</v>
      </c>
      <c r="Z723" s="80">
        <f t="shared" ca="1" si="380"/>
        <v>0</v>
      </c>
      <c r="AA723" s="80">
        <f t="shared" ca="1" si="398"/>
        <v>0</v>
      </c>
      <c r="AB723" s="81">
        <f t="shared" ca="1" si="381"/>
        <v>0</v>
      </c>
      <c r="AC723" s="79">
        <f t="shared" ca="1" si="382"/>
        <v>0</v>
      </c>
      <c r="AE723" s="35"/>
      <c r="AF723" s="35"/>
      <c r="AR723" s="69">
        <f t="shared" si="399"/>
        <v>60</v>
      </c>
      <c r="AS723" s="70">
        <f t="shared" si="402"/>
        <v>720</v>
      </c>
      <c r="AT723" s="71">
        <f t="shared" si="403"/>
        <v>7.2387727636819069E-3</v>
      </c>
      <c r="AU723" s="72">
        <f t="shared" si="383"/>
        <v>6.8214933659622723E-3</v>
      </c>
      <c r="AV723" s="73">
        <f t="shared" si="400"/>
        <v>1.0068214933659623</v>
      </c>
      <c r="AW723" s="74">
        <f>PRODUCT(AV$4:AV723)</f>
        <v>133.59318102199376</v>
      </c>
    </row>
    <row r="724" spans="5:49">
      <c r="E724">
        <f t="shared" si="401"/>
        <v>721</v>
      </c>
      <c r="F724" s="64">
        <f t="shared" si="384"/>
        <v>119.6</v>
      </c>
      <c r="G724" s="55">
        <f t="shared" si="385"/>
        <v>0</v>
      </c>
      <c r="H724" s="78">
        <f t="shared" si="404"/>
        <v>2.4366954920664725E-5</v>
      </c>
      <c r="I724" s="79">
        <f t="shared" ca="1" si="386"/>
        <v>0</v>
      </c>
      <c r="J724" s="79">
        <f t="shared" ca="1" si="387"/>
        <v>0</v>
      </c>
      <c r="K724" s="80">
        <f t="shared" ca="1" si="388"/>
        <v>0</v>
      </c>
      <c r="L724" s="80">
        <f t="shared" ca="1" si="389"/>
        <v>0</v>
      </c>
      <c r="M724" s="80">
        <f t="shared" ca="1" si="390"/>
        <v>0</v>
      </c>
      <c r="N724" s="80">
        <f t="shared" ca="1" si="391"/>
        <v>0</v>
      </c>
      <c r="O724" s="81">
        <f t="shared" ca="1" si="376"/>
        <v>0</v>
      </c>
      <c r="P724" s="79">
        <f t="shared" ca="1" si="377"/>
        <v>0</v>
      </c>
      <c r="R724">
        <f t="shared" ca="1" si="392"/>
        <v>721</v>
      </c>
      <c r="S724" s="78">
        <f t="shared" ca="1" si="393"/>
        <v>119.6</v>
      </c>
      <c r="T724" s="55">
        <f t="shared" ca="1" si="394"/>
        <v>0</v>
      </c>
      <c r="U724" s="78">
        <f t="shared" ca="1" si="395"/>
        <v>2.4366954920664725E-5</v>
      </c>
      <c r="V724" s="79">
        <f t="shared" ca="1" si="396"/>
        <v>0</v>
      </c>
      <c r="W724" s="79">
        <f t="shared" ca="1" si="378"/>
        <v>0</v>
      </c>
      <c r="X724" s="80">
        <f t="shared" ca="1" si="379"/>
        <v>0</v>
      </c>
      <c r="Y724" s="80">
        <f t="shared" ca="1" si="397"/>
        <v>0</v>
      </c>
      <c r="Z724" s="80">
        <f t="shared" ca="1" si="380"/>
        <v>0</v>
      </c>
      <c r="AA724" s="80">
        <f t="shared" ca="1" si="398"/>
        <v>0</v>
      </c>
      <c r="AB724" s="81">
        <f t="shared" ca="1" si="381"/>
        <v>0</v>
      </c>
      <c r="AC724" s="79">
        <f t="shared" ca="1" si="382"/>
        <v>0</v>
      </c>
      <c r="AE724" s="35"/>
      <c r="AF724" s="35"/>
      <c r="AR724" s="69">
        <f t="shared" si="399"/>
        <v>61</v>
      </c>
      <c r="AS724" s="70">
        <f t="shared" si="402"/>
        <v>721</v>
      </c>
      <c r="AT724" s="71">
        <f t="shared" si="403"/>
        <v>7.1893935232967424E-3</v>
      </c>
      <c r="AU724" s="72">
        <f t="shared" si="383"/>
        <v>6.8214933659622723E-3</v>
      </c>
      <c r="AV724" s="73">
        <f t="shared" si="400"/>
        <v>1.0068214933659623</v>
      </c>
      <c r="AW724" s="74">
        <f>PRODUCT(AV$4:AV724)</f>
        <v>134.50448602007307</v>
      </c>
    </row>
    <row r="725" spans="5:49">
      <c r="E725">
        <f t="shared" si="401"/>
        <v>722</v>
      </c>
      <c r="F725" s="64">
        <f t="shared" si="384"/>
        <v>119.68</v>
      </c>
      <c r="G725" s="55">
        <f t="shared" si="385"/>
        <v>0</v>
      </c>
      <c r="H725" s="78">
        <f t="shared" si="404"/>
        <v>2.4366954920664725E-5</v>
      </c>
      <c r="I725" s="79">
        <f t="shared" ca="1" si="386"/>
        <v>0</v>
      </c>
      <c r="J725" s="79">
        <f t="shared" ca="1" si="387"/>
        <v>0</v>
      </c>
      <c r="K725" s="80">
        <f t="shared" ca="1" si="388"/>
        <v>0</v>
      </c>
      <c r="L725" s="80">
        <f t="shared" ca="1" si="389"/>
        <v>0</v>
      </c>
      <c r="M725" s="80">
        <f t="shared" ca="1" si="390"/>
        <v>0</v>
      </c>
      <c r="N725" s="80">
        <f t="shared" ca="1" si="391"/>
        <v>0</v>
      </c>
      <c r="O725" s="81">
        <f t="shared" ca="1" si="376"/>
        <v>0</v>
      </c>
      <c r="P725" s="79">
        <f t="shared" ca="1" si="377"/>
        <v>0</v>
      </c>
      <c r="R725">
        <f t="shared" ca="1" si="392"/>
        <v>722</v>
      </c>
      <c r="S725" s="78">
        <f t="shared" ca="1" si="393"/>
        <v>119.68</v>
      </c>
      <c r="T725" s="55">
        <f t="shared" ca="1" si="394"/>
        <v>0</v>
      </c>
      <c r="U725" s="78">
        <f t="shared" ca="1" si="395"/>
        <v>2.4366954920664725E-5</v>
      </c>
      <c r="V725" s="79">
        <f t="shared" ca="1" si="396"/>
        <v>0</v>
      </c>
      <c r="W725" s="79">
        <f t="shared" ca="1" si="378"/>
        <v>0</v>
      </c>
      <c r="X725" s="80">
        <f t="shared" ca="1" si="379"/>
        <v>0</v>
      </c>
      <c r="Y725" s="80">
        <f t="shared" ca="1" si="397"/>
        <v>0</v>
      </c>
      <c r="Z725" s="80">
        <f t="shared" ca="1" si="380"/>
        <v>0</v>
      </c>
      <c r="AA725" s="80">
        <f t="shared" ca="1" si="398"/>
        <v>0</v>
      </c>
      <c r="AB725" s="81">
        <f t="shared" ca="1" si="381"/>
        <v>0</v>
      </c>
      <c r="AC725" s="79">
        <f t="shared" ca="1" si="382"/>
        <v>0</v>
      </c>
      <c r="AE725" s="35"/>
      <c r="AF725" s="35"/>
      <c r="AR725" s="69">
        <f t="shared" si="399"/>
        <v>61</v>
      </c>
      <c r="AS725" s="70">
        <f t="shared" si="402"/>
        <v>722</v>
      </c>
      <c r="AT725" s="71">
        <f t="shared" si="403"/>
        <v>7.1403511230722812E-3</v>
      </c>
      <c r="AU725" s="72">
        <f t="shared" si="383"/>
        <v>6.8214933659622723E-3</v>
      </c>
      <c r="AV725" s="73">
        <f t="shared" si="400"/>
        <v>1.0068214933659623</v>
      </c>
      <c r="AW725" s="74">
        <f>PRODUCT(AV$4:AV725)</f>
        <v>135.42200747915118</v>
      </c>
    </row>
    <row r="726" spans="5:49">
      <c r="E726">
        <f t="shared" si="401"/>
        <v>723</v>
      </c>
      <c r="F726" s="64">
        <f t="shared" si="384"/>
        <v>119.76</v>
      </c>
      <c r="G726" s="55">
        <f t="shared" si="385"/>
        <v>0</v>
      </c>
      <c r="H726" s="78">
        <f t="shared" si="404"/>
        <v>2.4366954920664725E-5</v>
      </c>
      <c r="I726" s="79">
        <f t="shared" ca="1" si="386"/>
        <v>0</v>
      </c>
      <c r="J726" s="79">
        <f t="shared" ca="1" si="387"/>
        <v>0</v>
      </c>
      <c r="K726" s="80">
        <f t="shared" ca="1" si="388"/>
        <v>0</v>
      </c>
      <c r="L726" s="80">
        <f t="shared" ca="1" si="389"/>
        <v>0</v>
      </c>
      <c r="M726" s="80">
        <f t="shared" ca="1" si="390"/>
        <v>0</v>
      </c>
      <c r="N726" s="80">
        <f t="shared" ca="1" si="391"/>
        <v>0</v>
      </c>
      <c r="O726" s="81">
        <f t="shared" ca="1" si="376"/>
        <v>0</v>
      </c>
      <c r="P726" s="79">
        <f t="shared" ca="1" si="377"/>
        <v>0</v>
      </c>
      <c r="R726">
        <f t="shared" ca="1" si="392"/>
        <v>723</v>
      </c>
      <c r="S726" s="78">
        <f t="shared" ca="1" si="393"/>
        <v>119.76</v>
      </c>
      <c r="T726" s="55">
        <f t="shared" ca="1" si="394"/>
        <v>0</v>
      </c>
      <c r="U726" s="78">
        <f t="shared" ca="1" si="395"/>
        <v>2.4366954920664725E-5</v>
      </c>
      <c r="V726" s="79">
        <f t="shared" ca="1" si="396"/>
        <v>0</v>
      </c>
      <c r="W726" s="79">
        <f t="shared" ca="1" si="378"/>
        <v>0</v>
      </c>
      <c r="X726" s="80">
        <f t="shared" ca="1" si="379"/>
        <v>0</v>
      </c>
      <c r="Y726" s="80">
        <f t="shared" ca="1" si="397"/>
        <v>0</v>
      </c>
      <c r="Z726" s="80">
        <f t="shared" ca="1" si="380"/>
        <v>0</v>
      </c>
      <c r="AA726" s="80">
        <f t="shared" ca="1" si="398"/>
        <v>0</v>
      </c>
      <c r="AB726" s="81">
        <f t="shared" ca="1" si="381"/>
        <v>0</v>
      </c>
      <c r="AC726" s="79">
        <f t="shared" ca="1" si="382"/>
        <v>0</v>
      </c>
      <c r="AE726" s="35"/>
      <c r="AF726" s="35"/>
      <c r="AR726" s="69">
        <f t="shared" si="399"/>
        <v>61</v>
      </c>
      <c r="AS726" s="70">
        <f t="shared" si="402"/>
        <v>723</v>
      </c>
      <c r="AT726" s="71">
        <f t="shared" si="403"/>
        <v>7.0916432652556021E-3</v>
      </c>
      <c r="AU726" s="72">
        <f t="shared" si="383"/>
        <v>6.8214933659622723E-3</v>
      </c>
      <c r="AV726" s="73">
        <f t="shared" si="400"/>
        <v>1.0068214933659623</v>
      </c>
      <c r="AW726" s="74">
        <f>PRODUCT(AV$4:AV726)</f>
        <v>136.34578780477551</v>
      </c>
    </row>
    <row r="727" spans="5:49">
      <c r="E727">
        <f t="shared" si="401"/>
        <v>724</v>
      </c>
      <c r="F727" s="64">
        <f t="shared" si="384"/>
        <v>119.84</v>
      </c>
      <c r="G727" s="55">
        <f t="shared" si="385"/>
        <v>0</v>
      </c>
      <c r="H727" s="78">
        <f t="shared" si="404"/>
        <v>2.4366954920664725E-5</v>
      </c>
      <c r="I727" s="79">
        <f t="shared" ca="1" si="386"/>
        <v>0</v>
      </c>
      <c r="J727" s="79">
        <f t="shared" ca="1" si="387"/>
        <v>0</v>
      </c>
      <c r="K727" s="80">
        <f t="shared" ca="1" si="388"/>
        <v>0</v>
      </c>
      <c r="L727" s="80">
        <f t="shared" ca="1" si="389"/>
        <v>0</v>
      </c>
      <c r="M727" s="80">
        <f t="shared" ca="1" si="390"/>
        <v>0</v>
      </c>
      <c r="N727" s="80">
        <f t="shared" ca="1" si="391"/>
        <v>0</v>
      </c>
      <c r="O727" s="81">
        <f t="shared" ca="1" si="376"/>
        <v>0</v>
      </c>
      <c r="P727" s="79">
        <f t="shared" ca="1" si="377"/>
        <v>0</v>
      </c>
      <c r="R727">
        <f t="shared" ca="1" si="392"/>
        <v>724</v>
      </c>
      <c r="S727" s="78">
        <f t="shared" ca="1" si="393"/>
        <v>119.84</v>
      </c>
      <c r="T727" s="55">
        <f t="shared" ca="1" si="394"/>
        <v>0</v>
      </c>
      <c r="U727" s="78">
        <f t="shared" ca="1" si="395"/>
        <v>2.4366954920664725E-5</v>
      </c>
      <c r="V727" s="79">
        <f t="shared" ca="1" si="396"/>
        <v>0</v>
      </c>
      <c r="W727" s="79">
        <f t="shared" ca="1" si="378"/>
        <v>0</v>
      </c>
      <c r="X727" s="80">
        <f t="shared" ca="1" si="379"/>
        <v>0</v>
      </c>
      <c r="Y727" s="80">
        <f t="shared" ca="1" si="397"/>
        <v>0</v>
      </c>
      <c r="Z727" s="80">
        <f t="shared" ca="1" si="380"/>
        <v>0</v>
      </c>
      <c r="AA727" s="80">
        <f t="shared" ca="1" si="398"/>
        <v>0</v>
      </c>
      <c r="AB727" s="81">
        <f t="shared" ca="1" si="381"/>
        <v>0</v>
      </c>
      <c r="AC727" s="79">
        <f t="shared" ca="1" si="382"/>
        <v>0</v>
      </c>
      <c r="AE727" s="35"/>
      <c r="AF727" s="35"/>
      <c r="AR727" s="69">
        <f t="shared" si="399"/>
        <v>61</v>
      </c>
      <c r="AS727" s="70">
        <f t="shared" si="402"/>
        <v>724</v>
      </c>
      <c r="AT727" s="71">
        <f t="shared" si="403"/>
        <v>7.0432676677678902E-3</v>
      </c>
      <c r="AU727" s="72">
        <f t="shared" si="383"/>
        <v>6.8214933659622723E-3</v>
      </c>
      <c r="AV727" s="73">
        <f t="shared" si="400"/>
        <v>1.0068214933659623</v>
      </c>
      <c r="AW727" s="74">
        <f>PRODUCT(AV$4:AV727)</f>
        <v>137.27586969176269</v>
      </c>
    </row>
    <row r="728" spans="5:49">
      <c r="E728">
        <f t="shared" si="401"/>
        <v>725</v>
      </c>
      <c r="F728" s="64">
        <f t="shared" si="384"/>
        <v>119.92</v>
      </c>
      <c r="G728" s="55">
        <f t="shared" si="385"/>
        <v>0</v>
      </c>
      <c r="H728" s="78">
        <f t="shared" si="404"/>
        <v>2.4366954920664725E-5</v>
      </c>
      <c r="I728" s="79">
        <f t="shared" ca="1" si="386"/>
        <v>0</v>
      </c>
      <c r="J728" s="79">
        <f t="shared" ca="1" si="387"/>
        <v>0</v>
      </c>
      <c r="K728" s="80">
        <f t="shared" ca="1" si="388"/>
        <v>0</v>
      </c>
      <c r="L728" s="80">
        <f t="shared" ca="1" si="389"/>
        <v>0</v>
      </c>
      <c r="M728" s="80">
        <f t="shared" ca="1" si="390"/>
        <v>0</v>
      </c>
      <c r="N728" s="80">
        <f t="shared" ca="1" si="391"/>
        <v>0</v>
      </c>
      <c r="O728" s="81">
        <f t="shared" ca="1" si="376"/>
        <v>0</v>
      </c>
      <c r="P728" s="79">
        <f t="shared" ca="1" si="377"/>
        <v>0</v>
      </c>
      <c r="R728">
        <f t="shared" ca="1" si="392"/>
        <v>725</v>
      </c>
      <c r="S728" s="78">
        <f t="shared" ca="1" si="393"/>
        <v>119.92</v>
      </c>
      <c r="T728" s="55">
        <f t="shared" ca="1" si="394"/>
        <v>0</v>
      </c>
      <c r="U728" s="78">
        <f t="shared" ca="1" si="395"/>
        <v>2.4366954920664725E-5</v>
      </c>
      <c r="V728" s="79">
        <f t="shared" ca="1" si="396"/>
        <v>0</v>
      </c>
      <c r="W728" s="79">
        <f t="shared" ca="1" si="378"/>
        <v>0</v>
      </c>
      <c r="X728" s="80">
        <f t="shared" ca="1" si="379"/>
        <v>0</v>
      </c>
      <c r="Y728" s="80">
        <f t="shared" ca="1" si="397"/>
        <v>0</v>
      </c>
      <c r="Z728" s="80">
        <f t="shared" ca="1" si="380"/>
        <v>0</v>
      </c>
      <c r="AA728" s="80">
        <f t="shared" ca="1" si="398"/>
        <v>0</v>
      </c>
      <c r="AB728" s="81">
        <f t="shared" ca="1" si="381"/>
        <v>0</v>
      </c>
      <c r="AC728" s="79">
        <f t="shared" ca="1" si="382"/>
        <v>0</v>
      </c>
      <c r="AE728" s="35"/>
      <c r="AF728" s="35"/>
      <c r="AR728" s="69">
        <f t="shared" si="399"/>
        <v>61</v>
      </c>
      <c r="AS728" s="70">
        <f t="shared" si="402"/>
        <v>725</v>
      </c>
      <c r="AT728" s="71">
        <f t="shared" si="403"/>
        <v>6.9952220640975152E-3</v>
      </c>
      <c r="AU728" s="72">
        <f t="shared" si="383"/>
        <v>6.8214933659622723E-3</v>
      </c>
      <c r="AV728" s="73">
        <f t="shared" si="400"/>
        <v>1.0068214933659623</v>
      </c>
      <c r="AW728" s="74">
        <f>PRODUCT(AV$4:AV728)</f>
        <v>138.21229612617176</v>
      </c>
    </row>
    <row r="729" spans="5:49">
      <c r="E729">
        <f t="shared" si="401"/>
        <v>726</v>
      </c>
      <c r="F729" s="64">
        <f t="shared" si="384"/>
        <v>120</v>
      </c>
      <c r="G729" s="55">
        <f t="shared" si="385"/>
        <v>0</v>
      </c>
      <c r="H729" s="78">
        <f t="shared" si="404"/>
        <v>2.4366954920664725E-5</v>
      </c>
      <c r="I729" s="79">
        <f t="shared" ca="1" si="386"/>
        <v>0</v>
      </c>
      <c r="J729" s="79">
        <f t="shared" ca="1" si="387"/>
        <v>0</v>
      </c>
      <c r="K729" s="80">
        <f t="shared" ca="1" si="388"/>
        <v>0</v>
      </c>
      <c r="L729" s="80">
        <f t="shared" ca="1" si="389"/>
        <v>0</v>
      </c>
      <c r="M729" s="80">
        <f t="shared" ca="1" si="390"/>
        <v>0</v>
      </c>
      <c r="N729" s="80">
        <f t="shared" ca="1" si="391"/>
        <v>0</v>
      </c>
      <c r="O729" s="81">
        <f t="shared" ca="1" si="376"/>
        <v>0</v>
      </c>
      <c r="P729" s="79">
        <f t="shared" ca="1" si="377"/>
        <v>0</v>
      </c>
      <c r="R729">
        <f t="shared" ca="1" si="392"/>
        <v>726</v>
      </c>
      <c r="S729" s="78">
        <f t="shared" ca="1" si="393"/>
        <v>120</v>
      </c>
      <c r="T729" s="55">
        <f t="shared" ca="1" si="394"/>
        <v>0</v>
      </c>
      <c r="U729" s="78">
        <f t="shared" ca="1" si="395"/>
        <v>2.4366954920664725E-5</v>
      </c>
      <c r="V729" s="79">
        <f t="shared" ca="1" si="396"/>
        <v>0</v>
      </c>
      <c r="W729" s="79">
        <f t="shared" ca="1" si="378"/>
        <v>0</v>
      </c>
      <c r="X729" s="80">
        <f t="shared" ca="1" si="379"/>
        <v>0</v>
      </c>
      <c r="Y729" s="80">
        <f t="shared" ca="1" si="397"/>
        <v>0</v>
      </c>
      <c r="Z729" s="80">
        <f t="shared" ca="1" si="380"/>
        <v>0</v>
      </c>
      <c r="AA729" s="80">
        <f t="shared" ca="1" si="398"/>
        <v>0</v>
      </c>
      <c r="AB729" s="81">
        <f t="shared" ca="1" si="381"/>
        <v>0</v>
      </c>
      <c r="AC729" s="79">
        <f t="shared" ca="1" si="382"/>
        <v>0</v>
      </c>
      <c r="AE729" s="35"/>
      <c r="AF729" s="35"/>
      <c r="AR729" s="69">
        <f t="shared" si="399"/>
        <v>61</v>
      </c>
      <c r="AS729" s="70">
        <f t="shared" si="402"/>
        <v>726</v>
      </c>
      <c r="AT729" s="71">
        <f t="shared" si="403"/>
        <v>6.9475042031938413E-3</v>
      </c>
      <c r="AU729" s="72">
        <f t="shared" si="383"/>
        <v>6.8214933659622723E-3</v>
      </c>
      <c r="AV729" s="73">
        <f t="shared" si="400"/>
        <v>1.0068214933659623</v>
      </c>
      <c r="AW729" s="74">
        <f>PRODUCT(AV$4:AV729)</f>
        <v>139.15511038729085</v>
      </c>
    </row>
    <row r="730" spans="5:49">
      <c r="E730">
        <f t="shared" si="401"/>
        <v>727</v>
      </c>
      <c r="F730" s="64">
        <f t="shared" si="384"/>
        <v>120.08</v>
      </c>
      <c r="G730" s="55">
        <f t="shared" si="385"/>
        <v>0</v>
      </c>
      <c r="H730" s="78">
        <f t="shared" si="404"/>
        <v>2.4366954920664725E-5</v>
      </c>
      <c r="I730" s="79">
        <f t="shared" ca="1" si="386"/>
        <v>0</v>
      </c>
      <c r="J730" s="79">
        <f t="shared" ca="1" si="387"/>
        <v>0</v>
      </c>
      <c r="K730" s="80">
        <f t="shared" ca="1" si="388"/>
        <v>0</v>
      </c>
      <c r="L730" s="80">
        <f t="shared" ca="1" si="389"/>
        <v>0</v>
      </c>
      <c r="M730" s="80">
        <f t="shared" ca="1" si="390"/>
        <v>0</v>
      </c>
      <c r="N730" s="80">
        <f t="shared" ca="1" si="391"/>
        <v>0</v>
      </c>
      <c r="O730" s="81">
        <f t="shared" ca="1" si="376"/>
        <v>0</v>
      </c>
      <c r="P730" s="79">
        <f t="shared" ca="1" si="377"/>
        <v>0</v>
      </c>
      <c r="R730">
        <f t="shared" ca="1" si="392"/>
        <v>727</v>
      </c>
      <c r="S730" s="78">
        <f t="shared" ca="1" si="393"/>
        <v>120.08</v>
      </c>
      <c r="T730" s="55">
        <f t="shared" ca="1" si="394"/>
        <v>0</v>
      </c>
      <c r="U730" s="78">
        <f t="shared" ca="1" si="395"/>
        <v>2.4366954920664725E-5</v>
      </c>
      <c r="V730" s="79">
        <f t="shared" ca="1" si="396"/>
        <v>0</v>
      </c>
      <c r="W730" s="79">
        <f t="shared" ca="1" si="378"/>
        <v>0</v>
      </c>
      <c r="X730" s="80">
        <f t="shared" ca="1" si="379"/>
        <v>0</v>
      </c>
      <c r="Y730" s="80">
        <f t="shared" ca="1" si="397"/>
        <v>0</v>
      </c>
      <c r="Z730" s="80">
        <f t="shared" ca="1" si="380"/>
        <v>0</v>
      </c>
      <c r="AA730" s="80">
        <f t="shared" ca="1" si="398"/>
        <v>0</v>
      </c>
      <c r="AB730" s="81">
        <f t="shared" ca="1" si="381"/>
        <v>0</v>
      </c>
      <c r="AC730" s="79">
        <f t="shared" ca="1" si="382"/>
        <v>0</v>
      </c>
      <c r="AE730" s="35"/>
      <c r="AF730" s="35"/>
      <c r="AR730" s="69">
        <f t="shared" si="399"/>
        <v>61</v>
      </c>
      <c r="AS730" s="70">
        <f t="shared" si="402"/>
        <v>727</v>
      </c>
      <c r="AT730" s="71">
        <f t="shared" si="403"/>
        <v>6.9001118493617593E-3</v>
      </c>
      <c r="AU730" s="72">
        <f t="shared" si="383"/>
        <v>6.8214933659622723E-3</v>
      </c>
      <c r="AV730" s="73">
        <f t="shared" si="400"/>
        <v>1.0068214933659623</v>
      </c>
      <c r="AW730" s="74">
        <f>PRODUCT(AV$4:AV730)</f>
        <v>140.10435604963749</v>
      </c>
    </row>
    <row r="731" spans="5:49">
      <c r="E731">
        <f t="shared" si="401"/>
        <v>728</v>
      </c>
      <c r="F731" s="64">
        <f t="shared" si="384"/>
        <v>120.16</v>
      </c>
      <c r="G731" s="55">
        <f t="shared" si="385"/>
        <v>0</v>
      </c>
      <c r="H731" s="78">
        <f t="shared" si="404"/>
        <v>2.4366954920664725E-5</v>
      </c>
      <c r="I731" s="79">
        <f t="shared" ca="1" si="386"/>
        <v>0</v>
      </c>
      <c r="J731" s="79">
        <f t="shared" ca="1" si="387"/>
        <v>0</v>
      </c>
      <c r="K731" s="80">
        <f t="shared" ca="1" si="388"/>
        <v>0</v>
      </c>
      <c r="L731" s="80">
        <f t="shared" ca="1" si="389"/>
        <v>0</v>
      </c>
      <c r="M731" s="80">
        <f t="shared" ca="1" si="390"/>
        <v>0</v>
      </c>
      <c r="N731" s="80">
        <f t="shared" ca="1" si="391"/>
        <v>0</v>
      </c>
      <c r="O731" s="81">
        <f t="shared" ca="1" si="376"/>
        <v>0</v>
      </c>
      <c r="P731" s="79">
        <f t="shared" ca="1" si="377"/>
        <v>0</v>
      </c>
      <c r="R731">
        <f t="shared" ca="1" si="392"/>
        <v>728</v>
      </c>
      <c r="S731" s="78">
        <f t="shared" ca="1" si="393"/>
        <v>120.16</v>
      </c>
      <c r="T731" s="55">
        <f t="shared" ca="1" si="394"/>
        <v>0</v>
      </c>
      <c r="U731" s="78">
        <f t="shared" ca="1" si="395"/>
        <v>2.4366954920664725E-5</v>
      </c>
      <c r="V731" s="79">
        <f t="shared" ca="1" si="396"/>
        <v>0</v>
      </c>
      <c r="W731" s="79">
        <f t="shared" ca="1" si="378"/>
        <v>0</v>
      </c>
      <c r="X731" s="80">
        <f t="shared" ca="1" si="379"/>
        <v>0</v>
      </c>
      <c r="Y731" s="80">
        <f t="shared" ca="1" si="397"/>
        <v>0</v>
      </c>
      <c r="Z731" s="80">
        <f t="shared" ca="1" si="380"/>
        <v>0</v>
      </c>
      <c r="AA731" s="80">
        <f t="shared" ca="1" si="398"/>
        <v>0</v>
      </c>
      <c r="AB731" s="81">
        <f t="shared" ca="1" si="381"/>
        <v>0</v>
      </c>
      <c r="AC731" s="79">
        <f t="shared" ca="1" si="382"/>
        <v>0</v>
      </c>
      <c r="AE731" s="35"/>
      <c r="AF731" s="35"/>
      <c r="AR731" s="69">
        <f t="shared" si="399"/>
        <v>61</v>
      </c>
      <c r="AS731" s="70">
        <f t="shared" si="402"/>
        <v>728</v>
      </c>
      <c r="AT731" s="71">
        <f t="shared" si="403"/>
        <v>6.8530427821569401E-3</v>
      </c>
      <c r="AU731" s="72">
        <f t="shared" si="383"/>
        <v>6.8214933659622723E-3</v>
      </c>
      <c r="AV731" s="73">
        <f t="shared" si="400"/>
        <v>1.0068214933659623</v>
      </c>
      <c r="AW731" s="74">
        <f>PRODUCT(AV$4:AV731)</f>
        <v>141.06007698497251</v>
      </c>
    </row>
    <row r="732" spans="5:49">
      <c r="E732">
        <f t="shared" si="401"/>
        <v>729</v>
      </c>
      <c r="F732" s="64">
        <f t="shared" si="384"/>
        <v>120.24</v>
      </c>
      <c r="G732" s="55">
        <f t="shared" si="385"/>
        <v>0</v>
      </c>
      <c r="H732" s="78">
        <f t="shared" si="404"/>
        <v>2.4366954920664725E-5</v>
      </c>
      <c r="I732" s="79">
        <f t="shared" ca="1" si="386"/>
        <v>0</v>
      </c>
      <c r="J732" s="79">
        <f t="shared" ca="1" si="387"/>
        <v>0</v>
      </c>
      <c r="K732" s="80">
        <f t="shared" ca="1" si="388"/>
        <v>0</v>
      </c>
      <c r="L732" s="80">
        <f t="shared" ca="1" si="389"/>
        <v>0</v>
      </c>
      <c r="M732" s="80">
        <f t="shared" ca="1" si="390"/>
        <v>0</v>
      </c>
      <c r="N732" s="80">
        <f t="shared" ca="1" si="391"/>
        <v>0</v>
      </c>
      <c r="O732" s="81">
        <f t="shared" ca="1" si="376"/>
        <v>0</v>
      </c>
      <c r="P732" s="79">
        <f t="shared" ca="1" si="377"/>
        <v>0</v>
      </c>
      <c r="R732">
        <f t="shared" ca="1" si="392"/>
        <v>729</v>
      </c>
      <c r="S732" s="78">
        <f t="shared" ca="1" si="393"/>
        <v>120.24</v>
      </c>
      <c r="T732" s="55">
        <f t="shared" ca="1" si="394"/>
        <v>0</v>
      </c>
      <c r="U732" s="78">
        <f t="shared" ca="1" si="395"/>
        <v>2.4366954920664725E-5</v>
      </c>
      <c r="V732" s="79">
        <f t="shared" ca="1" si="396"/>
        <v>0</v>
      </c>
      <c r="W732" s="79">
        <f t="shared" ca="1" si="378"/>
        <v>0</v>
      </c>
      <c r="X732" s="80">
        <f t="shared" ca="1" si="379"/>
        <v>0</v>
      </c>
      <c r="Y732" s="80">
        <f t="shared" ca="1" si="397"/>
        <v>0</v>
      </c>
      <c r="Z732" s="80">
        <f t="shared" ca="1" si="380"/>
        <v>0</v>
      </c>
      <c r="AA732" s="80">
        <f t="shared" ca="1" si="398"/>
        <v>0</v>
      </c>
      <c r="AB732" s="81">
        <f t="shared" ca="1" si="381"/>
        <v>0</v>
      </c>
      <c r="AC732" s="79">
        <f t="shared" ca="1" si="382"/>
        <v>0</v>
      </c>
      <c r="AE732" s="35"/>
      <c r="AF732" s="35"/>
      <c r="AR732" s="69">
        <f t="shared" si="399"/>
        <v>61</v>
      </c>
      <c r="AS732" s="70">
        <f t="shared" si="402"/>
        <v>729</v>
      </c>
      <c r="AT732" s="71">
        <f t="shared" si="403"/>
        <v>6.806294796281801E-3</v>
      </c>
      <c r="AU732" s="72">
        <f t="shared" si="383"/>
        <v>6.8214933659622723E-3</v>
      </c>
      <c r="AV732" s="73">
        <f t="shared" si="400"/>
        <v>1.0068214933659623</v>
      </c>
      <c r="AW732" s="74">
        <f>PRODUCT(AV$4:AV732)</f>
        <v>142.02231736432762</v>
      </c>
    </row>
    <row r="733" spans="5:49">
      <c r="E733">
        <f t="shared" si="401"/>
        <v>730</v>
      </c>
      <c r="F733" s="64">
        <f t="shared" si="384"/>
        <v>120.32</v>
      </c>
      <c r="G733" s="55">
        <f t="shared" si="385"/>
        <v>0</v>
      </c>
      <c r="H733" s="78">
        <f t="shared" si="404"/>
        <v>2.4366954920664725E-5</v>
      </c>
      <c r="I733" s="79">
        <f t="shared" ca="1" si="386"/>
        <v>0</v>
      </c>
      <c r="J733" s="79">
        <f t="shared" ca="1" si="387"/>
        <v>0</v>
      </c>
      <c r="K733" s="80">
        <f t="shared" ca="1" si="388"/>
        <v>0</v>
      </c>
      <c r="L733" s="80">
        <f t="shared" ca="1" si="389"/>
        <v>0</v>
      </c>
      <c r="M733" s="80">
        <f t="shared" ca="1" si="390"/>
        <v>0</v>
      </c>
      <c r="N733" s="80">
        <f t="shared" ca="1" si="391"/>
        <v>0</v>
      </c>
      <c r="O733" s="81">
        <f t="shared" ca="1" si="376"/>
        <v>0</v>
      </c>
      <c r="P733" s="79">
        <f t="shared" ca="1" si="377"/>
        <v>0</v>
      </c>
      <c r="R733">
        <f t="shared" ca="1" si="392"/>
        <v>730</v>
      </c>
      <c r="S733" s="78">
        <f t="shared" ca="1" si="393"/>
        <v>120.32</v>
      </c>
      <c r="T733" s="55">
        <f t="shared" ca="1" si="394"/>
        <v>0</v>
      </c>
      <c r="U733" s="78">
        <f t="shared" ca="1" si="395"/>
        <v>2.4366954920664725E-5</v>
      </c>
      <c r="V733" s="79">
        <f t="shared" ca="1" si="396"/>
        <v>0</v>
      </c>
      <c r="W733" s="79">
        <f t="shared" ca="1" si="378"/>
        <v>0</v>
      </c>
      <c r="X733" s="80">
        <f t="shared" ca="1" si="379"/>
        <v>0</v>
      </c>
      <c r="Y733" s="80">
        <f t="shared" ca="1" si="397"/>
        <v>0</v>
      </c>
      <c r="Z733" s="80">
        <f t="shared" ca="1" si="380"/>
        <v>0</v>
      </c>
      <c r="AA733" s="80">
        <f t="shared" ca="1" si="398"/>
        <v>0</v>
      </c>
      <c r="AB733" s="81">
        <f t="shared" ca="1" si="381"/>
        <v>0</v>
      </c>
      <c r="AC733" s="79">
        <f t="shared" ca="1" si="382"/>
        <v>0</v>
      </c>
      <c r="AE733" s="35"/>
      <c r="AF733" s="35"/>
      <c r="AR733" s="69">
        <f t="shared" si="399"/>
        <v>61</v>
      </c>
      <c r="AS733" s="70">
        <f t="shared" si="402"/>
        <v>730</v>
      </c>
      <c r="AT733" s="71">
        <f t="shared" si="403"/>
        <v>6.7598657014821808E-3</v>
      </c>
      <c r="AU733" s="72">
        <f t="shared" si="383"/>
        <v>6.8214933659622723E-3</v>
      </c>
      <c r="AV733" s="73">
        <f t="shared" si="400"/>
        <v>1.0068214933659623</v>
      </c>
      <c r="AW733" s="74">
        <f>PRODUCT(AV$4:AV733)</f>
        <v>142.99112166004696</v>
      </c>
    </row>
    <row r="734" spans="5:49">
      <c r="E734">
        <f t="shared" si="401"/>
        <v>731</v>
      </c>
      <c r="F734" s="64">
        <f t="shared" si="384"/>
        <v>120.4</v>
      </c>
      <c r="G734" s="55">
        <f t="shared" si="385"/>
        <v>0</v>
      </c>
      <c r="H734" s="78">
        <f t="shared" si="404"/>
        <v>2.4366954920664725E-5</v>
      </c>
      <c r="I734" s="79">
        <f t="shared" ca="1" si="386"/>
        <v>0</v>
      </c>
      <c r="J734" s="79">
        <f t="shared" ca="1" si="387"/>
        <v>0</v>
      </c>
      <c r="K734" s="80">
        <f t="shared" ca="1" si="388"/>
        <v>0</v>
      </c>
      <c r="L734" s="80">
        <f t="shared" ca="1" si="389"/>
        <v>0</v>
      </c>
      <c r="M734" s="80">
        <f t="shared" ca="1" si="390"/>
        <v>0</v>
      </c>
      <c r="N734" s="80">
        <f t="shared" ca="1" si="391"/>
        <v>0</v>
      </c>
      <c r="O734" s="81">
        <f t="shared" ca="1" si="376"/>
        <v>0</v>
      </c>
      <c r="P734" s="79">
        <f t="shared" ca="1" si="377"/>
        <v>0</v>
      </c>
      <c r="R734">
        <f t="shared" ca="1" si="392"/>
        <v>731</v>
      </c>
      <c r="S734" s="78">
        <f t="shared" ca="1" si="393"/>
        <v>120.4</v>
      </c>
      <c r="T734" s="55">
        <f t="shared" ca="1" si="394"/>
        <v>0</v>
      </c>
      <c r="U734" s="78">
        <f t="shared" ca="1" si="395"/>
        <v>2.4366954920664725E-5</v>
      </c>
      <c r="V734" s="79">
        <f t="shared" ca="1" si="396"/>
        <v>0</v>
      </c>
      <c r="W734" s="79">
        <f t="shared" ca="1" si="378"/>
        <v>0</v>
      </c>
      <c r="X734" s="80">
        <f t="shared" ca="1" si="379"/>
        <v>0</v>
      </c>
      <c r="Y734" s="80">
        <f t="shared" ca="1" si="397"/>
        <v>0</v>
      </c>
      <c r="Z734" s="80">
        <f t="shared" ca="1" si="380"/>
        <v>0</v>
      </c>
      <c r="AA734" s="80">
        <f t="shared" ca="1" si="398"/>
        <v>0</v>
      </c>
      <c r="AB734" s="81">
        <f t="shared" ca="1" si="381"/>
        <v>0</v>
      </c>
      <c r="AC734" s="79">
        <f t="shared" ca="1" si="382"/>
        <v>0</v>
      </c>
      <c r="AE734" s="35"/>
      <c r="AF734" s="35"/>
      <c r="AR734" s="69">
        <f t="shared" si="399"/>
        <v>61</v>
      </c>
      <c r="AS734" s="70">
        <f t="shared" si="402"/>
        <v>731</v>
      </c>
      <c r="AT734" s="71">
        <f t="shared" si="403"/>
        <v>6.713753322444724E-3</v>
      </c>
      <c r="AU734" s="72">
        <f t="shared" si="383"/>
        <v>6.8214933659622723E-3</v>
      </c>
      <c r="AV734" s="73">
        <f t="shared" si="400"/>
        <v>1.0068214933659623</v>
      </c>
      <c r="AW734" s="74">
        <f>PRODUCT(AV$4:AV734)</f>
        <v>143.96653464784248</v>
      </c>
    </row>
    <row r="735" spans="5:49">
      <c r="E735">
        <f t="shared" si="401"/>
        <v>732</v>
      </c>
      <c r="F735" s="64">
        <f t="shared" si="384"/>
        <v>120.48</v>
      </c>
      <c r="G735" s="55">
        <f t="shared" si="385"/>
        <v>0</v>
      </c>
      <c r="H735" s="78">
        <f t="shared" si="404"/>
        <v>2.4366954920664725E-5</v>
      </c>
      <c r="I735" s="79">
        <f t="shared" ca="1" si="386"/>
        <v>0</v>
      </c>
      <c r="J735" s="79">
        <f t="shared" ca="1" si="387"/>
        <v>0</v>
      </c>
      <c r="K735" s="80">
        <f t="shared" ca="1" si="388"/>
        <v>0</v>
      </c>
      <c r="L735" s="80">
        <f t="shared" ca="1" si="389"/>
        <v>0</v>
      </c>
      <c r="M735" s="80">
        <f t="shared" ca="1" si="390"/>
        <v>0</v>
      </c>
      <c r="N735" s="80">
        <f t="shared" ca="1" si="391"/>
        <v>0</v>
      </c>
      <c r="O735" s="81">
        <f t="shared" ca="1" si="376"/>
        <v>0</v>
      </c>
      <c r="P735" s="79">
        <f t="shared" ca="1" si="377"/>
        <v>0</v>
      </c>
      <c r="R735">
        <f t="shared" ca="1" si="392"/>
        <v>732</v>
      </c>
      <c r="S735" s="78">
        <f t="shared" ca="1" si="393"/>
        <v>120.48</v>
      </c>
      <c r="T735" s="55">
        <f t="shared" ca="1" si="394"/>
        <v>0</v>
      </c>
      <c r="U735" s="78">
        <f t="shared" ca="1" si="395"/>
        <v>2.4366954920664725E-5</v>
      </c>
      <c r="V735" s="79">
        <f t="shared" ca="1" si="396"/>
        <v>0</v>
      </c>
      <c r="W735" s="79">
        <f t="shared" ca="1" si="378"/>
        <v>0</v>
      </c>
      <c r="X735" s="80">
        <f t="shared" ca="1" si="379"/>
        <v>0</v>
      </c>
      <c r="Y735" s="80">
        <f t="shared" ca="1" si="397"/>
        <v>0</v>
      </c>
      <c r="Z735" s="80">
        <f t="shared" ca="1" si="380"/>
        <v>0</v>
      </c>
      <c r="AA735" s="80">
        <f t="shared" ca="1" si="398"/>
        <v>0</v>
      </c>
      <c r="AB735" s="81">
        <f t="shared" ca="1" si="381"/>
        <v>0</v>
      </c>
      <c r="AC735" s="79">
        <f t="shared" ca="1" si="382"/>
        <v>0</v>
      </c>
      <c r="AE735" s="35"/>
      <c r="AF735" s="35"/>
      <c r="AR735" s="69">
        <f t="shared" si="399"/>
        <v>61</v>
      </c>
      <c r="AS735" s="70">
        <f t="shared" si="402"/>
        <v>732</v>
      </c>
      <c r="AT735" s="71">
        <f t="shared" si="403"/>
        <v>6.66795549869496E-3</v>
      </c>
      <c r="AU735" s="72">
        <f t="shared" si="383"/>
        <v>6.8214933659622723E-3</v>
      </c>
      <c r="AV735" s="73">
        <f t="shared" si="400"/>
        <v>1.0068214933659623</v>
      </c>
      <c r="AW735" s="74">
        <f>PRODUCT(AV$4:AV735)</f>
        <v>144.94860140886331</v>
      </c>
    </row>
    <row r="736" spans="5:49">
      <c r="E736">
        <f t="shared" si="401"/>
        <v>733</v>
      </c>
      <c r="F736" s="64">
        <f t="shared" si="384"/>
        <v>120.56</v>
      </c>
      <c r="G736" s="55">
        <f t="shared" si="385"/>
        <v>0</v>
      </c>
      <c r="H736" s="78">
        <f t="shared" si="404"/>
        <v>2.4366954920664725E-5</v>
      </c>
      <c r="I736" s="79">
        <f t="shared" ca="1" si="386"/>
        <v>0</v>
      </c>
      <c r="J736" s="79">
        <f t="shared" ca="1" si="387"/>
        <v>0</v>
      </c>
      <c r="K736" s="80">
        <f t="shared" ca="1" si="388"/>
        <v>0</v>
      </c>
      <c r="L736" s="80">
        <f t="shared" ca="1" si="389"/>
        <v>0</v>
      </c>
      <c r="M736" s="80">
        <f t="shared" ca="1" si="390"/>
        <v>0</v>
      </c>
      <c r="N736" s="80">
        <f t="shared" ca="1" si="391"/>
        <v>0</v>
      </c>
      <c r="O736" s="81">
        <f t="shared" ca="1" si="376"/>
        <v>0</v>
      </c>
      <c r="P736" s="79">
        <f t="shared" ca="1" si="377"/>
        <v>0</v>
      </c>
      <c r="R736">
        <f t="shared" ca="1" si="392"/>
        <v>733</v>
      </c>
      <c r="S736" s="78">
        <f t="shared" ca="1" si="393"/>
        <v>120.56</v>
      </c>
      <c r="T736" s="55">
        <f t="shared" ca="1" si="394"/>
        <v>0</v>
      </c>
      <c r="U736" s="78">
        <f t="shared" ca="1" si="395"/>
        <v>2.4366954920664725E-5</v>
      </c>
      <c r="V736" s="79">
        <f t="shared" ca="1" si="396"/>
        <v>0</v>
      </c>
      <c r="W736" s="79">
        <f t="shared" ca="1" si="378"/>
        <v>0</v>
      </c>
      <c r="X736" s="80">
        <f t="shared" ca="1" si="379"/>
        <v>0</v>
      </c>
      <c r="Y736" s="80">
        <f t="shared" ca="1" si="397"/>
        <v>0</v>
      </c>
      <c r="Z736" s="80">
        <f t="shared" ca="1" si="380"/>
        <v>0</v>
      </c>
      <c r="AA736" s="80">
        <f t="shared" ca="1" si="398"/>
        <v>0</v>
      </c>
      <c r="AB736" s="81">
        <f t="shared" ca="1" si="381"/>
        <v>0</v>
      </c>
      <c r="AC736" s="79">
        <f t="shared" ca="1" si="382"/>
        <v>0</v>
      </c>
      <c r="AE736" s="35"/>
      <c r="AF736" s="35"/>
      <c r="AR736" s="69">
        <f t="shared" si="399"/>
        <v>62</v>
      </c>
      <c r="AS736" s="70">
        <f t="shared" si="402"/>
        <v>733</v>
      </c>
      <c r="AT736" s="71">
        <f t="shared" si="403"/>
        <v>6.6224700844960804E-3</v>
      </c>
      <c r="AU736" s="72">
        <f t="shared" si="383"/>
        <v>6.8214933659622723E-3</v>
      </c>
      <c r="AV736" s="73">
        <f t="shared" si="400"/>
        <v>1.0068214933659623</v>
      </c>
      <c r="AW736" s="74">
        <f>PRODUCT(AV$4:AV736)</f>
        <v>145.93736733177937</v>
      </c>
    </row>
    <row r="737" spans="5:49">
      <c r="E737">
        <f t="shared" si="401"/>
        <v>734</v>
      </c>
      <c r="F737" s="64">
        <f t="shared" si="384"/>
        <v>120.64</v>
      </c>
      <c r="G737" s="55">
        <f t="shared" si="385"/>
        <v>0</v>
      </c>
      <c r="H737" s="78">
        <f t="shared" si="404"/>
        <v>2.4366954920664725E-5</v>
      </c>
      <c r="I737" s="79">
        <f t="shared" ca="1" si="386"/>
        <v>0</v>
      </c>
      <c r="J737" s="79">
        <f t="shared" ca="1" si="387"/>
        <v>0</v>
      </c>
      <c r="K737" s="80">
        <f t="shared" ca="1" si="388"/>
        <v>0</v>
      </c>
      <c r="L737" s="80">
        <f t="shared" ca="1" si="389"/>
        <v>0</v>
      </c>
      <c r="M737" s="80">
        <f t="shared" ca="1" si="390"/>
        <v>0</v>
      </c>
      <c r="N737" s="80">
        <f t="shared" ca="1" si="391"/>
        <v>0</v>
      </c>
      <c r="O737" s="81">
        <f t="shared" ca="1" si="376"/>
        <v>0</v>
      </c>
      <c r="P737" s="79">
        <f t="shared" ca="1" si="377"/>
        <v>0</v>
      </c>
      <c r="R737">
        <f t="shared" ca="1" si="392"/>
        <v>734</v>
      </c>
      <c r="S737" s="78">
        <f t="shared" ca="1" si="393"/>
        <v>120.64</v>
      </c>
      <c r="T737" s="55">
        <f t="shared" ca="1" si="394"/>
        <v>0</v>
      </c>
      <c r="U737" s="78">
        <f t="shared" ca="1" si="395"/>
        <v>2.4366954920664725E-5</v>
      </c>
      <c r="V737" s="79">
        <f t="shared" ca="1" si="396"/>
        <v>0</v>
      </c>
      <c r="W737" s="79">
        <f t="shared" ca="1" si="378"/>
        <v>0</v>
      </c>
      <c r="X737" s="80">
        <f t="shared" ca="1" si="379"/>
        <v>0</v>
      </c>
      <c r="Y737" s="80">
        <f t="shared" ca="1" si="397"/>
        <v>0</v>
      </c>
      <c r="Z737" s="80">
        <f t="shared" ca="1" si="380"/>
        <v>0</v>
      </c>
      <c r="AA737" s="80">
        <f t="shared" ca="1" si="398"/>
        <v>0</v>
      </c>
      <c r="AB737" s="81">
        <f t="shared" ca="1" si="381"/>
        <v>0</v>
      </c>
      <c r="AC737" s="79">
        <f t="shared" ca="1" si="382"/>
        <v>0</v>
      </c>
      <c r="AE737" s="35"/>
      <c r="AF737" s="35"/>
      <c r="AR737" s="69">
        <f t="shared" si="399"/>
        <v>62</v>
      </c>
      <c r="AS737" s="70">
        <f t="shared" si="402"/>
        <v>734</v>
      </c>
      <c r="AT737" s="71">
        <f t="shared" si="403"/>
        <v>6.5772949487484071E-3</v>
      </c>
      <c r="AU737" s="72">
        <f t="shared" si="383"/>
        <v>6.8214933659622723E-3</v>
      </c>
      <c r="AV737" s="73">
        <f t="shared" si="400"/>
        <v>1.0068214933659623</v>
      </c>
      <c r="AW737" s="74">
        <f>PRODUCT(AV$4:AV737)</f>
        <v>146.93287811487912</v>
      </c>
    </row>
    <row r="738" spans="5:49">
      <c r="E738">
        <f t="shared" si="401"/>
        <v>735</v>
      </c>
      <c r="F738" s="64">
        <f t="shared" si="384"/>
        <v>120.72</v>
      </c>
      <c r="G738" s="55">
        <f t="shared" si="385"/>
        <v>0</v>
      </c>
      <c r="H738" s="78">
        <f t="shared" si="404"/>
        <v>2.4366954920664725E-5</v>
      </c>
      <c r="I738" s="79">
        <f t="shared" ca="1" si="386"/>
        <v>0</v>
      </c>
      <c r="J738" s="79">
        <f t="shared" ca="1" si="387"/>
        <v>0</v>
      </c>
      <c r="K738" s="80">
        <f t="shared" ca="1" si="388"/>
        <v>0</v>
      </c>
      <c r="L738" s="80">
        <f t="shared" ca="1" si="389"/>
        <v>0</v>
      </c>
      <c r="M738" s="80">
        <f t="shared" ca="1" si="390"/>
        <v>0</v>
      </c>
      <c r="N738" s="80">
        <f t="shared" ca="1" si="391"/>
        <v>0</v>
      </c>
      <c r="O738" s="81">
        <f t="shared" ca="1" si="376"/>
        <v>0</v>
      </c>
      <c r="P738" s="79">
        <f t="shared" ca="1" si="377"/>
        <v>0</v>
      </c>
      <c r="R738">
        <f t="shared" ca="1" si="392"/>
        <v>735</v>
      </c>
      <c r="S738" s="78">
        <f t="shared" ca="1" si="393"/>
        <v>120.72</v>
      </c>
      <c r="T738" s="55">
        <f t="shared" ca="1" si="394"/>
        <v>0</v>
      </c>
      <c r="U738" s="78">
        <f t="shared" ca="1" si="395"/>
        <v>2.4366954920664725E-5</v>
      </c>
      <c r="V738" s="79">
        <f t="shared" ca="1" si="396"/>
        <v>0</v>
      </c>
      <c r="W738" s="79">
        <f t="shared" ca="1" si="378"/>
        <v>0</v>
      </c>
      <c r="X738" s="80">
        <f t="shared" ca="1" si="379"/>
        <v>0</v>
      </c>
      <c r="Y738" s="80">
        <f t="shared" ca="1" si="397"/>
        <v>0</v>
      </c>
      <c r="Z738" s="80">
        <f t="shared" ca="1" si="380"/>
        <v>0</v>
      </c>
      <c r="AA738" s="80">
        <f t="shared" ca="1" si="398"/>
        <v>0</v>
      </c>
      <c r="AB738" s="81">
        <f t="shared" ca="1" si="381"/>
        <v>0</v>
      </c>
      <c r="AC738" s="79">
        <f t="shared" ca="1" si="382"/>
        <v>0</v>
      </c>
      <c r="AE738" s="35"/>
      <c r="AF738" s="35"/>
      <c r="AR738" s="69">
        <f t="shared" si="399"/>
        <v>62</v>
      </c>
      <c r="AS738" s="70">
        <f t="shared" si="402"/>
        <v>735</v>
      </c>
      <c r="AT738" s="71">
        <f t="shared" si="403"/>
        <v>6.5324279748895427E-3</v>
      </c>
      <c r="AU738" s="72">
        <f t="shared" si="383"/>
        <v>6.8214933659622723E-3</v>
      </c>
      <c r="AV738" s="73">
        <f t="shared" si="400"/>
        <v>1.0068214933659623</v>
      </c>
      <c r="AW738" s="74">
        <f>PRODUCT(AV$4:AV738)</f>
        <v>147.93517976818151</v>
      </c>
    </row>
    <row r="739" spans="5:49">
      <c r="E739">
        <f t="shared" si="401"/>
        <v>736</v>
      </c>
      <c r="F739" s="64">
        <f t="shared" si="384"/>
        <v>120.8</v>
      </c>
      <c r="G739" s="55">
        <f t="shared" si="385"/>
        <v>0</v>
      </c>
      <c r="H739" s="78">
        <f t="shared" si="404"/>
        <v>2.4366954920664725E-5</v>
      </c>
      <c r="I739" s="79">
        <f t="shared" ca="1" si="386"/>
        <v>0</v>
      </c>
      <c r="J739" s="79">
        <f t="shared" ca="1" si="387"/>
        <v>0</v>
      </c>
      <c r="K739" s="80">
        <f t="shared" ca="1" si="388"/>
        <v>0</v>
      </c>
      <c r="L739" s="80">
        <f t="shared" ca="1" si="389"/>
        <v>0</v>
      </c>
      <c r="M739" s="80">
        <f t="shared" ca="1" si="390"/>
        <v>0</v>
      </c>
      <c r="N739" s="80">
        <f t="shared" ca="1" si="391"/>
        <v>0</v>
      </c>
      <c r="O739" s="81">
        <f t="shared" ca="1" si="376"/>
        <v>0</v>
      </c>
      <c r="P739" s="79">
        <f t="shared" ca="1" si="377"/>
        <v>0</v>
      </c>
      <c r="R739">
        <f t="shared" ca="1" si="392"/>
        <v>736</v>
      </c>
      <c r="S739" s="78">
        <f t="shared" ca="1" si="393"/>
        <v>120.8</v>
      </c>
      <c r="T739" s="55">
        <f t="shared" ca="1" si="394"/>
        <v>0</v>
      </c>
      <c r="U739" s="78">
        <f t="shared" ca="1" si="395"/>
        <v>2.4366954920664725E-5</v>
      </c>
      <c r="V739" s="79">
        <f t="shared" ca="1" si="396"/>
        <v>0</v>
      </c>
      <c r="W739" s="79">
        <f t="shared" ca="1" si="378"/>
        <v>0</v>
      </c>
      <c r="X739" s="80">
        <f t="shared" ca="1" si="379"/>
        <v>0</v>
      </c>
      <c r="Y739" s="80">
        <f t="shared" ca="1" si="397"/>
        <v>0</v>
      </c>
      <c r="Z739" s="80">
        <f t="shared" ca="1" si="380"/>
        <v>0</v>
      </c>
      <c r="AA739" s="80">
        <f t="shared" ca="1" si="398"/>
        <v>0</v>
      </c>
      <c r="AB739" s="81">
        <f t="shared" ca="1" si="381"/>
        <v>0</v>
      </c>
      <c r="AC739" s="79">
        <f t="shared" ca="1" si="382"/>
        <v>0</v>
      </c>
      <c r="AE739" s="35"/>
      <c r="AF739" s="35"/>
      <c r="AR739" s="69">
        <f t="shared" si="399"/>
        <v>62</v>
      </c>
      <c r="AS739" s="70">
        <f t="shared" si="402"/>
        <v>736</v>
      </c>
      <c r="AT739" s="71">
        <f t="shared" si="403"/>
        <v>6.487867060795207E-3</v>
      </c>
      <c r="AU739" s="72">
        <f t="shared" si="383"/>
        <v>6.8214933659622723E-3</v>
      </c>
      <c r="AV739" s="73">
        <f t="shared" si="400"/>
        <v>1.0068214933659623</v>
      </c>
      <c r="AW739" s="74">
        <f>PRODUCT(AV$4:AV739)</f>
        <v>148.94431861556259</v>
      </c>
    </row>
    <row r="740" spans="5:49">
      <c r="E740">
        <f t="shared" si="401"/>
        <v>737</v>
      </c>
      <c r="F740" s="64">
        <f t="shared" si="384"/>
        <v>120.88</v>
      </c>
      <c r="G740" s="55">
        <f t="shared" si="385"/>
        <v>0</v>
      </c>
      <c r="H740" s="78">
        <f t="shared" si="404"/>
        <v>2.4366954920664725E-5</v>
      </c>
      <c r="I740" s="79">
        <f t="shared" ca="1" si="386"/>
        <v>0</v>
      </c>
      <c r="J740" s="79">
        <f t="shared" ca="1" si="387"/>
        <v>0</v>
      </c>
      <c r="K740" s="80">
        <f t="shared" ca="1" si="388"/>
        <v>0</v>
      </c>
      <c r="L740" s="80">
        <f t="shared" ca="1" si="389"/>
        <v>0</v>
      </c>
      <c r="M740" s="80">
        <f t="shared" ca="1" si="390"/>
        <v>0</v>
      </c>
      <c r="N740" s="80">
        <f t="shared" ca="1" si="391"/>
        <v>0</v>
      </c>
      <c r="O740" s="81">
        <f t="shared" ca="1" si="376"/>
        <v>0</v>
      </c>
      <c r="P740" s="79">
        <f t="shared" ca="1" si="377"/>
        <v>0</v>
      </c>
      <c r="R740">
        <f t="shared" ca="1" si="392"/>
        <v>737</v>
      </c>
      <c r="S740" s="78">
        <f t="shared" ca="1" si="393"/>
        <v>120.88</v>
      </c>
      <c r="T740" s="55">
        <f t="shared" ca="1" si="394"/>
        <v>0</v>
      </c>
      <c r="U740" s="78">
        <f t="shared" ca="1" si="395"/>
        <v>2.4366954920664725E-5</v>
      </c>
      <c r="V740" s="79">
        <f t="shared" ca="1" si="396"/>
        <v>0</v>
      </c>
      <c r="W740" s="79">
        <f t="shared" ca="1" si="378"/>
        <v>0</v>
      </c>
      <c r="X740" s="80">
        <f t="shared" ca="1" si="379"/>
        <v>0</v>
      </c>
      <c r="Y740" s="80">
        <f t="shared" ca="1" si="397"/>
        <v>0</v>
      </c>
      <c r="Z740" s="80">
        <f t="shared" ca="1" si="380"/>
        <v>0</v>
      </c>
      <c r="AA740" s="80">
        <f t="shared" ca="1" si="398"/>
        <v>0</v>
      </c>
      <c r="AB740" s="81">
        <f t="shared" ca="1" si="381"/>
        <v>0</v>
      </c>
      <c r="AC740" s="79">
        <f t="shared" ca="1" si="382"/>
        <v>0</v>
      </c>
      <c r="AE740" s="35"/>
      <c r="AF740" s="35"/>
      <c r="AR740" s="69">
        <f t="shared" si="399"/>
        <v>62</v>
      </c>
      <c r="AS740" s="70">
        <f t="shared" si="402"/>
        <v>737</v>
      </c>
      <c r="AT740" s="71">
        <f t="shared" si="403"/>
        <v>6.4436101186807473E-3</v>
      </c>
      <c r="AU740" s="72">
        <f t="shared" si="383"/>
        <v>6.8214933659622723E-3</v>
      </c>
      <c r="AV740" s="73">
        <f t="shared" si="400"/>
        <v>1.0068214933659623</v>
      </c>
      <c r="AW740" s="74">
        <f>PRODUCT(AV$4:AV740)</f>
        <v>149.96034129689642</v>
      </c>
    </row>
    <row r="741" spans="5:49">
      <c r="E741">
        <f t="shared" si="401"/>
        <v>738</v>
      </c>
      <c r="F741" s="64">
        <f t="shared" si="384"/>
        <v>120.96</v>
      </c>
      <c r="G741" s="55">
        <f t="shared" si="385"/>
        <v>0</v>
      </c>
      <c r="H741" s="78">
        <f t="shared" si="404"/>
        <v>2.4366954920664725E-5</v>
      </c>
      <c r="I741" s="79">
        <f t="shared" ca="1" si="386"/>
        <v>0</v>
      </c>
      <c r="J741" s="79">
        <f t="shared" ca="1" si="387"/>
        <v>0</v>
      </c>
      <c r="K741" s="80">
        <f t="shared" ca="1" si="388"/>
        <v>0</v>
      </c>
      <c r="L741" s="80">
        <f t="shared" ca="1" si="389"/>
        <v>0</v>
      </c>
      <c r="M741" s="80">
        <f t="shared" ca="1" si="390"/>
        <v>0</v>
      </c>
      <c r="N741" s="80">
        <f t="shared" ca="1" si="391"/>
        <v>0</v>
      </c>
      <c r="O741" s="81">
        <f t="shared" ca="1" si="376"/>
        <v>0</v>
      </c>
      <c r="P741" s="79">
        <f t="shared" ca="1" si="377"/>
        <v>0</v>
      </c>
      <c r="R741">
        <f t="shared" ca="1" si="392"/>
        <v>738</v>
      </c>
      <c r="S741" s="78">
        <f t="shared" ca="1" si="393"/>
        <v>120.96</v>
      </c>
      <c r="T741" s="55">
        <f t="shared" ca="1" si="394"/>
        <v>0</v>
      </c>
      <c r="U741" s="78">
        <f t="shared" ca="1" si="395"/>
        <v>2.4366954920664725E-5</v>
      </c>
      <c r="V741" s="79">
        <f t="shared" ca="1" si="396"/>
        <v>0</v>
      </c>
      <c r="W741" s="79">
        <f t="shared" ca="1" si="378"/>
        <v>0</v>
      </c>
      <c r="X741" s="80">
        <f t="shared" ca="1" si="379"/>
        <v>0</v>
      </c>
      <c r="Y741" s="80">
        <f t="shared" ca="1" si="397"/>
        <v>0</v>
      </c>
      <c r="Z741" s="80">
        <f t="shared" ca="1" si="380"/>
        <v>0</v>
      </c>
      <c r="AA741" s="80">
        <f t="shared" ca="1" si="398"/>
        <v>0</v>
      </c>
      <c r="AB741" s="81">
        <f t="shared" ca="1" si="381"/>
        <v>0</v>
      </c>
      <c r="AC741" s="79">
        <f t="shared" ca="1" si="382"/>
        <v>0</v>
      </c>
      <c r="AE741" s="35"/>
      <c r="AF741" s="35"/>
      <c r="AR741" s="69">
        <f t="shared" si="399"/>
        <v>62</v>
      </c>
      <c r="AS741" s="70">
        <f t="shared" si="402"/>
        <v>738</v>
      </c>
      <c r="AT741" s="71">
        <f t="shared" si="403"/>
        <v>6.3996550750033193E-3</v>
      </c>
      <c r="AU741" s="72">
        <f t="shared" si="383"/>
        <v>6.8214933659622723E-3</v>
      </c>
      <c r="AV741" s="73">
        <f t="shared" si="400"/>
        <v>1.0068214933659623</v>
      </c>
      <c r="AW741" s="74">
        <f>PRODUCT(AV$4:AV741)</f>
        <v>150.98329477021062</v>
      </c>
    </row>
    <row r="742" spans="5:49">
      <c r="E742">
        <f t="shared" si="401"/>
        <v>739</v>
      </c>
      <c r="F742" s="64">
        <f t="shared" si="384"/>
        <v>121.04</v>
      </c>
      <c r="G742" s="55">
        <f t="shared" si="385"/>
        <v>0</v>
      </c>
      <c r="H742" s="78">
        <f t="shared" si="404"/>
        <v>2.4366954920664725E-5</v>
      </c>
      <c r="I742" s="79">
        <f t="shared" ca="1" si="386"/>
        <v>0</v>
      </c>
      <c r="J742" s="79">
        <f t="shared" ca="1" si="387"/>
        <v>0</v>
      </c>
      <c r="K742" s="80">
        <f t="shared" ca="1" si="388"/>
        <v>0</v>
      </c>
      <c r="L742" s="80">
        <f t="shared" ca="1" si="389"/>
        <v>0</v>
      </c>
      <c r="M742" s="80">
        <f t="shared" ca="1" si="390"/>
        <v>0</v>
      </c>
      <c r="N742" s="80">
        <f t="shared" ca="1" si="391"/>
        <v>0</v>
      </c>
      <c r="O742" s="81">
        <f t="shared" ca="1" si="376"/>
        <v>0</v>
      </c>
      <c r="P742" s="79">
        <f t="shared" ca="1" si="377"/>
        <v>0</v>
      </c>
      <c r="R742">
        <f t="shared" ca="1" si="392"/>
        <v>739</v>
      </c>
      <c r="S742" s="78">
        <f t="shared" ca="1" si="393"/>
        <v>121.04</v>
      </c>
      <c r="T742" s="55">
        <f t="shared" ca="1" si="394"/>
        <v>0</v>
      </c>
      <c r="U742" s="78">
        <f t="shared" ca="1" si="395"/>
        <v>2.4366954920664725E-5</v>
      </c>
      <c r="V742" s="79">
        <f t="shared" ca="1" si="396"/>
        <v>0</v>
      </c>
      <c r="W742" s="79">
        <f t="shared" ca="1" si="378"/>
        <v>0</v>
      </c>
      <c r="X742" s="80">
        <f t="shared" ca="1" si="379"/>
        <v>0</v>
      </c>
      <c r="Y742" s="80">
        <f t="shared" ca="1" si="397"/>
        <v>0</v>
      </c>
      <c r="Z742" s="80">
        <f t="shared" ca="1" si="380"/>
        <v>0</v>
      </c>
      <c r="AA742" s="80">
        <f t="shared" ca="1" si="398"/>
        <v>0</v>
      </c>
      <c r="AB742" s="81">
        <f t="shared" ca="1" si="381"/>
        <v>0</v>
      </c>
      <c r="AC742" s="79">
        <f t="shared" ca="1" si="382"/>
        <v>0</v>
      </c>
      <c r="AE742" s="35"/>
      <c r="AF742" s="35"/>
      <c r="AR742" s="69">
        <f t="shared" si="399"/>
        <v>62</v>
      </c>
      <c r="AS742" s="70">
        <f t="shared" si="402"/>
        <v>739</v>
      </c>
      <c r="AT742" s="71">
        <f t="shared" si="403"/>
        <v>6.3559998703647371E-3</v>
      </c>
      <c r="AU742" s="72">
        <f t="shared" si="383"/>
        <v>6.8214933659622723E-3</v>
      </c>
      <c r="AV742" s="73">
        <f t="shared" si="400"/>
        <v>1.0068214933659623</v>
      </c>
      <c r="AW742" s="74">
        <f>PRODUCT(AV$4:AV742)</f>
        <v>152.01322631385673</v>
      </c>
    </row>
    <row r="743" spans="5:49">
      <c r="E743">
        <f t="shared" si="401"/>
        <v>740</v>
      </c>
      <c r="F743" s="64">
        <f t="shared" si="384"/>
        <v>121.12</v>
      </c>
      <c r="G743" s="55">
        <f t="shared" si="385"/>
        <v>0</v>
      </c>
      <c r="H743" s="78">
        <f t="shared" si="404"/>
        <v>2.4366954920664725E-5</v>
      </c>
      <c r="I743" s="79">
        <f t="shared" ca="1" si="386"/>
        <v>0</v>
      </c>
      <c r="J743" s="79">
        <f t="shared" ca="1" si="387"/>
        <v>0</v>
      </c>
      <c r="K743" s="80">
        <f t="shared" ca="1" si="388"/>
        <v>0</v>
      </c>
      <c r="L743" s="80">
        <f t="shared" ca="1" si="389"/>
        <v>0</v>
      </c>
      <c r="M743" s="80">
        <f t="shared" ca="1" si="390"/>
        <v>0</v>
      </c>
      <c r="N743" s="80">
        <f t="shared" ca="1" si="391"/>
        <v>0</v>
      </c>
      <c r="O743" s="81">
        <f t="shared" ca="1" si="376"/>
        <v>0</v>
      </c>
      <c r="P743" s="79">
        <f t="shared" ca="1" si="377"/>
        <v>0</v>
      </c>
      <c r="R743">
        <f t="shared" ca="1" si="392"/>
        <v>740</v>
      </c>
      <c r="S743" s="78">
        <f t="shared" ca="1" si="393"/>
        <v>121.12</v>
      </c>
      <c r="T743" s="55">
        <f t="shared" ca="1" si="394"/>
        <v>0</v>
      </c>
      <c r="U743" s="78">
        <f t="shared" ca="1" si="395"/>
        <v>2.4366954920664725E-5</v>
      </c>
      <c r="V743" s="79">
        <f t="shared" ca="1" si="396"/>
        <v>0</v>
      </c>
      <c r="W743" s="79">
        <f t="shared" ca="1" si="378"/>
        <v>0</v>
      </c>
      <c r="X743" s="80">
        <f t="shared" ca="1" si="379"/>
        <v>0</v>
      </c>
      <c r="Y743" s="80">
        <f t="shared" ca="1" si="397"/>
        <v>0</v>
      </c>
      <c r="Z743" s="80">
        <f t="shared" ca="1" si="380"/>
        <v>0</v>
      </c>
      <c r="AA743" s="80">
        <f t="shared" ca="1" si="398"/>
        <v>0</v>
      </c>
      <c r="AB743" s="81">
        <f t="shared" ca="1" si="381"/>
        <v>0</v>
      </c>
      <c r="AC743" s="79">
        <f t="shared" ca="1" si="382"/>
        <v>0</v>
      </c>
      <c r="AE743" s="35"/>
      <c r="AF743" s="35"/>
      <c r="AR743" s="69">
        <f t="shared" si="399"/>
        <v>62</v>
      </c>
      <c r="AS743" s="70">
        <f t="shared" si="402"/>
        <v>740</v>
      </c>
      <c r="AT743" s="71">
        <f t="shared" si="403"/>
        <v>6.3126424594149872E-3</v>
      </c>
      <c r="AU743" s="72">
        <f t="shared" si="383"/>
        <v>6.8214933659622723E-3</v>
      </c>
      <c r="AV743" s="73">
        <f t="shared" si="400"/>
        <v>1.0068214933659623</v>
      </c>
      <c r="AW743" s="74">
        <f>PRODUCT(AV$4:AV743)</f>
        <v>153.05018352869524</v>
      </c>
    </row>
    <row r="744" spans="5:49">
      <c r="E744">
        <f t="shared" si="401"/>
        <v>741</v>
      </c>
      <c r="F744" s="64">
        <f t="shared" si="384"/>
        <v>121.2</v>
      </c>
      <c r="G744" s="55">
        <f t="shared" si="385"/>
        <v>0</v>
      </c>
      <c r="H744" s="78">
        <f t="shared" si="404"/>
        <v>2.4366954920664725E-5</v>
      </c>
      <c r="I744" s="79">
        <f t="shared" ca="1" si="386"/>
        <v>0</v>
      </c>
      <c r="J744" s="79">
        <f t="shared" ca="1" si="387"/>
        <v>0</v>
      </c>
      <c r="K744" s="80">
        <f t="shared" ca="1" si="388"/>
        <v>0</v>
      </c>
      <c r="L744" s="80">
        <f t="shared" ca="1" si="389"/>
        <v>0</v>
      </c>
      <c r="M744" s="80">
        <f t="shared" ca="1" si="390"/>
        <v>0</v>
      </c>
      <c r="N744" s="80">
        <f t="shared" ca="1" si="391"/>
        <v>0</v>
      </c>
      <c r="O744" s="81">
        <f t="shared" ca="1" si="376"/>
        <v>0</v>
      </c>
      <c r="P744" s="79">
        <f t="shared" ca="1" si="377"/>
        <v>0</v>
      </c>
      <c r="R744">
        <f t="shared" ca="1" si="392"/>
        <v>741</v>
      </c>
      <c r="S744" s="78">
        <f t="shared" ca="1" si="393"/>
        <v>121.2</v>
      </c>
      <c r="T744" s="55">
        <f t="shared" ca="1" si="394"/>
        <v>0</v>
      </c>
      <c r="U744" s="78">
        <f t="shared" ca="1" si="395"/>
        <v>2.4366954920664725E-5</v>
      </c>
      <c r="V744" s="79">
        <f t="shared" ca="1" si="396"/>
        <v>0</v>
      </c>
      <c r="W744" s="79">
        <f t="shared" ca="1" si="378"/>
        <v>0</v>
      </c>
      <c r="X744" s="80">
        <f t="shared" ca="1" si="379"/>
        <v>0</v>
      </c>
      <c r="Y744" s="80">
        <f t="shared" ca="1" si="397"/>
        <v>0</v>
      </c>
      <c r="Z744" s="80">
        <f t="shared" ca="1" si="380"/>
        <v>0</v>
      </c>
      <c r="AA744" s="80">
        <f t="shared" ca="1" si="398"/>
        <v>0</v>
      </c>
      <c r="AB744" s="81">
        <f t="shared" ca="1" si="381"/>
        <v>0</v>
      </c>
      <c r="AC744" s="79">
        <f t="shared" ca="1" si="382"/>
        <v>0</v>
      </c>
      <c r="AE744" s="35"/>
      <c r="AF744" s="35"/>
      <c r="AR744" s="69">
        <f t="shared" si="399"/>
        <v>62</v>
      </c>
      <c r="AS744" s="70">
        <f t="shared" si="402"/>
        <v>741</v>
      </c>
      <c r="AT744" s="71">
        <f t="shared" si="403"/>
        <v>6.2695808107563963E-3</v>
      </c>
      <c r="AU744" s="72">
        <f t="shared" si="383"/>
        <v>6.8214933659622723E-3</v>
      </c>
      <c r="AV744" s="73">
        <f t="shared" si="400"/>
        <v>1.0068214933659623</v>
      </c>
      <c r="AW744" s="74">
        <f>PRODUCT(AV$4:AV744)</f>
        <v>154.09421434029554</v>
      </c>
    </row>
    <row r="745" spans="5:49">
      <c r="E745">
        <f t="shared" si="401"/>
        <v>742</v>
      </c>
      <c r="F745" s="64">
        <f t="shared" si="384"/>
        <v>121.28</v>
      </c>
      <c r="G745" s="55">
        <f t="shared" si="385"/>
        <v>0</v>
      </c>
      <c r="H745" s="78">
        <f t="shared" si="404"/>
        <v>2.4366954920664725E-5</v>
      </c>
      <c r="I745" s="79">
        <f t="shared" ca="1" si="386"/>
        <v>0</v>
      </c>
      <c r="J745" s="79">
        <f t="shared" ca="1" si="387"/>
        <v>0</v>
      </c>
      <c r="K745" s="80">
        <f t="shared" ca="1" si="388"/>
        <v>0</v>
      </c>
      <c r="L745" s="80">
        <f t="shared" ca="1" si="389"/>
        <v>0</v>
      </c>
      <c r="M745" s="80">
        <f t="shared" ca="1" si="390"/>
        <v>0</v>
      </c>
      <c r="N745" s="80">
        <f t="shared" ca="1" si="391"/>
        <v>0</v>
      </c>
      <c r="O745" s="81">
        <f t="shared" ca="1" si="376"/>
        <v>0</v>
      </c>
      <c r="P745" s="79">
        <f t="shared" ca="1" si="377"/>
        <v>0</v>
      </c>
      <c r="R745">
        <f t="shared" ca="1" si="392"/>
        <v>742</v>
      </c>
      <c r="S745" s="78">
        <f t="shared" ca="1" si="393"/>
        <v>121.28</v>
      </c>
      <c r="T745" s="55">
        <f t="shared" ca="1" si="394"/>
        <v>0</v>
      </c>
      <c r="U745" s="78">
        <f t="shared" ca="1" si="395"/>
        <v>2.4366954920664725E-5</v>
      </c>
      <c r="V745" s="79">
        <f t="shared" ca="1" si="396"/>
        <v>0</v>
      </c>
      <c r="W745" s="79">
        <f t="shared" ca="1" si="378"/>
        <v>0</v>
      </c>
      <c r="X745" s="80">
        <f t="shared" ca="1" si="379"/>
        <v>0</v>
      </c>
      <c r="Y745" s="80">
        <f t="shared" ca="1" si="397"/>
        <v>0</v>
      </c>
      <c r="Z745" s="80">
        <f t="shared" ca="1" si="380"/>
        <v>0</v>
      </c>
      <c r="AA745" s="80">
        <f t="shared" ca="1" si="398"/>
        <v>0</v>
      </c>
      <c r="AB745" s="81">
        <f t="shared" ca="1" si="381"/>
        <v>0</v>
      </c>
      <c r="AC745" s="79">
        <f t="shared" ca="1" si="382"/>
        <v>0</v>
      </c>
      <c r="AE745" s="35"/>
      <c r="AF745" s="35"/>
      <c r="AR745" s="69">
        <f t="shared" si="399"/>
        <v>62</v>
      </c>
      <c r="AS745" s="70">
        <f t="shared" si="402"/>
        <v>742</v>
      </c>
      <c r="AT745" s="71">
        <f t="shared" si="403"/>
        <v>6.2268129068484574E-3</v>
      </c>
      <c r="AU745" s="72">
        <f t="shared" si="383"/>
        <v>6.8214933659622723E-3</v>
      </c>
      <c r="AV745" s="73">
        <f t="shared" si="400"/>
        <v>1.0068214933659623</v>
      </c>
      <c r="AW745" s="74">
        <f>PRODUCT(AV$4:AV745)</f>
        <v>155.14536700115104</v>
      </c>
    </row>
    <row r="746" spans="5:49">
      <c r="E746">
        <f t="shared" si="401"/>
        <v>743</v>
      </c>
      <c r="F746" s="64">
        <f t="shared" si="384"/>
        <v>121.36</v>
      </c>
      <c r="G746" s="55">
        <f t="shared" si="385"/>
        <v>0</v>
      </c>
      <c r="H746" s="78">
        <f t="shared" si="404"/>
        <v>2.4366954920664725E-5</v>
      </c>
      <c r="I746" s="79">
        <f t="shared" ca="1" si="386"/>
        <v>0</v>
      </c>
      <c r="J746" s="79">
        <f t="shared" ca="1" si="387"/>
        <v>0</v>
      </c>
      <c r="K746" s="80">
        <f t="shared" ca="1" si="388"/>
        <v>0</v>
      </c>
      <c r="L746" s="80">
        <f t="shared" ca="1" si="389"/>
        <v>0</v>
      </c>
      <c r="M746" s="80">
        <f t="shared" ca="1" si="390"/>
        <v>0</v>
      </c>
      <c r="N746" s="80">
        <f t="shared" ca="1" si="391"/>
        <v>0</v>
      </c>
      <c r="O746" s="81">
        <f t="shared" ca="1" si="376"/>
        <v>0</v>
      </c>
      <c r="P746" s="79">
        <f t="shared" ca="1" si="377"/>
        <v>0</v>
      </c>
      <c r="R746">
        <f t="shared" ca="1" si="392"/>
        <v>743</v>
      </c>
      <c r="S746" s="78">
        <f t="shared" ca="1" si="393"/>
        <v>121.36</v>
      </c>
      <c r="T746" s="55">
        <f t="shared" ca="1" si="394"/>
        <v>0</v>
      </c>
      <c r="U746" s="78">
        <f t="shared" ca="1" si="395"/>
        <v>2.4366954920664725E-5</v>
      </c>
      <c r="V746" s="79">
        <f t="shared" ca="1" si="396"/>
        <v>0</v>
      </c>
      <c r="W746" s="79">
        <f t="shared" ca="1" si="378"/>
        <v>0</v>
      </c>
      <c r="X746" s="80">
        <f t="shared" ca="1" si="379"/>
        <v>0</v>
      </c>
      <c r="Y746" s="80">
        <f t="shared" ca="1" si="397"/>
        <v>0</v>
      </c>
      <c r="Z746" s="80">
        <f t="shared" ca="1" si="380"/>
        <v>0</v>
      </c>
      <c r="AA746" s="80">
        <f t="shared" ca="1" si="398"/>
        <v>0</v>
      </c>
      <c r="AB746" s="81">
        <f t="shared" ca="1" si="381"/>
        <v>0</v>
      </c>
      <c r="AC746" s="79">
        <f t="shared" ca="1" si="382"/>
        <v>0</v>
      </c>
      <c r="AE746" s="35"/>
      <c r="AF746" s="35"/>
      <c r="AR746" s="69">
        <f t="shared" si="399"/>
        <v>62</v>
      </c>
      <c r="AS746" s="70">
        <f t="shared" si="402"/>
        <v>743</v>
      </c>
      <c r="AT746" s="71">
        <f t="shared" si="403"/>
        <v>6.1843367439133028E-3</v>
      </c>
      <c r="AU746" s="72">
        <f t="shared" si="383"/>
        <v>6.8214933659622723E-3</v>
      </c>
      <c r="AV746" s="73">
        <f t="shared" si="400"/>
        <v>1.0068214933659623</v>
      </c>
      <c r="AW746" s="74">
        <f>PRODUCT(AV$4:AV746)</f>
        <v>156.20369009290917</v>
      </c>
    </row>
    <row r="747" spans="5:49">
      <c r="E747">
        <f t="shared" si="401"/>
        <v>744</v>
      </c>
      <c r="F747" s="64">
        <f t="shared" si="384"/>
        <v>121.44</v>
      </c>
      <c r="G747" s="55">
        <f t="shared" si="385"/>
        <v>0</v>
      </c>
      <c r="H747" s="78">
        <f t="shared" si="404"/>
        <v>2.4366954920664725E-5</v>
      </c>
      <c r="I747" s="79">
        <f t="shared" ca="1" si="386"/>
        <v>0</v>
      </c>
      <c r="J747" s="79">
        <f t="shared" ca="1" si="387"/>
        <v>0</v>
      </c>
      <c r="K747" s="80">
        <f t="shared" ca="1" si="388"/>
        <v>0</v>
      </c>
      <c r="L747" s="80">
        <f t="shared" ca="1" si="389"/>
        <v>0</v>
      </c>
      <c r="M747" s="80">
        <f t="shared" ca="1" si="390"/>
        <v>0</v>
      </c>
      <c r="N747" s="80">
        <f t="shared" ca="1" si="391"/>
        <v>0</v>
      </c>
      <c r="O747" s="81">
        <f t="shared" ca="1" si="376"/>
        <v>0</v>
      </c>
      <c r="P747" s="79">
        <f t="shared" ca="1" si="377"/>
        <v>0</v>
      </c>
      <c r="R747">
        <f t="shared" ca="1" si="392"/>
        <v>744</v>
      </c>
      <c r="S747" s="78">
        <f t="shared" ca="1" si="393"/>
        <v>121.44</v>
      </c>
      <c r="T747" s="55">
        <f t="shared" ca="1" si="394"/>
        <v>0</v>
      </c>
      <c r="U747" s="78">
        <f t="shared" ca="1" si="395"/>
        <v>2.4366954920664725E-5</v>
      </c>
      <c r="V747" s="79">
        <f t="shared" ca="1" si="396"/>
        <v>0</v>
      </c>
      <c r="W747" s="79">
        <f t="shared" ca="1" si="378"/>
        <v>0</v>
      </c>
      <c r="X747" s="80">
        <f t="shared" ca="1" si="379"/>
        <v>0</v>
      </c>
      <c r="Y747" s="80">
        <f t="shared" ca="1" si="397"/>
        <v>0</v>
      </c>
      <c r="Z747" s="80">
        <f t="shared" ca="1" si="380"/>
        <v>0</v>
      </c>
      <c r="AA747" s="80">
        <f t="shared" ca="1" si="398"/>
        <v>0</v>
      </c>
      <c r="AB747" s="81">
        <f t="shared" ca="1" si="381"/>
        <v>0</v>
      </c>
      <c r="AC747" s="79">
        <f t="shared" ca="1" si="382"/>
        <v>0</v>
      </c>
      <c r="AE747" s="35"/>
      <c r="AF747" s="35"/>
      <c r="AR747" s="69">
        <f t="shared" si="399"/>
        <v>62</v>
      </c>
      <c r="AS747" s="70">
        <f t="shared" si="402"/>
        <v>744</v>
      </c>
      <c r="AT747" s="71">
        <f t="shared" si="403"/>
        <v>6.1421503318418212E-3</v>
      </c>
      <c r="AU747" s="72">
        <f t="shared" si="383"/>
        <v>6.8214933659622723E-3</v>
      </c>
      <c r="AV747" s="73">
        <f t="shared" si="400"/>
        <v>1.0068214933659623</v>
      </c>
      <c r="AW747" s="74">
        <f>PRODUCT(AV$4:AV747)</f>
        <v>157.26923252861678</v>
      </c>
    </row>
    <row r="748" spans="5:49">
      <c r="E748">
        <f t="shared" si="401"/>
        <v>745</v>
      </c>
      <c r="F748" s="64">
        <f t="shared" si="384"/>
        <v>121.52</v>
      </c>
      <c r="G748" s="55">
        <f t="shared" si="385"/>
        <v>0</v>
      </c>
      <c r="H748" s="78">
        <f t="shared" si="404"/>
        <v>2.4366954920664725E-5</v>
      </c>
      <c r="I748" s="79">
        <f t="shared" ca="1" si="386"/>
        <v>0</v>
      </c>
      <c r="J748" s="79">
        <f t="shared" ca="1" si="387"/>
        <v>0</v>
      </c>
      <c r="K748" s="80">
        <f t="shared" ca="1" si="388"/>
        <v>0</v>
      </c>
      <c r="L748" s="80">
        <f t="shared" ca="1" si="389"/>
        <v>0</v>
      </c>
      <c r="M748" s="80">
        <f t="shared" ca="1" si="390"/>
        <v>0</v>
      </c>
      <c r="N748" s="80">
        <f t="shared" ca="1" si="391"/>
        <v>0</v>
      </c>
      <c r="O748" s="81">
        <f t="shared" ca="1" si="376"/>
        <v>0</v>
      </c>
      <c r="P748" s="79">
        <f t="shared" ca="1" si="377"/>
        <v>0</v>
      </c>
      <c r="R748">
        <f t="shared" ca="1" si="392"/>
        <v>745</v>
      </c>
      <c r="S748" s="78">
        <f t="shared" ca="1" si="393"/>
        <v>121.52</v>
      </c>
      <c r="T748" s="55">
        <f t="shared" ca="1" si="394"/>
        <v>0</v>
      </c>
      <c r="U748" s="78">
        <f t="shared" ca="1" si="395"/>
        <v>2.4366954920664725E-5</v>
      </c>
      <c r="V748" s="79">
        <f t="shared" ca="1" si="396"/>
        <v>0</v>
      </c>
      <c r="W748" s="79">
        <f t="shared" ca="1" si="378"/>
        <v>0</v>
      </c>
      <c r="X748" s="80">
        <f t="shared" ca="1" si="379"/>
        <v>0</v>
      </c>
      <c r="Y748" s="80">
        <f t="shared" ca="1" si="397"/>
        <v>0</v>
      </c>
      <c r="Z748" s="80">
        <f t="shared" ca="1" si="380"/>
        <v>0</v>
      </c>
      <c r="AA748" s="80">
        <f t="shared" ca="1" si="398"/>
        <v>0</v>
      </c>
      <c r="AB748" s="81">
        <f t="shared" ca="1" si="381"/>
        <v>0</v>
      </c>
      <c r="AC748" s="79">
        <f t="shared" ca="1" si="382"/>
        <v>0</v>
      </c>
      <c r="AE748" s="35"/>
      <c r="AF748" s="35"/>
      <c r="AR748" s="69">
        <f t="shared" si="399"/>
        <v>63</v>
      </c>
      <c r="AS748" s="70">
        <f t="shared" si="402"/>
        <v>745</v>
      </c>
      <c r="AT748" s="71">
        <f t="shared" si="403"/>
        <v>6.1002516941004196E-3</v>
      </c>
      <c r="AU748" s="72">
        <f t="shared" si="383"/>
        <v>6.8214933659622723E-3</v>
      </c>
      <c r="AV748" s="73">
        <f t="shared" si="400"/>
        <v>1.0068214933659623</v>
      </c>
      <c r="AW748" s="74">
        <f>PRODUCT(AV$4:AV748)</f>
        <v>158.34204355498073</v>
      </c>
    </row>
    <row r="749" spans="5:49">
      <c r="E749">
        <f t="shared" si="401"/>
        <v>746</v>
      </c>
      <c r="F749" s="64">
        <f t="shared" si="384"/>
        <v>121.6</v>
      </c>
      <c r="G749" s="55">
        <f t="shared" si="385"/>
        <v>0</v>
      </c>
      <c r="H749" s="78">
        <f t="shared" si="404"/>
        <v>2.4366954920664725E-5</v>
      </c>
      <c r="I749" s="79">
        <f t="shared" ca="1" si="386"/>
        <v>0</v>
      </c>
      <c r="J749" s="79">
        <f t="shared" ca="1" si="387"/>
        <v>0</v>
      </c>
      <c r="K749" s="80">
        <f t="shared" ca="1" si="388"/>
        <v>0</v>
      </c>
      <c r="L749" s="80">
        <f t="shared" ca="1" si="389"/>
        <v>0</v>
      </c>
      <c r="M749" s="80">
        <f t="shared" ca="1" si="390"/>
        <v>0</v>
      </c>
      <c r="N749" s="80">
        <f t="shared" ca="1" si="391"/>
        <v>0</v>
      </c>
      <c r="O749" s="81">
        <f t="shared" ca="1" si="376"/>
        <v>0</v>
      </c>
      <c r="P749" s="79">
        <f t="shared" ca="1" si="377"/>
        <v>0</v>
      </c>
      <c r="R749">
        <f t="shared" ca="1" si="392"/>
        <v>746</v>
      </c>
      <c r="S749" s="78">
        <f t="shared" ca="1" si="393"/>
        <v>121.6</v>
      </c>
      <c r="T749" s="55">
        <f t="shared" ca="1" si="394"/>
        <v>0</v>
      </c>
      <c r="U749" s="78">
        <f t="shared" ca="1" si="395"/>
        <v>2.4366954920664725E-5</v>
      </c>
      <c r="V749" s="79">
        <f t="shared" ca="1" si="396"/>
        <v>0</v>
      </c>
      <c r="W749" s="79">
        <f t="shared" ca="1" si="378"/>
        <v>0</v>
      </c>
      <c r="X749" s="80">
        <f t="shared" ca="1" si="379"/>
        <v>0</v>
      </c>
      <c r="Y749" s="80">
        <f t="shared" ca="1" si="397"/>
        <v>0</v>
      </c>
      <c r="Z749" s="80">
        <f t="shared" ca="1" si="380"/>
        <v>0</v>
      </c>
      <c r="AA749" s="80">
        <f t="shared" ca="1" si="398"/>
        <v>0</v>
      </c>
      <c r="AB749" s="81">
        <f t="shared" ca="1" si="381"/>
        <v>0</v>
      </c>
      <c r="AC749" s="79">
        <f t="shared" ca="1" si="382"/>
        <v>0</v>
      </c>
      <c r="AE749" s="35"/>
      <c r="AF749" s="35"/>
      <c r="AR749" s="69">
        <f t="shared" si="399"/>
        <v>63</v>
      </c>
      <c r="AS749" s="70">
        <f t="shared" si="402"/>
        <v>746</v>
      </c>
      <c r="AT749" s="71">
        <f t="shared" si="403"/>
        <v>6.0586388676384132E-3</v>
      </c>
      <c r="AU749" s="72">
        <f t="shared" si="383"/>
        <v>6.8214933659622723E-3</v>
      </c>
      <c r="AV749" s="73">
        <f t="shared" si="400"/>
        <v>1.0068214933659623</v>
      </c>
      <c r="AW749" s="74">
        <f>PRODUCT(AV$4:AV749)</f>
        <v>159.42217275464395</v>
      </c>
    </row>
    <row r="750" spans="5:49">
      <c r="E750">
        <f t="shared" si="401"/>
        <v>747</v>
      </c>
      <c r="F750" s="64">
        <f t="shared" si="384"/>
        <v>121.68</v>
      </c>
      <c r="G750" s="55">
        <f t="shared" si="385"/>
        <v>0</v>
      </c>
      <c r="H750" s="78">
        <f t="shared" si="404"/>
        <v>2.4366954920664725E-5</v>
      </c>
      <c r="I750" s="79">
        <f t="shared" ca="1" si="386"/>
        <v>0</v>
      </c>
      <c r="J750" s="79">
        <f t="shared" ca="1" si="387"/>
        <v>0</v>
      </c>
      <c r="K750" s="80">
        <f t="shared" ca="1" si="388"/>
        <v>0</v>
      </c>
      <c r="L750" s="80">
        <f t="shared" ca="1" si="389"/>
        <v>0</v>
      </c>
      <c r="M750" s="80">
        <f t="shared" ca="1" si="390"/>
        <v>0</v>
      </c>
      <c r="N750" s="80">
        <f t="shared" ca="1" si="391"/>
        <v>0</v>
      </c>
      <c r="O750" s="81">
        <f t="shared" ca="1" si="376"/>
        <v>0</v>
      </c>
      <c r="P750" s="79">
        <f t="shared" ca="1" si="377"/>
        <v>0</v>
      </c>
      <c r="R750">
        <f t="shared" ca="1" si="392"/>
        <v>747</v>
      </c>
      <c r="S750" s="78">
        <f t="shared" ca="1" si="393"/>
        <v>121.68</v>
      </c>
      <c r="T750" s="55">
        <f t="shared" ca="1" si="394"/>
        <v>0</v>
      </c>
      <c r="U750" s="78">
        <f t="shared" ca="1" si="395"/>
        <v>2.4366954920664725E-5</v>
      </c>
      <c r="V750" s="79">
        <f t="shared" ca="1" si="396"/>
        <v>0</v>
      </c>
      <c r="W750" s="79">
        <f t="shared" ca="1" si="378"/>
        <v>0</v>
      </c>
      <c r="X750" s="80">
        <f t="shared" ca="1" si="379"/>
        <v>0</v>
      </c>
      <c r="Y750" s="80">
        <f t="shared" ca="1" si="397"/>
        <v>0</v>
      </c>
      <c r="Z750" s="80">
        <f t="shared" ca="1" si="380"/>
        <v>0</v>
      </c>
      <c r="AA750" s="80">
        <f t="shared" ca="1" si="398"/>
        <v>0</v>
      </c>
      <c r="AB750" s="81">
        <f t="shared" ca="1" si="381"/>
        <v>0</v>
      </c>
      <c r="AC750" s="79">
        <f t="shared" ca="1" si="382"/>
        <v>0</v>
      </c>
      <c r="AE750" s="35"/>
      <c r="AF750" s="35"/>
      <c r="AR750" s="69">
        <f t="shared" si="399"/>
        <v>63</v>
      </c>
      <c r="AS750" s="70">
        <f t="shared" si="402"/>
        <v>747</v>
      </c>
      <c r="AT750" s="71">
        <f t="shared" si="403"/>
        <v>6.0173099027960569E-3</v>
      </c>
      <c r="AU750" s="72">
        <f t="shared" si="383"/>
        <v>6.8214933659622723E-3</v>
      </c>
      <c r="AV750" s="73">
        <f t="shared" si="400"/>
        <v>1.0068214933659623</v>
      </c>
      <c r="AW750" s="74">
        <f>PRODUCT(AV$4:AV750)</f>
        <v>160.50967004847703</v>
      </c>
    </row>
    <row r="751" spans="5:49">
      <c r="E751">
        <f t="shared" si="401"/>
        <v>748</v>
      </c>
      <c r="F751" s="64">
        <f t="shared" si="384"/>
        <v>121.76</v>
      </c>
      <c r="G751" s="55">
        <f t="shared" si="385"/>
        <v>0</v>
      </c>
      <c r="H751" s="78">
        <f t="shared" si="404"/>
        <v>2.4366954920664725E-5</v>
      </c>
      <c r="I751" s="79">
        <f t="shared" ca="1" si="386"/>
        <v>0</v>
      </c>
      <c r="J751" s="79">
        <f t="shared" ca="1" si="387"/>
        <v>0</v>
      </c>
      <c r="K751" s="80">
        <f t="shared" ca="1" si="388"/>
        <v>0</v>
      </c>
      <c r="L751" s="80">
        <f t="shared" ca="1" si="389"/>
        <v>0</v>
      </c>
      <c r="M751" s="80">
        <f t="shared" ca="1" si="390"/>
        <v>0</v>
      </c>
      <c r="N751" s="80">
        <f t="shared" ca="1" si="391"/>
        <v>0</v>
      </c>
      <c r="O751" s="81">
        <f t="shared" ca="1" si="376"/>
        <v>0</v>
      </c>
      <c r="P751" s="79">
        <f t="shared" ca="1" si="377"/>
        <v>0</v>
      </c>
      <c r="R751">
        <f t="shared" ca="1" si="392"/>
        <v>748</v>
      </c>
      <c r="S751" s="78">
        <f t="shared" ca="1" si="393"/>
        <v>121.76</v>
      </c>
      <c r="T751" s="55">
        <f t="shared" ca="1" si="394"/>
        <v>0</v>
      </c>
      <c r="U751" s="78">
        <f t="shared" ca="1" si="395"/>
        <v>2.4366954920664725E-5</v>
      </c>
      <c r="V751" s="79">
        <f t="shared" ca="1" si="396"/>
        <v>0</v>
      </c>
      <c r="W751" s="79">
        <f t="shared" ca="1" si="378"/>
        <v>0</v>
      </c>
      <c r="X751" s="80">
        <f t="shared" ca="1" si="379"/>
        <v>0</v>
      </c>
      <c r="Y751" s="80">
        <f t="shared" ca="1" si="397"/>
        <v>0</v>
      </c>
      <c r="Z751" s="80">
        <f t="shared" ca="1" si="380"/>
        <v>0</v>
      </c>
      <c r="AA751" s="80">
        <f t="shared" ca="1" si="398"/>
        <v>0</v>
      </c>
      <c r="AB751" s="81">
        <f t="shared" ca="1" si="381"/>
        <v>0</v>
      </c>
      <c r="AC751" s="79">
        <f t="shared" ca="1" si="382"/>
        <v>0</v>
      </c>
      <c r="AE751" s="35"/>
      <c r="AF751" s="35"/>
      <c r="AR751" s="69">
        <f t="shared" si="399"/>
        <v>63</v>
      </c>
      <c r="AS751" s="70">
        <f t="shared" si="402"/>
        <v>748</v>
      </c>
      <c r="AT751" s="71">
        <f t="shared" si="403"/>
        <v>5.976262863213194E-3</v>
      </c>
      <c r="AU751" s="72">
        <f t="shared" si="383"/>
        <v>6.8214933659622723E-3</v>
      </c>
      <c r="AV751" s="73">
        <f t="shared" si="400"/>
        <v>1.0068214933659623</v>
      </c>
      <c r="AW751" s="74">
        <f>PRODUCT(AV$4:AV751)</f>
        <v>161.60458569788551</v>
      </c>
    </row>
    <row r="752" spans="5:49">
      <c r="E752">
        <f t="shared" si="401"/>
        <v>749</v>
      </c>
      <c r="F752" s="64">
        <f t="shared" si="384"/>
        <v>121.84</v>
      </c>
      <c r="G752" s="55">
        <f t="shared" si="385"/>
        <v>0</v>
      </c>
      <c r="H752" s="78">
        <f t="shared" si="404"/>
        <v>2.4366954920664725E-5</v>
      </c>
      <c r="I752" s="79">
        <f t="shared" ca="1" si="386"/>
        <v>0</v>
      </c>
      <c r="J752" s="79">
        <f t="shared" ca="1" si="387"/>
        <v>0</v>
      </c>
      <c r="K752" s="80">
        <f t="shared" ca="1" si="388"/>
        <v>0</v>
      </c>
      <c r="L752" s="80">
        <f t="shared" ca="1" si="389"/>
        <v>0</v>
      </c>
      <c r="M752" s="80">
        <f t="shared" ca="1" si="390"/>
        <v>0</v>
      </c>
      <c r="N752" s="80">
        <f t="shared" ca="1" si="391"/>
        <v>0</v>
      </c>
      <c r="O752" s="81">
        <f t="shared" ca="1" si="376"/>
        <v>0</v>
      </c>
      <c r="P752" s="79">
        <f t="shared" ca="1" si="377"/>
        <v>0</v>
      </c>
      <c r="R752">
        <f t="shared" ca="1" si="392"/>
        <v>749</v>
      </c>
      <c r="S752" s="78">
        <f t="shared" ca="1" si="393"/>
        <v>121.84</v>
      </c>
      <c r="T752" s="55">
        <f t="shared" ca="1" si="394"/>
        <v>0</v>
      </c>
      <c r="U752" s="78">
        <f t="shared" ca="1" si="395"/>
        <v>2.4366954920664725E-5</v>
      </c>
      <c r="V752" s="79">
        <f t="shared" ca="1" si="396"/>
        <v>0</v>
      </c>
      <c r="W752" s="79">
        <f t="shared" ca="1" si="378"/>
        <v>0</v>
      </c>
      <c r="X752" s="80">
        <f t="shared" ca="1" si="379"/>
        <v>0</v>
      </c>
      <c r="Y752" s="80">
        <f t="shared" ca="1" si="397"/>
        <v>0</v>
      </c>
      <c r="Z752" s="80">
        <f t="shared" ca="1" si="380"/>
        <v>0</v>
      </c>
      <c r="AA752" s="80">
        <f t="shared" ca="1" si="398"/>
        <v>0</v>
      </c>
      <c r="AB752" s="81">
        <f t="shared" ca="1" si="381"/>
        <v>0</v>
      </c>
      <c r="AC752" s="79">
        <f t="shared" ca="1" si="382"/>
        <v>0</v>
      </c>
      <c r="AE752" s="35"/>
      <c r="AF752" s="35"/>
      <c r="AR752" s="69">
        <f t="shared" si="399"/>
        <v>63</v>
      </c>
      <c r="AS752" s="70">
        <f t="shared" si="402"/>
        <v>749</v>
      </c>
      <c r="AT752" s="71">
        <f t="shared" si="403"/>
        <v>5.9354958257385381E-3</v>
      </c>
      <c r="AU752" s="72">
        <f t="shared" si="383"/>
        <v>6.8214933659622723E-3</v>
      </c>
      <c r="AV752" s="73">
        <f t="shared" si="400"/>
        <v>1.0068214933659623</v>
      </c>
      <c r="AW752" s="74">
        <f>PRODUCT(AV$4:AV752)</f>
        <v>162.70697030713271</v>
      </c>
    </row>
    <row r="753" spans="5:49">
      <c r="E753">
        <f t="shared" si="401"/>
        <v>750</v>
      </c>
      <c r="F753" s="64">
        <f t="shared" si="384"/>
        <v>121.92</v>
      </c>
      <c r="G753" s="55">
        <f t="shared" si="385"/>
        <v>0</v>
      </c>
      <c r="H753" s="78">
        <f t="shared" si="404"/>
        <v>2.4366954920664725E-5</v>
      </c>
      <c r="I753" s="79">
        <f t="shared" ca="1" si="386"/>
        <v>0</v>
      </c>
      <c r="J753" s="79">
        <f t="shared" ca="1" si="387"/>
        <v>0</v>
      </c>
      <c r="K753" s="80">
        <f t="shared" ca="1" si="388"/>
        <v>0</v>
      </c>
      <c r="L753" s="80">
        <f t="shared" ca="1" si="389"/>
        <v>0</v>
      </c>
      <c r="M753" s="80">
        <f t="shared" ca="1" si="390"/>
        <v>0</v>
      </c>
      <c r="N753" s="80">
        <f t="shared" ca="1" si="391"/>
        <v>0</v>
      </c>
      <c r="O753" s="81">
        <f t="shared" ca="1" si="376"/>
        <v>0</v>
      </c>
      <c r="P753" s="79">
        <f t="shared" ca="1" si="377"/>
        <v>0</v>
      </c>
      <c r="R753">
        <f t="shared" ca="1" si="392"/>
        <v>750</v>
      </c>
      <c r="S753" s="78">
        <f t="shared" ca="1" si="393"/>
        <v>121.92</v>
      </c>
      <c r="T753" s="55">
        <f t="shared" ca="1" si="394"/>
        <v>0</v>
      </c>
      <c r="U753" s="78">
        <f t="shared" ca="1" si="395"/>
        <v>2.4366954920664725E-5</v>
      </c>
      <c r="V753" s="79">
        <f t="shared" ca="1" si="396"/>
        <v>0</v>
      </c>
      <c r="W753" s="79">
        <f t="shared" ca="1" si="378"/>
        <v>0</v>
      </c>
      <c r="X753" s="80">
        <f t="shared" ca="1" si="379"/>
        <v>0</v>
      </c>
      <c r="Y753" s="80">
        <f t="shared" ca="1" si="397"/>
        <v>0</v>
      </c>
      <c r="Z753" s="80">
        <f t="shared" ca="1" si="380"/>
        <v>0</v>
      </c>
      <c r="AA753" s="80">
        <f t="shared" ca="1" si="398"/>
        <v>0</v>
      </c>
      <c r="AB753" s="81">
        <f t="shared" ca="1" si="381"/>
        <v>0</v>
      </c>
      <c r="AC753" s="79">
        <f t="shared" ca="1" si="382"/>
        <v>0</v>
      </c>
      <c r="AE753" s="35"/>
      <c r="AF753" s="35"/>
      <c r="AR753" s="69">
        <f t="shared" si="399"/>
        <v>63</v>
      </c>
      <c r="AS753" s="70">
        <f t="shared" si="402"/>
        <v>750</v>
      </c>
      <c r="AT753" s="71">
        <f t="shared" si="403"/>
        <v>5.8950068803395664E-3</v>
      </c>
      <c r="AU753" s="72">
        <f t="shared" si="383"/>
        <v>6.8214933659622723E-3</v>
      </c>
      <c r="AV753" s="73">
        <f t="shared" si="400"/>
        <v>1.0068214933659623</v>
      </c>
      <c r="AW753" s="74">
        <f>PRODUCT(AV$4:AV753)</f>
        <v>163.81687482567864</v>
      </c>
    </row>
    <row r="754" spans="5:49">
      <c r="E754">
        <f t="shared" si="401"/>
        <v>751</v>
      </c>
      <c r="F754" s="64">
        <f t="shared" si="384"/>
        <v>122</v>
      </c>
      <c r="G754" s="55">
        <f t="shared" si="385"/>
        <v>0</v>
      </c>
      <c r="H754" s="78">
        <f t="shared" si="404"/>
        <v>2.4366954920664725E-5</v>
      </c>
      <c r="I754" s="79">
        <f t="shared" ca="1" si="386"/>
        <v>0</v>
      </c>
      <c r="J754" s="79">
        <f t="shared" ca="1" si="387"/>
        <v>0</v>
      </c>
      <c r="K754" s="80">
        <f t="shared" ca="1" si="388"/>
        <v>0</v>
      </c>
      <c r="L754" s="80">
        <f t="shared" ca="1" si="389"/>
        <v>0</v>
      </c>
      <c r="M754" s="80">
        <f t="shared" ca="1" si="390"/>
        <v>0</v>
      </c>
      <c r="N754" s="80">
        <f t="shared" ca="1" si="391"/>
        <v>0</v>
      </c>
      <c r="O754" s="81">
        <f t="shared" ca="1" si="376"/>
        <v>0</v>
      </c>
      <c r="P754" s="79">
        <f t="shared" ca="1" si="377"/>
        <v>0</v>
      </c>
      <c r="R754">
        <f t="shared" ca="1" si="392"/>
        <v>751</v>
      </c>
      <c r="S754" s="78">
        <f t="shared" ca="1" si="393"/>
        <v>122</v>
      </c>
      <c r="T754" s="55">
        <f t="shared" ca="1" si="394"/>
        <v>0</v>
      </c>
      <c r="U754" s="78">
        <f t="shared" ca="1" si="395"/>
        <v>2.4366954920664725E-5</v>
      </c>
      <c r="V754" s="79">
        <f t="shared" ca="1" si="396"/>
        <v>0</v>
      </c>
      <c r="W754" s="79">
        <f t="shared" ca="1" si="378"/>
        <v>0</v>
      </c>
      <c r="X754" s="80">
        <f t="shared" ca="1" si="379"/>
        <v>0</v>
      </c>
      <c r="Y754" s="80">
        <f t="shared" ca="1" si="397"/>
        <v>0</v>
      </c>
      <c r="Z754" s="80">
        <f t="shared" ca="1" si="380"/>
        <v>0</v>
      </c>
      <c r="AA754" s="80">
        <f t="shared" ca="1" si="398"/>
        <v>0</v>
      </c>
      <c r="AB754" s="81">
        <f t="shared" ca="1" si="381"/>
        <v>0</v>
      </c>
      <c r="AC754" s="79">
        <f t="shared" ca="1" si="382"/>
        <v>0</v>
      </c>
      <c r="AE754" s="35"/>
      <c r="AF754" s="35"/>
      <c r="AR754" s="69">
        <f t="shared" si="399"/>
        <v>63</v>
      </c>
      <c r="AS754" s="70">
        <f t="shared" si="402"/>
        <v>751</v>
      </c>
      <c r="AT754" s="71">
        <f t="shared" si="403"/>
        <v>5.8547941300130281E-3</v>
      </c>
      <c r="AU754" s="72">
        <f t="shared" si="383"/>
        <v>6.8214933659622723E-3</v>
      </c>
      <c r="AV754" s="73">
        <f t="shared" si="400"/>
        <v>1.0068214933659623</v>
      </c>
      <c r="AW754" s="74">
        <f>PRODUCT(AV$4:AV754)</f>
        <v>164.93435055053467</v>
      </c>
    </row>
    <row r="755" spans="5:49">
      <c r="E755">
        <f t="shared" si="401"/>
        <v>752</v>
      </c>
      <c r="F755" s="64">
        <f t="shared" si="384"/>
        <v>122.08</v>
      </c>
      <c r="G755" s="55">
        <f t="shared" si="385"/>
        <v>0</v>
      </c>
      <c r="H755" s="78">
        <f t="shared" si="404"/>
        <v>2.4366954920664725E-5</v>
      </c>
      <c r="I755" s="79">
        <f t="shared" ca="1" si="386"/>
        <v>0</v>
      </c>
      <c r="J755" s="79">
        <f t="shared" ca="1" si="387"/>
        <v>0</v>
      </c>
      <c r="K755" s="80">
        <f t="shared" ca="1" si="388"/>
        <v>0</v>
      </c>
      <c r="L755" s="80">
        <f t="shared" ca="1" si="389"/>
        <v>0</v>
      </c>
      <c r="M755" s="80">
        <f t="shared" ca="1" si="390"/>
        <v>0</v>
      </c>
      <c r="N755" s="80">
        <f t="shared" ca="1" si="391"/>
        <v>0</v>
      </c>
      <c r="O755" s="81">
        <f t="shared" ca="1" si="376"/>
        <v>0</v>
      </c>
      <c r="P755" s="79">
        <f t="shared" ca="1" si="377"/>
        <v>0</v>
      </c>
      <c r="R755">
        <f t="shared" ca="1" si="392"/>
        <v>752</v>
      </c>
      <c r="S755" s="78">
        <f t="shared" ca="1" si="393"/>
        <v>122.08</v>
      </c>
      <c r="T755" s="55">
        <f t="shared" ca="1" si="394"/>
        <v>0</v>
      </c>
      <c r="U755" s="78">
        <f t="shared" ca="1" si="395"/>
        <v>2.4366954920664725E-5</v>
      </c>
      <c r="V755" s="79">
        <f t="shared" ca="1" si="396"/>
        <v>0</v>
      </c>
      <c r="W755" s="79">
        <f t="shared" ca="1" si="378"/>
        <v>0</v>
      </c>
      <c r="X755" s="80">
        <f t="shared" ca="1" si="379"/>
        <v>0</v>
      </c>
      <c r="Y755" s="80">
        <f t="shared" ca="1" si="397"/>
        <v>0</v>
      </c>
      <c r="Z755" s="80">
        <f t="shared" ca="1" si="380"/>
        <v>0</v>
      </c>
      <c r="AA755" s="80">
        <f t="shared" ca="1" si="398"/>
        <v>0</v>
      </c>
      <c r="AB755" s="81">
        <f t="shared" ca="1" si="381"/>
        <v>0</v>
      </c>
      <c r="AC755" s="79">
        <f t="shared" ca="1" si="382"/>
        <v>0</v>
      </c>
      <c r="AE755" s="35"/>
      <c r="AF755" s="35"/>
      <c r="AR755" s="69">
        <f t="shared" si="399"/>
        <v>63</v>
      </c>
      <c r="AS755" s="70">
        <f t="shared" si="402"/>
        <v>752</v>
      </c>
      <c r="AT755" s="71">
        <f t="shared" si="403"/>
        <v>5.8148556906960696E-3</v>
      </c>
      <c r="AU755" s="72">
        <f t="shared" si="383"/>
        <v>6.8214933659622723E-3</v>
      </c>
      <c r="AV755" s="73">
        <f t="shared" si="400"/>
        <v>1.0068214933659623</v>
      </c>
      <c r="AW755" s="74">
        <f>PRODUCT(AV$4:AV755)</f>
        <v>166.05944912863444</v>
      </c>
    </row>
    <row r="756" spans="5:49">
      <c r="E756">
        <f t="shared" si="401"/>
        <v>753</v>
      </c>
      <c r="F756" s="64">
        <f t="shared" si="384"/>
        <v>122.16</v>
      </c>
      <c r="G756" s="55">
        <f t="shared" si="385"/>
        <v>0</v>
      </c>
      <c r="H756" s="78">
        <f t="shared" si="404"/>
        <v>2.4366954920664725E-5</v>
      </c>
      <c r="I756" s="79">
        <f t="shared" ca="1" si="386"/>
        <v>0</v>
      </c>
      <c r="J756" s="79">
        <f t="shared" ca="1" si="387"/>
        <v>0</v>
      </c>
      <c r="K756" s="80">
        <f t="shared" ca="1" si="388"/>
        <v>0</v>
      </c>
      <c r="L756" s="80">
        <f t="shared" ca="1" si="389"/>
        <v>0</v>
      </c>
      <c r="M756" s="80">
        <f t="shared" ca="1" si="390"/>
        <v>0</v>
      </c>
      <c r="N756" s="80">
        <f t="shared" ca="1" si="391"/>
        <v>0</v>
      </c>
      <c r="O756" s="81">
        <f t="shared" ca="1" si="376"/>
        <v>0</v>
      </c>
      <c r="P756" s="79">
        <f t="shared" ca="1" si="377"/>
        <v>0</v>
      </c>
      <c r="R756">
        <f t="shared" ca="1" si="392"/>
        <v>753</v>
      </c>
      <c r="S756" s="78">
        <f t="shared" ca="1" si="393"/>
        <v>122.16</v>
      </c>
      <c r="T756" s="55">
        <f t="shared" ca="1" si="394"/>
        <v>0</v>
      </c>
      <c r="U756" s="78">
        <f t="shared" ca="1" si="395"/>
        <v>2.4366954920664725E-5</v>
      </c>
      <c r="V756" s="79">
        <f t="shared" ca="1" si="396"/>
        <v>0</v>
      </c>
      <c r="W756" s="79">
        <f t="shared" ca="1" si="378"/>
        <v>0</v>
      </c>
      <c r="X756" s="80">
        <f t="shared" ca="1" si="379"/>
        <v>0</v>
      </c>
      <c r="Y756" s="80">
        <f t="shared" ca="1" si="397"/>
        <v>0</v>
      </c>
      <c r="Z756" s="80">
        <f t="shared" ca="1" si="380"/>
        <v>0</v>
      </c>
      <c r="AA756" s="80">
        <f t="shared" ca="1" si="398"/>
        <v>0</v>
      </c>
      <c r="AB756" s="81">
        <f t="shared" ca="1" si="381"/>
        <v>0</v>
      </c>
      <c r="AC756" s="79">
        <f t="shared" ca="1" si="382"/>
        <v>0</v>
      </c>
      <c r="AE756" s="35"/>
      <c r="AF756" s="35"/>
      <c r="AR756" s="69">
        <f t="shared" si="399"/>
        <v>63</v>
      </c>
      <c r="AS756" s="70">
        <f t="shared" si="402"/>
        <v>753</v>
      </c>
      <c r="AT756" s="71">
        <f t="shared" si="403"/>
        <v>5.7751896911779586E-3</v>
      </c>
      <c r="AU756" s="72">
        <f t="shared" si="383"/>
        <v>6.8214933659622723E-3</v>
      </c>
      <c r="AV756" s="73">
        <f t="shared" si="400"/>
        <v>1.0068214933659623</v>
      </c>
      <c r="AW756" s="74">
        <f>PRODUCT(AV$4:AV756)</f>
        <v>167.19222255922077</v>
      </c>
    </row>
    <row r="757" spans="5:49">
      <c r="E757">
        <f t="shared" si="401"/>
        <v>754</v>
      </c>
      <c r="F757" s="64">
        <f t="shared" si="384"/>
        <v>122.24</v>
      </c>
      <c r="G757" s="55">
        <f t="shared" si="385"/>
        <v>0</v>
      </c>
      <c r="H757" s="78">
        <f t="shared" si="404"/>
        <v>2.4366954920664725E-5</v>
      </c>
      <c r="I757" s="79">
        <f t="shared" ca="1" si="386"/>
        <v>0</v>
      </c>
      <c r="J757" s="79">
        <f t="shared" ca="1" si="387"/>
        <v>0</v>
      </c>
      <c r="K757" s="80">
        <f t="shared" ca="1" si="388"/>
        <v>0</v>
      </c>
      <c r="L757" s="80">
        <f t="shared" ca="1" si="389"/>
        <v>0</v>
      </c>
      <c r="M757" s="80">
        <f t="shared" ca="1" si="390"/>
        <v>0</v>
      </c>
      <c r="N757" s="80">
        <f t="shared" ca="1" si="391"/>
        <v>0</v>
      </c>
      <c r="O757" s="81">
        <f t="shared" ca="1" si="376"/>
        <v>0</v>
      </c>
      <c r="P757" s="79">
        <f t="shared" ca="1" si="377"/>
        <v>0</v>
      </c>
      <c r="R757">
        <f t="shared" ca="1" si="392"/>
        <v>754</v>
      </c>
      <c r="S757" s="78">
        <f t="shared" ca="1" si="393"/>
        <v>122.24</v>
      </c>
      <c r="T757" s="55">
        <f t="shared" ca="1" si="394"/>
        <v>0</v>
      </c>
      <c r="U757" s="78">
        <f t="shared" ca="1" si="395"/>
        <v>2.4366954920664725E-5</v>
      </c>
      <c r="V757" s="79">
        <f t="shared" ca="1" si="396"/>
        <v>0</v>
      </c>
      <c r="W757" s="79">
        <f t="shared" ca="1" si="378"/>
        <v>0</v>
      </c>
      <c r="X757" s="80">
        <f t="shared" ca="1" si="379"/>
        <v>0</v>
      </c>
      <c r="Y757" s="80">
        <f t="shared" ca="1" si="397"/>
        <v>0</v>
      </c>
      <c r="Z757" s="80">
        <f t="shared" ca="1" si="380"/>
        <v>0</v>
      </c>
      <c r="AA757" s="80">
        <f t="shared" ca="1" si="398"/>
        <v>0</v>
      </c>
      <c r="AB757" s="81">
        <f t="shared" ca="1" si="381"/>
        <v>0</v>
      </c>
      <c r="AC757" s="79">
        <f t="shared" ca="1" si="382"/>
        <v>0</v>
      </c>
      <c r="AE757" s="35"/>
      <c r="AF757" s="35"/>
      <c r="AR757" s="69">
        <f t="shared" si="399"/>
        <v>63</v>
      </c>
      <c r="AS757" s="70">
        <f t="shared" si="402"/>
        <v>754</v>
      </c>
      <c r="AT757" s="71">
        <f t="shared" si="403"/>
        <v>5.7357942730124145E-3</v>
      </c>
      <c r="AU757" s="72">
        <f t="shared" si="383"/>
        <v>6.8214933659622723E-3</v>
      </c>
      <c r="AV757" s="73">
        <f t="shared" si="400"/>
        <v>1.0068214933659623</v>
      </c>
      <c r="AW757" s="74">
        <f>PRODUCT(AV$4:AV757)</f>
        <v>168.33272319624899</v>
      </c>
    </row>
    <row r="758" spans="5:49">
      <c r="E758">
        <f t="shared" si="401"/>
        <v>755</v>
      </c>
      <c r="F758" s="64">
        <f t="shared" si="384"/>
        <v>122.32</v>
      </c>
      <c r="G758" s="55">
        <f t="shared" si="385"/>
        <v>0</v>
      </c>
      <c r="H758" s="78">
        <f t="shared" si="404"/>
        <v>2.4366954920664725E-5</v>
      </c>
      <c r="I758" s="79">
        <f t="shared" ca="1" si="386"/>
        <v>0</v>
      </c>
      <c r="J758" s="79">
        <f t="shared" ca="1" si="387"/>
        <v>0</v>
      </c>
      <c r="K758" s="80">
        <f t="shared" ca="1" si="388"/>
        <v>0</v>
      </c>
      <c r="L758" s="80">
        <f t="shared" ca="1" si="389"/>
        <v>0</v>
      </c>
      <c r="M758" s="80">
        <f t="shared" ca="1" si="390"/>
        <v>0</v>
      </c>
      <c r="N758" s="80">
        <f t="shared" ca="1" si="391"/>
        <v>0</v>
      </c>
      <c r="O758" s="81">
        <f t="shared" ca="1" si="376"/>
        <v>0</v>
      </c>
      <c r="P758" s="79">
        <f t="shared" ca="1" si="377"/>
        <v>0</v>
      </c>
      <c r="R758">
        <f t="shared" ca="1" si="392"/>
        <v>755</v>
      </c>
      <c r="S758" s="78">
        <f t="shared" ca="1" si="393"/>
        <v>122.32</v>
      </c>
      <c r="T758" s="55">
        <f t="shared" ca="1" si="394"/>
        <v>0</v>
      </c>
      <c r="U758" s="78">
        <f t="shared" ca="1" si="395"/>
        <v>2.4366954920664725E-5</v>
      </c>
      <c r="V758" s="79">
        <f t="shared" ca="1" si="396"/>
        <v>0</v>
      </c>
      <c r="W758" s="79">
        <f t="shared" ca="1" si="378"/>
        <v>0</v>
      </c>
      <c r="X758" s="80">
        <f t="shared" ca="1" si="379"/>
        <v>0</v>
      </c>
      <c r="Y758" s="80">
        <f t="shared" ca="1" si="397"/>
        <v>0</v>
      </c>
      <c r="Z758" s="80">
        <f t="shared" ca="1" si="380"/>
        <v>0</v>
      </c>
      <c r="AA758" s="80">
        <f t="shared" ca="1" si="398"/>
        <v>0</v>
      </c>
      <c r="AB758" s="81">
        <f t="shared" ca="1" si="381"/>
        <v>0</v>
      </c>
      <c r="AC758" s="79">
        <f t="shared" ca="1" si="382"/>
        <v>0</v>
      </c>
      <c r="AE758" s="35"/>
      <c r="AF758" s="35"/>
      <c r="AR758" s="69">
        <f t="shared" si="399"/>
        <v>63</v>
      </c>
      <c r="AS758" s="70">
        <f t="shared" si="402"/>
        <v>755</v>
      </c>
      <c r="AT758" s="71">
        <f t="shared" si="403"/>
        <v>5.6966675904305359E-3</v>
      </c>
      <c r="AU758" s="72">
        <f t="shared" si="383"/>
        <v>6.8214933659622723E-3</v>
      </c>
      <c r="AV758" s="73">
        <f t="shared" si="400"/>
        <v>1.0068214933659623</v>
      </c>
      <c r="AW758" s="74">
        <f>PRODUCT(AV$4:AV758)</f>
        <v>169.48100375080656</v>
      </c>
    </row>
    <row r="759" spans="5:49">
      <c r="E759">
        <f t="shared" si="401"/>
        <v>756</v>
      </c>
      <c r="F759" s="64">
        <f t="shared" si="384"/>
        <v>122.4</v>
      </c>
      <c r="G759" s="55">
        <f t="shared" si="385"/>
        <v>0</v>
      </c>
      <c r="H759" s="78">
        <f t="shared" si="404"/>
        <v>2.4366954920664725E-5</v>
      </c>
      <c r="I759" s="79">
        <f t="shared" ca="1" si="386"/>
        <v>0</v>
      </c>
      <c r="J759" s="79">
        <f t="shared" ca="1" si="387"/>
        <v>0</v>
      </c>
      <c r="K759" s="80">
        <f t="shared" ca="1" si="388"/>
        <v>0</v>
      </c>
      <c r="L759" s="80">
        <f t="shared" ca="1" si="389"/>
        <v>0</v>
      </c>
      <c r="M759" s="80">
        <f t="shared" ca="1" si="390"/>
        <v>0</v>
      </c>
      <c r="N759" s="80">
        <f t="shared" ca="1" si="391"/>
        <v>0</v>
      </c>
      <c r="O759" s="81">
        <f t="shared" ca="1" si="376"/>
        <v>0</v>
      </c>
      <c r="P759" s="79">
        <f t="shared" ca="1" si="377"/>
        <v>0</v>
      </c>
      <c r="R759">
        <f t="shared" ca="1" si="392"/>
        <v>756</v>
      </c>
      <c r="S759" s="78">
        <f t="shared" ca="1" si="393"/>
        <v>122.4</v>
      </c>
      <c r="T759" s="55">
        <f t="shared" ca="1" si="394"/>
        <v>0</v>
      </c>
      <c r="U759" s="78">
        <f t="shared" ca="1" si="395"/>
        <v>2.4366954920664725E-5</v>
      </c>
      <c r="V759" s="79">
        <f t="shared" ca="1" si="396"/>
        <v>0</v>
      </c>
      <c r="W759" s="79">
        <f t="shared" ca="1" si="378"/>
        <v>0</v>
      </c>
      <c r="X759" s="80">
        <f t="shared" ca="1" si="379"/>
        <v>0</v>
      </c>
      <c r="Y759" s="80">
        <f t="shared" ca="1" si="397"/>
        <v>0</v>
      </c>
      <c r="Z759" s="80">
        <f t="shared" ca="1" si="380"/>
        <v>0</v>
      </c>
      <c r="AA759" s="80">
        <f t="shared" ca="1" si="398"/>
        <v>0</v>
      </c>
      <c r="AB759" s="81">
        <f t="shared" ca="1" si="381"/>
        <v>0</v>
      </c>
      <c r="AC759" s="79">
        <f t="shared" ca="1" si="382"/>
        <v>0</v>
      </c>
      <c r="AE759" s="35"/>
      <c r="AF759" s="35"/>
      <c r="AR759" s="69">
        <f t="shared" si="399"/>
        <v>63</v>
      </c>
      <c r="AS759" s="70">
        <f t="shared" si="402"/>
        <v>756</v>
      </c>
      <c r="AT759" s="71">
        <f t="shared" si="403"/>
        <v>5.6578078102543219E-3</v>
      </c>
      <c r="AU759" s="72">
        <f t="shared" si="383"/>
        <v>6.8214933659622723E-3</v>
      </c>
      <c r="AV759" s="73">
        <f t="shared" si="400"/>
        <v>1.0068214933659623</v>
      </c>
      <c r="AW759" s="74">
        <f>PRODUCT(AV$4:AV759)</f>
        <v>170.63711729354932</v>
      </c>
    </row>
    <row r="760" spans="5:49">
      <c r="E760">
        <f t="shared" si="401"/>
        <v>757</v>
      </c>
      <c r="F760" s="64">
        <f t="shared" si="384"/>
        <v>122.48</v>
      </c>
      <c r="G760" s="55">
        <f t="shared" si="385"/>
        <v>0</v>
      </c>
      <c r="H760" s="78">
        <f t="shared" si="404"/>
        <v>2.4366954920664725E-5</v>
      </c>
      <c r="I760" s="79">
        <f t="shared" ca="1" si="386"/>
        <v>0</v>
      </c>
      <c r="J760" s="79">
        <f t="shared" ca="1" si="387"/>
        <v>0</v>
      </c>
      <c r="K760" s="80">
        <f t="shared" ca="1" si="388"/>
        <v>0</v>
      </c>
      <c r="L760" s="80">
        <f t="shared" ca="1" si="389"/>
        <v>0</v>
      </c>
      <c r="M760" s="80">
        <f t="shared" ca="1" si="390"/>
        <v>0</v>
      </c>
      <c r="N760" s="80">
        <f t="shared" ca="1" si="391"/>
        <v>0</v>
      </c>
      <c r="O760" s="81">
        <f t="shared" ca="1" si="376"/>
        <v>0</v>
      </c>
      <c r="P760" s="79">
        <f t="shared" ca="1" si="377"/>
        <v>0</v>
      </c>
      <c r="R760">
        <f t="shared" ca="1" si="392"/>
        <v>757</v>
      </c>
      <c r="S760" s="78">
        <f t="shared" ca="1" si="393"/>
        <v>122.48</v>
      </c>
      <c r="T760" s="55">
        <f t="shared" ca="1" si="394"/>
        <v>0</v>
      </c>
      <c r="U760" s="78">
        <f t="shared" ca="1" si="395"/>
        <v>2.4366954920664725E-5</v>
      </c>
      <c r="V760" s="79">
        <f t="shared" ca="1" si="396"/>
        <v>0</v>
      </c>
      <c r="W760" s="79">
        <f t="shared" ca="1" si="378"/>
        <v>0</v>
      </c>
      <c r="X760" s="80">
        <f t="shared" ca="1" si="379"/>
        <v>0</v>
      </c>
      <c r="Y760" s="80">
        <f t="shared" ca="1" si="397"/>
        <v>0</v>
      </c>
      <c r="Z760" s="80">
        <f t="shared" ca="1" si="380"/>
        <v>0</v>
      </c>
      <c r="AA760" s="80">
        <f t="shared" ca="1" si="398"/>
        <v>0</v>
      </c>
      <c r="AB760" s="81">
        <f t="shared" ca="1" si="381"/>
        <v>0</v>
      </c>
      <c r="AC760" s="79">
        <f t="shared" ca="1" si="382"/>
        <v>0</v>
      </c>
      <c r="AE760" s="35"/>
      <c r="AF760" s="35"/>
      <c r="AR760" s="69">
        <f t="shared" si="399"/>
        <v>64</v>
      </c>
      <c r="AS760" s="70">
        <f t="shared" si="402"/>
        <v>757</v>
      </c>
      <c r="AT760" s="71">
        <f t="shared" si="403"/>
        <v>5.6192131118107825E-3</v>
      </c>
      <c r="AU760" s="72">
        <f t="shared" si="383"/>
        <v>6.8214933659622723E-3</v>
      </c>
      <c r="AV760" s="73">
        <f t="shared" si="400"/>
        <v>1.0068214933659623</v>
      </c>
      <c r="AW760" s="74">
        <f>PRODUCT(AV$4:AV760)</f>
        <v>171.8011172571542</v>
      </c>
    </row>
    <row r="761" spans="5:49">
      <c r="E761">
        <f t="shared" si="401"/>
        <v>758</v>
      </c>
      <c r="F761" s="64">
        <f t="shared" si="384"/>
        <v>122.56</v>
      </c>
      <c r="G761" s="55">
        <f t="shared" si="385"/>
        <v>0</v>
      </c>
      <c r="H761" s="78">
        <f t="shared" si="404"/>
        <v>2.4366954920664725E-5</v>
      </c>
      <c r="I761" s="79">
        <f t="shared" ca="1" si="386"/>
        <v>0</v>
      </c>
      <c r="J761" s="79">
        <f t="shared" ca="1" si="387"/>
        <v>0</v>
      </c>
      <c r="K761" s="80">
        <f t="shared" ca="1" si="388"/>
        <v>0</v>
      </c>
      <c r="L761" s="80">
        <f t="shared" ca="1" si="389"/>
        <v>0</v>
      </c>
      <c r="M761" s="80">
        <f t="shared" ca="1" si="390"/>
        <v>0</v>
      </c>
      <c r="N761" s="80">
        <f t="shared" ca="1" si="391"/>
        <v>0</v>
      </c>
      <c r="O761" s="81">
        <f t="shared" ca="1" si="376"/>
        <v>0</v>
      </c>
      <c r="P761" s="79">
        <f t="shared" ca="1" si="377"/>
        <v>0</v>
      </c>
      <c r="R761">
        <f t="shared" ca="1" si="392"/>
        <v>758</v>
      </c>
      <c r="S761" s="78">
        <f t="shared" ca="1" si="393"/>
        <v>122.56</v>
      </c>
      <c r="T761" s="55">
        <f t="shared" ca="1" si="394"/>
        <v>0</v>
      </c>
      <c r="U761" s="78">
        <f t="shared" ca="1" si="395"/>
        <v>2.4366954920664725E-5</v>
      </c>
      <c r="V761" s="79">
        <f t="shared" ca="1" si="396"/>
        <v>0</v>
      </c>
      <c r="W761" s="79">
        <f t="shared" ca="1" si="378"/>
        <v>0</v>
      </c>
      <c r="X761" s="80">
        <f t="shared" ca="1" si="379"/>
        <v>0</v>
      </c>
      <c r="Y761" s="80">
        <f t="shared" ca="1" si="397"/>
        <v>0</v>
      </c>
      <c r="Z761" s="80">
        <f t="shared" ca="1" si="380"/>
        <v>0</v>
      </c>
      <c r="AA761" s="80">
        <f t="shared" ca="1" si="398"/>
        <v>0</v>
      </c>
      <c r="AB761" s="81">
        <f t="shared" ca="1" si="381"/>
        <v>0</v>
      </c>
      <c r="AC761" s="79">
        <f t="shared" ca="1" si="382"/>
        <v>0</v>
      </c>
      <c r="AE761" s="35"/>
      <c r="AF761" s="35"/>
      <c r="AR761" s="69">
        <f t="shared" si="399"/>
        <v>64</v>
      </c>
      <c r="AS761" s="70">
        <f t="shared" si="402"/>
        <v>758</v>
      </c>
      <c r="AT761" s="71">
        <f t="shared" si="403"/>
        <v>5.5808816868466371E-3</v>
      </c>
      <c r="AU761" s="72">
        <f t="shared" si="383"/>
        <v>6.8214933659622723E-3</v>
      </c>
      <c r="AV761" s="73">
        <f t="shared" si="400"/>
        <v>1.0068214933659623</v>
      </c>
      <c r="AW761" s="74">
        <f>PRODUCT(AV$4:AV761)</f>
        <v>172.9730574387888</v>
      </c>
    </row>
    <row r="762" spans="5:49">
      <c r="E762">
        <f t="shared" si="401"/>
        <v>759</v>
      </c>
      <c r="F762" s="64">
        <f t="shared" si="384"/>
        <v>122.64</v>
      </c>
      <c r="G762" s="55">
        <f t="shared" si="385"/>
        <v>0</v>
      </c>
      <c r="H762" s="78">
        <f t="shared" si="404"/>
        <v>2.4366954920664725E-5</v>
      </c>
      <c r="I762" s="79">
        <f t="shared" ca="1" si="386"/>
        <v>0</v>
      </c>
      <c r="J762" s="79">
        <f t="shared" ca="1" si="387"/>
        <v>0</v>
      </c>
      <c r="K762" s="80">
        <f t="shared" ca="1" si="388"/>
        <v>0</v>
      </c>
      <c r="L762" s="80">
        <f t="shared" ca="1" si="389"/>
        <v>0</v>
      </c>
      <c r="M762" s="80">
        <f t="shared" ca="1" si="390"/>
        <v>0</v>
      </c>
      <c r="N762" s="80">
        <f t="shared" ca="1" si="391"/>
        <v>0</v>
      </c>
      <c r="O762" s="81">
        <f t="shared" ca="1" si="376"/>
        <v>0</v>
      </c>
      <c r="P762" s="79">
        <f t="shared" ca="1" si="377"/>
        <v>0</v>
      </c>
      <c r="R762">
        <f t="shared" ca="1" si="392"/>
        <v>759</v>
      </c>
      <c r="S762" s="78">
        <f t="shared" ca="1" si="393"/>
        <v>122.64</v>
      </c>
      <c r="T762" s="55">
        <f t="shared" ca="1" si="394"/>
        <v>0</v>
      </c>
      <c r="U762" s="78">
        <f t="shared" ca="1" si="395"/>
        <v>2.4366954920664725E-5</v>
      </c>
      <c r="V762" s="79">
        <f t="shared" ca="1" si="396"/>
        <v>0</v>
      </c>
      <c r="W762" s="79">
        <f t="shared" ca="1" si="378"/>
        <v>0</v>
      </c>
      <c r="X762" s="80">
        <f t="shared" ca="1" si="379"/>
        <v>0</v>
      </c>
      <c r="Y762" s="80">
        <f t="shared" ca="1" si="397"/>
        <v>0</v>
      </c>
      <c r="Z762" s="80">
        <f t="shared" ca="1" si="380"/>
        <v>0</v>
      </c>
      <c r="AA762" s="80">
        <f t="shared" ca="1" si="398"/>
        <v>0</v>
      </c>
      <c r="AB762" s="81">
        <f t="shared" ca="1" si="381"/>
        <v>0</v>
      </c>
      <c r="AC762" s="79">
        <f t="shared" ca="1" si="382"/>
        <v>0</v>
      </c>
      <c r="AE762" s="35"/>
      <c r="AF762" s="35"/>
      <c r="AR762" s="69">
        <f t="shared" si="399"/>
        <v>64</v>
      </c>
      <c r="AS762" s="70">
        <f t="shared" si="402"/>
        <v>759</v>
      </c>
      <c r="AT762" s="71">
        <f t="shared" si="403"/>
        <v>5.5428117394435922E-3</v>
      </c>
      <c r="AU762" s="72">
        <f t="shared" si="383"/>
        <v>6.8214933659622723E-3</v>
      </c>
      <c r="AV762" s="73">
        <f t="shared" si="400"/>
        <v>1.0068214933659623</v>
      </c>
      <c r="AW762" s="74">
        <f>PRODUCT(AV$4:AV762)</f>
        <v>174.1529920025977</v>
      </c>
    </row>
    <row r="763" spans="5:49">
      <c r="E763">
        <f t="shared" si="401"/>
        <v>760</v>
      </c>
      <c r="F763" s="64">
        <f t="shared" si="384"/>
        <v>122.72</v>
      </c>
      <c r="G763" s="55">
        <f t="shared" si="385"/>
        <v>0</v>
      </c>
      <c r="H763" s="78">
        <f t="shared" si="404"/>
        <v>2.4366954920664725E-5</v>
      </c>
      <c r="I763" s="79">
        <f t="shared" ca="1" si="386"/>
        <v>0</v>
      </c>
      <c r="J763" s="79">
        <f t="shared" ca="1" si="387"/>
        <v>0</v>
      </c>
      <c r="K763" s="80">
        <f t="shared" ca="1" si="388"/>
        <v>0</v>
      </c>
      <c r="L763" s="80">
        <f t="shared" ca="1" si="389"/>
        <v>0</v>
      </c>
      <c r="M763" s="80">
        <f t="shared" ca="1" si="390"/>
        <v>0</v>
      </c>
      <c r="N763" s="80">
        <f t="shared" ca="1" si="391"/>
        <v>0</v>
      </c>
      <c r="O763" s="81">
        <f t="shared" ca="1" si="376"/>
        <v>0</v>
      </c>
      <c r="P763" s="79">
        <f t="shared" ca="1" si="377"/>
        <v>0</v>
      </c>
      <c r="R763">
        <f t="shared" ca="1" si="392"/>
        <v>760</v>
      </c>
      <c r="S763" s="78">
        <f t="shared" ca="1" si="393"/>
        <v>122.72</v>
      </c>
      <c r="T763" s="55">
        <f t="shared" ca="1" si="394"/>
        <v>0</v>
      </c>
      <c r="U763" s="78">
        <f t="shared" ca="1" si="395"/>
        <v>2.4366954920664725E-5</v>
      </c>
      <c r="V763" s="79">
        <f t="shared" ca="1" si="396"/>
        <v>0</v>
      </c>
      <c r="W763" s="79">
        <f t="shared" ca="1" si="378"/>
        <v>0</v>
      </c>
      <c r="X763" s="80">
        <f t="shared" ca="1" si="379"/>
        <v>0</v>
      </c>
      <c r="Y763" s="80">
        <f t="shared" ca="1" si="397"/>
        <v>0</v>
      </c>
      <c r="Z763" s="80">
        <f t="shared" ca="1" si="380"/>
        <v>0</v>
      </c>
      <c r="AA763" s="80">
        <f t="shared" ca="1" si="398"/>
        <v>0</v>
      </c>
      <c r="AB763" s="81">
        <f t="shared" ca="1" si="381"/>
        <v>0</v>
      </c>
      <c r="AC763" s="79">
        <f t="shared" ca="1" si="382"/>
        <v>0</v>
      </c>
      <c r="AE763" s="35"/>
      <c r="AF763" s="35"/>
      <c r="AR763" s="69">
        <f t="shared" si="399"/>
        <v>64</v>
      </c>
      <c r="AS763" s="70">
        <f t="shared" si="402"/>
        <v>760</v>
      </c>
      <c r="AT763" s="71">
        <f t="shared" si="403"/>
        <v>5.5050014859341998E-3</v>
      </c>
      <c r="AU763" s="72">
        <f t="shared" si="383"/>
        <v>6.8214933659622723E-3</v>
      </c>
      <c r="AV763" s="73">
        <f t="shared" si="400"/>
        <v>1.0068214933659623</v>
      </c>
      <c r="AW763" s="74">
        <f>PRODUCT(AV$4:AV763)</f>
        <v>175.34097548220589</v>
      </c>
    </row>
    <row r="764" spans="5:49">
      <c r="E764">
        <f t="shared" si="401"/>
        <v>761</v>
      </c>
      <c r="F764" s="64">
        <f t="shared" si="384"/>
        <v>122.8</v>
      </c>
      <c r="G764" s="55">
        <f t="shared" si="385"/>
        <v>0</v>
      </c>
      <c r="H764" s="78">
        <f t="shared" si="404"/>
        <v>2.4366954920664725E-5</v>
      </c>
      <c r="I764" s="79">
        <f t="shared" ca="1" si="386"/>
        <v>0</v>
      </c>
      <c r="J764" s="79">
        <f t="shared" ca="1" si="387"/>
        <v>0</v>
      </c>
      <c r="K764" s="80">
        <f t="shared" ca="1" si="388"/>
        <v>0</v>
      </c>
      <c r="L764" s="80">
        <f t="shared" ca="1" si="389"/>
        <v>0</v>
      </c>
      <c r="M764" s="80">
        <f t="shared" ca="1" si="390"/>
        <v>0</v>
      </c>
      <c r="N764" s="80">
        <f t="shared" ca="1" si="391"/>
        <v>0</v>
      </c>
      <c r="O764" s="81">
        <f t="shared" ca="1" si="376"/>
        <v>0</v>
      </c>
      <c r="P764" s="79">
        <f t="shared" ca="1" si="377"/>
        <v>0</v>
      </c>
      <c r="R764">
        <f t="shared" ca="1" si="392"/>
        <v>761</v>
      </c>
      <c r="S764" s="78">
        <f t="shared" ca="1" si="393"/>
        <v>122.8</v>
      </c>
      <c r="T764" s="55">
        <f t="shared" ca="1" si="394"/>
        <v>0</v>
      </c>
      <c r="U764" s="78">
        <f t="shared" ca="1" si="395"/>
        <v>2.4366954920664725E-5</v>
      </c>
      <c r="V764" s="79">
        <f t="shared" ca="1" si="396"/>
        <v>0</v>
      </c>
      <c r="W764" s="79">
        <f t="shared" ca="1" si="378"/>
        <v>0</v>
      </c>
      <c r="X764" s="80">
        <f t="shared" ca="1" si="379"/>
        <v>0</v>
      </c>
      <c r="Y764" s="80">
        <f t="shared" ca="1" si="397"/>
        <v>0</v>
      </c>
      <c r="Z764" s="80">
        <f t="shared" ca="1" si="380"/>
        <v>0</v>
      </c>
      <c r="AA764" s="80">
        <f t="shared" ca="1" si="398"/>
        <v>0</v>
      </c>
      <c r="AB764" s="81">
        <f t="shared" ca="1" si="381"/>
        <v>0</v>
      </c>
      <c r="AC764" s="79">
        <f t="shared" ca="1" si="382"/>
        <v>0</v>
      </c>
      <c r="AE764" s="35"/>
      <c r="AF764" s="35"/>
      <c r="AR764" s="69">
        <f t="shared" si="399"/>
        <v>64</v>
      </c>
      <c r="AS764" s="70">
        <f t="shared" si="402"/>
        <v>761</v>
      </c>
      <c r="AT764" s="71">
        <f t="shared" si="403"/>
        <v>5.4674491548182876E-3</v>
      </c>
      <c r="AU764" s="72">
        <f t="shared" si="383"/>
        <v>6.8214933659622723E-3</v>
      </c>
      <c r="AV764" s="73">
        <f t="shared" si="400"/>
        <v>1.0068214933659623</v>
      </c>
      <c r="AW764" s="74">
        <f>PRODUCT(AV$4:AV764)</f>
        <v>176.53706278323912</v>
      </c>
    </row>
    <row r="765" spans="5:49">
      <c r="E765">
        <f t="shared" si="401"/>
        <v>762</v>
      </c>
      <c r="F765" s="64">
        <f t="shared" si="384"/>
        <v>122.88</v>
      </c>
      <c r="G765" s="55">
        <f t="shared" si="385"/>
        <v>0</v>
      </c>
      <c r="H765" s="78">
        <f t="shared" si="404"/>
        <v>2.4366954920664725E-5</v>
      </c>
      <c r="I765" s="79">
        <f t="shared" ca="1" si="386"/>
        <v>0</v>
      </c>
      <c r="J765" s="79">
        <f t="shared" ca="1" si="387"/>
        <v>0</v>
      </c>
      <c r="K765" s="80">
        <f t="shared" ca="1" si="388"/>
        <v>0</v>
      </c>
      <c r="L765" s="80">
        <f t="shared" ca="1" si="389"/>
        <v>0</v>
      </c>
      <c r="M765" s="80">
        <f t="shared" ca="1" si="390"/>
        <v>0</v>
      </c>
      <c r="N765" s="80">
        <f t="shared" ca="1" si="391"/>
        <v>0</v>
      </c>
      <c r="O765" s="81">
        <f t="shared" ca="1" si="376"/>
        <v>0</v>
      </c>
      <c r="P765" s="79">
        <f t="shared" ca="1" si="377"/>
        <v>0</v>
      </c>
      <c r="R765">
        <f t="shared" ca="1" si="392"/>
        <v>762</v>
      </c>
      <c r="S765" s="78">
        <f t="shared" ca="1" si="393"/>
        <v>122.88</v>
      </c>
      <c r="T765" s="55">
        <f t="shared" ca="1" si="394"/>
        <v>0</v>
      </c>
      <c r="U765" s="78">
        <f t="shared" ca="1" si="395"/>
        <v>2.4366954920664725E-5</v>
      </c>
      <c r="V765" s="79">
        <f t="shared" ca="1" si="396"/>
        <v>0</v>
      </c>
      <c r="W765" s="79">
        <f t="shared" ca="1" si="378"/>
        <v>0</v>
      </c>
      <c r="X765" s="80">
        <f t="shared" ca="1" si="379"/>
        <v>0</v>
      </c>
      <c r="Y765" s="80">
        <f t="shared" ca="1" si="397"/>
        <v>0</v>
      </c>
      <c r="Z765" s="80">
        <f t="shared" ca="1" si="380"/>
        <v>0</v>
      </c>
      <c r="AA765" s="80">
        <f t="shared" ca="1" si="398"/>
        <v>0</v>
      </c>
      <c r="AB765" s="81">
        <f t="shared" ca="1" si="381"/>
        <v>0</v>
      </c>
      <c r="AC765" s="79">
        <f t="shared" ca="1" si="382"/>
        <v>0</v>
      </c>
      <c r="AE765" s="35"/>
      <c r="AF765" s="35"/>
      <c r="AR765" s="69">
        <f t="shared" si="399"/>
        <v>64</v>
      </c>
      <c r="AS765" s="70">
        <f t="shared" si="402"/>
        <v>762</v>
      </c>
      <c r="AT765" s="71">
        <f t="shared" si="403"/>
        <v>5.4301529866799588E-3</v>
      </c>
      <c r="AU765" s="72">
        <f t="shared" si="383"/>
        <v>6.8214933659622723E-3</v>
      </c>
      <c r="AV765" s="73">
        <f t="shared" si="400"/>
        <v>1.0068214933659623</v>
      </c>
      <c r="AW765" s="74">
        <f>PRODUCT(AV$4:AV765)</f>
        <v>177.74130918586144</v>
      </c>
    </row>
    <row r="766" spans="5:49">
      <c r="E766">
        <f t="shared" si="401"/>
        <v>763</v>
      </c>
      <c r="F766" s="64">
        <f t="shared" si="384"/>
        <v>122.96</v>
      </c>
      <c r="G766" s="55">
        <f t="shared" si="385"/>
        <v>0</v>
      </c>
      <c r="H766" s="78">
        <f t="shared" si="404"/>
        <v>2.4366954920664725E-5</v>
      </c>
      <c r="I766" s="79">
        <f t="shared" ca="1" si="386"/>
        <v>0</v>
      </c>
      <c r="J766" s="79">
        <f t="shared" ca="1" si="387"/>
        <v>0</v>
      </c>
      <c r="K766" s="80">
        <f t="shared" ca="1" si="388"/>
        <v>0</v>
      </c>
      <c r="L766" s="80">
        <f t="shared" ca="1" si="389"/>
        <v>0</v>
      </c>
      <c r="M766" s="80">
        <f t="shared" ca="1" si="390"/>
        <v>0</v>
      </c>
      <c r="N766" s="80">
        <f t="shared" ca="1" si="391"/>
        <v>0</v>
      </c>
      <c r="O766" s="81">
        <f t="shared" ca="1" si="376"/>
        <v>0</v>
      </c>
      <c r="P766" s="79">
        <f t="shared" ca="1" si="377"/>
        <v>0</v>
      </c>
      <c r="R766">
        <f t="shared" ca="1" si="392"/>
        <v>763</v>
      </c>
      <c r="S766" s="78">
        <f t="shared" ca="1" si="393"/>
        <v>122.96</v>
      </c>
      <c r="T766" s="55">
        <f t="shared" ca="1" si="394"/>
        <v>0</v>
      </c>
      <c r="U766" s="78">
        <f t="shared" ca="1" si="395"/>
        <v>2.4366954920664725E-5</v>
      </c>
      <c r="V766" s="79">
        <f t="shared" ca="1" si="396"/>
        <v>0</v>
      </c>
      <c r="W766" s="79">
        <f t="shared" ca="1" si="378"/>
        <v>0</v>
      </c>
      <c r="X766" s="80">
        <f t="shared" ca="1" si="379"/>
        <v>0</v>
      </c>
      <c r="Y766" s="80">
        <f t="shared" ca="1" si="397"/>
        <v>0</v>
      </c>
      <c r="Z766" s="80">
        <f t="shared" ca="1" si="380"/>
        <v>0</v>
      </c>
      <c r="AA766" s="80">
        <f t="shared" ca="1" si="398"/>
        <v>0</v>
      </c>
      <c r="AB766" s="81">
        <f t="shared" ca="1" si="381"/>
        <v>0</v>
      </c>
      <c r="AC766" s="79">
        <f t="shared" ca="1" si="382"/>
        <v>0</v>
      </c>
      <c r="AE766" s="35"/>
      <c r="AF766" s="35"/>
      <c r="AR766" s="69">
        <f t="shared" si="399"/>
        <v>64</v>
      </c>
      <c r="AS766" s="70">
        <f t="shared" si="402"/>
        <v>763</v>
      </c>
      <c r="AT766" s="71">
        <f t="shared" si="403"/>
        <v>5.3931112341051614E-3</v>
      </c>
      <c r="AU766" s="72">
        <f t="shared" si="383"/>
        <v>6.8214933659622723E-3</v>
      </c>
      <c r="AV766" s="73">
        <f t="shared" si="400"/>
        <v>1.0068214933659623</v>
      </c>
      <c r="AW766" s="74">
        <f>PRODUCT(AV$4:AV766)</f>
        <v>178.95377034733025</v>
      </c>
    </row>
    <row r="767" spans="5:49">
      <c r="E767">
        <f t="shared" si="401"/>
        <v>764</v>
      </c>
      <c r="F767" s="64">
        <f t="shared" si="384"/>
        <v>123.04</v>
      </c>
      <c r="G767" s="55">
        <f t="shared" si="385"/>
        <v>0</v>
      </c>
      <c r="H767" s="78">
        <f t="shared" si="404"/>
        <v>2.4366954920664725E-5</v>
      </c>
      <c r="I767" s="79">
        <f t="shared" ca="1" si="386"/>
        <v>0</v>
      </c>
      <c r="J767" s="79">
        <f t="shared" ca="1" si="387"/>
        <v>0</v>
      </c>
      <c r="K767" s="80">
        <f t="shared" ca="1" si="388"/>
        <v>0</v>
      </c>
      <c r="L767" s="80">
        <f t="shared" ca="1" si="389"/>
        <v>0</v>
      </c>
      <c r="M767" s="80">
        <f t="shared" ca="1" si="390"/>
        <v>0</v>
      </c>
      <c r="N767" s="80">
        <f t="shared" ca="1" si="391"/>
        <v>0</v>
      </c>
      <c r="O767" s="81">
        <f t="shared" ca="1" si="376"/>
        <v>0</v>
      </c>
      <c r="P767" s="79">
        <f t="shared" ca="1" si="377"/>
        <v>0</v>
      </c>
      <c r="R767">
        <f t="shared" ca="1" si="392"/>
        <v>764</v>
      </c>
      <c r="S767" s="78">
        <f t="shared" ca="1" si="393"/>
        <v>123.04</v>
      </c>
      <c r="T767" s="55">
        <f t="shared" ca="1" si="394"/>
        <v>0</v>
      </c>
      <c r="U767" s="78">
        <f t="shared" ca="1" si="395"/>
        <v>2.4366954920664725E-5</v>
      </c>
      <c r="V767" s="79">
        <f t="shared" ca="1" si="396"/>
        <v>0</v>
      </c>
      <c r="W767" s="79">
        <f t="shared" ca="1" si="378"/>
        <v>0</v>
      </c>
      <c r="X767" s="80">
        <f t="shared" ca="1" si="379"/>
        <v>0</v>
      </c>
      <c r="Y767" s="80">
        <f t="shared" ca="1" si="397"/>
        <v>0</v>
      </c>
      <c r="Z767" s="80">
        <f t="shared" ca="1" si="380"/>
        <v>0</v>
      </c>
      <c r="AA767" s="80">
        <f t="shared" ca="1" si="398"/>
        <v>0</v>
      </c>
      <c r="AB767" s="81">
        <f t="shared" ca="1" si="381"/>
        <v>0</v>
      </c>
      <c r="AC767" s="79">
        <f t="shared" ca="1" si="382"/>
        <v>0</v>
      </c>
      <c r="AE767" s="35"/>
      <c r="AF767" s="35"/>
      <c r="AR767" s="69">
        <f t="shared" si="399"/>
        <v>64</v>
      </c>
      <c r="AS767" s="70">
        <f t="shared" si="402"/>
        <v>764</v>
      </c>
      <c r="AT767" s="71">
        <f t="shared" si="403"/>
        <v>5.3563221615998162E-3</v>
      </c>
      <c r="AU767" s="72">
        <f t="shared" si="383"/>
        <v>6.8214933659622723E-3</v>
      </c>
      <c r="AV767" s="73">
        <f t="shared" si="400"/>
        <v>1.0068214933659623</v>
      </c>
      <c r="AW767" s="74">
        <f>PRODUCT(AV$4:AV767)</f>
        <v>180.17450230456851</v>
      </c>
    </row>
    <row r="768" spans="5:49">
      <c r="E768">
        <f t="shared" si="401"/>
        <v>765</v>
      </c>
      <c r="F768" s="64">
        <f t="shared" si="384"/>
        <v>123.12</v>
      </c>
      <c r="G768" s="55">
        <f t="shared" si="385"/>
        <v>0</v>
      </c>
      <c r="H768" s="78">
        <f t="shared" si="404"/>
        <v>2.4366954920664725E-5</v>
      </c>
      <c r="I768" s="79">
        <f t="shared" ca="1" si="386"/>
        <v>0</v>
      </c>
      <c r="J768" s="79">
        <f t="shared" ca="1" si="387"/>
        <v>0</v>
      </c>
      <c r="K768" s="80">
        <f t="shared" ca="1" si="388"/>
        <v>0</v>
      </c>
      <c r="L768" s="80">
        <f t="shared" ca="1" si="389"/>
        <v>0</v>
      </c>
      <c r="M768" s="80">
        <f t="shared" ca="1" si="390"/>
        <v>0</v>
      </c>
      <c r="N768" s="80">
        <f t="shared" ca="1" si="391"/>
        <v>0</v>
      </c>
      <c r="O768" s="81">
        <f t="shared" ca="1" si="376"/>
        <v>0</v>
      </c>
      <c r="P768" s="79">
        <f t="shared" ca="1" si="377"/>
        <v>0</v>
      </c>
      <c r="R768">
        <f t="shared" ca="1" si="392"/>
        <v>765</v>
      </c>
      <c r="S768" s="78">
        <f t="shared" ca="1" si="393"/>
        <v>123.12</v>
      </c>
      <c r="T768" s="55">
        <f t="shared" ca="1" si="394"/>
        <v>0</v>
      </c>
      <c r="U768" s="78">
        <f t="shared" ca="1" si="395"/>
        <v>2.4366954920664725E-5</v>
      </c>
      <c r="V768" s="79">
        <f t="shared" ca="1" si="396"/>
        <v>0</v>
      </c>
      <c r="W768" s="79">
        <f t="shared" ca="1" si="378"/>
        <v>0</v>
      </c>
      <c r="X768" s="80">
        <f t="shared" ca="1" si="379"/>
        <v>0</v>
      </c>
      <c r="Y768" s="80">
        <f t="shared" ca="1" si="397"/>
        <v>0</v>
      </c>
      <c r="Z768" s="80">
        <f t="shared" ca="1" si="380"/>
        <v>0</v>
      </c>
      <c r="AA768" s="80">
        <f t="shared" ca="1" si="398"/>
        <v>0</v>
      </c>
      <c r="AB768" s="81">
        <f t="shared" ca="1" si="381"/>
        <v>0</v>
      </c>
      <c r="AC768" s="79">
        <f t="shared" ca="1" si="382"/>
        <v>0</v>
      </c>
      <c r="AE768" s="35"/>
      <c r="AF768" s="35"/>
      <c r="AR768" s="69">
        <f t="shared" si="399"/>
        <v>64</v>
      </c>
      <c r="AS768" s="70">
        <f t="shared" si="402"/>
        <v>765</v>
      </c>
      <c r="AT768" s="71">
        <f t="shared" si="403"/>
        <v>5.319784045508506E-3</v>
      </c>
      <c r="AU768" s="72">
        <f t="shared" si="383"/>
        <v>6.8214933659622723E-3</v>
      </c>
      <c r="AV768" s="73">
        <f t="shared" si="400"/>
        <v>1.0068214933659623</v>
      </c>
      <c r="AW768" s="74">
        <f>PRODUCT(AV$4:AV768)</f>
        <v>181.40356147675467</v>
      </c>
    </row>
    <row r="769" spans="5:49">
      <c r="E769">
        <f t="shared" si="401"/>
        <v>766</v>
      </c>
      <c r="F769" s="64">
        <f t="shared" si="384"/>
        <v>123.2</v>
      </c>
      <c r="G769" s="55">
        <f t="shared" si="385"/>
        <v>0</v>
      </c>
      <c r="H769" s="78">
        <f t="shared" si="404"/>
        <v>2.4366954920664725E-5</v>
      </c>
      <c r="I769" s="79">
        <f t="shared" ca="1" si="386"/>
        <v>0</v>
      </c>
      <c r="J769" s="79">
        <f t="shared" ca="1" si="387"/>
        <v>0</v>
      </c>
      <c r="K769" s="80">
        <f t="shared" ca="1" si="388"/>
        <v>0</v>
      </c>
      <c r="L769" s="80">
        <f t="shared" ca="1" si="389"/>
        <v>0</v>
      </c>
      <c r="M769" s="80">
        <f t="shared" ca="1" si="390"/>
        <v>0</v>
      </c>
      <c r="N769" s="80">
        <f t="shared" ca="1" si="391"/>
        <v>0</v>
      </c>
      <c r="O769" s="81">
        <f t="shared" ca="1" si="376"/>
        <v>0</v>
      </c>
      <c r="P769" s="79">
        <f t="shared" ca="1" si="377"/>
        <v>0</v>
      </c>
      <c r="R769">
        <f t="shared" ca="1" si="392"/>
        <v>766</v>
      </c>
      <c r="S769" s="78">
        <f t="shared" ca="1" si="393"/>
        <v>123.2</v>
      </c>
      <c r="T769" s="55">
        <f t="shared" ca="1" si="394"/>
        <v>0</v>
      </c>
      <c r="U769" s="78">
        <f t="shared" ca="1" si="395"/>
        <v>2.4366954920664725E-5</v>
      </c>
      <c r="V769" s="79">
        <f t="shared" ca="1" si="396"/>
        <v>0</v>
      </c>
      <c r="W769" s="79">
        <f t="shared" ca="1" si="378"/>
        <v>0</v>
      </c>
      <c r="X769" s="80">
        <f t="shared" ca="1" si="379"/>
        <v>0</v>
      </c>
      <c r="Y769" s="80">
        <f t="shared" ca="1" si="397"/>
        <v>0</v>
      </c>
      <c r="Z769" s="80">
        <f t="shared" ca="1" si="380"/>
        <v>0</v>
      </c>
      <c r="AA769" s="80">
        <f t="shared" ca="1" si="398"/>
        <v>0</v>
      </c>
      <c r="AB769" s="81">
        <f t="shared" ca="1" si="381"/>
        <v>0</v>
      </c>
      <c r="AC769" s="79">
        <f t="shared" ca="1" si="382"/>
        <v>0</v>
      </c>
      <c r="AE769" s="35"/>
      <c r="AF769" s="35"/>
      <c r="AR769" s="69">
        <f t="shared" si="399"/>
        <v>64</v>
      </c>
      <c r="AS769" s="70">
        <f t="shared" si="402"/>
        <v>766</v>
      </c>
      <c r="AT769" s="71">
        <f t="shared" si="403"/>
        <v>5.2834951739337182E-3</v>
      </c>
      <c r="AU769" s="72">
        <f t="shared" si="383"/>
        <v>6.8214933659622723E-3</v>
      </c>
      <c r="AV769" s="73">
        <f t="shared" si="400"/>
        <v>1.0068214933659623</v>
      </c>
      <c r="AW769" s="74">
        <f>PRODUCT(AV$4:AV769)</f>
        <v>182.64100466793028</v>
      </c>
    </row>
    <row r="770" spans="5:49">
      <c r="E770">
        <f t="shared" si="401"/>
        <v>767</v>
      </c>
      <c r="F770" s="64">
        <f t="shared" si="384"/>
        <v>123.28</v>
      </c>
      <c r="G770" s="55">
        <f t="shared" si="385"/>
        <v>0</v>
      </c>
      <c r="H770" s="78">
        <f t="shared" si="404"/>
        <v>2.4366954920664725E-5</v>
      </c>
      <c r="I770" s="79">
        <f t="shared" ca="1" si="386"/>
        <v>0</v>
      </c>
      <c r="J770" s="79">
        <f t="shared" ca="1" si="387"/>
        <v>0</v>
      </c>
      <c r="K770" s="80">
        <f t="shared" ca="1" si="388"/>
        <v>0</v>
      </c>
      <c r="L770" s="80">
        <f t="shared" ca="1" si="389"/>
        <v>0</v>
      </c>
      <c r="M770" s="80">
        <f t="shared" ca="1" si="390"/>
        <v>0</v>
      </c>
      <c r="N770" s="80">
        <f t="shared" ca="1" si="391"/>
        <v>0</v>
      </c>
      <c r="O770" s="81">
        <f t="shared" ca="1" si="376"/>
        <v>0</v>
      </c>
      <c r="P770" s="79">
        <f t="shared" ca="1" si="377"/>
        <v>0</v>
      </c>
      <c r="R770">
        <f t="shared" ca="1" si="392"/>
        <v>767</v>
      </c>
      <c r="S770" s="78">
        <f t="shared" ca="1" si="393"/>
        <v>123.28</v>
      </c>
      <c r="T770" s="55">
        <f t="shared" ca="1" si="394"/>
        <v>0</v>
      </c>
      <c r="U770" s="78">
        <f t="shared" ca="1" si="395"/>
        <v>2.4366954920664725E-5</v>
      </c>
      <c r="V770" s="79">
        <f t="shared" ca="1" si="396"/>
        <v>0</v>
      </c>
      <c r="W770" s="79">
        <f t="shared" ca="1" si="378"/>
        <v>0</v>
      </c>
      <c r="X770" s="80">
        <f t="shared" ca="1" si="379"/>
        <v>0</v>
      </c>
      <c r="Y770" s="80">
        <f t="shared" ca="1" si="397"/>
        <v>0</v>
      </c>
      <c r="Z770" s="80">
        <f t="shared" ca="1" si="380"/>
        <v>0</v>
      </c>
      <c r="AA770" s="80">
        <f t="shared" ca="1" si="398"/>
        <v>0</v>
      </c>
      <c r="AB770" s="81">
        <f t="shared" ca="1" si="381"/>
        <v>0</v>
      </c>
      <c r="AC770" s="79">
        <f t="shared" ca="1" si="382"/>
        <v>0</v>
      </c>
      <c r="AE770" s="35"/>
      <c r="AF770" s="35"/>
      <c r="AR770" s="69">
        <f t="shared" si="399"/>
        <v>64</v>
      </c>
      <c r="AS770" s="70">
        <f t="shared" si="402"/>
        <v>767</v>
      </c>
      <c r="AT770" s="71">
        <f t="shared" si="403"/>
        <v>5.2474538466556354E-3</v>
      </c>
      <c r="AU770" s="72">
        <f t="shared" si="383"/>
        <v>6.8214933659622723E-3</v>
      </c>
      <c r="AV770" s="73">
        <f t="shared" si="400"/>
        <v>1.0068214933659623</v>
      </c>
      <c r="AW770" s="74">
        <f>PRODUCT(AV$4:AV770)</f>
        <v>183.88688906962525</v>
      </c>
    </row>
    <row r="771" spans="5:49">
      <c r="E771">
        <f t="shared" si="401"/>
        <v>768</v>
      </c>
      <c r="F771" s="64">
        <f t="shared" si="384"/>
        <v>123.36</v>
      </c>
      <c r="G771" s="55">
        <f t="shared" si="385"/>
        <v>0</v>
      </c>
      <c r="H771" s="78">
        <f t="shared" si="404"/>
        <v>2.4366954920664725E-5</v>
      </c>
      <c r="I771" s="79">
        <f t="shared" ca="1" si="386"/>
        <v>0</v>
      </c>
      <c r="J771" s="79">
        <f t="shared" ca="1" si="387"/>
        <v>0</v>
      </c>
      <c r="K771" s="80">
        <f t="shared" ca="1" si="388"/>
        <v>0</v>
      </c>
      <c r="L771" s="80">
        <f t="shared" ca="1" si="389"/>
        <v>0</v>
      </c>
      <c r="M771" s="80">
        <f t="shared" ca="1" si="390"/>
        <v>0</v>
      </c>
      <c r="N771" s="80">
        <f t="shared" ca="1" si="391"/>
        <v>0</v>
      </c>
      <c r="O771" s="81">
        <f t="shared" ca="1" si="376"/>
        <v>0</v>
      </c>
      <c r="P771" s="79">
        <f t="shared" ca="1" si="377"/>
        <v>0</v>
      </c>
      <c r="R771">
        <f t="shared" ca="1" si="392"/>
        <v>768</v>
      </c>
      <c r="S771" s="78">
        <f t="shared" ca="1" si="393"/>
        <v>123.36</v>
      </c>
      <c r="T771" s="55">
        <f t="shared" ca="1" si="394"/>
        <v>0</v>
      </c>
      <c r="U771" s="78">
        <f t="shared" ca="1" si="395"/>
        <v>2.4366954920664725E-5</v>
      </c>
      <c r="V771" s="79">
        <f t="shared" ca="1" si="396"/>
        <v>0</v>
      </c>
      <c r="W771" s="79">
        <f t="shared" ca="1" si="378"/>
        <v>0</v>
      </c>
      <c r="X771" s="80">
        <f t="shared" ca="1" si="379"/>
        <v>0</v>
      </c>
      <c r="Y771" s="80">
        <f t="shared" ca="1" si="397"/>
        <v>0</v>
      </c>
      <c r="Z771" s="80">
        <f t="shared" ca="1" si="380"/>
        <v>0</v>
      </c>
      <c r="AA771" s="80">
        <f t="shared" ca="1" si="398"/>
        <v>0</v>
      </c>
      <c r="AB771" s="81">
        <f t="shared" ca="1" si="381"/>
        <v>0</v>
      </c>
      <c r="AC771" s="79">
        <f t="shared" ca="1" si="382"/>
        <v>0</v>
      </c>
      <c r="AE771" s="35"/>
      <c r="AF771" s="35"/>
      <c r="AR771" s="69">
        <f t="shared" si="399"/>
        <v>64</v>
      </c>
      <c r="AS771" s="70">
        <f t="shared" si="402"/>
        <v>768</v>
      </c>
      <c r="AT771" s="71">
        <f t="shared" si="403"/>
        <v>5.2116583750524805E-3</v>
      </c>
      <c r="AU771" s="72">
        <f t="shared" si="383"/>
        <v>6.8214933659622723E-3</v>
      </c>
      <c r="AV771" s="73">
        <f t="shared" si="400"/>
        <v>1.0068214933659623</v>
      </c>
      <c r="AW771" s="74">
        <f>PRODUCT(AV$4:AV771)</f>
        <v>185.14127226350115</v>
      </c>
    </row>
    <row r="772" spans="5:49">
      <c r="E772">
        <f t="shared" si="401"/>
        <v>769</v>
      </c>
      <c r="F772" s="64">
        <f t="shared" si="384"/>
        <v>123.44</v>
      </c>
      <c r="G772" s="55">
        <f t="shared" si="385"/>
        <v>0</v>
      </c>
      <c r="H772" s="78">
        <f t="shared" si="404"/>
        <v>2.4366954920664725E-5</v>
      </c>
      <c r="I772" s="79">
        <f t="shared" ca="1" si="386"/>
        <v>0</v>
      </c>
      <c r="J772" s="79">
        <f t="shared" ca="1" si="387"/>
        <v>0</v>
      </c>
      <c r="K772" s="80">
        <f t="shared" ca="1" si="388"/>
        <v>0</v>
      </c>
      <c r="L772" s="80">
        <f t="shared" ca="1" si="389"/>
        <v>0</v>
      </c>
      <c r="M772" s="80">
        <f t="shared" ca="1" si="390"/>
        <v>0</v>
      </c>
      <c r="N772" s="80">
        <f t="shared" ca="1" si="391"/>
        <v>0</v>
      </c>
      <c r="O772" s="81">
        <f t="shared" ref="O772:O784" ca="1" si="405">-MIN(IF(MOD(R772,IF($C$5="Annual",12,1))=0,1,0)*$C$33*U772/IF($C$5="Monthly",12,1),I772)</f>
        <v>0</v>
      </c>
      <c r="P772" s="79">
        <f t="shared" ref="P772:P784" ca="1" si="406">SUM(I772:O772)</f>
        <v>0</v>
      </c>
      <c r="R772">
        <f t="shared" ca="1" si="392"/>
        <v>769</v>
      </c>
      <c r="S772" s="78">
        <f t="shared" ca="1" si="393"/>
        <v>123.44</v>
      </c>
      <c r="T772" s="55">
        <f t="shared" ca="1" si="394"/>
        <v>0</v>
      </c>
      <c r="U772" s="78">
        <f t="shared" ca="1" si="395"/>
        <v>2.4366954920664725E-5</v>
      </c>
      <c r="V772" s="79">
        <f t="shared" ca="1" si="396"/>
        <v>0</v>
      </c>
      <c r="W772" s="79">
        <f t="shared" ref="W772:W784" ca="1" si="407">(V772)*$AU772</f>
        <v>0</v>
      </c>
      <c r="X772" s="80">
        <f t="shared" ref="X772:X784" ca="1" si="408">IF(V772=0,0,-$C$19)*U772</f>
        <v>0</v>
      </c>
      <c r="Y772" s="80">
        <f t="shared" ca="1" si="397"/>
        <v>0</v>
      </c>
      <c r="Z772" s="80">
        <f t="shared" ref="Z772:Z784" ca="1" si="409">-IF(MOD(R772-1,12)=0,1,0)*V772*($C$17)</f>
        <v>0</v>
      </c>
      <c r="AA772" s="80">
        <f t="shared" ca="1" si="398"/>
        <v>0</v>
      </c>
      <c r="AB772" s="81">
        <f t="shared" ref="AB772:AB784" ca="1" si="410">-MIN(IF(MOD(R772,IF($C$5="Annual",12,1))=0,1,0)*$C$33*U772/IF($C$5="Monthly",12,1),V772)</f>
        <v>0</v>
      </c>
      <c r="AC772" s="79">
        <f t="shared" ref="AC772:AC784" ca="1" si="411">SUM(V772:AB772)</f>
        <v>0</v>
      </c>
      <c r="AE772" s="35"/>
      <c r="AF772" s="35"/>
      <c r="AR772" s="69">
        <f t="shared" si="399"/>
        <v>65</v>
      </c>
      <c r="AS772" s="70">
        <f t="shared" si="402"/>
        <v>769</v>
      </c>
      <c r="AT772" s="71">
        <f t="shared" si="403"/>
        <v>5.1761070820213985E-3</v>
      </c>
      <c r="AU772" s="72">
        <f t="shared" ref="AU772:AU835" si="412">((1+$AH$21)^(1/12))-1</f>
        <v>6.8214933659622723E-3</v>
      </c>
      <c r="AV772" s="73">
        <f t="shared" si="400"/>
        <v>1.0068214933659623</v>
      </c>
      <c r="AW772" s="74">
        <f>PRODUCT(AV$4:AV772)</f>
        <v>186.40421222401244</v>
      </c>
    </row>
    <row r="773" spans="5:49">
      <c r="E773">
        <f t="shared" si="401"/>
        <v>770</v>
      </c>
      <c r="F773" s="64">
        <f t="shared" ref="F773:F784" si="413">ROUND((E773-E772)/12+F772,2)</f>
        <v>123.52</v>
      </c>
      <c r="G773" s="55">
        <f t="shared" ref="G773:G784" si="414">(1-(1-IF(F773&gt;$AJ$90,0,VLOOKUP(ROUND(F773,0),$AJ$4:$AK$90,2,FALSE)))^(1/12))</f>
        <v>0</v>
      </c>
      <c r="H773" s="78">
        <f t="shared" si="404"/>
        <v>2.4366954920664725E-5</v>
      </c>
      <c r="I773" s="79">
        <f t="shared" ref="I773:I784" ca="1" si="415">MAX(P772,0)*(1-G773)</f>
        <v>0</v>
      </c>
      <c r="J773" s="79">
        <f t="shared" ref="J773:J784" ca="1" si="416">(I773)*$AU773</f>
        <v>0</v>
      </c>
      <c r="K773" s="80">
        <f t="shared" ref="K773:K784" ca="1" si="417">IF(I773=0,0,-$C$19)*H773</f>
        <v>0</v>
      </c>
      <c r="L773" s="80">
        <f t="shared" ref="L773:L784" ca="1" si="418">IF(OR(I772+O772=0,K772=0),0,-I773*($C$16/12))</f>
        <v>0</v>
      </c>
      <c r="M773" s="80">
        <f t="shared" ref="M773:M784" ca="1" si="419">IF(OR(I772+O772=0,K772=0),0,-IF(MOD(E773-1,12)=0,1,0)*I773*($C$17))</f>
        <v>0</v>
      </c>
      <c r="N773" s="80">
        <f t="shared" ref="N773:N784" ca="1" si="420">IF(OR(I772+O772=0,K772=0),0,-I773*($C$18*(1+$C$20))/12)</f>
        <v>0</v>
      </c>
      <c r="O773" s="81">
        <f t="shared" ca="1" si="405"/>
        <v>0</v>
      </c>
      <c r="P773" s="79">
        <f t="shared" ca="1" si="406"/>
        <v>0</v>
      </c>
      <c r="R773">
        <f t="shared" ref="R773:R784" ca="1" si="421">R772+1</f>
        <v>770</v>
      </c>
      <c r="S773" s="78">
        <f t="shared" ref="S773:S784" ca="1" si="422">ROUND((R773-R772)/12+S772,2)</f>
        <v>123.52</v>
      </c>
      <c r="T773" s="55">
        <f t="shared" ref="T773:T784" ca="1" si="423">(1-(1-IF(S773&gt;$AJ$90,0,VLOOKUP(ROUND(S773,0),$AJ$4:$AK$90,2,FALSE)))^(1/12))</f>
        <v>0</v>
      </c>
      <c r="U773" s="78">
        <f t="shared" ref="U773:U784" ca="1" si="424">U772*(1-T773)</f>
        <v>2.4366954920664725E-5</v>
      </c>
      <c r="V773" s="79">
        <f t="shared" ref="V773:V784" ca="1" si="425">MAX(AC772,0)*(1-T773)</f>
        <v>0</v>
      </c>
      <c r="W773" s="79">
        <f t="shared" ca="1" si="407"/>
        <v>0</v>
      </c>
      <c r="X773" s="80">
        <f t="shared" ca="1" si="408"/>
        <v>0</v>
      </c>
      <c r="Y773" s="80">
        <f t="shared" ref="Y773:Y784" ca="1" si="426">IF(OR(V772+AB772=0,X772=0),0,-V773*($C$16/12))</f>
        <v>0</v>
      </c>
      <c r="Z773" s="80">
        <f t="shared" ca="1" si="409"/>
        <v>0</v>
      </c>
      <c r="AA773" s="80">
        <f t="shared" ref="AA773:AA784" ca="1" si="427">IF(OR(V772+AB772=0,X772=0),0,-V773*($C$18*(1+$C$20))/12)</f>
        <v>0</v>
      </c>
      <c r="AB773" s="81">
        <f t="shared" ca="1" si="410"/>
        <v>0</v>
      </c>
      <c r="AC773" s="79">
        <f t="shared" ca="1" si="411"/>
        <v>0</v>
      </c>
      <c r="AE773" s="35"/>
      <c r="AF773" s="35"/>
      <c r="AR773" s="69">
        <f t="shared" ref="AR773:AR836" si="428">ROUNDDOWN((AS773-1)/12,0)+1</f>
        <v>65</v>
      </c>
      <c r="AS773" s="70">
        <f t="shared" si="402"/>
        <v>770</v>
      </c>
      <c r="AT773" s="71">
        <f t="shared" si="403"/>
        <v>5.1407983018998795E-3</v>
      </c>
      <c r="AU773" s="72">
        <f t="shared" si="412"/>
        <v>6.8214933659622723E-3</v>
      </c>
      <c r="AV773" s="73">
        <f t="shared" ref="AV773:AV836" si="429">(1+AU773)</f>
        <v>1.0068214933659623</v>
      </c>
      <c r="AW773" s="74">
        <f>PRODUCT(AV$4:AV773)</f>
        <v>187.67576732108597</v>
      </c>
    </row>
    <row r="774" spans="5:49">
      <c r="E774">
        <f t="shared" ref="E774:E784" si="430">E773+1</f>
        <v>771</v>
      </c>
      <c r="F774" s="64">
        <f t="shared" si="413"/>
        <v>123.6</v>
      </c>
      <c r="G774" s="55">
        <f t="shared" si="414"/>
        <v>0</v>
      </c>
      <c r="H774" s="78">
        <f t="shared" si="404"/>
        <v>2.4366954920664725E-5</v>
      </c>
      <c r="I774" s="79">
        <f t="shared" ca="1" si="415"/>
        <v>0</v>
      </c>
      <c r="J774" s="79">
        <f t="shared" ca="1" si="416"/>
        <v>0</v>
      </c>
      <c r="K774" s="80">
        <f t="shared" ca="1" si="417"/>
        <v>0</v>
      </c>
      <c r="L774" s="80">
        <f t="shared" ca="1" si="418"/>
        <v>0</v>
      </c>
      <c r="M774" s="80">
        <f t="shared" ca="1" si="419"/>
        <v>0</v>
      </c>
      <c r="N774" s="80">
        <f t="shared" ca="1" si="420"/>
        <v>0</v>
      </c>
      <c r="O774" s="81">
        <f t="shared" ca="1" si="405"/>
        <v>0</v>
      </c>
      <c r="P774" s="79">
        <f t="shared" ca="1" si="406"/>
        <v>0</v>
      </c>
      <c r="R774">
        <f t="shared" ca="1" si="421"/>
        <v>771</v>
      </c>
      <c r="S774" s="78">
        <f t="shared" ca="1" si="422"/>
        <v>123.6</v>
      </c>
      <c r="T774" s="55">
        <f t="shared" ca="1" si="423"/>
        <v>0</v>
      </c>
      <c r="U774" s="78">
        <f t="shared" ca="1" si="424"/>
        <v>2.4366954920664725E-5</v>
      </c>
      <c r="V774" s="79">
        <f t="shared" ca="1" si="425"/>
        <v>0</v>
      </c>
      <c r="W774" s="79">
        <f t="shared" ca="1" si="407"/>
        <v>0</v>
      </c>
      <c r="X774" s="80">
        <f t="shared" ca="1" si="408"/>
        <v>0</v>
      </c>
      <c r="Y774" s="80">
        <f t="shared" ca="1" si="426"/>
        <v>0</v>
      </c>
      <c r="Z774" s="80">
        <f t="shared" ca="1" si="409"/>
        <v>0</v>
      </c>
      <c r="AA774" s="80">
        <f t="shared" ca="1" si="427"/>
        <v>0</v>
      </c>
      <c r="AB774" s="81">
        <f t="shared" ca="1" si="410"/>
        <v>0</v>
      </c>
      <c r="AC774" s="79">
        <f t="shared" ca="1" si="411"/>
        <v>0</v>
      </c>
      <c r="AE774" s="35"/>
      <c r="AF774" s="35"/>
      <c r="AR774" s="69">
        <f t="shared" si="428"/>
        <v>65</v>
      </c>
      <c r="AS774" s="70">
        <f t="shared" ref="AS774:AS837" si="431">AS773+1</f>
        <v>771</v>
      </c>
      <c r="AT774" s="71">
        <f t="shared" ref="AT774:AT837" si="432">(1-AU774)*AT773</f>
        <v>5.1057303803877198E-3</v>
      </c>
      <c r="AU774" s="72">
        <f t="shared" si="412"/>
        <v>6.8214933659622723E-3</v>
      </c>
      <c r="AV774" s="73">
        <f t="shared" si="429"/>
        <v>1.0068214933659623</v>
      </c>
      <c r="AW774" s="74">
        <f>PRODUCT(AV$4:AV774)</f>
        <v>188.95599632281863</v>
      </c>
    </row>
    <row r="775" spans="5:49">
      <c r="E775">
        <f t="shared" si="430"/>
        <v>772</v>
      </c>
      <c r="F775" s="64">
        <f t="shared" si="413"/>
        <v>123.68</v>
      </c>
      <c r="G775" s="55">
        <f t="shared" si="414"/>
        <v>0</v>
      </c>
      <c r="H775" s="78">
        <f t="shared" ref="H775:H784" si="433">H774*(1-G775)</f>
        <v>2.4366954920664725E-5</v>
      </c>
      <c r="I775" s="79">
        <f t="shared" ca="1" si="415"/>
        <v>0</v>
      </c>
      <c r="J775" s="79">
        <f t="shared" ca="1" si="416"/>
        <v>0</v>
      </c>
      <c r="K775" s="80">
        <f t="shared" ca="1" si="417"/>
        <v>0</v>
      </c>
      <c r="L775" s="80">
        <f t="shared" ca="1" si="418"/>
        <v>0</v>
      </c>
      <c r="M775" s="80">
        <f t="shared" ca="1" si="419"/>
        <v>0</v>
      </c>
      <c r="N775" s="80">
        <f t="shared" ca="1" si="420"/>
        <v>0</v>
      </c>
      <c r="O775" s="81">
        <f t="shared" ca="1" si="405"/>
        <v>0</v>
      </c>
      <c r="P775" s="79">
        <f t="shared" ca="1" si="406"/>
        <v>0</v>
      </c>
      <c r="R775">
        <f t="shared" ca="1" si="421"/>
        <v>772</v>
      </c>
      <c r="S775" s="78">
        <f t="shared" ca="1" si="422"/>
        <v>123.68</v>
      </c>
      <c r="T775" s="55">
        <f t="shared" ca="1" si="423"/>
        <v>0</v>
      </c>
      <c r="U775" s="78">
        <f t="shared" ca="1" si="424"/>
        <v>2.4366954920664725E-5</v>
      </c>
      <c r="V775" s="79">
        <f t="shared" ca="1" si="425"/>
        <v>0</v>
      </c>
      <c r="W775" s="79">
        <f t="shared" ca="1" si="407"/>
        <v>0</v>
      </c>
      <c r="X775" s="80">
        <f t="shared" ca="1" si="408"/>
        <v>0</v>
      </c>
      <c r="Y775" s="80">
        <f t="shared" ca="1" si="426"/>
        <v>0</v>
      </c>
      <c r="Z775" s="80">
        <f t="shared" ca="1" si="409"/>
        <v>0</v>
      </c>
      <c r="AA775" s="80">
        <f t="shared" ca="1" si="427"/>
        <v>0</v>
      </c>
      <c r="AB775" s="81">
        <f t="shared" ca="1" si="410"/>
        <v>0</v>
      </c>
      <c r="AC775" s="79">
        <f t="shared" ca="1" si="411"/>
        <v>0</v>
      </c>
      <c r="AE775" s="35"/>
      <c r="AF775" s="35"/>
      <c r="AR775" s="69">
        <f t="shared" si="428"/>
        <v>65</v>
      </c>
      <c r="AS775" s="70">
        <f t="shared" si="431"/>
        <v>772</v>
      </c>
      <c r="AT775" s="71">
        <f t="shared" si="432"/>
        <v>5.0709016744695133E-3</v>
      </c>
      <c r="AU775" s="72">
        <f t="shared" si="412"/>
        <v>6.8214933659622723E-3</v>
      </c>
      <c r="AV775" s="73">
        <f t="shared" si="429"/>
        <v>1.0068214933659623</v>
      </c>
      <c r="AW775" s="74">
        <f>PRODUCT(AV$4:AV775)</f>
        <v>190.24495839819355</v>
      </c>
    </row>
    <row r="776" spans="5:49">
      <c r="E776">
        <f t="shared" si="430"/>
        <v>773</v>
      </c>
      <c r="F776" s="64">
        <f t="shared" si="413"/>
        <v>123.76</v>
      </c>
      <c r="G776" s="55">
        <f t="shared" si="414"/>
        <v>0</v>
      </c>
      <c r="H776" s="78">
        <f t="shared" si="433"/>
        <v>2.4366954920664725E-5</v>
      </c>
      <c r="I776" s="79">
        <f t="shared" ca="1" si="415"/>
        <v>0</v>
      </c>
      <c r="J776" s="79">
        <f t="shared" ca="1" si="416"/>
        <v>0</v>
      </c>
      <c r="K776" s="80">
        <f t="shared" ca="1" si="417"/>
        <v>0</v>
      </c>
      <c r="L776" s="80">
        <f t="shared" ca="1" si="418"/>
        <v>0</v>
      </c>
      <c r="M776" s="80">
        <f t="shared" ca="1" si="419"/>
        <v>0</v>
      </c>
      <c r="N776" s="80">
        <f t="shared" ca="1" si="420"/>
        <v>0</v>
      </c>
      <c r="O776" s="81">
        <f t="shared" ca="1" si="405"/>
        <v>0</v>
      </c>
      <c r="P776" s="79">
        <f t="shared" ca="1" si="406"/>
        <v>0</v>
      </c>
      <c r="R776">
        <f t="shared" ca="1" si="421"/>
        <v>773</v>
      </c>
      <c r="S776" s="78">
        <f t="shared" ca="1" si="422"/>
        <v>123.76</v>
      </c>
      <c r="T776" s="55">
        <f t="shared" ca="1" si="423"/>
        <v>0</v>
      </c>
      <c r="U776" s="78">
        <f t="shared" ca="1" si="424"/>
        <v>2.4366954920664725E-5</v>
      </c>
      <c r="V776" s="79">
        <f t="shared" ca="1" si="425"/>
        <v>0</v>
      </c>
      <c r="W776" s="79">
        <f t="shared" ca="1" si="407"/>
        <v>0</v>
      </c>
      <c r="X776" s="80">
        <f t="shared" ca="1" si="408"/>
        <v>0</v>
      </c>
      <c r="Y776" s="80">
        <f t="shared" ca="1" si="426"/>
        <v>0</v>
      </c>
      <c r="Z776" s="80">
        <f t="shared" ca="1" si="409"/>
        <v>0</v>
      </c>
      <c r="AA776" s="80">
        <f t="shared" ca="1" si="427"/>
        <v>0</v>
      </c>
      <c r="AB776" s="81">
        <f t="shared" ca="1" si="410"/>
        <v>0</v>
      </c>
      <c r="AC776" s="79">
        <f t="shared" ca="1" si="411"/>
        <v>0</v>
      </c>
      <c r="AE776" s="35"/>
      <c r="AF776" s="35"/>
      <c r="AR776" s="69">
        <f t="shared" si="428"/>
        <v>65</v>
      </c>
      <c r="AS776" s="70">
        <f t="shared" si="431"/>
        <v>773</v>
      </c>
      <c r="AT776" s="71">
        <f t="shared" si="432"/>
        <v>5.0363105523376726E-3</v>
      </c>
      <c r="AU776" s="72">
        <f t="shared" si="412"/>
        <v>6.8214933659622723E-3</v>
      </c>
      <c r="AV776" s="73">
        <f t="shared" si="429"/>
        <v>1.0068214933659623</v>
      </c>
      <c r="AW776" s="74">
        <f>PRODUCT(AV$4:AV776)</f>
        <v>191.54271311981458</v>
      </c>
    </row>
    <row r="777" spans="5:49">
      <c r="E777">
        <f t="shared" si="430"/>
        <v>774</v>
      </c>
      <c r="F777" s="64">
        <f t="shared" si="413"/>
        <v>123.84</v>
      </c>
      <c r="G777" s="55">
        <f t="shared" si="414"/>
        <v>0</v>
      </c>
      <c r="H777" s="78">
        <f t="shared" si="433"/>
        <v>2.4366954920664725E-5</v>
      </c>
      <c r="I777" s="79">
        <f t="shared" ca="1" si="415"/>
        <v>0</v>
      </c>
      <c r="J777" s="79">
        <f t="shared" ca="1" si="416"/>
        <v>0</v>
      </c>
      <c r="K777" s="80">
        <f t="shared" ca="1" si="417"/>
        <v>0</v>
      </c>
      <c r="L777" s="80">
        <f t="shared" ca="1" si="418"/>
        <v>0</v>
      </c>
      <c r="M777" s="80">
        <f t="shared" ca="1" si="419"/>
        <v>0</v>
      </c>
      <c r="N777" s="80">
        <f t="shared" ca="1" si="420"/>
        <v>0</v>
      </c>
      <c r="O777" s="81">
        <f t="shared" ca="1" si="405"/>
        <v>0</v>
      </c>
      <c r="P777" s="79">
        <f t="shared" ca="1" si="406"/>
        <v>0</v>
      </c>
      <c r="R777">
        <f t="shared" ca="1" si="421"/>
        <v>774</v>
      </c>
      <c r="S777" s="78">
        <f t="shared" ca="1" si="422"/>
        <v>123.84</v>
      </c>
      <c r="T777" s="55">
        <f t="shared" ca="1" si="423"/>
        <v>0</v>
      </c>
      <c r="U777" s="78">
        <f t="shared" ca="1" si="424"/>
        <v>2.4366954920664725E-5</v>
      </c>
      <c r="V777" s="79">
        <f t="shared" ca="1" si="425"/>
        <v>0</v>
      </c>
      <c r="W777" s="79">
        <f t="shared" ca="1" si="407"/>
        <v>0</v>
      </c>
      <c r="X777" s="80">
        <f t="shared" ca="1" si="408"/>
        <v>0</v>
      </c>
      <c r="Y777" s="80">
        <f t="shared" ca="1" si="426"/>
        <v>0</v>
      </c>
      <c r="Z777" s="80">
        <f t="shared" ca="1" si="409"/>
        <v>0</v>
      </c>
      <c r="AA777" s="80">
        <f t="shared" ca="1" si="427"/>
        <v>0</v>
      </c>
      <c r="AB777" s="81">
        <f t="shared" ca="1" si="410"/>
        <v>0</v>
      </c>
      <c r="AC777" s="79">
        <f t="shared" ca="1" si="411"/>
        <v>0</v>
      </c>
      <c r="AE777" s="35"/>
      <c r="AF777" s="35"/>
      <c r="AR777" s="69">
        <f t="shared" si="428"/>
        <v>65</v>
      </c>
      <c r="AS777" s="70">
        <f t="shared" si="431"/>
        <v>774</v>
      </c>
      <c r="AT777" s="71">
        <f t="shared" si="432"/>
        <v>5.001955393315975E-3</v>
      </c>
      <c r="AU777" s="72">
        <f t="shared" si="412"/>
        <v>6.8214933659622723E-3</v>
      </c>
      <c r="AV777" s="73">
        <f t="shared" si="429"/>
        <v>1.0068214933659623</v>
      </c>
      <c r="AW777" s="74">
        <f>PRODUCT(AV$4:AV777)</f>
        <v>192.8493204666598</v>
      </c>
    </row>
    <row r="778" spans="5:49">
      <c r="E778">
        <f t="shared" si="430"/>
        <v>775</v>
      </c>
      <c r="F778" s="64">
        <f t="shared" si="413"/>
        <v>123.92</v>
      </c>
      <c r="G778" s="55">
        <f t="shared" si="414"/>
        <v>0</v>
      </c>
      <c r="H778" s="78">
        <f t="shared" si="433"/>
        <v>2.4366954920664725E-5</v>
      </c>
      <c r="I778" s="79">
        <f t="shared" ca="1" si="415"/>
        <v>0</v>
      </c>
      <c r="J778" s="79">
        <f t="shared" ca="1" si="416"/>
        <v>0</v>
      </c>
      <c r="K778" s="80">
        <f t="shared" ca="1" si="417"/>
        <v>0</v>
      </c>
      <c r="L778" s="80">
        <f t="shared" ca="1" si="418"/>
        <v>0</v>
      </c>
      <c r="M778" s="80">
        <f t="shared" ca="1" si="419"/>
        <v>0</v>
      </c>
      <c r="N778" s="80">
        <f t="shared" ca="1" si="420"/>
        <v>0</v>
      </c>
      <c r="O778" s="81">
        <f t="shared" ca="1" si="405"/>
        <v>0</v>
      </c>
      <c r="P778" s="79">
        <f t="shared" ca="1" si="406"/>
        <v>0</v>
      </c>
      <c r="R778">
        <f t="shared" ca="1" si="421"/>
        <v>775</v>
      </c>
      <c r="S778" s="78">
        <f t="shared" ca="1" si="422"/>
        <v>123.92</v>
      </c>
      <c r="T778" s="55">
        <f t="shared" ca="1" si="423"/>
        <v>0</v>
      </c>
      <c r="U778" s="78">
        <f t="shared" ca="1" si="424"/>
        <v>2.4366954920664725E-5</v>
      </c>
      <c r="V778" s="79">
        <f t="shared" ca="1" si="425"/>
        <v>0</v>
      </c>
      <c r="W778" s="79">
        <f t="shared" ca="1" si="407"/>
        <v>0</v>
      </c>
      <c r="X778" s="80">
        <f t="shared" ca="1" si="408"/>
        <v>0</v>
      </c>
      <c r="Y778" s="80">
        <f t="shared" ca="1" si="426"/>
        <v>0</v>
      </c>
      <c r="Z778" s="80">
        <f t="shared" ca="1" si="409"/>
        <v>0</v>
      </c>
      <c r="AA778" s="80">
        <f t="shared" ca="1" si="427"/>
        <v>0</v>
      </c>
      <c r="AB778" s="81">
        <f t="shared" ca="1" si="410"/>
        <v>0</v>
      </c>
      <c r="AC778" s="79">
        <f t="shared" ca="1" si="411"/>
        <v>0</v>
      </c>
      <c r="AE778" s="35"/>
      <c r="AF778" s="35"/>
      <c r="AR778" s="69">
        <f t="shared" si="428"/>
        <v>65</v>
      </c>
      <c r="AS778" s="70">
        <f t="shared" si="431"/>
        <v>775</v>
      </c>
      <c r="AT778" s="71">
        <f t="shared" si="432"/>
        <v>4.9678345877836308E-3</v>
      </c>
      <c r="AU778" s="72">
        <f t="shared" si="412"/>
        <v>6.8214933659622723E-3</v>
      </c>
      <c r="AV778" s="73">
        <f t="shared" si="429"/>
        <v>1.0068214933659623</v>
      </c>
      <c r="AW778" s="74">
        <f>PRODUCT(AV$4:AV778)</f>
        <v>194.16484082685346</v>
      </c>
    </row>
    <row r="779" spans="5:49">
      <c r="E779">
        <f t="shared" si="430"/>
        <v>776</v>
      </c>
      <c r="F779" s="64">
        <f t="shared" si="413"/>
        <v>124</v>
      </c>
      <c r="G779" s="55">
        <f t="shared" si="414"/>
        <v>0</v>
      </c>
      <c r="H779" s="78">
        <f t="shared" si="433"/>
        <v>2.4366954920664725E-5</v>
      </c>
      <c r="I779" s="79">
        <f t="shared" ca="1" si="415"/>
        <v>0</v>
      </c>
      <c r="J779" s="79">
        <f t="shared" ca="1" si="416"/>
        <v>0</v>
      </c>
      <c r="K779" s="80">
        <f t="shared" ca="1" si="417"/>
        <v>0</v>
      </c>
      <c r="L779" s="80">
        <f t="shared" ca="1" si="418"/>
        <v>0</v>
      </c>
      <c r="M779" s="80">
        <f t="shared" ca="1" si="419"/>
        <v>0</v>
      </c>
      <c r="N779" s="80">
        <f t="shared" ca="1" si="420"/>
        <v>0</v>
      </c>
      <c r="O779" s="81">
        <f t="shared" ca="1" si="405"/>
        <v>0</v>
      </c>
      <c r="P779" s="79">
        <f t="shared" ca="1" si="406"/>
        <v>0</v>
      </c>
      <c r="R779">
        <f t="shared" ca="1" si="421"/>
        <v>776</v>
      </c>
      <c r="S779" s="78">
        <f t="shared" ca="1" si="422"/>
        <v>124</v>
      </c>
      <c r="T779" s="55">
        <f t="shared" ca="1" si="423"/>
        <v>0</v>
      </c>
      <c r="U779" s="78">
        <f t="shared" ca="1" si="424"/>
        <v>2.4366954920664725E-5</v>
      </c>
      <c r="V779" s="79">
        <f t="shared" ca="1" si="425"/>
        <v>0</v>
      </c>
      <c r="W779" s="79">
        <f t="shared" ca="1" si="407"/>
        <v>0</v>
      </c>
      <c r="X779" s="80">
        <f t="shared" ca="1" si="408"/>
        <v>0</v>
      </c>
      <c r="Y779" s="80">
        <f t="shared" ca="1" si="426"/>
        <v>0</v>
      </c>
      <c r="Z779" s="80">
        <f t="shared" ca="1" si="409"/>
        <v>0</v>
      </c>
      <c r="AA779" s="80">
        <f t="shared" ca="1" si="427"/>
        <v>0</v>
      </c>
      <c r="AB779" s="81">
        <f t="shared" ca="1" si="410"/>
        <v>0</v>
      </c>
      <c r="AC779" s="79">
        <f t="shared" ca="1" si="411"/>
        <v>0</v>
      </c>
      <c r="AE779" s="35"/>
      <c r="AF779" s="35"/>
      <c r="AR779" s="69">
        <f t="shared" si="428"/>
        <v>65</v>
      </c>
      <c r="AS779" s="70">
        <f t="shared" si="431"/>
        <v>776</v>
      </c>
      <c r="AT779" s="71">
        <f t="shared" si="432"/>
        <v>4.933946537099867E-3</v>
      </c>
      <c r="AU779" s="72">
        <f t="shared" si="412"/>
        <v>6.8214933659622723E-3</v>
      </c>
      <c r="AV779" s="73">
        <f t="shared" si="429"/>
        <v>1.0068214933659623</v>
      </c>
      <c r="AW779" s="74">
        <f>PRODUCT(AV$4:AV779)</f>
        <v>195.48933500045698</v>
      </c>
    </row>
    <row r="780" spans="5:49">
      <c r="E780">
        <f t="shared" si="430"/>
        <v>777</v>
      </c>
      <c r="F780" s="64">
        <f t="shared" si="413"/>
        <v>124.08</v>
      </c>
      <c r="G780" s="55">
        <f t="shared" si="414"/>
        <v>0</v>
      </c>
      <c r="H780" s="78">
        <f t="shared" si="433"/>
        <v>2.4366954920664725E-5</v>
      </c>
      <c r="I780" s="79">
        <f t="shared" ca="1" si="415"/>
        <v>0</v>
      </c>
      <c r="J780" s="79">
        <f t="shared" ca="1" si="416"/>
        <v>0</v>
      </c>
      <c r="K780" s="80">
        <f t="shared" ca="1" si="417"/>
        <v>0</v>
      </c>
      <c r="L780" s="80">
        <f t="shared" ca="1" si="418"/>
        <v>0</v>
      </c>
      <c r="M780" s="80">
        <f t="shared" ca="1" si="419"/>
        <v>0</v>
      </c>
      <c r="N780" s="80">
        <f t="shared" ca="1" si="420"/>
        <v>0</v>
      </c>
      <c r="O780" s="81">
        <f t="shared" ca="1" si="405"/>
        <v>0</v>
      </c>
      <c r="P780" s="79">
        <f t="shared" ca="1" si="406"/>
        <v>0</v>
      </c>
      <c r="R780">
        <f t="shared" ca="1" si="421"/>
        <v>777</v>
      </c>
      <c r="S780" s="78">
        <f t="shared" ca="1" si="422"/>
        <v>124.08</v>
      </c>
      <c r="T780" s="55">
        <f t="shared" ca="1" si="423"/>
        <v>0</v>
      </c>
      <c r="U780" s="78">
        <f t="shared" ca="1" si="424"/>
        <v>2.4366954920664725E-5</v>
      </c>
      <c r="V780" s="79">
        <f t="shared" ca="1" si="425"/>
        <v>0</v>
      </c>
      <c r="W780" s="79">
        <f t="shared" ca="1" si="407"/>
        <v>0</v>
      </c>
      <c r="X780" s="80">
        <f t="shared" ca="1" si="408"/>
        <v>0</v>
      </c>
      <c r="Y780" s="80">
        <f t="shared" ca="1" si="426"/>
        <v>0</v>
      </c>
      <c r="Z780" s="80">
        <f t="shared" ca="1" si="409"/>
        <v>0</v>
      </c>
      <c r="AA780" s="80">
        <f t="shared" ca="1" si="427"/>
        <v>0</v>
      </c>
      <c r="AB780" s="81">
        <f t="shared" ca="1" si="410"/>
        <v>0</v>
      </c>
      <c r="AC780" s="79">
        <f t="shared" ca="1" si="411"/>
        <v>0</v>
      </c>
      <c r="AE780" s="35"/>
      <c r="AF780" s="35"/>
      <c r="AR780" s="69">
        <f t="shared" si="428"/>
        <v>65</v>
      </c>
      <c r="AS780" s="70">
        <f t="shared" si="431"/>
        <v>777</v>
      </c>
      <c r="AT780" s="71">
        <f t="shared" si="432"/>
        <v>4.9002896535290281E-3</v>
      </c>
      <c r="AU780" s="72">
        <f t="shared" si="412"/>
        <v>6.8214933659622723E-3</v>
      </c>
      <c r="AV780" s="73">
        <f t="shared" si="429"/>
        <v>1.0068214933659623</v>
      </c>
      <c r="AW780" s="74">
        <f>PRODUCT(AV$4:AV780)</f>
        <v>196.82286420227896</v>
      </c>
    </row>
    <row r="781" spans="5:49">
      <c r="E781">
        <f t="shared" si="430"/>
        <v>778</v>
      </c>
      <c r="F781" s="64">
        <f t="shared" si="413"/>
        <v>124.16</v>
      </c>
      <c r="G781" s="55">
        <f t="shared" si="414"/>
        <v>0</v>
      </c>
      <c r="H781" s="78">
        <f t="shared" si="433"/>
        <v>2.4366954920664725E-5</v>
      </c>
      <c r="I781" s="79">
        <f t="shared" ca="1" si="415"/>
        <v>0</v>
      </c>
      <c r="J781" s="79">
        <f t="shared" ca="1" si="416"/>
        <v>0</v>
      </c>
      <c r="K781" s="80">
        <f t="shared" ca="1" si="417"/>
        <v>0</v>
      </c>
      <c r="L781" s="80">
        <f t="shared" ca="1" si="418"/>
        <v>0</v>
      </c>
      <c r="M781" s="80">
        <f t="shared" ca="1" si="419"/>
        <v>0</v>
      </c>
      <c r="N781" s="80">
        <f t="shared" ca="1" si="420"/>
        <v>0</v>
      </c>
      <c r="O781" s="81">
        <f t="shared" ca="1" si="405"/>
        <v>0</v>
      </c>
      <c r="P781" s="79">
        <f t="shared" ca="1" si="406"/>
        <v>0</v>
      </c>
      <c r="R781">
        <f t="shared" ca="1" si="421"/>
        <v>778</v>
      </c>
      <c r="S781" s="78">
        <f t="shared" ca="1" si="422"/>
        <v>124.16</v>
      </c>
      <c r="T781" s="55">
        <f t="shared" ca="1" si="423"/>
        <v>0</v>
      </c>
      <c r="U781" s="78">
        <f t="shared" ca="1" si="424"/>
        <v>2.4366954920664725E-5</v>
      </c>
      <c r="V781" s="79">
        <f t="shared" ca="1" si="425"/>
        <v>0</v>
      </c>
      <c r="W781" s="79">
        <f t="shared" ca="1" si="407"/>
        <v>0</v>
      </c>
      <c r="X781" s="80">
        <f t="shared" ca="1" si="408"/>
        <v>0</v>
      </c>
      <c r="Y781" s="80">
        <f t="shared" ca="1" si="426"/>
        <v>0</v>
      </c>
      <c r="Z781" s="80">
        <f t="shared" ca="1" si="409"/>
        <v>0</v>
      </c>
      <c r="AA781" s="80">
        <f t="shared" ca="1" si="427"/>
        <v>0</v>
      </c>
      <c r="AB781" s="81">
        <f t="shared" ca="1" si="410"/>
        <v>0</v>
      </c>
      <c r="AC781" s="79">
        <f t="shared" ca="1" si="411"/>
        <v>0</v>
      </c>
      <c r="AE781" s="35"/>
      <c r="AF781" s="35"/>
      <c r="AR781" s="69">
        <f t="shared" si="428"/>
        <v>65</v>
      </c>
      <c r="AS781" s="70">
        <f t="shared" si="431"/>
        <v>778</v>
      </c>
      <c r="AT781" s="71">
        <f t="shared" si="432"/>
        <v>4.8668623601661864E-3</v>
      </c>
      <c r="AU781" s="72">
        <f t="shared" si="412"/>
        <v>6.8214933659622723E-3</v>
      </c>
      <c r="AV781" s="73">
        <f t="shared" si="429"/>
        <v>1.0068214933659623</v>
      </c>
      <c r="AW781" s="74">
        <f>PRODUCT(AV$4:AV781)</f>
        <v>198.1654900647045</v>
      </c>
    </row>
    <row r="782" spans="5:49">
      <c r="E782">
        <f t="shared" si="430"/>
        <v>779</v>
      </c>
      <c r="F782" s="64">
        <f t="shared" si="413"/>
        <v>124.24</v>
      </c>
      <c r="G782" s="55">
        <f t="shared" si="414"/>
        <v>0</v>
      </c>
      <c r="H782" s="78">
        <f t="shared" si="433"/>
        <v>2.4366954920664725E-5</v>
      </c>
      <c r="I782" s="79">
        <f t="shared" ca="1" si="415"/>
        <v>0</v>
      </c>
      <c r="J782" s="79">
        <f t="shared" ca="1" si="416"/>
        <v>0</v>
      </c>
      <c r="K782" s="80">
        <f t="shared" ca="1" si="417"/>
        <v>0</v>
      </c>
      <c r="L782" s="80">
        <f t="shared" ca="1" si="418"/>
        <v>0</v>
      </c>
      <c r="M782" s="80">
        <f t="shared" ca="1" si="419"/>
        <v>0</v>
      </c>
      <c r="N782" s="80">
        <f t="shared" ca="1" si="420"/>
        <v>0</v>
      </c>
      <c r="O782" s="81">
        <f t="shared" ca="1" si="405"/>
        <v>0</v>
      </c>
      <c r="P782" s="79">
        <f t="shared" ca="1" si="406"/>
        <v>0</v>
      </c>
      <c r="R782">
        <f t="shared" ca="1" si="421"/>
        <v>779</v>
      </c>
      <c r="S782" s="78">
        <f t="shared" ca="1" si="422"/>
        <v>124.24</v>
      </c>
      <c r="T782" s="55">
        <f t="shared" ca="1" si="423"/>
        <v>0</v>
      </c>
      <c r="U782" s="78">
        <f t="shared" ca="1" si="424"/>
        <v>2.4366954920664725E-5</v>
      </c>
      <c r="V782" s="79">
        <f t="shared" ca="1" si="425"/>
        <v>0</v>
      </c>
      <c r="W782" s="79">
        <f t="shared" ca="1" si="407"/>
        <v>0</v>
      </c>
      <c r="X782" s="80">
        <f t="shared" ca="1" si="408"/>
        <v>0</v>
      </c>
      <c r="Y782" s="80">
        <f t="shared" ca="1" si="426"/>
        <v>0</v>
      </c>
      <c r="Z782" s="80">
        <f t="shared" ca="1" si="409"/>
        <v>0</v>
      </c>
      <c r="AA782" s="80">
        <f t="shared" ca="1" si="427"/>
        <v>0</v>
      </c>
      <c r="AB782" s="81">
        <f t="shared" ca="1" si="410"/>
        <v>0</v>
      </c>
      <c r="AC782" s="79">
        <f t="shared" ca="1" si="411"/>
        <v>0</v>
      </c>
      <c r="AE782" s="35"/>
      <c r="AF782" s="35"/>
      <c r="AR782" s="69">
        <f t="shared" si="428"/>
        <v>65</v>
      </c>
      <c r="AS782" s="70">
        <f t="shared" si="431"/>
        <v>779</v>
      </c>
      <c r="AT782" s="71">
        <f t="shared" si="432"/>
        <v>4.8336630908632616E-3</v>
      </c>
      <c r="AU782" s="72">
        <f t="shared" si="412"/>
        <v>6.8214933659622723E-3</v>
      </c>
      <c r="AV782" s="73">
        <f t="shared" si="429"/>
        <v>1.0068214933659623</v>
      </c>
      <c r="AW782" s="74">
        <f>PRODUCT(AV$4:AV782)</f>
        <v>199.51727464054355</v>
      </c>
    </row>
    <row r="783" spans="5:49">
      <c r="E783">
        <f t="shared" si="430"/>
        <v>780</v>
      </c>
      <c r="F783" s="64">
        <f t="shared" si="413"/>
        <v>124.32</v>
      </c>
      <c r="G783" s="55">
        <f t="shared" si="414"/>
        <v>0</v>
      </c>
      <c r="H783" s="78">
        <f t="shared" si="433"/>
        <v>2.4366954920664725E-5</v>
      </c>
      <c r="I783" s="79">
        <f t="shared" ca="1" si="415"/>
        <v>0</v>
      </c>
      <c r="J783" s="79">
        <f t="shared" ca="1" si="416"/>
        <v>0</v>
      </c>
      <c r="K783" s="80">
        <f t="shared" ca="1" si="417"/>
        <v>0</v>
      </c>
      <c r="L783" s="80">
        <f t="shared" ca="1" si="418"/>
        <v>0</v>
      </c>
      <c r="M783" s="80">
        <f t="shared" ca="1" si="419"/>
        <v>0</v>
      </c>
      <c r="N783" s="80">
        <f t="shared" ca="1" si="420"/>
        <v>0</v>
      </c>
      <c r="O783" s="81">
        <f t="shared" ca="1" si="405"/>
        <v>0</v>
      </c>
      <c r="P783" s="79">
        <f t="shared" ca="1" si="406"/>
        <v>0</v>
      </c>
      <c r="R783">
        <f t="shared" ca="1" si="421"/>
        <v>780</v>
      </c>
      <c r="S783" s="78">
        <f t="shared" ca="1" si="422"/>
        <v>124.32</v>
      </c>
      <c r="T783" s="55">
        <f t="shared" ca="1" si="423"/>
        <v>0</v>
      </c>
      <c r="U783" s="78">
        <f t="shared" ca="1" si="424"/>
        <v>2.4366954920664725E-5</v>
      </c>
      <c r="V783" s="79">
        <f t="shared" ca="1" si="425"/>
        <v>0</v>
      </c>
      <c r="W783" s="79">
        <f t="shared" ca="1" si="407"/>
        <v>0</v>
      </c>
      <c r="X783" s="80">
        <f t="shared" ca="1" si="408"/>
        <v>0</v>
      </c>
      <c r="Y783" s="80">
        <f t="shared" ca="1" si="426"/>
        <v>0</v>
      </c>
      <c r="Z783" s="80">
        <f t="shared" ca="1" si="409"/>
        <v>0</v>
      </c>
      <c r="AA783" s="80">
        <f t="shared" ca="1" si="427"/>
        <v>0</v>
      </c>
      <c r="AB783" s="81">
        <f t="shared" ca="1" si="410"/>
        <v>0</v>
      </c>
      <c r="AC783" s="79">
        <f t="shared" ca="1" si="411"/>
        <v>0</v>
      </c>
      <c r="AE783" s="35"/>
      <c r="AF783" s="35"/>
      <c r="AR783" s="69">
        <f t="shared" si="428"/>
        <v>65</v>
      </c>
      <c r="AS783" s="70">
        <f t="shared" si="431"/>
        <v>780</v>
      </c>
      <c r="AT783" s="71">
        <f t="shared" si="432"/>
        <v>4.8006902901556415E-3</v>
      </c>
      <c r="AU783" s="72">
        <f t="shared" si="412"/>
        <v>6.8214933659622723E-3</v>
      </c>
      <c r="AV783" s="73">
        <f t="shared" si="429"/>
        <v>1.0068214933659623</v>
      </c>
      <c r="AW783" s="74">
        <f>PRODUCT(AV$4:AV783)</f>
        <v>200.87828040589889</v>
      </c>
    </row>
    <row r="784" spans="5:49">
      <c r="E784">
        <f t="shared" si="430"/>
        <v>781</v>
      </c>
      <c r="F784" s="64">
        <f t="shared" si="413"/>
        <v>124.4</v>
      </c>
      <c r="G784" s="55">
        <f t="shared" si="414"/>
        <v>0</v>
      </c>
      <c r="H784" s="78">
        <f t="shared" si="433"/>
        <v>2.4366954920664725E-5</v>
      </c>
      <c r="I784" s="79">
        <f t="shared" ca="1" si="415"/>
        <v>0</v>
      </c>
      <c r="J784" s="79">
        <f t="shared" ca="1" si="416"/>
        <v>0</v>
      </c>
      <c r="K784" s="80">
        <f t="shared" ca="1" si="417"/>
        <v>0</v>
      </c>
      <c r="L784" s="80">
        <f t="shared" ca="1" si="418"/>
        <v>0</v>
      </c>
      <c r="M784" s="80">
        <f t="shared" ca="1" si="419"/>
        <v>0</v>
      </c>
      <c r="N784" s="80">
        <f t="shared" ca="1" si="420"/>
        <v>0</v>
      </c>
      <c r="O784" s="81">
        <f t="shared" ca="1" si="405"/>
        <v>0</v>
      </c>
      <c r="P784" s="79">
        <f t="shared" ca="1" si="406"/>
        <v>0</v>
      </c>
      <c r="R784">
        <f t="shared" ca="1" si="421"/>
        <v>781</v>
      </c>
      <c r="S784" s="78">
        <f t="shared" ca="1" si="422"/>
        <v>124.4</v>
      </c>
      <c r="T784" s="55">
        <f t="shared" ca="1" si="423"/>
        <v>0</v>
      </c>
      <c r="U784" s="78">
        <f t="shared" ca="1" si="424"/>
        <v>2.4366954920664725E-5</v>
      </c>
      <c r="V784" s="79">
        <f t="shared" ca="1" si="425"/>
        <v>0</v>
      </c>
      <c r="W784" s="79">
        <f t="shared" ca="1" si="407"/>
        <v>0</v>
      </c>
      <c r="X784" s="80">
        <f t="shared" ca="1" si="408"/>
        <v>0</v>
      </c>
      <c r="Y784" s="80">
        <f t="shared" ca="1" si="426"/>
        <v>0</v>
      </c>
      <c r="Z784" s="80">
        <f t="shared" ca="1" si="409"/>
        <v>0</v>
      </c>
      <c r="AA784" s="80">
        <f t="shared" ca="1" si="427"/>
        <v>0</v>
      </c>
      <c r="AB784" s="81">
        <f t="shared" ca="1" si="410"/>
        <v>0</v>
      </c>
      <c r="AC784" s="79">
        <f t="shared" ca="1" si="411"/>
        <v>0</v>
      </c>
      <c r="AE784" s="35"/>
      <c r="AF784" s="35"/>
      <c r="AR784" s="69">
        <f t="shared" si="428"/>
        <v>66</v>
      </c>
      <c r="AS784" s="70">
        <f t="shared" si="431"/>
        <v>781</v>
      </c>
      <c r="AT784" s="71">
        <f t="shared" si="432"/>
        <v>4.7679424131893055E-3</v>
      </c>
      <c r="AU784" s="72">
        <f t="shared" si="412"/>
        <v>6.8214933659622723E-3</v>
      </c>
      <c r="AV784" s="73">
        <f t="shared" si="429"/>
        <v>1.0068214933659623</v>
      </c>
      <c r="AW784" s="74">
        <f>PRODUCT(AV$4:AV784)</f>
        <v>202.24857026305364</v>
      </c>
    </row>
    <row r="785" spans="44:49">
      <c r="AR785" s="69">
        <f t="shared" si="428"/>
        <v>66</v>
      </c>
      <c r="AS785" s="70">
        <f t="shared" si="431"/>
        <v>782</v>
      </c>
      <c r="AT785" s="71">
        <f t="shared" si="432"/>
        <v>4.7354179256484446E-3</v>
      </c>
      <c r="AU785" s="72">
        <f t="shared" si="412"/>
        <v>6.8214933659622723E-3</v>
      </c>
      <c r="AV785" s="73">
        <f t="shared" si="429"/>
        <v>1.0068214933659623</v>
      </c>
      <c r="AW785" s="74">
        <f>PRODUCT(AV$4:AV785)</f>
        <v>203.62820754337841</v>
      </c>
    </row>
    <row r="786" spans="44:49">
      <c r="AR786" s="69">
        <f t="shared" si="428"/>
        <v>66</v>
      </c>
      <c r="AS786" s="70">
        <f t="shared" si="431"/>
        <v>783</v>
      </c>
      <c r="AT786" s="71">
        <f t="shared" si="432"/>
        <v>4.7031153036835747E-3</v>
      </c>
      <c r="AU786" s="72">
        <f t="shared" si="412"/>
        <v>6.8214933659622723E-3</v>
      </c>
      <c r="AV786" s="73">
        <f t="shared" si="429"/>
        <v>1.0068214933659623</v>
      </c>
      <c r="AW786" s="74">
        <f>PRODUCT(AV$4:AV786)</f>
        <v>205.01725601025836</v>
      </c>
    </row>
    <row r="787" spans="44:49">
      <c r="AR787" s="69">
        <f t="shared" si="428"/>
        <v>66</v>
      </c>
      <c r="AS787" s="70">
        <f t="shared" si="431"/>
        <v>784</v>
      </c>
      <c r="AT787" s="71">
        <f t="shared" si="432"/>
        <v>4.6710330338401414E-3</v>
      </c>
      <c r="AU787" s="72">
        <f t="shared" si="412"/>
        <v>6.8214933659622723E-3</v>
      </c>
      <c r="AV787" s="73">
        <f t="shared" si="429"/>
        <v>1.0068214933659623</v>
      </c>
      <c r="AW787" s="74">
        <f>PRODUCT(AV$4:AV787)</f>
        <v>206.41577986204013</v>
      </c>
    </row>
    <row r="788" spans="44:49">
      <c r="AR788" s="69">
        <f t="shared" si="428"/>
        <v>66</v>
      </c>
      <c r="AS788" s="70">
        <f t="shared" si="431"/>
        <v>785</v>
      </c>
      <c r="AT788" s="71">
        <f t="shared" si="432"/>
        <v>4.6391696129876106E-3</v>
      </c>
      <c r="AU788" s="72">
        <f t="shared" si="412"/>
        <v>6.8214933659622723E-3</v>
      </c>
      <c r="AV788" s="73">
        <f t="shared" si="429"/>
        <v>1.0068214933659623</v>
      </c>
      <c r="AW788" s="74">
        <f>PRODUCT(AV$4:AV788)</f>
        <v>207.82384373499897</v>
      </c>
    </row>
    <row r="789" spans="44:49">
      <c r="AR789" s="69">
        <f t="shared" si="428"/>
        <v>66</v>
      </c>
      <c r="AS789" s="70">
        <f t="shared" si="431"/>
        <v>786</v>
      </c>
      <c r="AT789" s="71">
        <f t="shared" si="432"/>
        <v>4.6075235482490422E-3</v>
      </c>
      <c r="AU789" s="72">
        <f t="shared" si="412"/>
        <v>6.8214933659622723E-3</v>
      </c>
      <c r="AV789" s="73">
        <f t="shared" si="429"/>
        <v>1.0068214933659623</v>
      </c>
      <c r="AW789" s="74">
        <f>PRODUCT(AV$4:AV789)</f>
        <v>209.24151270632606</v>
      </c>
    </row>
    <row r="790" spans="44:49">
      <c r="AR790" s="69">
        <f t="shared" si="428"/>
        <v>66</v>
      </c>
      <c r="AS790" s="70">
        <f t="shared" si="431"/>
        <v>787</v>
      </c>
      <c r="AT790" s="71">
        <f t="shared" si="432"/>
        <v>4.5760933569311468E-3</v>
      </c>
      <c r="AU790" s="72">
        <f t="shared" si="412"/>
        <v>6.8214933659622723E-3</v>
      </c>
      <c r="AV790" s="73">
        <f t="shared" si="429"/>
        <v>1.0068214933659623</v>
      </c>
      <c r="AW790" s="74">
        <f>PRODUCT(AV$4:AV790)</f>
        <v>210.66885229713617</v>
      </c>
    </row>
    <row r="791" spans="44:49">
      <c r="AR791" s="69">
        <f t="shared" si="428"/>
        <v>66</v>
      </c>
      <c r="AS791" s="70">
        <f t="shared" si="431"/>
        <v>788</v>
      </c>
      <c r="AT791" s="71">
        <f t="shared" si="432"/>
        <v>4.5448775664548172E-3</v>
      </c>
      <c r="AU791" s="72">
        <f t="shared" si="412"/>
        <v>6.8214933659622723E-3</v>
      </c>
      <c r="AV791" s="73">
        <f t="shared" si="429"/>
        <v>1.0068214933659623</v>
      </c>
      <c r="AW791" s="74">
        <f>PRODUCT(AV$4:AV791)</f>
        <v>212.10592847549597</v>
      </c>
    </row>
    <row r="792" spans="44:49">
      <c r="AR792" s="69">
        <f t="shared" si="428"/>
        <v>66</v>
      </c>
      <c r="AS792" s="70">
        <f t="shared" si="431"/>
        <v>789</v>
      </c>
      <c r="AT792" s="71">
        <f t="shared" si="432"/>
        <v>4.5138747142861348E-3</v>
      </c>
      <c r="AU792" s="72">
        <f t="shared" si="412"/>
        <v>6.8214933659622723E-3</v>
      </c>
      <c r="AV792" s="73">
        <f t="shared" si="429"/>
        <v>1.0068214933659623</v>
      </c>
      <c r="AW792" s="74">
        <f>PRODUCT(AV$4:AV792)</f>
        <v>213.55280765947285</v>
      </c>
    </row>
    <row r="793" spans="44:49">
      <c r="AR793" s="69">
        <f t="shared" si="428"/>
        <v>66</v>
      </c>
      <c r="AS793" s="70">
        <f t="shared" si="431"/>
        <v>790</v>
      </c>
      <c r="AT793" s="71">
        <f t="shared" si="432"/>
        <v>4.4830833478678471E-3</v>
      </c>
      <c r="AU793" s="72">
        <f t="shared" si="412"/>
        <v>6.8214933659622723E-3</v>
      </c>
      <c r="AV793" s="73">
        <f t="shared" si="429"/>
        <v>1.0068214933659623</v>
      </c>
      <c r="AW793" s="74">
        <f>PRODUCT(AV$4:AV793)</f>
        <v>215.00955672020456</v>
      </c>
    </row>
    <row r="794" spans="44:49">
      <c r="AR794" s="69">
        <f t="shared" si="428"/>
        <v>66</v>
      </c>
      <c r="AS794" s="70">
        <f t="shared" si="431"/>
        <v>791</v>
      </c>
      <c r="AT794" s="71">
        <f t="shared" si="432"/>
        <v>4.4525020245513103E-3</v>
      </c>
      <c r="AU794" s="72">
        <f t="shared" si="412"/>
        <v>6.8214933659622723E-3</v>
      </c>
      <c r="AV794" s="73">
        <f t="shared" si="429"/>
        <v>1.0068214933659623</v>
      </c>
      <c r="AW794" s="74">
        <f>PRODUCT(AV$4:AV794)</f>
        <v>216.47624298498991</v>
      </c>
    </row>
    <row r="795" spans="44:49">
      <c r="AR795" s="69">
        <f t="shared" si="428"/>
        <v>66</v>
      </c>
      <c r="AS795" s="70">
        <f t="shared" si="431"/>
        <v>792</v>
      </c>
      <c r="AT795" s="71">
        <f t="shared" si="432"/>
        <v>4.4221293115289002E-3</v>
      </c>
      <c r="AU795" s="72">
        <f t="shared" si="412"/>
        <v>6.8214933659622723E-3</v>
      </c>
      <c r="AV795" s="73">
        <f t="shared" si="429"/>
        <v>1.0068214933659623</v>
      </c>
      <c r="AW795" s="74">
        <f>PRODUCT(AV$4:AV795)</f>
        <v>217.95293424040045</v>
      </c>
    </row>
    <row r="796" spans="44:49">
      <c r="AR796" s="69">
        <f t="shared" si="428"/>
        <v>67</v>
      </c>
      <c r="AS796" s="70">
        <f t="shared" si="431"/>
        <v>793</v>
      </c>
      <c r="AT796" s="71">
        <f t="shared" si="432"/>
        <v>4.3919637857668782E-3</v>
      </c>
      <c r="AU796" s="72">
        <f t="shared" si="412"/>
        <v>6.8214933659622723E-3</v>
      </c>
      <c r="AV796" s="73">
        <f t="shared" si="429"/>
        <v>1.0068214933659623</v>
      </c>
      <c r="AW796" s="74">
        <f>PRODUCT(AV$4:AV796)</f>
        <v>219.43969873541334</v>
      </c>
    </row>
    <row r="797" spans="44:49">
      <c r="AR797" s="69">
        <f t="shared" si="428"/>
        <v>67</v>
      </c>
      <c r="AS797" s="70">
        <f t="shared" si="431"/>
        <v>794</v>
      </c>
      <c r="AT797" s="71">
        <f t="shared" si="432"/>
        <v>4.3620040339387225E-3</v>
      </c>
      <c r="AU797" s="72">
        <f t="shared" si="412"/>
        <v>6.8214933659622723E-3</v>
      </c>
      <c r="AV797" s="73">
        <f t="shared" si="429"/>
        <v>1.0068214933659623</v>
      </c>
      <c r="AW797" s="74">
        <f>PRODUCT(AV$4:AV797)</f>
        <v>220.93660518456574</v>
      </c>
    </row>
    <row r="798" spans="44:49">
      <c r="AR798" s="69">
        <f t="shared" si="428"/>
        <v>67</v>
      </c>
      <c r="AS798" s="70">
        <f t="shared" si="431"/>
        <v>795</v>
      </c>
      <c r="AT798" s="71">
        <f t="shared" si="432"/>
        <v>4.3322486523589086E-3</v>
      </c>
      <c r="AU798" s="72">
        <f t="shared" si="412"/>
        <v>6.8214933659622723E-3</v>
      </c>
      <c r="AV798" s="73">
        <f t="shared" si="429"/>
        <v>1.0068214933659623</v>
      </c>
      <c r="AW798" s="74">
        <f>PRODUCT(AV$4:AV798)</f>
        <v>222.44372277113047</v>
      </c>
    </row>
    <row r="799" spans="44:49">
      <c r="AR799" s="69">
        <f t="shared" si="428"/>
        <v>67</v>
      </c>
      <c r="AS799" s="70">
        <f t="shared" si="431"/>
        <v>796</v>
      </c>
      <c r="AT799" s="71">
        <f t="shared" si="432"/>
        <v>4.3026962469171429E-3</v>
      </c>
      <c r="AU799" s="72">
        <f t="shared" si="412"/>
        <v>6.8214933659622723E-3</v>
      </c>
      <c r="AV799" s="73">
        <f t="shared" si="429"/>
        <v>1.0068214933659623</v>
      </c>
      <c r="AW799" s="74">
        <f>PRODUCT(AV$4:AV799)</f>
        <v>223.96112115031369</v>
      </c>
    </row>
    <row r="800" spans="44:49">
      <c r="AR800" s="69">
        <f t="shared" si="428"/>
        <v>67</v>
      </c>
      <c r="AS800" s="70">
        <f t="shared" si="431"/>
        <v>797</v>
      </c>
      <c r="AT800" s="71">
        <f t="shared" si="432"/>
        <v>4.2733454330130469E-3</v>
      </c>
      <c r="AU800" s="72">
        <f t="shared" si="412"/>
        <v>6.8214933659622723E-3</v>
      </c>
      <c r="AV800" s="73">
        <f t="shared" si="429"/>
        <v>1.0068214933659623</v>
      </c>
      <c r="AW800" s="74">
        <f>PRODUCT(AV$4:AV800)</f>
        <v>225.48887045247403</v>
      </c>
    </row>
    <row r="801" spans="44:49">
      <c r="AR801" s="69">
        <f t="shared" si="428"/>
        <v>67</v>
      </c>
      <c r="AS801" s="70">
        <f t="shared" si="431"/>
        <v>798</v>
      </c>
      <c r="AT801" s="71">
        <f t="shared" si="432"/>
        <v>4.2441948354912835E-3</v>
      </c>
      <c r="AU801" s="72">
        <f t="shared" si="412"/>
        <v>6.8214933659622723E-3</v>
      </c>
      <c r="AV801" s="73">
        <f t="shared" si="429"/>
        <v>1.0068214933659623</v>
      </c>
      <c r="AW801" s="74">
        <f>PRODUCT(AV$4:AV801)</f>
        <v>227.0270412863639</v>
      </c>
    </row>
    <row r="802" spans="44:49">
      <c r="AR802" s="69">
        <f t="shared" si="428"/>
        <v>67</v>
      </c>
      <c r="AS802" s="70">
        <f t="shared" si="431"/>
        <v>799</v>
      </c>
      <c r="AT802" s="71">
        <f t="shared" si="432"/>
        <v>4.2152430885771287E-3</v>
      </c>
      <c r="AU802" s="72">
        <f t="shared" si="412"/>
        <v>6.8214933659622723E-3</v>
      </c>
      <c r="AV802" s="73">
        <f t="shared" si="429"/>
        <v>1.0068214933659623</v>
      </c>
      <c r="AW802" s="74">
        <f>PRODUCT(AV$4:AV802)</f>
        <v>228.57570474239287</v>
      </c>
    </row>
    <row r="803" spans="44:49">
      <c r="AR803" s="69">
        <f t="shared" si="428"/>
        <v>67</v>
      </c>
      <c r="AS803" s="70">
        <f t="shared" si="431"/>
        <v>800</v>
      </c>
      <c r="AT803" s="71">
        <f t="shared" si="432"/>
        <v>4.1864888358124812E-3</v>
      </c>
      <c r="AU803" s="72">
        <f t="shared" si="412"/>
        <v>6.8214933659622723E-3</v>
      </c>
      <c r="AV803" s="73">
        <f t="shared" si="429"/>
        <v>1.0068214933659623</v>
      </c>
      <c r="AW803" s="74">
        <f>PRODUCT(AV$4:AV803)</f>
        <v>230.13493239591327</v>
      </c>
    </row>
    <row r="804" spans="44:49">
      <c r="AR804" s="69">
        <f t="shared" si="428"/>
        <v>67</v>
      </c>
      <c r="AS804" s="70">
        <f t="shared" si="431"/>
        <v>801</v>
      </c>
      <c r="AT804" s="71">
        <f t="shared" si="432"/>
        <v>4.1579307299923112E-3</v>
      </c>
      <c r="AU804" s="72">
        <f t="shared" si="412"/>
        <v>6.8214933659622723E-3</v>
      </c>
      <c r="AV804" s="73">
        <f t="shared" si="429"/>
        <v>1.0068214933659623</v>
      </c>
      <c r="AW804" s="74">
        <f>PRODUCT(AV$4:AV804)</f>
        <v>231.70479631052817</v>
      </c>
    </row>
    <row r="805" spans="44:49">
      <c r="AR805" s="69">
        <f t="shared" si="428"/>
        <v>67</v>
      </c>
      <c r="AS805" s="70">
        <f t="shared" si="431"/>
        <v>802</v>
      </c>
      <c r="AT805" s="71">
        <f t="shared" si="432"/>
        <v>4.1295674331015379E-3</v>
      </c>
      <c r="AU805" s="72">
        <f t="shared" si="412"/>
        <v>6.8214933659622723E-3</v>
      </c>
      <c r="AV805" s="73">
        <f t="shared" si="429"/>
        <v>1.0068214933659623</v>
      </c>
      <c r="AW805" s="74">
        <f>PRODUCT(AV$4:AV805)</f>
        <v>233.28536904142209</v>
      </c>
    </row>
    <row r="806" spans="44:49">
      <c r="AR806" s="69">
        <f t="shared" si="428"/>
        <v>67</v>
      </c>
      <c r="AS806" s="70">
        <f t="shared" si="431"/>
        <v>803</v>
      </c>
      <c r="AT806" s="71">
        <f t="shared" si="432"/>
        <v>4.1013976162523422E-3</v>
      </c>
      <c r="AU806" s="72">
        <f t="shared" si="412"/>
        <v>6.8214933659622723E-3</v>
      </c>
      <c r="AV806" s="73">
        <f t="shared" si="429"/>
        <v>1.0068214933659623</v>
      </c>
      <c r="AW806" s="74">
        <f>PRODUCT(AV$4:AV806)</f>
        <v>234.8767236387142</v>
      </c>
    </row>
    <row r="807" spans="44:49">
      <c r="AR807" s="69">
        <f t="shared" si="428"/>
        <v>67</v>
      </c>
      <c r="AS807" s="70">
        <f t="shared" si="431"/>
        <v>804</v>
      </c>
      <c r="AT807" s="71">
        <f t="shared" si="432"/>
        <v>4.0734199596219036E-3</v>
      </c>
      <c r="AU807" s="72">
        <f t="shared" si="412"/>
        <v>6.8214933659622723E-3</v>
      </c>
      <c r="AV807" s="73">
        <f t="shared" si="429"/>
        <v>1.0068214933659623</v>
      </c>
      <c r="AW807" s="74">
        <f>PRODUCT(AV$4:AV807)</f>
        <v>236.47893365083465</v>
      </c>
    </row>
    <row r="808" spans="44:49">
      <c r="AR808" s="69">
        <f t="shared" si="428"/>
        <v>68</v>
      </c>
      <c r="AS808" s="70">
        <f t="shared" si="431"/>
        <v>805</v>
      </c>
      <c r="AT808" s="71">
        <f t="shared" si="432"/>
        <v>4.0456331523905644E-3</v>
      </c>
      <c r="AU808" s="72">
        <f t="shared" si="412"/>
        <v>6.8214933659622723E-3</v>
      </c>
      <c r="AV808" s="73">
        <f t="shared" si="429"/>
        <v>1.0068214933659623</v>
      </c>
      <c r="AW808" s="74">
        <f>PRODUCT(AV$4:AV808)</f>
        <v>238.09207312792364</v>
      </c>
    </row>
    <row r="809" spans="44:49">
      <c r="AR809" s="69">
        <f t="shared" si="428"/>
        <v>68</v>
      </c>
      <c r="AS809" s="70">
        <f t="shared" si="431"/>
        <v>806</v>
      </c>
      <c r="AT809" s="71">
        <f t="shared" si="432"/>
        <v>4.0180358926804154E-3</v>
      </c>
      <c r="AU809" s="72">
        <f t="shared" si="412"/>
        <v>6.8214933659622723E-3</v>
      </c>
      <c r="AV809" s="73">
        <f t="shared" si="429"/>
        <v>1.0068214933659623</v>
      </c>
      <c r="AW809" s="74">
        <f>PRODUCT(AV$4:AV809)</f>
        <v>239.71621662525396</v>
      </c>
    </row>
    <row r="810" spans="44:49">
      <c r="AR810" s="69">
        <f t="shared" si="428"/>
        <v>68</v>
      </c>
      <c r="AS810" s="70">
        <f t="shared" si="431"/>
        <v>807</v>
      </c>
      <c r="AT810" s="71">
        <f t="shared" si="432"/>
        <v>3.9906268874942974E-3</v>
      </c>
      <c r="AU810" s="72">
        <f t="shared" si="412"/>
        <v>6.8214933659622723E-3</v>
      </c>
      <c r="AV810" s="73">
        <f t="shared" si="429"/>
        <v>1.0068214933659623</v>
      </c>
      <c r="AW810" s="74">
        <f>PRODUCT(AV$4:AV810)</f>
        <v>241.3514392066767</v>
      </c>
    </row>
    <row r="811" spans="44:49">
      <c r="AR811" s="69">
        <f t="shared" si="428"/>
        <v>68</v>
      </c>
      <c r="AS811" s="70">
        <f t="shared" si="431"/>
        <v>808</v>
      </c>
      <c r="AT811" s="71">
        <f t="shared" si="432"/>
        <v>3.9634048526552244E-3</v>
      </c>
      <c r="AU811" s="72">
        <f t="shared" si="412"/>
        <v>6.8214933659622723E-3</v>
      </c>
      <c r="AV811" s="73">
        <f t="shared" si="429"/>
        <v>1.0068214933659623</v>
      </c>
      <c r="AW811" s="74">
        <f>PRODUCT(AV$4:AV811)</f>
        <v>242.9978164480905</v>
      </c>
    </row>
    <row r="812" spans="44:49">
      <c r="AR812" s="69">
        <f t="shared" si="428"/>
        <v>68</v>
      </c>
      <c r="AS812" s="70">
        <f t="shared" si="431"/>
        <v>809</v>
      </c>
      <c r="AT812" s="71">
        <f t="shared" si="432"/>
        <v>3.9363685127462144E-3</v>
      </c>
      <c r="AU812" s="72">
        <f t="shared" si="412"/>
        <v>6.8214933659622723E-3</v>
      </c>
      <c r="AV812" s="73">
        <f t="shared" si="429"/>
        <v>1.0068214933659623</v>
      </c>
      <c r="AW812" s="74">
        <f>PRODUCT(AV$4:AV812)</f>
        <v>244.65542444093447</v>
      </c>
    </row>
    <row r="813" spans="44:49">
      <c r="AR813" s="69">
        <f t="shared" si="428"/>
        <v>68</v>
      </c>
      <c r="AS813" s="70">
        <f t="shared" si="431"/>
        <v>810</v>
      </c>
      <c r="AT813" s="71">
        <f t="shared" si="432"/>
        <v>3.9095166010505332E-3</v>
      </c>
      <c r="AU813" s="72">
        <f t="shared" si="412"/>
        <v>6.8214933659622723E-3</v>
      </c>
      <c r="AV813" s="73">
        <f t="shared" si="429"/>
        <v>1.0068214933659623</v>
      </c>
      <c r="AW813" s="74">
        <f>PRODUCT(AV$4:AV813)</f>
        <v>246.32433979570499</v>
      </c>
    </row>
    <row r="814" spans="44:49">
      <c r="AR814" s="69">
        <f t="shared" si="428"/>
        <v>68</v>
      </c>
      <c r="AS814" s="70">
        <f t="shared" si="431"/>
        <v>811</v>
      </c>
      <c r="AT814" s="71">
        <f t="shared" si="432"/>
        <v>3.8828478594923476E-3</v>
      </c>
      <c r="AU814" s="72">
        <f t="shared" si="412"/>
        <v>6.8214933659622723E-3</v>
      </c>
      <c r="AV814" s="73">
        <f t="shared" si="429"/>
        <v>1.0068214933659623</v>
      </c>
      <c r="AW814" s="74">
        <f>PRODUCT(AV$4:AV814)</f>
        <v>248.00463964549641</v>
      </c>
    </row>
    <row r="815" spans="44:49">
      <c r="AR815" s="69">
        <f t="shared" si="428"/>
        <v>68</v>
      </c>
      <c r="AS815" s="70">
        <f t="shared" si="431"/>
        <v>812</v>
      </c>
      <c r="AT815" s="71">
        <f t="shared" si="432"/>
        <v>3.8563610385777798E-3</v>
      </c>
      <c r="AU815" s="72">
        <f t="shared" si="412"/>
        <v>6.8214933659622723E-3</v>
      </c>
      <c r="AV815" s="73">
        <f t="shared" si="429"/>
        <v>1.0068214933659623</v>
      </c>
      <c r="AW815" s="74">
        <f>PRODUCT(AV$4:AV815)</f>
        <v>249.69640164956604</v>
      </c>
    </row>
    <row r="816" spans="44:49">
      <c r="AR816" s="69">
        <f t="shared" si="428"/>
        <v>68</v>
      </c>
      <c r="AS816" s="70">
        <f t="shared" si="431"/>
        <v>813</v>
      </c>
      <c r="AT816" s="71">
        <f t="shared" si="432"/>
        <v>3.8300548973363661E-3</v>
      </c>
      <c r="AU816" s="72">
        <f t="shared" si="412"/>
        <v>6.8214933659622723E-3</v>
      </c>
      <c r="AV816" s="73">
        <f t="shared" si="429"/>
        <v>1.0068214933659623</v>
      </c>
      <c r="AW816" s="74">
        <f>PRODUCT(AV$4:AV816)</f>
        <v>251.39970399692319</v>
      </c>
    </row>
    <row r="817" spans="44:49">
      <c r="AR817" s="69">
        <f t="shared" si="428"/>
        <v>68</v>
      </c>
      <c r="AS817" s="70">
        <f t="shared" si="431"/>
        <v>814</v>
      </c>
      <c r="AT817" s="71">
        <f t="shared" si="432"/>
        <v>3.8039282032629146E-3</v>
      </c>
      <c r="AU817" s="72">
        <f t="shared" si="412"/>
        <v>6.8214933659622723E-3</v>
      </c>
      <c r="AV817" s="73">
        <f t="shared" si="429"/>
        <v>1.0068214933659623</v>
      </c>
      <c r="AW817" s="74">
        <f>PRODUCT(AV$4:AV817)</f>
        <v>253.11462540994307</v>
      </c>
    </row>
    <row r="818" spans="44:49">
      <c r="AR818" s="69">
        <f t="shared" si="428"/>
        <v>68</v>
      </c>
      <c r="AS818" s="70">
        <f t="shared" si="431"/>
        <v>815</v>
      </c>
      <c r="AT818" s="71">
        <f t="shared" si="432"/>
        <v>3.7779797322597597E-3</v>
      </c>
      <c r="AU818" s="72">
        <f t="shared" si="412"/>
        <v>6.8214933659622723E-3</v>
      </c>
      <c r="AV818" s="73">
        <f t="shared" si="429"/>
        <v>1.0068214933659623</v>
      </c>
      <c r="AW818" s="74">
        <f>PRODUCT(AV$4:AV818)</f>
        <v>254.84124514800502</v>
      </c>
    </row>
    <row r="819" spans="44:49">
      <c r="AR819" s="69">
        <f t="shared" si="428"/>
        <v>68</v>
      </c>
      <c r="AS819" s="70">
        <f t="shared" si="431"/>
        <v>816</v>
      </c>
      <c r="AT819" s="71">
        <f t="shared" si="432"/>
        <v>3.7522082685794099E-3</v>
      </c>
      <c r="AU819" s="72">
        <f t="shared" si="412"/>
        <v>6.8214933659622723E-3</v>
      </c>
      <c r="AV819" s="73">
        <f t="shared" si="429"/>
        <v>1.0068214933659623</v>
      </c>
      <c r="AW819" s="74">
        <f>PRODUCT(AV$4:AV819)</f>
        <v>256.57964301115572</v>
      </c>
    </row>
    <row r="820" spans="44:49">
      <c r="AR820" s="69">
        <f t="shared" si="428"/>
        <v>69</v>
      </c>
      <c r="AS820" s="70">
        <f t="shared" si="431"/>
        <v>817</v>
      </c>
      <c r="AT820" s="71">
        <f t="shared" si="432"/>
        <v>3.7266126047675865E-3</v>
      </c>
      <c r="AU820" s="72">
        <f t="shared" si="412"/>
        <v>6.8214933659622723E-3</v>
      </c>
      <c r="AV820" s="73">
        <f t="shared" si="429"/>
        <v>1.0068214933659623</v>
      </c>
      <c r="AW820" s="74">
        <f>PRODUCT(AV$4:AV820)</f>
        <v>258.32989934379731</v>
      </c>
    </row>
    <row r="821" spans="44:49">
      <c r="AR821" s="69">
        <f t="shared" si="428"/>
        <v>69</v>
      </c>
      <c r="AS821" s="70">
        <f t="shared" si="431"/>
        <v>818</v>
      </c>
      <c r="AT821" s="71">
        <f t="shared" si="432"/>
        <v>3.7011915416066531E-3</v>
      </c>
      <c r="AU821" s="72">
        <f t="shared" si="412"/>
        <v>6.8214933659622723E-3</v>
      </c>
      <c r="AV821" s="73">
        <f t="shared" si="429"/>
        <v>1.0068214933659623</v>
      </c>
      <c r="AW821" s="74">
        <f>PRODUCT(AV$4:AV821)</f>
        <v>260.09209503840071</v>
      </c>
    </row>
    <row r="822" spans="44:49">
      <c r="AR822" s="69">
        <f t="shared" si="428"/>
        <v>69</v>
      </c>
      <c r="AS822" s="70">
        <f t="shared" si="431"/>
        <v>819</v>
      </c>
      <c r="AT822" s="71">
        <f t="shared" si="432"/>
        <v>3.6759438880594277E-3</v>
      </c>
      <c r="AU822" s="72">
        <f t="shared" si="412"/>
        <v>6.8214933659622723E-3</v>
      </c>
      <c r="AV822" s="73">
        <f t="shared" si="429"/>
        <v>1.0068214933659623</v>
      </c>
      <c r="AW822" s="74">
        <f>PRODUCT(AV$4:AV822)</f>
        <v>261.86631153924441</v>
      </c>
    </row>
    <row r="823" spans="44:49">
      <c r="AR823" s="69">
        <f t="shared" si="428"/>
        <v>69</v>
      </c>
      <c r="AS823" s="70">
        <f t="shared" si="431"/>
        <v>820</v>
      </c>
      <c r="AT823" s="71">
        <f t="shared" si="432"/>
        <v>3.6508684612133807E-3</v>
      </c>
      <c r="AU823" s="72">
        <f t="shared" si="412"/>
        <v>6.8214933659622723E-3</v>
      </c>
      <c r="AV823" s="73">
        <f t="shared" si="429"/>
        <v>1.0068214933659623</v>
      </c>
      <c r="AW823" s="74">
        <f>PRODUCT(AV$4:AV823)</f>
        <v>263.6526308461784</v>
      </c>
    </row>
    <row r="824" spans="44:49">
      <c r="AR824" s="69">
        <f t="shared" si="428"/>
        <v>69</v>
      </c>
      <c r="AS824" s="70">
        <f t="shared" si="431"/>
        <v>821</v>
      </c>
      <c r="AT824" s="71">
        <f t="shared" si="432"/>
        <v>3.6259640862252129E-3</v>
      </c>
      <c r="AU824" s="72">
        <f t="shared" si="412"/>
        <v>6.8214933659622723E-3</v>
      </c>
      <c r="AV824" s="73">
        <f t="shared" si="429"/>
        <v>1.0068214933659623</v>
      </c>
      <c r="AW824" s="74">
        <f>PRODUCT(AV$4:AV824)</f>
        <v>265.45113551841411</v>
      </c>
    </row>
    <row r="825" spans="44:49">
      <c r="AR825" s="69">
        <f t="shared" si="428"/>
        <v>69</v>
      </c>
      <c r="AS825" s="70">
        <f t="shared" si="431"/>
        <v>822</v>
      </c>
      <c r="AT825" s="71">
        <f t="shared" si="432"/>
        <v>3.6012295962658102E-3</v>
      </c>
      <c r="AU825" s="72">
        <f t="shared" si="412"/>
        <v>6.8214933659622723E-3</v>
      </c>
      <c r="AV825" s="73">
        <f t="shared" si="429"/>
        <v>1.0068214933659623</v>
      </c>
      <c r="AW825" s="74">
        <f>PRODUCT(AV$4:AV825)</f>
        <v>267.26190867834009</v>
      </c>
    </row>
    <row r="826" spans="44:49">
      <c r="AR826" s="69">
        <f t="shared" si="428"/>
        <v>69</v>
      </c>
      <c r="AS826" s="70">
        <f t="shared" si="431"/>
        <v>823</v>
      </c>
      <c r="AT826" s="71">
        <f t="shared" si="432"/>
        <v>3.576663832465576E-3</v>
      </c>
      <c r="AU826" s="72">
        <f t="shared" si="412"/>
        <v>6.8214933659622723E-3</v>
      </c>
      <c r="AV826" s="73">
        <f t="shared" si="429"/>
        <v>1.0068214933659623</v>
      </c>
      <c r="AW826" s="74">
        <f>PRODUCT(AV$4:AV826)</f>
        <v>269.08503401536382</v>
      </c>
    </row>
    <row r="827" spans="44:49">
      <c r="AR827" s="69">
        <f t="shared" si="428"/>
        <v>69</v>
      </c>
      <c r="AS827" s="70">
        <f t="shared" si="431"/>
        <v>824</v>
      </c>
      <c r="AT827" s="71">
        <f t="shared" si="432"/>
        <v>3.5522656438601347E-3</v>
      </c>
      <c r="AU827" s="72">
        <f t="shared" si="412"/>
        <v>6.8214933659622723E-3</v>
      </c>
      <c r="AV827" s="73">
        <f t="shared" si="429"/>
        <v>1.0068214933659623</v>
      </c>
      <c r="AW827" s="74">
        <f>PRODUCT(AV$4:AV827)</f>
        <v>270.92059578977933</v>
      </c>
    </row>
    <row r="828" spans="44:49">
      <c r="AR828" s="69">
        <f t="shared" si="428"/>
        <v>69</v>
      </c>
      <c r="AS828" s="70">
        <f t="shared" si="431"/>
        <v>825</v>
      </c>
      <c r="AT828" s="71">
        <f t="shared" si="432"/>
        <v>3.5280338873364069E-3</v>
      </c>
      <c r="AU828" s="72">
        <f t="shared" si="412"/>
        <v>6.8214933659622723E-3</v>
      </c>
      <c r="AV828" s="73">
        <f t="shared" si="429"/>
        <v>1.0068214933659623</v>
      </c>
      <c r="AW828" s="74">
        <f>PRODUCT(AV$4:AV828)</f>
        <v>272.76867883666188</v>
      </c>
    </row>
    <row r="829" spans="44:49">
      <c r="AR829" s="69">
        <f t="shared" si="428"/>
        <v>69</v>
      </c>
      <c r="AS829" s="70">
        <f t="shared" si="431"/>
        <v>826</v>
      </c>
      <c r="AT829" s="71">
        <f t="shared" si="432"/>
        <v>3.5039674275790514E-3</v>
      </c>
      <c r="AU829" s="72">
        <f t="shared" si="412"/>
        <v>6.8214933659622723E-3</v>
      </c>
      <c r="AV829" s="73">
        <f t="shared" si="429"/>
        <v>1.0068214933659623</v>
      </c>
      <c r="AW829" s="74">
        <f>PRODUCT(AV$4:AV829)</f>
        <v>274.62936856978848</v>
      </c>
    </row>
    <row r="830" spans="44:49">
      <c r="AR830" s="69">
        <f t="shared" si="428"/>
        <v>69</v>
      </c>
      <c r="AS830" s="70">
        <f t="shared" si="431"/>
        <v>827</v>
      </c>
      <c r="AT830" s="71">
        <f t="shared" si="432"/>
        <v>3.480065137017273E-3</v>
      </c>
      <c r="AU830" s="72">
        <f t="shared" si="412"/>
        <v>6.8214933659622723E-3</v>
      </c>
      <c r="AV830" s="73">
        <f t="shared" si="429"/>
        <v>1.0068214933659623</v>
      </c>
      <c r="AW830" s="74">
        <f>PRODUCT(AV$4:AV830)</f>
        <v>276.50275098558569</v>
      </c>
    </row>
    <row r="831" spans="44:49">
      <c r="AR831" s="69">
        <f t="shared" si="428"/>
        <v>69</v>
      </c>
      <c r="AS831" s="70">
        <f t="shared" si="431"/>
        <v>828</v>
      </c>
      <c r="AT831" s="71">
        <f t="shared" si="432"/>
        <v>3.4563258957719931E-3</v>
      </c>
      <c r="AU831" s="72">
        <f t="shared" si="412"/>
        <v>6.8214933659622723E-3</v>
      </c>
      <c r="AV831" s="73">
        <f t="shared" si="429"/>
        <v>1.0068214933659623</v>
      </c>
      <c r="AW831" s="74">
        <f>PRODUCT(AV$4:AV831)</f>
        <v>278.38891266710419</v>
      </c>
    </row>
    <row r="832" spans="44:49">
      <c r="AR832" s="69">
        <f t="shared" si="428"/>
        <v>70</v>
      </c>
      <c r="AS832" s="70">
        <f t="shared" si="431"/>
        <v>829</v>
      </c>
      <c r="AT832" s="71">
        <f t="shared" si="432"/>
        <v>3.4327485916033811E-3</v>
      </c>
      <c r="AU832" s="72">
        <f t="shared" si="412"/>
        <v>6.8214933659622723E-3</v>
      </c>
      <c r="AV832" s="73">
        <f t="shared" si="429"/>
        <v>1.0068214933659623</v>
      </c>
      <c r="AW832" s="74">
        <f>PRODUCT(AV$4:AV832)</f>
        <v>280.28794078802031</v>
      </c>
    </row>
    <row r="833" spans="44:49">
      <c r="AR833" s="69">
        <f t="shared" si="428"/>
        <v>70</v>
      </c>
      <c r="AS833" s="70">
        <f t="shared" si="431"/>
        <v>830</v>
      </c>
      <c r="AT833" s="71">
        <f t="shared" si="432"/>
        <v>3.4093321198587424E-3</v>
      </c>
      <c r="AU833" s="72">
        <f t="shared" si="412"/>
        <v>6.8214933659622723E-3</v>
      </c>
      <c r="AV833" s="73">
        <f t="shared" si="429"/>
        <v>1.0068214933659623</v>
      </c>
      <c r="AW833" s="74">
        <f>PRODUCT(AV$4:AV833)</f>
        <v>282.19992311666499</v>
      </c>
    </row>
    <row r="834" spans="44:49">
      <c r="AR834" s="69">
        <f t="shared" si="428"/>
        <v>70</v>
      </c>
      <c r="AS834" s="70">
        <f t="shared" si="431"/>
        <v>831</v>
      </c>
      <c r="AT834" s="71">
        <f t="shared" si="432"/>
        <v>3.386075383420764E-3</v>
      </c>
      <c r="AU834" s="72">
        <f t="shared" si="412"/>
        <v>6.8214933659622723E-3</v>
      </c>
      <c r="AV834" s="73">
        <f t="shared" si="429"/>
        <v>1.0068214933659623</v>
      </c>
      <c r="AW834" s="74">
        <f>PRODUCT(AV$4:AV834)</f>
        <v>284.12494802008041</v>
      </c>
    </row>
    <row r="835" spans="44:49">
      <c r="AR835" s="69">
        <f t="shared" si="428"/>
        <v>70</v>
      </c>
      <c r="AS835" s="70">
        <f t="shared" si="431"/>
        <v>832</v>
      </c>
      <c r="AT835" s="71">
        <f t="shared" si="432"/>
        <v>3.3629772926561112E-3</v>
      </c>
      <c r="AU835" s="72">
        <f t="shared" si="412"/>
        <v>6.8214933659622723E-3</v>
      </c>
      <c r="AV835" s="73">
        <f t="shared" si="429"/>
        <v>1.0068214933659623</v>
      </c>
      <c r="AW835" s="74">
        <f>PRODUCT(AV$4:AV835)</f>
        <v>286.06310446810375</v>
      </c>
    </row>
    <row r="836" spans="44:49">
      <c r="AR836" s="69">
        <f t="shared" si="428"/>
        <v>70</v>
      </c>
      <c r="AS836" s="70">
        <f t="shared" si="431"/>
        <v>833</v>
      </c>
      <c r="AT836" s="71">
        <f t="shared" si="432"/>
        <v>3.3400367653643758E-3</v>
      </c>
      <c r="AU836" s="72">
        <f t="shared" ref="AU836:AU899" si="434">((1+$AH$21)^(1/12))-1</f>
        <v>6.8214933659622723E-3</v>
      </c>
      <c r="AV836" s="73">
        <f t="shared" si="429"/>
        <v>1.0068214933659623</v>
      </c>
      <c r="AW836" s="74">
        <f>PRODUCT(AV$4:AV836)</f>
        <v>288.01448203747947</v>
      </c>
    </row>
    <row r="837" spans="44:49">
      <c r="AR837" s="69">
        <f t="shared" ref="AR837:AR900" si="435">ROUNDDOWN((AS837-1)/12,0)+1</f>
        <v>70</v>
      </c>
      <c r="AS837" s="70">
        <f t="shared" si="431"/>
        <v>834</v>
      </c>
      <c r="AT837" s="71">
        <f t="shared" si="432"/>
        <v>3.3172527267273729E-3</v>
      </c>
      <c r="AU837" s="72">
        <f t="shared" si="434"/>
        <v>6.8214933659622723E-3</v>
      </c>
      <c r="AV837" s="73">
        <f t="shared" ref="AV837:AV900" si="436">(1+AU837)</f>
        <v>1.0068214933659623</v>
      </c>
      <c r="AW837" s="74">
        <f>PRODUCT(AV$4:AV837)</f>
        <v>289.97917091599919</v>
      </c>
    </row>
    <row r="838" spans="44:49">
      <c r="AR838" s="69">
        <f t="shared" si="435"/>
        <v>70</v>
      </c>
      <c r="AS838" s="70">
        <f t="shared" ref="AS838:AS901" si="437">AS837+1</f>
        <v>835</v>
      </c>
      <c r="AT838" s="71">
        <f t="shared" ref="AT838:AT901" si="438">(1-AU838)*AT837</f>
        <v>3.2946241092587816E-3</v>
      </c>
      <c r="AU838" s="72">
        <f t="shared" si="434"/>
        <v>6.8214933659622723E-3</v>
      </c>
      <c r="AV838" s="73">
        <f t="shared" si="436"/>
        <v>1.0068214933659623</v>
      </c>
      <c r="AW838" s="74">
        <f>PRODUCT(AV$4:AV838)</f>
        <v>291.95726190666994</v>
      </c>
    </row>
    <row r="839" spans="44:49">
      <c r="AR839" s="69">
        <f t="shared" si="435"/>
        <v>70</v>
      </c>
      <c r="AS839" s="70">
        <f t="shared" si="437"/>
        <v>836</v>
      </c>
      <c r="AT839" s="71">
        <f t="shared" si="438"/>
        <v>3.2721498527541336E-3</v>
      </c>
      <c r="AU839" s="72">
        <f t="shared" si="434"/>
        <v>6.8214933659622723E-3</v>
      </c>
      <c r="AV839" s="73">
        <f t="shared" si="436"/>
        <v>1.0068214933659623</v>
      </c>
      <c r="AW839" s="74">
        <f>PRODUCT(AV$4:AV839)</f>
        <v>293.94884643191079</v>
      </c>
    </row>
    <row r="840" spans="44:49">
      <c r="AR840" s="69">
        <f t="shared" si="435"/>
        <v>70</v>
      </c>
      <c r="AS840" s="70">
        <f t="shared" si="437"/>
        <v>837</v>
      </c>
      <c r="AT840" s="71">
        <f t="shared" si="438"/>
        <v>3.249828904241137E-3</v>
      </c>
      <c r="AU840" s="72">
        <f t="shared" si="434"/>
        <v>6.8214933659622723E-3</v>
      </c>
      <c r="AV840" s="73">
        <f t="shared" si="436"/>
        <v>1.0068214933659623</v>
      </c>
      <c r="AW840" s="74">
        <f>PRODUCT(AV$4:AV840)</f>
        <v>295.95401653777833</v>
      </c>
    </row>
    <row r="841" spans="44:49">
      <c r="AR841" s="69">
        <f t="shared" si="435"/>
        <v>70</v>
      </c>
      <c r="AS841" s="70">
        <f t="shared" si="437"/>
        <v>838</v>
      </c>
      <c r="AT841" s="71">
        <f t="shared" si="438"/>
        <v>3.2276602179303437E-3</v>
      </c>
      <c r="AU841" s="72">
        <f t="shared" si="434"/>
        <v>6.8214933659622723E-3</v>
      </c>
      <c r="AV841" s="73">
        <f t="shared" si="436"/>
        <v>1.0068214933659623</v>
      </c>
      <c r="AW841" s="74">
        <f>PRODUCT(AV$4:AV841)</f>
        <v>297.97286489822068</v>
      </c>
    </row>
    <row r="842" spans="44:49">
      <c r="AR842" s="69">
        <f t="shared" si="435"/>
        <v>70</v>
      </c>
      <c r="AS842" s="70">
        <f t="shared" si="437"/>
        <v>839</v>
      </c>
      <c r="AT842" s="71">
        <f t="shared" si="438"/>
        <v>3.2056427551661517E-3</v>
      </c>
      <c r="AU842" s="72">
        <f t="shared" si="434"/>
        <v>6.8214933659622723E-3</v>
      </c>
      <c r="AV842" s="73">
        <f t="shared" si="436"/>
        <v>1.0068214933659623</v>
      </c>
      <c r="AW842" s="74">
        <f>PRODUCT(AV$4:AV842)</f>
        <v>300.00548481936067</v>
      </c>
    </row>
    <row r="843" spans="44:49">
      <c r="AR843" s="69">
        <f t="shared" si="435"/>
        <v>70</v>
      </c>
      <c r="AS843" s="70">
        <f t="shared" si="437"/>
        <v>840</v>
      </c>
      <c r="AT843" s="71">
        <f t="shared" si="438"/>
        <v>3.1837754843781407E-3</v>
      </c>
      <c r="AU843" s="72">
        <f t="shared" si="434"/>
        <v>6.8214933659622723E-3</v>
      </c>
      <c r="AV843" s="73">
        <f t="shared" si="436"/>
        <v>1.0068214933659623</v>
      </c>
      <c r="AW843" s="74">
        <f>PRODUCT(AV$4:AV843)</f>
        <v>302.05197024380823</v>
      </c>
    </row>
    <row r="844" spans="44:49">
      <c r="AR844" s="69">
        <f t="shared" si="435"/>
        <v>71</v>
      </c>
      <c r="AS844" s="70">
        <f t="shared" si="437"/>
        <v>841</v>
      </c>
      <c r="AT844" s="71">
        <f t="shared" si="438"/>
        <v>3.1620573810327421E-3</v>
      </c>
      <c r="AU844" s="72">
        <f t="shared" si="434"/>
        <v>6.8214933659622723E-3</v>
      </c>
      <c r="AV844" s="73">
        <f t="shared" si="436"/>
        <v>1.0068214933659623</v>
      </c>
      <c r="AW844" s="74">
        <f>PRODUCT(AV$4:AV844)</f>
        <v>304.11241575500219</v>
      </c>
    </row>
    <row r="845" spans="44:49">
      <c r="AR845" s="69">
        <f t="shared" si="435"/>
        <v>71</v>
      </c>
      <c r="AS845" s="70">
        <f t="shared" si="437"/>
        <v>842</v>
      </c>
      <c r="AT845" s="71">
        <f t="shared" si="438"/>
        <v>3.140487427585235E-3</v>
      </c>
      <c r="AU845" s="72">
        <f t="shared" si="434"/>
        <v>6.8214933659622723E-3</v>
      </c>
      <c r="AV845" s="73">
        <f t="shared" si="436"/>
        <v>1.0068214933659623</v>
      </c>
      <c r="AW845" s="74">
        <f>PRODUCT(AV$4:AV845)</f>
        <v>306.18691658158167</v>
      </c>
    </row>
    <row r="846" spans="44:49">
      <c r="AR846" s="69">
        <f t="shared" si="435"/>
        <v>71</v>
      </c>
      <c r="AS846" s="70">
        <f t="shared" si="437"/>
        <v>843</v>
      </c>
      <c r="AT846" s="71">
        <f t="shared" si="438"/>
        <v>3.1190646134320742E-3</v>
      </c>
      <c r="AU846" s="72">
        <f t="shared" si="434"/>
        <v>6.8214933659622723E-3</v>
      </c>
      <c r="AV846" s="73">
        <f t="shared" si="436"/>
        <v>1.0068214933659623</v>
      </c>
      <c r="AW846" s="74">
        <f>PRODUCT(AV$4:AV846)</f>
        <v>308.27556860178737</v>
      </c>
    </row>
    <row r="847" spans="44:49">
      <c r="AR847" s="69">
        <f t="shared" si="435"/>
        <v>71</v>
      </c>
      <c r="AS847" s="70">
        <f t="shared" si="437"/>
        <v>844</v>
      </c>
      <c r="AT847" s="71">
        <f t="shared" si="438"/>
        <v>3.0977879348635397E-3</v>
      </c>
      <c r="AU847" s="72">
        <f t="shared" si="434"/>
        <v>6.8214933659622723E-3</v>
      </c>
      <c r="AV847" s="73">
        <f t="shared" si="436"/>
        <v>1.0068214933659623</v>
      </c>
      <c r="AW847" s="74">
        <f>PRODUCT(AV$4:AV847)</f>
        <v>310.37846834789269</v>
      </c>
    </row>
    <row r="848" spans="44:49">
      <c r="AR848" s="69">
        <f t="shared" si="435"/>
        <v>71</v>
      </c>
      <c r="AS848" s="70">
        <f t="shared" si="437"/>
        <v>845</v>
      </c>
      <c r="AT848" s="71">
        <f t="shared" si="438"/>
        <v>3.07665639501671E-3</v>
      </c>
      <c r="AU848" s="72">
        <f t="shared" si="434"/>
        <v>6.8214933659622723E-3</v>
      </c>
      <c r="AV848" s="73">
        <f t="shared" si="436"/>
        <v>1.0068214933659623</v>
      </c>
      <c r="AW848" s="74">
        <f>PRODUCT(AV$4:AV848)</f>
        <v>312.49571301066538</v>
      </c>
    </row>
    <row r="849" spans="44:49">
      <c r="AR849" s="69">
        <f t="shared" si="435"/>
        <v>71</v>
      </c>
      <c r="AS849" s="70">
        <f t="shared" si="437"/>
        <v>846</v>
      </c>
      <c r="AT849" s="71">
        <f t="shared" si="438"/>
        <v>3.0556690038287581E-3</v>
      </c>
      <c r="AU849" s="72">
        <f t="shared" si="434"/>
        <v>6.8214933659622723E-3</v>
      </c>
      <c r="AV849" s="73">
        <f t="shared" si="436"/>
        <v>1.0068214933659623</v>
      </c>
      <c r="AW849" s="74">
        <f>PRODUCT(AV$4:AV849)</f>
        <v>314.6274004438593</v>
      </c>
    </row>
    <row r="850" spans="44:49">
      <c r="AR850" s="69">
        <f t="shared" si="435"/>
        <v>71</v>
      </c>
      <c r="AS850" s="70">
        <f t="shared" si="437"/>
        <v>847</v>
      </c>
      <c r="AT850" s="71">
        <f t="shared" si="438"/>
        <v>3.0348247779905637E-3</v>
      </c>
      <c r="AU850" s="72">
        <f t="shared" si="434"/>
        <v>6.8214933659622723E-3</v>
      </c>
      <c r="AV850" s="73">
        <f t="shared" si="436"/>
        <v>1.0068214933659623</v>
      </c>
      <c r="AW850" s="74">
        <f>PRODUCT(AV$4:AV850)</f>
        <v>316.77362916873705</v>
      </c>
    </row>
    <row r="851" spans="44:49">
      <c r="AR851" s="69">
        <f t="shared" si="435"/>
        <v>71</v>
      </c>
      <c r="AS851" s="70">
        <f t="shared" si="437"/>
        <v>848</v>
      </c>
      <c r="AT851" s="71">
        <f t="shared" si="438"/>
        <v>3.0141227409006431E-3</v>
      </c>
      <c r="AU851" s="72">
        <f t="shared" si="434"/>
        <v>6.8214933659622723E-3</v>
      </c>
      <c r="AV851" s="73">
        <f t="shared" si="436"/>
        <v>1.0068214933659623</v>
      </c>
      <c r="AW851" s="74">
        <f>PRODUCT(AV$4:AV851)</f>
        <v>318.9344983786234</v>
      </c>
    </row>
    <row r="852" spans="44:49">
      <c r="AR852" s="69">
        <f t="shared" si="435"/>
        <v>71</v>
      </c>
      <c r="AS852" s="70">
        <f t="shared" si="437"/>
        <v>849</v>
      </c>
      <c r="AT852" s="71">
        <f t="shared" si="438"/>
        <v>2.9935619226193933E-3</v>
      </c>
      <c r="AU852" s="72">
        <f t="shared" si="434"/>
        <v>6.8214933659622723E-3</v>
      </c>
      <c r="AV852" s="73">
        <f t="shared" si="436"/>
        <v>1.0068214933659623</v>
      </c>
      <c r="AW852" s="74">
        <f>PRODUCT(AV$4:AV852)</f>
        <v>321.11010794348971</v>
      </c>
    </row>
    <row r="853" spans="44:49">
      <c r="AR853" s="69">
        <f t="shared" si="435"/>
        <v>71</v>
      </c>
      <c r="AS853" s="70">
        <f t="shared" si="437"/>
        <v>850</v>
      </c>
      <c r="AT853" s="71">
        <f t="shared" si="438"/>
        <v>2.9731413598236478E-3</v>
      </c>
      <c r="AU853" s="72">
        <f t="shared" si="434"/>
        <v>6.8214933659622723E-3</v>
      </c>
      <c r="AV853" s="73">
        <f t="shared" si="436"/>
        <v>1.0068214933659623</v>
      </c>
      <c r="AW853" s="74">
        <f>PRODUCT(AV$4:AV853)</f>
        <v>323.30055841456965</v>
      </c>
    </row>
    <row r="854" spans="44:49">
      <c r="AR854" s="69">
        <f t="shared" si="435"/>
        <v>71</v>
      </c>
      <c r="AS854" s="70">
        <f t="shared" si="437"/>
        <v>851</v>
      </c>
      <c r="AT854" s="71">
        <f t="shared" si="438"/>
        <v>2.9528600957615427E-3</v>
      </c>
      <c r="AU854" s="72">
        <f t="shared" si="434"/>
        <v>6.8214933659622723E-3</v>
      </c>
      <c r="AV854" s="73">
        <f t="shared" si="436"/>
        <v>1.0068214933659623</v>
      </c>
      <c r="AW854" s="74">
        <f>PRODUCT(AV$4:AV854)</f>
        <v>325.50595102900655</v>
      </c>
    </row>
    <row r="855" spans="44:49">
      <c r="AR855" s="69">
        <f t="shared" si="435"/>
        <v>71</v>
      </c>
      <c r="AS855" s="70">
        <f t="shared" si="437"/>
        <v>852</v>
      </c>
      <c r="AT855" s="71">
        <f t="shared" si="438"/>
        <v>2.9327171802076904E-3</v>
      </c>
      <c r="AU855" s="72">
        <f t="shared" si="434"/>
        <v>6.8214933659622723E-3</v>
      </c>
      <c r="AV855" s="73">
        <f t="shared" si="436"/>
        <v>1.0068214933659623</v>
      </c>
      <c r="AW855" s="74">
        <f>PRODUCT(AV$4:AV855)</f>
        <v>327.72638771453217</v>
      </c>
    </row>
    <row r="856" spans="44:49">
      <c r="AR856" s="69">
        <f t="shared" si="435"/>
        <v>72</v>
      </c>
      <c r="AS856" s="70">
        <f t="shared" si="437"/>
        <v>853</v>
      </c>
      <c r="AT856" s="71">
        <f t="shared" si="438"/>
        <v>2.9127116694186599E-3</v>
      </c>
      <c r="AU856" s="72">
        <f t="shared" si="434"/>
        <v>6.8214933659622723E-3</v>
      </c>
      <c r="AV856" s="73">
        <f t="shared" si="436"/>
        <v>1.0068214933659623</v>
      </c>
      <c r="AW856" s="74">
        <f>PRODUCT(AV$4:AV856)</f>
        <v>329.96197109417761</v>
      </c>
    </row>
    <row r="857" spans="44:49">
      <c r="AR857" s="69">
        <f t="shared" si="435"/>
        <v>72</v>
      </c>
      <c r="AS857" s="70">
        <f t="shared" si="437"/>
        <v>854</v>
      </c>
      <c r="AT857" s="71">
        <f t="shared" si="438"/>
        <v>2.8928426260887595E-3</v>
      </c>
      <c r="AU857" s="72">
        <f t="shared" si="434"/>
        <v>6.8214933659622723E-3</v>
      </c>
      <c r="AV857" s="73">
        <f t="shared" si="436"/>
        <v>1.0068214933659623</v>
      </c>
      <c r="AW857" s="74">
        <f>PRODUCT(AV$4:AV857)</f>
        <v>332.21280449101636</v>
      </c>
    </row>
    <row r="858" spans="44:49">
      <c r="AR858" s="69">
        <f t="shared" si="435"/>
        <v>72</v>
      </c>
      <c r="AS858" s="70">
        <f t="shared" si="437"/>
        <v>855</v>
      </c>
      <c r="AT858" s="71">
        <f t="shared" si="438"/>
        <v>2.8731091193061223E-3</v>
      </c>
      <c r="AU858" s="72">
        <f t="shared" si="434"/>
        <v>6.8214933659622723E-3</v>
      </c>
      <c r="AV858" s="73">
        <f t="shared" si="436"/>
        <v>1.0068214933659623</v>
      </c>
      <c r="AW858" s="74">
        <f>PRODUCT(AV$4:AV858)</f>
        <v>334.47899193293955</v>
      </c>
    </row>
    <row r="859" spans="44:49">
      <c r="AR859" s="69">
        <f t="shared" si="435"/>
        <v>72</v>
      </c>
      <c r="AS859" s="70">
        <f t="shared" si="437"/>
        <v>856</v>
      </c>
      <c r="AT859" s="71">
        <f t="shared" si="438"/>
        <v>2.8535102245090898E-3</v>
      </c>
      <c r="AU859" s="72">
        <f t="shared" si="434"/>
        <v>6.8214933659622723E-3</v>
      </c>
      <c r="AV859" s="73">
        <f t="shared" si="436"/>
        <v>1.0068214933659623</v>
      </c>
      <c r="AW859" s="74">
        <f>PRODUCT(AV$4:AV859)</f>
        <v>336.76063815746386</v>
      </c>
    </row>
    <row r="860" spans="44:49">
      <c r="AR860" s="69">
        <f t="shared" si="435"/>
        <v>72</v>
      </c>
      <c r="AS860" s="70">
        <f t="shared" si="437"/>
        <v>857</v>
      </c>
      <c r="AT860" s="71">
        <f t="shared" si="438"/>
        <v>2.8340450234428955E-3</v>
      </c>
      <c r="AU860" s="72">
        <f t="shared" si="434"/>
        <v>6.8214933659622723E-3</v>
      </c>
      <c r="AV860" s="73">
        <f t="shared" si="436"/>
        <v>1.0068214933659623</v>
      </c>
      <c r="AW860" s="74">
        <f>PRODUCT(AV$4:AV860)</f>
        <v>339.05784861657224</v>
      </c>
    </row>
    <row r="861" spans="44:49">
      <c r="AR861" s="69">
        <f t="shared" si="435"/>
        <v>72</v>
      </c>
      <c r="AS861" s="70">
        <f t="shared" si="437"/>
        <v>858</v>
      </c>
      <c r="AT861" s="71">
        <f t="shared" si="438"/>
        <v>2.8147126041166413E-3</v>
      </c>
      <c r="AU861" s="72">
        <f t="shared" si="434"/>
        <v>6.8214933659622723E-3</v>
      </c>
      <c r="AV861" s="73">
        <f t="shared" si="436"/>
        <v>1.0068214933659623</v>
      </c>
      <c r="AW861" s="74">
        <f>PRODUCT(AV$4:AV861)</f>
        <v>341.37072948158766</v>
      </c>
    </row>
    <row r="862" spans="44:49">
      <c r="AR862" s="69">
        <f t="shared" si="435"/>
        <v>72</v>
      </c>
      <c r="AS862" s="70">
        <f t="shared" si="437"/>
        <v>859</v>
      </c>
      <c r="AT862" s="71">
        <f t="shared" si="438"/>
        <v>2.7955120607605693E-3</v>
      </c>
      <c r="AU862" s="72">
        <f t="shared" si="434"/>
        <v>6.8214933659622723E-3</v>
      </c>
      <c r="AV862" s="73">
        <f t="shared" si="436"/>
        <v>1.0068214933659623</v>
      </c>
      <c r="AW862" s="74">
        <f>PRODUCT(AV$4:AV862)</f>
        <v>343.69938764808001</v>
      </c>
    </row>
    <row r="863" spans="44:49">
      <c r="AR863" s="69">
        <f t="shared" si="435"/>
        <v>72</v>
      </c>
      <c r="AS863" s="70">
        <f t="shared" si="437"/>
        <v>860</v>
      </c>
      <c r="AT863" s="71">
        <f t="shared" si="438"/>
        <v>2.7764424937836234E-3</v>
      </c>
      <c r="AU863" s="72">
        <f t="shared" si="434"/>
        <v>6.8214933659622723E-3</v>
      </c>
      <c r="AV863" s="73">
        <f t="shared" si="436"/>
        <v>1.0068214933659623</v>
      </c>
      <c r="AW863" s="74">
        <f>PRODUCT(AV$4:AV863)</f>
        <v>346.04393074080667</v>
      </c>
    </row>
    <row r="864" spans="44:49">
      <c r="AR864" s="69">
        <f t="shared" si="435"/>
        <v>72</v>
      </c>
      <c r="AS864" s="70">
        <f t="shared" si="437"/>
        <v>861</v>
      </c>
      <c r="AT864" s="71">
        <f t="shared" si="438"/>
        <v>2.7575030097313027E-3</v>
      </c>
      <c r="AU864" s="72">
        <f t="shared" si="434"/>
        <v>6.8214933659622723E-3</v>
      </c>
      <c r="AV864" s="73">
        <f t="shared" si="436"/>
        <v>1.0068214933659623</v>
      </c>
      <c r="AW864" s="74">
        <f>PRODUCT(AV$4:AV864)</f>
        <v>348.40446711868657</v>
      </c>
    </row>
    <row r="865" spans="44:49">
      <c r="AR865" s="69">
        <f t="shared" si="435"/>
        <v>72</v>
      </c>
      <c r="AS865" s="70">
        <f t="shared" si="437"/>
        <v>862</v>
      </c>
      <c r="AT865" s="71">
        <f t="shared" si="438"/>
        <v>2.7386927212437995E-3</v>
      </c>
      <c r="AU865" s="72">
        <f t="shared" si="434"/>
        <v>6.8214933659622723E-3</v>
      </c>
      <c r="AV865" s="73">
        <f t="shared" si="436"/>
        <v>1.0068214933659623</v>
      </c>
      <c r="AW865" s="74">
        <f>PRODUCT(AV$4:AV865)</f>
        <v>350.78110587980831</v>
      </c>
    </row>
    <row r="866" spans="44:49">
      <c r="AR866" s="69">
        <f t="shared" si="435"/>
        <v>72</v>
      </c>
      <c r="AS866" s="70">
        <f t="shared" si="437"/>
        <v>863</v>
      </c>
      <c r="AT866" s="71">
        <f t="shared" si="438"/>
        <v>2.7200107470144257E-3</v>
      </c>
      <c r="AU866" s="72">
        <f t="shared" si="434"/>
        <v>6.8214933659622723E-3</v>
      </c>
      <c r="AV866" s="73">
        <f t="shared" si="436"/>
        <v>1.0068214933659623</v>
      </c>
      <c r="AW866" s="74">
        <f>PRODUCT(AV$4:AV866)</f>
        <v>353.17395686647234</v>
      </c>
    </row>
    <row r="867" spans="44:49">
      <c r="AR867" s="69">
        <f t="shared" si="435"/>
        <v>72</v>
      </c>
      <c r="AS867" s="70">
        <f t="shared" si="437"/>
        <v>864</v>
      </c>
      <c r="AT867" s="71">
        <f t="shared" si="438"/>
        <v>2.7014562117483208E-3</v>
      </c>
      <c r="AU867" s="72">
        <f t="shared" si="434"/>
        <v>6.8214933659622723E-3</v>
      </c>
      <c r="AV867" s="73">
        <f t="shared" si="436"/>
        <v>1.0068214933659623</v>
      </c>
      <c r="AW867" s="74">
        <f>PRODUCT(AV$4:AV867)</f>
        <v>355.58313067026762</v>
      </c>
    </row>
    <row r="868" spans="44:49">
      <c r="AR868" s="69">
        <f t="shared" si="435"/>
        <v>73</v>
      </c>
      <c r="AS868" s="70">
        <f t="shared" si="437"/>
        <v>865</v>
      </c>
      <c r="AT868" s="71">
        <f t="shared" si="438"/>
        <v>2.6830282461214419E-3</v>
      </c>
      <c r="AU868" s="72">
        <f t="shared" si="434"/>
        <v>6.8214933659622723E-3</v>
      </c>
      <c r="AV868" s="73">
        <f t="shared" si="436"/>
        <v>1.0068214933659623</v>
      </c>
      <c r="AW868" s="74">
        <f>PRODUCT(AV$4:AV868)</f>
        <v>358.00873863718294</v>
      </c>
    </row>
    <row r="869" spans="44:49">
      <c r="AR869" s="69">
        <f t="shared" si="435"/>
        <v>73</v>
      </c>
      <c r="AS869" s="70">
        <f t="shared" si="437"/>
        <v>866</v>
      </c>
      <c r="AT869" s="71">
        <f t="shared" si="438"/>
        <v>2.664725986739835E-3</v>
      </c>
      <c r="AU869" s="72">
        <f t="shared" si="434"/>
        <v>6.8214933659622723E-3</v>
      </c>
      <c r="AV869" s="73">
        <f t="shared" si="436"/>
        <v>1.0068214933659623</v>
      </c>
      <c r="AW869" s="74">
        <f>PRODUCT(AV$4:AV869)</f>
        <v>360.450892872753</v>
      </c>
    </row>
    <row r="870" spans="44:49">
      <c r="AR870" s="69">
        <f t="shared" si="435"/>
        <v>73</v>
      </c>
      <c r="AS870" s="70">
        <f t="shared" si="437"/>
        <v>867</v>
      </c>
      <c r="AT870" s="71">
        <f t="shared" si="438"/>
        <v>2.6465485760991821E-3</v>
      </c>
      <c r="AU870" s="72">
        <f t="shared" si="434"/>
        <v>6.8214933659622723E-3</v>
      </c>
      <c r="AV870" s="73">
        <f t="shared" si="436"/>
        <v>1.0068214933659623</v>
      </c>
      <c r="AW870" s="74">
        <f>PRODUCT(AV$4:AV870)</f>
        <v>362.90970624723968</v>
      </c>
    </row>
    <row r="871" spans="44:49">
      <c r="AR871" s="69">
        <f t="shared" si="435"/>
        <v>73</v>
      </c>
      <c r="AS871" s="70">
        <f t="shared" si="437"/>
        <v>868</v>
      </c>
      <c r="AT871" s="71">
        <f t="shared" si="438"/>
        <v>2.6284951625446247E-3</v>
      </c>
      <c r="AU871" s="72">
        <f t="shared" si="434"/>
        <v>6.8214933659622723E-3</v>
      </c>
      <c r="AV871" s="73">
        <f t="shared" si="436"/>
        <v>1.0068214933659623</v>
      </c>
      <c r="AW871" s="74">
        <f>PRODUCT(AV$4:AV871)</f>
        <v>365.38529240084853</v>
      </c>
    </row>
    <row r="872" spans="44:49">
      <c r="AR872" s="69">
        <f t="shared" si="435"/>
        <v>73</v>
      </c>
      <c r="AS872" s="70">
        <f t="shared" si="437"/>
        <v>869</v>
      </c>
      <c r="AT872" s="71">
        <f t="shared" si="438"/>
        <v>2.6105649002308626E-3</v>
      </c>
      <c r="AU872" s="72">
        <f t="shared" si="434"/>
        <v>6.8214933659622723E-3</v>
      </c>
      <c r="AV872" s="73">
        <f t="shared" si="436"/>
        <v>1.0068214933659623</v>
      </c>
      <c r="AW872" s="74">
        <f>PRODUCT(AV$4:AV872)</f>
        <v>367.87776574898112</v>
      </c>
    </row>
    <row r="873" spans="44:49">
      <c r="AR873" s="69">
        <f t="shared" si="435"/>
        <v>73</v>
      </c>
      <c r="AS873" s="70">
        <f t="shared" si="437"/>
        <v>870</v>
      </c>
      <c r="AT873" s="71">
        <f t="shared" si="438"/>
        <v>2.5927569490825238E-3</v>
      </c>
      <c r="AU873" s="72">
        <f t="shared" si="434"/>
        <v>6.8214933659622723E-3</v>
      </c>
      <c r="AV873" s="73">
        <f t="shared" si="436"/>
        <v>1.0068214933659623</v>
      </c>
      <c r="AW873" s="74">
        <f>PRODUCT(AV$4:AV873)</f>
        <v>370.38724148752283</v>
      </c>
    </row>
    <row r="874" spans="44:49">
      <c r="AR874" s="69">
        <f t="shared" si="435"/>
        <v>73</v>
      </c>
      <c r="AS874" s="70">
        <f t="shared" si="437"/>
        <v>871</v>
      </c>
      <c r="AT874" s="71">
        <f t="shared" si="438"/>
        <v>2.575070474754805E-3</v>
      </c>
      <c r="AU874" s="72">
        <f t="shared" si="434"/>
        <v>6.8214933659622723E-3</v>
      </c>
      <c r="AV874" s="73">
        <f t="shared" si="436"/>
        <v>1.0068214933659623</v>
      </c>
      <c r="AW874" s="74">
        <f>PRODUCT(AV$4:AV874)</f>
        <v>372.91383559816705</v>
      </c>
    </row>
    <row r="875" spans="44:49">
      <c r="AR875" s="69">
        <f t="shared" si="435"/>
        <v>73</v>
      </c>
      <c r="AS875" s="70">
        <f t="shared" si="437"/>
        <v>872</v>
      </c>
      <c r="AT875" s="71">
        <f t="shared" si="438"/>
        <v>2.5575046485943795E-3</v>
      </c>
      <c r="AU875" s="72">
        <f t="shared" si="434"/>
        <v>6.8214933659622723E-3</v>
      </c>
      <c r="AV875" s="73">
        <f t="shared" si="436"/>
        <v>1.0068214933659623</v>
      </c>
      <c r="AW875" s="74">
        <f>PRODUCT(AV$4:AV875)</f>
        <v>375.4576648537755</v>
      </c>
    </row>
    <row r="876" spans="44:49">
      <c r="AR876" s="69">
        <f t="shared" si="435"/>
        <v>73</v>
      </c>
      <c r="AS876" s="70">
        <f t="shared" si="437"/>
        <v>873</v>
      </c>
      <c r="AT876" s="71">
        <f t="shared" si="438"/>
        <v>2.5400586476005751E-3</v>
      </c>
      <c r="AU876" s="72">
        <f t="shared" si="434"/>
        <v>6.8214933659622723E-3</v>
      </c>
      <c r="AV876" s="73">
        <f t="shared" si="436"/>
        <v>1.0068214933659623</v>
      </c>
      <c r="AW876" s="74">
        <f>PRODUCT(AV$4:AV876)</f>
        <v>378.01884682377522</v>
      </c>
    </row>
    <row r="877" spans="44:49">
      <c r="AR877" s="69">
        <f t="shared" si="435"/>
        <v>73</v>
      </c>
      <c r="AS877" s="70">
        <f t="shared" si="437"/>
        <v>874</v>
      </c>
      <c r="AT877" s="71">
        <f t="shared" si="438"/>
        <v>2.5227316543868128E-3</v>
      </c>
      <c r="AU877" s="72">
        <f t="shared" si="434"/>
        <v>6.8214933659622723E-3</v>
      </c>
      <c r="AV877" s="73">
        <f t="shared" si="436"/>
        <v>1.0068214933659623</v>
      </c>
      <c r="AW877" s="74">
        <f>PRODUCT(AV$4:AV877)</f>
        <v>380.59749987959231</v>
      </c>
    </row>
    <row r="878" spans="44:49">
      <c r="AR878" s="69">
        <f t="shared" si="435"/>
        <v>73</v>
      </c>
      <c r="AS878" s="70">
        <f t="shared" si="437"/>
        <v>875</v>
      </c>
      <c r="AT878" s="71">
        <f t="shared" si="438"/>
        <v>2.5055228571423103E-3</v>
      </c>
      <c r="AU878" s="72">
        <f t="shared" si="434"/>
        <v>6.8214933659622723E-3</v>
      </c>
      <c r="AV878" s="73">
        <f t="shared" si="436"/>
        <v>1.0068214933659623</v>
      </c>
      <c r="AW878" s="74">
        <f>PRODUCT(AV$4:AV878)</f>
        <v>383.19374320012275</v>
      </c>
    </row>
    <row r="879" spans="44:49">
      <c r="AR879" s="69">
        <f t="shared" si="435"/>
        <v>73</v>
      </c>
      <c r="AS879" s="70">
        <f t="shared" si="437"/>
        <v>876</v>
      </c>
      <c r="AT879" s="71">
        <f t="shared" si="438"/>
        <v>2.488431449594047E-3</v>
      </c>
      <c r="AU879" s="72">
        <f t="shared" si="434"/>
        <v>6.8214933659622723E-3</v>
      </c>
      <c r="AV879" s="73">
        <f t="shared" si="436"/>
        <v>1.0068214933659623</v>
      </c>
      <c r="AW879" s="74">
        <f>PRODUCT(AV$4:AV879)</f>
        <v>385.80769677724066</v>
      </c>
    </row>
    <row r="880" spans="44:49">
      <c r="AR880" s="69">
        <f t="shared" si="435"/>
        <v>74</v>
      </c>
      <c r="AS880" s="70">
        <f t="shared" si="437"/>
        <v>877</v>
      </c>
      <c r="AT880" s="71">
        <f t="shared" si="438"/>
        <v>2.4714566309689892E-3</v>
      </c>
      <c r="AU880" s="72">
        <f t="shared" si="434"/>
        <v>6.8214933659622723E-3</v>
      </c>
      <c r="AV880" s="73">
        <f t="shared" si="436"/>
        <v>1.0068214933659623</v>
      </c>
      <c r="AW880" s="74">
        <f>PRODUCT(AV$4:AV880)</f>
        <v>388.43948142134377</v>
      </c>
    </row>
    <row r="881" spans="44:49">
      <c r="AR881" s="69">
        <f t="shared" si="435"/>
        <v>74</v>
      </c>
      <c r="AS881" s="70">
        <f t="shared" si="437"/>
        <v>878</v>
      </c>
      <c r="AT881" s="71">
        <f t="shared" si="438"/>
        <v>2.4545976059565707E-3</v>
      </c>
      <c r="AU881" s="72">
        <f t="shared" si="434"/>
        <v>6.8214933659622723E-3</v>
      </c>
      <c r="AV881" s="73">
        <f t="shared" si="436"/>
        <v>1.0068214933659623</v>
      </c>
      <c r="AW881" s="74">
        <f>PRODUCT(AV$4:AV881)</f>
        <v>391.08921876693728</v>
      </c>
    </row>
    <row r="882" spans="44:49">
      <c r="AR882" s="69">
        <f t="shared" si="435"/>
        <v>74</v>
      </c>
      <c r="AS882" s="70">
        <f t="shared" si="437"/>
        <v>879</v>
      </c>
      <c r="AT882" s="71">
        <f t="shared" si="438"/>
        <v>2.4378535846714313E-3</v>
      </c>
      <c r="AU882" s="72">
        <f t="shared" si="434"/>
        <v>6.8214933659622723E-3</v>
      </c>
      <c r="AV882" s="73">
        <f t="shared" si="436"/>
        <v>1.0068214933659623</v>
      </c>
      <c r="AW882" s="74">
        <f>PRODUCT(AV$4:AV882)</f>
        <v>393.75703127825528</v>
      </c>
    </row>
    <row r="883" spans="44:49">
      <c r="AR883" s="69">
        <f t="shared" si="435"/>
        <v>74</v>
      </c>
      <c r="AS883" s="70">
        <f t="shared" si="437"/>
        <v>880</v>
      </c>
      <c r="AT883" s="71">
        <f t="shared" si="438"/>
        <v>2.421223782616408E-3</v>
      </c>
      <c r="AU883" s="72">
        <f t="shared" si="434"/>
        <v>6.8214933659622723E-3</v>
      </c>
      <c r="AV883" s="73">
        <f t="shared" si="436"/>
        <v>1.0068214933659623</v>
      </c>
      <c r="AW883" s="74">
        <f>PRODUCT(AV$4:AV883)</f>
        <v>396.4430422549209</v>
      </c>
    </row>
    <row r="884" spans="44:49">
      <c r="AR884" s="69">
        <f t="shared" si="435"/>
        <v>74</v>
      </c>
      <c r="AS884" s="70">
        <f t="shared" si="437"/>
        <v>881</v>
      </c>
      <c r="AT884" s="71">
        <f t="shared" si="438"/>
        <v>2.4047074206457802E-3</v>
      </c>
      <c r="AU884" s="72">
        <f t="shared" si="434"/>
        <v>6.8214933659622723E-3</v>
      </c>
      <c r="AV884" s="73">
        <f t="shared" si="436"/>
        <v>1.0068214933659623</v>
      </c>
      <c r="AW884" s="74">
        <f>PRODUCT(AV$4:AV884)</f>
        <v>399.14737583764474</v>
      </c>
    </row>
    <row r="885" spans="44:49">
      <c r="AR885" s="69">
        <f t="shared" si="435"/>
        <v>74</v>
      </c>
      <c r="AS885" s="70">
        <f t="shared" si="437"/>
        <v>882</v>
      </c>
      <c r="AT885" s="71">
        <f t="shared" si="438"/>
        <v>2.3883037249287646E-3</v>
      </c>
      <c r="AU885" s="72">
        <f t="shared" si="434"/>
        <v>6.8214933659622723E-3</v>
      </c>
      <c r="AV885" s="73">
        <f t="shared" si="436"/>
        <v>1.0068214933659623</v>
      </c>
      <c r="AW885" s="74">
        <f>PRODUCT(AV$4:AV885)</f>
        <v>401.87015701396251</v>
      </c>
    </row>
    <row r="886" spans="44:49">
      <c r="AR886" s="69">
        <f t="shared" si="435"/>
        <v>74</v>
      </c>
      <c r="AS886" s="70">
        <f t="shared" si="437"/>
        <v>883</v>
      </c>
      <c r="AT886" s="71">
        <f t="shared" si="438"/>
        <v>2.3720119269132599E-3</v>
      </c>
      <c r="AU886" s="72">
        <f t="shared" si="434"/>
        <v>6.8214933659622723E-3</v>
      </c>
      <c r="AV886" s="73">
        <f t="shared" si="436"/>
        <v>1.0068214933659623</v>
      </c>
      <c r="AW886" s="74">
        <f>PRODUCT(AV$4:AV886)</f>
        <v>404.61151162401148</v>
      </c>
    </row>
    <row r="887" spans="44:49">
      <c r="AR887" s="69">
        <f t="shared" si="435"/>
        <v>74</v>
      </c>
      <c r="AS887" s="70">
        <f t="shared" si="437"/>
        <v>884</v>
      </c>
      <c r="AT887" s="71">
        <f t="shared" si="438"/>
        <v>2.3558312632898379E-3</v>
      </c>
      <c r="AU887" s="72">
        <f t="shared" si="434"/>
        <v>6.8214933659622723E-3</v>
      </c>
      <c r="AV887" s="73">
        <f t="shared" si="436"/>
        <v>1.0068214933659623</v>
      </c>
      <c r="AW887" s="74">
        <f>PRODUCT(AV$4:AV887)</f>
        <v>407.37156636634666</v>
      </c>
    </row>
    <row r="888" spans="44:49">
      <c r="AR888" s="69">
        <f t="shared" si="435"/>
        <v>74</v>
      </c>
      <c r="AS888" s="70">
        <f t="shared" si="437"/>
        <v>885</v>
      </c>
      <c r="AT888" s="71">
        <f t="shared" si="438"/>
        <v>2.3397609759559799E-3</v>
      </c>
      <c r="AU888" s="72">
        <f t="shared" si="434"/>
        <v>6.8214933659622723E-3</v>
      </c>
      <c r="AV888" s="73">
        <f t="shared" si="436"/>
        <v>1.0068214933659623</v>
      </c>
      <c r="AW888" s="74">
        <f>PRODUCT(AV$4:AV888)</f>
        <v>410.15044880379634</v>
      </c>
    </row>
    <row r="889" spans="44:49">
      <c r="AR889" s="69">
        <f t="shared" si="435"/>
        <v>74</v>
      </c>
      <c r="AS889" s="70">
        <f t="shared" si="437"/>
        <v>886</v>
      </c>
      <c r="AT889" s="71">
        <f t="shared" si="438"/>
        <v>2.3238003119805586E-3</v>
      </c>
      <c r="AU889" s="72">
        <f t="shared" si="434"/>
        <v>6.8214933659622723E-3</v>
      </c>
      <c r="AV889" s="73">
        <f t="shared" si="436"/>
        <v>1.0068214933659623</v>
      </c>
      <c r="AW889" s="74">
        <f>PRODUCT(AV$4:AV889)</f>
        <v>412.9482873693579</v>
      </c>
    </row>
    <row r="890" spans="44:49">
      <c r="AR890" s="69">
        <f t="shared" si="435"/>
        <v>74</v>
      </c>
      <c r="AS890" s="70">
        <f t="shared" si="437"/>
        <v>887</v>
      </c>
      <c r="AT890" s="71">
        <f t="shared" si="438"/>
        <v>2.307948523568562E-3</v>
      </c>
      <c r="AU890" s="72">
        <f t="shared" si="434"/>
        <v>6.8214933659622723E-3</v>
      </c>
      <c r="AV890" s="73">
        <f t="shared" si="436"/>
        <v>1.0068214933659623</v>
      </c>
      <c r="AW890" s="74">
        <f>PRODUCT(AV$4:AV890)</f>
        <v>415.76521137213348</v>
      </c>
    </row>
    <row r="891" spans="44:49">
      <c r="AR891" s="69">
        <f t="shared" si="435"/>
        <v>74</v>
      </c>
      <c r="AS891" s="70">
        <f t="shared" si="437"/>
        <v>888</v>
      </c>
      <c r="AT891" s="71">
        <f t="shared" si="438"/>
        <v>2.2922048680260568E-3</v>
      </c>
      <c r="AU891" s="72">
        <f t="shared" si="434"/>
        <v>6.8214933659622723E-3</v>
      </c>
      <c r="AV891" s="73">
        <f t="shared" si="436"/>
        <v>1.0068214933659623</v>
      </c>
      <c r="AW891" s="74">
        <f>PRODUCT(AV$4:AV891)</f>
        <v>418.60135100330638</v>
      </c>
    </row>
    <row r="892" spans="44:49">
      <c r="AR892" s="69">
        <f t="shared" si="435"/>
        <v>75</v>
      </c>
      <c r="AS892" s="70">
        <f t="shared" si="437"/>
        <v>889</v>
      </c>
      <c r="AT892" s="71">
        <f t="shared" si="438"/>
        <v>2.2765686077253905E-3</v>
      </c>
      <c r="AU892" s="72">
        <f t="shared" si="434"/>
        <v>6.8214933659622723E-3</v>
      </c>
      <c r="AV892" s="73">
        <f t="shared" si="436"/>
        <v>1.0068214933659623</v>
      </c>
      <c r="AW892" s="74">
        <f>PRODUCT(AV$4:AV892)</f>
        <v>421.45683734215828</v>
      </c>
    </row>
    <row r="893" spans="44:49">
      <c r="AR893" s="69">
        <f t="shared" si="435"/>
        <v>75</v>
      </c>
      <c r="AS893" s="70">
        <f t="shared" si="437"/>
        <v>890</v>
      </c>
      <c r="AT893" s="71">
        <f t="shared" si="438"/>
        <v>2.2610390100706338E-3</v>
      </c>
      <c r="AU893" s="72">
        <f t="shared" si="434"/>
        <v>6.8214933659622723E-3</v>
      </c>
      <c r="AV893" s="73">
        <f t="shared" si="436"/>
        <v>1.0068214933659623</v>
      </c>
      <c r="AW893" s="74">
        <f>PRODUCT(AV$4:AV893)</f>
        <v>424.33180236212723</v>
      </c>
    </row>
    <row r="894" spans="44:49">
      <c r="AR894" s="69">
        <f t="shared" si="435"/>
        <v>75</v>
      </c>
      <c r="AS894" s="70">
        <f t="shared" si="437"/>
        <v>891</v>
      </c>
      <c r="AT894" s="71">
        <f t="shared" si="438"/>
        <v>2.2456153474632551E-3</v>
      </c>
      <c r="AU894" s="72">
        <f t="shared" si="434"/>
        <v>6.8214933659622723E-3</v>
      </c>
      <c r="AV894" s="73">
        <f t="shared" si="436"/>
        <v>1.0068214933659623</v>
      </c>
      <c r="AW894" s="74">
        <f>PRODUCT(AV$4:AV894)</f>
        <v>427.22637893690728</v>
      </c>
    </row>
    <row r="895" spans="44:49">
      <c r="AR895" s="69">
        <f t="shared" si="435"/>
        <v>75</v>
      </c>
      <c r="AS895" s="70">
        <f t="shared" si="437"/>
        <v>892</v>
      </c>
      <c r="AT895" s="71">
        <f t="shared" si="438"/>
        <v>2.2302968972680312E-3</v>
      </c>
      <c r="AU895" s="72">
        <f t="shared" si="434"/>
        <v>6.8214933659622723E-3</v>
      </c>
      <c r="AV895" s="73">
        <f t="shared" si="436"/>
        <v>1.0068214933659623</v>
      </c>
      <c r="AW895" s="74">
        <f>PRODUCT(AV$4:AV895)</f>
        <v>430.14070084658948</v>
      </c>
    </row>
    <row r="896" spans="44:49">
      <c r="AR896" s="69">
        <f t="shared" si="435"/>
        <v>75</v>
      </c>
      <c r="AS896" s="70">
        <f t="shared" si="437"/>
        <v>893</v>
      </c>
      <c r="AT896" s="71">
        <f t="shared" si="438"/>
        <v>2.2150829417791913E-3</v>
      </c>
      <c r="AU896" s="72">
        <f t="shared" si="434"/>
        <v>6.8214933659622723E-3</v>
      </c>
      <c r="AV896" s="73">
        <f t="shared" si="436"/>
        <v>1.0068214933659623</v>
      </c>
      <c r="AW896" s="74">
        <f>PRODUCT(AV$4:AV896)</f>
        <v>433.07490278384483</v>
      </c>
    </row>
    <row r="897" spans="44:49">
      <c r="AR897" s="69">
        <f t="shared" si="435"/>
        <v>75</v>
      </c>
      <c r="AS897" s="70">
        <f t="shared" si="437"/>
        <v>894</v>
      </c>
      <c r="AT897" s="71">
        <f t="shared" si="438"/>
        <v>2.1999727681867882E-3</v>
      </c>
      <c r="AU897" s="72">
        <f t="shared" si="434"/>
        <v>6.8214933659622723E-3</v>
      </c>
      <c r="AV897" s="73">
        <f t="shared" si="436"/>
        <v>1.0068214933659623</v>
      </c>
      <c r="AW897" s="74">
        <f>PRODUCT(AV$4:AV897)</f>
        <v>436.02912036014959</v>
      </c>
    </row>
    <row r="898" spans="44:49">
      <c r="AR898" s="69">
        <f t="shared" si="435"/>
        <v>75</v>
      </c>
      <c r="AS898" s="70">
        <f t="shared" si="437"/>
        <v>895</v>
      </c>
      <c r="AT898" s="71">
        <f t="shared" si="438"/>
        <v>2.1849656685433041E-3</v>
      </c>
      <c r="AU898" s="72">
        <f t="shared" si="434"/>
        <v>6.8214933659622723E-3</v>
      </c>
      <c r="AV898" s="73">
        <f t="shared" si="436"/>
        <v>1.0068214933659623</v>
      </c>
      <c r="AW898" s="74">
        <f>PRODUCT(AV$4:AV898)</f>
        <v>439.0034901120527</v>
      </c>
    </row>
    <row r="899" spans="44:49">
      <c r="AR899" s="69">
        <f t="shared" si="435"/>
        <v>75</v>
      </c>
      <c r="AS899" s="70">
        <f t="shared" si="437"/>
        <v>896</v>
      </c>
      <c r="AT899" s="71">
        <f t="shared" si="438"/>
        <v>2.1700609397304806E-3</v>
      </c>
      <c r="AU899" s="72">
        <f t="shared" si="434"/>
        <v>6.8214933659622723E-3</v>
      </c>
      <c r="AV899" s="73">
        <f t="shared" si="436"/>
        <v>1.0068214933659623</v>
      </c>
      <c r="AW899" s="74">
        <f>PRODUCT(AV$4:AV899)</f>
        <v>441.99814950748635</v>
      </c>
    </row>
    <row r="900" spans="44:49">
      <c r="AR900" s="69">
        <f t="shared" si="435"/>
        <v>75</v>
      </c>
      <c r="AS900" s="70">
        <f t="shared" si="437"/>
        <v>897</v>
      </c>
      <c r="AT900" s="71">
        <f t="shared" si="438"/>
        <v>2.1552578834263753E-3</v>
      </c>
      <c r="AU900" s="72">
        <f t="shared" ref="AU900:AU963" si="439">((1+$AH$21)^(1/12))-1</f>
        <v>6.8214933659622723E-3</v>
      </c>
      <c r="AV900" s="73">
        <f t="shared" si="436"/>
        <v>1.0068214933659623</v>
      </c>
      <c r="AW900" s="74">
        <f>PRODUCT(AV$4:AV900)</f>
        <v>445.01323695211926</v>
      </c>
    </row>
    <row r="901" spans="44:49">
      <c r="AR901" s="69">
        <f t="shared" ref="AR901:AR964" si="440">ROUNDDOWN((AS901-1)/12,0)+1</f>
        <v>75</v>
      </c>
      <c r="AS901" s="70">
        <f t="shared" si="437"/>
        <v>898</v>
      </c>
      <c r="AT901" s="71">
        <f t="shared" si="438"/>
        <v>2.1405558060726445E-3</v>
      </c>
      <c r="AU901" s="72">
        <f t="shared" si="439"/>
        <v>6.8214933659622723E-3</v>
      </c>
      <c r="AV901" s="73">
        <f t="shared" ref="AV901:AV964" si="441">(1+AU901)</f>
        <v>1.0068214933659623</v>
      </c>
      <c r="AW901" s="74">
        <f>PRODUCT(AV$4:AV901)</f>
        <v>448.04889179575355</v>
      </c>
    </row>
    <row r="902" spans="44:49">
      <c r="AR902" s="69">
        <f t="shared" si="440"/>
        <v>75</v>
      </c>
      <c r="AS902" s="70">
        <f t="shared" ref="AS902:AS965" si="442">AS901+1</f>
        <v>899</v>
      </c>
      <c r="AT902" s="71">
        <f t="shared" ref="AT902:AT965" si="443">(1-AU902)*AT901</f>
        <v>2.1259540188420479E-3</v>
      </c>
      <c r="AU902" s="72">
        <f t="shared" si="439"/>
        <v>6.8214933659622723E-3</v>
      </c>
      <c r="AV902" s="73">
        <f t="shared" si="441"/>
        <v>1.0068214933659623</v>
      </c>
      <c r="AW902" s="74">
        <f>PRODUCT(AV$4:AV902)</f>
        <v>451.10525433876501</v>
      </c>
    </row>
    <row r="903" spans="44:49">
      <c r="AR903" s="69">
        <f t="shared" si="440"/>
        <v>75</v>
      </c>
      <c r="AS903" s="70">
        <f t="shared" si="442"/>
        <v>900</v>
      </c>
      <c r="AT903" s="71">
        <f t="shared" si="443"/>
        <v>2.1114518376061761E-3</v>
      </c>
      <c r="AU903" s="72">
        <f t="shared" si="439"/>
        <v>6.8214933659622723E-3</v>
      </c>
      <c r="AV903" s="73">
        <f t="shared" si="441"/>
        <v>1.0068214933659623</v>
      </c>
      <c r="AW903" s="74">
        <f>PRODUCT(AV$4:AV903)</f>
        <v>454.18246583858763</v>
      </c>
    </row>
    <row r="904" spans="44:49">
      <c r="AR904" s="69">
        <f t="shared" si="440"/>
        <v>76</v>
      </c>
      <c r="AS904" s="70">
        <f t="shared" si="442"/>
        <v>901</v>
      </c>
      <c r="AT904" s="71">
        <f t="shared" si="443"/>
        <v>2.0970485829033968E-3</v>
      </c>
      <c r="AU904" s="72">
        <f t="shared" si="439"/>
        <v>6.8214933659622723E-3</v>
      </c>
      <c r="AV904" s="73">
        <f t="shared" si="441"/>
        <v>1.0068214933659623</v>
      </c>
      <c r="AW904" s="74">
        <f>PRODUCT(AV$4:AV904)</f>
        <v>457.28066851624192</v>
      </c>
    </row>
    <row r="905" spans="44:49">
      <c r="AR905" s="69">
        <f t="shared" si="440"/>
        <v>76</v>
      </c>
      <c r="AS905" s="70">
        <f t="shared" si="442"/>
        <v>902</v>
      </c>
      <c r="AT905" s="71">
        <f t="shared" si="443"/>
        <v>2.0827435799070206E-3</v>
      </c>
      <c r="AU905" s="72">
        <f t="shared" si="439"/>
        <v>6.8214933659622723E-3</v>
      </c>
      <c r="AV905" s="73">
        <f t="shared" si="441"/>
        <v>1.0068214933659623</v>
      </c>
      <c r="AW905" s="74">
        <f>PRODUCT(AV$4:AV905)</f>
        <v>460.40000556290823</v>
      </c>
    </row>
    <row r="906" spans="44:49">
      <c r="AR906" s="69">
        <f t="shared" si="440"/>
        <v>76</v>
      </c>
      <c r="AS906" s="70">
        <f t="shared" si="442"/>
        <v>903</v>
      </c>
      <c r="AT906" s="71">
        <f t="shared" si="443"/>
        <v>2.0685361583936842E-3</v>
      </c>
      <c r="AU906" s="72">
        <f t="shared" si="439"/>
        <v>6.8214933659622723E-3</v>
      </c>
      <c r="AV906" s="73">
        <f t="shared" si="441"/>
        <v>1.0068214933659623</v>
      </c>
      <c r="AW906" s="74">
        <f>PRODUCT(AV$4:AV906)</f>
        <v>463.54062114654459</v>
      </c>
    </row>
    <row r="907" spans="44:49">
      <c r="AR907" s="69">
        <f t="shared" si="440"/>
        <v>76</v>
      </c>
      <c r="AS907" s="70">
        <f t="shared" si="442"/>
        <v>904</v>
      </c>
      <c r="AT907" s="71">
        <f t="shared" si="443"/>
        <v>2.0544256527119486E-3</v>
      </c>
      <c r="AU907" s="72">
        <f t="shared" si="439"/>
        <v>6.8214933659622723E-3</v>
      </c>
      <c r="AV907" s="73">
        <f t="shared" si="441"/>
        <v>1.0068214933659623</v>
      </c>
      <c r="AW907" s="74">
        <f>PRODUCT(AV$4:AV907)</f>
        <v>466.70266041854978</v>
      </c>
    </row>
    <row r="908" spans="44:49">
      <c r="AR908" s="69">
        <f t="shared" si="440"/>
        <v>76</v>
      </c>
      <c r="AS908" s="70">
        <f t="shared" si="442"/>
        <v>905</v>
      </c>
      <c r="AT908" s="71">
        <f t="shared" si="443"/>
        <v>2.0404114017511113E-3</v>
      </c>
      <c r="AU908" s="72">
        <f t="shared" si="439"/>
        <v>6.8214933659622723E-3</v>
      </c>
      <c r="AV908" s="73">
        <f t="shared" si="441"/>
        <v>1.0068214933659623</v>
      </c>
      <c r="AW908" s="74">
        <f>PRODUCT(AV$4:AV908)</f>
        <v>469.88626952047184</v>
      </c>
    </row>
    <row r="909" spans="44:49">
      <c r="AR909" s="69">
        <f t="shared" si="440"/>
        <v>76</v>
      </c>
      <c r="AS909" s="70">
        <f t="shared" si="442"/>
        <v>906</v>
      </c>
      <c r="AT909" s="71">
        <f t="shared" si="443"/>
        <v>2.0264927489102324E-3</v>
      </c>
      <c r="AU909" s="72">
        <f t="shared" si="439"/>
        <v>6.8214933659622723E-3</v>
      </c>
      <c r="AV909" s="73">
        <f t="shared" si="441"/>
        <v>1.0068214933659623</v>
      </c>
      <c r="AW909" s="74">
        <f>PRODUCT(AV$4:AV909)</f>
        <v>473.09159559076249</v>
      </c>
    </row>
    <row r="910" spans="44:49">
      <c r="AR910" s="69">
        <f t="shared" si="440"/>
        <v>76</v>
      </c>
      <c r="AS910" s="70">
        <f t="shared" si="442"/>
        <v>907</v>
      </c>
      <c r="AT910" s="71">
        <f t="shared" si="443"/>
        <v>2.0126690420673708E-3</v>
      </c>
      <c r="AU910" s="72">
        <f t="shared" si="439"/>
        <v>6.8214933659622723E-3</v>
      </c>
      <c r="AV910" s="73">
        <f t="shared" si="441"/>
        <v>1.0068214933659623</v>
      </c>
      <c r="AW910" s="74">
        <f>PRODUCT(AV$4:AV910)</f>
        <v>476.31878677157738</v>
      </c>
    </row>
    <row r="911" spans="44:49">
      <c r="AR911" s="69">
        <f t="shared" si="440"/>
        <v>76</v>
      </c>
      <c r="AS911" s="70">
        <f t="shared" si="442"/>
        <v>908</v>
      </c>
      <c r="AT911" s="71">
        <f t="shared" si="443"/>
        <v>1.9989396335490304E-3</v>
      </c>
      <c r="AU911" s="72">
        <f t="shared" si="439"/>
        <v>6.8214933659622723E-3</v>
      </c>
      <c r="AV911" s="73">
        <f t="shared" si="441"/>
        <v>1.0068214933659623</v>
      </c>
      <c r="AW911" s="74">
        <f>PRODUCT(AV$4:AV911)</f>
        <v>479.56799221562289</v>
      </c>
    </row>
    <row r="912" spans="44:49">
      <c r="AR912" s="69">
        <f t="shared" si="440"/>
        <v>76</v>
      </c>
      <c r="AS912" s="70">
        <f t="shared" si="442"/>
        <v>909</v>
      </c>
      <c r="AT912" s="71">
        <f t="shared" si="443"/>
        <v>1.9853038800998167E-3</v>
      </c>
      <c r="AU912" s="72">
        <f t="shared" si="439"/>
        <v>6.8214933659622723E-3</v>
      </c>
      <c r="AV912" s="73">
        <f t="shared" si="441"/>
        <v>1.0068214933659623</v>
      </c>
      <c r="AW912" s="74">
        <f>PRODUCT(AV$4:AV912)</f>
        <v>482.8393620930496</v>
      </c>
    </row>
    <row r="913" spans="44:49">
      <c r="AR913" s="69">
        <f t="shared" si="440"/>
        <v>76</v>
      </c>
      <c r="AS913" s="70">
        <f t="shared" si="442"/>
        <v>910</v>
      </c>
      <c r="AT913" s="71">
        <f t="shared" si="443"/>
        <v>1.9717611428522967E-3</v>
      </c>
      <c r="AU913" s="72">
        <f t="shared" si="439"/>
        <v>6.8214933659622723E-3</v>
      </c>
      <c r="AV913" s="73">
        <f t="shared" si="441"/>
        <v>1.0068214933659623</v>
      </c>
      <c r="AW913" s="74">
        <f>PRODUCT(AV$4:AV913)</f>
        <v>486.13304759839281</v>
      </c>
    </row>
    <row r="914" spans="44:49">
      <c r="AR914" s="69">
        <f t="shared" si="440"/>
        <v>76</v>
      </c>
      <c r="AS914" s="70">
        <f t="shared" si="442"/>
        <v>911</v>
      </c>
      <c r="AT914" s="71">
        <f t="shared" si="443"/>
        <v>1.9583107872970674E-3</v>
      </c>
      <c r="AU914" s="72">
        <f t="shared" si="439"/>
        <v>6.8214933659622723E-3</v>
      </c>
      <c r="AV914" s="73">
        <f t="shared" si="441"/>
        <v>1.0068214933659623</v>
      </c>
      <c r="AW914" s="74">
        <f>PRODUCT(AV$4:AV914)</f>
        <v>489.44920095756027</v>
      </c>
    </row>
    <row r="915" spans="44:49">
      <c r="AR915" s="69">
        <f t="shared" si="440"/>
        <v>76</v>
      </c>
      <c r="AS915" s="70">
        <f t="shared" si="442"/>
        <v>912</v>
      </c>
      <c r="AT915" s="71">
        <f t="shared" si="443"/>
        <v>1.944952183253028E-3</v>
      </c>
      <c r="AU915" s="72">
        <f t="shared" si="439"/>
        <v>6.8214933659622723E-3</v>
      </c>
      <c r="AV915" s="73">
        <f t="shared" si="441"/>
        <v>1.0068214933659623</v>
      </c>
      <c r="AW915" s="74">
        <f>PRODUCT(AV$4:AV915)</f>
        <v>492.7879754348678</v>
      </c>
    </row>
    <row r="916" spans="44:49">
      <c r="AR916" s="69">
        <f t="shared" si="440"/>
        <v>77</v>
      </c>
      <c r="AS916" s="70">
        <f t="shared" si="442"/>
        <v>913</v>
      </c>
      <c r="AT916" s="71">
        <f t="shared" si="443"/>
        <v>1.9316847048378536E-3</v>
      </c>
      <c r="AU916" s="72">
        <f t="shared" si="439"/>
        <v>6.8214933659622723E-3</v>
      </c>
      <c r="AV916" s="73">
        <f t="shared" si="441"/>
        <v>1.0068214933659623</v>
      </c>
      <c r="AW916" s="74">
        <f>PRODUCT(AV$4:AV916)</f>
        <v>496.14952534012275</v>
      </c>
    </row>
    <row r="917" spans="44:49">
      <c r="AR917" s="69">
        <f t="shared" si="440"/>
        <v>77</v>
      </c>
      <c r="AS917" s="70">
        <f t="shared" si="442"/>
        <v>914</v>
      </c>
      <c r="AT917" s="71">
        <f t="shared" si="443"/>
        <v>1.9185077304386714E-3</v>
      </c>
      <c r="AU917" s="72">
        <f t="shared" si="439"/>
        <v>6.8214933659622723E-3</v>
      </c>
      <c r="AV917" s="73">
        <f t="shared" si="441"/>
        <v>1.0068214933659623</v>
      </c>
      <c r="AW917" s="74">
        <f>PRODUCT(AV$4:AV917)</f>
        <v>499.53400603575574</v>
      </c>
    </row>
    <row r="918" spans="44:49">
      <c r="AR918" s="69">
        <f t="shared" si="440"/>
        <v>77</v>
      </c>
      <c r="AS918" s="70">
        <f t="shared" si="442"/>
        <v>915</v>
      </c>
      <c r="AT918" s="71">
        <f t="shared" si="443"/>
        <v>1.9054206426829367E-3</v>
      </c>
      <c r="AU918" s="72">
        <f t="shared" si="439"/>
        <v>6.8214933659622723E-3</v>
      </c>
      <c r="AV918" s="73">
        <f t="shared" si="441"/>
        <v>1.0068214933659623</v>
      </c>
      <c r="AW918" s="74">
        <f>PRODUCT(AV$4:AV918)</f>
        <v>502.94157394400122</v>
      </c>
    </row>
    <row r="919" spans="44:49">
      <c r="AR919" s="69">
        <f t="shared" si="440"/>
        <v>77</v>
      </c>
      <c r="AS919" s="70">
        <f t="shared" si="442"/>
        <v>916</v>
      </c>
      <c r="AT919" s="71">
        <f t="shared" si="443"/>
        <v>1.8924228284095076E-3</v>
      </c>
      <c r="AU919" s="72">
        <f t="shared" si="439"/>
        <v>6.8214933659622723E-3</v>
      </c>
      <c r="AV919" s="73">
        <f t="shared" si="441"/>
        <v>1.0068214933659623</v>
      </c>
      <c r="AW919" s="74">
        <f>PRODUCT(AV$4:AV919)</f>
        <v>506.37238655412688</v>
      </c>
    </row>
    <row r="920" spans="44:49">
      <c r="AR920" s="69">
        <f t="shared" si="440"/>
        <v>77</v>
      </c>
      <c r="AS920" s="70">
        <f t="shared" si="442"/>
        <v>917</v>
      </c>
      <c r="AT920" s="71">
        <f t="shared" si="443"/>
        <v>1.8795136786399166E-3</v>
      </c>
      <c r="AU920" s="72">
        <f t="shared" si="439"/>
        <v>6.8214933659622723E-3</v>
      </c>
      <c r="AV920" s="73">
        <f t="shared" si="441"/>
        <v>1.0068214933659623</v>
      </c>
      <c r="AW920" s="74">
        <f>PRODUCT(AV$4:AV920)</f>
        <v>509.82660242971235</v>
      </c>
    </row>
    <row r="921" spans="44:49">
      <c r="AR921" s="69">
        <f t="shared" si="440"/>
        <v>77</v>
      </c>
      <c r="AS921" s="70">
        <f t="shared" si="442"/>
        <v>918</v>
      </c>
      <c r="AT921" s="71">
        <f t="shared" si="443"/>
        <v>1.8666925885498389E-3</v>
      </c>
      <c r="AU921" s="72">
        <f t="shared" si="439"/>
        <v>6.8214933659622723E-3</v>
      </c>
      <c r="AV921" s="73">
        <f t="shared" si="441"/>
        <v>1.0068214933659623</v>
      </c>
      <c r="AW921" s="74">
        <f>PRODUCT(AV$4:AV921)</f>
        <v>513.30438121597774</v>
      </c>
    </row>
    <row r="922" spans="44:49">
      <c r="AR922" s="69">
        <f t="shared" si="440"/>
        <v>77</v>
      </c>
      <c r="AS922" s="70">
        <f t="shared" si="442"/>
        <v>919</v>
      </c>
      <c r="AT922" s="71">
        <f t="shared" si="443"/>
        <v>1.8539589574407553E-3</v>
      </c>
      <c r="AU922" s="72">
        <f t="shared" si="439"/>
        <v>6.8214933659622723E-3</v>
      </c>
      <c r="AV922" s="73">
        <f t="shared" si="441"/>
        <v>1.0068214933659623</v>
      </c>
      <c r="AW922" s="74">
        <f>PRODUCT(AV$4:AV922)</f>
        <v>516.80588364716186</v>
      </c>
    </row>
    <row r="923" spans="44:49">
      <c r="AR923" s="69">
        <f t="shared" si="440"/>
        <v>77</v>
      </c>
      <c r="AS923" s="70">
        <f t="shared" si="442"/>
        <v>920</v>
      </c>
      <c r="AT923" s="71">
        <f t="shared" si="443"/>
        <v>1.8413121887118069E-3</v>
      </c>
      <c r="AU923" s="72">
        <f t="shared" si="439"/>
        <v>6.8214933659622723E-3</v>
      </c>
      <c r="AV923" s="73">
        <f t="shared" si="441"/>
        <v>1.0068214933659623</v>
      </c>
      <c r="AW923" s="74">
        <f>PRODUCT(AV$4:AV923)</f>
        <v>520.3312715539513</v>
      </c>
    </row>
    <row r="924" spans="44:49">
      <c r="AR924" s="69">
        <f t="shared" si="440"/>
        <v>77</v>
      </c>
      <c r="AS924" s="70">
        <f t="shared" si="442"/>
        <v>921</v>
      </c>
      <c r="AT924" s="71">
        <f t="shared" si="443"/>
        <v>1.8287516898318438E-3</v>
      </c>
      <c r="AU924" s="72">
        <f t="shared" si="439"/>
        <v>6.8214933659622723E-3</v>
      </c>
      <c r="AV924" s="73">
        <f t="shared" si="441"/>
        <v>1.0068214933659623</v>
      </c>
      <c r="AW924" s="74">
        <f>PRODUCT(AV$4:AV924)</f>
        <v>523.88070787095933</v>
      </c>
    </row>
    <row r="925" spans="44:49">
      <c r="AR925" s="69">
        <f t="shared" si="440"/>
        <v>77</v>
      </c>
      <c r="AS925" s="70">
        <f t="shared" si="442"/>
        <v>922</v>
      </c>
      <c r="AT925" s="71">
        <f t="shared" si="443"/>
        <v>1.8162768723116636E-3</v>
      </c>
      <c r="AU925" s="72">
        <f t="shared" si="439"/>
        <v>6.8214933659622723E-3</v>
      </c>
      <c r="AV925" s="73">
        <f t="shared" si="441"/>
        <v>1.0068214933659623</v>
      </c>
      <c r="AW925" s="74">
        <f>PRODUCT(AV$4:AV925)</f>
        <v>527.45435664425668</v>
      </c>
    </row>
    <row r="926" spans="44:49">
      <c r="AR926" s="69">
        <f t="shared" si="440"/>
        <v>77</v>
      </c>
      <c r="AS926" s="70">
        <f t="shared" si="442"/>
        <v>923</v>
      </c>
      <c r="AT926" s="71">
        <f t="shared" si="443"/>
        <v>1.8038871516764389E-3</v>
      </c>
      <c r="AU926" s="72">
        <f t="shared" si="439"/>
        <v>6.8214933659622723E-3</v>
      </c>
      <c r="AV926" s="73">
        <f t="shared" si="441"/>
        <v>1.0068214933659623</v>
      </c>
      <c r="AW926" s="74">
        <f>PRODUCT(AV$4:AV926)</f>
        <v>531.05238303895339</v>
      </c>
    </row>
    <row r="927" spans="44:49">
      <c r="AR927" s="69">
        <f t="shared" si="440"/>
        <v>77</v>
      </c>
      <c r="AS927" s="70">
        <f t="shared" si="442"/>
        <v>924</v>
      </c>
      <c r="AT927" s="71">
        <f t="shared" si="443"/>
        <v>1.7915819474383335E-3</v>
      </c>
      <c r="AU927" s="72">
        <f t="shared" si="439"/>
        <v>6.8214933659622723E-3</v>
      </c>
      <c r="AV927" s="73">
        <f t="shared" si="441"/>
        <v>1.0068214933659623</v>
      </c>
      <c r="AW927" s="74">
        <f>PRODUCT(AV$4:AV927)</f>
        <v>534.67495334683213</v>
      </c>
    </row>
    <row r="928" spans="44:49">
      <c r="AR928" s="69">
        <f t="shared" si="440"/>
        <v>78</v>
      </c>
      <c r="AS928" s="70">
        <f t="shared" si="442"/>
        <v>925</v>
      </c>
      <c r="AT928" s="71">
        <f t="shared" si="443"/>
        <v>1.7793606830693051E-3</v>
      </c>
      <c r="AU928" s="72">
        <f t="shared" si="439"/>
        <v>6.8214933659622723E-3</v>
      </c>
      <c r="AV928" s="73">
        <f t="shared" si="441"/>
        <v>1.0068214933659623</v>
      </c>
      <c r="AW928" s="74">
        <f>PRODUCT(AV$4:AV928)</f>
        <v>538.32223499403369</v>
      </c>
    </row>
    <row r="929" spans="44:49">
      <c r="AR929" s="69">
        <f t="shared" si="440"/>
        <v>78</v>
      </c>
      <c r="AS929" s="70">
        <f t="shared" si="442"/>
        <v>926</v>
      </c>
      <c r="AT929" s="71">
        <f t="shared" si="443"/>
        <v>1.7672227859740937E-3</v>
      </c>
      <c r="AU929" s="72">
        <f t="shared" si="439"/>
        <v>6.8214933659622723E-3</v>
      </c>
      <c r="AV929" s="73">
        <f t="shared" si="441"/>
        <v>1.0068214933659623</v>
      </c>
      <c r="AW929" s="74">
        <f>PRODUCT(AV$4:AV929)</f>
        <v>541.99439654879552</v>
      </c>
    </row>
    <row r="930" spans="44:49">
      <c r="AR930" s="69">
        <f t="shared" si="440"/>
        <v>78</v>
      </c>
      <c r="AS930" s="70">
        <f t="shared" si="442"/>
        <v>927</v>
      </c>
      <c r="AT930" s="71">
        <f t="shared" si="443"/>
        <v>1.7551676874633941E-3</v>
      </c>
      <c r="AU930" s="72">
        <f t="shared" si="439"/>
        <v>6.8214933659622723E-3</v>
      </c>
      <c r="AV930" s="73">
        <f t="shared" si="441"/>
        <v>1.0068214933659623</v>
      </c>
      <c r="AW930" s="74">
        <f>PRODUCT(AV$4:AV930)</f>
        <v>545.69160772924181</v>
      </c>
    </row>
    <row r="931" spans="44:49">
      <c r="AR931" s="69">
        <f t="shared" si="440"/>
        <v>78</v>
      </c>
      <c r="AS931" s="70">
        <f t="shared" si="442"/>
        <v>928</v>
      </c>
      <c r="AT931" s="71">
        <f t="shared" si="443"/>
        <v>1.7431948227272112E-3</v>
      </c>
      <c r="AU931" s="72">
        <f t="shared" si="439"/>
        <v>6.8214933659622723E-3</v>
      </c>
      <c r="AV931" s="73">
        <f t="shared" si="441"/>
        <v>1.0068214933659623</v>
      </c>
      <c r="AW931" s="74">
        <f>PRODUCT(AV$4:AV931)</f>
        <v>549.41403941122815</v>
      </c>
    </row>
    <row r="932" spans="44:49">
      <c r="AR932" s="69">
        <f t="shared" si="440"/>
        <v>78</v>
      </c>
      <c r="AS932" s="70">
        <f t="shared" si="442"/>
        <v>929</v>
      </c>
      <c r="AT932" s="71">
        <f t="shared" si="443"/>
        <v>1.7313036308083977E-3</v>
      </c>
      <c r="AU932" s="72">
        <f t="shared" si="439"/>
        <v>6.8214933659622723E-3</v>
      </c>
      <c r="AV932" s="73">
        <f t="shared" si="441"/>
        <v>1.0068214933659623</v>
      </c>
      <c r="AW932" s="74">
        <f>PRODUCT(AV$4:AV932)</f>
        <v>553.16186363623842</v>
      </c>
    </row>
    <row r="933" spans="44:49">
      <c r="AR933" s="69">
        <f t="shared" si="440"/>
        <v>78</v>
      </c>
      <c r="AS933" s="70">
        <f t="shared" si="442"/>
        <v>930</v>
      </c>
      <c r="AT933" s="71">
        <f t="shared" si="443"/>
        <v>1.7194935545763719E-3</v>
      </c>
      <c r="AU933" s="72">
        <f t="shared" si="439"/>
        <v>6.8214933659622723E-3</v>
      </c>
      <c r="AV933" s="73">
        <f t="shared" si="441"/>
        <v>1.0068214933659623</v>
      </c>
      <c r="AW933" s="74">
        <f>PRODUCT(AV$4:AV933)</f>
        <v>556.93525361933632</v>
      </c>
    </row>
    <row r="934" spans="44:49">
      <c r="AR934" s="69">
        <f t="shared" si="440"/>
        <v>78</v>
      </c>
      <c r="AS934" s="70">
        <f t="shared" si="442"/>
        <v>931</v>
      </c>
      <c r="AT934" s="71">
        <f t="shared" si="443"/>
        <v>1.7077640407010142E-3</v>
      </c>
      <c r="AU934" s="72">
        <f t="shared" si="439"/>
        <v>6.8214933659622723E-3</v>
      </c>
      <c r="AV934" s="73">
        <f t="shared" si="441"/>
        <v>1.0068214933659623</v>
      </c>
      <c r="AW934" s="74">
        <f>PRODUCT(AV$4:AV934)</f>
        <v>560.73438375717114</v>
      </c>
    </row>
    <row r="935" spans="44:49">
      <c r="AR935" s="69">
        <f t="shared" si="440"/>
        <v>78</v>
      </c>
      <c r="AS935" s="70">
        <f t="shared" si="442"/>
        <v>932</v>
      </c>
      <c r="AT935" s="71">
        <f t="shared" si="443"/>
        <v>1.6961145396267433E-3</v>
      </c>
      <c r="AU935" s="72">
        <f t="shared" si="439"/>
        <v>6.8214933659622723E-3</v>
      </c>
      <c r="AV935" s="73">
        <f t="shared" si="441"/>
        <v>1.0068214933659623</v>
      </c>
      <c r="AW935" s="74">
        <f>PRODUCT(AV$4:AV935)</f>
        <v>564.55942963603763</v>
      </c>
    </row>
    <row r="936" spans="44:49">
      <c r="AR936" s="69">
        <f t="shared" si="440"/>
        <v>78</v>
      </c>
      <c r="AS936" s="70">
        <f t="shared" si="442"/>
        <v>933</v>
      </c>
      <c r="AT936" s="71">
        <f t="shared" si="443"/>
        <v>1.6845445055467673E-3</v>
      </c>
      <c r="AU936" s="72">
        <f t="shared" si="439"/>
        <v>6.8214933659622723E-3</v>
      </c>
      <c r="AV936" s="73">
        <f t="shared" si="441"/>
        <v>1.0068214933659623</v>
      </c>
      <c r="AW936" s="74">
        <f>PRODUCT(AV$4:AV936)</f>
        <v>568.41056803999129</v>
      </c>
    </row>
    <row r="937" spans="44:49">
      <c r="AR937" s="69">
        <f t="shared" si="440"/>
        <v>78</v>
      </c>
      <c r="AS937" s="70">
        <f t="shared" si="442"/>
        <v>934</v>
      </c>
      <c r="AT937" s="71">
        <f t="shared" si="443"/>
        <v>1.6730533963775118E-3</v>
      </c>
      <c r="AU937" s="72">
        <f t="shared" si="439"/>
        <v>6.8214933659622723E-3</v>
      </c>
      <c r="AV937" s="73">
        <f t="shared" si="441"/>
        <v>1.0068214933659623</v>
      </c>
      <c r="AW937" s="74">
        <f>PRODUCT(AV$4:AV937)</f>
        <v>572.28797695901892</v>
      </c>
    </row>
    <row r="938" spans="44:49">
      <c r="AR938" s="69">
        <f t="shared" si="440"/>
        <v>78</v>
      </c>
      <c r="AS938" s="70">
        <f t="shared" si="442"/>
        <v>935</v>
      </c>
      <c r="AT938" s="71">
        <f t="shared" si="443"/>
        <v>1.661640673733222E-3</v>
      </c>
      <c r="AU938" s="72">
        <f t="shared" si="439"/>
        <v>6.8214933659622723E-3</v>
      </c>
      <c r="AV938" s="73">
        <f t="shared" si="441"/>
        <v>1.0068214933659623</v>
      </c>
      <c r="AW938" s="74">
        <f>PRODUCT(AV$4:AV938)</f>
        <v>576.1918355972648</v>
      </c>
    </row>
    <row r="939" spans="44:49">
      <c r="AR939" s="69">
        <f t="shared" si="440"/>
        <v>78</v>
      </c>
      <c r="AS939" s="70">
        <f t="shared" si="442"/>
        <v>936</v>
      </c>
      <c r="AT939" s="71">
        <f t="shared" si="443"/>
        <v>1.6503058029007378E-3</v>
      </c>
      <c r="AU939" s="72">
        <f t="shared" si="439"/>
        <v>6.8214933659622723E-3</v>
      </c>
      <c r="AV939" s="73">
        <f t="shared" si="441"/>
        <v>1.0068214933659623</v>
      </c>
      <c r="AW939" s="74">
        <f>PRODUCT(AV$4:AV939)</f>
        <v>580.12232438131321</v>
      </c>
    </row>
    <row r="940" spans="44:49">
      <c r="AR940" s="69">
        <f t="shared" si="440"/>
        <v>79</v>
      </c>
      <c r="AS940" s="70">
        <f t="shared" si="442"/>
        <v>937</v>
      </c>
      <c r="AT940" s="71">
        <f t="shared" si="443"/>
        <v>1.6390482528144414E-3</v>
      </c>
      <c r="AU940" s="72">
        <f t="shared" si="439"/>
        <v>6.8214933659622723E-3</v>
      </c>
      <c r="AV940" s="73">
        <f t="shared" si="441"/>
        <v>1.0068214933659623</v>
      </c>
      <c r="AW940" s="74">
        <f>PRODUCT(AV$4:AV940)</f>
        <v>584.0796249685269</v>
      </c>
    </row>
    <row r="941" spans="44:49">
      <c r="AR941" s="69">
        <f t="shared" si="440"/>
        <v>79</v>
      </c>
      <c r="AS941" s="70">
        <f t="shared" si="442"/>
        <v>938</v>
      </c>
      <c r="AT941" s="71">
        <f t="shared" si="443"/>
        <v>1.6278674960313756E-3</v>
      </c>
      <c r="AU941" s="72">
        <f t="shared" si="439"/>
        <v>6.8214933659622723E-3</v>
      </c>
      <c r="AV941" s="73">
        <f t="shared" si="441"/>
        <v>1.0068214933659623</v>
      </c>
      <c r="AW941" s="74">
        <f>PRODUCT(AV$4:AV941)</f>
        <v>588.06392025544346</v>
      </c>
    </row>
    <row r="942" spans="44:49">
      <c r="AR942" s="69">
        <f t="shared" si="440"/>
        <v>79</v>
      </c>
      <c r="AS942" s="70">
        <f t="shared" si="442"/>
        <v>939</v>
      </c>
      <c r="AT942" s="71">
        <f t="shared" si="443"/>
        <v>1.6167630087065318E-3</v>
      </c>
      <c r="AU942" s="72">
        <f t="shared" si="439"/>
        <v>6.8214933659622723E-3</v>
      </c>
      <c r="AV942" s="73">
        <f t="shared" si="441"/>
        <v>1.0068214933659623</v>
      </c>
      <c r="AW942" s="74">
        <f>PRODUCT(AV$4:AV942)</f>
        <v>592.07539438622769</v>
      </c>
    </row>
    <row r="943" spans="44:49">
      <c r="AR943" s="69">
        <f t="shared" si="440"/>
        <v>79</v>
      </c>
      <c r="AS943" s="70">
        <f t="shared" si="442"/>
        <v>940</v>
      </c>
      <c r="AT943" s="71">
        <f t="shared" si="443"/>
        <v>1.6057342705683071E-3</v>
      </c>
      <c r="AU943" s="72">
        <f t="shared" si="439"/>
        <v>6.8214933659622723E-3</v>
      </c>
      <c r="AV943" s="73">
        <f t="shared" si="441"/>
        <v>1.0068214933659623</v>
      </c>
      <c r="AW943" s="74">
        <f>PRODUCT(AV$4:AV943)</f>
        <v>596.11423276118285</v>
      </c>
    </row>
    <row r="944" spans="44:49">
      <c r="AR944" s="69">
        <f t="shared" si="440"/>
        <v>79</v>
      </c>
      <c r="AS944" s="70">
        <f t="shared" si="442"/>
        <v>941</v>
      </c>
      <c r="AT944" s="71">
        <f t="shared" si="443"/>
        <v>1.5947807648941271E-3</v>
      </c>
      <c r="AU944" s="72">
        <f t="shared" si="439"/>
        <v>6.8214933659622723E-3</v>
      </c>
      <c r="AV944" s="73">
        <f t="shared" si="441"/>
        <v>1.0068214933659623</v>
      </c>
      <c r="AW944" s="74">
        <f>PRODUCT(AV$4:AV944)</f>
        <v>600.18062204531896</v>
      </c>
    </row>
    <row r="945" spans="44:49">
      <c r="AR945" s="69">
        <f t="shared" si="440"/>
        <v>79</v>
      </c>
      <c r="AS945" s="70">
        <f t="shared" si="442"/>
        <v>942</v>
      </c>
      <c r="AT945" s="71">
        <f t="shared" si="443"/>
        <v>1.5839019784862375E-3</v>
      </c>
      <c r="AU945" s="72">
        <f t="shared" si="439"/>
        <v>6.8214933659622723E-3</v>
      </c>
      <c r="AV945" s="73">
        <f t="shared" si="441"/>
        <v>1.0068214933659623</v>
      </c>
      <c r="AW945" s="74">
        <f>PRODUCT(AV$4:AV945)</f>
        <v>604.27475017698021</v>
      </c>
    </row>
    <row r="946" spans="44:49">
      <c r="AR946" s="69">
        <f t="shared" si="440"/>
        <v>79</v>
      </c>
      <c r="AS946" s="70">
        <f t="shared" si="442"/>
        <v>943</v>
      </c>
      <c r="AT946" s="71">
        <f t="shared" si="443"/>
        <v>1.5730974016476592E-3</v>
      </c>
      <c r="AU946" s="72">
        <f t="shared" si="439"/>
        <v>6.8214933659622723E-3</v>
      </c>
      <c r="AV946" s="73">
        <f t="shared" si="441"/>
        <v>1.0068214933659623</v>
      </c>
      <c r="AW946" s="74">
        <f>PRODUCT(AV$4:AV946)</f>
        <v>608.396806376531</v>
      </c>
    </row>
    <row r="947" spans="44:49">
      <c r="AR947" s="69">
        <f t="shared" si="440"/>
        <v>79</v>
      </c>
      <c r="AS947" s="70">
        <f t="shared" si="442"/>
        <v>944</v>
      </c>
      <c r="AT947" s="71">
        <f t="shared" si="443"/>
        <v>1.5623665281583072E-3</v>
      </c>
      <c r="AU947" s="72">
        <f t="shared" si="439"/>
        <v>6.8214933659622723E-3</v>
      </c>
      <c r="AV947" s="73">
        <f t="shared" si="441"/>
        <v>1.0068214933659623</v>
      </c>
      <c r="AW947" s="74">
        <f>PRODUCT(AV$4:AV947)</f>
        <v>612.54698115510109</v>
      </c>
    </row>
    <row r="948" spans="44:49">
      <c r="AR948" s="69">
        <f t="shared" si="440"/>
        <v>79</v>
      </c>
      <c r="AS948" s="70">
        <f t="shared" si="442"/>
        <v>945</v>
      </c>
      <c r="AT948" s="71">
        <f t="shared" si="443"/>
        <v>1.5517088552512738E-3</v>
      </c>
      <c r="AU948" s="72">
        <f t="shared" si="439"/>
        <v>6.8214933659622723E-3</v>
      </c>
      <c r="AV948" s="73">
        <f t="shared" si="441"/>
        <v>1.0068214933659623</v>
      </c>
      <c r="AW948" s="74">
        <f>PRODUCT(AV$4:AV948)</f>
        <v>616.72546632339083</v>
      </c>
    </row>
    <row r="949" spans="44:49">
      <c r="AR949" s="69">
        <f t="shared" si="440"/>
        <v>79</v>
      </c>
      <c r="AS949" s="70">
        <f t="shared" si="442"/>
        <v>946</v>
      </c>
      <c r="AT949" s="71">
        <f t="shared" si="443"/>
        <v>1.5411238835892724E-3</v>
      </c>
      <c r="AU949" s="72">
        <f t="shared" si="439"/>
        <v>6.8214933659622723E-3</v>
      </c>
      <c r="AV949" s="73">
        <f t="shared" si="441"/>
        <v>1.0068214933659623</v>
      </c>
      <c r="AW949" s="74">
        <f>PRODUCT(AV$4:AV949)</f>
        <v>620.93245500053581</v>
      </c>
    </row>
    <row r="950" spans="44:49">
      <c r="AR950" s="69">
        <f t="shared" si="440"/>
        <v>79</v>
      </c>
      <c r="AS950" s="70">
        <f t="shared" si="442"/>
        <v>947</v>
      </c>
      <c r="AT950" s="71">
        <f t="shared" si="443"/>
        <v>1.5306111172412422E-3</v>
      </c>
      <c r="AU950" s="72">
        <f t="shared" si="439"/>
        <v>6.8214933659622723E-3</v>
      </c>
      <c r="AV950" s="73">
        <f t="shared" si="441"/>
        <v>1.0068214933659623</v>
      </c>
      <c r="AW950" s="74">
        <f>PRODUCT(AV$4:AV950)</f>
        <v>625.16814162303262</v>
      </c>
    </row>
    <row r="951" spans="44:49">
      <c r="AR951" s="69">
        <f t="shared" si="440"/>
        <v>79</v>
      </c>
      <c r="AS951" s="70">
        <f t="shared" si="442"/>
        <v>948</v>
      </c>
      <c r="AT951" s="71">
        <f t="shared" si="443"/>
        <v>1.5201700636591129E-3</v>
      </c>
      <c r="AU951" s="72">
        <f t="shared" si="439"/>
        <v>6.8214933659622723E-3</v>
      </c>
      <c r="AV951" s="73">
        <f t="shared" si="441"/>
        <v>1.0068214933659623</v>
      </c>
      <c r="AW951" s="74">
        <f>PRODUCT(AV$4:AV951)</f>
        <v>629.43272195372515</v>
      </c>
    </row>
    <row r="952" spans="44:49">
      <c r="AR952" s="69">
        <f t="shared" si="440"/>
        <v>80</v>
      </c>
      <c r="AS952" s="70">
        <f t="shared" si="442"/>
        <v>949</v>
      </c>
      <c r="AT952" s="71">
        <f t="shared" si="443"/>
        <v>1.5098002336547277E-3</v>
      </c>
      <c r="AU952" s="72">
        <f t="shared" si="439"/>
        <v>6.8214933659622723E-3</v>
      </c>
      <c r="AV952" s="73">
        <f t="shared" si="441"/>
        <v>1.0068214933659623</v>
      </c>
      <c r="AW952" s="74">
        <f>PRODUCT(AV$4:AV952)</f>
        <v>633.72639309085207</v>
      </c>
    </row>
    <row r="953" spans="44:49">
      <c r="AR953" s="69">
        <f t="shared" si="440"/>
        <v>80</v>
      </c>
      <c r="AS953" s="70">
        <f t="shared" si="442"/>
        <v>950</v>
      </c>
      <c r="AT953" s="71">
        <f t="shared" si="443"/>
        <v>1.4995011413769237E-3</v>
      </c>
      <c r="AU953" s="72">
        <f t="shared" si="439"/>
        <v>6.8214933659622723E-3</v>
      </c>
      <c r="AV953" s="73">
        <f t="shared" si="441"/>
        <v>1.0068214933659623</v>
      </c>
      <c r="AW953" s="74">
        <f>PRODUCT(AV$4:AV953)</f>
        <v>638.0493534771565</v>
      </c>
    </row>
    <row r="954" spans="44:49">
      <c r="AR954" s="69">
        <f t="shared" si="440"/>
        <v>80</v>
      </c>
      <c r="AS954" s="70">
        <f t="shared" si="442"/>
        <v>951</v>
      </c>
      <c r="AT954" s="71">
        <f t="shared" si="443"/>
        <v>1.4892723042887683E-3</v>
      </c>
      <c r="AU954" s="72">
        <f t="shared" si="439"/>
        <v>6.8214933659622723E-3</v>
      </c>
      <c r="AV954" s="73">
        <f t="shared" si="441"/>
        <v>1.0068214933659623</v>
      </c>
      <c r="AW954" s="74">
        <f>PRODUCT(AV$4:AV954)</f>
        <v>642.40180290905744</v>
      </c>
    </row>
    <row r="955" spans="44:49">
      <c r="AR955" s="69">
        <f t="shared" si="440"/>
        <v>80</v>
      </c>
      <c r="AS955" s="70">
        <f t="shared" si="442"/>
        <v>952</v>
      </c>
      <c r="AT955" s="71">
        <f t="shared" si="443"/>
        <v>1.479113243144951E-3</v>
      </c>
      <c r="AU955" s="72">
        <f t="shared" si="439"/>
        <v>6.8214933659622723E-3</v>
      </c>
      <c r="AV955" s="73">
        <f t="shared" si="441"/>
        <v>1.0068214933659623</v>
      </c>
      <c r="AW955" s="74">
        <f>PRODUCT(AV$4:AV955)</f>
        <v>646.78394254588375</v>
      </c>
    </row>
    <row r="956" spans="44:49">
      <c r="AR956" s="69">
        <f t="shared" si="440"/>
        <v>80</v>
      </c>
      <c r="AS956" s="70">
        <f t="shared" si="442"/>
        <v>953</v>
      </c>
      <c r="AT956" s="71">
        <f t="shared" si="443"/>
        <v>1.4690234819693308E-3</v>
      </c>
      <c r="AU956" s="72">
        <f t="shared" si="439"/>
        <v>6.8214933659622723E-3</v>
      </c>
      <c r="AV956" s="73">
        <f t="shared" si="441"/>
        <v>1.0068214933659623</v>
      </c>
      <c r="AW956" s="74">
        <f>PRODUCT(AV$4:AV956)</f>
        <v>651.19597491917136</v>
      </c>
    </row>
    <row r="957" spans="44:49">
      <c r="AR957" s="69">
        <f t="shared" si="440"/>
        <v>80</v>
      </c>
      <c r="AS957" s="70">
        <f t="shared" si="442"/>
        <v>954</v>
      </c>
      <c r="AT957" s="71">
        <f t="shared" si="443"/>
        <v>1.4590025480326343E-3</v>
      </c>
      <c r="AU957" s="72">
        <f t="shared" si="439"/>
        <v>6.8214933659622723E-3</v>
      </c>
      <c r="AV957" s="73">
        <f t="shared" si="441"/>
        <v>1.0068214933659623</v>
      </c>
      <c r="AW957" s="74">
        <f>PRODUCT(AV$4:AV957)</f>
        <v>655.6381039420238</v>
      </c>
    </row>
    <row r="958" spans="44:49">
      <c r="AR958" s="69">
        <f t="shared" si="440"/>
        <v>80</v>
      </c>
      <c r="AS958" s="70">
        <f t="shared" si="442"/>
        <v>955</v>
      </c>
      <c r="AT958" s="71">
        <f t="shared" si="443"/>
        <v>1.4490499718303076E-3</v>
      </c>
      <c r="AU958" s="72">
        <f t="shared" si="439"/>
        <v>6.8214933659622723E-3</v>
      </c>
      <c r="AV958" s="73">
        <f t="shared" si="441"/>
        <v>1.0068214933659623</v>
      </c>
      <c r="AW958" s="74">
        <f>PRODUCT(AV$4:AV958)</f>
        <v>660.11053491853636</v>
      </c>
    </row>
    <row r="959" spans="44:49">
      <c r="AR959" s="69">
        <f t="shared" si="440"/>
        <v>80</v>
      </c>
      <c r="AS959" s="70">
        <f t="shared" si="442"/>
        <v>956</v>
      </c>
      <c r="AT959" s="71">
        <f t="shared" si="443"/>
        <v>1.4391652870605193E-3</v>
      </c>
      <c r="AU959" s="72">
        <f t="shared" si="439"/>
        <v>6.8214933659622723E-3</v>
      </c>
      <c r="AV959" s="73">
        <f t="shared" si="441"/>
        <v>1.0068214933659623</v>
      </c>
      <c r="AW959" s="74">
        <f>PRODUCT(AV$4:AV959)</f>
        <v>664.61347455328496</v>
      </c>
    </row>
    <row r="960" spans="44:49">
      <c r="AR960" s="69">
        <f t="shared" si="440"/>
        <v>80</v>
      </c>
      <c r="AS960" s="70">
        <f t="shared" si="442"/>
        <v>957</v>
      </c>
      <c r="AT960" s="71">
        <f t="shared" si="443"/>
        <v>1.4293480306023128E-3</v>
      </c>
      <c r="AU960" s="72">
        <f t="shared" si="439"/>
        <v>6.8214933659622723E-3</v>
      </c>
      <c r="AV960" s="73">
        <f t="shared" si="441"/>
        <v>1.0068214933659623</v>
      </c>
      <c r="AW960" s="74">
        <f>PRODUCT(AV$4:AV960)</f>
        <v>669.14713096087928</v>
      </c>
    </row>
    <row r="961" spans="44:49">
      <c r="AR961" s="69">
        <f t="shared" si="440"/>
        <v>80</v>
      </c>
      <c r="AS961" s="70">
        <f t="shared" si="442"/>
        <v>958</v>
      </c>
      <c r="AT961" s="71">
        <f t="shared" si="443"/>
        <v>1.4195977424939078E-3</v>
      </c>
      <c r="AU961" s="72">
        <f t="shared" si="439"/>
        <v>6.8214933659622723E-3</v>
      </c>
      <c r="AV961" s="73">
        <f t="shared" si="441"/>
        <v>1.0068214933659623</v>
      </c>
      <c r="AW961" s="74">
        <f>PRODUCT(AV$4:AV961)</f>
        <v>673.71171367558156</v>
      </c>
    </row>
    <row r="962" spans="44:49">
      <c r="AR962" s="69">
        <f t="shared" si="440"/>
        <v>80</v>
      </c>
      <c r="AS962" s="70">
        <f t="shared" si="442"/>
        <v>959</v>
      </c>
      <c r="AT962" s="71">
        <f t="shared" si="443"/>
        <v>1.4099139659111506E-3</v>
      </c>
      <c r="AU962" s="72">
        <f t="shared" si="439"/>
        <v>6.8214933659622723E-3</v>
      </c>
      <c r="AV962" s="73">
        <f t="shared" si="441"/>
        <v>1.0068214933659623</v>
      </c>
      <c r="AW962" s="74">
        <f>PRODUCT(AV$4:AV962)</f>
        <v>678.30743366099057</v>
      </c>
    </row>
    <row r="963" spans="44:49">
      <c r="AR963" s="69">
        <f t="shared" si="440"/>
        <v>80</v>
      </c>
      <c r="AS963" s="70">
        <f t="shared" si="442"/>
        <v>960</v>
      </c>
      <c r="AT963" s="71">
        <f t="shared" si="443"/>
        <v>1.4002962471461101E-3</v>
      </c>
      <c r="AU963" s="72">
        <f t="shared" si="439"/>
        <v>6.8214933659622723E-3</v>
      </c>
      <c r="AV963" s="73">
        <f t="shared" si="441"/>
        <v>1.0068214933659623</v>
      </c>
      <c r="AW963" s="74">
        <f>PRODUCT(AV$4:AV963)</f>
        <v>682.93450331979193</v>
      </c>
    </row>
    <row r="964" spans="44:49">
      <c r="AR964" s="69">
        <f t="shared" si="440"/>
        <v>81</v>
      </c>
      <c r="AS964" s="70">
        <f t="shared" si="442"/>
        <v>961</v>
      </c>
      <c r="AT964" s="71">
        <f t="shared" si="443"/>
        <v>1.390744135585821E-3</v>
      </c>
      <c r="AU964" s="72">
        <f t="shared" ref="AU964:AU1027" si="444">((1+$AH$21)^(1/12))-1</f>
        <v>6.8214933659622723E-3</v>
      </c>
      <c r="AV964" s="73">
        <f t="shared" si="441"/>
        <v>1.0068214933659623</v>
      </c>
      <c r="AW964" s="74">
        <f>PRODUCT(AV$4:AV964)</f>
        <v>687.59313650357467</v>
      </c>
    </row>
    <row r="965" spans="44:49">
      <c r="AR965" s="69">
        <f t="shared" ref="AR965:AR1028" si="445">ROUNDDOWN((AS965-1)/12,0)+1</f>
        <v>81</v>
      </c>
      <c r="AS965" s="70">
        <f t="shared" si="442"/>
        <v>962</v>
      </c>
      <c r="AT965" s="71">
        <f t="shared" si="443"/>
        <v>1.3812571836911713E-3</v>
      </c>
      <c r="AU965" s="72">
        <f t="shared" si="444"/>
        <v>6.8214933659622723E-3</v>
      </c>
      <c r="AV965" s="73">
        <f t="shared" ref="AV965:AV1028" si="446">(1+AU965)</f>
        <v>1.0068214933659623</v>
      </c>
      <c r="AW965" s="74">
        <f>PRODUCT(AV$4:AV965)</f>
        <v>692.28354852271502</v>
      </c>
    </row>
    <row r="966" spans="44:49">
      <c r="AR966" s="69">
        <f t="shared" si="445"/>
        <v>81</v>
      </c>
      <c r="AS966" s="70">
        <f t="shared" ref="AS966:AS1029" si="447">AS965+1</f>
        <v>963</v>
      </c>
      <c r="AT966" s="71">
        <f t="shared" ref="AT966:AT1029" si="448">(1-AU966)*AT965</f>
        <v>1.3718349469759342E-3</v>
      </c>
      <c r="AU966" s="72">
        <f t="shared" si="444"/>
        <v>6.8214933659622723E-3</v>
      </c>
      <c r="AV966" s="73">
        <f t="shared" si="446"/>
        <v>1.0068214933659623</v>
      </c>
      <c r="AW966" s="74">
        <f>PRODUCT(AV$4:AV966)</f>
        <v>697.00595615632756</v>
      </c>
    </row>
    <row r="967" spans="44:49">
      <c r="AR967" s="69">
        <f t="shared" si="445"/>
        <v>81</v>
      </c>
      <c r="AS967" s="70">
        <f t="shared" si="447"/>
        <v>964</v>
      </c>
      <c r="AT967" s="71">
        <f t="shared" si="448"/>
        <v>1.3624769839859427E-3</v>
      </c>
      <c r="AU967" s="72">
        <f t="shared" si="444"/>
        <v>6.8214933659622723E-3</v>
      </c>
      <c r="AV967" s="73">
        <f t="shared" si="446"/>
        <v>1.0068214933659623</v>
      </c>
      <c r="AW967" s="74">
        <f>PRODUCT(AV$4:AV967)</f>
        <v>701.76057766228416</v>
      </c>
    </row>
    <row r="968" spans="44:49">
      <c r="AR968" s="69">
        <f t="shared" si="445"/>
        <v>81</v>
      </c>
      <c r="AS968" s="70">
        <f t="shared" si="447"/>
        <v>965</v>
      </c>
      <c r="AT968" s="71">
        <f t="shared" si="448"/>
        <v>1.3531828562784063E-3</v>
      </c>
      <c r="AU968" s="72">
        <f t="shared" si="444"/>
        <v>6.8214933659622723E-3</v>
      </c>
      <c r="AV968" s="73">
        <f t="shared" si="446"/>
        <v>1.0068214933659623</v>
      </c>
      <c r="AW968" s="74">
        <f>PRODUCT(AV$4:AV968)</f>
        <v>706.54763278730127</v>
      </c>
    </row>
    <row r="969" spans="44:49">
      <c r="AR969" s="69">
        <f t="shared" si="445"/>
        <v>81</v>
      </c>
      <c r="AS969" s="70">
        <f t="shared" si="447"/>
        <v>966</v>
      </c>
      <c r="AT969" s="71">
        <f t="shared" si="448"/>
        <v>1.3439521284013692E-3</v>
      </c>
      <c r="AU969" s="72">
        <f t="shared" si="444"/>
        <v>6.8214933659622723E-3</v>
      </c>
      <c r="AV969" s="73">
        <f t="shared" si="446"/>
        <v>1.0068214933659623</v>
      </c>
      <c r="AW969" s="74">
        <f>PRODUCT(AV$4:AV969)</f>
        <v>711.36734277709616</v>
      </c>
    </row>
    <row r="970" spans="44:49">
      <c r="AR970" s="69">
        <f t="shared" si="445"/>
        <v>81</v>
      </c>
      <c r="AS970" s="70">
        <f t="shared" si="447"/>
        <v>967</v>
      </c>
      <c r="AT970" s="71">
        <f t="shared" si="448"/>
        <v>1.3347843678733083E-3</v>
      </c>
      <c r="AU970" s="72">
        <f t="shared" si="444"/>
        <v>6.8214933659622723E-3</v>
      </c>
      <c r="AV970" s="73">
        <f t="shared" si="446"/>
        <v>1.0068214933659623</v>
      </c>
      <c r="AW970" s="74">
        <f>PRODUCT(AV$4:AV970)</f>
        <v>716.2199303866123</v>
      </c>
    </row>
    <row r="971" spans="44:49">
      <c r="AR971" s="69">
        <f t="shared" si="445"/>
        <v>81</v>
      </c>
      <c r="AS971" s="70">
        <f t="shared" si="447"/>
        <v>968</v>
      </c>
      <c r="AT971" s="71">
        <f t="shared" si="448"/>
        <v>1.3256791451628704E-3</v>
      </c>
      <c r="AU971" s="72">
        <f t="shared" si="444"/>
        <v>6.8214933659622723E-3</v>
      </c>
      <c r="AV971" s="73">
        <f t="shared" si="446"/>
        <v>1.0068214933659623</v>
      </c>
      <c r="AW971" s="74">
        <f>PRODUCT(AV$4:AV971)</f>
        <v>721.10561989031453</v>
      </c>
    </row>
    <row r="972" spans="44:49">
      <c r="AR972" s="69">
        <f t="shared" si="445"/>
        <v>81</v>
      </c>
      <c r="AS972" s="70">
        <f t="shared" si="447"/>
        <v>969</v>
      </c>
      <c r="AT972" s="71">
        <f t="shared" si="448"/>
        <v>1.3166360336687474E-3</v>
      </c>
      <c r="AU972" s="72">
        <f t="shared" si="444"/>
        <v>6.8214933659622723E-3</v>
      </c>
      <c r="AV972" s="73">
        <f t="shared" si="446"/>
        <v>1.0068214933659623</v>
      </c>
      <c r="AW972" s="74">
        <f>PRODUCT(AV$4:AV972)</f>
        <v>726.02463709255437</v>
      </c>
    </row>
    <row r="973" spans="44:49">
      <c r="AR973" s="69">
        <f t="shared" si="445"/>
        <v>81</v>
      </c>
      <c r="AS973" s="70">
        <f t="shared" si="447"/>
        <v>970</v>
      </c>
      <c r="AT973" s="71">
        <f t="shared" si="448"/>
        <v>1.3076546096996893E-3</v>
      </c>
      <c r="AU973" s="72">
        <f t="shared" si="444"/>
        <v>6.8214933659622723E-3</v>
      </c>
      <c r="AV973" s="73">
        <f t="shared" si="446"/>
        <v>1.0068214933659623</v>
      </c>
      <c r="AW973" s="74">
        <f>PRODUCT(AV$4:AV973)</f>
        <v>730.97720933800645</v>
      </c>
    </row>
    <row r="974" spans="44:49">
      <c r="AR974" s="69">
        <f t="shared" si="445"/>
        <v>81</v>
      </c>
      <c r="AS974" s="70">
        <f t="shared" si="447"/>
        <v>971</v>
      </c>
      <c r="AT974" s="71">
        <f t="shared" si="448"/>
        <v>1.2987344524546529E-3</v>
      </c>
      <c r="AU974" s="72">
        <f t="shared" si="444"/>
        <v>6.8214933659622723E-3</v>
      </c>
      <c r="AV974" s="73">
        <f t="shared" si="446"/>
        <v>1.0068214933659623</v>
      </c>
      <c r="AW974" s="74">
        <f>PRODUCT(AV$4:AV974)</f>
        <v>735.96356552217526</v>
      </c>
    </row>
    <row r="975" spans="44:49">
      <c r="AR975" s="69">
        <f t="shared" si="445"/>
        <v>81</v>
      </c>
      <c r="AS975" s="70">
        <f t="shared" si="447"/>
        <v>972</v>
      </c>
      <c r="AT975" s="71">
        <f t="shared" si="448"/>
        <v>1.2898751440030868E-3</v>
      </c>
      <c r="AU975" s="72">
        <f t="shared" si="444"/>
        <v>6.8214933659622723E-3</v>
      </c>
      <c r="AV975" s="73">
        <f t="shared" si="446"/>
        <v>1.0068214933659623</v>
      </c>
      <c r="AW975" s="74">
        <f>PRODUCT(AV$4:AV975)</f>
        <v>740.98393610197468</v>
      </c>
    </row>
    <row r="976" spans="44:49">
      <c r="AR976" s="69">
        <f t="shared" si="445"/>
        <v>82</v>
      </c>
      <c r="AS976" s="70">
        <f t="shared" si="447"/>
        <v>973</v>
      </c>
      <c r="AT976" s="71">
        <f t="shared" si="448"/>
        <v>1.2810762692653502E-3</v>
      </c>
      <c r="AU976" s="72">
        <f t="shared" si="444"/>
        <v>6.8214933659622723E-3</v>
      </c>
      <c r="AV976" s="73">
        <f t="shared" si="446"/>
        <v>1.0068214933659623</v>
      </c>
      <c r="AW976" s="74">
        <f>PRODUCT(AV$4:AV976)</f>
        <v>746.03855310637891</v>
      </c>
    </row>
    <row r="977" spans="44:49">
      <c r="AR977" s="69">
        <f t="shared" si="445"/>
        <v>82</v>
      </c>
      <c r="AS977" s="70">
        <f t="shared" si="447"/>
        <v>974</v>
      </c>
      <c r="AT977" s="71">
        <f t="shared" si="448"/>
        <v>1.2723374159932649E-3</v>
      </c>
      <c r="AU977" s="72">
        <f t="shared" si="444"/>
        <v>6.8214933659622723E-3</v>
      </c>
      <c r="AV977" s="73">
        <f t="shared" si="446"/>
        <v>1.0068214933659623</v>
      </c>
      <c r="AW977" s="74">
        <f>PRODUCT(AV$4:AV977)</f>
        <v>751.12765014714614</v>
      </c>
    </row>
    <row r="978" spans="44:49">
      <c r="AR978" s="69">
        <f t="shared" si="445"/>
        <v>82</v>
      </c>
      <c r="AS978" s="70">
        <f t="shared" si="447"/>
        <v>975</v>
      </c>
      <c r="AT978" s="71">
        <f t="shared" si="448"/>
        <v>1.2636581747508013E-3</v>
      </c>
      <c r="AU978" s="72">
        <f t="shared" si="444"/>
        <v>6.8214933659622723E-3</v>
      </c>
      <c r="AV978" s="73">
        <f t="shared" si="446"/>
        <v>1.0068214933659623</v>
      </c>
      <c r="AW978" s="74">
        <f>PRODUCT(AV$4:AV978)</f>
        <v>756.25146242961569</v>
      </c>
    </row>
    <row r="979" spans="44:49">
      <c r="AR979" s="69">
        <f t="shared" si="445"/>
        <v>82</v>
      </c>
      <c r="AS979" s="70">
        <f t="shared" si="447"/>
        <v>976</v>
      </c>
      <c r="AT979" s="71">
        <f t="shared" si="448"/>
        <v>1.2550381388948947E-3</v>
      </c>
      <c r="AU979" s="72">
        <f t="shared" si="444"/>
        <v>6.8214933659622723E-3</v>
      </c>
      <c r="AV979" s="73">
        <f t="shared" si="446"/>
        <v>1.0068214933659623</v>
      </c>
      <c r="AW979" s="74">
        <f>PRODUCT(AV$4:AV979)</f>
        <v>761.41022676357852</v>
      </c>
    </row>
    <row r="980" spans="44:49">
      <c r="AR980" s="69">
        <f t="shared" si="445"/>
        <v>82</v>
      </c>
      <c r="AS980" s="70">
        <f t="shared" si="447"/>
        <v>977</v>
      </c>
      <c r="AT980" s="71">
        <f t="shared" si="448"/>
        <v>1.2464769045563936E-3</v>
      </c>
      <c r="AU980" s="72">
        <f t="shared" si="444"/>
        <v>6.8214933659622723E-3</v>
      </c>
      <c r="AV980" s="73">
        <f t="shared" si="446"/>
        <v>1.0068214933659623</v>
      </c>
      <c r="AW980" s="74">
        <f>PRODUCT(AV$4:AV980)</f>
        <v>766.60418157422214</v>
      </c>
    </row>
    <row r="981" spans="44:49">
      <c r="AR981" s="69">
        <f t="shared" si="445"/>
        <v>82</v>
      </c>
      <c r="AS981" s="70">
        <f t="shared" si="447"/>
        <v>978</v>
      </c>
      <c r="AT981" s="71">
        <f t="shared" si="448"/>
        <v>1.237974070621137E-3</v>
      </c>
      <c r="AU981" s="72">
        <f t="shared" si="444"/>
        <v>6.8214933659622723E-3</v>
      </c>
      <c r="AV981" s="73">
        <f t="shared" si="446"/>
        <v>1.0068214933659623</v>
      </c>
      <c r="AW981" s="74">
        <f>PRODUCT(AV$4:AV981)</f>
        <v>771.83356691314964</v>
      </c>
    </row>
    <row r="982" spans="44:49">
      <c r="AR982" s="69">
        <f t="shared" si="445"/>
        <v>82</v>
      </c>
      <c r="AS982" s="70">
        <f t="shared" si="447"/>
        <v>979</v>
      </c>
      <c r="AT982" s="71">
        <f t="shared" si="448"/>
        <v>1.2295292387111616E-3</v>
      </c>
      <c r="AU982" s="72">
        <f t="shared" si="444"/>
        <v>6.8214933659622723E-3</v>
      </c>
      <c r="AV982" s="73">
        <f t="shared" si="446"/>
        <v>1.0068214933659623</v>
      </c>
      <c r="AW982" s="74">
        <f>PRODUCT(AV$4:AV982)</f>
        <v>777.09862446947466</v>
      </c>
    </row>
    <row r="983" spans="44:49">
      <c r="AR983" s="69">
        <f t="shared" si="445"/>
        <v>82</v>
      </c>
      <c r="AS983" s="70">
        <f t="shared" si="447"/>
        <v>980</v>
      </c>
      <c r="AT983" s="71">
        <f t="shared" si="448"/>
        <v>1.2211420131660368E-3</v>
      </c>
      <c r="AU983" s="72">
        <f t="shared" si="444"/>
        <v>6.8214933659622723E-3</v>
      </c>
      <c r="AV983" s="73">
        <f t="shared" si="446"/>
        <v>1.0068214933659623</v>
      </c>
      <c r="AW983" s="74">
        <f>PRODUCT(AV$4:AV983)</f>
        <v>782.39959758099155</v>
      </c>
    </row>
    <row r="984" spans="44:49">
      <c r="AR984" s="69">
        <f t="shared" si="445"/>
        <v>82</v>
      </c>
      <c r="AS984" s="70">
        <f t="shared" si="447"/>
        <v>981</v>
      </c>
      <c r="AT984" s="71">
        <f t="shared" si="448"/>
        <v>1.2128120010243269E-3</v>
      </c>
      <c r="AU984" s="72">
        <f t="shared" si="444"/>
        <v>6.8214933659622723E-3</v>
      </c>
      <c r="AV984" s="73">
        <f t="shared" si="446"/>
        <v>1.0068214933659623</v>
      </c>
      <c r="AW984" s="74">
        <f>PRODUCT(AV$4:AV984)</f>
        <v>787.73673124542188</v>
      </c>
    </row>
    <row r="985" spans="44:49">
      <c r="AR985" s="69">
        <f t="shared" si="445"/>
        <v>82</v>
      </c>
      <c r="AS985" s="70">
        <f t="shared" si="447"/>
        <v>982</v>
      </c>
      <c r="AT985" s="71">
        <f t="shared" si="448"/>
        <v>1.2045388120051799E-3</v>
      </c>
      <c r="AU985" s="72">
        <f t="shared" si="444"/>
        <v>6.8214933659622723E-3</v>
      </c>
      <c r="AV985" s="73">
        <f t="shared" si="446"/>
        <v>1.0068214933659623</v>
      </c>
      <c r="AW985" s="74">
        <f>PRODUCT(AV$4:AV985)</f>
        <v>793.11027213173736</v>
      </c>
    </row>
    <row r="986" spans="44:49">
      <c r="AR986" s="69">
        <f t="shared" si="445"/>
        <v>82</v>
      </c>
      <c r="AS986" s="70">
        <f t="shared" si="447"/>
        <v>983</v>
      </c>
      <c r="AT986" s="71">
        <f t="shared" si="448"/>
        <v>1.1963220584900426E-3</v>
      </c>
      <c r="AU986" s="72">
        <f t="shared" si="444"/>
        <v>6.8214933659622723E-3</v>
      </c>
      <c r="AV986" s="73">
        <f t="shared" si="446"/>
        <v>1.0068214933659623</v>
      </c>
      <c r="AW986" s="74">
        <f>PRODUCT(AV$4:AV986)</f>
        <v>798.52046859156053</v>
      </c>
    </row>
    <row r="987" spans="44:49">
      <c r="AR987" s="69">
        <f t="shared" si="445"/>
        <v>82</v>
      </c>
      <c r="AS987" s="70">
        <f t="shared" si="447"/>
        <v>984</v>
      </c>
      <c r="AT987" s="71">
        <f t="shared" si="448"/>
        <v>1.1881613555044983E-3</v>
      </c>
      <c r="AU987" s="72">
        <f t="shared" si="444"/>
        <v>6.8214933659622723E-3</v>
      </c>
      <c r="AV987" s="73">
        <f t="shared" si="446"/>
        <v>1.0068214933659623</v>
      </c>
      <c r="AW987" s="74">
        <f>PRODUCT(AV$4:AV987)</f>
        <v>803.967570670643</v>
      </c>
    </row>
    <row r="988" spans="44:49">
      <c r="AR988" s="69">
        <f t="shared" si="445"/>
        <v>83</v>
      </c>
      <c r="AS988" s="70">
        <f t="shared" si="447"/>
        <v>985</v>
      </c>
      <c r="AT988" s="71">
        <f t="shared" si="448"/>
        <v>1.1800563207002316E-3</v>
      </c>
      <c r="AU988" s="72">
        <f t="shared" si="444"/>
        <v>6.8214933659622723E-3</v>
      </c>
      <c r="AV988" s="73">
        <f t="shared" si="446"/>
        <v>1.0068214933659623</v>
      </c>
      <c r="AW988" s="74">
        <f>PRODUCT(AV$4:AV988)</f>
        <v>809.45183012042162</v>
      </c>
    </row>
    <row r="989" spans="44:49">
      <c r="AR989" s="69">
        <f t="shared" si="445"/>
        <v>83</v>
      </c>
      <c r="AS989" s="70">
        <f t="shared" si="447"/>
        <v>986</v>
      </c>
      <c r="AT989" s="71">
        <f t="shared" si="448"/>
        <v>1.1720065743371132E-3</v>
      </c>
      <c r="AU989" s="72">
        <f t="shared" si="444"/>
        <v>6.8214933659622723E-3</v>
      </c>
      <c r="AV989" s="73">
        <f t="shared" si="446"/>
        <v>1.0068214933659623</v>
      </c>
      <c r="AW989" s="74">
        <f>PRODUCT(AV$4:AV989)</f>
        <v>814.97350040965409</v>
      </c>
    </row>
    <row r="990" spans="44:49">
      <c r="AR990" s="69">
        <f t="shared" si="445"/>
        <v>83</v>
      </c>
      <c r="AS990" s="70">
        <f t="shared" si="447"/>
        <v>987</v>
      </c>
      <c r="AT990" s="71">
        <f t="shared" si="448"/>
        <v>1.1640117392654084E-3</v>
      </c>
      <c r="AU990" s="72">
        <f t="shared" si="444"/>
        <v>6.8214933659622723E-3</v>
      </c>
      <c r="AV990" s="73">
        <f t="shared" si="446"/>
        <v>1.0068214933659623</v>
      </c>
      <c r="AW990" s="74">
        <f>PRODUCT(AV$4:AV990)</f>
        <v>820.53283673613362</v>
      </c>
    </row>
    <row r="991" spans="44:49">
      <c r="AR991" s="69">
        <f t="shared" si="445"/>
        <v>83</v>
      </c>
      <c r="AS991" s="70">
        <f t="shared" si="447"/>
        <v>988</v>
      </c>
      <c r="AT991" s="71">
        <f t="shared" si="448"/>
        <v>1.1560714409081072E-3</v>
      </c>
      <c r="AU991" s="72">
        <f t="shared" si="444"/>
        <v>6.8214933659622723E-3</v>
      </c>
      <c r="AV991" s="73">
        <f t="shared" si="446"/>
        <v>1.0068214933659623</v>
      </c>
      <c r="AW991" s="74">
        <f>PRODUCT(AV$4:AV991)</f>
        <v>826.13009603848332</v>
      </c>
    </row>
    <row r="992" spans="44:49">
      <c r="AR992" s="69">
        <f t="shared" si="445"/>
        <v>83</v>
      </c>
      <c r="AS992" s="70">
        <f t="shared" si="447"/>
        <v>989</v>
      </c>
      <c r="AT992" s="71">
        <f t="shared" si="448"/>
        <v>1.1481853072433741E-3</v>
      </c>
      <c r="AU992" s="72">
        <f t="shared" si="444"/>
        <v>6.8214933659622723E-3</v>
      </c>
      <c r="AV992" s="73">
        <f t="shared" si="446"/>
        <v>1.0068214933659623</v>
      </c>
      <c r="AW992" s="74">
        <f>PRODUCT(AV$4:AV992)</f>
        <v>831.76553700803163</v>
      </c>
    </row>
    <row r="993" spans="44:49">
      <c r="AR993" s="69">
        <f t="shared" si="445"/>
        <v>83</v>
      </c>
      <c r="AS993" s="70">
        <f t="shared" si="447"/>
        <v>990</v>
      </c>
      <c r="AT993" s="71">
        <f t="shared" si="448"/>
        <v>1.1403529687871181E-3</v>
      </c>
      <c r="AU993" s="72">
        <f t="shared" si="444"/>
        <v>6.8214933659622723E-3</v>
      </c>
      <c r="AV993" s="73">
        <f t="shared" si="446"/>
        <v>1.0068214933659623</v>
      </c>
      <c r="AW993" s="74">
        <f>PRODUCT(AV$4:AV993)</f>
        <v>837.43942010076796</v>
      </c>
    </row>
    <row r="994" spans="44:49">
      <c r="AR994" s="69">
        <f t="shared" si="445"/>
        <v>83</v>
      </c>
      <c r="AS994" s="70">
        <f t="shared" si="447"/>
        <v>991</v>
      </c>
      <c r="AT994" s="71">
        <f t="shared" si="448"/>
        <v>1.1325740585756813E-3</v>
      </c>
      <c r="AU994" s="72">
        <f t="shared" si="444"/>
        <v>6.8214933659622723E-3</v>
      </c>
      <c r="AV994" s="73">
        <f t="shared" si="446"/>
        <v>1.0068214933659623</v>
      </c>
      <c r="AW994" s="74">
        <f>PRODUCT(AV$4:AV994)</f>
        <v>843.15200754938064</v>
      </c>
    </row>
    <row r="995" spans="44:49">
      <c r="AR995" s="69">
        <f t="shared" si="445"/>
        <v>83</v>
      </c>
      <c r="AS995" s="70">
        <f t="shared" si="447"/>
        <v>992</v>
      </c>
      <c r="AT995" s="71">
        <f t="shared" si="448"/>
        <v>1.1248482121486464E-3</v>
      </c>
      <c r="AU995" s="72">
        <f t="shared" si="444"/>
        <v>6.8214933659622723E-3</v>
      </c>
      <c r="AV995" s="73">
        <f t="shared" si="446"/>
        <v>1.0068214933659623</v>
      </c>
      <c r="AW995" s="74">
        <f>PRODUCT(AV$4:AV995)</f>
        <v>848.90356337537651</v>
      </c>
    </row>
    <row r="996" spans="44:49">
      <c r="AR996" s="69">
        <f t="shared" si="445"/>
        <v>83</v>
      </c>
      <c r="AS996" s="70">
        <f t="shared" si="447"/>
        <v>993</v>
      </c>
      <c r="AT996" s="71">
        <f t="shared" si="448"/>
        <v>1.1171750675317599E-3</v>
      </c>
      <c r="AU996" s="72">
        <f t="shared" si="444"/>
        <v>6.8214933659622723E-3</v>
      </c>
      <c r="AV996" s="73">
        <f t="shared" si="446"/>
        <v>1.0068214933659623</v>
      </c>
      <c r="AW996" s="74">
        <f>PRODUCT(AV$4:AV996)</f>
        <v>854.69435340128337</v>
      </c>
    </row>
    <row r="997" spans="44:49">
      <c r="AR997" s="69">
        <f t="shared" si="445"/>
        <v>83</v>
      </c>
      <c r="AS997" s="70">
        <f t="shared" si="447"/>
        <v>994</v>
      </c>
      <c r="AT997" s="71">
        <f t="shared" si="448"/>
        <v>1.1095542652199736E-3</v>
      </c>
      <c r="AU997" s="72">
        <f t="shared" si="444"/>
        <v>6.8214933659622723E-3</v>
      </c>
      <c r="AV997" s="73">
        <f t="shared" si="446"/>
        <v>1.0068214933659623</v>
      </c>
      <c r="AW997" s="74">
        <f>PRODUCT(AV$4:AV997)</f>
        <v>860.52464526293568</v>
      </c>
    </row>
    <row r="998" spans="44:49">
      <c r="AR998" s="69">
        <f t="shared" si="445"/>
        <v>83</v>
      </c>
      <c r="AS998" s="70">
        <f t="shared" si="447"/>
        <v>995</v>
      </c>
      <c r="AT998" s="71">
        <f t="shared" si="448"/>
        <v>1.1019854481606004E-3</v>
      </c>
      <c r="AU998" s="72">
        <f t="shared" si="444"/>
        <v>6.8214933659622723E-3</v>
      </c>
      <c r="AV998" s="73">
        <f t="shared" si="446"/>
        <v>1.0068214933659623</v>
      </c>
      <c r="AW998" s="74">
        <f>PRODUCT(AV$4:AV998)</f>
        <v>866.3947084218438</v>
      </c>
    </row>
    <row r="999" spans="44:49">
      <c r="AR999" s="69">
        <f t="shared" si="445"/>
        <v>83</v>
      </c>
      <c r="AS999" s="70">
        <f t="shared" si="447"/>
        <v>996</v>
      </c>
      <c r="AT999" s="71">
        <f t="shared" si="448"/>
        <v>1.0944682617365859E-3</v>
      </c>
      <c r="AU999" s="72">
        <f t="shared" si="444"/>
        <v>6.8214933659622723E-3</v>
      </c>
      <c r="AV999" s="73">
        <f t="shared" si="446"/>
        <v>1.0068214933659623</v>
      </c>
      <c r="AW999" s="74">
        <f>PRODUCT(AV$4:AV999)</f>
        <v>872.30481417764827</v>
      </c>
    </row>
    <row r="1000" spans="44:49">
      <c r="AR1000" s="69">
        <f t="shared" si="445"/>
        <v>84</v>
      </c>
      <c r="AS1000" s="70">
        <f t="shared" si="447"/>
        <v>997</v>
      </c>
      <c r="AT1000" s="71">
        <f t="shared" si="448"/>
        <v>1.0870023537498934E-3</v>
      </c>
      <c r="AU1000" s="72">
        <f t="shared" si="444"/>
        <v>6.8214933659622723E-3</v>
      </c>
      <c r="AV1000" s="73">
        <f t="shared" si="446"/>
        <v>1.0068214933659623</v>
      </c>
      <c r="AW1000" s="74">
        <f>PRODUCT(AV$4:AV1000)</f>
        <v>878.25523568065807</v>
      </c>
    </row>
    <row r="1001" spans="44:49">
      <c r="AR1001" s="69">
        <f t="shared" si="445"/>
        <v>84</v>
      </c>
      <c r="AS1001" s="70">
        <f t="shared" si="447"/>
        <v>998</v>
      </c>
      <c r="AT1001" s="71">
        <f t="shared" si="448"/>
        <v>1.0795873744050032E-3</v>
      </c>
      <c r="AU1001" s="72">
        <f t="shared" si="444"/>
        <v>6.8214933659622723E-3</v>
      </c>
      <c r="AV1001" s="73">
        <f t="shared" si="446"/>
        <v>1.0068214933659623</v>
      </c>
      <c r="AW1001" s="74">
        <f>PRODUCT(AV$4:AV1001)</f>
        <v>884.24624794447527</v>
      </c>
    </row>
    <row r="1002" spans="44:49">
      <c r="AR1002" s="69">
        <f t="shared" si="445"/>
        <v>84</v>
      </c>
      <c r="AS1002" s="70">
        <f t="shared" si="447"/>
        <v>999</v>
      </c>
      <c r="AT1002" s="71">
        <f t="shared" si="448"/>
        <v>1.0722229762925228E-3</v>
      </c>
      <c r="AU1002" s="72">
        <f t="shared" si="444"/>
        <v>6.8214933659622723E-3</v>
      </c>
      <c r="AV1002" s="73">
        <f t="shared" si="446"/>
        <v>1.0068214933659623</v>
      </c>
      <c r="AW1002" s="74">
        <f>PRODUCT(AV$4:AV1002)</f>
        <v>890.27812785870549</v>
      </c>
    </row>
    <row r="1003" spans="44:49">
      <c r="AR1003" s="69">
        <f t="shared" si="445"/>
        <v>84</v>
      </c>
      <c r="AS1003" s="70">
        <f t="shared" si="447"/>
        <v>1000</v>
      </c>
      <c r="AT1003" s="71">
        <f t="shared" si="448"/>
        <v>1.0649088143729109E-3</v>
      </c>
      <c r="AU1003" s="72">
        <f t="shared" si="444"/>
        <v>6.8214933659622723E-3</v>
      </c>
      <c r="AV1003" s="73">
        <f t="shared" si="446"/>
        <v>1.0068214933659623</v>
      </c>
      <c r="AW1003" s="74">
        <f>PRODUCT(AV$4:AV1003)</f>
        <v>896.35115420175498</v>
      </c>
    </row>
    <row r="1004" spans="44:49">
      <c r="AR1004" s="69">
        <f t="shared" si="445"/>
        <v>84</v>
      </c>
      <c r="AS1004" s="70">
        <f t="shared" si="447"/>
        <v>1001</v>
      </c>
      <c r="AT1004" s="71">
        <f t="shared" si="448"/>
        <v>1.0576445459603114E-3</v>
      </c>
      <c r="AU1004" s="72">
        <f t="shared" si="444"/>
        <v>6.8214933659622723E-3</v>
      </c>
      <c r="AV1004" s="73">
        <f t="shared" si="446"/>
        <v>1.0068214933659623</v>
      </c>
      <c r="AW1004" s="74">
        <f>PRODUCT(AV$4:AV1004)</f>
        <v>902.46560765371487</v>
      </c>
    </row>
    <row r="1005" spans="44:49">
      <c r="AR1005" s="69">
        <f t="shared" si="445"/>
        <v>84</v>
      </c>
      <c r="AS1005" s="70">
        <f t="shared" si="447"/>
        <v>1002</v>
      </c>
      <c r="AT1005" s="71">
        <f t="shared" si="448"/>
        <v>1.0504298307064969E-3</v>
      </c>
      <c r="AU1005" s="72">
        <f t="shared" si="444"/>
        <v>6.8214933659622723E-3</v>
      </c>
      <c r="AV1005" s="73">
        <f t="shared" si="446"/>
        <v>1.0068214933659623</v>
      </c>
      <c r="AW1005" s="74">
        <f>PRODUCT(AV$4:AV1005)</f>
        <v>908.62177080933384</v>
      </c>
    </row>
    <row r="1006" spans="44:49">
      <c r="AR1006" s="69">
        <f t="shared" si="445"/>
        <v>84</v>
      </c>
      <c r="AS1006" s="70">
        <f t="shared" si="447"/>
        <v>1003</v>
      </c>
      <c r="AT1006" s="71">
        <f t="shared" si="448"/>
        <v>1.0432643305849237E-3</v>
      </c>
      <c r="AU1006" s="72">
        <f t="shared" si="444"/>
        <v>6.8214933659622723E-3</v>
      </c>
      <c r="AV1006" s="73">
        <f t="shared" si="446"/>
        <v>1.0068214933659623</v>
      </c>
      <c r="AW1006" s="74">
        <f>PRODUCT(AV$4:AV1006)</f>
        <v>914.81992819107859</v>
      </c>
    </row>
    <row r="1007" spans="44:49">
      <c r="AR1007" s="69">
        <f t="shared" si="445"/>
        <v>84</v>
      </c>
      <c r="AS1007" s="70">
        <f t="shared" si="447"/>
        <v>1004</v>
      </c>
      <c r="AT1007" s="71">
        <f t="shared" si="448"/>
        <v>1.0361477098748935E-3</v>
      </c>
      <c r="AU1007" s="72">
        <f t="shared" si="444"/>
        <v>6.8214933659622723E-3</v>
      </c>
      <c r="AV1007" s="73">
        <f t="shared" si="446"/>
        <v>1.0068214933659623</v>
      </c>
      <c r="AW1007" s="74">
        <f>PRODUCT(AV$4:AV1007)</f>
        <v>921.06036626228411</v>
      </c>
    </row>
    <row r="1008" spans="44:49">
      <c r="AR1008" s="69">
        <f t="shared" si="445"/>
        <v>84</v>
      </c>
      <c r="AS1008" s="70">
        <f t="shared" si="447"/>
        <v>1005</v>
      </c>
      <c r="AT1008" s="71">
        <f t="shared" si="448"/>
        <v>1.0290796351458248E-3</v>
      </c>
      <c r="AU1008" s="72">
        <f t="shared" si="444"/>
        <v>6.8214933659622723E-3</v>
      </c>
      <c r="AV1008" s="73">
        <f t="shared" si="446"/>
        <v>1.0068214933659623</v>
      </c>
      <c r="AW1008" s="74">
        <f>PRODUCT(AV$4:AV1008)</f>
        <v>927.34337344039307</v>
      </c>
    </row>
    <row r="1009" spans="44:49">
      <c r="AR1009" s="69">
        <f t="shared" si="445"/>
        <v>84</v>
      </c>
      <c r="AS1009" s="70">
        <f t="shared" si="447"/>
        <v>1006</v>
      </c>
      <c r="AT1009" s="71">
        <f t="shared" si="448"/>
        <v>1.0220597752416307E-3</v>
      </c>
      <c r="AU1009" s="72">
        <f t="shared" si="444"/>
        <v>6.8214933659622723E-3</v>
      </c>
      <c r="AV1009" s="73">
        <f t="shared" si="446"/>
        <v>1.0068214933659623</v>
      </c>
      <c r="AW1009" s="74">
        <f>PRODUCT(AV$4:AV1009)</f>
        <v>933.66924011028573</v>
      </c>
    </row>
    <row r="1010" spans="44:49">
      <c r="AR1010" s="69">
        <f t="shared" si="445"/>
        <v>84</v>
      </c>
      <c r="AS1010" s="70">
        <f t="shared" si="447"/>
        <v>1007</v>
      </c>
      <c r="AT1010" s="71">
        <f t="shared" si="448"/>
        <v>1.0150878012652031E-3</v>
      </c>
      <c r="AU1010" s="72">
        <f t="shared" si="444"/>
        <v>6.8214933659622723E-3</v>
      </c>
      <c r="AV1010" s="73">
        <f t="shared" si="446"/>
        <v>1.0068214933659623</v>
      </c>
      <c r="AW1010" s="74">
        <f>PRODUCT(AV$4:AV1010)</f>
        <v>940.03825863770112</v>
      </c>
    </row>
    <row r="1011" spans="44:49">
      <c r="AR1011" s="69">
        <f t="shared" si="445"/>
        <v>84</v>
      </c>
      <c r="AS1011" s="70">
        <f t="shared" si="447"/>
        <v>1008</v>
      </c>
      <c r="AT1011" s="71">
        <f t="shared" si="448"/>
        <v>1.0081633865630032E-3</v>
      </c>
      <c r="AU1011" s="72">
        <f t="shared" si="444"/>
        <v>6.8214933659622723E-3</v>
      </c>
      <c r="AV1011" s="73">
        <f t="shared" si="446"/>
        <v>1.0068214933659623</v>
      </c>
      <c r="AW1011" s="74">
        <f>PRODUCT(AV$4:AV1011)</f>
        <v>946.45072338274895</v>
      </c>
    </row>
    <row r="1012" spans="44:49">
      <c r="AR1012" s="69">
        <f t="shared" si="445"/>
        <v>85</v>
      </c>
      <c r="AS1012" s="70">
        <f t="shared" si="447"/>
        <v>1009</v>
      </c>
      <c r="AT1012" s="71">
        <f t="shared" si="448"/>
        <v>1.0012862067097577E-3</v>
      </c>
      <c r="AU1012" s="72">
        <f t="shared" si="444"/>
        <v>6.8214933659622723E-3</v>
      </c>
      <c r="AV1012" s="73">
        <f t="shared" si="446"/>
        <v>1.0068214933659623</v>
      </c>
      <c r="AW1012" s="74">
        <f>PRODUCT(AV$4:AV1012)</f>
        <v>952.90693071351461</v>
      </c>
    </row>
    <row r="1013" spans="44:49">
      <c r="AR1013" s="69">
        <f t="shared" si="445"/>
        <v>85</v>
      </c>
      <c r="AS1013" s="70">
        <f t="shared" si="447"/>
        <v>1010</v>
      </c>
      <c r="AT1013" s="71">
        <f t="shared" si="448"/>
        <v>9.9445593949325749E-4</v>
      </c>
      <c r="AU1013" s="72">
        <f t="shared" si="444"/>
        <v>6.8214933659622723E-3</v>
      </c>
      <c r="AV1013" s="73">
        <f t="shared" si="446"/>
        <v>1.0068214933659623</v>
      </c>
      <c r="AW1013" s="74">
        <f>PRODUCT(AV$4:AV1013)</f>
        <v>959.40717901975631</v>
      </c>
    </row>
    <row r="1014" spans="44:49">
      <c r="AR1014" s="69">
        <f t="shared" si="445"/>
        <v>85</v>
      </c>
      <c r="AS1014" s="70">
        <f t="shared" si="447"/>
        <v>1011</v>
      </c>
      <c r="AT1014" s="71">
        <f t="shared" si="448"/>
        <v>9.8767226489926245E-4</v>
      </c>
      <c r="AU1014" s="72">
        <f t="shared" si="444"/>
        <v>6.8214933659622723E-3</v>
      </c>
      <c r="AV1014" s="73">
        <f t="shared" si="446"/>
        <v>1.0068214933659623</v>
      </c>
      <c r="AW1014" s="74">
        <f>PRODUCT(AV$4:AV1014)</f>
        <v>965.95176872669617</v>
      </c>
    </row>
    <row r="1015" spans="44:49">
      <c r="AR1015" s="69">
        <f t="shared" si="445"/>
        <v>85</v>
      </c>
      <c r="AS1015" s="70">
        <f t="shared" si="447"/>
        <v>1012</v>
      </c>
      <c r="AT1015" s="71">
        <f t="shared" si="448"/>
        <v>9.8093486509650716E-4</v>
      </c>
      <c r="AU1015" s="72">
        <f t="shared" si="444"/>
        <v>6.8214933659622723E-3</v>
      </c>
      <c r="AV1015" s="73">
        <f t="shared" si="446"/>
        <v>1.0068214933659623</v>
      </c>
      <c r="AW1015" s="74">
        <f>PRODUCT(AV$4:AV1015)</f>
        <v>972.54100230890481</v>
      </c>
    </row>
    <row r="1016" spans="44:49">
      <c r="AR1016" s="69">
        <f t="shared" si="445"/>
        <v>85</v>
      </c>
      <c r="AS1016" s="70">
        <f t="shared" si="447"/>
        <v>1013</v>
      </c>
      <c r="AT1016" s="71">
        <f t="shared" si="448"/>
        <v>9.7424342442181027E-4</v>
      </c>
      <c r="AU1016" s="72">
        <f t="shared" si="444"/>
        <v>6.8214933659622723E-3</v>
      </c>
      <c r="AV1016" s="73">
        <f t="shared" si="446"/>
        <v>1.0068214933659623</v>
      </c>
      <c r="AW1016" s="74">
        <f>PRODUCT(AV$4:AV1016)</f>
        <v>979.17518430428129</v>
      </c>
    </row>
    <row r="1017" spans="44:49">
      <c r="AR1017" s="69">
        <f t="shared" si="445"/>
        <v>85</v>
      </c>
      <c r="AS1017" s="70">
        <f t="shared" si="447"/>
        <v>1014</v>
      </c>
      <c r="AT1017" s="71">
        <f t="shared" si="448"/>
        <v>9.6759762936528455E-4</v>
      </c>
      <c r="AU1017" s="72">
        <f t="shared" si="444"/>
        <v>6.8214933659622723E-3</v>
      </c>
      <c r="AV1017" s="73">
        <f t="shared" si="446"/>
        <v>1.0068214933659623</v>
      </c>
      <c r="AW1017" s="74">
        <f>PRODUCT(AV$4:AV1017)</f>
        <v>985.85462132812779</v>
      </c>
    </row>
    <row r="1018" spans="44:49">
      <c r="AR1018" s="69">
        <f t="shared" si="445"/>
        <v>85</v>
      </c>
      <c r="AS1018" s="70">
        <f t="shared" si="447"/>
        <v>1015</v>
      </c>
      <c r="AT1018" s="71">
        <f t="shared" si="448"/>
        <v>9.6099716855564839E-4</v>
      </c>
      <c r="AU1018" s="72">
        <f t="shared" si="444"/>
        <v>6.8214933659622723E-3</v>
      </c>
      <c r="AV1018" s="73">
        <f t="shared" si="446"/>
        <v>1.0068214933659623</v>
      </c>
      <c r="AW1018" s="74">
        <f>PRODUCT(AV$4:AV1018)</f>
        <v>992.5796220873209</v>
      </c>
    </row>
    <row r="1019" spans="44:49">
      <c r="AR1019" s="69">
        <f t="shared" si="445"/>
        <v>85</v>
      </c>
      <c r="AS1019" s="70">
        <f t="shared" si="447"/>
        <v>1016</v>
      </c>
      <c r="AT1019" s="71">
        <f t="shared" si="448"/>
        <v>9.5444173274563749E-4</v>
      </c>
      <c r="AU1019" s="72">
        <f t="shared" si="444"/>
        <v>6.8214933659622723E-3</v>
      </c>
      <c r="AV1019" s="73">
        <f t="shared" si="446"/>
        <v>1.0068214933659623</v>
      </c>
      <c r="AW1019" s="74">
        <f>PRODUCT(AV$4:AV1019)</f>
        <v>999.35049739457895</v>
      </c>
    </row>
    <row r="1020" spans="44:49">
      <c r="AR1020" s="69">
        <f t="shared" si="445"/>
        <v>85</v>
      </c>
      <c r="AS1020" s="70">
        <f t="shared" si="447"/>
        <v>1017</v>
      </c>
      <c r="AT1020" s="71">
        <f t="shared" si="448"/>
        <v>9.4793101479751559E-4</v>
      </c>
      <c r="AU1020" s="72">
        <f t="shared" si="444"/>
        <v>6.8214933659622723E-3</v>
      </c>
      <c r="AV1020" s="73">
        <f t="shared" si="446"/>
        <v>1.0068214933659623</v>
      </c>
      <c r="AW1020" s="74">
        <f>PRODUCT(AV$4:AV1020)</f>
        <v>1006.1675601828272</v>
      </c>
    </row>
    <row r="1021" spans="44:49">
      <c r="AR1021" s="69">
        <f t="shared" si="445"/>
        <v>85</v>
      </c>
      <c r="AS1021" s="70">
        <f t="shared" si="447"/>
        <v>1018</v>
      </c>
      <c r="AT1021" s="71">
        <f t="shared" si="448"/>
        <v>9.4146470966868442E-4</v>
      </c>
      <c r="AU1021" s="72">
        <f t="shared" si="444"/>
        <v>6.8214933659622723E-3</v>
      </c>
      <c r="AV1021" s="73">
        <f t="shared" si="446"/>
        <v>1.0068214933659623</v>
      </c>
      <c r="AW1021" s="74">
        <f>PRODUCT(AV$4:AV1021)</f>
        <v>1013.0311255196608</v>
      </c>
    </row>
    <row r="1022" spans="44:49">
      <c r="AR1022" s="69">
        <f t="shared" si="445"/>
        <v>85</v>
      </c>
      <c r="AS1022" s="70">
        <f t="shared" si="447"/>
        <v>1019</v>
      </c>
      <c r="AT1022" s="71">
        <f t="shared" si="448"/>
        <v>9.3504251439739195E-4</v>
      </c>
      <c r="AU1022" s="72">
        <f t="shared" si="444"/>
        <v>6.8214933659622723E-3</v>
      </c>
      <c r="AV1022" s="73">
        <f t="shared" si="446"/>
        <v>1.0068214933659623</v>
      </c>
      <c r="AW1022" s="74">
        <f>PRODUCT(AV$4:AV1022)</f>
        <v>1019.9415106219064</v>
      </c>
    </row>
    <row r="1023" spans="44:49">
      <c r="AR1023" s="69">
        <f t="shared" si="445"/>
        <v>85</v>
      </c>
      <c r="AS1023" s="70">
        <f t="shared" si="447"/>
        <v>1020</v>
      </c>
      <c r="AT1023" s="71">
        <f t="shared" si="448"/>
        <v>9.2866412808853744E-4</v>
      </c>
      <c r="AU1023" s="72">
        <f t="shared" si="444"/>
        <v>6.8214933659622723E-3</v>
      </c>
      <c r="AV1023" s="73">
        <f t="shared" si="446"/>
        <v>1.0068214933659623</v>
      </c>
      <c r="AW1023" s="74">
        <f>PRODUCT(AV$4:AV1023)</f>
        <v>1026.8990348702832</v>
      </c>
    </row>
    <row r="1024" spans="44:49">
      <c r="AR1024" s="69">
        <f t="shared" si="445"/>
        <v>86</v>
      </c>
      <c r="AS1024" s="70">
        <f t="shared" si="447"/>
        <v>1021</v>
      </c>
      <c r="AT1024" s="71">
        <f t="shared" si="448"/>
        <v>9.2232925189957439E-4</v>
      </c>
      <c r="AU1024" s="72">
        <f t="shared" si="444"/>
        <v>6.8214933659622723E-3</v>
      </c>
      <c r="AV1024" s="73">
        <f t="shared" si="446"/>
        <v>1.0068214933659623</v>
      </c>
      <c r="AW1024" s="74">
        <f>PRODUCT(AV$4:AV1024)</f>
        <v>1033.9040198241639</v>
      </c>
    </row>
    <row r="1025" spans="44:49">
      <c r="AR1025" s="69">
        <f t="shared" si="445"/>
        <v>86</v>
      </c>
      <c r="AS1025" s="70">
        <f t="shared" si="447"/>
        <v>1022</v>
      </c>
      <c r="AT1025" s="71">
        <f t="shared" si="448"/>
        <v>9.1603758902650853E-4</v>
      </c>
      <c r="AU1025" s="72">
        <f t="shared" si="444"/>
        <v>6.8214933659622723E-3</v>
      </c>
      <c r="AV1025" s="73">
        <f t="shared" si="446"/>
        <v>1.0068214933659623</v>
      </c>
      <c r="AW1025" s="74">
        <f>PRODUCT(AV$4:AV1025)</f>
        <v>1040.9567892364362</v>
      </c>
    </row>
    <row r="1026" spans="44:49">
      <c r="AR1026" s="69">
        <f t="shared" si="445"/>
        <v>86</v>
      </c>
      <c r="AS1026" s="70">
        <f t="shared" si="447"/>
        <v>1023</v>
      </c>
      <c r="AT1026" s="71">
        <f t="shared" si="448"/>
        <v>9.0978884468999213E-4</v>
      </c>
      <c r="AU1026" s="72">
        <f t="shared" si="444"/>
        <v>6.8214933659622723E-3</v>
      </c>
      <c r="AV1026" s="73">
        <f t="shared" si="446"/>
        <v>1.0068214933659623</v>
      </c>
      <c r="AW1026" s="74">
        <f>PRODUCT(AV$4:AV1026)</f>
        <v>1048.0576690684659</v>
      </c>
    </row>
    <row r="1027" spans="44:49">
      <c r="AR1027" s="69">
        <f t="shared" si="445"/>
        <v>86</v>
      </c>
      <c r="AS1027" s="70">
        <f t="shared" si="447"/>
        <v>1024</v>
      </c>
      <c r="AT1027" s="71">
        <f t="shared" si="448"/>
        <v>9.0358272612151285E-4</v>
      </c>
      <c r="AU1027" s="72">
        <f t="shared" si="444"/>
        <v>6.8214933659622723E-3</v>
      </c>
      <c r="AV1027" s="73">
        <f t="shared" si="446"/>
        <v>1.0068214933659623</v>
      </c>
      <c r="AW1027" s="74">
        <f>PRODUCT(AV$4:AV1027)</f>
        <v>1055.2069875051623</v>
      </c>
    </row>
    <row r="1028" spans="44:49">
      <c r="AR1028" s="69">
        <f t="shared" si="445"/>
        <v>86</v>
      </c>
      <c r="AS1028" s="70">
        <f t="shared" si="447"/>
        <v>1025</v>
      </c>
      <c r="AT1028" s="71">
        <f t="shared" si="448"/>
        <v>8.9741894254967685E-4</v>
      </c>
      <c r="AU1028" s="72">
        <f t="shared" ref="AU1028:AU1091" si="449">((1+$AH$21)^(1/12))-1</f>
        <v>6.8214933659622723E-3</v>
      </c>
      <c r="AV1028" s="73">
        <f t="shared" si="446"/>
        <v>1.0068214933659623</v>
      </c>
      <c r="AW1028" s="74">
        <f>PRODUCT(AV$4:AV1028)</f>
        <v>1062.4050749701457</v>
      </c>
    </row>
    <row r="1029" spans="44:49">
      <c r="AR1029" s="69">
        <f t="shared" ref="AR1029:AR1092" si="450">ROUNDDOWN((AS1029-1)/12,0)+1</f>
        <v>86</v>
      </c>
      <c r="AS1029" s="70">
        <f t="shared" si="447"/>
        <v>1026</v>
      </c>
      <c r="AT1029" s="71">
        <f t="shared" si="448"/>
        <v>8.9129720518658538E-4</v>
      </c>
      <c r="AU1029" s="72">
        <f t="shared" si="449"/>
        <v>6.8214933659622723E-3</v>
      </c>
      <c r="AV1029" s="73">
        <f t="shared" ref="AV1029:AV1092" si="451">(1+AU1029)</f>
        <v>1.0068214933659623</v>
      </c>
      <c r="AW1029" s="74">
        <f>PRODUCT(AV$4:AV1029)</f>
        <v>1069.6522641410193</v>
      </c>
    </row>
    <row r="1030" spans="44:49">
      <c r="AR1030" s="69">
        <f t="shared" si="450"/>
        <v>86</v>
      </c>
      <c r="AS1030" s="70">
        <f t="shared" ref="AS1030:AS1093" si="452">AS1029+1</f>
        <v>1027</v>
      </c>
      <c r="AT1030" s="71">
        <f t="shared" ref="AT1030:AT1093" si="453">(1-AU1030)*AT1029</f>
        <v>8.8521722721430433E-4</v>
      </c>
      <c r="AU1030" s="72">
        <f t="shared" si="449"/>
        <v>6.8214933659622723E-3</v>
      </c>
      <c r="AV1030" s="73">
        <f t="shared" si="451"/>
        <v>1.0068214933659623</v>
      </c>
      <c r="AW1030" s="74">
        <f>PRODUCT(AV$4:AV1030)</f>
        <v>1076.9488899647438</v>
      </c>
    </row>
    <row r="1031" spans="44:49">
      <c r="AR1031" s="69">
        <f t="shared" si="450"/>
        <v>86</v>
      </c>
      <c r="AS1031" s="70">
        <f t="shared" si="452"/>
        <v>1028</v>
      </c>
      <c r="AT1031" s="71">
        <f t="shared" si="453"/>
        <v>8.7917872377142646E-4</v>
      </c>
      <c r="AU1031" s="72">
        <f t="shared" si="449"/>
        <v>6.8214933659622723E-3</v>
      </c>
      <c r="AV1031" s="73">
        <f t="shared" si="451"/>
        <v>1.0068214933659623</v>
      </c>
      <c r="AW1031" s="74">
        <f>PRODUCT(AV$4:AV1031)</f>
        <v>1084.2952896731188</v>
      </c>
    </row>
    <row r="1032" spans="44:49">
      <c r="AR1032" s="69">
        <f t="shared" si="450"/>
        <v>86</v>
      </c>
      <c r="AS1032" s="70">
        <f t="shared" si="452"/>
        <v>1029</v>
      </c>
      <c r="AT1032" s="71">
        <f t="shared" si="453"/>
        <v>8.7318141193972452E-4</v>
      </c>
      <c r="AU1032" s="72">
        <f t="shared" si="449"/>
        <v>6.8214933659622723E-3</v>
      </c>
      <c r="AV1032" s="73">
        <f t="shared" si="451"/>
        <v>1.0068214933659623</v>
      </c>
      <c r="AW1032" s="74">
        <f>PRODUCT(AV$4:AV1032)</f>
        <v>1091.6918027983681</v>
      </c>
    </row>
    <row r="1033" spans="44:49">
      <c r="AR1033" s="69">
        <f t="shared" si="450"/>
        <v>86</v>
      </c>
      <c r="AS1033" s="70">
        <f t="shared" si="452"/>
        <v>1030</v>
      </c>
      <c r="AT1033" s="71">
        <f t="shared" si="453"/>
        <v>8.672250107308961E-4</v>
      </c>
      <c r="AU1033" s="72">
        <f t="shared" si="449"/>
        <v>6.8214933659622723E-3</v>
      </c>
      <c r="AV1033" s="73">
        <f t="shared" si="451"/>
        <v>1.0068214933659623</v>
      </c>
      <c r="AW1033" s="74">
        <f>PRODUCT(AV$4:AV1033)</f>
        <v>1099.1387711888326</v>
      </c>
    </row>
    <row r="1034" spans="44:49">
      <c r="AR1034" s="69">
        <f t="shared" si="450"/>
        <v>86</v>
      </c>
      <c r="AS1034" s="70">
        <f t="shared" si="452"/>
        <v>1031</v>
      </c>
      <c r="AT1034" s="71">
        <f t="shared" si="453"/>
        <v>8.6130924107339875E-4</v>
      </c>
      <c r="AU1034" s="72">
        <f t="shared" si="449"/>
        <v>6.8214933659622723E-3</v>
      </c>
      <c r="AV1034" s="73">
        <f t="shared" si="451"/>
        <v>1.0068214933659623</v>
      </c>
      <c r="AW1034" s="74">
        <f>PRODUCT(AV$4:AV1034)</f>
        <v>1106.6365390247693</v>
      </c>
    </row>
    <row r="1035" spans="44:49">
      <c r="AR1035" s="69">
        <f t="shared" si="450"/>
        <v>86</v>
      </c>
      <c r="AS1035" s="70">
        <f t="shared" si="452"/>
        <v>1032</v>
      </c>
      <c r="AT1035" s="71">
        <f t="shared" si="453"/>
        <v>8.5543382579937458E-4</v>
      </c>
      <c r="AU1035" s="72">
        <f t="shared" si="449"/>
        <v>6.8214933659622723E-3</v>
      </c>
      <c r="AV1035" s="73">
        <f t="shared" si="451"/>
        <v>1.0068214933659623</v>
      </c>
      <c r="AW1035" s="74">
        <f>PRODUCT(AV$4:AV1035)</f>
        <v>1114.1854528342583</v>
      </c>
    </row>
    <row r="1036" spans="44:49">
      <c r="AR1036" s="69">
        <f t="shared" si="450"/>
        <v>87</v>
      </c>
      <c r="AS1036" s="70">
        <f t="shared" si="452"/>
        <v>1033</v>
      </c>
      <c r="AT1036" s="71">
        <f t="shared" si="453"/>
        <v>8.4959848963166444E-4</v>
      </c>
      <c r="AU1036" s="72">
        <f t="shared" si="449"/>
        <v>6.8214933659622723E-3</v>
      </c>
      <c r="AV1036" s="73">
        <f t="shared" si="451"/>
        <v>1.0068214933659623</v>
      </c>
      <c r="AW1036" s="74">
        <f>PRODUCT(AV$4:AV1036)</f>
        <v>1121.7858615092189</v>
      </c>
    </row>
    <row r="1037" spans="44:49">
      <c r="AR1037" s="69">
        <f t="shared" si="450"/>
        <v>87</v>
      </c>
      <c r="AS1037" s="70">
        <f t="shared" si="452"/>
        <v>1034</v>
      </c>
      <c r="AT1037" s="71">
        <f t="shared" si="453"/>
        <v>8.438029591709105E-4</v>
      </c>
      <c r="AU1037" s="72">
        <f t="shared" si="449"/>
        <v>6.8214933659622723E-3</v>
      </c>
      <c r="AV1037" s="73">
        <f t="shared" si="451"/>
        <v>1.0068214933659623</v>
      </c>
      <c r="AW1037" s="74">
        <f>PRODUCT(AV$4:AV1037)</f>
        <v>1129.4381163215344</v>
      </c>
    </row>
    <row r="1038" spans="44:49">
      <c r="AR1038" s="69">
        <f t="shared" si="450"/>
        <v>87</v>
      </c>
      <c r="AS1038" s="70">
        <f t="shared" si="452"/>
        <v>1035</v>
      </c>
      <c r="AT1038" s="71">
        <f t="shared" si="453"/>
        <v>8.3804696288274679E-4</v>
      </c>
      <c r="AU1038" s="72">
        <f t="shared" si="449"/>
        <v>6.8214933659622723E-3</v>
      </c>
      <c r="AV1038" s="73">
        <f t="shared" si="451"/>
        <v>1.0068214933659623</v>
      </c>
      <c r="AW1038" s="74">
        <f>PRODUCT(AV$4:AV1038)</f>
        <v>1137.1425709392865</v>
      </c>
    </row>
    <row r="1039" spans="44:49">
      <c r="AR1039" s="69">
        <f t="shared" si="450"/>
        <v>87</v>
      </c>
      <c r="AS1039" s="70">
        <f t="shared" si="452"/>
        <v>1036</v>
      </c>
      <c r="AT1039" s="71">
        <f t="shared" si="453"/>
        <v>8.3233023108507734E-4</v>
      </c>
      <c r="AU1039" s="72">
        <f t="shared" si="449"/>
        <v>6.8214933659622723E-3</v>
      </c>
      <c r="AV1039" s="73">
        <f t="shared" si="451"/>
        <v>1.0068214933659623</v>
      </c>
      <c r="AW1039" s="74">
        <f>PRODUCT(AV$4:AV1039)</f>
        <v>1144.8995814431021</v>
      </c>
    </row>
    <row r="1040" spans="44:49">
      <c r="AR1040" s="69">
        <f t="shared" si="450"/>
        <v>87</v>
      </c>
      <c r="AS1040" s="70">
        <f t="shared" si="452"/>
        <v>1037</v>
      </c>
      <c r="AT1040" s="71">
        <f t="shared" si="453"/>
        <v>8.2665249593544059E-4</v>
      </c>
      <c r="AU1040" s="72">
        <f t="shared" si="449"/>
        <v>6.8214933659622723E-3</v>
      </c>
      <c r="AV1040" s="73">
        <f t="shared" si="451"/>
        <v>1.0068214933659623</v>
      </c>
      <c r="AW1040" s="74">
        <f>PRODUCT(AV$4:AV1040)</f>
        <v>1152.7095063426091</v>
      </c>
    </row>
    <row r="1041" spans="44:49">
      <c r="AR1041" s="69">
        <f t="shared" si="450"/>
        <v>87</v>
      </c>
      <c r="AS1041" s="70">
        <f t="shared" si="452"/>
        <v>1038</v>
      </c>
      <c r="AT1041" s="71">
        <f t="shared" si="453"/>
        <v>8.2101349141846082E-4</v>
      </c>
      <c r="AU1041" s="72">
        <f t="shared" si="449"/>
        <v>6.8214933659622723E-3</v>
      </c>
      <c r="AV1041" s="73">
        <f t="shared" si="451"/>
        <v>1.0068214933659623</v>
      </c>
      <c r="AW1041" s="74">
        <f>PRODUCT(AV$4:AV1041)</f>
        <v>1160.5727065930068</v>
      </c>
    </row>
    <row r="1042" spans="44:49">
      <c r="AR1042" s="69">
        <f t="shared" si="450"/>
        <v>87</v>
      </c>
      <c r="AS1042" s="70">
        <f t="shared" si="452"/>
        <v>1039</v>
      </c>
      <c r="AT1042" s="71">
        <f t="shared" si="453"/>
        <v>8.154129533333843E-4</v>
      </c>
      <c r="AU1042" s="72">
        <f t="shared" si="449"/>
        <v>6.8214933659622723E-3</v>
      </c>
      <c r="AV1042" s="73">
        <f t="shared" si="451"/>
        <v>1.0068214933659623</v>
      </c>
      <c r="AW1042" s="74">
        <f>PRODUCT(AV$4:AV1042)</f>
        <v>1168.4895456117479</v>
      </c>
    </row>
    <row r="1043" spans="44:49">
      <c r="AR1043" s="69">
        <f t="shared" si="450"/>
        <v>87</v>
      </c>
      <c r="AS1043" s="70">
        <f t="shared" si="452"/>
        <v>1040</v>
      </c>
      <c r="AT1043" s="71">
        <f t="shared" si="453"/>
        <v>8.0985061928170088E-4</v>
      </c>
      <c r="AU1043" s="72">
        <f t="shared" si="449"/>
        <v>6.8214933659622723E-3</v>
      </c>
      <c r="AV1043" s="73">
        <f t="shared" si="451"/>
        <v>1.0068214933659623</v>
      </c>
      <c r="AW1043" s="74">
        <f>PRODUCT(AV$4:AV1043)</f>
        <v>1176.4603892953346</v>
      </c>
    </row>
    <row r="1044" spans="44:49">
      <c r="AR1044" s="69">
        <f t="shared" si="450"/>
        <v>87</v>
      </c>
      <c r="AS1044" s="70">
        <f t="shared" si="452"/>
        <v>1041</v>
      </c>
      <c r="AT1044" s="71">
        <f t="shared" si="453"/>
        <v>8.0432622865485033E-4</v>
      </c>
      <c r="AU1044" s="72">
        <f t="shared" si="449"/>
        <v>6.8214933659622723E-3</v>
      </c>
      <c r="AV1044" s="73">
        <f t="shared" si="451"/>
        <v>1.0068214933659623</v>
      </c>
      <c r="AW1044" s="74">
        <f>PRODUCT(AV$4:AV1044)</f>
        <v>1184.4856060362301</v>
      </c>
    </row>
    <row r="1045" spans="44:49">
      <c r="AR1045" s="69">
        <f t="shared" si="450"/>
        <v>87</v>
      </c>
      <c r="AS1045" s="70">
        <f t="shared" si="452"/>
        <v>1042</v>
      </c>
      <c r="AT1045" s="71">
        <f t="shared" si="453"/>
        <v>7.9883952262201183E-4</v>
      </c>
      <c r="AU1045" s="72">
        <f t="shared" si="449"/>
        <v>6.8214933659622723E-3</v>
      </c>
      <c r="AV1045" s="73">
        <f t="shared" si="451"/>
        <v>1.0068214933659623</v>
      </c>
      <c r="AW1045" s="74">
        <f>PRODUCT(AV$4:AV1045)</f>
        <v>1192.5655667398842</v>
      </c>
    </row>
    <row r="1046" spans="44:49">
      <c r="AR1046" s="69">
        <f t="shared" si="450"/>
        <v>87</v>
      </c>
      <c r="AS1046" s="70">
        <f t="shared" si="452"/>
        <v>1043</v>
      </c>
      <c r="AT1046" s="71">
        <f t="shared" si="453"/>
        <v>7.9339024411797729E-4</v>
      </c>
      <c r="AU1046" s="72">
        <f t="shared" si="449"/>
        <v>6.8214933659622723E-3</v>
      </c>
      <c r="AV1046" s="73">
        <f t="shared" si="451"/>
        <v>1.0068214933659623</v>
      </c>
      <c r="AW1046" s="74">
        <f>PRODUCT(AV$4:AV1046)</f>
        <v>1200.7006448418754</v>
      </c>
    </row>
    <row r="1047" spans="44:49">
      <c r="AR1047" s="69">
        <f t="shared" si="450"/>
        <v>87</v>
      </c>
      <c r="AS1047" s="70">
        <f t="shared" si="452"/>
        <v>1044</v>
      </c>
      <c r="AT1047" s="71">
        <f t="shared" si="453"/>
        <v>7.8797813783110736E-4</v>
      </c>
      <c r="AU1047" s="72">
        <f t="shared" si="449"/>
        <v>6.8214933659622723E-3</v>
      </c>
      <c r="AV1047" s="73">
        <f t="shared" si="451"/>
        <v>1.0068214933659623</v>
      </c>
      <c r="AW1047" s="74">
        <f>PRODUCT(AV$4:AV1047)</f>
        <v>1208.8912163251709</v>
      </c>
    </row>
    <row r="1048" spans="44:49">
      <c r="AR1048" s="69">
        <f t="shared" si="450"/>
        <v>88</v>
      </c>
      <c r="AS1048" s="70">
        <f t="shared" si="452"/>
        <v>1045</v>
      </c>
      <c r="AT1048" s="71">
        <f t="shared" si="453"/>
        <v>7.8260295019136914E-4</v>
      </c>
      <c r="AU1048" s="72">
        <f t="shared" si="449"/>
        <v>6.8214933659622723E-3</v>
      </c>
      <c r="AV1048" s="73">
        <f t="shared" si="451"/>
        <v>1.0068214933659623</v>
      </c>
      <c r="AW1048" s="74">
        <f>PRODUCT(AV$4:AV1048)</f>
        <v>1217.1376597375031</v>
      </c>
    </row>
    <row r="1049" spans="44:49">
      <c r="AR1049" s="69">
        <f t="shared" si="450"/>
        <v>88</v>
      </c>
      <c r="AS1049" s="70">
        <f t="shared" si="452"/>
        <v>1046</v>
      </c>
      <c r="AT1049" s="71">
        <f t="shared" si="453"/>
        <v>7.7726442935845618E-4</v>
      </c>
      <c r="AU1049" s="72">
        <f t="shared" si="449"/>
        <v>6.8214933659622723E-3</v>
      </c>
      <c r="AV1049" s="73">
        <f t="shared" si="451"/>
        <v>1.0068214933659623</v>
      </c>
      <c r="AW1049" s="74">
        <f>PRODUCT(AV$4:AV1049)</f>
        <v>1225.4403562088653</v>
      </c>
    </row>
    <row r="1050" spans="44:49">
      <c r="AR1050" s="69">
        <f t="shared" si="450"/>
        <v>88</v>
      </c>
      <c r="AS1050" s="70">
        <f t="shared" si="452"/>
        <v>1047</v>
      </c>
      <c r="AT1050" s="71">
        <f t="shared" si="453"/>
        <v>7.7196232520998899E-4</v>
      </c>
      <c r="AU1050" s="72">
        <f t="shared" si="449"/>
        <v>6.8214933659622723E-3</v>
      </c>
      <c r="AV1050" s="73">
        <f t="shared" si="451"/>
        <v>1.0068214933659623</v>
      </c>
      <c r="AW1050" s="74">
        <f>PRODUCT(AV$4:AV1050)</f>
        <v>1233.7996894691264</v>
      </c>
    </row>
    <row r="1051" spans="44:49">
      <c r="AR1051" s="69">
        <f t="shared" si="450"/>
        <v>88</v>
      </c>
      <c r="AS1051" s="70">
        <f t="shared" si="452"/>
        <v>1048</v>
      </c>
      <c r="AT1051" s="71">
        <f t="shared" si="453"/>
        <v>7.6669638932979625E-4</v>
      </c>
      <c r="AU1051" s="72">
        <f t="shared" si="449"/>
        <v>6.8214933659622723E-3</v>
      </c>
      <c r="AV1051" s="73">
        <f t="shared" si="451"/>
        <v>1.0068214933659623</v>
      </c>
      <c r="AW1051" s="74">
        <f>PRODUCT(AV$4:AV1051)</f>
        <v>1242.2160458657663</v>
      </c>
    </row>
    <row r="1052" spans="44:49">
      <c r="AR1052" s="69">
        <f t="shared" si="450"/>
        <v>88</v>
      </c>
      <c r="AS1052" s="70">
        <f t="shared" si="452"/>
        <v>1049</v>
      </c>
      <c r="AT1052" s="71">
        <f t="shared" si="453"/>
        <v>7.6146637499627582E-4</v>
      </c>
      <c r="AU1052" s="72">
        <f t="shared" si="449"/>
        <v>6.8214933659622723E-3</v>
      </c>
      <c r="AV1052" s="73">
        <f t="shared" si="451"/>
        <v>1.0068214933659623</v>
      </c>
      <c r="AW1052" s="74">
        <f>PRODUCT(AV$4:AV1052)</f>
        <v>1250.6898143817316</v>
      </c>
    </row>
    <row r="1053" spans="44:49">
      <c r="AR1053" s="69">
        <f t="shared" si="450"/>
        <v>88</v>
      </c>
      <c r="AS1053" s="70">
        <f t="shared" si="452"/>
        <v>1050</v>
      </c>
      <c r="AT1053" s="71">
        <f t="shared" si="453"/>
        <v>7.5627203717083542E-4</v>
      </c>
      <c r="AU1053" s="72">
        <f t="shared" si="449"/>
        <v>6.8214933659622723E-3</v>
      </c>
      <c r="AV1053" s="73">
        <f t="shared" si="451"/>
        <v>1.0068214933659623</v>
      </c>
      <c r="AW1053" s="74">
        <f>PRODUCT(AV$4:AV1053)</f>
        <v>1259.2213866534132</v>
      </c>
    </row>
    <row r="1054" spans="44:49">
      <c r="AR1054" s="69">
        <f t="shared" si="450"/>
        <v>88</v>
      </c>
      <c r="AS1054" s="70">
        <f t="shared" si="452"/>
        <v>1051</v>
      </c>
      <c r="AT1054" s="71">
        <f t="shared" si="453"/>
        <v>7.5111313248641179E-4</v>
      </c>
      <c r="AU1054" s="72">
        <f t="shared" si="449"/>
        <v>6.8214933659622723E-3</v>
      </c>
      <c r="AV1054" s="73">
        <f t="shared" si="451"/>
        <v>1.0068214933659623</v>
      </c>
      <c r="AW1054" s="74">
        <f>PRODUCT(AV$4:AV1054)</f>
        <v>1267.8111569887474</v>
      </c>
    </row>
    <row r="1055" spans="44:49">
      <c r="AR1055" s="69">
        <f t="shared" si="450"/>
        <v>88</v>
      </c>
      <c r="AS1055" s="70">
        <f t="shared" si="452"/>
        <v>1052</v>
      </c>
      <c r="AT1055" s="71">
        <f t="shared" si="453"/>
        <v>7.4598941923606857E-4</v>
      </c>
      <c r="AU1055" s="72">
        <f t="shared" si="449"/>
        <v>6.8214933659622723E-3</v>
      </c>
      <c r="AV1055" s="73">
        <f t="shared" si="451"/>
        <v>1.0068214933659623</v>
      </c>
      <c r="AW1055" s="74">
        <f>PRODUCT(AV$4:AV1055)</f>
        <v>1276.459522385439</v>
      </c>
    </row>
    <row r="1056" spans="44:49">
      <c r="AR1056" s="69">
        <f t="shared" si="450"/>
        <v>88</v>
      </c>
      <c r="AS1056" s="70">
        <f t="shared" si="452"/>
        <v>1053</v>
      </c>
      <c r="AT1056" s="71">
        <f t="shared" si="453"/>
        <v>7.4090065736167167E-4</v>
      </c>
      <c r="AU1056" s="72">
        <f t="shared" si="449"/>
        <v>6.8214933659622723E-3</v>
      </c>
      <c r="AV1056" s="73">
        <f t="shared" si="451"/>
        <v>1.0068214933659623</v>
      </c>
      <c r="AW1056" s="74">
        <f>PRODUCT(AV$4:AV1056)</f>
        <v>1285.1668825493107</v>
      </c>
    </row>
    <row r="1057" spans="44:49">
      <c r="AR1057" s="69">
        <f t="shared" si="450"/>
        <v>88</v>
      </c>
      <c r="AS1057" s="70">
        <f t="shared" si="452"/>
        <v>1054</v>
      </c>
      <c r="AT1057" s="71">
        <f t="shared" si="453"/>
        <v>7.3584660844264193E-4</v>
      </c>
      <c r="AU1057" s="72">
        <f t="shared" si="449"/>
        <v>6.8214933659622723E-3</v>
      </c>
      <c r="AV1057" s="73">
        <f t="shared" si="451"/>
        <v>1.0068214933659623</v>
      </c>
      <c r="AW1057" s="74">
        <f>PRODUCT(AV$4:AV1057)</f>
        <v>1293.9336399127753</v>
      </c>
    </row>
    <row r="1058" spans="44:49">
      <c r="AR1058" s="69">
        <f t="shared" si="450"/>
        <v>88</v>
      </c>
      <c r="AS1058" s="70">
        <f t="shared" si="452"/>
        <v>1055</v>
      </c>
      <c r="AT1058" s="71">
        <f t="shared" si="453"/>
        <v>7.3082703568478464E-4</v>
      </c>
      <c r="AU1058" s="72">
        <f t="shared" si="449"/>
        <v>6.8214933659622723E-3</v>
      </c>
      <c r="AV1058" s="73">
        <f t="shared" si="451"/>
        <v>1.0068214933659623</v>
      </c>
      <c r="AW1058" s="74">
        <f>PRODUCT(AV$4:AV1058)</f>
        <v>1302.7601996534358</v>
      </c>
    </row>
    <row r="1059" spans="44:49">
      <c r="AR1059" s="69">
        <f t="shared" si="450"/>
        <v>88</v>
      </c>
      <c r="AS1059" s="70">
        <f t="shared" si="452"/>
        <v>1056</v>
      </c>
      <c r="AT1059" s="71">
        <f t="shared" si="453"/>
        <v>7.25841703909195E-4</v>
      </c>
      <c r="AU1059" s="72">
        <f t="shared" si="449"/>
        <v>6.8214933659622723E-3</v>
      </c>
      <c r="AV1059" s="73">
        <f t="shared" si="451"/>
        <v>1.0068214933659623</v>
      </c>
      <c r="AW1059" s="74">
        <f>PRODUCT(AV$4:AV1059)</f>
        <v>1311.6469697128114</v>
      </c>
    </row>
    <row r="1060" spans="44:49">
      <c r="AR1060" s="69">
        <f t="shared" si="450"/>
        <v>89</v>
      </c>
      <c r="AS1060" s="70">
        <f t="shared" si="452"/>
        <v>1057</v>
      </c>
      <c r="AT1060" s="71">
        <f t="shared" si="453"/>
        <v>7.2089037954123966E-4</v>
      </c>
      <c r="AU1060" s="72">
        <f t="shared" si="449"/>
        <v>6.8214933659622723E-3</v>
      </c>
      <c r="AV1060" s="73">
        <f t="shared" si="451"/>
        <v>1.0068214933659623</v>
      </c>
      <c r="AW1060" s="74">
        <f>PRODUCT(AV$4:AV1060)</f>
        <v>1320.5943608151917</v>
      </c>
    </row>
    <row r="1061" spans="44:49">
      <c r="AR1061" s="69">
        <f t="shared" si="450"/>
        <v>89</v>
      </c>
      <c r="AS1061" s="70">
        <f t="shared" si="452"/>
        <v>1058</v>
      </c>
      <c r="AT1061" s="71">
        <f t="shared" si="453"/>
        <v>7.1597283059961312E-4</v>
      </c>
      <c r="AU1061" s="72">
        <f t="shared" si="449"/>
        <v>6.8214933659622723E-3</v>
      </c>
      <c r="AV1061" s="73">
        <f t="shared" si="451"/>
        <v>1.0068214933659623</v>
      </c>
      <c r="AW1061" s="74">
        <f>PRODUCT(AV$4:AV1061)</f>
        <v>1329.6027864866198</v>
      </c>
    </row>
    <row r="1062" spans="44:49">
      <c r="AR1062" s="69">
        <f t="shared" si="450"/>
        <v>89</v>
      </c>
      <c r="AS1062" s="70">
        <f t="shared" si="452"/>
        <v>1059</v>
      </c>
      <c r="AT1062" s="71">
        <f t="shared" si="453"/>
        <v>7.1108882668546858E-4</v>
      </c>
      <c r="AU1062" s="72">
        <f t="shared" si="449"/>
        <v>6.8214933659622723E-3</v>
      </c>
      <c r="AV1062" s="73">
        <f t="shared" si="451"/>
        <v>1.0068214933659623</v>
      </c>
      <c r="AW1062" s="74">
        <f>PRODUCT(AV$4:AV1062)</f>
        <v>1338.6726630740034</v>
      </c>
    </row>
    <row r="1063" spans="44:49">
      <c r="AR1063" s="69">
        <f t="shared" si="450"/>
        <v>89</v>
      </c>
      <c r="AS1063" s="70">
        <f t="shared" si="452"/>
        <v>1060</v>
      </c>
      <c r="AT1063" s="71">
        <f t="shared" si="453"/>
        <v>7.062381389716238E-4</v>
      </c>
      <c r="AU1063" s="72">
        <f t="shared" si="449"/>
        <v>6.8214933659622723E-3</v>
      </c>
      <c r="AV1063" s="73">
        <f t="shared" si="451"/>
        <v>1.0068214933659623</v>
      </c>
      <c r="AW1063" s="74">
        <f>PRODUCT(AV$4:AV1063)</f>
        <v>1347.8044097643578</v>
      </c>
    </row>
    <row r="1064" spans="44:49">
      <c r="AR1064" s="69">
        <f t="shared" si="450"/>
        <v>89</v>
      </c>
      <c r="AS1064" s="70">
        <f t="shared" si="452"/>
        <v>1061</v>
      </c>
      <c r="AT1064" s="71">
        <f t="shared" si="453"/>
        <v>7.014205401918393E-4</v>
      </c>
      <c r="AU1064" s="72">
        <f t="shared" si="449"/>
        <v>6.8214933659622723E-3</v>
      </c>
      <c r="AV1064" s="73">
        <f t="shared" si="451"/>
        <v>1.0068214933659623</v>
      </c>
      <c r="AW1064" s="74">
        <f>PRODUCT(AV$4:AV1064)</f>
        <v>1356.9984486041801</v>
      </c>
    </row>
    <row r="1065" spans="44:49">
      <c r="AR1065" s="69">
        <f t="shared" si="450"/>
        <v>89</v>
      </c>
      <c r="AS1065" s="70">
        <f t="shared" si="452"/>
        <v>1062</v>
      </c>
      <c r="AT1065" s="71">
        <f t="shared" si="453"/>
        <v>6.96635804630171E-4</v>
      </c>
      <c r="AU1065" s="72">
        <f t="shared" si="449"/>
        <v>6.8214933659622723E-3</v>
      </c>
      <c r="AV1065" s="73">
        <f t="shared" si="451"/>
        <v>1.0068214933659623</v>
      </c>
      <c r="AW1065" s="74">
        <f>PRODUCT(AV$4:AV1065)</f>
        <v>1366.2552045189545</v>
      </c>
    </row>
    <row r="1066" spans="44:49">
      <c r="AR1066" s="69">
        <f t="shared" si="450"/>
        <v>89</v>
      </c>
      <c r="AS1066" s="70">
        <f t="shared" si="452"/>
        <v>1063</v>
      </c>
      <c r="AT1066" s="71">
        <f t="shared" si="453"/>
        <v>6.9188370811039456E-4</v>
      </c>
      <c r="AU1066" s="72">
        <f t="shared" si="449"/>
        <v>6.8214933659622723E-3</v>
      </c>
      <c r="AV1066" s="73">
        <f t="shared" si="451"/>
        <v>1.0068214933659623</v>
      </c>
      <c r="AW1066" s="74">
        <f>PRODUCT(AV$4:AV1066)</f>
        <v>1375.575105332792</v>
      </c>
    </row>
    <row r="1067" spans="44:49">
      <c r="AR1067" s="69">
        <f t="shared" si="450"/>
        <v>89</v>
      </c>
      <c r="AS1067" s="70">
        <f t="shared" si="452"/>
        <v>1064</v>
      </c>
      <c r="AT1067" s="71">
        <f t="shared" si="453"/>
        <v>6.8716402798550214E-4</v>
      </c>
      <c r="AU1067" s="72">
        <f t="shared" si="449"/>
        <v>6.8214933659622723E-3</v>
      </c>
      <c r="AV1067" s="73">
        <f t="shared" si="451"/>
        <v>1.0068214933659623</v>
      </c>
      <c r="AW1067" s="74">
        <f>PRODUCT(AV$4:AV1067)</f>
        <v>1384.9585817882025</v>
      </c>
    </row>
    <row r="1068" spans="44:49">
      <c r="AR1068" s="69">
        <f t="shared" si="450"/>
        <v>89</v>
      </c>
      <c r="AS1068" s="70">
        <f t="shared" si="452"/>
        <v>1065</v>
      </c>
      <c r="AT1068" s="71">
        <f t="shared" si="453"/>
        <v>6.8247654312727113E-4</v>
      </c>
      <c r="AU1068" s="72">
        <f t="shared" si="449"/>
        <v>6.8214933659622723E-3</v>
      </c>
      <c r="AV1068" s="73">
        <f t="shared" si="451"/>
        <v>1.0068214933659623</v>
      </c>
      <c r="AW1068" s="74">
        <f>PRODUCT(AV$4:AV1068)</f>
        <v>1394.4060675660032</v>
      </c>
    </row>
    <row r="1069" spans="44:49">
      <c r="AR1069" s="69">
        <f t="shared" si="450"/>
        <v>89</v>
      </c>
      <c r="AS1069" s="70">
        <f t="shared" si="452"/>
        <v>1066</v>
      </c>
      <c r="AT1069" s="71">
        <f t="shared" si="453"/>
        <v>6.7782103391590361E-4</v>
      </c>
      <c r="AU1069" s="72">
        <f t="shared" si="449"/>
        <v>6.8214933659622723E-3</v>
      </c>
      <c r="AV1069" s="73">
        <f t="shared" si="451"/>
        <v>1.0068214933659623</v>
      </c>
      <c r="AW1069" s="74">
        <f>PRODUCT(AV$4:AV1069)</f>
        <v>1403.9179993053622</v>
      </c>
    </row>
    <row r="1070" spans="44:49">
      <c r="AR1070" s="69">
        <f t="shared" si="450"/>
        <v>89</v>
      </c>
      <c r="AS1070" s="70">
        <f t="shared" si="452"/>
        <v>1067</v>
      </c>
      <c r="AT1070" s="71">
        <f t="shared" si="453"/>
        <v>6.731972822297366E-4</v>
      </c>
      <c r="AU1070" s="72">
        <f t="shared" si="449"/>
        <v>6.8214933659622723E-3</v>
      </c>
      <c r="AV1070" s="73">
        <f t="shared" si="451"/>
        <v>1.0068214933659623</v>
      </c>
      <c r="AW1070" s="74">
        <f>PRODUCT(AV$4:AV1070)</f>
        <v>1413.4948166239787</v>
      </c>
    </row>
    <row r="1071" spans="44:49">
      <c r="AR1071" s="69">
        <f t="shared" si="450"/>
        <v>89</v>
      </c>
      <c r="AS1071" s="70">
        <f t="shared" si="452"/>
        <v>1068</v>
      </c>
      <c r="AT1071" s="71">
        <f t="shared" si="453"/>
        <v>6.6860507143502257E-4</v>
      </c>
      <c r="AU1071" s="72">
        <f t="shared" si="449"/>
        <v>6.8214933659622723E-3</v>
      </c>
      <c r="AV1071" s="73">
        <f t="shared" si="451"/>
        <v>1.0068214933659623</v>
      </c>
      <c r="AW1071" s="74">
        <f>PRODUCT(AV$4:AV1071)</f>
        <v>1423.1369621384013</v>
      </c>
    </row>
    <row r="1072" spans="44:49">
      <c r="AR1072" s="69">
        <f t="shared" si="450"/>
        <v>90</v>
      </c>
      <c r="AS1072" s="70">
        <f t="shared" si="452"/>
        <v>1069</v>
      </c>
      <c r="AT1072" s="71">
        <f t="shared" si="453"/>
        <v>6.6404418637577985E-4</v>
      </c>
      <c r="AU1072" s="72">
        <f t="shared" si="449"/>
        <v>6.8214933659622723E-3</v>
      </c>
      <c r="AV1072" s="73">
        <f t="shared" si="451"/>
        <v>1.0068214933659623</v>
      </c>
      <c r="AW1072" s="74">
        <f>PRODUCT(AV$4:AV1072)</f>
        <v>1432.8448814844842</v>
      </c>
    </row>
    <row r="1073" spans="44:49">
      <c r="AR1073" s="69">
        <f t="shared" si="450"/>
        <v>90</v>
      </c>
      <c r="AS1073" s="70">
        <f t="shared" si="452"/>
        <v>1070</v>
      </c>
      <c r="AT1073" s="71">
        <f t="shared" si="453"/>
        <v>6.5951441336371168E-4</v>
      </c>
      <c r="AU1073" s="72">
        <f t="shared" si="449"/>
        <v>6.8214933659622723E-3</v>
      </c>
      <c r="AV1073" s="73">
        <f t="shared" si="451"/>
        <v>1.0068214933659623</v>
      </c>
      <c r="AW1073" s="74">
        <f>PRODUCT(AV$4:AV1073)</f>
        <v>1442.6190233379837</v>
      </c>
    </row>
    <row r="1074" spans="44:49">
      <c r="AR1074" s="69">
        <f t="shared" si="450"/>
        <v>90</v>
      </c>
      <c r="AS1074" s="70">
        <f t="shared" si="452"/>
        <v>1071</v>
      </c>
      <c r="AT1074" s="71">
        <f t="shared" si="453"/>
        <v>6.5501554016819457E-4</v>
      </c>
      <c r="AU1074" s="72">
        <f t="shared" si="449"/>
        <v>6.8214933659622723E-3</v>
      </c>
      <c r="AV1074" s="73">
        <f t="shared" si="451"/>
        <v>1.0068214933659623</v>
      </c>
      <c r="AW1074" s="74">
        <f>PRODUCT(AV$4:AV1074)</f>
        <v>1452.4598394352947</v>
      </c>
    </row>
    <row r="1075" spans="44:49">
      <c r="AR1075" s="69">
        <f t="shared" si="450"/>
        <v>90</v>
      </c>
      <c r="AS1075" s="70">
        <f t="shared" si="452"/>
        <v>1072</v>
      </c>
      <c r="AT1075" s="71">
        <f t="shared" si="453"/>
        <v>6.50547356006335E-4</v>
      </c>
      <c r="AU1075" s="72">
        <f t="shared" si="449"/>
        <v>6.8214933659622723E-3</v>
      </c>
      <c r="AV1075" s="73">
        <f t="shared" si="451"/>
        <v>1.0068214933659623</v>
      </c>
      <c r="AW1075" s="74">
        <f>PRODUCT(AV$4:AV1075)</f>
        <v>1462.3677845943291</v>
      </c>
    </row>
    <row r="1076" spans="44:49">
      <c r="AR1076" s="69">
        <f t="shared" si="450"/>
        <v>90</v>
      </c>
      <c r="AS1076" s="70">
        <f t="shared" si="452"/>
        <v>1073</v>
      </c>
      <c r="AT1076" s="71">
        <f t="shared" si="453"/>
        <v>6.461096515330935E-4</v>
      </c>
      <c r="AU1076" s="72">
        <f t="shared" si="449"/>
        <v>6.8214933659622723E-3</v>
      </c>
      <c r="AV1076" s="73">
        <f t="shared" si="451"/>
        <v>1.0068214933659623</v>
      </c>
      <c r="AW1076" s="74">
        <f>PRODUCT(AV$4:AV1076)</f>
        <v>1472.3433167355363</v>
      </c>
    </row>
    <row r="1077" spans="44:49">
      <c r="AR1077" s="69">
        <f t="shared" si="450"/>
        <v>90</v>
      </c>
      <c r="AS1077" s="70">
        <f t="shared" si="452"/>
        <v>1074</v>
      </c>
      <c r="AT1077" s="71">
        <f t="shared" si="453"/>
        <v>6.4170221883147634E-4</v>
      </c>
      <c r="AU1077" s="72">
        <f t="shared" si="449"/>
        <v>6.8214933659622723E-3</v>
      </c>
      <c r="AV1077" s="73">
        <f t="shared" si="451"/>
        <v>1.0068214933659623</v>
      </c>
      <c r="AW1077" s="74">
        <f>PRODUCT(AV$4:AV1077)</f>
        <v>1482.3868969030666</v>
      </c>
    </row>
    <row r="1078" spans="44:49">
      <c r="AR1078" s="69">
        <f t="shared" si="450"/>
        <v>90</v>
      </c>
      <c r="AS1078" s="70">
        <f t="shared" si="452"/>
        <v>1075</v>
      </c>
      <c r="AT1078" s="71">
        <f t="shared" si="453"/>
        <v>6.3732485140279417E-4</v>
      </c>
      <c r="AU1078" s="72">
        <f t="shared" si="449"/>
        <v>6.8214933659622723E-3</v>
      </c>
      <c r="AV1078" s="73">
        <f t="shared" si="451"/>
        <v>1.0068214933659623</v>
      </c>
      <c r="AW1078" s="74">
        <f>PRODUCT(AV$4:AV1078)</f>
        <v>1492.4989892860804</v>
      </c>
    </row>
    <row r="1079" spans="44:49">
      <c r="AR1079" s="69">
        <f t="shared" si="450"/>
        <v>90</v>
      </c>
      <c r="AS1079" s="70">
        <f t="shared" si="452"/>
        <v>1076</v>
      </c>
      <c r="AT1079" s="71">
        <f t="shared" si="453"/>
        <v>6.3297734415698715E-4</v>
      </c>
      <c r="AU1079" s="72">
        <f t="shared" si="449"/>
        <v>6.8214933659622723E-3</v>
      </c>
      <c r="AV1079" s="73">
        <f t="shared" si="451"/>
        <v>1.0068214933659623</v>
      </c>
      <c r="AW1079" s="74">
        <f>PRODUCT(AV$4:AV1079)</f>
        <v>1502.6800612402008</v>
      </c>
    </row>
    <row r="1080" spans="44:49">
      <c r="AR1080" s="69">
        <f t="shared" si="450"/>
        <v>90</v>
      </c>
      <c r="AS1080" s="70">
        <f t="shared" si="452"/>
        <v>1077</v>
      </c>
      <c r="AT1080" s="71">
        <f t="shared" si="453"/>
        <v>6.2865949340301587E-4</v>
      </c>
      <c r="AU1080" s="72">
        <f t="shared" si="449"/>
        <v>6.8214933659622723E-3</v>
      </c>
      <c r="AV1080" s="73">
        <f t="shared" si="451"/>
        <v>1.0068214933659623</v>
      </c>
      <c r="AW1080" s="74">
        <f>PRODUCT(AV$4:AV1080)</f>
        <v>1512.9305833091146</v>
      </c>
    </row>
    <row r="1081" spans="44:49">
      <c r="AR1081" s="69">
        <f t="shared" si="450"/>
        <v>90</v>
      </c>
      <c r="AS1081" s="70">
        <f t="shared" si="452"/>
        <v>1078</v>
      </c>
      <c r="AT1081" s="71">
        <f t="shared" si="453"/>
        <v>6.2437109683931801E-4</v>
      </c>
      <c r="AU1081" s="72">
        <f t="shared" si="449"/>
        <v>6.8214933659622723E-3</v>
      </c>
      <c r="AV1081" s="73">
        <f t="shared" si="451"/>
        <v>1.0068214933659623</v>
      </c>
      <c r="AW1081" s="74">
        <f>PRODUCT(AV$4:AV1081)</f>
        <v>1523.2510292463191</v>
      </c>
    </row>
    <row r="1082" spans="44:49">
      <c r="AR1082" s="69">
        <f t="shared" si="450"/>
        <v>90</v>
      </c>
      <c r="AS1082" s="70">
        <f t="shared" si="452"/>
        <v>1079</v>
      </c>
      <c r="AT1082" s="71">
        <f t="shared" si="453"/>
        <v>6.2011195354432999E-4</v>
      </c>
      <c r="AU1082" s="72">
        <f t="shared" si="449"/>
        <v>6.8214933659622723E-3</v>
      </c>
      <c r="AV1082" s="73">
        <f t="shared" si="451"/>
        <v>1.0068214933659623</v>
      </c>
      <c r="AW1082" s="74">
        <f>PRODUCT(AV$4:AV1082)</f>
        <v>1533.6418760370182</v>
      </c>
    </row>
    <row r="1083" spans="44:49">
      <c r="AR1083" s="69">
        <f t="shared" si="450"/>
        <v>90</v>
      </c>
      <c r="AS1083" s="70">
        <f t="shared" si="452"/>
        <v>1080</v>
      </c>
      <c r="AT1083" s="71">
        <f t="shared" si="453"/>
        <v>6.1588186396707343E-4</v>
      </c>
      <c r="AU1083" s="72">
        <f t="shared" si="449"/>
        <v>6.8214933659622723E-3</v>
      </c>
      <c r="AV1083" s="73">
        <f t="shared" si="451"/>
        <v>1.0068214933659623</v>
      </c>
      <c r="AW1083" s="74">
        <f>PRODUCT(AV$4:AV1083)</f>
        <v>1544.1036039201665</v>
      </c>
    </row>
    <row r="1084" spans="44:49">
      <c r="AR1084" s="69">
        <f t="shared" si="450"/>
        <v>91</v>
      </c>
      <c r="AS1084" s="70">
        <f t="shared" si="452"/>
        <v>1081</v>
      </c>
      <c r="AT1084" s="71">
        <f t="shared" si="453"/>
        <v>6.116806299178056E-4</v>
      </c>
      <c r="AU1084" s="72">
        <f t="shared" si="449"/>
        <v>6.8214933659622723E-3</v>
      </c>
      <c r="AV1084" s="73">
        <f t="shared" si="451"/>
        <v>1.0068214933659623</v>
      </c>
      <c r="AW1084" s="74">
        <f>PRODUCT(AV$4:AV1084)</f>
        <v>1554.6366964106664</v>
      </c>
    </row>
    <row r="1085" spans="44:49">
      <c r="AR1085" s="69">
        <f t="shared" si="450"/>
        <v>91</v>
      </c>
      <c r="AS1085" s="70">
        <f t="shared" si="452"/>
        <v>1082</v>
      </c>
      <c r="AT1085" s="71">
        <f t="shared" si="453"/>
        <v>6.0750805455873371E-4</v>
      </c>
      <c r="AU1085" s="72">
        <f t="shared" si="449"/>
        <v>6.8214933659622723E-3</v>
      </c>
      <c r="AV1085" s="73">
        <f t="shared" si="451"/>
        <v>1.0068214933659623</v>
      </c>
      <c r="AW1085" s="74">
        <f>PRODUCT(AV$4:AV1085)</f>
        <v>1565.2416403217132</v>
      </c>
    </row>
    <row r="1086" spans="44:49">
      <c r="AR1086" s="69">
        <f t="shared" si="450"/>
        <v>91</v>
      </c>
      <c r="AS1086" s="70">
        <f t="shared" si="452"/>
        <v>1083</v>
      </c>
      <c r="AT1086" s="71">
        <f t="shared" si="453"/>
        <v>6.0336394239479262E-4</v>
      </c>
      <c r="AU1086" s="72">
        <f t="shared" si="449"/>
        <v>6.8214933659622723E-3</v>
      </c>
      <c r="AV1086" s="73">
        <f t="shared" si="451"/>
        <v>1.0068214933659623</v>
      </c>
      <c r="AW1086" s="74">
        <f>PRODUCT(AV$4:AV1086)</f>
        <v>1575.9189257872956</v>
      </c>
    </row>
    <row r="1087" spans="44:49">
      <c r="AR1087" s="69">
        <f t="shared" si="450"/>
        <v>91</v>
      </c>
      <c r="AS1087" s="70">
        <f t="shared" si="452"/>
        <v>1084</v>
      </c>
      <c r="AT1087" s="71">
        <f t="shared" si="453"/>
        <v>5.9924809926448566E-4</v>
      </c>
      <c r="AU1087" s="72">
        <f t="shared" si="449"/>
        <v>6.8214933659622723E-3</v>
      </c>
      <c r="AV1087" s="73">
        <f t="shared" si="451"/>
        <v>1.0068214933659623</v>
      </c>
      <c r="AW1087" s="74">
        <f>PRODUCT(AV$4:AV1087)</f>
        <v>1586.669046284848</v>
      </c>
    </row>
    <row r="1088" spans="44:49">
      <c r="AR1088" s="69">
        <f t="shared" si="450"/>
        <v>91</v>
      </c>
      <c r="AS1088" s="70">
        <f t="shared" si="452"/>
        <v>1085</v>
      </c>
      <c r="AT1088" s="71">
        <f t="shared" si="453"/>
        <v>5.9516033233078752E-4</v>
      </c>
      <c r="AU1088" s="72">
        <f t="shared" si="449"/>
        <v>6.8214933659622723E-3</v>
      </c>
      <c r="AV1088" s="73">
        <f t="shared" si="451"/>
        <v>1.0068214933659623</v>
      </c>
      <c r="AW1088" s="74">
        <f>PRODUCT(AV$4:AV1088)</f>
        <v>1597.4924986580579</v>
      </c>
    </row>
    <row r="1089" spans="44:49">
      <c r="AR1089" s="69">
        <f t="shared" si="450"/>
        <v>91</v>
      </c>
      <c r="AS1089" s="70">
        <f t="shared" si="452"/>
        <v>1086</v>
      </c>
      <c r="AT1089" s="71">
        <f t="shared" si="453"/>
        <v>5.9110045007210914E-4</v>
      </c>
      <c r="AU1089" s="72">
        <f t="shared" si="449"/>
        <v>6.8214933659622723E-3</v>
      </c>
      <c r="AV1089" s="73">
        <f t="shared" si="451"/>
        <v>1.0068214933659623</v>
      </c>
      <c r="AW1089" s="74">
        <f>PRODUCT(AV$4:AV1089)</f>
        <v>1608.3897831398283</v>
      </c>
    </row>
    <row r="1090" spans="44:49">
      <c r="AR1090" s="69">
        <f t="shared" si="450"/>
        <v>91</v>
      </c>
      <c r="AS1090" s="70">
        <f t="shared" si="452"/>
        <v>1087</v>
      </c>
      <c r="AT1090" s="71">
        <f t="shared" si="453"/>
        <v>5.8706826227332496E-4</v>
      </c>
      <c r="AU1090" s="72">
        <f t="shared" si="449"/>
        <v>6.8214933659622723E-3</v>
      </c>
      <c r="AV1090" s="73">
        <f t="shared" si="451"/>
        <v>1.0068214933659623</v>
      </c>
      <c r="AW1090" s="74">
        <f>PRODUCT(AV$4:AV1090)</f>
        <v>1619.3614033753981</v>
      </c>
    </row>
    <row r="1091" spans="44:49">
      <c r="AR1091" s="69">
        <f t="shared" si="450"/>
        <v>91</v>
      </c>
      <c r="AS1091" s="70">
        <f t="shared" si="452"/>
        <v>1088</v>
      </c>
      <c r="AT1091" s="71">
        <f t="shared" si="453"/>
        <v>5.8306358001686048E-4</v>
      </c>
      <c r="AU1091" s="72">
        <f t="shared" si="449"/>
        <v>6.8214933659622723E-3</v>
      </c>
      <c r="AV1091" s="73">
        <f t="shared" si="451"/>
        <v>1.0068214933659623</v>
      </c>
      <c r="AW1091" s="74">
        <f>PRODUCT(AV$4:AV1091)</f>
        <v>1630.4078664456188</v>
      </c>
    </row>
    <row r="1092" spans="44:49">
      <c r="AR1092" s="69">
        <f t="shared" si="450"/>
        <v>91</v>
      </c>
      <c r="AS1092" s="70">
        <f t="shared" si="452"/>
        <v>1089</v>
      </c>
      <c r="AT1092" s="71">
        <f t="shared" si="453"/>
        <v>5.7908621567384123E-4</v>
      </c>
      <c r="AU1092" s="72">
        <f t="shared" ref="AU1092:AU1155" si="454">((1+$AH$21)^(1/12))-1</f>
        <v>6.8214933659622723E-3</v>
      </c>
      <c r="AV1092" s="73">
        <f t="shared" si="451"/>
        <v>1.0068214933659623</v>
      </c>
      <c r="AW1092" s="74">
        <f>PRODUCT(AV$4:AV1092)</f>
        <v>1641.5296828903902</v>
      </c>
    </row>
    <row r="1093" spans="44:49">
      <c r="AR1093" s="69">
        <f t="shared" ref="AR1093:AR1156" si="455">ROUNDDOWN((AS1093-1)/12,0)+1</f>
        <v>91</v>
      </c>
      <c r="AS1093" s="70">
        <f t="shared" si="452"/>
        <v>1090</v>
      </c>
      <c r="AT1093" s="71">
        <f t="shared" si="453"/>
        <v>5.7513598289530188E-4</v>
      </c>
      <c r="AU1093" s="72">
        <f t="shared" si="454"/>
        <v>6.8214933659622723E-3</v>
      </c>
      <c r="AV1093" s="73">
        <f t="shared" ref="AV1093:AV1156" si="456">(1+AU1093)</f>
        <v>1.0068214933659623</v>
      </c>
      <c r="AW1093" s="74">
        <f>PRODUCT(AV$4:AV1093)</f>
        <v>1652.7273667322572</v>
      </c>
    </row>
    <row r="1094" spans="44:49">
      <c r="AR1094" s="69">
        <f t="shared" si="455"/>
        <v>91</v>
      </c>
      <c r="AS1094" s="70">
        <f t="shared" ref="AS1094:AS1157" si="457">AS1093+1</f>
        <v>1091</v>
      </c>
      <c r="AT1094" s="71">
        <f t="shared" ref="AT1094:AT1157" si="458">(1-AU1094)*AT1093</f>
        <v>5.7121269660345534E-4</v>
      </c>
      <c r="AU1094" s="72">
        <f t="shared" si="454"/>
        <v>6.8214933659622723E-3</v>
      </c>
      <c r="AV1094" s="73">
        <f t="shared" si="456"/>
        <v>1.0068214933659623</v>
      </c>
      <c r="AW1094" s="74">
        <f>PRODUCT(AV$4:AV1094)</f>
        <v>1664.0014355001656</v>
      </c>
    </row>
    <row r="1095" spans="44:49">
      <c r="AR1095" s="69">
        <f t="shared" si="455"/>
        <v>91</v>
      </c>
      <c r="AS1095" s="70">
        <f t="shared" si="457"/>
        <v>1092</v>
      </c>
      <c r="AT1095" s="71">
        <f t="shared" si="458"/>
        <v>5.6731617298302146E-4</v>
      </c>
      <c r="AU1095" s="72">
        <f t="shared" si="454"/>
        <v>6.8214933659622723E-3</v>
      </c>
      <c r="AV1095" s="73">
        <f t="shared" si="456"/>
        <v>1.0068214933659623</v>
      </c>
      <c r="AW1095" s="74">
        <f>PRODUCT(AV$4:AV1095)</f>
        <v>1675.3524102533818</v>
      </c>
    </row>
    <row r="1096" spans="44:49">
      <c r="AR1096" s="69">
        <f t="shared" si="455"/>
        <v>92</v>
      </c>
      <c r="AS1096" s="70">
        <f t="shared" si="457"/>
        <v>1093</v>
      </c>
      <c r="AT1096" s="71">
        <f t="shared" si="458"/>
        <v>5.6344622947261463E-4</v>
      </c>
      <c r="AU1096" s="72">
        <f t="shared" si="454"/>
        <v>6.8214933659622723E-3</v>
      </c>
      <c r="AV1096" s="73">
        <f t="shared" si="456"/>
        <v>1.0068214933659623</v>
      </c>
      <c r="AW1096" s="74">
        <f>PRODUCT(AV$4:AV1096)</f>
        <v>1686.7808156055742</v>
      </c>
    </row>
    <row r="1097" spans="44:49">
      <c r="AR1097" s="69">
        <f t="shared" si="455"/>
        <v>92</v>
      </c>
      <c r="AS1097" s="70">
        <f t="shared" si="457"/>
        <v>1094</v>
      </c>
      <c r="AT1097" s="71">
        <f t="shared" si="458"/>
        <v>5.5960268475619074E-4</v>
      </c>
      <c r="AU1097" s="72">
        <f t="shared" si="454"/>
        <v>6.8214933659622723E-3</v>
      </c>
      <c r="AV1097" s="73">
        <f t="shared" si="456"/>
        <v>1.0068214933659623</v>
      </c>
      <c r="AW1097" s="74">
        <f>PRODUCT(AV$4:AV1097)</f>
        <v>1698.28717974906</v>
      </c>
    </row>
    <row r="1098" spans="44:49">
      <c r="AR1098" s="69">
        <f t="shared" si="455"/>
        <v>92</v>
      </c>
      <c r="AS1098" s="70">
        <f t="shared" si="457"/>
        <v>1095</v>
      </c>
      <c r="AT1098" s="71">
        <f t="shared" si="458"/>
        <v>5.5578535875455172E-4</v>
      </c>
      <c r="AU1098" s="72">
        <f t="shared" si="454"/>
        <v>6.8214933659622723E-3</v>
      </c>
      <c r="AV1098" s="73">
        <f t="shared" si="456"/>
        <v>1.0068214933659623</v>
      </c>
      <c r="AW1098" s="74">
        <f>PRODUCT(AV$4:AV1098)</f>
        <v>1709.8720344792171</v>
      </c>
    </row>
    <row r="1099" spans="44:49">
      <c r="AR1099" s="69">
        <f t="shared" si="455"/>
        <v>92</v>
      </c>
      <c r="AS1099" s="70">
        <f t="shared" si="457"/>
        <v>1096</v>
      </c>
      <c r="AT1099" s="71">
        <f t="shared" si="458"/>
        <v>5.5199407261690857E-4</v>
      </c>
      <c r="AU1099" s="72">
        <f t="shared" si="454"/>
        <v>6.8214933659622723E-3</v>
      </c>
      <c r="AV1099" s="73">
        <f t="shared" si="456"/>
        <v>1.0068214933659623</v>
      </c>
      <c r="AW1099" s="74">
        <f>PRODUCT(AV$4:AV1099)</f>
        <v>1721.5359152190615</v>
      </c>
    </row>
    <row r="1100" spans="44:49">
      <c r="AR1100" s="69">
        <f t="shared" si="455"/>
        <v>92</v>
      </c>
      <c r="AS1100" s="70">
        <f t="shared" si="457"/>
        <v>1097</v>
      </c>
      <c r="AT1100" s="71">
        <f t="shared" si="458"/>
        <v>5.4822864871250179E-4</v>
      </c>
      <c r="AU1100" s="72">
        <f t="shared" si="454"/>
        <v>6.8214933659622723E-3</v>
      </c>
      <c r="AV1100" s="73">
        <f t="shared" si="456"/>
        <v>1.0068214933659623</v>
      </c>
      <c r="AW1100" s="74">
        <f>PRODUCT(AV$4:AV1100)</f>
        <v>1733.2793610439942</v>
      </c>
    </row>
    <row r="1101" spans="44:49">
      <c r="AR1101" s="69">
        <f t="shared" si="455"/>
        <v>92</v>
      </c>
      <c r="AS1101" s="70">
        <f t="shared" si="457"/>
        <v>1098</v>
      </c>
      <c r="AT1101" s="71">
        <f t="shared" si="458"/>
        <v>5.4448891062227895E-4</v>
      </c>
      <c r="AU1101" s="72">
        <f t="shared" si="454"/>
        <v>6.8214933659622723E-3</v>
      </c>
      <c r="AV1101" s="73">
        <f t="shared" si="456"/>
        <v>1.0068214933659623</v>
      </c>
      <c r="AW1101" s="74">
        <f>PRODUCT(AV$4:AV1101)</f>
        <v>1745.1029147067152</v>
      </c>
    </row>
    <row r="1102" spans="44:49">
      <c r="AR1102" s="69">
        <f t="shared" si="455"/>
        <v>92</v>
      </c>
      <c r="AS1102" s="70">
        <f t="shared" si="457"/>
        <v>1099</v>
      </c>
      <c r="AT1102" s="71">
        <f t="shared" si="458"/>
        <v>5.4077468313062905E-4</v>
      </c>
      <c r="AU1102" s="72">
        <f t="shared" si="454"/>
        <v>6.8214933659622723E-3</v>
      </c>
      <c r="AV1102" s="73">
        <f t="shared" si="456"/>
        <v>1.0068214933659623</v>
      </c>
      <c r="AW1102" s="74">
        <f>PRODUCT(AV$4:AV1102)</f>
        <v>1757.0071226623086</v>
      </c>
    </row>
    <row r="1103" spans="44:49">
      <c r="AR1103" s="69">
        <f t="shared" si="455"/>
        <v>92</v>
      </c>
      <c r="AS1103" s="70">
        <f t="shared" si="457"/>
        <v>1100</v>
      </c>
      <c r="AT1103" s="71">
        <f t="shared" si="458"/>
        <v>5.3708579221717313E-4</v>
      </c>
      <c r="AU1103" s="72">
        <f t="shared" si="454"/>
        <v>6.8214933659622723E-3</v>
      </c>
      <c r="AV1103" s="73">
        <f t="shared" si="456"/>
        <v>1.0068214933659623</v>
      </c>
      <c r="AW1103" s="74">
        <f>PRODUCT(AV$4:AV1103)</f>
        <v>1768.992535093498</v>
      </c>
    </row>
    <row r="1104" spans="44:49">
      <c r="AR1104" s="69">
        <f t="shared" si="455"/>
        <v>92</v>
      </c>
      <c r="AS1104" s="70">
        <f t="shared" si="457"/>
        <v>1101</v>
      </c>
      <c r="AT1104" s="71">
        <f t="shared" si="458"/>
        <v>5.3342206504861111E-4</v>
      </c>
      <c r="AU1104" s="72">
        <f t="shared" si="454"/>
        <v>6.8214933659622723E-3</v>
      </c>
      <c r="AV1104" s="73">
        <f t="shared" si="456"/>
        <v>1.0068214933659623</v>
      </c>
      <c r="AW1104" s="74">
        <f>PRODUCT(AV$4:AV1104)</f>
        <v>1781.059705936075</v>
      </c>
    </row>
    <row r="1105" spans="44:49">
      <c r="AR1105" s="69">
        <f t="shared" si="455"/>
        <v>92</v>
      </c>
      <c r="AS1105" s="70">
        <f t="shared" si="457"/>
        <v>1102</v>
      </c>
      <c r="AT1105" s="71">
        <f t="shared" si="458"/>
        <v>5.297833299706241E-4</v>
      </c>
      <c r="AU1105" s="72">
        <f t="shared" si="454"/>
        <v>6.8214933659622723E-3</v>
      </c>
      <c r="AV1105" s="73">
        <f t="shared" si="456"/>
        <v>1.0068214933659623</v>
      </c>
      <c r="AW1105" s="74">
        <f>PRODUCT(AV$4:AV1105)</f>
        <v>1793.2091929045007</v>
      </c>
    </row>
    <row r="1106" spans="44:49">
      <c r="AR1106" s="69">
        <f t="shared" si="455"/>
        <v>92</v>
      </c>
      <c r="AS1106" s="70">
        <f t="shared" si="457"/>
        <v>1103</v>
      </c>
      <c r="AT1106" s="71">
        <f t="shared" si="458"/>
        <v>5.2616941649983207E-4</v>
      </c>
      <c r="AU1106" s="72">
        <f t="shared" si="454"/>
        <v>6.8214933659622723E-3</v>
      </c>
      <c r="AV1106" s="73">
        <f t="shared" si="456"/>
        <v>1.0068214933659623</v>
      </c>
      <c r="AW1106" s="74">
        <f>PRODUCT(AV$4:AV1106)</f>
        <v>1805.4415575176813</v>
      </c>
    </row>
    <row r="1107" spans="44:49">
      <c r="AR1107" s="69">
        <f t="shared" si="455"/>
        <v>92</v>
      </c>
      <c r="AS1107" s="70">
        <f t="shared" si="457"/>
        <v>1104</v>
      </c>
      <c r="AT1107" s="71">
        <f t="shared" si="458"/>
        <v>5.2258015531580625E-4</v>
      </c>
      <c r="AU1107" s="72">
        <f t="shared" si="454"/>
        <v>6.8214933659622723E-3</v>
      </c>
      <c r="AV1107" s="73">
        <f t="shared" si="456"/>
        <v>1.0068214933659623</v>
      </c>
      <c r="AW1107" s="74">
        <f>PRODUCT(AV$4:AV1107)</f>
        <v>1817.7573651249209</v>
      </c>
    </row>
    <row r="1108" spans="44:49">
      <c r="AR1108" s="69">
        <f t="shared" si="455"/>
        <v>93</v>
      </c>
      <c r="AS1108" s="70">
        <f t="shared" si="457"/>
        <v>1105</v>
      </c>
      <c r="AT1108" s="71">
        <f t="shared" si="458"/>
        <v>5.190153782531359E-4</v>
      </c>
      <c r="AU1108" s="72">
        <f t="shared" si="454"/>
        <v>6.8214933659622723E-3</v>
      </c>
      <c r="AV1108" s="73">
        <f t="shared" si="456"/>
        <v>1.0068214933659623</v>
      </c>
      <c r="AW1108" s="74">
        <f>PRODUCT(AV$4:AV1108)</f>
        <v>1830.1571849320496</v>
      </c>
    </row>
    <row r="1109" spans="44:49">
      <c r="AR1109" s="69">
        <f t="shared" si="455"/>
        <v>93</v>
      </c>
      <c r="AS1109" s="70">
        <f t="shared" si="457"/>
        <v>1106</v>
      </c>
      <c r="AT1109" s="71">
        <f t="shared" si="458"/>
        <v>5.1547491829354974E-4</v>
      </c>
      <c r="AU1109" s="72">
        <f t="shared" si="454"/>
        <v>6.8214933659622723E-3</v>
      </c>
      <c r="AV1109" s="73">
        <f t="shared" si="456"/>
        <v>1.0068214933659623</v>
      </c>
      <c r="AW1109" s="74">
        <f>PRODUCT(AV$4:AV1109)</f>
        <v>1842.6415900277318</v>
      </c>
    </row>
    <row r="1110" spans="44:49">
      <c r="AR1110" s="69">
        <f t="shared" si="455"/>
        <v>93</v>
      </c>
      <c r="AS1110" s="70">
        <f t="shared" si="457"/>
        <v>1107</v>
      </c>
      <c r="AT1110" s="71">
        <f t="shared" si="458"/>
        <v>5.1195860955809038E-4</v>
      </c>
      <c r="AU1110" s="72">
        <f t="shared" si="454"/>
        <v>6.8214933659622723E-3</v>
      </c>
      <c r="AV1110" s="73">
        <f t="shared" si="456"/>
        <v>1.0068214933659623</v>
      </c>
      <c r="AW1110" s="74">
        <f>PRODUCT(AV$4:AV1110)</f>
        <v>1855.2111574099522</v>
      </c>
    </row>
    <row r="1111" spans="44:49">
      <c r="AR1111" s="69">
        <f t="shared" si="455"/>
        <v>93</v>
      </c>
      <c r="AS1111" s="70">
        <f t="shared" si="457"/>
        <v>1108</v>
      </c>
      <c r="AT1111" s="71">
        <f t="shared" si="458"/>
        <v>5.0846628729934258E-4</v>
      </c>
      <c r="AU1111" s="72">
        <f t="shared" si="454"/>
        <v>6.8214933659622723E-3</v>
      </c>
      <c r="AV1111" s="73">
        <f t="shared" si="456"/>
        <v>1.0068214933659623</v>
      </c>
      <c r="AW1111" s="74">
        <f>PRODUCT(AV$4:AV1111)</f>
        <v>1867.8664680126833</v>
      </c>
    </row>
    <row r="1112" spans="44:49">
      <c r="AR1112" s="69">
        <f t="shared" si="455"/>
        <v>93</v>
      </c>
      <c r="AS1112" s="70">
        <f t="shared" si="457"/>
        <v>1109</v>
      </c>
      <c r="AT1112" s="71">
        <f t="shared" si="458"/>
        <v>5.0499778789371466E-4</v>
      </c>
      <c r="AU1112" s="72">
        <f t="shared" si="454"/>
        <v>6.8214933659622723E-3</v>
      </c>
      <c r="AV1112" s="73">
        <f t="shared" si="456"/>
        <v>1.0068214933659623</v>
      </c>
      <c r="AW1112" s="74">
        <f>PRODUCT(AV$4:AV1112)</f>
        <v>1880.6081067327352</v>
      </c>
    </row>
    <row r="1113" spans="44:49">
      <c r="AR1113" s="69">
        <f t="shared" si="455"/>
        <v>93</v>
      </c>
      <c r="AS1113" s="70">
        <f t="shared" si="457"/>
        <v>1110</v>
      </c>
      <c r="AT1113" s="71">
        <f t="shared" si="458"/>
        <v>5.0155294883377202E-4</v>
      </c>
      <c r="AU1113" s="72">
        <f t="shared" si="454"/>
        <v>6.8214933659622723E-3</v>
      </c>
      <c r="AV1113" s="73">
        <f t="shared" si="456"/>
        <v>1.0068214933659623</v>
      </c>
      <c r="AW1113" s="74">
        <f>PRODUCT(AV$4:AV1113)</f>
        <v>1893.4366624567874</v>
      </c>
    </row>
    <row r="1114" spans="44:49">
      <c r="AR1114" s="69">
        <f t="shared" si="455"/>
        <v>93</v>
      </c>
      <c r="AS1114" s="70">
        <f t="shared" si="457"/>
        <v>1111</v>
      </c>
      <c r="AT1114" s="71">
        <f t="shared" si="458"/>
        <v>4.9813160872062368E-4</v>
      </c>
      <c r="AU1114" s="72">
        <f t="shared" si="454"/>
        <v>6.8214933659622723E-3</v>
      </c>
      <c r="AV1114" s="73">
        <f t="shared" si="456"/>
        <v>1.0068214933659623</v>
      </c>
      <c r="AW1114" s="74">
        <f>PRODUCT(AV$4:AV1114)</f>
        <v>1906.3527280886062</v>
      </c>
    </row>
    <row r="1115" spans="44:49">
      <c r="AR1115" s="69">
        <f t="shared" si="455"/>
        <v>93</v>
      </c>
      <c r="AS1115" s="70">
        <f t="shared" si="457"/>
        <v>1112</v>
      </c>
      <c r="AT1115" s="71">
        <f t="shared" si="458"/>
        <v>4.947336072563598E-4</v>
      </c>
      <c r="AU1115" s="72">
        <f t="shared" si="454"/>
        <v>6.8214933659622723E-3</v>
      </c>
      <c r="AV1115" s="73">
        <f t="shared" si="456"/>
        <v>1.0068214933659623</v>
      </c>
      <c r="AW1115" s="74">
        <f>PRODUCT(AV$4:AV1115)</f>
        <v>1919.3569005764468</v>
      </c>
    </row>
    <row r="1116" spans="44:49">
      <c r="AR1116" s="69">
        <f t="shared" si="455"/>
        <v>93</v>
      </c>
      <c r="AS1116" s="70">
        <f t="shared" si="457"/>
        <v>1113</v>
      </c>
      <c r="AT1116" s="71">
        <f t="shared" si="458"/>
        <v>4.9135878523654192E-4</v>
      </c>
      <c r="AU1116" s="72">
        <f t="shared" si="454"/>
        <v>6.8214933659622723E-3</v>
      </c>
      <c r="AV1116" s="73">
        <f t="shared" si="456"/>
        <v>1.0068214933659623</v>
      </c>
      <c r="AW1116" s="74">
        <f>PRODUCT(AV$4:AV1116)</f>
        <v>1932.449780940643</v>
      </c>
    </row>
    <row r="1117" spans="44:49">
      <c r="AR1117" s="69">
        <f t="shared" si="455"/>
        <v>93</v>
      </c>
      <c r="AS1117" s="70">
        <f t="shared" si="457"/>
        <v>1114</v>
      </c>
      <c r="AT1117" s="71">
        <f t="shared" si="458"/>
        <v>4.8800698454274359E-4</v>
      </c>
      <c r="AU1117" s="72">
        <f t="shared" si="454"/>
        <v>6.8214933659622723E-3</v>
      </c>
      <c r="AV1117" s="73">
        <f t="shared" si="456"/>
        <v>1.0068214933659623</v>
      </c>
      <c r="AW1117" s="74">
        <f>PRODUCT(AV$4:AV1117)</f>
        <v>1945.6319743013848</v>
      </c>
    </row>
    <row r="1118" spans="44:49">
      <c r="AR1118" s="69">
        <f t="shared" si="455"/>
        <v>93</v>
      </c>
      <c r="AS1118" s="70">
        <f t="shared" si="457"/>
        <v>1115</v>
      </c>
      <c r="AT1118" s="71">
        <f t="shared" si="458"/>
        <v>4.8467804813514203E-4</v>
      </c>
      <c r="AU1118" s="72">
        <f t="shared" si="454"/>
        <v>6.8214933659622723E-3</v>
      </c>
      <c r="AV1118" s="73">
        <f t="shared" si="456"/>
        <v>1.0068214933659623</v>
      </c>
      <c r="AW1118" s="74">
        <f>PRODUCT(AV$4:AV1118)</f>
        <v>1958.9040899066858</v>
      </c>
    </row>
    <row r="1119" spans="44:49">
      <c r="AR1119" s="69">
        <f t="shared" si="455"/>
        <v>93</v>
      </c>
      <c r="AS1119" s="70">
        <f t="shared" si="457"/>
        <v>1116</v>
      </c>
      <c r="AT1119" s="71">
        <f t="shared" si="458"/>
        <v>4.813718200451606E-4</v>
      </c>
      <c r="AU1119" s="72">
        <f t="shared" si="454"/>
        <v>6.8214933659622723E-3</v>
      </c>
      <c r="AV1119" s="73">
        <f t="shared" si="456"/>
        <v>1.0068214933659623</v>
      </c>
      <c r="AW1119" s="74">
        <f>PRODUCT(AV$4:AV1119)</f>
        <v>1972.2667411605407</v>
      </c>
    </row>
    <row r="1120" spans="44:49">
      <c r="AR1120" s="69">
        <f t="shared" si="455"/>
        <v>94</v>
      </c>
      <c r="AS1120" s="70">
        <f t="shared" si="457"/>
        <v>1117</v>
      </c>
      <c r="AT1120" s="71">
        <f t="shared" si="458"/>
        <v>4.7808814536816135E-4</v>
      </c>
      <c r="AU1120" s="72">
        <f t="shared" si="454"/>
        <v>6.8214933659622723E-3</v>
      </c>
      <c r="AV1120" s="73">
        <f t="shared" si="456"/>
        <v>1.0068214933659623</v>
      </c>
      <c r="AW1120" s="74">
        <f>PRODUCT(AV$4:AV1120)</f>
        <v>1985.7205456512754</v>
      </c>
    </row>
    <row r="1121" spans="44:49">
      <c r="AR1121" s="69">
        <f t="shared" si="455"/>
        <v>94</v>
      </c>
      <c r="AS1121" s="70">
        <f t="shared" si="457"/>
        <v>1118</v>
      </c>
      <c r="AT1121" s="71">
        <f t="shared" si="458"/>
        <v>4.7482687025618723E-4</v>
      </c>
      <c r="AU1121" s="72">
        <f t="shared" si="454"/>
        <v>6.8214933659622723E-3</v>
      </c>
      <c r="AV1121" s="73">
        <f t="shared" si="456"/>
        <v>1.0068214933659623</v>
      </c>
      <c r="AW1121" s="74">
        <f>PRODUCT(AV$4:AV1121)</f>
        <v>1999.2661251800905</v>
      </c>
    </row>
    <row r="1122" spans="44:49">
      <c r="AR1122" s="69">
        <f t="shared" si="455"/>
        <v>94</v>
      </c>
      <c r="AS1122" s="70">
        <f t="shared" si="457"/>
        <v>1119</v>
      </c>
      <c r="AT1122" s="71">
        <f t="shared" si="458"/>
        <v>4.7158784191075404E-4</v>
      </c>
      <c r="AU1122" s="72">
        <f t="shared" si="454"/>
        <v>6.8214933659622723E-3</v>
      </c>
      <c r="AV1122" s="73">
        <f t="shared" si="456"/>
        <v>1.0068214933659623</v>
      </c>
      <c r="AW1122" s="74">
        <f>PRODUCT(AV$4:AV1122)</f>
        <v>2012.9041057897996</v>
      </c>
    </row>
    <row r="1123" spans="44:49">
      <c r="AR1123" s="69">
        <f t="shared" si="455"/>
        <v>94</v>
      </c>
      <c r="AS1123" s="70">
        <f t="shared" si="457"/>
        <v>1120</v>
      </c>
      <c r="AT1123" s="71">
        <f t="shared" si="458"/>
        <v>4.6837090857569137E-4</v>
      </c>
      <c r="AU1123" s="72">
        <f t="shared" si="454"/>
        <v>6.8214933659622723E-3</v>
      </c>
      <c r="AV1123" s="73">
        <f t="shared" si="456"/>
        <v>1.0068214933659623</v>
      </c>
      <c r="AW1123" s="74">
        <f>PRODUCT(AV$4:AV1123)</f>
        <v>2026.6351177937629</v>
      </c>
    </row>
    <row r="1124" spans="44:49">
      <c r="AR1124" s="69">
        <f t="shared" si="455"/>
        <v>94</v>
      </c>
      <c r="AS1124" s="70">
        <f t="shared" si="457"/>
        <v>1121</v>
      </c>
      <c r="AT1124" s="71">
        <f t="shared" si="458"/>
        <v>4.6517591953003259E-4</v>
      </c>
      <c r="AU1124" s="72">
        <f t="shared" si="454"/>
        <v>6.8214933659622723E-3</v>
      </c>
      <c r="AV1124" s="73">
        <f t="shared" si="456"/>
        <v>1.0068214933659623</v>
      </c>
      <c r="AW1124" s="74">
        <f>PRODUCT(AV$4:AV1124)</f>
        <v>2040.4597958050192</v>
      </c>
    </row>
    <row r="1125" spans="44:49">
      <c r="AR1125" s="69">
        <f t="shared" si="455"/>
        <v>94</v>
      </c>
      <c r="AS1125" s="70">
        <f t="shared" si="457"/>
        <v>1122</v>
      </c>
      <c r="AT1125" s="71">
        <f t="shared" si="458"/>
        <v>4.6200272508095306E-4</v>
      </c>
      <c r="AU1125" s="72">
        <f t="shared" si="454"/>
        <v>6.8214933659622723E-3</v>
      </c>
      <c r="AV1125" s="73">
        <f t="shared" si="456"/>
        <v>1.0068214933659623</v>
      </c>
      <c r="AW1125" s="74">
        <f>PRODUCT(AV$4:AV1125)</f>
        <v>2054.3787787656161</v>
      </c>
    </row>
    <row r="1126" spans="44:49">
      <c r="AR1126" s="69">
        <f t="shared" si="455"/>
        <v>94</v>
      </c>
      <c r="AS1126" s="70">
        <f t="shared" si="457"/>
        <v>1123</v>
      </c>
      <c r="AT1126" s="71">
        <f t="shared" si="458"/>
        <v>4.5885117655675682E-4</v>
      </c>
      <c r="AU1126" s="72">
        <f t="shared" si="454"/>
        <v>6.8214933659622723E-3</v>
      </c>
      <c r="AV1126" s="73">
        <f t="shared" si="456"/>
        <v>1.0068214933659623</v>
      </c>
      <c r="AW1126" s="74">
        <f>PRODUCT(AV$4:AV1126)</f>
        <v>2068.3927099761395</v>
      </c>
    </row>
    <row r="1127" spans="44:49">
      <c r="AR1127" s="69">
        <f t="shared" si="455"/>
        <v>94</v>
      </c>
      <c r="AS1127" s="70">
        <f t="shared" si="457"/>
        <v>1124</v>
      </c>
      <c r="AT1127" s="71">
        <f t="shared" si="458"/>
        <v>4.5572112629991093E-4</v>
      </c>
      <c r="AU1127" s="72">
        <f t="shared" si="454"/>
        <v>6.8214933659622723E-3</v>
      </c>
      <c r="AV1127" s="73">
        <f t="shared" si="456"/>
        <v>1.0068214933659623</v>
      </c>
      <c r="AW1127" s="74">
        <f>PRODUCT(AV$4:AV1127)</f>
        <v>2082.5022371254463</v>
      </c>
    </row>
    <row r="1128" spans="44:49">
      <c r="AR1128" s="69">
        <f t="shared" si="455"/>
        <v>94</v>
      </c>
      <c r="AS1128" s="70">
        <f t="shared" si="457"/>
        <v>1125</v>
      </c>
      <c r="AT1128" s="71">
        <f t="shared" si="458"/>
        <v>4.5261242766012722E-4</v>
      </c>
      <c r="AU1128" s="72">
        <f t="shared" si="454"/>
        <v>6.8214933659622723E-3</v>
      </c>
      <c r="AV1128" s="73">
        <f t="shared" si="456"/>
        <v>1.0068214933659623</v>
      </c>
      <c r="AW1128" s="74">
        <f>PRODUCT(AV$4:AV1128)</f>
        <v>2096.7080123205992</v>
      </c>
    </row>
    <row r="1129" spans="44:49">
      <c r="AR1129" s="69">
        <f t="shared" si="455"/>
        <v>94</v>
      </c>
      <c r="AS1129" s="70">
        <f t="shared" si="457"/>
        <v>1126</v>
      </c>
      <c r="AT1129" s="71">
        <f t="shared" si="458"/>
        <v>4.4952493498749159E-4</v>
      </c>
      <c r="AU1129" s="72">
        <f t="shared" si="454"/>
        <v>6.8214933659622723E-3</v>
      </c>
      <c r="AV1129" s="73">
        <f t="shared" si="456"/>
        <v>1.0068214933659623</v>
      </c>
      <c r="AW1129" s="74">
        <f>PRODUCT(AV$4:AV1129)</f>
        <v>2111.0106921170041</v>
      </c>
    </row>
    <row r="1130" spans="44:49">
      <c r="AR1130" s="69">
        <f t="shared" si="455"/>
        <v>94</v>
      </c>
      <c r="AS1130" s="70">
        <f t="shared" si="457"/>
        <v>1127</v>
      </c>
      <c r="AT1130" s="71">
        <f t="shared" si="458"/>
        <v>4.4645850362563978E-4</v>
      </c>
      <c r="AU1130" s="72">
        <f t="shared" si="454"/>
        <v>6.8214933659622723E-3</v>
      </c>
      <c r="AV1130" s="73">
        <f t="shared" si="456"/>
        <v>1.0068214933659623</v>
      </c>
      <c r="AW1130" s="74">
        <f>PRODUCT(AV$4:AV1130)</f>
        <v>2125.4109375487556</v>
      </c>
    </row>
    <row r="1131" spans="44:49">
      <c r="AR1131" s="69">
        <f t="shared" si="455"/>
        <v>94</v>
      </c>
      <c r="AS1131" s="70">
        <f t="shared" si="457"/>
        <v>1128</v>
      </c>
      <c r="AT1131" s="71">
        <f t="shared" si="458"/>
        <v>4.4341298990498005E-4</v>
      </c>
      <c r="AU1131" s="72">
        <f t="shared" si="454"/>
        <v>6.8214933659622723E-3</v>
      </c>
      <c r="AV1131" s="73">
        <f t="shared" si="456"/>
        <v>1.0068214933659623</v>
      </c>
      <c r="AW1131" s="74">
        <f>PRODUCT(AV$4:AV1131)</f>
        <v>2139.9094141591881</v>
      </c>
    </row>
    <row r="1132" spans="44:49">
      <c r="AR1132" s="69">
        <f t="shared" si="455"/>
        <v>95</v>
      </c>
      <c r="AS1132" s="70">
        <f t="shared" si="457"/>
        <v>1129</v>
      </c>
      <c r="AT1132" s="71">
        <f t="shared" si="458"/>
        <v>4.4038825113596174E-4</v>
      </c>
      <c r="AU1132" s="72">
        <f t="shared" si="454"/>
        <v>6.8214933659622723E-3</v>
      </c>
      <c r="AV1132" s="73">
        <f t="shared" si="456"/>
        <v>1.0068214933659623</v>
      </c>
      <c r="AW1132" s="74">
        <f>PRODUCT(AV$4:AV1132)</f>
        <v>2154.5067920316351</v>
      </c>
    </row>
    <row r="1133" spans="44:49">
      <c r="AR1133" s="69">
        <f t="shared" si="455"/>
        <v>95</v>
      </c>
      <c r="AS1133" s="70">
        <f t="shared" si="457"/>
        <v>1130</v>
      </c>
      <c r="AT1133" s="71">
        <f t="shared" si="458"/>
        <v>4.3738414560239003E-4</v>
      </c>
      <c r="AU1133" s="72">
        <f t="shared" si="454"/>
        <v>6.8214933659622723E-3</v>
      </c>
      <c r="AV1133" s="73">
        <f t="shared" si="456"/>
        <v>1.0068214933659623</v>
      </c>
      <c r="AW1133" s="74">
        <f>PRODUCT(AV$4:AV1133)</f>
        <v>2169.2037458203995</v>
      </c>
    </row>
    <row r="1134" spans="44:49">
      <c r="AR1134" s="69">
        <f t="shared" si="455"/>
        <v>95</v>
      </c>
      <c r="AS1134" s="70">
        <f t="shared" si="457"/>
        <v>1131</v>
      </c>
      <c r="AT1134" s="71">
        <f t="shared" si="458"/>
        <v>4.3440053255478623E-4</v>
      </c>
      <c r="AU1134" s="72">
        <f t="shared" si="454"/>
        <v>6.8214933659622723E-3</v>
      </c>
      <c r="AV1134" s="73">
        <f t="shared" si="456"/>
        <v>1.0068214933659623</v>
      </c>
      <c r="AW1134" s="74">
        <f>PRODUCT(AV$4:AV1134)</f>
        <v>2184.0009547819341</v>
      </c>
    </row>
    <row r="1135" spans="44:49">
      <c r="AR1135" s="69">
        <f t="shared" si="455"/>
        <v>95</v>
      </c>
      <c r="AS1135" s="70">
        <f t="shared" si="457"/>
        <v>1132</v>
      </c>
      <c r="AT1135" s="71">
        <f t="shared" si="458"/>
        <v>4.3143727220379326E-4</v>
      </c>
      <c r="AU1135" s="72">
        <f t="shared" si="454"/>
        <v>6.8214933659622723E-3</v>
      </c>
      <c r="AV1135" s="73">
        <f t="shared" si="456"/>
        <v>1.0068214933659623</v>
      </c>
      <c r="AW1135" s="74">
        <f>PRODUCT(AV$4:AV1135)</f>
        <v>2198.8991028062342</v>
      </c>
    </row>
    <row r="1136" spans="44:49">
      <c r="AR1136" s="69">
        <f t="shared" si="455"/>
        <v>95</v>
      </c>
      <c r="AS1136" s="70">
        <f t="shared" si="457"/>
        <v>1133</v>
      </c>
      <c r="AT1136" s="71">
        <f t="shared" si="458"/>
        <v>4.2849422571362625E-4</v>
      </c>
      <c r="AU1136" s="72">
        <f t="shared" si="454"/>
        <v>6.8214933659622723E-3</v>
      </c>
      <c r="AV1136" s="73">
        <f t="shared" si="456"/>
        <v>1.0068214933659623</v>
      </c>
      <c r="AW1136" s="74">
        <f>PRODUCT(AV$4:AV1136)</f>
        <v>2213.8988784484472</v>
      </c>
    </row>
    <row r="1137" spans="44:49">
      <c r="AR1137" s="69">
        <f t="shared" si="455"/>
        <v>95</v>
      </c>
      <c r="AS1137" s="70">
        <f t="shared" si="457"/>
        <v>1134</v>
      </c>
      <c r="AT1137" s="71">
        <f t="shared" si="458"/>
        <v>4.2557125519556761E-4</v>
      </c>
      <c r="AU1137" s="72">
        <f t="shared" si="454"/>
        <v>6.8214933659622723E-3</v>
      </c>
      <c r="AV1137" s="73">
        <f t="shared" si="456"/>
        <v>1.0068214933659623</v>
      </c>
      <c r="AW1137" s="74">
        <f>PRODUCT(AV$4:AV1137)</f>
        <v>2229.0009749606947</v>
      </c>
    </row>
    <row r="1138" spans="44:49">
      <c r="AR1138" s="69">
        <f t="shared" si="455"/>
        <v>95</v>
      </c>
      <c r="AS1138" s="70">
        <f t="shared" si="457"/>
        <v>1135</v>
      </c>
      <c r="AT1138" s="71">
        <f t="shared" si="458"/>
        <v>4.2266822370150682E-4</v>
      </c>
      <c r="AU1138" s="72">
        <f t="shared" si="454"/>
        <v>6.8214933659622723E-3</v>
      </c>
      <c r="AV1138" s="73">
        <f t="shared" si="456"/>
        <v>1.0068214933659623</v>
      </c>
      <c r="AW1138" s="74">
        <f>PRODUCT(AV$4:AV1138)</f>
        <v>2244.2060903241127</v>
      </c>
    </row>
    <row r="1139" spans="44:49">
      <c r="AR1139" s="69">
        <f t="shared" si="455"/>
        <v>95</v>
      </c>
      <c r="AS1139" s="70">
        <f t="shared" si="457"/>
        <v>1136</v>
      </c>
      <c r="AT1139" s="71">
        <f t="shared" si="458"/>
        <v>4.1978499521752393E-4</v>
      </c>
      <c r="AU1139" s="72">
        <f t="shared" si="454"/>
        <v>6.8214933659622723E-3</v>
      </c>
      <c r="AV1139" s="73">
        <f t="shared" si="456"/>
        <v>1.0068214933659623</v>
      </c>
      <c r="AW1139" s="74">
        <f>PRODUCT(AV$4:AV1139)</f>
        <v>2259.5149272811109</v>
      </c>
    </row>
    <row r="1140" spans="44:49">
      <c r="AR1140" s="69">
        <f t="shared" si="455"/>
        <v>95</v>
      </c>
      <c r="AS1140" s="70">
        <f t="shared" si="457"/>
        <v>1137</v>
      </c>
      <c r="AT1140" s="71">
        <f t="shared" si="458"/>
        <v>4.1692143465751707E-4</v>
      </c>
      <c r="AU1140" s="72">
        <f t="shared" si="454"/>
        <v>6.8214933659622723E-3</v>
      </c>
      <c r="AV1140" s="73">
        <f t="shared" si="456"/>
        <v>1.0068214933659623</v>
      </c>
      <c r="AW1140" s="74">
        <f>PRODUCT(AV$4:AV1140)</f>
        <v>2274.9281933678517</v>
      </c>
    </row>
    <row r="1141" spans="44:49">
      <c r="AR1141" s="69">
        <f t="shared" si="455"/>
        <v>95</v>
      </c>
      <c r="AS1141" s="70">
        <f t="shared" si="457"/>
        <v>1138</v>
      </c>
      <c r="AT1141" s="71">
        <f t="shared" si="458"/>
        <v>4.1407740785687333E-4</v>
      </c>
      <c r="AU1141" s="72">
        <f t="shared" si="454"/>
        <v>6.8214933659622723E-3</v>
      </c>
      <c r="AV1141" s="73">
        <f t="shared" si="456"/>
        <v>1.0068214933659623</v>
      </c>
      <c r="AW1141" s="74">
        <f>PRODUCT(AV$4:AV1141)</f>
        <v>2290.4466009469511</v>
      </c>
    </row>
    <row r="1142" spans="44:49">
      <c r="AR1142" s="69">
        <f t="shared" si="455"/>
        <v>95</v>
      </c>
      <c r="AS1142" s="70">
        <f t="shared" si="457"/>
        <v>1139</v>
      </c>
      <c r="AT1142" s="71">
        <f t="shared" si="458"/>
        <v>4.1125278156618284E-4</v>
      </c>
      <c r="AU1142" s="72">
        <f t="shared" si="454"/>
        <v>6.8214933659622723E-3</v>
      </c>
      <c r="AV1142" s="73">
        <f t="shared" si="456"/>
        <v>1.0068214933659623</v>
      </c>
      <c r="AW1142" s="74">
        <f>PRODUCT(AV$4:AV1142)</f>
        <v>2306.0708672404016</v>
      </c>
    </row>
    <row r="1143" spans="44:49">
      <c r="AR1143" s="69">
        <f t="shared" si="455"/>
        <v>95</v>
      </c>
      <c r="AS1143" s="70">
        <f t="shared" si="457"/>
        <v>1140</v>
      </c>
      <c r="AT1143" s="71">
        <f t="shared" si="458"/>
        <v>4.0844742344499558E-4</v>
      </c>
      <c r="AU1143" s="72">
        <f t="shared" si="454"/>
        <v>6.8214933659622723E-3</v>
      </c>
      <c r="AV1143" s="73">
        <f t="shared" si="456"/>
        <v>1.0068214933659623</v>
      </c>
      <c r="AW1143" s="74">
        <f>PRODUCT(AV$4:AV1143)</f>
        <v>2321.8017143627208</v>
      </c>
    </row>
    <row r="1144" spans="44:49">
      <c r="AR1144" s="69">
        <f t="shared" si="455"/>
        <v>96</v>
      </c>
      <c r="AS1144" s="70">
        <f t="shared" si="457"/>
        <v>1141</v>
      </c>
      <c r="AT1144" s="71">
        <f t="shared" si="458"/>
        <v>4.0566120205562118E-4</v>
      </c>
      <c r="AU1144" s="72">
        <f t="shared" si="454"/>
        <v>6.8214933659622723E-3</v>
      </c>
      <c r="AV1144" s="73">
        <f t="shared" si="456"/>
        <v>1.0068214933659623</v>
      </c>
      <c r="AW1144" s="74">
        <f>PRODUCT(AV$4:AV1144)</f>
        <v>2337.639869354326</v>
      </c>
    </row>
    <row r="1145" spans="44:49">
      <c r="AR1145" s="69">
        <f t="shared" si="455"/>
        <v>96</v>
      </c>
      <c r="AS1145" s="70">
        <f t="shared" si="457"/>
        <v>1142</v>
      </c>
      <c r="AT1145" s="71">
        <f t="shared" si="458"/>
        <v>4.0289398685697047E-4</v>
      </c>
      <c r="AU1145" s="72">
        <f t="shared" si="454"/>
        <v>6.8214933659622723E-3</v>
      </c>
      <c r="AV1145" s="73">
        <f t="shared" si="456"/>
        <v>1.0068214933659623</v>
      </c>
      <c r="AW1145" s="74">
        <f>PRODUCT(AV$4:AV1145)</f>
        <v>2353.5860642151356</v>
      </c>
    </row>
    <row r="1146" spans="44:49">
      <c r="AR1146" s="69">
        <f t="shared" si="455"/>
        <v>96</v>
      </c>
      <c r="AS1146" s="70">
        <f t="shared" si="457"/>
        <v>1143</v>
      </c>
      <c r="AT1146" s="71">
        <f t="shared" si="458"/>
        <v>4.0014564819843956E-4</v>
      </c>
      <c r="AU1146" s="72">
        <f t="shared" si="454"/>
        <v>6.8214933659622723E-3</v>
      </c>
      <c r="AV1146" s="73">
        <f t="shared" si="456"/>
        <v>1.0068214933659623</v>
      </c>
      <c r="AW1146" s="74">
        <f>PRODUCT(AV$4:AV1146)</f>
        <v>2369.6410359384004</v>
      </c>
    </row>
    <row r="1147" spans="44:49">
      <c r="AR1147" s="69">
        <f t="shared" si="455"/>
        <v>96</v>
      </c>
      <c r="AS1147" s="70">
        <f t="shared" si="457"/>
        <v>1144</v>
      </c>
      <c r="AT1147" s="71">
        <f t="shared" si="458"/>
        <v>3.974160573138352E-4</v>
      </c>
      <c r="AU1147" s="72">
        <f t="shared" si="454"/>
        <v>6.8214933659622723E-3</v>
      </c>
      <c r="AV1147" s="73">
        <f t="shared" si="456"/>
        <v>1.0068214933659623</v>
      </c>
      <c r="AW1147" s="74">
        <f>PRODUCT(AV$4:AV1147)</f>
        <v>2385.8055265447661</v>
      </c>
    </row>
    <row r="1148" spans="44:49">
      <c r="AR1148" s="69">
        <f t="shared" si="455"/>
        <v>96</v>
      </c>
      <c r="AS1148" s="70">
        <f t="shared" si="457"/>
        <v>1145</v>
      </c>
      <c r="AT1148" s="71">
        <f t="shared" si="458"/>
        <v>3.94705086315342E-4</v>
      </c>
      <c r="AU1148" s="72">
        <f t="shared" si="454"/>
        <v>6.8214933659622723E-3</v>
      </c>
      <c r="AV1148" s="73">
        <f t="shared" si="456"/>
        <v>1.0068214933659623</v>
      </c>
      <c r="AW1148" s="74">
        <f>PRODUCT(AV$4:AV1148)</f>
        <v>2402.0802831165674</v>
      </c>
    </row>
    <row r="1149" spans="44:49">
      <c r="AR1149" s="69">
        <f t="shared" si="455"/>
        <v>96</v>
      </c>
      <c r="AS1149" s="70">
        <f t="shared" si="457"/>
        <v>1146</v>
      </c>
      <c r="AT1149" s="71">
        <f t="shared" si="458"/>
        <v>3.920126081875303E-4</v>
      </c>
      <c r="AU1149" s="72">
        <f t="shared" si="454"/>
        <v>6.8214933659622723E-3</v>
      </c>
      <c r="AV1149" s="73">
        <f t="shared" si="456"/>
        <v>1.0068214933659623</v>
      </c>
      <c r="AW1149" s="74">
        <f>PRODUCT(AV$4:AV1149)</f>
        <v>2418.466057832356</v>
      </c>
    </row>
    <row r="1150" spans="44:49">
      <c r="AR1150" s="69">
        <f t="shared" si="455"/>
        <v>96</v>
      </c>
      <c r="AS1150" s="70">
        <f t="shared" si="457"/>
        <v>1147</v>
      </c>
      <c r="AT1150" s="71">
        <f t="shared" si="458"/>
        <v>3.8933849678140549E-4</v>
      </c>
      <c r="AU1150" s="72">
        <f t="shared" si="454"/>
        <v>6.8214933659622723E-3</v>
      </c>
      <c r="AV1150" s="73">
        <f t="shared" si="456"/>
        <v>1.0068214933659623</v>
      </c>
      <c r="AW1150" s="74">
        <f>PRODUCT(AV$4:AV1150)</f>
        <v>2434.9636080016644</v>
      </c>
    </row>
    <row r="1151" spans="44:49">
      <c r="AR1151" s="69">
        <f t="shared" si="455"/>
        <v>96</v>
      </c>
      <c r="AS1151" s="70">
        <f t="shared" si="457"/>
        <v>1148</v>
      </c>
      <c r="AT1151" s="71">
        <f t="shared" si="458"/>
        <v>3.8668262680849742E-4</v>
      </c>
      <c r="AU1151" s="72">
        <f t="shared" si="454"/>
        <v>6.8214933659622723E-3</v>
      </c>
      <c r="AV1151" s="73">
        <f t="shared" si="456"/>
        <v>1.0068214933659623</v>
      </c>
      <c r="AW1151" s="74">
        <f>PRODUCT(AV$4:AV1151)</f>
        <v>2451.5736961000075</v>
      </c>
    </row>
    <row r="1152" spans="44:49">
      <c r="AR1152" s="69">
        <f t="shared" si="455"/>
        <v>96</v>
      </c>
      <c r="AS1152" s="70">
        <f t="shared" si="457"/>
        <v>1149</v>
      </c>
      <c r="AT1152" s="71">
        <f t="shared" si="458"/>
        <v>3.8404487383499037E-4</v>
      </c>
      <c r="AU1152" s="72">
        <f t="shared" si="454"/>
        <v>6.8214933659622723E-3</v>
      </c>
      <c r="AV1152" s="73">
        <f t="shared" si="456"/>
        <v>1.0068214933659623</v>
      </c>
      <c r="AW1152" s="74">
        <f>PRODUCT(AV$4:AV1152)</f>
        <v>2468.2970898041212</v>
      </c>
    </row>
    <row r="1153" spans="44:49">
      <c r="AR1153" s="69">
        <f t="shared" si="455"/>
        <v>96</v>
      </c>
      <c r="AS1153" s="70">
        <f t="shared" si="457"/>
        <v>1150</v>
      </c>
      <c r="AT1153" s="71">
        <f t="shared" si="458"/>
        <v>3.8142511427589318E-4</v>
      </c>
      <c r="AU1153" s="72">
        <f t="shared" si="454"/>
        <v>6.8214933659622723E-3</v>
      </c>
      <c r="AV1153" s="73">
        <f t="shared" si="456"/>
        <v>1.0068214933659623</v>
      </c>
      <c r="AW1153" s="74">
        <f>PRODUCT(AV$4:AV1153)</f>
        <v>2485.1345620274442</v>
      </c>
    </row>
    <row r="1154" spans="44:49">
      <c r="AR1154" s="69">
        <f t="shared" si="455"/>
        <v>96</v>
      </c>
      <c r="AS1154" s="70">
        <f t="shared" si="457"/>
        <v>1151</v>
      </c>
      <c r="AT1154" s="71">
        <f t="shared" si="458"/>
        <v>3.788232253892488E-4</v>
      </c>
      <c r="AU1154" s="72">
        <f t="shared" si="454"/>
        <v>6.8214933659622723E-3</v>
      </c>
      <c r="AV1154" s="73">
        <f t="shared" si="456"/>
        <v>1.0068214933659623</v>
      </c>
      <c r="AW1154" s="74">
        <f>PRODUCT(AV$4:AV1154)</f>
        <v>2502.086890955838</v>
      </c>
    </row>
    <row r="1155" spans="44:49">
      <c r="AR1155" s="69">
        <f t="shared" si="455"/>
        <v>96</v>
      </c>
      <c r="AS1155" s="70">
        <f t="shared" si="457"/>
        <v>1152</v>
      </c>
      <c r="AT1155" s="71">
        <f t="shared" si="458"/>
        <v>3.7623908527038358E-4</v>
      </c>
      <c r="AU1155" s="72">
        <f t="shared" si="454"/>
        <v>6.8214933659622723E-3</v>
      </c>
      <c r="AV1155" s="73">
        <f t="shared" si="456"/>
        <v>1.0068214933659623</v>
      </c>
      <c r="AW1155" s="74">
        <f>PRODUCT(AV$4:AV1155)</f>
        <v>2519.1548600835545</v>
      </c>
    </row>
    <row r="1156" spans="44:49">
      <c r="AR1156" s="69">
        <f t="shared" si="455"/>
        <v>97</v>
      </c>
      <c r="AS1156" s="70">
        <f t="shared" si="457"/>
        <v>1153</v>
      </c>
      <c r="AT1156" s="71">
        <f t="shared" si="458"/>
        <v>3.7367257284619596E-4</v>
      </c>
      <c r="AU1156" s="72">
        <f t="shared" ref="AU1156:AU1219" si="459">((1+$AH$21)^(1/12))-1</f>
        <v>6.8214933659622723E-3</v>
      </c>
      <c r="AV1156" s="73">
        <f t="shared" si="456"/>
        <v>1.0068214933659623</v>
      </c>
      <c r="AW1156" s="74">
        <f>PRODUCT(AV$4:AV1156)</f>
        <v>2536.3392582494462</v>
      </c>
    </row>
    <row r="1157" spans="44:49">
      <c r="AR1157" s="69">
        <f t="shared" ref="AR1157:AR1220" si="460">ROUNDDOWN((AS1157-1)/12,0)+1</f>
        <v>97</v>
      </c>
      <c r="AS1157" s="70">
        <f t="shared" si="457"/>
        <v>1154</v>
      </c>
      <c r="AT1157" s="71">
        <f t="shared" si="458"/>
        <v>3.7112356786948359E-4</v>
      </c>
      <c r="AU1157" s="72">
        <f t="shared" si="459"/>
        <v>6.8214933659622723E-3</v>
      </c>
      <c r="AV1157" s="73">
        <f t="shared" ref="AV1157:AV1220" si="461">(1+AU1157)</f>
        <v>1.0068214933659623</v>
      </c>
      <c r="AW1157" s="74">
        <f>PRODUCT(AV$4:AV1157)</f>
        <v>2553.6408796734245</v>
      </c>
    </row>
    <row r="1158" spans="44:49">
      <c r="AR1158" s="69">
        <f t="shared" si="460"/>
        <v>97</v>
      </c>
      <c r="AS1158" s="70">
        <f t="shared" ref="AS1158:AS1221" si="462">AS1157+1</f>
        <v>1155</v>
      </c>
      <c r="AT1158" s="71">
        <f t="shared" ref="AT1158:AT1221" si="463">(1-AU1158)*AT1157</f>
        <v>3.6859195091330966E-4</v>
      </c>
      <c r="AU1158" s="72">
        <f t="shared" si="459"/>
        <v>6.8214933659622723E-3</v>
      </c>
      <c r="AV1158" s="73">
        <f t="shared" si="461"/>
        <v>1.0068214933659623</v>
      </c>
      <c r="AW1158" s="74">
        <f>PRODUCT(AV$4:AV1158)</f>
        <v>2571.060523993167</v>
      </c>
    </row>
    <row r="1159" spans="44:49">
      <c r="AR1159" s="69">
        <f t="shared" si="460"/>
        <v>97</v>
      </c>
      <c r="AS1159" s="70">
        <f t="shared" si="462"/>
        <v>1156</v>
      </c>
      <c r="AT1159" s="71">
        <f t="shared" si="463"/>
        <v>3.6607760336540741E-4</v>
      </c>
      <c r="AU1159" s="72">
        <f t="shared" si="459"/>
        <v>6.8214933659622723E-3</v>
      </c>
      <c r="AV1159" s="73">
        <f t="shared" si="461"/>
        <v>1.0068214933659623</v>
      </c>
      <c r="AW1159" s="74">
        <f>PRODUCT(AV$4:AV1159)</f>
        <v>2588.5989963010738</v>
      </c>
    </row>
    <row r="1160" spans="44:49">
      <c r="AR1160" s="69">
        <f t="shared" si="460"/>
        <v>97</v>
      </c>
      <c r="AS1160" s="70">
        <f t="shared" si="462"/>
        <v>1157</v>
      </c>
      <c r="AT1160" s="71">
        <f t="shared" si="463"/>
        <v>3.6358040742262294E-4</v>
      </c>
      <c r="AU1160" s="72">
        <f t="shared" si="459"/>
        <v>6.8214933659622723E-3</v>
      </c>
      <c r="AV1160" s="73">
        <f t="shared" si="461"/>
        <v>1.0068214933659623</v>
      </c>
      <c r="AW1160" s="74">
        <f>PRODUCT(AV$4:AV1160)</f>
        <v>2606.2571071814782</v>
      </c>
    </row>
    <row r="1161" spans="44:49">
      <c r="AR1161" s="69">
        <f t="shared" si="460"/>
        <v>97</v>
      </c>
      <c r="AS1161" s="70">
        <f t="shared" si="462"/>
        <v>1158</v>
      </c>
      <c r="AT1161" s="71">
        <f t="shared" si="463"/>
        <v>3.6110024608539565E-4</v>
      </c>
      <c r="AU1161" s="72">
        <f t="shared" si="459"/>
        <v>6.8214933659622723E-3</v>
      </c>
      <c r="AV1161" s="73">
        <f t="shared" si="461"/>
        <v>1.0068214933659623</v>
      </c>
      <c r="AW1161" s="74">
        <f>PRODUCT(AV$4:AV1161)</f>
        <v>2624.0356727481085</v>
      </c>
    </row>
    <row r="1162" spans="44:49">
      <c r="AR1162" s="69">
        <f t="shared" si="460"/>
        <v>97</v>
      </c>
      <c r="AS1162" s="70">
        <f t="shared" si="462"/>
        <v>1159</v>
      </c>
      <c r="AT1162" s="71">
        <f t="shared" si="463"/>
        <v>3.5863700315227681E-4</v>
      </c>
      <c r="AU1162" s="72">
        <f t="shared" si="459"/>
        <v>6.8214933659622723E-3</v>
      </c>
      <c r="AV1162" s="73">
        <f t="shared" si="461"/>
        <v>1.0068214933659623</v>
      </c>
      <c r="AW1162" s="74">
        <f>PRODUCT(AV$4:AV1162)</f>
        <v>2641.9355146818079</v>
      </c>
    </row>
    <row r="1163" spans="44:49">
      <c r="AR1163" s="69">
        <f t="shared" si="460"/>
        <v>97</v>
      </c>
      <c r="AS1163" s="70">
        <f t="shared" si="462"/>
        <v>1160</v>
      </c>
      <c r="AT1163" s="71">
        <f t="shared" si="463"/>
        <v>3.5619056321448497E-4</v>
      </c>
      <c r="AU1163" s="72">
        <f t="shared" si="459"/>
        <v>6.8214933659622723E-3</v>
      </c>
      <c r="AV1163" s="73">
        <f t="shared" si="461"/>
        <v>1.0068214933659623</v>
      </c>
      <c r="AW1163" s="74">
        <f>PRODUCT(AV$4:AV1163)</f>
        <v>2659.9574602685102</v>
      </c>
    </row>
    <row r="1164" spans="44:49">
      <c r="AR1164" s="69">
        <f t="shared" si="460"/>
        <v>97</v>
      </c>
      <c r="AS1164" s="70">
        <f t="shared" si="462"/>
        <v>1161</v>
      </c>
      <c r="AT1164" s="71">
        <f t="shared" si="463"/>
        <v>3.5376081165049898E-4</v>
      </c>
      <c r="AU1164" s="72">
        <f t="shared" si="459"/>
        <v>6.8214933659622723E-3</v>
      </c>
      <c r="AV1164" s="73">
        <f t="shared" si="461"/>
        <v>1.0068214933659623</v>
      </c>
      <c r="AW1164" s="74">
        <f>PRODUCT(AV$4:AV1164)</f>
        <v>2678.1023424374739</v>
      </c>
    </row>
    <row r="1165" spans="44:49">
      <c r="AR1165" s="69">
        <f t="shared" si="460"/>
        <v>97</v>
      </c>
      <c r="AS1165" s="70">
        <f t="shared" si="462"/>
        <v>1162</v>
      </c>
      <c r="AT1165" s="71">
        <f t="shared" si="463"/>
        <v>3.5134763462068766E-4</v>
      </c>
      <c r="AU1165" s="72">
        <f t="shared" si="459"/>
        <v>6.8214933659622723E-3</v>
      </c>
      <c r="AV1165" s="73">
        <f t="shared" si="461"/>
        <v>1.0068214933659623</v>
      </c>
      <c r="AW1165" s="74">
        <f>PRODUCT(AV$4:AV1165)</f>
        <v>2696.3709997997794</v>
      </c>
    </row>
    <row r="1166" spans="44:49">
      <c r="AR1166" s="69">
        <f t="shared" si="460"/>
        <v>97</v>
      </c>
      <c r="AS1166" s="70">
        <f t="shared" si="462"/>
        <v>1163</v>
      </c>
      <c r="AT1166" s="71">
        <f t="shared" si="463"/>
        <v>3.489509190619761E-4</v>
      </c>
      <c r="AU1166" s="72">
        <f t="shared" si="459"/>
        <v>6.8214933659622723E-3</v>
      </c>
      <c r="AV1166" s="73">
        <f t="shared" si="461"/>
        <v>1.0068214933659623</v>
      </c>
      <c r="AW1166" s="74">
        <f>PRODUCT(AV$4:AV1166)</f>
        <v>2714.7642766870867</v>
      </c>
    </row>
    <row r="1167" spans="44:49">
      <c r="AR1167" s="69">
        <f t="shared" si="460"/>
        <v>97</v>
      </c>
      <c r="AS1167" s="70">
        <f t="shared" si="462"/>
        <v>1164</v>
      </c>
      <c r="AT1167" s="71">
        <f t="shared" si="463"/>
        <v>3.4657055268254837E-4</v>
      </c>
      <c r="AU1167" s="72">
        <f t="shared" si="459"/>
        <v>6.8214933659622723E-3</v>
      </c>
      <c r="AV1167" s="73">
        <f t="shared" si="461"/>
        <v>1.0068214933659623</v>
      </c>
      <c r="AW1167" s="74">
        <f>PRODUCT(AV$4:AV1167)</f>
        <v>2733.2830231906592</v>
      </c>
    </row>
    <row r="1168" spans="44:49">
      <c r="AR1168" s="69">
        <f t="shared" si="460"/>
        <v>98</v>
      </c>
      <c r="AS1168" s="70">
        <f t="shared" si="462"/>
        <v>1165</v>
      </c>
      <c r="AT1168" s="71">
        <f t="shared" si="463"/>
        <v>3.4420642395658648E-4</v>
      </c>
      <c r="AU1168" s="72">
        <f t="shared" si="459"/>
        <v>6.8214933659622723E-3</v>
      </c>
      <c r="AV1168" s="73">
        <f t="shared" si="461"/>
        <v>1.0068214933659623</v>
      </c>
      <c r="AW1168" s="74">
        <f>PRODUCT(AV$4:AV1168)</f>
        <v>2751.9280952006516</v>
      </c>
    </row>
    <row r="1169" spans="44:49">
      <c r="AR1169" s="69">
        <f t="shared" si="460"/>
        <v>98</v>
      </c>
      <c r="AS1169" s="70">
        <f t="shared" si="462"/>
        <v>1166</v>
      </c>
      <c r="AT1169" s="71">
        <f t="shared" si="463"/>
        <v>3.4185842211904502E-4</v>
      </c>
      <c r="AU1169" s="72">
        <f t="shared" si="459"/>
        <v>6.8214933659622723E-3</v>
      </c>
      <c r="AV1169" s="73">
        <f t="shared" si="461"/>
        <v>1.0068214933659623</v>
      </c>
      <c r="AW1169" s="74">
        <f>PRODUCT(AV$4:AV1169)</f>
        <v>2770.7003544456679</v>
      </c>
    </row>
    <row r="1170" spans="44:49">
      <c r="AR1170" s="69">
        <f t="shared" si="460"/>
        <v>98</v>
      </c>
      <c r="AS1170" s="70">
        <f t="shared" si="462"/>
        <v>1167</v>
      </c>
      <c r="AT1170" s="71">
        <f t="shared" si="463"/>
        <v>3.3952643716046163E-4</v>
      </c>
      <c r="AU1170" s="72">
        <f t="shared" si="459"/>
        <v>6.8214933659622723E-3</v>
      </c>
      <c r="AV1170" s="73">
        <f t="shared" si="461"/>
        <v>1.0068214933659623</v>
      </c>
      <c r="AW1170" s="74">
        <f>PRODUCT(AV$4:AV1170)</f>
        <v>2789.6006685325883</v>
      </c>
    </row>
    <row r="1171" spans="44:49">
      <c r="AR1171" s="69">
        <f t="shared" si="460"/>
        <v>98</v>
      </c>
      <c r="AS1171" s="70">
        <f t="shared" si="462"/>
        <v>1168</v>
      </c>
      <c r="AT1171" s="71">
        <f t="shared" si="463"/>
        <v>3.3721035982180273E-4</v>
      </c>
      <c r="AU1171" s="72">
        <f t="shared" si="459"/>
        <v>6.8214933659622723E-3</v>
      </c>
      <c r="AV1171" s="73">
        <f t="shared" si="461"/>
        <v>1.0068214933659623</v>
      </c>
      <c r="AW1171" s="74">
        <f>PRODUCT(AV$4:AV1171)</f>
        <v>2808.6299109866673</v>
      </c>
    </row>
    <row r="1172" spans="44:49">
      <c r="AR1172" s="69">
        <f t="shared" si="460"/>
        <v>98</v>
      </c>
      <c r="AS1172" s="70">
        <f t="shared" si="462"/>
        <v>1169</v>
      </c>
      <c r="AT1172" s="71">
        <f t="shared" si="463"/>
        <v>3.3491008158934455E-4</v>
      </c>
      <c r="AU1172" s="72">
        <f t="shared" si="459"/>
        <v>6.8214933659622723E-3</v>
      </c>
      <c r="AV1172" s="73">
        <f t="shared" si="461"/>
        <v>1.0068214933659623</v>
      </c>
      <c r="AW1172" s="74">
        <f>PRODUCT(AV$4:AV1172)</f>
        <v>2827.7889612919062</v>
      </c>
    </row>
    <row r="1173" spans="44:49">
      <c r="AR1173" s="69">
        <f t="shared" si="460"/>
        <v>98</v>
      </c>
      <c r="AS1173" s="70">
        <f t="shared" si="462"/>
        <v>1170</v>
      </c>
      <c r="AT1173" s="71">
        <f t="shared" si="463"/>
        <v>3.3262549468958896E-4</v>
      </c>
      <c r="AU1173" s="72">
        <f t="shared" si="459"/>
        <v>6.8214933659622723E-3</v>
      </c>
      <c r="AV1173" s="73">
        <f t="shared" si="461"/>
        <v>1.0068214933659623</v>
      </c>
      <c r="AW1173" s="74">
        <f>PRODUCT(AV$4:AV1173)</f>
        <v>2847.0787049317</v>
      </c>
    </row>
    <row r="1174" spans="44:49">
      <c r="AR1174" s="69">
        <f t="shared" si="460"/>
        <v>98</v>
      </c>
      <c r="AS1174" s="70">
        <f t="shared" si="462"/>
        <v>1171</v>
      </c>
      <c r="AT1174" s="71">
        <f t="shared" si="463"/>
        <v>3.30356492084214E-4</v>
      </c>
      <c r="AU1174" s="72">
        <f t="shared" si="459"/>
        <v>6.8214933659622723E-3</v>
      </c>
      <c r="AV1174" s="73">
        <f t="shared" si="461"/>
        <v>1.0068214933659623</v>
      </c>
      <c r="AW1174" s="74">
        <f>PRODUCT(AV$4:AV1174)</f>
        <v>2866.5000334297642</v>
      </c>
    </row>
    <row r="1175" spans="44:49">
      <c r="AR1175" s="69">
        <f t="shared" si="460"/>
        <v>98</v>
      </c>
      <c r="AS1175" s="70">
        <f t="shared" si="462"/>
        <v>1172</v>
      </c>
      <c r="AT1175" s="71">
        <f t="shared" si="463"/>
        <v>3.2810296746505895E-4</v>
      </c>
      <c r="AU1175" s="72">
        <f t="shared" si="459"/>
        <v>6.8214933659622723E-3</v>
      </c>
      <c r="AV1175" s="73">
        <f t="shared" si="461"/>
        <v>1.0068214933659623</v>
      </c>
      <c r="AW1175" s="74">
        <f>PRODUCT(AV$4:AV1175)</f>
        <v>2886.053844391336</v>
      </c>
    </row>
    <row r="1176" spans="44:49">
      <c r="AR1176" s="69">
        <f t="shared" si="460"/>
        <v>98</v>
      </c>
      <c r="AS1176" s="70">
        <f t="shared" si="462"/>
        <v>1173</v>
      </c>
      <c r="AT1176" s="71">
        <f t="shared" si="463"/>
        <v>3.2586481524914351E-4</v>
      </c>
      <c r="AU1176" s="72">
        <f t="shared" si="459"/>
        <v>6.8214933659622723E-3</v>
      </c>
      <c r="AV1176" s="73">
        <f t="shared" si="461"/>
        <v>1.0068214933659623</v>
      </c>
      <c r="AW1176" s="74">
        <f>PRODUCT(AV$4:AV1176)</f>
        <v>2905.7410415446616</v>
      </c>
    </row>
    <row r="1177" spans="44:49">
      <c r="AR1177" s="69">
        <f t="shared" si="460"/>
        <v>98</v>
      </c>
      <c r="AS1177" s="70">
        <f t="shared" si="462"/>
        <v>1174</v>
      </c>
      <c r="AT1177" s="71">
        <f t="shared" si="463"/>
        <v>3.2364193057372095E-4</v>
      </c>
      <c r="AU1177" s="72">
        <f t="shared" si="459"/>
        <v>6.8214933659622723E-3</v>
      </c>
      <c r="AV1177" s="73">
        <f t="shared" si="461"/>
        <v>1.0068214933659623</v>
      </c>
      <c r="AW1177" s="74">
        <f>PRODUCT(AV$4:AV1177)</f>
        <v>2925.5625347827627</v>
      </c>
    </row>
    <row r="1178" spans="44:49">
      <c r="AR1178" s="69">
        <f t="shared" si="460"/>
        <v>98</v>
      </c>
      <c r="AS1178" s="70">
        <f t="shared" si="462"/>
        <v>1175</v>
      </c>
      <c r="AT1178" s="71">
        <f t="shared" si="463"/>
        <v>3.2143420929136511E-4</v>
      </c>
      <c r="AU1178" s="72">
        <f t="shared" si="459"/>
        <v>6.8214933659622723E-3</v>
      </c>
      <c r="AV1178" s="73">
        <f t="shared" si="461"/>
        <v>1.0068214933659623</v>
      </c>
      <c r="AW1178" s="74">
        <f>PRODUCT(AV$4:AV1178)</f>
        <v>2945.5192402054909</v>
      </c>
    </row>
    <row r="1179" spans="44:49">
      <c r="AR1179" s="69">
        <f t="shared" si="460"/>
        <v>98</v>
      </c>
      <c r="AS1179" s="70">
        <f t="shared" si="462"/>
        <v>1176</v>
      </c>
      <c r="AT1179" s="71">
        <f t="shared" si="463"/>
        <v>3.1924154796509073E-4</v>
      </c>
      <c r="AU1179" s="72">
        <f t="shared" si="459"/>
        <v>6.8214933659622723E-3</v>
      </c>
      <c r="AV1179" s="73">
        <f t="shared" si="461"/>
        <v>1.0068214933659623</v>
      </c>
      <c r="AW1179" s="74">
        <f>PRODUCT(AV$4:AV1179)</f>
        <v>2965.6120801618667</v>
      </c>
    </row>
    <row r="1180" spans="44:49">
      <c r="AR1180" s="69">
        <f t="shared" si="460"/>
        <v>99</v>
      </c>
      <c r="AS1180" s="70">
        <f t="shared" si="462"/>
        <v>1177</v>
      </c>
      <c r="AT1180" s="71">
        <f t="shared" si="463"/>
        <v>3.1706384386350736E-4</v>
      </c>
      <c r="AU1180" s="72">
        <f t="shared" si="459"/>
        <v>6.8214933659622723E-3</v>
      </c>
      <c r="AV1180" s="73">
        <f t="shared" si="461"/>
        <v>1.0068214933659623</v>
      </c>
      <c r="AW1180" s="74">
        <f>PRODUCT(AV$4:AV1180)</f>
        <v>2985.8419832927084</v>
      </c>
    </row>
    <row r="1181" spans="44:49">
      <c r="AR1181" s="69">
        <f t="shared" si="460"/>
        <v>99</v>
      </c>
      <c r="AS1181" s="70">
        <f t="shared" si="462"/>
        <v>1178</v>
      </c>
      <c r="AT1181" s="71">
        <f t="shared" si="463"/>
        <v>3.1490099495600594E-4</v>
      </c>
      <c r="AU1181" s="72">
        <f t="shared" si="459"/>
        <v>6.8214933659622723E-3</v>
      </c>
      <c r="AV1181" s="73">
        <f t="shared" si="461"/>
        <v>1.0068214933659623</v>
      </c>
      <c r="AW1181" s="74">
        <f>PRODUCT(AV$4:AV1181)</f>
        <v>3006.2098845735513</v>
      </c>
    </row>
    <row r="1182" spans="44:49">
      <c r="AR1182" s="69">
        <f t="shared" si="460"/>
        <v>99</v>
      </c>
      <c r="AS1182" s="70">
        <f t="shared" si="462"/>
        <v>1179</v>
      </c>
      <c r="AT1182" s="71">
        <f t="shared" si="463"/>
        <v>3.1275289990797861E-4</v>
      </c>
      <c r="AU1182" s="72">
        <f t="shared" si="459"/>
        <v>6.8214933659622723E-3</v>
      </c>
      <c r="AV1182" s="73">
        <f t="shared" si="461"/>
        <v>1.0068214933659623</v>
      </c>
      <c r="AW1182" s="74">
        <f>PRODUCT(AV$4:AV1182)</f>
        <v>3026.71672535786</v>
      </c>
    </row>
    <row r="1183" spans="44:49">
      <c r="AR1183" s="69">
        <f t="shared" si="460"/>
        <v>99</v>
      </c>
      <c r="AS1183" s="70">
        <f t="shared" si="462"/>
        <v>1180</v>
      </c>
      <c r="AT1183" s="71">
        <f t="shared" si="463"/>
        <v>3.1061945807607088E-4</v>
      </c>
      <c r="AU1183" s="72">
        <f t="shared" si="459"/>
        <v>6.8214933659622723E-3</v>
      </c>
      <c r="AV1183" s="73">
        <f t="shared" si="461"/>
        <v>1.0068214933659623</v>
      </c>
      <c r="AW1183" s="74">
        <f>PRODUCT(AV$4:AV1183)</f>
        <v>3047.3634534205357</v>
      </c>
    </row>
    <row r="1184" spans="44:49">
      <c r="AR1184" s="69">
        <f t="shared" si="460"/>
        <v>99</v>
      </c>
      <c r="AS1184" s="70">
        <f t="shared" si="462"/>
        <v>1181</v>
      </c>
      <c r="AT1184" s="71">
        <f t="shared" si="463"/>
        <v>3.0850056950346616E-4</v>
      </c>
      <c r="AU1184" s="72">
        <f t="shared" si="459"/>
        <v>6.8214933659622723E-3</v>
      </c>
      <c r="AV1184" s="73">
        <f t="shared" si="461"/>
        <v>1.0068214933659623</v>
      </c>
      <c r="AW1184" s="74">
        <f>PRODUCT(AV$4:AV1184)</f>
        <v>3068.1510230017198</v>
      </c>
    </row>
    <row r="1185" spans="44:49">
      <c r="AR1185" s="69">
        <f t="shared" si="460"/>
        <v>99</v>
      </c>
      <c r="AS1185" s="70">
        <f t="shared" si="462"/>
        <v>1182</v>
      </c>
      <c r="AT1185" s="71">
        <f t="shared" si="463"/>
        <v>3.0639613491520267E-4</v>
      </c>
      <c r="AU1185" s="72">
        <f t="shared" si="459"/>
        <v>6.8214933659622723E-3</v>
      </c>
      <c r="AV1185" s="73">
        <f t="shared" si="461"/>
        <v>1.0068214933659623</v>
      </c>
      <c r="AW1185" s="74">
        <f>PRODUCT(AV$4:AV1185)</f>
        <v>3089.0803948508965</v>
      </c>
    </row>
    <row r="1186" spans="44:49">
      <c r="AR1186" s="69">
        <f t="shared" si="460"/>
        <v>99</v>
      </c>
      <c r="AS1186" s="70">
        <f t="shared" si="462"/>
        <v>1183</v>
      </c>
      <c r="AT1186" s="71">
        <f t="shared" si="463"/>
        <v>3.0430605571352213E-4</v>
      </c>
      <c r="AU1186" s="72">
        <f t="shared" si="459"/>
        <v>6.8214933659622723E-3</v>
      </c>
      <c r="AV1186" s="73">
        <f t="shared" si="461"/>
        <v>1.0068214933659623</v>
      </c>
      <c r="AW1186" s="74">
        <f>PRODUCT(AV$4:AV1186)</f>
        <v>3110.152536271296</v>
      </c>
    </row>
    <row r="1187" spans="44:49">
      <c r="AR1187" s="69">
        <f t="shared" si="460"/>
        <v>99</v>
      </c>
      <c r="AS1187" s="70">
        <f t="shared" si="462"/>
        <v>1184</v>
      </c>
      <c r="AT1187" s="71">
        <f t="shared" si="463"/>
        <v>3.0223023397325018E-4</v>
      </c>
      <c r="AU1187" s="72">
        <f t="shared" si="459"/>
        <v>6.8214933659622723E-3</v>
      </c>
      <c r="AV1187" s="73">
        <f t="shared" si="461"/>
        <v>1.0068214933659623</v>
      </c>
      <c r="AW1187" s="74">
        <f>PRODUCT(AV$4:AV1187)</f>
        <v>3131.3684211646014</v>
      </c>
    </row>
    <row r="1188" spans="44:49">
      <c r="AR1188" s="69">
        <f t="shared" si="460"/>
        <v>99</v>
      </c>
      <c r="AS1188" s="70">
        <f t="shared" si="462"/>
        <v>1185</v>
      </c>
      <c r="AT1188" s="71">
        <f t="shared" si="463"/>
        <v>3.0016857243720844E-4</v>
      </c>
      <c r="AU1188" s="72">
        <f t="shared" si="459"/>
        <v>6.8214933659622723E-3</v>
      </c>
      <c r="AV1188" s="73">
        <f t="shared" si="461"/>
        <v>1.0068214933659623</v>
      </c>
      <c r="AW1188" s="74">
        <f>PRODUCT(AV$4:AV1188)</f>
        <v>3152.7290300759596</v>
      </c>
    </row>
    <row r="1189" spans="44:49">
      <c r="AR1189" s="69">
        <f t="shared" si="460"/>
        <v>99</v>
      </c>
      <c r="AS1189" s="70">
        <f t="shared" si="462"/>
        <v>1186</v>
      </c>
      <c r="AT1189" s="71">
        <f t="shared" si="463"/>
        <v>2.9812097451165765E-4</v>
      </c>
      <c r="AU1189" s="72">
        <f t="shared" si="459"/>
        <v>6.8214933659622723E-3</v>
      </c>
      <c r="AV1189" s="73">
        <f t="shared" si="461"/>
        <v>1.0068214933659623</v>
      </c>
      <c r="AW1189" s="74">
        <f>PRODUCT(AV$4:AV1189)</f>
        <v>3174.2353502392994</v>
      </c>
    </row>
    <row r="1190" spans="44:49">
      <c r="AR1190" s="69">
        <f t="shared" si="460"/>
        <v>99</v>
      </c>
      <c r="AS1190" s="70">
        <f t="shared" si="462"/>
        <v>1187</v>
      </c>
      <c r="AT1190" s="71">
        <f t="shared" si="463"/>
        <v>2.9608734426177219E-4</v>
      </c>
      <c r="AU1190" s="72">
        <f t="shared" si="459"/>
        <v>6.8214933659622723E-3</v>
      </c>
      <c r="AV1190" s="73">
        <f t="shared" si="461"/>
        <v>1.0068214933659623</v>
      </c>
      <c r="AW1190" s="74">
        <f>PRODUCT(AV$4:AV1190)</f>
        <v>3195.8883756229598</v>
      </c>
    </row>
    <row r="1191" spans="44:49">
      <c r="AR1191" s="69">
        <f t="shared" si="460"/>
        <v>99</v>
      </c>
      <c r="AS1191" s="70">
        <f t="shared" si="462"/>
        <v>1188</v>
      </c>
      <c r="AT1191" s="71">
        <f t="shared" si="463"/>
        <v>2.9406758640714513E-4</v>
      </c>
      <c r="AU1191" s="72">
        <f t="shared" si="459"/>
        <v>6.8214933659622723E-3</v>
      </c>
      <c r="AV1191" s="73">
        <f t="shared" si="461"/>
        <v>1.0068214933659623</v>
      </c>
      <c r="AW1191" s="74">
        <f>PRODUCT(AV$4:AV1191)</f>
        <v>3217.6891069756275</v>
      </c>
    </row>
    <row r="1192" spans="44:49">
      <c r="AR1192" s="69">
        <f t="shared" si="460"/>
        <v>100</v>
      </c>
      <c r="AS1192" s="70">
        <f t="shared" si="462"/>
        <v>1189</v>
      </c>
      <c r="AT1192" s="71">
        <f t="shared" si="463"/>
        <v>2.9206160631732424E-4</v>
      </c>
      <c r="AU1192" s="72">
        <f t="shared" si="459"/>
        <v>6.8214933659622723E-3</v>
      </c>
      <c r="AV1192" s="73">
        <f t="shared" si="461"/>
        <v>1.0068214933659623</v>
      </c>
      <c r="AW1192" s="74">
        <f>PRODUCT(AV$4:AV1192)</f>
        <v>3239.6385518725906</v>
      </c>
    </row>
    <row r="1193" spans="44:49">
      <c r="AR1193" s="69">
        <f t="shared" si="460"/>
        <v>100</v>
      </c>
      <c r="AS1193" s="70">
        <f t="shared" si="462"/>
        <v>1190</v>
      </c>
      <c r="AT1193" s="71">
        <f t="shared" si="463"/>
        <v>2.9006931000737833E-4</v>
      </c>
      <c r="AU1193" s="72">
        <f t="shared" si="459"/>
        <v>6.8214933659622723E-3</v>
      </c>
      <c r="AV1193" s="73">
        <f t="shared" si="461"/>
        <v>1.0068214933659623</v>
      </c>
      <c r="AW1193" s="74">
        <f>PRODUCT(AV$4:AV1193)</f>
        <v>3261.7377247623049</v>
      </c>
    </row>
    <row r="1194" spans="44:49">
      <c r="AR1194" s="69">
        <f t="shared" si="460"/>
        <v>100</v>
      </c>
      <c r="AS1194" s="70">
        <f t="shared" si="462"/>
        <v>1191</v>
      </c>
      <c r="AT1194" s="71">
        <f t="shared" si="463"/>
        <v>2.8809060413349373E-4</v>
      </c>
      <c r="AU1194" s="72">
        <f t="shared" si="459"/>
        <v>6.8214933659622723E-3</v>
      </c>
      <c r="AV1194" s="73">
        <f t="shared" si="461"/>
        <v>1.0068214933659623</v>
      </c>
      <c r="AW1194" s="74">
        <f>PRODUCT(AV$4:AV1194)</f>
        <v>3283.9876470132799</v>
      </c>
    </row>
    <row r="1195" spans="44:49">
      <c r="AR1195" s="69">
        <f t="shared" si="460"/>
        <v>100</v>
      </c>
      <c r="AS1195" s="70">
        <f t="shared" si="462"/>
        <v>1192</v>
      </c>
      <c r="AT1195" s="71">
        <f t="shared" si="463"/>
        <v>2.8612539598860104E-4</v>
      </c>
      <c r="AU1195" s="72">
        <f t="shared" si="459"/>
        <v>6.8214933659622723E-3</v>
      </c>
      <c r="AV1195" s="73">
        <f t="shared" si="461"/>
        <v>1.0068214933659623</v>
      </c>
      <c r="AW1195" s="74">
        <f>PRODUCT(AV$4:AV1195)</f>
        <v>3306.3893469612831</v>
      </c>
    </row>
    <row r="1196" spans="44:49">
      <c r="AR1196" s="69">
        <f t="shared" si="460"/>
        <v>100</v>
      </c>
      <c r="AS1196" s="70">
        <f t="shared" si="462"/>
        <v>1193</v>
      </c>
      <c r="AT1196" s="71">
        <f t="shared" si="463"/>
        <v>2.8417359349803146E-4</v>
      </c>
      <c r="AU1196" s="72">
        <f t="shared" si="459"/>
        <v>6.8214933659622723E-3</v>
      </c>
      <c r="AV1196" s="73">
        <f t="shared" si="461"/>
        <v>1.0068214933659623</v>
      </c>
      <c r="AW1196" s="74">
        <f>PRODUCT(AV$4:AV1196)</f>
        <v>3328.943859956868</v>
      </c>
    </row>
    <row r="1197" spans="44:49">
      <c r="AR1197" s="69">
        <f t="shared" si="460"/>
        <v>100</v>
      </c>
      <c r="AS1197" s="70">
        <f t="shared" si="462"/>
        <v>1194</v>
      </c>
      <c r="AT1197" s="71">
        <f t="shared" si="463"/>
        <v>2.8223510521520296E-4</v>
      </c>
      <c r="AU1197" s="72">
        <f t="shared" si="459"/>
        <v>6.8214933659622723E-3</v>
      </c>
      <c r="AV1197" s="73">
        <f t="shared" si="461"/>
        <v>1.0068214933659623</v>
      </c>
      <c r="AW1197" s="74">
        <f>PRODUCT(AV$4:AV1197)</f>
        <v>3351.6522284132247</v>
      </c>
    </row>
    <row r="1198" spans="44:49">
      <c r="AR1198" s="69">
        <f t="shared" si="460"/>
        <v>100</v>
      </c>
      <c r="AS1198" s="70">
        <f t="shared" si="462"/>
        <v>1195</v>
      </c>
      <c r="AT1198" s="71">
        <f t="shared" si="463"/>
        <v>2.803098403173358E-4</v>
      </c>
      <c r="AU1198" s="72">
        <f t="shared" si="459"/>
        <v>6.8214933659622723E-3</v>
      </c>
      <c r="AV1198" s="73">
        <f t="shared" si="461"/>
        <v>1.0068214933659623</v>
      </c>
      <c r="AW1198" s="74">
        <f>PRODUCT(AV$4:AV1198)</f>
        <v>3374.5155018543583</v>
      </c>
    </row>
    <row r="1199" spans="44:49">
      <c r="AR1199" s="69">
        <f t="shared" si="460"/>
        <v>100</v>
      </c>
      <c r="AS1199" s="70">
        <f t="shared" si="462"/>
        <v>1196</v>
      </c>
      <c r="AT1199" s="71">
        <f t="shared" si="463"/>
        <v>2.7839770860119714E-4</v>
      </c>
      <c r="AU1199" s="72">
        <f t="shared" si="459"/>
        <v>6.8214933659622723E-3</v>
      </c>
      <c r="AV1199" s="73">
        <f t="shared" si="461"/>
        <v>1.0068214933659623</v>
      </c>
      <c r="AW1199" s="74">
        <f>PRODUCT(AV$4:AV1199)</f>
        <v>3397.5347369635947</v>
      </c>
    </row>
    <row r="1200" spans="44:49">
      <c r="AR1200" s="69">
        <f t="shared" si="460"/>
        <v>100</v>
      </c>
      <c r="AS1200" s="70">
        <f t="shared" si="462"/>
        <v>1197</v>
      </c>
      <c r="AT1200" s="71">
        <f t="shared" si="463"/>
        <v>2.7649862047887495E-4</v>
      </c>
      <c r="AU1200" s="72">
        <f t="shared" si="459"/>
        <v>6.8214933659622723E-3</v>
      </c>
      <c r="AV1200" s="73">
        <f t="shared" si="461"/>
        <v>1.0068214933659623</v>
      </c>
      <c r="AW1200" s="74">
        <f>PRODUCT(AV$4:AV1200)</f>
        <v>3420.7109976324182</v>
      </c>
    </row>
    <row r="1201" spans="44:49">
      <c r="AR1201" s="69">
        <f t="shared" si="460"/>
        <v>100</v>
      </c>
      <c r="AS1201" s="70">
        <f t="shared" si="462"/>
        <v>1198</v>
      </c>
      <c r="AT1201" s="71">
        <f t="shared" si="463"/>
        <v>2.7461248697358058E-4</v>
      </c>
      <c r="AU1201" s="72">
        <f t="shared" si="459"/>
        <v>6.8214933659622723E-3</v>
      </c>
      <c r="AV1201" s="73">
        <f t="shared" si="461"/>
        <v>1.0068214933659623</v>
      </c>
      <c r="AW1201" s="74">
        <f>PRODUCT(AV$4:AV1201)</f>
        <v>3444.0453550096418</v>
      </c>
    </row>
    <row r="1202" spans="44:49">
      <c r="AR1202" s="69">
        <f t="shared" si="460"/>
        <v>100</v>
      </c>
      <c r="AS1202" s="70">
        <f t="shared" si="462"/>
        <v>1199</v>
      </c>
      <c r="AT1202" s="71">
        <f t="shared" si="463"/>
        <v>2.7273921971547989E-4</v>
      </c>
      <c r="AU1202" s="72">
        <f t="shared" si="459"/>
        <v>6.8214933659622723E-3</v>
      </c>
      <c r="AV1202" s="73">
        <f t="shared" si="461"/>
        <v>1.0068214933659623</v>
      </c>
      <c r="AW1202" s="74">
        <f>PRODUCT(AV$4:AV1202)</f>
        <v>3467.5388875509134</v>
      </c>
    </row>
    <row r="1203" spans="44:49">
      <c r="AR1203" s="69">
        <f t="shared" si="460"/>
        <v>100</v>
      </c>
      <c r="AS1203" s="70">
        <f t="shared" si="462"/>
        <v>1200</v>
      </c>
      <c r="AT1203" s="71">
        <f t="shared" si="463"/>
        <v>2.70878730937553E-4</v>
      </c>
      <c r="AU1203" s="72">
        <f t="shared" si="459"/>
        <v>6.8214933659622723E-3</v>
      </c>
      <c r="AV1203" s="73">
        <f t="shared" si="461"/>
        <v>1.0068214933659623</v>
      </c>
      <c r="AW1203" s="74">
        <f>PRODUCT(AV$4:AV1203)</f>
        <v>3491.1926810685582</v>
      </c>
    </row>
    <row r="1204" spans="44:49">
      <c r="AR1204" s="69">
        <f t="shared" si="460"/>
        <v>101</v>
      </c>
      <c r="AS1204" s="70">
        <f t="shared" si="462"/>
        <v>1201</v>
      </c>
      <c r="AT1204" s="71">
        <f t="shared" si="463"/>
        <v>2.690309334714822E-4</v>
      </c>
      <c r="AU1204" s="72">
        <f t="shared" si="459"/>
        <v>6.8214933659622723E-3</v>
      </c>
      <c r="AV1204" s="73">
        <f t="shared" si="461"/>
        <v>1.0068214933659623</v>
      </c>
      <c r="AW1204" s="74">
        <f>PRODUCT(AV$4:AV1204)</f>
        <v>3515.0078287817632</v>
      </c>
    </row>
    <row r="1205" spans="44:49">
      <c r="AR1205" s="69">
        <f t="shared" si="460"/>
        <v>101</v>
      </c>
      <c r="AS1205" s="70">
        <f t="shared" si="462"/>
        <v>1202</v>
      </c>
      <c r="AT1205" s="71">
        <f t="shared" si="463"/>
        <v>2.6719574074356785E-4</v>
      </c>
      <c r="AU1205" s="72">
        <f t="shared" si="459"/>
        <v>6.8214933659622723E-3</v>
      </c>
      <c r="AV1205" s="73">
        <f t="shared" si="461"/>
        <v>1.0068214933659623</v>
      </c>
      <c r="AW1205" s="74">
        <f>PRODUCT(AV$4:AV1205)</f>
        <v>3538.9854313671035</v>
      </c>
    </row>
    <row r="1206" spans="44:49">
      <c r="AR1206" s="69">
        <f t="shared" si="460"/>
        <v>101</v>
      </c>
      <c r="AS1206" s="70">
        <f t="shared" si="462"/>
        <v>1203</v>
      </c>
      <c r="AT1206" s="71">
        <f t="shared" si="463"/>
        <v>2.6537306677067222E-4</v>
      </c>
      <c r="AU1206" s="72">
        <f t="shared" si="459"/>
        <v>6.8214933659622723E-3</v>
      </c>
      <c r="AV1206" s="73">
        <f t="shared" si="461"/>
        <v>1.0068214933659623</v>
      </c>
      <c r="AW1206" s="74">
        <f>PRODUCT(AV$4:AV1206)</f>
        <v>3563.1265970094114</v>
      </c>
    </row>
    <row r="1207" spans="44:49">
      <c r="AR1207" s="69">
        <f t="shared" si="460"/>
        <v>101</v>
      </c>
      <c r="AS1207" s="70">
        <f t="shared" si="462"/>
        <v>1204</v>
      </c>
      <c r="AT1207" s="71">
        <f t="shared" si="463"/>
        <v>2.6356282615619105E-4</v>
      </c>
      <c r="AU1207" s="72">
        <f t="shared" si="459"/>
        <v>6.8214933659622723E-3</v>
      </c>
      <c r="AV1207" s="73">
        <f t="shared" si="461"/>
        <v>1.0068214933659623</v>
      </c>
      <c r="AW1207" s="74">
        <f>PRODUCT(AV$4:AV1207)</f>
        <v>3587.4324414529947</v>
      </c>
    </row>
    <row r="1208" spans="44:49">
      <c r="AR1208" s="69">
        <f t="shared" si="460"/>
        <v>101</v>
      </c>
      <c r="AS1208" s="70">
        <f t="shared" si="462"/>
        <v>1205</v>
      </c>
      <c r="AT1208" s="71">
        <f t="shared" si="463"/>
        <v>2.6176493408605232E-4</v>
      </c>
      <c r="AU1208" s="72">
        <f t="shared" si="459"/>
        <v>6.8214933659622723E-3</v>
      </c>
      <c r="AV1208" s="73">
        <f t="shared" si="461"/>
        <v>1.0068214933659623</v>
      </c>
      <c r="AW1208" s="74">
        <f>PRODUCT(AV$4:AV1208)</f>
        <v>3611.9040880532043</v>
      </c>
    </row>
    <row r="1209" spans="44:49">
      <c r="AR1209" s="69">
        <f t="shared" si="460"/>
        <v>101</v>
      </c>
      <c r="AS1209" s="70">
        <f t="shared" si="462"/>
        <v>1206</v>
      </c>
      <c r="AT1209" s="71">
        <f t="shared" si="463"/>
        <v>2.5997930632474278E-4</v>
      </c>
      <c r="AU1209" s="72">
        <f t="shared" si="459"/>
        <v>6.8214933659622723E-3</v>
      </c>
      <c r="AV1209" s="73">
        <f t="shared" si="461"/>
        <v>1.0068214933659623</v>
      </c>
      <c r="AW1209" s="74">
        <f>PRODUCT(AV$4:AV1209)</f>
        <v>3636.5426678283511</v>
      </c>
    </row>
    <row r="1210" spans="44:49">
      <c r="AR1210" s="69">
        <f t="shared" si="460"/>
        <v>101</v>
      </c>
      <c r="AS1210" s="70">
        <f t="shared" si="462"/>
        <v>1207</v>
      </c>
      <c r="AT1210" s="71">
        <f t="shared" si="463"/>
        <v>2.5820585921136109E-4</v>
      </c>
      <c r="AU1210" s="72">
        <f t="shared" si="459"/>
        <v>6.8214933659622723E-3</v>
      </c>
      <c r="AV1210" s="73">
        <f t="shared" si="461"/>
        <v>1.0068214933659623</v>
      </c>
      <c r="AW1210" s="74">
        <f>PRODUCT(AV$4:AV1210)</f>
        <v>3661.3493195119809</v>
      </c>
    </row>
    <row r="1211" spans="44:49">
      <c r="AR1211" s="69">
        <f t="shared" si="460"/>
        <v>101</v>
      </c>
      <c r="AS1211" s="70">
        <f t="shared" si="462"/>
        <v>1208</v>
      </c>
      <c r="AT1211" s="71">
        <f t="shared" si="463"/>
        <v>2.5644450965569822E-4</v>
      </c>
      <c r="AU1211" s="72">
        <f t="shared" si="459"/>
        <v>6.8214933659622723E-3</v>
      </c>
      <c r="AV1211" s="73">
        <f t="shared" si="461"/>
        <v>1.0068214933659623</v>
      </c>
      <c r="AW1211" s="74">
        <f>PRODUCT(AV$4:AV1211)</f>
        <v>3686.3251896055021</v>
      </c>
    </row>
    <row r="1212" spans="44:49">
      <c r="AR1212" s="69">
        <f t="shared" si="460"/>
        <v>101</v>
      </c>
      <c r="AS1212" s="70">
        <f t="shared" si="462"/>
        <v>1209</v>
      </c>
      <c r="AT1212" s="71">
        <f t="shared" si="463"/>
        <v>2.546951751343444E-4</v>
      </c>
      <c r="AU1212" s="72">
        <f t="shared" si="459"/>
        <v>6.8214933659622723E-3</v>
      </c>
      <c r="AV1212" s="73">
        <f t="shared" si="461"/>
        <v>1.0068214933659623</v>
      </c>
      <c r="AW1212" s="74">
        <f>PRODUCT(AV$4:AV1212)</f>
        <v>3711.4714324311758</v>
      </c>
    </row>
    <row r="1213" spans="44:49">
      <c r="AR1213" s="69">
        <f t="shared" si="460"/>
        <v>101</v>
      </c>
      <c r="AS1213" s="70">
        <f t="shared" si="462"/>
        <v>1210</v>
      </c>
      <c r="AT1213" s="71">
        <f t="shared" si="463"/>
        <v>2.5295777368682288E-4</v>
      </c>
      <c r="AU1213" s="72">
        <f t="shared" si="459"/>
        <v>6.8214933659622723E-3</v>
      </c>
      <c r="AV1213" s="73">
        <f t="shared" si="461"/>
        <v>1.0068214933659623</v>
      </c>
      <c r="AW1213" s="74">
        <f>PRODUCT(AV$4:AV1213)</f>
        <v>3736.7892101854636</v>
      </c>
    </row>
    <row r="1214" spans="44:49">
      <c r="AR1214" s="69">
        <f t="shared" si="460"/>
        <v>101</v>
      </c>
      <c r="AS1214" s="70">
        <f t="shared" si="462"/>
        <v>1211</v>
      </c>
      <c r="AT1214" s="71">
        <f t="shared" si="463"/>
        <v>2.5123222391174965E-4</v>
      </c>
      <c r="AU1214" s="72">
        <f t="shared" si="459"/>
        <v>6.8214933659622723E-3</v>
      </c>
      <c r="AV1214" s="73">
        <f t="shared" si="461"/>
        <v>1.0068214933659623</v>
      </c>
      <c r="AW1214" s="74">
        <f>PRODUCT(AV$4:AV1214)</f>
        <v>3762.2796929927431</v>
      </c>
    </row>
    <row r="1215" spans="44:49">
      <c r="AR1215" s="69">
        <f t="shared" si="460"/>
        <v>101</v>
      </c>
      <c r="AS1215" s="70">
        <f t="shared" si="462"/>
        <v>1212</v>
      </c>
      <c r="AT1215" s="71">
        <f t="shared" si="463"/>
        <v>2.4951844496301972E-4</v>
      </c>
      <c r="AU1215" s="72">
        <f t="shared" si="459"/>
        <v>6.8214933659622723E-3</v>
      </c>
      <c r="AV1215" s="73">
        <f t="shared" si="461"/>
        <v>1.0068214933659623</v>
      </c>
      <c r="AW1215" s="74">
        <f>PRODUCT(AV$4:AV1215)</f>
        <v>3787.9440589593878</v>
      </c>
    </row>
    <row r="1216" spans="44:49">
      <c r="AR1216" s="69">
        <f t="shared" si="460"/>
        <v>102</v>
      </c>
      <c r="AS1216" s="70">
        <f t="shared" si="462"/>
        <v>1213</v>
      </c>
      <c r="AT1216" s="71">
        <f t="shared" si="463"/>
        <v>2.4781635654601926E-4</v>
      </c>
      <c r="AU1216" s="72">
        <f t="shared" si="459"/>
        <v>6.8214933659622723E-3</v>
      </c>
      <c r="AV1216" s="73">
        <f t="shared" si="461"/>
        <v>1.0068214933659623</v>
      </c>
      <c r="AW1216" s="74">
        <f>PRODUCT(AV$4:AV1216)</f>
        <v>3813.7834942282157</v>
      </c>
    </row>
    <row r="1217" spans="44:49">
      <c r="AR1217" s="69">
        <f t="shared" si="460"/>
        <v>102</v>
      </c>
      <c r="AS1217" s="70">
        <f t="shared" si="462"/>
        <v>1214</v>
      </c>
      <c r="AT1217" s="71">
        <f t="shared" si="463"/>
        <v>2.4612587891386365E-4</v>
      </c>
      <c r="AU1217" s="72">
        <f t="shared" si="459"/>
        <v>6.8214933659622723E-3</v>
      </c>
      <c r="AV1217" s="73">
        <f t="shared" si="461"/>
        <v>1.0068214933659623</v>
      </c>
      <c r="AW1217" s="74">
        <f>PRODUCT(AV$4:AV1217)</f>
        <v>3839.7991930333096</v>
      </c>
    </row>
    <row r="1218" spans="44:49">
      <c r="AR1218" s="69">
        <f t="shared" si="460"/>
        <v>102</v>
      </c>
      <c r="AS1218" s="70">
        <f t="shared" si="462"/>
        <v>1215</v>
      </c>
      <c r="AT1218" s="71">
        <f t="shared" si="463"/>
        <v>2.444469328636611E-4</v>
      </c>
      <c r="AU1218" s="72">
        <f t="shared" si="459"/>
        <v>6.8214933659622723E-3</v>
      </c>
      <c r="AV1218" s="73">
        <f t="shared" si="461"/>
        <v>1.0068214933659623</v>
      </c>
      <c r="AW1218" s="74">
        <f>PRODUCT(AV$4:AV1218)</f>
        <v>3865.9923577552136</v>
      </c>
    </row>
    <row r="1219" spans="44:49">
      <c r="AR1219" s="69">
        <f t="shared" si="460"/>
        <v>102</v>
      </c>
      <c r="AS1219" s="70">
        <f t="shared" si="462"/>
        <v>1216</v>
      </c>
      <c r="AT1219" s="71">
        <f t="shared" si="463"/>
        <v>2.4277943973280181E-4</v>
      </c>
      <c r="AU1219" s="72">
        <f t="shared" si="459"/>
        <v>6.8214933659622723E-3</v>
      </c>
      <c r="AV1219" s="73">
        <f t="shared" si="461"/>
        <v>1.0068214933659623</v>
      </c>
      <c r="AW1219" s="74">
        <f>PRODUCT(AV$4:AV1219)</f>
        <v>3892.3641989765015</v>
      </c>
    </row>
    <row r="1220" spans="44:49">
      <c r="AR1220" s="69">
        <f t="shared" si="460"/>
        <v>102</v>
      </c>
      <c r="AS1220" s="70">
        <f t="shared" si="462"/>
        <v>1217</v>
      </c>
      <c r="AT1220" s="71">
        <f t="shared" si="463"/>
        <v>2.4112332139527247E-4</v>
      </c>
      <c r="AU1220" s="72">
        <f t="shared" ref="AU1220:AU1283" si="464">((1+$AH$21)^(1/12))-1</f>
        <v>6.8214933659622723E-3</v>
      </c>
      <c r="AV1220" s="73">
        <f t="shared" si="461"/>
        <v>1.0068214933659623</v>
      </c>
      <c r="AW1220" s="74">
        <f>PRODUCT(AV$4:AV1220)</f>
        <v>3918.9159355377287</v>
      </c>
    </row>
    <row r="1221" spans="44:49">
      <c r="AR1221" s="69">
        <f t="shared" ref="AR1221:AR1284" si="465">ROUNDDOWN((AS1221-1)/12,0)+1</f>
        <v>102</v>
      </c>
      <c r="AS1221" s="70">
        <f t="shared" si="462"/>
        <v>1218</v>
      </c>
      <c r="AT1221" s="71">
        <f t="shared" si="463"/>
        <v>2.3947850025799584E-4</v>
      </c>
      <c r="AU1221" s="72">
        <f t="shared" si="464"/>
        <v>6.8214933659622723E-3</v>
      </c>
      <c r="AV1221" s="73">
        <f t="shared" ref="AV1221:AV1284" si="466">(1+AU1221)</f>
        <v>1.0068214933659623</v>
      </c>
      <c r="AW1221" s="74">
        <f>PRODUCT(AV$4:AV1221)</f>
        <v>3945.6487945937633</v>
      </c>
    </row>
    <row r="1222" spans="44:49">
      <c r="AR1222" s="69">
        <f t="shared" si="465"/>
        <v>102</v>
      </c>
      <c r="AS1222" s="70">
        <f t="shared" ref="AS1222:AS1285" si="467">AS1221+1</f>
        <v>1219</v>
      </c>
      <c r="AT1222" s="71">
        <f t="shared" ref="AT1222:AT1285" si="468">(1-AU1222)*AT1221</f>
        <v>2.3784489925719531E-4</v>
      </c>
      <c r="AU1222" s="72">
        <f t="shared" si="464"/>
        <v>6.8214933659622723E-3</v>
      </c>
      <c r="AV1222" s="73">
        <f t="shared" si="466"/>
        <v>1.0068214933659623</v>
      </c>
      <c r="AW1222" s="74">
        <f>PRODUCT(AV$4:AV1222)</f>
        <v>3972.5640116705017</v>
      </c>
    </row>
    <row r="1223" spans="44:49">
      <c r="AR1223" s="69">
        <f t="shared" si="465"/>
        <v>102</v>
      </c>
      <c r="AS1223" s="70">
        <f t="shared" si="467"/>
        <v>1220</v>
      </c>
      <c r="AT1223" s="71">
        <f t="shared" si="468"/>
        <v>2.3622244185478439E-4</v>
      </c>
      <c r="AU1223" s="72">
        <f t="shared" si="464"/>
        <v>6.8214933659622723E-3</v>
      </c>
      <c r="AV1223" s="73">
        <f t="shared" si="466"/>
        <v>1.0068214933659623</v>
      </c>
      <c r="AW1223" s="74">
        <f>PRODUCT(AV$4:AV1223)</f>
        <v>3999.6628307219726</v>
      </c>
    </row>
    <row r="1224" spans="44:49">
      <c r="AR1224" s="69">
        <f t="shared" si="465"/>
        <v>102</v>
      </c>
      <c r="AS1224" s="70">
        <f t="shared" si="467"/>
        <v>1221</v>
      </c>
      <c r="AT1224" s="71">
        <f t="shared" si="468"/>
        <v>2.3461105203478056E-4</v>
      </c>
      <c r="AU1224" s="72">
        <f t="shared" si="464"/>
        <v>6.8214933659622723E-3</v>
      </c>
      <c r="AV1224" s="73">
        <f t="shared" si="466"/>
        <v>1.0068214933659623</v>
      </c>
      <c r="AW1224" s="74">
        <f>PRODUCT(AV$4:AV1224)</f>
        <v>4026.9465041878284</v>
      </c>
    </row>
    <row r="1225" spans="44:49">
      <c r="AR1225" s="69">
        <f t="shared" si="465"/>
        <v>102</v>
      </c>
      <c r="AS1225" s="70">
        <f t="shared" si="467"/>
        <v>1222</v>
      </c>
      <c r="AT1225" s="71">
        <f t="shared" si="468"/>
        <v>2.3301065429974388E-4</v>
      </c>
      <c r="AU1225" s="72">
        <f t="shared" si="464"/>
        <v>6.8214933659622723E-3</v>
      </c>
      <c r="AV1225" s="73">
        <f t="shared" si="466"/>
        <v>1.0068214933659623</v>
      </c>
      <c r="AW1225" s="74">
        <f>PRODUCT(AV$4:AV1225)</f>
        <v>4054.4162930512307</v>
      </c>
    </row>
    <row r="1226" spans="44:49">
      <c r="AR1226" s="69">
        <f t="shared" si="465"/>
        <v>102</v>
      </c>
      <c r="AS1226" s="70">
        <f t="shared" si="467"/>
        <v>1223</v>
      </c>
      <c r="AT1226" s="71">
        <f t="shared" si="468"/>
        <v>2.3142117366723965E-4</v>
      </c>
      <c r="AU1226" s="72">
        <f t="shared" si="464"/>
        <v>6.8214933659622723E-3</v>
      </c>
      <c r="AV1226" s="73">
        <f t="shared" si="466"/>
        <v>1.0068214933659623</v>
      </c>
      <c r="AW1226" s="74">
        <f>PRODUCT(AV$4:AV1226)</f>
        <v>4082.073466897129</v>
      </c>
    </row>
    <row r="1227" spans="44:49">
      <c r="AR1227" s="69">
        <f t="shared" si="465"/>
        <v>102</v>
      </c>
      <c r="AS1227" s="70">
        <f t="shared" si="467"/>
        <v>1224</v>
      </c>
      <c r="AT1227" s="71">
        <f t="shared" si="468"/>
        <v>2.2984253566632538E-4</v>
      </c>
      <c r="AU1227" s="72">
        <f t="shared" si="464"/>
        <v>6.8214933659622723E-3</v>
      </c>
      <c r="AV1227" s="73">
        <f t="shared" si="466"/>
        <v>1.0068214933659623</v>
      </c>
      <c r="AW1227" s="74">
        <f>PRODUCT(AV$4:AV1227)</f>
        <v>4109.919303970938</v>
      </c>
    </row>
    <row r="1228" spans="44:49">
      <c r="AR1228" s="69">
        <f t="shared" si="465"/>
        <v>103</v>
      </c>
      <c r="AS1228" s="70">
        <f t="shared" si="467"/>
        <v>1225</v>
      </c>
      <c r="AT1228" s="71">
        <f t="shared" si="468"/>
        <v>2.2827466633406159E-4</v>
      </c>
      <c r="AU1228" s="72">
        <f t="shared" si="464"/>
        <v>6.8214933659622723E-3</v>
      </c>
      <c r="AV1228" s="73">
        <f t="shared" si="466"/>
        <v>1.0068214933659623</v>
      </c>
      <c r="AW1228" s="74">
        <f>PRODUCT(AV$4:AV1228)</f>
        <v>4137.9550912376162</v>
      </c>
    </row>
    <row r="1229" spans="44:49">
      <c r="AR1229" s="69">
        <f t="shared" si="465"/>
        <v>103</v>
      </c>
      <c r="AS1229" s="70">
        <f t="shared" si="467"/>
        <v>1226</v>
      </c>
      <c r="AT1229" s="71">
        <f t="shared" si="468"/>
        <v>2.2671749221204654E-4</v>
      </c>
      <c r="AU1229" s="72">
        <f t="shared" si="464"/>
        <v>6.8214933659622723E-3</v>
      </c>
      <c r="AV1229" s="73">
        <f t="shared" si="466"/>
        <v>1.0068214933659623</v>
      </c>
      <c r="AW1229" s="74">
        <f>PRODUCT(AV$4:AV1229)</f>
        <v>4166.1821244411431</v>
      </c>
    </row>
    <row r="1230" spans="44:49">
      <c r="AR1230" s="69">
        <f t="shared" si="465"/>
        <v>103</v>
      </c>
      <c r="AS1230" s="70">
        <f t="shared" si="467"/>
        <v>1227</v>
      </c>
      <c r="AT1230" s="71">
        <f t="shared" si="468"/>
        <v>2.2517094034297445E-4</v>
      </c>
      <c r="AU1230" s="72">
        <f t="shared" si="464"/>
        <v>6.8214933659622723E-3</v>
      </c>
      <c r="AV1230" s="73">
        <f t="shared" si="466"/>
        <v>1.0068214933659623</v>
      </c>
      <c r="AW1230" s="74">
        <f>PRODUCT(AV$4:AV1230)</f>
        <v>4194.6017081644086</v>
      </c>
    </row>
    <row r="1231" spans="44:49">
      <c r="AR1231" s="69">
        <f t="shared" si="465"/>
        <v>103</v>
      </c>
      <c r="AS1231" s="70">
        <f t="shared" si="467"/>
        <v>1228</v>
      </c>
      <c r="AT1231" s="71">
        <f t="shared" si="468"/>
        <v>2.2363493826721737E-4</v>
      </c>
      <c r="AU1231" s="72">
        <f t="shared" si="464"/>
        <v>6.8214933659622723E-3</v>
      </c>
      <c r="AV1231" s="73">
        <f t="shared" si="466"/>
        <v>1.0068214933659623</v>
      </c>
      <c r="AW1231" s="74">
        <f>PRODUCT(AV$4:AV1231)</f>
        <v>4223.2151558895057</v>
      </c>
    </row>
    <row r="1232" spans="44:49">
      <c r="AR1232" s="69">
        <f t="shared" si="465"/>
        <v>103</v>
      </c>
      <c r="AS1232" s="70">
        <f t="shared" si="467"/>
        <v>1229</v>
      </c>
      <c r="AT1232" s="71">
        <f t="shared" si="468"/>
        <v>2.2210941401943016E-4</v>
      </c>
      <c r="AU1232" s="72">
        <f t="shared" si="464"/>
        <v>6.8214933659622723E-3</v>
      </c>
      <c r="AV1232" s="73">
        <f t="shared" si="466"/>
        <v>1.0068214933659623</v>
      </c>
      <c r="AW1232" s="74">
        <f>PRODUCT(AV$4:AV1232)</f>
        <v>4252.023790058437</v>
      </c>
    </row>
    <row r="1233" spans="44:49">
      <c r="AR1233" s="69">
        <f t="shared" si="465"/>
        <v>103</v>
      </c>
      <c r="AS1233" s="70">
        <f t="shared" si="467"/>
        <v>1230</v>
      </c>
      <c r="AT1233" s="71">
        <f t="shared" si="468"/>
        <v>2.2059429612517886E-4</v>
      </c>
      <c r="AU1233" s="72">
        <f t="shared" si="464"/>
        <v>6.8214933659622723E-3</v>
      </c>
      <c r="AV1233" s="73">
        <f t="shared" si="466"/>
        <v>1.0068214933659623</v>
      </c>
      <c r="AW1233" s="74">
        <f>PRODUCT(AV$4:AV1233)</f>
        <v>4281.0289421342341</v>
      </c>
    </row>
    <row r="1234" spans="44:49">
      <c r="AR1234" s="69">
        <f t="shared" si="465"/>
        <v>103</v>
      </c>
      <c r="AS1234" s="70">
        <f t="shared" si="467"/>
        <v>1231</v>
      </c>
      <c r="AT1234" s="71">
        <f t="shared" si="468"/>
        <v>2.1908951359759184E-4</v>
      </c>
      <c r="AU1234" s="72">
        <f t="shared" si="464"/>
        <v>6.8214933659622723E-3</v>
      </c>
      <c r="AV1234" s="73">
        <f t="shared" si="466"/>
        <v>1.0068214933659623</v>
      </c>
      <c r="AW1234" s="74">
        <f>PRODUCT(AV$4:AV1234)</f>
        <v>4310.2319526624951</v>
      </c>
    </row>
    <row r="1235" spans="44:49">
      <c r="AR1235" s="69">
        <f t="shared" si="465"/>
        <v>103</v>
      </c>
      <c r="AS1235" s="70">
        <f t="shared" si="467"/>
        <v>1232</v>
      </c>
      <c r="AT1235" s="71">
        <f t="shared" si="468"/>
        <v>2.1759499593403396E-4</v>
      </c>
      <c r="AU1235" s="72">
        <f t="shared" si="464"/>
        <v>6.8214933659622723E-3</v>
      </c>
      <c r="AV1235" s="73">
        <f t="shared" si="466"/>
        <v>1.0068214933659623</v>
      </c>
      <c r="AW1235" s="74">
        <f>PRODUCT(AV$4:AV1235)</f>
        <v>4339.6341713333413</v>
      </c>
    </row>
    <row r="1236" spans="44:49">
      <c r="AR1236" s="69">
        <f t="shared" si="465"/>
        <v>103</v>
      </c>
      <c r="AS1236" s="70">
        <f t="shared" si="467"/>
        <v>1233</v>
      </c>
      <c r="AT1236" s="71">
        <f t="shared" si="468"/>
        <v>2.1611067311280336E-4</v>
      </c>
      <c r="AU1236" s="72">
        <f t="shared" si="464"/>
        <v>6.8214933659622723E-3</v>
      </c>
      <c r="AV1236" s="73">
        <f t="shared" si="466"/>
        <v>1.0068214933659623</v>
      </c>
      <c r="AW1236" s="74">
        <f>PRODUCT(AV$4:AV1236)</f>
        <v>4369.236957043795</v>
      </c>
    </row>
    <row r="1237" spans="44:49">
      <c r="AR1237" s="69">
        <f t="shared" si="465"/>
        <v>103</v>
      </c>
      <c r="AS1237" s="70">
        <f t="shared" si="467"/>
        <v>1234</v>
      </c>
      <c r="AT1237" s="71">
        <f t="shared" si="468"/>
        <v>2.1463647558985074E-4</v>
      </c>
      <c r="AU1237" s="72">
        <f t="shared" si="464"/>
        <v>6.8214933659622723E-3</v>
      </c>
      <c r="AV1237" s="73">
        <f t="shared" si="466"/>
        <v>1.0068214933659623</v>
      </c>
      <c r="AW1237" s="74">
        <f>PRODUCT(AV$4:AV1237)</f>
        <v>4399.0416779605866</v>
      </c>
    </row>
    <row r="1238" spans="44:49">
      <c r="AR1238" s="69">
        <f t="shared" si="465"/>
        <v>103</v>
      </c>
      <c r="AS1238" s="70">
        <f t="shared" si="467"/>
        <v>1235</v>
      </c>
      <c r="AT1238" s="71">
        <f t="shared" si="468"/>
        <v>2.1317233429552106E-4</v>
      </c>
      <c r="AU1238" s="72">
        <f t="shared" si="464"/>
        <v>6.8214933659622723E-3</v>
      </c>
      <c r="AV1238" s="73">
        <f t="shared" si="466"/>
        <v>1.0068214933659623</v>
      </c>
      <c r="AW1238" s="74">
        <f>PRODUCT(AV$4:AV1238)</f>
        <v>4429.0497115833859</v>
      </c>
    </row>
    <row r="1239" spans="44:49">
      <c r="AR1239" s="69">
        <f t="shared" si="465"/>
        <v>103</v>
      </c>
      <c r="AS1239" s="70">
        <f t="shared" si="467"/>
        <v>1236</v>
      </c>
      <c r="AT1239" s="71">
        <f t="shared" si="468"/>
        <v>2.1171818063131747E-4</v>
      </c>
      <c r="AU1239" s="72">
        <f t="shared" si="464"/>
        <v>6.8214933659622723E-3</v>
      </c>
      <c r="AV1239" s="73">
        <f t="shared" si="466"/>
        <v>1.0068214933659623</v>
      </c>
      <c r="AW1239" s="74">
        <f>PRODUCT(AV$4:AV1239)</f>
        <v>4459.2624448084689</v>
      </c>
    </row>
    <row r="1240" spans="44:49">
      <c r="AR1240" s="69">
        <f t="shared" si="465"/>
        <v>104</v>
      </c>
      <c r="AS1240" s="70">
        <f t="shared" si="467"/>
        <v>1237</v>
      </c>
      <c r="AT1240" s="71">
        <f t="shared" si="468"/>
        <v>2.1027394646668733E-4</v>
      </c>
      <c r="AU1240" s="72">
        <f t="shared" si="464"/>
        <v>6.8214933659622723E-3</v>
      </c>
      <c r="AV1240" s="73">
        <f t="shared" si="466"/>
        <v>1.0068214933659623</v>
      </c>
      <c r="AW1240" s="74">
        <f>PRODUCT(AV$4:AV1240)</f>
        <v>4489.6812739928146</v>
      </c>
    </row>
    <row r="1241" spans="44:49">
      <c r="AR1241" s="69">
        <f t="shared" si="465"/>
        <v>104</v>
      </c>
      <c r="AS1241" s="70">
        <f t="shared" si="467"/>
        <v>1238</v>
      </c>
      <c r="AT1241" s="71">
        <f t="shared" si="468"/>
        <v>2.0883956413583012E-4</v>
      </c>
      <c r="AU1241" s="72">
        <f t="shared" si="464"/>
        <v>6.8214933659622723E-3</v>
      </c>
      <c r="AV1241" s="73">
        <f t="shared" si="466"/>
        <v>1.0068214933659623</v>
      </c>
      <c r="AW1241" s="74">
        <f>PRODUCT(AV$4:AV1241)</f>
        <v>4520.3076050186419</v>
      </c>
    </row>
    <row r="1242" spans="44:49">
      <c r="AR1242" s="69">
        <f t="shared" si="465"/>
        <v>104</v>
      </c>
      <c r="AS1242" s="70">
        <f t="shared" si="467"/>
        <v>1239</v>
      </c>
      <c r="AT1242" s="71">
        <f t="shared" si="468"/>
        <v>2.0741496643452711E-4</v>
      </c>
      <c r="AU1242" s="72">
        <f t="shared" si="464"/>
        <v>6.8214933659622723E-3</v>
      </c>
      <c r="AV1242" s="73">
        <f t="shared" si="466"/>
        <v>1.0068214933659623</v>
      </c>
      <c r="AW1242" s="74">
        <f>PRODUCT(AV$4:AV1242)</f>
        <v>4551.1428533583858</v>
      </c>
    </row>
    <row r="1243" spans="44:49">
      <c r="AR1243" s="69">
        <f t="shared" si="465"/>
        <v>104</v>
      </c>
      <c r="AS1243" s="70">
        <f t="shared" si="467"/>
        <v>1240</v>
      </c>
      <c r="AT1243" s="71">
        <f t="shared" si="468"/>
        <v>2.0600008661699271E-4</v>
      </c>
      <c r="AU1243" s="72">
        <f t="shared" si="464"/>
        <v>6.8214933659622723E-3</v>
      </c>
      <c r="AV1243" s="73">
        <f t="shared" si="466"/>
        <v>1.0068214933659623</v>
      </c>
      <c r="AW1243" s="74">
        <f>PRODUCT(AV$4:AV1243)</f>
        <v>4582.1884441401162</v>
      </c>
    </row>
    <row r="1244" spans="44:49">
      <c r="AR1244" s="69">
        <f t="shared" si="465"/>
        <v>104</v>
      </c>
      <c r="AS1244" s="70">
        <f t="shared" si="467"/>
        <v>1241</v>
      </c>
      <c r="AT1244" s="71">
        <f t="shared" si="468"/>
        <v>2.0459485839274724E-4</v>
      </c>
      <c r="AU1244" s="72">
        <f t="shared" si="464"/>
        <v>6.8214933659622723E-3</v>
      </c>
      <c r="AV1244" s="73">
        <f t="shared" si="466"/>
        <v>1.0068214933659623</v>
      </c>
      <c r="AW1244" s="74">
        <f>PRODUCT(AV$4:AV1244)</f>
        <v>4613.4458122134074</v>
      </c>
    </row>
    <row r="1245" spans="44:49">
      <c r="AR1245" s="69">
        <f t="shared" si="465"/>
        <v>104</v>
      </c>
      <c r="AS1245" s="70">
        <f t="shared" si="467"/>
        <v>1242</v>
      </c>
      <c r="AT1245" s="71">
        <f t="shared" si="468"/>
        <v>2.0319921592351113E-4</v>
      </c>
      <c r="AU1245" s="72">
        <f t="shared" si="464"/>
        <v>6.8214933659622723E-3</v>
      </c>
      <c r="AV1245" s="73">
        <f t="shared" si="466"/>
        <v>1.0068214933659623</v>
      </c>
      <c r="AW1245" s="74">
        <f>PRODUCT(AV$4:AV1245)</f>
        <v>4644.9164022156474</v>
      </c>
    </row>
    <row r="1246" spans="44:49">
      <c r="AR1246" s="69">
        <f t="shared" si="465"/>
        <v>104</v>
      </c>
      <c r="AS1246" s="70">
        <f t="shared" si="467"/>
        <v>1243</v>
      </c>
      <c r="AT1246" s="71">
        <f t="shared" si="468"/>
        <v>2.0181309382012017E-4</v>
      </c>
      <c r="AU1246" s="72">
        <f t="shared" si="464"/>
        <v>6.8214933659622723E-3</v>
      </c>
      <c r="AV1246" s="73">
        <f t="shared" si="466"/>
        <v>1.0068214933659623</v>
      </c>
      <c r="AW1246" s="74">
        <f>PRODUCT(AV$4:AV1246)</f>
        <v>4676.6016686388111</v>
      </c>
    </row>
    <row r="1247" spans="44:49">
      <c r="AR1247" s="69">
        <f t="shared" si="465"/>
        <v>104</v>
      </c>
      <c r="AS1247" s="70">
        <f t="shared" si="467"/>
        <v>1244</v>
      </c>
      <c r="AT1247" s="71">
        <f t="shared" si="468"/>
        <v>2.0043642713946189E-4</v>
      </c>
      <c r="AU1247" s="72">
        <f t="shared" si="464"/>
        <v>6.8214933659622723E-3</v>
      </c>
      <c r="AV1247" s="73">
        <f t="shared" si="466"/>
        <v>1.0068214933659623</v>
      </c>
      <c r="AW1247" s="74">
        <f>PRODUCT(AV$4:AV1247)</f>
        <v>4708.5030758966786</v>
      </c>
    </row>
    <row r="1248" spans="44:49">
      <c r="AR1248" s="69">
        <f t="shared" si="465"/>
        <v>104</v>
      </c>
      <c r="AS1248" s="70">
        <f t="shared" si="467"/>
        <v>1245</v>
      </c>
      <c r="AT1248" s="71">
        <f t="shared" si="468"/>
        <v>1.9906915138143288E-4</v>
      </c>
      <c r="AU1248" s="72">
        <f t="shared" si="464"/>
        <v>6.8214933659622723E-3</v>
      </c>
      <c r="AV1248" s="73">
        <f t="shared" si="466"/>
        <v>1.0068214933659623</v>
      </c>
      <c r="AW1248" s="74">
        <f>PRODUCT(AV$4:AV1248)</f>
        <v>4740.6220983925205</v>
      </c>
    </row>
    <row r="1249" spans="44:49">
      <c r="AR1249" s="69">
        <f t="shared" si="465"/>
        <v>104</v>
      </c>
      <c r="AS1249" s="70">
        <f t="shared" si="467"/>
        <v>1246</v>
      </c>
      <c r="AT1249" s="71">
        <f t="shared" si="468"/>
        <v>1.977112024859167E-4</v>
      </c>
      <c r="AU1249" s="72">
        <f t="shared" si="464"/>
        <v>6.8214933659622723E-3</v>
      </c>
      <c r="AV1249" s="73">
        <f t="shared" si="466"/>
        <v>1.0068214933659623</v>
      </c>
      <c r="AW1249" s="74">
        <f>PRODUCT(AV$4:AV1249)</f>
        <v>4772.9602205872388</v>
      </c>
    </row>
    <row r="1250" spans="44:49">
      <c r="AR1250" s="69">
        <f t="shared" si="465"/>
        <v>104</v>
      </c>
      <c r="AS1250" s="70">
        <f t="shared" si="467"/>
        <v>1247</v>
      </c>
      <c r="AT1250" s="71">
        <f t="shared" si="468"/>
        <v>1.9636251682978259E-4</v>
      </c>
      <c r="AU1250" s="72">
        <f t="shared" si="464"/>
        <v>6.8214933659622723E-3</v>
      </c>
      <c r="AV1250" s="73">
        <f t="shared" si="466"/>
        <v>1.0068214933659623</v>
      </c>
      <c r="AW1250" s="74">
        <f>PRODUCT(AV$4:AV1250)</f>
        <v>4805.5189370679764</v>
      </c>
    </row>
    <row r="1251" spans="44:49">
      <c r="AR1251" s="69">
        <f t="shared" si="465"/>
        <v>104</v>
      </c>
      <c r="AS1251" s="70">
        <f t="shared" si="467"/>
        <v>1248</v>
      </c>
      <c r="AT1251" s="71">
        <f t="shared" si="468"/>
        <v>1.9502303122390457E-4</v>
      </c>
      <c r="AU1251" s="72">
        <f t="shared" si="464"/>
        <v>6.8214933659622723E-3</v>
      </c>
      <c r="AV1251" s="73">
        <f t="shared" si="466"/>
        <v>1.0068214933659623</v>
      </c>
      <c r="AW1251" s="74">
        <f>PRODUCT(AV$4:AV1251)</f>
        <v>4838.2997526171912</v>
      </c>
    </row>
    <row r="1252" spans="44:49">
      <c r="AR1252" s="69">
        <f t="shared" si="465"/>
        <v>105</v>
      </c>
      <c r="AS1252" s="70">
        <f t="shared" si="467"/>
        <v>1249</v>
      </c>
      <c r="AT1252" s="71">
        <f t="shared" si="468"/>
        <v>1.9369268291020086E-4</v>
      </c>
      <c r="AU1252" s="72">
        <f t="shared" si="464"/>
        <v>6.8214933659622723E-3</v>
      </c>
      <c r="AV1252" s="73">
        <f t="shared" si="466"/>
        <v>1.0068214933659623</v>
      </c>
      <c r="AW1252" s="74">
        <f>PRODUCT(AV$4:AV1252)</f>
        <v>4871.3041822822061</v>
      </c>
    </row>
    <row r="1253" spans="44:49">
      <c r="AR1253" s="69">
        <f t="shared" si="465"/>
        <v>105</v>
      </c>
      <c r="AS1253" s="70">
        <f t="shared" si="467"/>
        <v>1250</v>
      </c>
      <c r="AT1253" s="71">
        <f t="shared" si="468"/>
        <v>1.9237140955869348E-4</v>
      </c>
      <c r="AU1253" s="72">
        <f t="shared" si="464"/>
        <v>6.8214933659622723E-3</v>
      </c>
      <c r="AV1253" s="73">
        <f t="shared" si="466"/>
        <v>1.0068214933659623</v>
      </c>
      <c r="AW1253" s="74">
        <f>PRODUCT(AV$4:AV1253)</f>
        <v>4904.5337514452285</v>
      </c>
    </row>
    <row r="1254" spans="44:49">
      <c r="AR1254" s="69">
        <f t="shared" si="465"/>
        <v>105</v>
      </c>
      <c r="AS1254" s="70">
        <f t="shared" si="467"/>
        <v>1251</v>
      </c>
      <c r="AT1254" s="71">
        <f t="shared" si="468"/>
        <v>1.9105914926458804E-4</v>
      </c>
      <c r="AU1254" s="72">
        <f t="shared" si="464"/>
        <v>6.8214933659622723E-3</v>
      </c>
      <c r="AV1254" s="73">
        <f t="shared" si="466"/>
        <v>1.0068214933659623</v>
      </c>
      <c r="AW1254" s="74">
        <f>PRODUCT(AV$4:AV1254)</f>
        <v>4937.9899958938504</v>
      </c>
    </row>
    <row r="1255" spans="44:49">
      <c r="AR1255" s="69">
        <f t="shared" si="465"/>
        <v>105</v>
      </c>
      <c r="AS1255" s="70">
        <f t="shared" si="467"/>
        <v>1252</v>
      </c>
      <c r="AT1255" s="71">
        <f t="shared" si="468"/>
        <v>1.8975584054537324E-4</v>
      </c>
      <c r="AU1255" s="72">
        <f t="shared" si="464"/>
        <v>6.8214933659622723E-3</v>
      </c>
      <c r="AV1255" s="73">
        <f t="shared" si="466"/>
        <v>1.0068214933659623</v>
      </c>
      <c r="AW1255" s="74">
        <f>PRODUCT(AV$4:AV1255)</f>
        <v>4971.6744618920284</v>
      </c>
    </row>
    <row r="1256" spans="44:49">
      <c r="AR1256" s="69">
        <f t="shared" si="465"/>
        <v>105</v>
      </c>
      <c r="AS1256" s="70">
        <f t="shared" si="467"/>
        <v>1253</v>
      </c>
      <c r="AT1256" s="71">
        <f t="shared" si="468"/>
        <v>1.8846142233794037E-4</v>
      </c>
      <c r="AU1256" s="72">
        <f t="shared" si="464"/>
        <v>6.8214933659622723E-3</v>
      </c>
      <c r="AV1256" s="73">
        <f t="shared" si="466"/>
        <v>1.0068214933659623</v>
      </c>
      <c r="AW1256" s="74">
        <f>PRODUCT(AV$4:AV1256)</f>
        <v>5005.5887062515485</v>
      </c>
    </row>
    <row r="1257" spans="44:49">
      <c r="AR1257" s="69">
        <f t="shared" si="465"/>
        <v>105</v>
      </c>
      <c r="AS1257" s="70">
        <f t="shared" si="467"/>
        <v>1254</v>
      </c>
      <c r="AT1257" s="71">
        <f t="shared" si="468"/>
        <v>1.8717583399572229E-4</v>
      </c>
      <c r="AU1257" s="72">
        <f t="shared" si="464"/>
        <v>6.8214933659622723E-3</v>
      </c>
      <c r="AV1257" s="73">
        <f t="shared" si="466"/>
        <v>1.0068214933659623</v>
      </c>
      <c r="AW1257" s="74">
        <f>PRODUCT(AV$4:AV1257)</f>
        <v>5039.734296403979</v>
      </c>
    </row>
    <row r="1258" spans="44:49">
      <c r="AR1258" s="69">
        <f t="shared" si="465"/>
        <v>105</v>
      </c>
      <c r="AS1258" s="70">
        <f t="shared" si="467"/>
        <v>1255</v>
      </c>
      <c r="AT1258" s="71">
        <f t="shared" si="468"/>
        <v>1.8589901528585201E-4</v>
      </c>
      <c r="AU1258" s="72">
        <f t="shared" si="464"/>
        <v>6.8214933659622723E-3</v>
      </c>
      <c r="AV1258" s="73">
        <f t="shared" si="466"/>
        <v>1.0068214933659623</v>
      </c>
      <c r="AW1258" s="74">
        <f>PRODUCT(AV$4:AV1258)</f>
        <v>5074.1128104731115</v>
      </c>
    </row>
    <row r="1259" spans="44:49">
      <c r="AR1259" s="69">
        <f t="shared" si="465"/>
        <v>105</v>
      </c>
      <c r="AS1259" s="70">
        <f t="shared" si="467"/>
        <v>1256</v>
      </c>
      <c r="AT1259" s="71">
        <f t="shared" si="468"/>
        <v>1.8463090638634066E-4</v>
      </c>
      <c r="AU1259" s="72">
        <f t="shared" si="464"/>
        <v>6.8214933659622723E-3</v>
      </c>
      <c r="AV1259" s="73">
        <f t="shared" si="466"/>
        <v>1.0068214933659623</v>
      </c>
      <c r="AW1259" s="74">
        <f>PRODUCT(AV$4:AV1259)</f>
        <v>5108.7258373478981</v>
      </c>
    </row>
    <row r="1260" spans="44:49">
      <c r="AR1260" s="69">
        <f t="shared" si="465"/>
        <v>105</v>
      </c>
      <c r="AS1260" s="70">
        <f t="shared" si="467"/>
        <v>1257</v>
      </c>
      <c r="AT1260" s="71">
        <f t="shared" si="468"/>
        <v>1.8337144788327462E-4</v>
      </c>
      <c r="AU1260" s="72">
        <f t="shared" si="464"/>
        <v>6.8214933659622723E-3</v>
      </c>
      <c r="AV1260" s="73">
        <f t="shared" si="466"/>
        <v>1.0068214933659623</v>
      </c>
      <c r="AW1260" s="74">
        <f>PRODUCT(AV$4:AV1260)</f>
        <v>5143.5749767558864</v>
      </c>
    </row>
    <row r="1261" spans="44:49">
      <c r="AR1261" s="69">
        <f t="shared" si="465"/>
        <v>105</v>
      </c>
      <c r="AS1261" s="70">
        <f t="shared" si="467"/>
        <v>1258</v>
      </c>
      <c r="AT1261" s="71">
        <f t="shared" si="468"/>
        <v>1.8212058076803197E-4</v>
      </c>
      <c r="AU1261" s="72">
        <f t="shared" si="464"/>
        <v>6.8214933659622723E-3</v>
      </c>
      <c r="AV1261" s="73">
        <f t="shared" si="466"/>
        <v>1.0068214933659623</v>
      </c>
      <c r="AW1261" s="74">
        <f>PRODUCT(AV$4:AV1261)</f>
        <v>5178.6618393371564</v>
      </c>
    </row>
    <row r="1262" spans="44:49">
      <c r="AR1262" s="69">
        <f t="shared" si="465"/>
        <v>105</v>
      </c>
      <c r="AS1262" s="70">
        <f t="shared" si="467"/>
        <v>1259</v>
      </c>
      <c r="AT1262" s="71">
        <f t="shared" si="468"/>
        <v>1.8087824643451763E-4</v>
      </c>
      <c r="AU1262" s="72">
        <f t="shared" si="464"/>
        <v>6.8214933659622723E-3</v>
      </c>
      <c r="AV1262" s="73">
        <f t="shared" si="466"/>
        <v>1.0068214933659623</v>
      </c>
      <c r="AW1262" s="74">
        <f>PRODUCT(AV$4:AV1262)</f>
        <v>5213.9880467187568</v>
      </c>
    </row>
    <row r="1263" spans="44:49">
      <c r="AR1263" s="69">
        <f t="shared" si="465"/>
        <v>105</v>
      </c>
      <c r="AS1263" s="70">
        <f t="shared" si="467"/>
        <v>1260</v>
      </c>
      <c r="AT1263" s="71">
        <f t="shared" si="468"/>
        <v>1.7964438667641768E-4</v>
      </c>
      <c r="AU1263" s="72">
        <f t="shared" si="464"/>
        <v>6.8214933659622723E-3</v>
      </c>
      <c r="AV1263" s="73">
        <f t="shared" si="466"/>
        <v>1.0068214933659623</v>
      </c>
      <c r="AW1263" s="74">
        <f>PRODUCT(AV$4:AV1263)</f>
        <v>5249.5552315896557</v>
      </c>
    </row>
    <row r="1264" spans="44:49">
      <c r="AR1264" s="69">
        <f t="shared" si="465"/>
        <v>106</v>
      </c>
      <c r="AS1264" s="70">
        <f t="shared" si="467"/>
        <v>1261</v>
      </c>
      <c r="AT1264" s="71">
        <f t="shared" si="468"/>
        <v>1.7841894368447213E-4</v>
      </c>
      <c r="AU1264" s="72">
        <f t="shared" si="464"/>
        <v>6.8214933659622723E-3</v>
      </c>
      <c r="AV1264" s="73">
        <f t="shared" si="466"/>
        <v>1.0068214933659623</v>
      </c>
      <c r="AW1264" s="74">
        <f>PRODUCT(AV$4:AV1264)</f>
        <v>5285.3650377761969</v>
      </c>
    </row>
    <row r="1265" spans="44:49">
      <c r="AR1265" s="69">
        <f t="shared" si="465"/>
        <v>106</v>
      </c>
      <c r="AS1265" s="70">
        <f t="shared" si="467"/>
        <v>1262</v>
      </c>
      <c r="AT1265" s="71">
        <f t="shared" si="468"/>
        <v>1.772018600437665E-4</v>
      </c>
      <c r="AU1265" s="72">
        <f t="shared" si="464"/>
        <v>6.8214933659622723E-3</v>
      </c>
      <c r="AV1265" s="73">
        <f t="shared" si="466"/>
        <v>1.0068214933659623</v>
      </c>
      <c r="AW1265" s="74">
        <f>PRODUCT(AV$4:AV1265)</f>
        <v>5321.4191203180762</v>
      </c>
    </row>
    <row r="1266" spans="44:49">
      <c r="AR1266" s="69">
        <f t="shared" si="465"/>
        <v>106</v>
      </c>
      <c r="AS1266" s="70">
        <f t="shared" si="467"/>
        <v>1263</v>
      </c>
      <c r="AT1266" s="71">
        <f t="shared" si="468"/>
        <v>1.7599307873104178E-4</v>
      </c>
      <c r="AU1266" s="72">
        <f t="shared" si="464"/>
        <v>6.8214933659622723E-3</v>
      </c>
      <c r="AV1266" s="73">
        <f t="shared" si="466"/>
        <v>1.0068214933659623</v>
      </c>
      <c r="AW1266" s="74">
        <f>PRODUCT(AV$4:AV1266)</f>
        <v>5357.719145544831</v>
      </c>
    </row>
    <row r="1267" spans="44:49">
      <c r="AR1267" s="69">
        <f t="shared" si="465"/>
        <v>106</v>
      </c>
      <c r="AS1267" s="70">
        <f t="shared" si="467"/>
        <v>1264</v>
      </c>
      <c r="AT1267" s="71">
        <f t="shared" si="468"/>
        <v>1.747925431120227E-4</v>
      </c>
      <c r="AU1267" s="72">
        <f t="shared" si="464"/>
        <v>6.8214933659622723E-3</v>
      </c>
      <c r="AV1267" s="73">
        <f t="shared" si="466"/>
        <v>1.0068214933659623</v>
      </c>
      <c r="AW1267" s="74">
        <f>PRODUCT(AV$4:AV1267)</f>
        <v>5394.2667911528542</v>
      </c>
    </row>
    <row r="1268" spans="44:49">
      <c r="AR1268" s="69">
        <f t="shared" si="465"/>
        <v>106</v>
      </c>
      <c r="AS1268" s="70">
        <f t="shared" si="467"/>
        <v>1265</v>
      </c>
      <c r="AT1268" s="71">
        <f t="shared" si="468"/>
        <v>1.7360019693876436E-4</v>
      </c>
      <c r="AU1268" s="72">
        <f t="shared" si="464"/>
        <v>6.8214933659622723E-3</v>
      </c>
      <c r="AV1268" s="73">
        <f t="shared" si="466"/>
        <v>1.0068214933659623</v>
      </c>
      <c r="AW1268" s="74">
        <f>PRODUCT(AV$4:AV1268)</f>
        <v>5431.0637462829336</v>
      </c>
    </row>
    <row r="1269" spans="44:49">
      <c r="AR1269" s="69">
        <f t="shared" si="465"/>
        <v>106</v>
      </c>
      <c r="AS1269" s="70">
        <f t="shared" si="467"/>
        <v>1266</v>
      </c>
      <c r="AT1269" s="71">
        <f t="shared" si="468"/>
        <v>1.7241598434701683E-4</v>
      </c>
      <c r="AU1269" s="72">
        <f t="shared" si="464"/>
        <v>6.8214933659622723E-3</v>
      </c>
      <c r="AV1269" s="73">
        <f t="shared" si="466"/>
        <v>1.0068214933659623</v>
      </c>
      <c r="AW1269" s="74">
        <f>PRODUCT(AV$4:AV1269)</f>
        <v>5468.1117115983207</v>
      </c>
    </row>
    <row r="1270" spans="44:49">
      <c r="AR1270" s="69">
        <f t="shared" si="465"/>
        <v>106</v>
      </c>
      <c r="AS1270" s="70">
        <f t="shared" si="467"/>
        <v>1267</v>
      </c>
      <c r="AT1270" s="71">
        <f t="shared" si="468"/>
        <v>1.7123984985360779E-4</v>
      </c>
      <c r="AU1270" s="72">
        <f t="shared" si="464"/>
        <v>6.8214933659622723E-3</v>
      </c>
      <c r="AV1270" s="73">
        <f t="shared" si="466"/>
        <v>1.0068214933659623</v>
      </c>
      <c r="AW1270" s="74">
        <f>PRODUCT(AV$4:AV1270)</f>
        <v>5505.4123993633293</v>
      </c>
    </row>
    <row r="1271" spans="44:49">
      <c r="AR1271" s="69">
        <f t="shared" si="465"/>
        <v>106</v>
      </c>
      <c r="AS1271" s="70">
        <f t="shared" si="467"/>
        <v>1268</v>
      </c>
      <c r="AT1271" s="71">
        <f t="shared" si="468"/>
        <v>1.7007173835384304E-4</v>
      </c>
      <c r="AU1271" s="72">
        <f t="shared" si="464"/>
        <v>6.8214933659622723E-3</v>
      </c>
      <c r="AV1271" s="73">
        <f t="shared" si="466"/>
        <v>1.0068214933659623</v>
      </c>
      <c r="AW1271" s="74">
        <f>PRODUCT(AV$4:AV1271)</f>
        <v>5542.9675335224729</v>
      </c>
    </row>
    <row r="1272" spans="44:49">
      <c r="AR1272" s="69">
        <f t="shared" si="465"/>
        <v>106</v>
      </c>
      <c r="AS1272" s="70">
        <f t="shared" si="467"/>
        <v>1269</v>
      </c>
      <c r="AT1272" s="71">
        <f t="shared" si="468"/>
        <v>1.6891159511892462E-4</v>
      </c>
      <c r="AU1272" s="72">
        <f t="shared" si="464"/>
        <v>6.8214933659622723E-3</v>
      </c>
      <c r="AV1272" s="73">
        <f t="shared" si="466"/>
        <v>1.0068214933659623</v>
      </c>
      <c r="AW1272" s="74">
        <f>PRODUCT(AV$4:AV1272)</f>
        <v>5580.7788497801403</v>
      </c>
    </row>
    <row r="1273" spans="44:49">
      <c r="AR1273" s="69">
        <f t="shared" si="465"/>
        <v>106</v>
      </c>
      <c r="AS1273" s="70">
        <f t="shared" si="467"/>
        <v>1270</v>
      </c>
      <c r="AT1273" s="71">
        <f t="shared" si="468"/>
        <v>1.6775936579338678E-4</v>
      </c>
      <c r="AU1273" s="72">
        <f t="shared" si="464"/>
        <v>6.8214933659622723E-3</v>
      </c>
      <c r="AV1273" s="73">
        <f t="shared" si="466"/>
        <v>1.0068214933659623</v>
      </c>
      <c r="AW1273" s="74">
        <f>PRODUCT(AV$4:AV1273)</f>
        <v>5618.848095680818</v>
      </c>
    </row>
    <row r="1274" spans="44:49">
      <c r="AR1274" s="69">
        <f t="shared" si="465"/>
        <v>106</v>
      </c>
      <c r="AS1274" s="70">
        <f t="shared" si="467"/>
        <v>1271</v>
      </c>
      <c r="AT1274" s="71">
        <f t="shared" si="468"/>
        <v>1.6661499639254916E-4</v>
      </c>
      <c r="AU1274" s="72">
        <f t="shared" si="464"/>
        <v>6.8214933659622723E-3</v>
      </c>
      <c r="AV1274" s="73">
        <f t="shared" si="466"/>
        <v>1.0068214933659623</v>
      </c>
      <c r="AW1274" s="74">
        <f>PRODUCT(AV$4:AV1274)</f>
        <v>5657.1770306898543</v>
      </c>
    </row>
    <row r="1275" spans="44:49">
      <c r="AR1275" s="69">
        <f t="shared" si="465"/>
        <v>106</v>
      </c>
      <c r="AS1275" s="70">
        <f t="shared" si="467"/>
        <v>1272</v>
      </c>
      <c r="AT1275" s="71">
        <f t="shared" si="468"/>
        <v>1.6547843329998757E-4</v>
      </c>
      <c r="AU1275" s="72">
        <f t="shared" si="464"/>
        <v>6.8214933659622723E-3</v>
      </c>
      <c r="AV1275" s="73">
        <f t="shared" si="466"/>
        <v>1.0068214933659623</v>
      </c>
      <c r="AW1275" s="74">
        <f>PRODUCT(AV$4:AV1275)</f>
        <v>5695.7674262747796</v>
      </c>
    </row>
    <row r="1276" spans="44:49">
      <c r="AR1276" s="69">
        <f t="shared" si="465"/>
        <v>107</v>
      </c>
      <c r="AS1276" s="70">
        <f t="shared" si="467"/>
        <v>1273</v>
      </c>
      <c r="AT1276" s="71">
        <f t="shared" si="468"/>
        <v>1.6434962326502186E-4</v>
      </c>
      <c r="AU1276" s="72">
        <f t="shared" si="464"/>
        <v>6.8214933659622723E-3</v>
      </c>
      <c r="AV1276" s="73">
        <f t="shared" si="466"/>
        <v>1.0068214933659623</v>
      </c>
      <c r="AW1276" s="74">
        <f>PRODUCT(AV$4:AV1276)</f>
        <v>5734.6210659871767</v>
      </c>
    </row>
    <row r="1277" spans="44:49">
      <c r="AR1277" s="69">
        <f t="shared" si="465"/>
        <v>107</v>
      </c>
      <c r="AS1277" s="70">
        <f t="shared" si="467"/>
        <v>1274</v>
      </c>
      <c r="AT1277" s="71">
        <f t="shared" si="468"/>
        <v>1.6322851340022112E-4</v>
      </c>
      <c r="AU1277" s="72">
        <f t="shared" si="464"/>
        <v>6.8214933659622723E-3</v>
      </c>
      <c r="AV1277" s="73">
        <f t="shared" si="466"/>
        <v>1.0068214933659623</v>
      </c>
      <c r="AW1277" s="74">
        <f>PRODUCT(AV$4:AV1277)</f>
        <v>5773.7397455451155</v>
      </c>
    </row>
    <row r="1278" spans="44:49">
      <c r="AR1278" s="69">
        <f t="shared" si="465"/>
        <v>107</v>
      </c>
      <c r="AS1278" s="70">
        <f t="shared" si="467"/>
        <v>1275</v>
      </c>
      <c r="AT1278" s="71">
        <f t="shared" si="468"/>
        <v>1.6211505117892563E-4</v>
      </c>
      <c r="AU1278" s="72">
        <f t="shared" si="464"/>
        <v>6.8214933659622723E-3</v>
      </c>
      <c r="AV1278" s="73">
        <f t="shared" si="466"/>
        <v>1.0068214933659623</v>
      </c>
      <c r="AW1278" s="74">
        <f>PRODUCT(AV$4:AV1278)</f>
        <v>5813.1252729161442</v>
      </c>
    </row>
    <row r="1279" spans="44:49">
      <c r="AR1279" s="69">
        <f t="shared" si="465"/>
        <v>107</v>
      </c>
      <c r="AS1279" s="70">
        <f t="shared" si="467"/>
        <v>1276</v>
      </c>
      <c r="AT1279" s="71">
        <f t="shared" si="468"/>
        <v>1.6100918443278595E-4</v>
      </c>
      <c r="AU1279" s="72">
        <f t="shared" si="464"/>
        <v>6.8214933659622723E-3</v>
      </c>
      <c r="AV1279" s="73">
        <f t="shared" si="466"/>
        <v>1.0068214933659623</v>
      </c>
      <c r="AW1279" s="74">
        <f>PRODUCT(AV$4:AV1279)</f>
        <v>5852.7794684008495</v>
      </c>
    </row>
    <row r="1280" spans="44:49">
      <c r="AR1280" s="69">
        <f t="shared" si="465"/>
        <v>107</v>
      </c>
      <c r="AS1280" s="70">
        <f t="shared" si="467"/>
        <v>1277</v>
      </c>
      <c r="AT1280" s="71">
        <f t="shared" si="468"/>
        <v>1.599108613493187E-4</v>
      </c>
      <c r="AU1280" s="72">
        <f t="shared" si="464"/>
        <v>6.8214933659622723E-3</v>
      </c>
      <c r="AV1280" s="73">
        <f t="shared" si="466"/>
        <v>1.0068214933659623</v>
      </c>
      <c r="AW1280" s="74">
        <f>PRODUCT(AV$4:AV1280)</f>
        <v>5892.7041647169863</v>
      </c>
    </row>
    <row r="1281" spans="44:49">
      <c r="AR1281" s="69">
        <f t="shared" si="465"/>
        <v>107</v>
      </c>
      <c r="AS1281" s="70">
        <f t="shared" si="467"/>
        <v>1278</v>
      </c>
      <c r="AT1281" s="71">
        <f t="shared" si="468"/>
        <v>1.5882003046947902E-4</v>
      </c>
      <c r="AU1281" s="72">
        <f t="shared" si="464"/>
        <v>6.8214933659622723E-3</v>
      </c>
      <c r="AV1281" s="73">
        <f t="shared" si="466"/>
        <v>1.0068214933659623</v>
      </c>
      <c r="AW1281" s="74">
        <f>PRODUCT(AV$4:AV1281)</f>
        <v>5932.9012070841818</v>
      </c>
    </row>
    <row r="1282" spans="44:49">
      <c r="AR1282" s="69">
        <f t="shared" si="465"/>
        <v>107</v>
      </c>
      <c r="AS1282" s="70">
        <f t="shared" si="467"/>
        <v>1279</v>
      </c>
      <c r="AT1282" s="71">
        <f t="shared" si="468"/>
        <v>1.5773664068524955E-4</v>
      </c>
      <c r="AU1282" s="72">
        <f t="shared" si="464"/>
        <v>6.8214933659622723E-3</v>
      </c>
      <c r="AV1282" s="73">
        <f t="shared" si="466"/>
        <v>1.0068214933659623</v>
      </c>
      <c r="AW1282" s="74">
        <f>PRODUCT(AV$4:AV1282)</f>
        <v>5973.3724533092163</v>
      </c>
    </row>
    <row r="1283" spans="44:49">
      <c r="AR1283" s="69">
        <f t="shared" si="465"/>
        <v>107</v>
      </c>
      <c r="AS1283" s="70">
        <f t="shared" si="467"/>
        <v>1280</v>
      </c>
      <c r="AT1283" s="71">
        <f t="shared" si="468"/>
        <v>1.5666064123724595E-4</v>
      </c>
      <c r="AU1283" s="72">
        <f t="shared" si="464"/>
        <v>6.8214933659622723E-3</v>
      </c>
      <c r="AV1283" s="73">
        <f t="shared" si="466"/>
        <v>1.0068214933659623</v>
      </c>
      <c r="AW1283" s="74">
        <f>PRODUCT(AV$4:AV1283)</f>
        <v>6014.1197738718865</v>
      </c>
    </row>
    <row r="1284" spans="44:49">
      <c r="AR1284" s="69">
        <f t="shared" si="465"/>
        <v>107</v>
      </c>
      <c r="AS1284" s="70">
        <f t="shared" si="467"/>
        <v>1281</v>
      </c>
      <c r="AT1284" s="71">
        <f t="shared" si="468"/>
        <v>1.5559198171233868E-4</v>
      </c>
      <c r="AU1284" s="72">
        <f t="shared" ref="AU1284:AU1347" si="469">((1+$AH$21)^(1/12))-1</f>
        <v>6.8214933659622723E-3</v>
      </c>
      <c r="AV1284" s="73">
        <f t="shared" si="466"/>
        <v>1.0068214933659623</v>
      </c>
      <c r="AW1284" s="74">
        <f>PRODUCT(AV$4:AV1284)</f>
        <v>6055.1450520114558</v>
      </c>
    </row>
    <row r="1285" spans="44:49">
      <c r="AR1285" s="69">
        <f t="shared" ref="AR1285:AR1348" si="470">ROUNDDOWN((AS1285-1)/12,0)+1</f>
        <v>107</v>
      </c>
      <c r="AS1285" s="70">
        <f t="shared" si="467"/>
        <v>1282</v>
      </c>
      <c r="AT1285" s="71">
        <f t="shared" si="468"/>
        <v>1.5453061204129105E-4</v>
      </c>
      <c r="AU1285" s="72">
        <f t="shared" si="469"/>
        <v>6.8214933659622723E-3</v>
      </c>
      <c r="AV1285" s="73">
        <f t="shared" ref="AV1285:AV1348" si="471">(1+AU1285)</f>
        <v>1.0068214933659623</v>
      </c>
      <c r="AW1285" s="74">
        <f>PRODUCT(AV$4:AV1285)</f>
        <v>6096.4501838136912</v>
      </c>
    </row>
    <row r="1286" spans="44:49">
      <c r="AR1286" s="69">
        <f t="shared" si="470"/>
        <v>107</v>
      </c>
      <c r="AS1286" s="70">
        <f t="shared" ref="AS1286:AS1349" si="472">AS1285+1</f>
        <v>1283</v>
      </c>
      <c r="AT1286" s="71">
        <f t="shared" ref="AT1286:AT1349" si="473">(1-AU1286)*AT1285</f>
        <v>1.5347648249641329E-4</v>
      </c>
      <c r="AU1286" s="72">
        <f t="shared" si="469"/>
        <v>6.8214933659622723E-3</v>
      </c>
      <c r="AV1286" s="73">
        <f t="shared" si="471"/>
        <v>1.0068214933659623</v>
      </c>
      <c r="AW1286" s="74">
        <f>PRODUCT(AV$4:AV1286)</f>
        <v>6138.0370782984955</v>
      </c>
    </row>
    <row r="1287" spans="44:49">
      <c r="AR1287" s="69">
        <f t="shared" si="470"/>
        <v>107</v>
      </c>
      <c r="AS1287" s="70">
        <f t="shared" si="472"/>
        <v>1284</v>
      </c>
      <c r="AT1287" s="71">
        <f t="shared" si="473"/>
        <v>1.5242954368923278E-4</v>
      </c>
      <c r="AU1287" s="72">
        <f t="shared" si="469"/>
        <v>6.8214933659622723E-3</v>
      </c>
      <c r="AV1287" s="73">
        <f t="shared" si="471"/>
        <v>1.0068214933659623</v>
      </c>
      <c r="AW1287" s="74">
        <f>PRODUCT(AV$4:AV1287)</f>
        <v>6179.907657508139</v>
      </c>
    </row>
    <row r="1288" spans="44:49">
      <c r="AR1288" s="69">
        <f t="shared" si="470"/>
        <v>108</v>
      </c>
      <c r="AS1288" s="70">
        <f t="shared" si="472"/>
        <v>1285</v>
      </c>
      <c r="AT1288" s="71">
        <f t="shared" si="473"/>
        <v>1.5138974656818004E-4</v>
      </c>
      <c r="AU1288" s="72">
        <f t="shared" si="469"/>
        <v>6.8214933659622723E-3</v>
      </c>
      <c r="AV1288" s="73">
        <f t="shared" si="471"/>
        <v>1.0068214933659623</v>
      </c>
      <c r="AW1288" s="74">
        <f>PRODUCT(AV$4:AV1288)</f>
        <v>6222.0638565960899</v>
      </c>
    </row>
    <row r="1289" spans="44:49">
      <c r="AR1289" s="69">
        <f t="shared" si="470"/>
        <v>108</v>
      </c>
      <c r="AS1289" s="70">
        <f t="shared" si="472"/>
        <v>1286</v>
      </c>
      <c r="AT1289" s="71">
        <f t="shared" si="473"/>
        <v>1.5035704241629047E-4</v>
      </c>
      <c r="AU1289" s="72">
        <f t="shared" si="469"/>
        <v>6.8214933659622723E-3</v>
      </c>
      <c r="AV1289" s="73">
        <f t="shared" si="471"/>
        <v>1.0068214933659623</v>
      </c>
      <c r="AW1289" s="74">
        <f>PRODUCT(AV$4:AV1289)</f>
        <v>6264.5076239164537</v>
      </c>
    </row>
    <row r="1290" spans="44:49">
      <c r="AR1290" s="69">
        <f t="shared" si="470"/>
        <v>108</v>
      </c>
      <c r="AS1290" s="70">
        <f t="shared" si="472"/>
        <v>1287</v>
      </c>
      <c r="AT1290" s="71">
        <f t="shared" si="473"/>
        <v>1.4933138284892205E-4</v>
      </c>
      <c r="AU1290" s="72">
        <f t="shared" si="469"/>
        <v>6.8214933659622723E-3</v>
      </c>
      <c r="AV1290" s="73">
        <f t="shared" si="471"/>
        <v>1.0068214933659623</v>
      </c>
      <c r="AW1290" s="74">
        <f>PRODUCT(AV$4:AV1290)</f>
        <v>6307.2409211140202</v>
      </c>
    </row>
    <row r="1291" spans="44:49">
      <c r="AR1291" s="69">
        <f t="shared" si="470"/>
        <v>108</v>
      </c>
      <c r="AS1291" s="70">
        <f t="shared" si="472"/>
        <v>1288</v>
      </c>
      <c r="AT1291" s="71">
        <f t="shared" si="473"/>
        <v>1.4831271981148816E-4</v>
      </c>
      <c r="AU1291" s="72">
        <f t="shared" si="469"/>
        <v>6.8214933659622723E-3</v>
      </c>
      <c r="AV1291" s="73">
        <f t="shared" si="471"/>
        <v>1.0068214933659623</v>
      </c>
      <c r="AW1291" s="74">
        <f>PRODUCT(AV$4:AV1291)</f>
        <v>6350.2657232149249</v>
      </c>
    </row>
    <row r="1292" spans="44:49">
      <c r="AR1292" s="69">
        <f t="shared" si="470"/>
        <v>108</v>
      </c>
      <c r="AS1292" s="70">
        <f t="shared" si="472"/>
        <v>1289</v>
      </c>
      <c r="AT1292" s="71">
        <f t="shared" si="473"/>
        <v>1.4730100557720628E-4</v>
      </c>
      <c r="AU1292" s="72">
        <f t="shared" si="469"/>
        <v>6.8214933659622723E-3</v>
      </c>
      <c r="AV1292" s="73">
        <f t="shared" si="471"/>
        <v>1.0068214933659623</v>
      </c>
      <c r="AW1292" s="74">
        <f>PRODUCT(AV$4:AV1292)</f>
        <v>6393.5840187179328</v>
      </c>
    </row>
    <row r="1293" spans="44:49">
      <c r="AR1293" s="69">
        <f t="shared" si="470"/>
        <v>108</v>
      </c>
      <c r="AS1293" s="70">
        <f t="shared" si="472"/>
        <v>1290</v>
      </c>
      <c r="AT1293" s="71">
        <f t="shared" si="473"/>
        <v>1.4629619274486179E-4</v>
      </c>
      <c r="AU1293" s="72">
        <f t="shared" si="469"/>
        <v>6.8214933659622723E-3</v>
      </c>
      <c r="AV1293" s="73">
        <f t="shared" si="471"/>
        <v>1.0068214933659623</v>
      </c>
      <c r="AW1293" s="74">
        <f>PRODUCT(AV$4:AV1293)</f>
        <v>6437.1978096863395</v>
      </c>
    </row>
    <row r="1294" spans="44:49">
      <c r="AR1294" s="69">
        <f t="shared" si="470"/>
        <v>108</v>
      </c>
      <c r="AS1294" s="70">
        <f t="shared" si="472"/>
        <v>1291</v>
      </c>
      <c r="AT1294" s="71">
        <f t="shared" si="473"/>
        <v>1.4529823423658719E-4</v>
      </c>
      <c r="AU1294" s="72">
        <f t="shared" si="469"/>
        <v>6.8214933659622723E-3</v>
      </c>
      <c r="AV1294" s="73">
        <f t="shared" si="471"/>
        <v>1.0068214933659623</v>
      </c>
      <c r="AW1294" s="74">
        <f>PRODUCT(AV$4:AV1294)</f>
        <v>6481.109111840502</v>
      </c>
    </row>
    <row r="1295" spans="44:49">
      <c r="AR1295" s="69">
        <f t="shared" si="470"/>
        <v>108</v>
      </c>
      <c r="AS1295" s="70">
        <f t="shared" si="472"/>
        <v>1292</v>
      </c>
      <c r="AT1295" s="71">
        <f t="shared" si="473"/>
        <v>1.4430708329565627E-4</v>
      </c>
      <c r="AU1295" s="72">
        <f t="shared" si="469"/>
        <v>6.8214933659622723E-3</v>
      </c>
      <c r="AV1295" s="73">
        <f t="shared" si="471"/>
        <v>1.0068214933659623</v>
      </c>
      <c r="AW1295" s="74">
        <f>PRODUCT(AV$4:AV1295)</f>
        <v>6525.3199546509995</v>
      </c>
    </row>
    <row r="1296" spans="44:49">
      <c r="AR1296" s="69">
        <f t="shared" si="470"/>
        <v>108</v>
      </c>
      <c r="AS1296" s="70">
        <f t="shared" si="472"/>
        <v>1293</v>
      </c>
      <c r="AT1296" s="71">
        <f t="shared" si="473"/>
        <v>1.433226934842936E-4</v>
      </c>
      <c r="AU1296" s="72">
        <f t="shared" si="469"/>
        <v>6.8214933659622723E-3</v>
      </c>
      <c r="AV1296" s="73">
        <f t="shared" si="471"/>
        <v>1.0068214933659623</v>
      </c>
      <c r="AW1296" s="74">
        <f>PRODUCT(AV$4:AV1296)</f>
        <v>6569.8323814324322</v>
      </c>
    </row>
    <row r="1297" spans="44:49">
      <c r="AR1297" s="69">
        <f t="shared" si="470"/>
        <v>108</v>
      </c>
      <c r="AS1297" s="70">
        <f t="shared" si="472"/>
        <v>1294</v>
      </c>
      <c r="AT1297" s="71">
        <f t="shared" si="473"/>
        <v>1.4234501868149864E-4</v>
      </c>
      <c r="AU1297" s="72">
        <f t="shared" si="469"/>
        <v>6.8214933659622723E-3</v>
      </c>
      <c r="AV1297" s="73">
        <f t="shared" si="471"/>
        <v>1.0068214933659623</v>
      </c>
      <c r="AW1297" s="74">
        <f>PRODUCT(AV$4:AV1297)</f>
        <v>6614.6484494378574</v>
      </c>
    </row>
    <row r="1298" spans="44:49">
      <c r="AR1298" s="69">
        <f t="shared" si="470"/>
        <v>108</v>
      </c>
      <c r="AS1298" s="70">
        <f t="shared" si="472"/>
        <v>1295</v>
      </c>
      <c r="AT1298" s="71">
        <f t="shared" si="473"/>
        <v>1.4137401308088503E-4</v>
      </c>
      <c r="AU1298" s="72">
        <f t="shared" si="469"/>
        <v>6.8214933659622723E-3</v>
      </c>
      <c r="AV1298" s="73">
        <f t="shared" si="471"/>
        <v>1.0068214933659623</v>
      </c>
      <c r="AW1298" s="74">
        <f>PRODUCT(AV$4:AV1298)</f>
        <v>6659.7702299538705</v>
      </c>
    </row>
    <row r="1299" spans="44:49">
      <c r="AR1299" s="69">
        <f t="shared" si="470"/>
        <v>108</v>
      </c>
      <c r="AS1299" s="70">
        <f t="shared" si="472"/>
        <v>1296</v>
      </c>
      <c r="AT1299" s="71">
        <f t="shared" si="473"/>
        <v>1.404096311885343E-4</v>
      </c>
      <c r="AU1299" s="72">
        <f t="shared" si="469"/>
        <v>6.8214933659622723E-3</v>
      </c>
      <c r="AV1299" s="73">
        <f t="shared" si="471"/>
        <v>1.0068214933659623</v>
      </c>
      <c r="AW1299" s="74">
        <f>PRODUCT(AV$4:AV1299)</f>
        <v>6705.1998083963335</v>
      </c>
    </row>
    <row r="1300" spans="44:49">
      <c r="AR1300" s="69">
        <f t="shared" si="470"/>
        <v>109</v>
      </c>
      <c r="AS1300" s="70">
        <f t="shared" si="472"/>
        <v>1297</v>
      </c>
      <c r="AT1300" s="71">
        <f t="shared" si="473"/>
        <v>1.394518278208645E-4</v>
      </c>
      <c r="AU1300" s="72">
        <f t="shared" si="469"/>
        <v>6.8214933659622723E-3</v>
      </c>
      <c r="AV1300" s="73">
        <f t="shared" si="471"/>
        <v>1.0068214933659623</v>
      </c>
      <c r="AW1300" s="74">
        <f>PRODUCT(AV$4:AV1300)</f>
        <v>6750.9392844067606</v>
      </c>
    </row>
    <row r="1301" spans="44:49">
      <c r="AR1301" s="69">
        <f t="shared" si="470"/>
        <v>109</v>
      </c>
      <c r="AS1301" s="70">
        <f t="shared" si="472"/>
        <v>1298</v>
      </c>
      <c r="AT1301" s="71">
        <f t="shared" si="473"/>
        <v>1.3850055810251316E-4</v>
      </c>
      <c r="AU1301" s="72">
        <f t="shared" si="469"/>
        <v>6.8214933659622723E-3</v>
      </c>
      <c r="AV1301" s="73">
        <f t="shared" si="471"/>
        <v>1.0068214933659623</v>
      </c>
      <c r="AW1301" s="74">
        <f>PRODUCT(AV$4:AV1301)</f>
        <v>6796.9907719493558</v>
      </c>
    </row>
    <row r="1302" spans="44:49">
      <c r="AR1302" s="69">
        <f t="shared" si="470"/>
        <v>109</v>
      </c>
      <c r="AS1302" s="70">
        <f t="shared" si="472"/>
        <v>1299</v>
      </c>
      <c r="AT1302" s="71">
        <f t="shared" si="473"/>
        <v>1.3755577746423479E-4</v>
      </c>
      <c r="AU1302" s="72">
        <f t="shared" si="469"/>
        <v>6.8214933659622723E-3</v>
      </c>
      <c r="AV1302" s="73">
        <f t="shared" si="471"/>
        <v>1.0068214933659623</v>
      </c>
      <c r="AW1302" s="74">
        <f>PRODUCT(AV$4:AV1302)</f>
        <v>6843.3563994087153</v>
      </c>
    </row>
    <row r="1303" spans="44:49">
      <c r="AR1303" s="69">
        <f t="shared" si="470"/>
        <v>109</v>
      </c>
      <c r="AS1303" s="70">
        <f t="shared" si="472"/>
        <v>1300</v>
      </c>
      <c r="AT1303" s="71">
        <f t="shared" si="473"/>
        <v>1.3661744164081272E-4</v>
      </c>
      <c r="AU1303" s="72">
        <f t="shared" si="469"/>
        <v>6.8214933659622723E-3</v>
      </c>
      <c r="AV1303" s="73">
        <f t="shared" si="471"/>
        <v>1.0068214933659623</v>
      </c>
      <c r="AW1303" s="74">
        <f>PRODUCT(AV$4:AV1303)</f>
        <v>6890.0383096881969</v>
      </c>
    </row>
    <row r="1304" spans="44:49">
      <c r="AR1304" s="69">
        <f t="shared" si="470"/>
        <v>109</v>
      </c>
      <c r="AS1304" s="70">
        <f t="shared" si="472"/>
        <v>1301</v>
      </c>
      <c r="AT1304" s="71">
        <f t="shared" si="473"/>
        <v>1.3568550666898517E-4</v>
      </c>
      <c r="AU1304" s="72">
        <f t="shared" si="469"/>
        <v>6.8214933659622723E-3</v>
      </c>
      <c r="AV1304" s="73">
        <f t="shared" si="471"/>
        <v>1.0068214933659623</v>
      </c>
      <c r="AW1304" s="74">
        <f>PRODUCT(AV$4:AV1304)</f>
        <v>6937.038660308961</v>
      </c>
    </row>
    <row r="1305" spans="44:49">
      <c r="AR1305" s="69">
        <f t="shared" si="470"/>
        <v>109</v>
      </c>
      <c r="AS1305" s="70">
        <f t="shared" si="472"/>
        <v>1302</v>
      </c>
      <c r="AT1305" s="71">
        <f t="shared" si="473"/>
        <v>1.3475992888538547E-4</v>
      </c>
      <c r="AU1305" s="72">
        <f t="shared" si="469"/>
        <v>6.8214933659622723E-3</v>
      </c>
      <c r="AV1305" s="73">
        <f t="shared" si="471"/>
        <v>1.0068214933659623</v>
      </c>
      <c r="AW1305" s="74">
        <f>PRODUCT(AV$4:AV1305)</f>
        <v>6984.359623509682</v>
      </c>
    </row>
    <row r="1306" spans="44:49">
      <c r="AR1306" s="69">
        <f t="shared" si="470"/>
        <v>109</v>
      </c>
      <c r="AS1306" s="70">
        <f t="shared" si="472"/>
        <v>1303</v>
      </c>
      <c r="AT1306" s="71">
        <f t="shared" si="473"/>
        <v>1.3384066492449627E-4</v>
      </c>
      <c r="AU1306" s="72">
        <f t="shared" si="469"/>
        <v>6.8214933659622723E-3</v>
      </c>
      <c r="AV1306" s="73">
        <f t="shared" si="471"/>
        <v>1.0068214933659623</v>
      </c>
      <c r="AW1306" s="74">
        <f>PRODUCT(AV$4:AV1306)</f>
        <v>7032.003386346948</v>
      </c>
    </row>
    <row r="1307" spans="44:49">
      <c r="AR1307" s="69">
        <f t="shared" si="470"/>
        <v>109</v>
      </c>
      <c r="AS1307" s="70">
        <f t="shared" si="472"/>
        <v>1304</v>
      </c>
      <c r="AT1307" s="71">
        <f t="shared" si="473"/>
        <v>1.3292767171661784E-4</v>
      </c>
      <c r="AU1307" s="72">
        <f t="shared" si="469"/>
        <v>6.8214933659622723E-3</v>
      </c>
      <c r="AV1307" s="73">
        <f t="shared" si="471"/>
        <v>1.0068214933659623</v>
      </c>
      <c r="AW1307" s="74">
        <f>PRODUCT(AV$4:AV1307)</f>
        <v>7079.9721507963377</v>
      </c>
    </row>
    <row r="1308" spans="44:49">
      <c r="AR1308" s="69">
        <f t="shared" si="470"/>
        <v>109</v>
      </c>
      <c r="AS1308" s="70">
        <f t="shared" si="472"/>
        <v>1305</v>
      </c>
      <c r="AT1308" s="71">
        <f t="shared" si="473"/>
        <v>1.3202090648585011E-4</v>
      </c>
      <c r="AU1308" s="72">
        <f t="shared" si="469"/>
        <v>6.8214933659622723E-3</v>
      </c>
      <c r="AV1308" s="73">
        <f t="shared" si="471"/>
        <v>1.0068214933659623</v>
      </c>
      <c r="AW1308" s="74">
        <f>PRODUCT(AV$4:AV1308)</f>
        <v>7128.2681338541925</v>
      </c>
    </row>
    <row r="1309" spans="44:49">
      <c r="AR1309" s="69">
        <f t="shared" si="470"/>
        <v>109</v>
      </c>
      <c r="AS1309" s="70">
        <f t="shared" si="472"/>
        <v>1306</v>
      </c>
      <c r="AT1309" s="71">
        <f t="shared" si="473"/>
        <v>1.3112032674808855E-4</v>
      </c>
      <c r="AU1309" s="72">
        <f t="shared" si="469"/>
        <v>6.8214933659622723E-3</v>
      </c>
      <c r="AV1309" s="73">
        <f t="shared" si="471"/>
        <v>1.0068214933659623</v>
      </c>
      <c r="AW1309" s="74">
        <f>PRODUCT(AV$4:AV1309)</f>
        <v>7176.8935676400788</v>
      </c>
    </row>
    <row r="1310" spans="44:49">
      <c r="AR1310" s="69">
        <f t="shared" si="470"/>
        <v>109</v>
      </c>
      <c r="AS1310" s="70">
        <f t="shared" si="472"/>
        <v>1307</v>
      </c>
      <c r="AT1310" s="71">
        <f t="shared" si="473"/>
        <v>1.3022589030903367E-4</v>
      </c>
      <c r="AU1310" s="72">
        <f t="shared" si="469"/>
        <v>6.8214933659622723E-3</v>
      </c>
      <c r="AV1310" s="73">
        <f t="shared" si="471"/>
        <v>1.0068214933659623</v>
      </c>
      <c r="AW1310" s="74">
        <f>PRODUCT(AV$4:AV1310)</f>
        <v>7225.8506994999525</v>
      </c>
    </row>
    <row r="1311" spans="44:49">
      <c r="AR1311" s="69">
        <f t="shared" si="470"/>
        <v>109</v>
      </c>
      <c r="AS1311" s="70">
        <f t="shared" si="472"/>
        <v>1308</v>
      </c>
      <c r="AT1311" s="71">
        <f t="shared" si="473"/>
        <v>1.2933755526221407E-4</v>
      </c>
      <c r="AU1311" s="72">
        <f t="shared" si="469"/>
        <v>6.8214933659622723E-3</v>
      </c>
      <c r="AV1311" s="73">
        <f t="shared" si="471"/>
        <v>1.0068214933659623</v>
      </c>
      <c r="AW1311" s="74">
        <f>PRODUCT(AV$4:AV1311)</f>
        <v>7275.1417921100256</v>
      </c>
    </row>
    <row r="1312" spans="44:49">
      <c r="AR1312" s="69">
        <f t="shared" si="470"/>
        <v>110</v>
      </c>
      <c r="AS1312" s="70">
        <f t="shared" si="472"/>
        <v>1309</v>
      </c>
      <c r="AT1312" s="71">
        <f t="shared" si="473"/>
        <v>1.284552799870231E-4</v>
      </c>
      <c r="AU1312" s="72">
        <f t="shared" si="469"/>
        <v>6.8214933659622723E-3</v>
      </c>
      <c r="AV1312" s="73">
        <f t="shared" si="471"/>
        <v>1.0068214933659623</v>
      </c>
      <c r="AW1312" s="74">
        <f>PRODUCT(AV$4:AV1312)</f>
        <v>7324.769123581339</v>
      </c>
    </row>
    <row r="1313" spans="44:49">
      <c r="AR1313" s="69">
        <f t="shared" si="470"/>
        <v>110</v>
      </c>
      <c r="AS1313" s="70">
        <f t="shared" si="472"/>
        <v>1310</v>
      </c>
      <c r="AT1313" s="71">
        <f t="shared" si="473"/>
        <v>1.275790231467688E-4</v>
      </c>
      <c r="AU1313" s="72">
        <f t="shared" si="469"/>
        <v>6.8214933659622723E-3</v>
      </c>
      <c r="AV1313" s="73">
        <f t="shared" si="471"/>
        <v>1.0068214933659623</v>
      </c>
      <c r="AW1313" s="74">
        <f>PRODUCT(AV$4:AV1313)</f>
        <v>7374.7349875650543</v>
      </c>
    </row>
    <row r="1314" spans="44:49">
      <c r="AR1314" s="69">
        <f t="shared" si="470"/>
        <v>110</v>
      </c>
      <c r="AS1314" s="70">
        <f t="shared" si="472"/>
        <v>1311</v>
      </c>
      <c r="AT1314" s="71">
        <f t="shared" si="473"/>
        <v>1.2670874368673717E-4</v>
      </c>
      <c r="AU1314" s="72">
        <f t="shared" si="469"/>
        <v>6.8214933659622723E-3</v>
      </c>
      <c r="AV1314" s="73">
        <f t="shared" si="471"/>
        <v>1.0068214933659623</v>
      </c>
      <c r="AW1314" s="74">
        <f>PRODUCT(AV$4:AV1314)</f>
        <v>7425.0416933584593</v>
      </c>
    </row>
    <row r="1315" spans="44:49">
      <c r="AR1315" s="69">
        <f t="shared" si="470"/>
        <v>110</v>
      </c>
      <c r="AS1315" s="70">
        <f t="shared" si="472"/>
        <v>1312</v>
      </c>
      <c r="AT1315" s="71">
        <f t="shared" si="473"/>
        <v>1.2584440083226867E-4</v>
      </c>
      <c r="AU1315" s="72">
        <f t="shared" si="469"/>
        <v>6.8214933659622723E-3</v>
      </c>
      <c r="AV1315" s="73">
        <f t="shared" si="471"/>
        <v>1.0068214933659623</v>
      </c>
      <c r="AW1315" s="74">
        <f>PRODUCT(AV$4:AV1315)</f>
        <v>7475.6915660116974</v>
      </c>
    </row>
    <row r="1316" spans="44:49">
      <c r="AR1316" s="69">
        <f t="shared" si="470"/>
        <v>110</v>
      </c>
      <c r="AS1316" s="70">
        <f t="shared" si="472"/>
        <v>1313</v>
      </c>
      <c r="AT1316" s="71">
        <f t="shared" si="473"/>
        <v>1.2498595408684787E-4</v>
      </c>
      <c r="AU1316" s="72">
        <f t="shared" si="469"/>
        <v>6.8214933659622723E-3</v>
      </c>
      <c r="AV1316" s="73">
        <f t="shared" si="471"/>
        <v>1.0068214933659623</v>
      </c>
      <c r="AW1316" s="74">
        <f>PRODUCT(AV$4:AV1316)</f>
        <v>7526.6869464352267</v>
      </c>
    </row>
    <row r="1317" spans="44:49">
      <c r="AR1317" s="69">
        <f t="shared" si="470"/>
        <v>110</v>
      </c>
      <c r="AS1317" s="70">
        <f t="shared" si="472"/>
        <v>1314</v>
      </c>
      <c r="AT1317" s="71">
        <f t="shared" si="473"/>
        <v>1.2413336323020596E-4</v>
      </c>
      <c r="AU1317" s="72">
        <f t="shared" si="469"/>
        <v>6.8214933659622723E-3</v>
      </c>
      <c r="AV1317" s="73">
        <f t="shared" si="471"/>
        <v>1.0068214933659623</v>
      </c>
      <c r="AW1317" s="74">
        <f>PRODUCT(AV$4:AV1317)</f>
        <v>7578.030191508009</v>
      </c>
    </row>
    <row r="1318" spans="44:49">
      <c r="AR1318" s="69">
        <f t="shared" si="470"/>
        <v>110</v>
      </c>
      <c r="AS1318" s="70">
        <f t="shared" si="472"/>
        <v>1315</v>
      </c>
      <c r="AT1318" s="71">
        <f t="shared" si="473"/>
        <v>1.2328658831643654E-4</v>
      </c>
      <c r="AU1318" s="72">
        <f t="shared" si="469"/>
        <v>6.8214933659622723E-3</v>
      </c>
      <c r="AV1318" s="73">
        <f t="shared" si="471"/>
        <v>1.0068214933659623</v>
      </c>
      <c r="AW1318" s="74">
        <f>PRODUCT(AV$4:AV1318)</f>
        <v>7629.7236741864426</v>
      </c>
    </row>
    <row r="1319" spans="44:49">
      <c r="AR1319" s="69">
        <f t="shared" si="470"/>
        <v>110</v>
      </c>
      <c r="AS1319" s="70">
        <f t="shared" si="472"/>
        <v>1316</v>
      </c>
      <c r="AT1319" s="71">
        <f t="shared" si="473"/>
        <v>1.2244558967212384E-4</v>
      </c>
      <c r="AU1319" s="72">
        <f t="shared" si="469"/>
        <v>6.8214933659622723E-3</v>
      </c>
      <c r="AV1319" s="73">
        <f t="shared" si="471"/>
        <v>1.0068214933659623</v>
      </c>
      <c r="AW1319" s="74">
        <f>PRODUCT(AV$4:AV1319)</f>
        <v>7681.7697836140305</v>
      </c>
    </row>
    <row r="1320" spans="44:49">
      <c r="AR1320" s="69">
        <f t="shared" si="470"/>
        <v>110</v>
      </c>
      <c r="AS1320" s="70">
        <f t="shared" si="472"/>
        <v>1317</v>
      </c>
      <c r="AT1320" s="71">
        <f t="shared" si="473"/>
        <v>1.2161032789448412E-4</v>
      </c>
      <c r="AU1320" s="72">
        <f t="shared" si="469"/>
        <v>6.8214933659622723E-3</v>
      </c>
      <c r="AV1320" s="73">
        <f t="shared" si="471"/>
        <v>1.0068214933659623</v>
      </c>
      <c r="AW1320" s="74">
        <f>PRODUCT(AV$4:AV1320)</f>
        <v>7734.1709252318033</v>
      </c>
    </row>
    <row r="1321" spans="44:49">
      <c r="AR1321" s="69">
        <f t="shared" si="470"/>
        <v>110</v>
      </c>
      <c r="AS1321" s="70">
        <f t="shared" si="472"/>
        <v>1318</v>
      </c>
      <c r="AT1321" s="71">
        <f t="shared" si="473"/>
        <v>1.207807638495194E-4</v>
      </c>
      <c r="AU1321" s="72">
        <f t="shared" si="469"/>
        <v>6.8214933659622723E-3</v>
      </c>
      <c r="AV1321" s="73">
        <f t="shared" si="471"/>
        <v>1.0068214933659623</v>
      </c>
      <c r="AW1321" s="74">
        <f>PRODUCT(AV$4:AV1321)</f>
        <v>7786.92952088949</v>
      </c>
    </row>
    <row r="1322" spans="44:49">
      <c r="AR1322" s="69">
        <f t="shared" si="470"/>
        <v>110</v>
      </c>
      <c r="AS1322" s="70">
        <f t="shared" si="472"/>
        <v>1319</v>
      </c>
      <c r="AT1322" s="71">
        <f t="shared" si="473"/>
        <v>1.1995685867018404E-4</v>
      </c>
      <c r="AU1322" s="72">
        <f t="shared" si="469"/>
        <v>6.8214933659622723E-3</v>
      </c>
      <c r="AV1322" s="73">
        <f t="shared" si="471"/>
        <v>1.0068214933659623</v>
      </c>
      <c r="AW1322" s="74">
        <f>PRODUCT(AV$4:AV1322)</f>
        <v>7840.0480089574539</v>
      </c>
    </row>
    <row r="1323" spans="44:49">
      <c r="AR1323" s="69">
        <f t="shared" si="470"/>
        <v>110</v>
      </c>
      <c r="AS1323" s="70">
        <f t="shared" si="472"/>
        <v>1320</v>
      </c>
      <c r="AT1323" s="71">
        <f t="shared" si="473"/>
        <v>1.1913857375456371E-4</v>
      </c>
      <c r="AU1323" s="72">
        <f t="shared" si="469"/>
        <v>6.8214933659622723E-3</v>
      </c>
      <c r="AV1323" s="73">
        <f t="shared" si="471"/>
        <v>1.0068214933659623</v>
      </c>
      <c r="AW1323" s="74">
        <f>PRODUCT(AV$4:AV1323)</f>
        <v>7893.5288444393827</v>
      </c>
    </row>
    <row r="1324" spans="44:49">
      <c r="AR1324" s="69">
        <f t="shared" si="470"/>
        <v>111</v>
      </c>
      <c r="AS1324" s="70">
        <f t="shared" si="472"/>
        <v>1321</v>
      </c>
      <c r="AT1324" s="71">
        <f t="shared" si="473"/>
        <v>1.1832587076406674E-4</v>
      </c>
      <c r="AU1324" s="72">
        <f t="shared" si="469"/>
        <v>6.8214933659622723E-3</v>
      </c>
      <c r="AV1324" s="73">
        <f t="shared" si="471"/>
        <v>1.0068214933659623</v>
      </c>
      <c r="AW1324" s="74">
        <f>PRODUCT(AV$4:AV1324)</f>
        <v>7947.3744990857576</v>
      </c>
    </row>
    <row r="1325" spans="44:49">
      <c r="AR1325" s="69">
        <f t="shared" si="470"/>
        <v>111</v>
      </c>
      <c r="AS1325" s="70">
        <f t="shared" si="472"/>
        <v>1322</v>
      </c>
      <c r="AT1325" s="71">
        <f t="shared" si="473"/>
        <v>1.1751871162162795E-4</v>
      </c>
      <c r="AU1325" s="72">
        <f t="shared" si="469"/>
        <v>6.8214933659622723E-3</v>
      </c>
      <c r="AV1325" s="73">
        <f t="shared" si="471"/>
        <v>1.0068214933659623</v>
      </c>
      <c r="AW1325" s="74">
        <f>PRODUCT(AV$4:AV1325)</f>
        <v>8001.5874615080893</v>
      </c>
    </row>
    <row r="1326" spans="44:49">
      <c r="AR1326" s="69">
        <f t="shared" si="470"/>
        <v>111</v>
      </c>
      <c r="AS1326" s="70">
        <f t="shared" si="472"/>
        <v>1323</v>
      </c>
      <c r="AT1326" s="71">
        <f t="shared" si="473"/>
        <v>1.1671705850992458E-4</v>
      </c>
      <c r="AU1326" s="72">
        <f t="shared" si="469"/>
        <v>6.8214933659622723E-3</v>
      </c>
      <c r="AV1326" s="73">
        <f t="shared" si="471"/>
        <v>1.0068214933659623</v>
      </c>
      <c r="AW1326" s="74">
        <f>PRODUCT(AV$4:AV1326)</f>
        <v>8056.1702372939335</v>
      </c>
    </row>
    <row r="1327" spans="44:49">
      <c r="AR1327" s="69">
        <f t="shared" si="470"/>
        <v>111</v>
      </c>
      <c r="AS1327" s="70">
        <f t="shared" si="472"/>
        <v>1324</v>
      </c>
      <c r="AT1327" s="71">
        <f t="shared" si="473"/>
        <v>1.159208738696045E-4</v>
      </c>
      <c r="AU1327" s="72">
        <f t="shared" si="469"/>
        <v>6.8214933659622723E-3</v>
      </c>
      <c r="AV1327" s="73">
        <f t="shared" si="471"/>
        <v>1.0068214933659623</v>
      </c>
      <c r="AW1327" s="74">
        <f>PRODUCT(AV$4:AV1327)</f>
        <v>8111.1253491226971</v>
      </c>
    </row>
    <row r="1328" spans="44:49">
      <c r="AR1328" s="69">
        <f t="shared" si="470"/>
        <v>111</v>
      </c>
      <c r="AS1328" s="70">
        <f t="shared" si="472"/>
        <v>1325</v>
      </c>
      <c r="AT1328" s="71">
        <f t="shared" si="473"/>
        <v>1.1513012039752644E-4</v>
      </c>
      <c r="AU1328" s="72">
        <f t="shared" si="469"/>
        <v>6.8214933659622723E-3</v>
      </c>
      <c r="AV1328" s="73">
        <f t="shared" si="471"/>
        <v>1.0068214933659623</v>
      </c>
      <c r="AW1328" s="74">
        <f>PRODUCT(AV$4:AV1328)</f>
        <v>8166.4553368822262</v>
      </c>
    </row>
    <row r="1329" spans="44:49">
      <c r="AR1329" s="69">
        <f t="shared" si="470"/>
        <v>111</v>
      </c>
      <c r="AS1329" s="70">
        <f t="shared" si="472"/>
        <v>1326</v>
      </c>
      <c r="AT1329" s="71">
        <f t="shared" si="473"/>
        <v>1.1434476104501228E-4</v>
      </c>
      <c r="AU1329" s="72">
        <f t="shared" si="469"/>
        <v>6.8214933659622723E-3</v>
      </c>
      <c r="AV1329" s="73">
        <f t="shared" si="471"/>
        <v>1.0068214933659623</v>
      </c>
      <c r="AW1329" s="74">
        <f>PRODUCT(AV$4:AV1329)</f>
        <v>8222.1627577861964</v>
      </c>
    </row>
    <row r="1330" spans="44:49">
      <c r="AR1330" s="69">
        <f t="shared" si="470"/>
        <v>111</v>
      </c>
      <c r="AS1330" s="70">
        <f t="shared" si="472"/>
        <v>1327</v>
      </c>
      <c r="AT1330" s="71">
        <f t="shared" si="473"/>
        <v>1.1356475901611118E-4</v>
      </c>
      <c r="AU1330" s="72">
        <f t="shared" si="469"/>
        <v>6.8214933659622723E-3</v>
      </c>
      <c r="AV1330" s="73">
        <f t="shared" si="471"/>
        <v>1.0068214933659623</v>
      </c>
      <c r="AW1330" s="74">
        <f>PRODUCT(AV$4:AV1330)</f>
        <v>8278.2501864922979</v>
      </c>
    </row>
    <row r="1331" spans="44:49">
      <c r="AR1331" s="69">
        <f t="shared" si="470"/>
        <v>111</v>
      </c>
      <c r="AS1331" s="70">
        <f t="shared" si="472"/>
        <v>1328</v>
      </c>
      <c r="AT1331" s="71">
        <f t="shared" si="473"/>
        <v>1.1279007776587567E-4</v>
      </c>
      <c r="AU1331" s="72">
        <f t="shared" si="469"/>
        <v>6.8214933659622723E-3</v>
      </c>
      <c r="AV1331" s="73">
        <f t="shared" si="471"/>
        <v>1.0068214933659623</v>
      </c>
      <c r="AW1331" s="74">
        <f>PRODUCT(AV$4:AV1331)</f>
        <v>8334.7202152212303</v>
      </c>
    </row>
    <row r="1332" spans="44:49">
      <c r="AR1332" s="69">
        <f t="shared" si="470"/>
        <v>111</v>
      </c>
      <c r="AS1332" s="70">
        <f t="shared" si="472"/>
        <v>1329</v>
      </c>
      <c r="AT1332" s="71">
        <f t="shared" si="473"/>
        <v>1.1202068099864939E-4</v>
      </c>
      <c r="AU1332" s="72">
        <f t="shared" si="469"/>
        <v>6.8214933659622723E-3</v>
      </c>
      <c r="AV1332" s="73">
        <f t="shared" si="471"/>
        <v>1.0068214933659623</v>
      </c>
      <c r="AW1332" s="74">
        <f>PRODUCT(AV$4:AV1332)</f>
        <v>8391.5754538765141</v>
      </c>
    </row>
    <row r="1333" spans="44:49">
      <c r="AR1333" s="69">
        <f t="shared" si="470"/>
        <v>111</v>
      </c>
      <c r="AS1333" s="70">
        <f t="shared" si="472"/>
        <v>1330</v>
      </c>
      <c r="AT1333" s="71">
        <f t="shared" si="473"/>
        <v>1.1125653266636652E-4</v>
      </c>
      <c r="AU1333" s="72">
        <f t="shared" si="469"/>
        <v>6.8214933659622723E-3</v>
      </c>
      <c r="AV1333" s="73">
        <f t="shared" si="471"/>
        <v>1.0068214933659623</v>
      </c>
      <c r="AW1333" s="74">
        <f>PRODUCT(AV$4:AV1333)</f>
        <v>8448.8185301651047</v>
      </c>
    </row>
    <row r="1334" spans="44:49">
      <c r="AR1334" s="69">
        <f t="shared" si="470"/>
        <v>111</v>
      </c>
      <c r="AS1334" s="70">
        <f t="shared" si="472"/>
        <v>1331</v>
      </c>
      <c r="AT1334" s="71">
        <f t="shared" si="473"/>
        <v>1.1049759696686294E-4</v>
      </c>
      <c r="AU1334" s="72">
        <f t="shared" si="469"/>
        <v>6.8214933659622723E-3</v>
      </c>
      <c r="AV1334" s="73">
        <f t="shared" si="471"/>
        <v>1.0068214933659623</v>
      </c>
      <c r="AW1334" s="74">
        <f>PRODUCT(AV$4:AV1334)</f>
        <v>8506.4520897188449</v>
      </c>
    </row>
    <row r="1335" spans="44:49">
      <c r="AR1335" s="69">
        <f t="shared" si="470"/>
        <v>111</v>
      </c>
      <c r="AS1335" s="70">
        <f t="shared" si="472"/>
        <v>1332</v>
      </c>
      <c r="AT1335" s="71">
        <f t="shared" si="473"/>
        <v>1.0974383834219872E-4</v>
      </c>
      <c r="AU1335" s="72">
        <f t="shared" si="469"/>
        <v>6.8214933659622723E-3</v>
      </c>
      <c r="AV1335" s="73">
        <f t="shared" si="471"/>
        <v>1.0068214933659623</v>
      </c>
      <c r="AW1335" s="74">
        <f>PRODUCT(AV$4:AV1335)</f>
        <v>8564.4787962167375</v>
      </c>
    </row>
    <row r="1336" spans="44:49">
      <c r="AR1336" s="69">
        <f t="shared" si="470"/>
        <v>112</v>
      </c>
      <c r="AS1336" s="70">
        <f t="shared" si="472"/>
        <v>1333</v>
      </c>
      <c r="AT1336" s="71">
        <f t="shared" si="473"/>
        <v>1.0899522147699218E-4</v>
      </c>
      <c r="AU1336" s="72">
        <f t="shared" si="469"/>
        <v>6.8214933659622723E-3</v>
      </c>
      <c r="AV1336" s="73">
        <f t="shared" si="471"/>
        <v>1.0068214933659623</v>
      </c>
      <c r="AW1336" s="74">
        <f>PRODUCT(AV$4:AV1336)</f>
        <v>8622.9013315080538</v>
      </c>
    </row>
    <row r="1337" spans="44:49">
      <c r="AR1337" s="69">
        <f t="shared" si="470"/>
        <v>112</v>
      </c>
      <c r="AS1337" s="70">
        <f t="shared" si="472"/>
        <v>1334</v>
      </c>
      <c r="AT1337" s="71">
        <f t="shared" si="473"/>
        <v>1.0825171129676529E-4</v>
      </c>
      <c r="AU1337" s="72">
        <f t="shared" si="469"/>
        <v>6.8214933659622723E-3</v>
      </c>
      <c r="AV1337" s="73">
        <f t="shared" si="471"/>
        <v>1.0068214933659623</v>
      </c>
      <c r="AW1337" s="74">
        <f>PRODUCT(AV$4:AV1337)</f>
        <v>8681.7223957362839</v>
      </c>
    </row>
    <row r="1338" spans="44:49">
      <c r="AR1338" s="69">
        <f t="shared" si="470"/>
        <v>112</v>
      </c>
      <c r="AS1338" s="70">
        <f t="shared" si="472"/>
        <v>1335</v>
      </c>
      <c r="AT1338" s="71">
        <f t="shared" si="473"/>
        <v>1.0751327296630035E-4</v>
      </c>
      <c r="AU1338" s="72">
        <f t="shared" si="469"/>
        <v>6.8214933659622723E-3</v>
      </c>
      <c r="AV1338" s="73">
        <f t="shared" si="471"/>
        <v>1.0068214933659623</v>
      </c>
      <c r="AW1338" s="74">
        <f>PRODUCT(AV$4:AV1338)</f>
        <v>8740.9447074639247</v>
      </c>
    </row>
    <row r="1339" spans="44:49">
      <c r="AR1339" s="69">
        <f t="shared" si="470"/>
        <v>112</v>
      </c>
      <c r="AS1339" s="70">
        <f t="shared" si="472"/>
        <v>1336</v>
      </c>
      <c r="AT1339" s="71">
        <f t="shared" si="473"/>
        <v>1.0677987188800784E-4</v>
      </c>
      <c r="AU1339" s="72">
        <f t="shared" si="469"/>
        <v>6.8214933659622723E-3</v>
      </c>
      <c r="AV1339" s="73">
        <f t="shared" si="471"/>
        <v>1.0068214933659623</v>
      </c>
      <c r="AW1339" s="74">
        <f>PRODUCT(AV$4:AV1339)</f>
        <v>8800.5710037981335</v>
      </c>
    </row>
    <row r="1340" spans="44:49">
      <c r="AR1340" s="69">
        <f t="shared" si="470"/>
        <v>112</v>
      </c>
      <c r="AS1340" s="70">
        <f t="shared" si="472"/>
        <v>1337</v>
      </c>
      <c r="AT1340" s="71">
        <f t="shared" si="473"/>
        <v>1.0605147370030549E-4</v>
      </c>
      <c r="AU1340" s="72">
        <f t="shared" si="469"/>
        <v>6.8214933659622723E-3</v>
      </c>
      <c r="AV1340" s="73">
        <f t="shared" si="471"/>
        <v>1.0068214933659623</v>
      </c>
      <c r="AW1340" s="74">
        <f>PRODUCT(AV$4:AV1340)</f>
        <v>8860.6040405172225</v>
      </c>
    </row>
    <row r="1341" spans="44:49">
      <c r="AR1341" s="69">
        <f t="shared" si="470"/>
        <v>112</v>
      </c>
      <c r="AS1341" s="70">
        <f t="shared" si="472"/>
        <v>1338</v>
      </c>
      <c r="AT1341" s="71">
        <f t="shared" si="473"/>
        <v>1.0532804427600833E-4</v>
      </c>
      <c r="AU1341" s="72">
        <f t="shared" si="469"/>
        <v>6.8214933659622723E-3</v>
      </c>
      <c r="AV1341" s="73">
        <f t="shared" si="471"/>
        <v>1.0068214933659623</v>
      </c>
      <c r="AW1341" s="74">
        <f>PRODUCT(AV$4:AV1341)</f>
        <v>8921.0465921980285</v>
      </c>
    </row>
    <row r="1342" spans="44:49">
      <c r="AR1342" s="69">
        <f t="shared" si="470"/>
        <v>112</v>
      </c>
      <c r="AS1342" s="70">
        <f t="shared" si="472"/>
        <v>1339</v>
      </c>
      <c r="AT1342" s="71">
        <f t="shared" si="473"/>
        <v>1.0460954972072977E-4</v>
      </c>
      <c r="AU1342" s="72">
        <f t="shared" si="469"/>
        <v>6.8214933659622723E-3</v>
      </c>
      <c r="AV1342" s="73">
        <f t="shared" si="471"/>
        <v>1.0068214933659623</v>
      </c>
      <c r="AW1342" s="74">
        <f>PRODUCT(AV$4:AV1342)</f>
        <v>8981.9014523441474</v>
      </c>
    </row>
    <row r="1343" spans="44:49">
      <c r="AR1343" s="69">
        <f t="shared" si="470"/>
        <v>112</v>
      </c>
      <c r="AS1343" s="70">
        <f t="shared" si="472"/>
        <v>1340</v>
      </c>
      <c r="AT1343" s="71">
        <f t="shared" si="473"/>
        <v>1.0389595637129351E-4</v>
      </c>
      <c r="AU1343" s="72">
        <f t="shared" si="469"/>
        <v>6.8214933659622723E-3</v>
      </c>
      <c r="AV1343" s="73">
        <f t="shared" si="471"/>
        <v>1.0068214933659623</v>
      </c>
      <c r="AW1343" s="74">
        <f>PRODUCT(AV$4:AV1343)</f>
        <v>9043.1714335150391</v>
      </c>
    </row>
    <row r="1344" spans="44:49">
      <c r="AR1344" s="69">
        <f t="shared" si="470"/>
        <v>112</v>
      </c>
      <c r="AS1344" s="70">
        <f t="shared" si="472"/>
        <v>1341</v>
      </c>
      <c r="AT1344" s="71">
        <f t="shared" si="473"/>
        <v>1.0318723079415642E-4</v>
      </c>
      <c r="AU1344" s="72">
        <f t="shared" si="469"/>
        <v>6.8214933659622723E-3</v>
      </c>
      <c r="AV1344" s="73">
        <f t="shared" si="471"/>
        <v>1.0068214933659623</v>
      </c>
      <c r="AW1344" s="74">
        <f>PRODUCT(AV$4:AV1344)</f>
        <v>9104.8593674560216</v>
      </c>
    </row>
    <row r="1345" spans="44:49">
      <c r="AR1345" s="69">
        <f t="shared" si="470"/>
        <v>112</v>
      </c>
      <c r="AS1345" s="70">
        <f t="shared" si="472"/>
        <v>1342</v>
      </c>
      <c r="AT1345" s="71">
        <f t="shared" si="473"/>
        <v>1.0248333978384207E-4</v>
      </c>
      <c r="AU1345" s="72">
        <f t="shared" si="469"/>
        <v>6.8214933659622723E-3</v>
      </c>
      <c r="AV1345" s="73">
        <f t="shared" si="471"/>
        <v>1.0068214933659623</v>
      </c>
      <c r="AW1345" s="74">
        <f>PRODUCT(AV$4:AV1345)</f>
        <v>9166.9681052291417</v>
      </c>
    </row>
    <row r="1346" spans="44:49">
      <c r="AR1346" s="69">
        <f t="shared" si="470"/>
        <v>112</v>
      </c>
      <c r="AS1346" s="70">
        <f t="shared" si="472"/>
        <v>1343</v>
      </c>
      <c r="AT1346" s="71">
        <f t="shared" si="473"/>
        <v>1.0178425036138493E-4</v>
      </c>
      <c r="AU1346" s="72">
        <f t="shared" si="469"/>
        <v>6.8214933659622723E-3</v>
      </c>
      <c r="AV1346" s="73">
        <f t="shared" si="471"/>
        <v>1.0068214933659623</v>
      </c>
      <c r="AW1346" s="74">
        <f>PRODUCT(AV$4:AV1346)</f>
        <v>9229.5005173449499</v>
      </c>
    </row>
    <row r="1347" spans="44:49">
      <c r="AR1347" s="69">
        <f t="shared" si="470"/>
        <v>112</v>
      </c>
      <c r="AS1347" s="70">
        <f t="shared" si="472"/>
        <v>1344</v>
      </c>
      <c r="AT1347" s="71">
        <f t="shared" si="473"/>
        <v>1.010899297727853E-4</v>
      </c>
      <c r="AU1347" s="72">
        <f t="shared" si="469"/>
        <v>6.8214933659622723E-3</v>
      </c>
      <c r="AV1347" s="73">
        <f t="shared" si="471"/>
        <v>1.0068214933659623</v>
      </c>
      <c r="AW1347" s="74">
        <f>PRODUCT(AV$4:AV1347)</f>
        <v>9292.4594938951632</v>
      </c>
    </row>
    <row r="1348" spans="44:49">
      <c r="AR1348" s="69">
        <f t="shared" si="470"/>
        <v>113</v>
      </c>
      <c r="AS1348" s="70">
        <f t="shared" si="472"/>
        <v>1345</v>
      </c>
      <c r="AT1348" s="71">
        <f t="shared" si="473"/>
        <v>1.0040034548747465E-4</v>
      </c>
      <c r="AU1348" s="72">
        <f t="shared" ref="AU1348:AU1411" si="474">((1+$AH$21)^(1/12))-1</f>
        <v>6.8214933659622723E-3</v>
      </c>
      <c r="AV1348" s="73">
        <f t="shared" si="471"/>
        <v>1.0068214933659623</v>
      </c>
      <c r="AW1348" s="74">
        <f>PRODUCT(AV$4:AV1348)</f>
        <v>9355.847944686242</v>
      </c>
    </row>
    <row r="1349" spans="44:49">
      <c r="AR1349" s="69">
        <f t="shared" ref="AR1349:AR1412" si="475">ROUNDDOWN((AS1349-1)/12,0)+1</f>
        <v>113</v>
      </c>
      <c r="AS1349" s="70">
        <f t="shared" si="472"/>
        <v>1346</v>
      </c>
      <c r="AT1349" s="71">
        <f t="shared" si="473"/>
        <v>9.9715465196791519E-5</v>
      </c>
      <c r="AU1349" s="72">
        <f t="shared" si="474"/>
        <v>6.8214933659622723E-3</v>
      </c>
      <c r="AV1349" s="73">
        <f t="shared" ref="AV1349:AV1412" si="476">(1+AU1349)</f>
        <v>1.0068214933659623</v>
      </c>
      <c r="AW1349" s="74">
        <f>PRODUCT(AV$4:AV1349)</f>
        <v>9419.6687993738706</v>
      </c>
    </row>
    <row r="1350" spans="44:49">
      <c r="AR1350" s="69">
        <f t="shared" si="475"/>
        <v>113</v>
      </c>
      <c r="AS1350" s="70">
        <f t="shared" ref="AS1350:AS1413" si="477">AS1349+1</f>
        <v>1347</v>
      </c>
      <c r="AT1350" s="71">
        <f t="shared" ref="AT1350:AT1413" si="478">(1-AU1350)*AT1349</f>
        <v>9.9035256812467765E-5</v>
      </c>
      <c r="AU1350" s="72">
        <f t="shared" si="474"/>
        <v>6.8214933659622723E-3</v>
      </c>
      <c r="AV1350" s="73">
        <f t="shared" si="476"/>
        <v>1.0068214933659623</v>
      </c>
      <c r="AW1350" s="74">
        <f>PRODUCT(AV$4:AV1350)</f>
        <v>9483.9250075983618</v>
      </c>
    </row>
    <row r="1351" spans="44:49">
      <c r="AR1351" s="69">
        <f t="shared" si="475"/>
        <v>113</v>
      </c>
      <c r="AS1351" s="70">
        <f t="shared" si="477"/>
        <v>1348</v>
      </c>
      <c r="AT1351" s="71">
        <f t="shared" si="478"/>
        <v>9.8359688465125144E-5</v>
      </c>
      <c r="AU1351" s="72">
        <f t="shared" si="474"/>
        <v>6.8214933659622723E-3</v>
      </c>
      <c r="AV1351" s="73">
        <f t="shared" si="476"/>
        <v>1.0068214933659623</v>
      </c>
      <c r="AW1351" s="74">
        <f>PRODUCT(AV$4:AV1351)</f>
        <v>9548.6195391209785</v>
      </c>
    </row>
    <row r="1352" spans="44:49">
      <c r="AR1352" s="69">
        <f t="shared" si="475"/>
        <v>113</v>
      </c>
      <c r="AS1352" s="70">
        <f t="shared" si="477"/>
        <v>1349</v>
      </c>
      <c r="AT1352" s="71">
        <f t="shared" si="478"/>
        <v>9.7688728502782178E-5</v>
      </c>
      <c r="AU1352" s="72">
        <f t="shared" si="474"/>
        <v>6.8214933659622723E-3</v>
      </c>
      <c r="AV1352" s="73">
        <f t="shared" si="476"/>
        <v>1.0068214933659623</v>
      </c>
      <c r="AW1352" s="74">
        <f>PRODUCT(AV$4:AV1352)</f>
        <v>9613.7553839611901</v>
      </c>
    </row>
    <row r="1353" spans="44:49">
      <c r="AR1353" s="69">
        <f t="shared" si="475"/>
        <v>113</v>
      </c>
      <c r="AS1353" s="70">
        <f t="shared" si="477"/>
        <v>1350</v>
      </c>
      <c r="AT1353" s="71">
        <f t="shared" si="478"/>
        <v>9.7022345489371155E-5</v>
      </c>
      <c r="AU1353" s="72">
        <f t="shared" si="474"/>
        <v>6.8214933659622723E-3</v>
      </c>
      <c r="AV1353" s="73">
        <f t="shared" si="476"/>
        <v>1.0068214933659623</v>
      </c>
      <c r="AW1353" s="74">
        <f>PRODUCT(AV$4:AV1353)</f>
        <v>9679.3355525348652</v>
      </c>
    </row>
    <row r="1354" spans="44:49">
      <c r="AR1354" s="69">
        <f t="shared" si="475"/>
        <v>113</v>
      </c>
      <c r="AS1354" s="70">
        <f t="shared" si="477"/>
        <v>1351</v>
      </c>
      <c r="AT1354" s="71">
        <f t="shared" si="478"/>
        <v>9.636050820326531E-5</v>
      </c>
      <c r="AU1354" s="72">
        <f t="shared" si="474"/>
        <v>6.8214933659622723E-3</v>
      </c>
      <c r="AV1354" s="73">
        <f t="shared" si="476"/>
        <v>1.0068214933659623</v>
      </c>
      <c r="AW1354" s="74">
        <f>PRODUCT(AV$4:AV1354)</f>
        <v>9745.3630757934043</v>
      </c>
    </row>
    <row r="1355" spans="44:49">
      <c r="AR1355" s="69">
        <f t="shared" si="475"/>
        <v>113</v>
      </c>
      <c r="AS1355" s="70">
        <f t="shared" si="477"/>
        <v>1352</v>
      </c>
      <c r="AT1355" s="71">
        <f t="shared" si="478"/>
        <v>9.5703185635815979E-5</v>
      </c>
      <c r="AU1355" s="72">
        <f t="shared" si="474"/>
        <v>6.8214933659622723E-3</v>
      </c>
      <c r="AV1355" s="73">
        <f t="shared" si="476"/>
        <v>1.0068214933659623</v>
      </c>
      <c r="AW1355" s="74">
        <f>PRODUCT(AV$4:AV1355)</f>
        <v>9811.8410053638236</v>
      </c>
    </row>
    <row r="1356" spans="44:49">
      <c r="AR1356" s="69">
        <f t="shared" si="475"/>
        <v>113</v>
      </c>
      <c r="AS1356" s="70">
        <f t="shared" si="477"/>
        <v>1353</v>
      </c>
      <c r="AT1356" s="71">
        <f t="shared" si="478"/>
        <v>9.5050346989899805E-5</v>
      </c>
      <c r="AU1356" s="72">
        <f t="shared" si="474"/>
        <v>6.8214933659622723E-3</v>
      </c>
      <c r="AV1356" s="73">
        <f t="shared" si="476"/>
        <v>1.0068214933659623</v>
      </c>
      <c r="AW1356" s="74">
        <f>PRODUCT(AV$4:AV1356)</f>
        <v>9878.7724136897887</v>
      </c>
    </row>
    <row r="1357" spans="44:49">
      <c r="AR1357" s="69">
        <f t="shared" si="475"/>
        <v>113</v>
      </c>
      <c r="AS1357" s="70">
        <f t="shared" si="477"/>
        <v>1354</v>
      </c>
      <c r="AT1357" s="71">
        <f t="shared" si="478"/>
        <v>9.4401961678475791E-5</v>
      </c>
      <c r="AU1357" s="72">
        <f t="shared" si="474"/>
        <v>6.8214933659622723E-3</v>
      </c>
      <c r="AV1357" s="73">
        <f t="shared" si="476"/>
        <v>1.0068214933659623</v>
      </c>
      <c r="AW1357" s="74">
        <f>PRODUCT(AV$4:AV1357)</f>
        <v>9946.1603941736248</v>
      </c>
    </row>
    <row r="1358" spans="44:49">
      <c r="AR1358" s="69">
        <f t="shared" si="475"/>
        <v>113</v>
      </c>
      <c r="AS1358" s="70">
        <f t="shared" si="477"/>
        <v>1355</v>
      </c>
      <c r="AT1358" s="71">
        <f t="shared" si="478"/>
        <v>9.3757999323152241E-5</v>
      </c>
      <c r="AU1358" s="72">
        <f t="shared" si="474"/>
        <v>6.8214933659622723E-3</v>
      </c>
      <c r="AV1358" s="73">
        <f t="shared" si="476"/>
        <v>1.0068214933659623</v>
      </c>
      <c r="AW1358" s="74">
        <f>PRODUCT(AV$4:AV1358)</f>
        <v>10014.008061319277</v>
      </c>
    </row>
    <row r="1359" spans="44:49">
      <c r="AR1359" s="69">
        <f t="shared" si="475"/>
        <v>113</v>
      </c>
      <c r="AS1359" s="70">
        <f t="shared" si="477"/>
        <v>1356</v>
      </c>
      <c r="AT1359" s="71">
        <f t="shared" si="478"/>
        <v>9.3118429752763458E-5</v>
      </c>
      <c r="AU1359" s="72">
        <f t="shared" si="474"/>
        <v>6.8214933659622723E-3</v>
      </c>
      <c r="AV1359" s="73">
        <f t="shared" si="476"/>
        <v>1.0068214933659623</v>
      </c>
      <c r="AW1359" s="74">
        <f>PRODUCT(AV$4:AV1359)</f>
        <v>10082.318550876258</v>
      </c>
    </row>
    <row r="1360" spans="44:49">
      <c r="AR1360" s="69">
        <f t="shared" si="475"/>
        <v>114</v>
      </c>
      <c r="AS1360" s="70">
        <f t="shared" si="477"/>
        <v>1357</v>
      </c>
      <c r="AT1360" s="71">
        <f t="shared" si="478"/>
        <v>9.2483223001956164E-5</v>
      </c>
      <c r="AU1360" s="72">
        <f t="shared" si="474"/>
        <v>6.8214933659622723E-3</v>
      </c>
      <c r="AV1360" s="73">
        <f t="shared" si="476"/>
        <v>1.0068214933659623</v>
      </c>
      <c r="AW1360" s="74">
        <f>PRODUCT(AV$4:AV1360)</f>
        <v>10151.095019984579</v>
      </c>
    </row>
    <row r="1361" spans="44:49">
      <c r="AR1361" s="69">
        <f t="shared" si="475"/>
        <v>114</v>
      </c>
      <c r="AS1361" s="70">
        <f t="shared" si="477"/>
        <v>1358</v>
      </c>
      <c r="AT1361" s="71">
        <f t="shared" si="478"/>
        <v>9.1852349309785511E-5</v>
      </c>
      <c r="AU1361" s="72">
        <f t="shared" si="474"/>
        <v>6.8214933659622723E-3</v>
      </c>
      <c r="AV1361" s="73">
        <f t="shared" si="476"/>
        <v>1.0068214933659623</v>
      </c>
      <c r="AW1361" s="74">
        <f>PRODUCT(AV$4:AV1361)</f>
        <v>10220.340647320656</v>
      </c>
    </row>
    <row r="1362" spans="44:49">
      <c r="AR1362" s="69">
        <f t="shared" si="475"/>
        <v>114</v>
      </c>
      <c r="AS1362" s="70">
        <f t="shared" si="477"/>
        <v>1359</v>
      </c>
      <c r="AT1362" s="71">
        <f t="shared" si="478"/>
        <v>9.1225779118320758E-5</v>
      </c>
      <c r="AU1362" s="72">
        <f t="shared" si="474"/>
        <v>6.8214933659622723E-3</v>
      </c>
      <c r="AV1362" s="73">
        <f t="shared" si="476"/>
        <v>1.0068214933659623</v>
      </c>
      <c r="AW1362" s="74">
        <f>PRODUCT(AV$4:AV1362)</f>
        <v>10290.058633244229</v>
      </c>
    </row>
    <row r="1363" spans="44:49">
      <c r="AR1363" s="69">
        <f t="shared" si="475"/>
        <v>114</v>
      </c>
      <c r="AS1363" s="70">
        <f t="shared" si="477"/>
        <v>1360</v>
      </c>
      <c r="AT1363" s="71">
        <f t="shared" si="478"/>
        <v>9.0603483071260388E-5</v>
      </c>
      <c r="AU1363" s="72">
        <f t="shared" si="474"/>
        <v>6.8214933659622723E-3</v>
      </c>
      <c r="AV1363" s="73">
        <f t="shared" si="476"/>
        <v>1.0068214933659623</v>
      </c>
      <c r="AW1363" s="74">
        <f>PRODUCT(AV$4:AV1363)</f>
        <v>10360.252199946268</v>
      </c>
    </row>
    <row r="1364" spans="44:49">
      <c r="AR1364" s="69">
        <f t="shared" si="475"/>
        <v>114</v>
      </c>
      <c r="AS1364" s="70">
        <f t="shared" si="477"/>
        <v>1361</v>
      </c>
      <c r="AT1364" s="71">
        <f t="shared" si="478"/>
        <v>8.9985432012556709E-5</v>
      </c>
      <c r="AU1364" s="72">
        <f t="shared" si="474"/>
        <v>6.8214933659622723E-3</v>
      </c>
      <c r="AV1364" s="73">
        <f t="shared" si="476"/>
        <v>1.0068214933659623</v>
      </c>
      <c r="AW1364" s="74">
        <f>PRODUCT(AV$4:AV1364)</f>
        <v>10430.924591597897</v>
      </c>
    </row>
    <row r="1365" spans="44:49">
      <c r="AR1365" s="69">
        <f t="shared" si="475"/>
        <v>114</v>
      </c>
      <c r="AS1365" s="70">
        <f t="shared" si="477"/>
        <v>1362</v>
      </c>
      <c r="AT1365" s="71">
        <f t="shared" si="478"/>
        <v>8.9371596985049809E-5</v>
      </c>
      <c r="AU1365" s="72">
        <f t="shared" si="474"/>
        <v>6.8214933659622723E-3</v>
      </c>
      <c r="AV1365" s="73">
        <f t="shared" si="476"/>
        <v>1.0068214933659623</v>
      </c>
      <c r="AW1365" s="74">
        <f>PRODUCT(AV$4:AV1365)</f>
        <v>10502.079074500334</v>
      </c>
    </row>
    <row r="1366" spans="44:49">
      <c r="AR1366" s="69">
        <f t="shared" si="475"/>
        <v>114</v>
      </c>
      <c r="AS1366" s="70">
        <f t="shared" si="477"/>
        <v>1363</v>
      </c>
      <c r="AT1366" s="71">
        <f t="shared" si="478"/>
        <v>8.876194922911084E-5</v>
      </c>
      <c r="AU1366" s="72">
        <f t="shared" si="474"/>
        <v>6.8214933659622723E-3</v>
      </c>
      <c r="AV1366" s="73">
        <f t="shared" si="476"/>
        <v>1.0068214933659623</v>
      </c>
      <c r="AW1366" s="74">
        <f>PRODUCT(AV$4:AV1366)</f>
        <v>10573.71893723585</v>
      </c>
    </row>
    <row r="1367" spans="44:49">
      <c r="AR1367" s="69">
        <f t="shared" si="475"/>
        <v>114</v>
      </c>
      <c r="AS1367" s="70">
        <f t="shared" si="477"/>
        <v>1364</v>
      </c>
      <c r="AT1367" s="71">
        <f t="shared" si="478"/>
        <v>8.8156460181294574E-5</v>
      </c>
      <c r="AU1367" s="72">
        <f t="shared" si="474"/>
        <v>6.8214933659622723E-3</v>
      </c>
      <c r="AV1367" s="73">
        <f t="shared" si="476"/>
        <v>1.0068214933659623</v>
      </c>
      <c r="AW1367" s="74">
        <f>PRODUCT(AV$4:AV1367)</f>
        <v>10645.847490819753</v>
      </c>
    </row>
    <row r="1368" spans="44:49">
      <c r="AR1368" s="69">
        <f t="shared" si="475"/>
        <v>114</v>
      </c>
      <c r="AS1368" s="70">
        <f t="shared" si="477"/>
        <v>1365</v>
      </c>
      <c r="AT1368" s="71">
        <f t="shared" si="478"/>
        <v>8.7555101473001156E-5</v>
      </c>
      <c r="AU1368" s="72">
        <f t="shared" si="474"/>
        <v>6.8214933659622723E-3</v>
      </c>
      <c r="AV1368" s="73">
        <f t="shared" si="476"/>
        <v>1.0068214933659623</v>
      </c>
      <c r="AW1368" s="74">
        <f>PRODUCT(AV$4:AV1368)</f>
        <v>10718.468068853426</v>
      </c>
    </row>
    <row r="1369" spans="44:49">
      <c r="AR1369" s="69">
        <f t="shared" si="475"/>
        <v>114</v>
      </c>
      <c r="AS1369" s="70">
        <f t="shared" si="477"/>
        <v>1366</v>
      </c>
      <c r="AT1369" s="71">
        <f t="shared" si="478"/>
        <v>8.6957844929146926E-5</v>
      </c>
      <c r="AU1369" s="72">
        <f t="shared" si="474"/>
        <v>6.8214933659622723E-3</v>
      </c>
      <c r="AV1369" s="73">
        <f t="shared" si="476"/>
        <v>1.0068214933659623</v>
      </c>
      <c r="AW1369" s="74">
        <f>PRODUCT(AV$4:AV1369)</f>
        <v>10791.584027678389</v>
      </c>
    </row>
    <row r="1370" spans="44:49">
      <c r="AR1370" s="69">
        <f t="shared" si="475"/>
        <v>114</v>
      </c>
      <c r="AS1370" s="70">
        <f t="shared" si="477"/>
        <v>1367</v>
      </c>
      <c r="AT1370" s="71">
        <f t="shared" si="478"/>
        <v>8.6364662566844368E-5</v>
      </c>
      <c r="AU1370" s="72">
        <f t="shared" si="474"/>
        <v>6.8214933659622723E-3</v>
      </c>
      <c r="AV1370" s="73">
        <f t="shared" si="476"/>
        <v>1.0068214933659623</v>
      </c>
      <c r="AW1370" s="74">
        <f>PRODUCT(AV$4:AV1370)</f>
        <v>10865.198746531421</v>
      </c>
    </row>
    <row r="1371" spans="44:49">
      <c r="AR1371" s="69">
        <f t="shared" si="475"/>
        <v>114</v>
      </c>
      <c r="AS1371" s="70">
        <f t="shared" si="477"/>
        <v>1368</v>
      </c>
      <c r="AT1371" s="71">
        <f t="shared" si="478"/>
        <v>8.5775526594091071E-5</v>
      </c>
      <c r="AU1371" s="72">
        <f t="shared" si="474"/>
        <v>6.8214933659622723E-3</v>
      </c>
      <c r="AV1371" s="73">
        <f t="shared" si="476"/>
        <v>1.0068214933659623</v>
      </c>
      <c r="AW1371" s="74">
        <f>PRODUCT(AV$4:AV1371)</f>
        <v>10939.315627700747</v>
      </c>
    </row>
    <row r="1372" spans="44:49">
      <c r="AR1372" s="69">
        <f t="shared" si="475"/>
        <v>115</v>
      </c>
      <c r="AS1372" s="70">
        <f t="shared" si="477"/>
        <v>1369</v>
      </c>
      <c r="AT1372" s="71">
        <f t="shared" si="478"/>
        <v>8.5190409408467552E-5</v>
      </c>
      <c r="AU1372" s="72">
        <f t="shared" si="474"/>
        <v>6.8214933659622723E-3</v>
      </c>
      <c r="AV1372" s="73">
        <f t="shared" si="476"/>
        <v>1.0068214933659623</v>
      </c>
      <c r="AW1372" s="74">
        <f>PRODUCT(AV$4:AV1372)</f>
        <v>11013.938096683276</v>
      </c>
    </row>
    <row r="1373" spans="44:49">
      <c r="AR1373" s="69">
        <f t="shared" si="475"/>
        <v>115</v>
      </c>
      <c r="AS1373" s="70">
        <f t="shared" si="477"/>
        <v>1370</v>
      </c>
      <c r="AT1373" s="71">
        <f t="shared" si="478"/>
        <v>8.4609283595844077E-5</v>
      </c>
      <c r="AU1373" s="72">
        <f t="shared" si="474"/>
        <v>6.8214933659622723E-3</v>
      </c>
      <c r="AV1373" s="73">
        <f t="shared" si="476"/>
        <v>1.0068214933659623</v>
      </c>
      <c r="AW1373" s="74">
        <f>PRODUCT(AV$4:AV1373)</f>
        <v>11089.069602342921</v>
      </c>
    </row>
    <row r="1374" spans="44:49">
      <c r="AR1374" s="69">
        <f t="shared" si="475"/>
        <v>115</v>
      </c>
      <c r="AS1374" s="70">
        <f t="shared" si="477"/>
        <v>1371</v>
      </c>
      <c r="AT1374" s="71">
        <f t="shared" si="478"/>
        <v>8.4032121929096212E-5</v>
      </c>
      <c r="AU1374" s="72">
        <f t="shared" si="474"/>
        <v>6.8214933659622723E-3</v>
      </c>
      <c r="AV1374" s="73">
        <f t="shared" si="476"/>
        <v>1.0068214933659623</v>
      </c>
      <c r="AW1374" s="74">
        <f>PRODUCT(AV$4:AV1374)</f>
        <v>11164.713617069998</v>
      </c>
    </row>
    <row r="1375" spans="44:49">
      <c r="AR1375" s="69">
        <f t="shared" si="475"/>
        <v>115</v>
      </c>
      <c r="AS1375" s="70">
        <f t="shared" si="477"/>
        <v>1372</v>
      </c>
      <c r="AT1375" s="71">
        <f t="shared" si="478"/>
        <v>8.3458897366829146E-5</v>
      </c>
      <c r="AU1375" s="72">
        <f t="shared" si="474"/>
        <v>6.8214933659622723E-3</v>
      </c>
      <c r="AV1375" s="73">
        <f t="shared" si="476"/>
        <v>1.0068214933659623</v>
      </c>
      <c r="AW1375" s="74">
        <f>PRODUCT(AV$4:AV1375)</f>
        <v>11240.873636941709</v>
      </c>
    </row>
    <row r="1376" spans="44:49">
      <c r="AR1376" s="69">
        <f t="shared" si="475"/>
        <v>115</v>
      </c>
      <c r="AS1376" s="70">
        <f t="shared" si="477"/>
        <v>1373</v>
      </c>
      <c r="AT1376" s="71">
        <f t="shared" si="478"/>
        <v>8.2889583052110795E-5</v>
      </c>
      <c r="AU1376" s="72">
        <f t="shared" si="474"/>
        <v>6.8214933659622723E-3</v>
      </c>
      <c r="AV1376" s="73">
        <f t="shared" si="476"/>
        <v>1.0068214933659623</v>
      </c>
      <c r="AW1376" s="74">
        <f>PRODUCT(AV$4:AV1376)</f>
        <v>11317.553181883728</v>
      </c>
    </row>
    <row r="1377" spans="44:49">
      <c r="AR1377" s="69">
        <f t="shared" si="475"/>
        <v>115</v>
      </c>
      <c r="AS1377" s="70">
        <f t="shared" si="477"/>
        <v>1374</v>
      </c>
      <c r="AT1377" s="71">
        <f t="shared" si="478"/>
        <v>8.2324152311213439E-5</v>
      </c>
      <c r="AU1377" s="72">
        <f t="shared" si="474"/>
        <v>6.8214933659622723E-3</v>
      </c>
      <c r="AV1377" s="73">
        <f t="shared" si="476"/>
        <v>1.0068214933659623</v>
      </c>
      <c r="AW1377" s="74">
        <f>PRODUCT(AV$4:AV1377)</f>
        <v>11394.755795832873</v>
      </c>
    </row>
    <row r="1378" spans="44:49">
      <c r="AR1378" s="69">
        <f t="shared" si="475"/>
        <v>115</v>
      </c>
      <c r="AS1378" s="70">
        <f t="shared" si="477"/>
        <v>1375</v>
      </c>
      <c r="AT1378" s="71">
        <f t="shared" si="478"/>
        <v>8.1762578652364029E-5</v>
      </c>
      <c r="AU1378" s="72">
        <f t="shared" si="474"/>
        <v>6.8214933659622723E-3</v>
      </c>
      <c r="AV1378" s="73">
        <f t="shared" si="476"/>
        <v>1.0068214933659623</v>
      </c>
      <c r="AW1378" s="74">
        <f>PRODUCT(AV$4:AV1378)</f>
        <v>11472.485046900907</v>
      </c>
    </row>
    <row r="1379" spans="44:49">
      <c r="AR1379" s="69">
        <f t="shared" si="475"/>
        <v>115</v>
      </c>
      <c r="AS1379" s="70">
        <f t="shared" si="477"/>
        <v>1376</v>
      </c>
      <c r="AT1379" s="71">
        <f t="shared" si="478"/>
        <v>8.1204835764502964E-5</v>
      </c>
      <c r="AU1379" s="72">
        <f t="shared" si="474"/>
        <v>6.8214933659622723E-3</v>
      </c>
      <c r="AV1379" s="73">
        <f t="shared" si="476"/>
        <v>1.0068214933659623</v>
      </c>
      <c r="AW1379" s="74">
        <f>PRODUCT(AV$4:AV1379)</f>
        <v>11550.744527539442</v>
      </c>
    </row>
    <row r="1380" spans="44:49">
      <c r="AR1380" s="69">
        <f t="shared" si="475"/>
        <v>115</v>
      </c>
      <c r="AS1380" s="70">
        <f t="shared" si="477"/>
        <v>1377</v>
      </c>
      <c r="AT1380" s="71">
        <f t="shared" si="478"/>
        <v>8.0650897516051356E-5</v>
      </c>
      <c r="AU1380" s="72">
        <f t="shared" si="474"/>
        <v>6.8214933659622723E-3</v>
      </c>
      <c r="AV1380" s="73">
        <f t="shared" si="476"/>
        <v>1.0068214933659623</v>
      </c>
      <c r="AW1380" s="74">
        <f>PRODUCT(AV$4:AV1380)</f>
        <v>11629.537854705977</v>
      </c>
    </row>
    <row r="1381" spans="44:49">
      <c r="AR1381" s="69">
        <f t="shared" si="475"/>
        <v>115</v>
      </c>
      <c r="AS1381" s="70">
        <f t="shared" si="477"/>
        <v>1378</v>
      </c>
      <c r="AT1381" s="71">
        <f t="shared" si="478"/>
        <v>8.0100737953686706E-5</v>
      </c>
      <c r="AU1381" s="72">
        <f t="shared" si="474"/>
        <v>6.8214933659622723E-3</v>
      </c>
      <c r="AV1381" s="73">
        <f t="shared" si="476"/>
        <v>1.0068214933659623</v>
      </c>
      <c r="AW1381" s="74">
        <f>PRODUCT(AV$4:AV1381)</f>
        <v>11708.868670031061</v>
      </c>
    </row>
    <row r="1382" spans="44:49">
      <c r="AR1382" s="69">
        <f t="shared" si="475"/>
        <v>115</v>
      </c>
      <c r="AS1382" s="70">
        <f t="shared" si="477"/>
        <v>1379</v>
      </c>
      <c r="AT1382" s="71">
        <f t="shared" si="478"/>
        <v>7.9554331301126945E-5</v>
      </c>
      <c r="AU1382" s="72">
        <f t="shared" si="474"/>
        <v>6.8214933659622723E-3</v>
      </c>
      <c r="AV1382" s="73">
        <f t="shared" si="476"/>
        <v>1.0068214933659623</v>
      </c>
      <c r="AW1382" s="74">
        <f>PRODUCT(AV$4:AV1382)</f>
        <v>11788.740639986601</v>
      </c>
    </row>
    <row r="1383" spans="44:49">
      <c r="AR1383" s="69">
        <f t="shared" si="475"/>
        <v>115</v>
      </c>
      <c r="AS1383" s="70">
        <f t="shared" si="477"/>
        <v>1380</v>
      </c>
      <c r="AT1383" s="71">
        <f t="shared" si="478"/>
        <v>7.901165195792274E-5</v>
      </c>
      <c r="AU1383" s="72">
        <f t="shared" si="474"/>
        <v>6.8214933659622723E-3</v>
      </c>
      <c r="AV1383" s="73">
        <f t="shared" si="476"/>
        <v>1.0068214933659623</v>
      </c>
      <c r="AW1383" s="74">
        <f>PRODUCT(AV$4:AV1383)</f>
        <v>11869.15745605532</v>
      </c>
    </row>
    <row r="1384" spans="44:49">
      <c r="AR1384" s="69">
        <f t="shared" si="475"/>
        <v>116</v>
      </c>
      <c r="AS1384" s="70">
        <f t="shared" si="477"/>
        <v>1381</v>
      </c>
      <c r="AT1384" s="71">
        <f t="shared" si="478"/>
        <v>7.8472674498258045E-5</v>
      </c>
      <c r="AU1384" s="72">
        <f t="shared" si="474"/>
        <v>6.8214933659622723E-3</v>
      </c>
      <c r="AV1384" s="73">
        <f t="shared" si="476"/>
        <v>1.0068214933659623</v>
      </c>
      <c r="AW1384" s="74">
        <f>PRODUCT(AV$4:AV1384)</f>
        <v>11950.122834901364</v>
      </c>
    </row>
    <row r="1385" spans="44:49">
      <c r="AR1385" s="69">
        <f t="shared" si="475"/>
        <v>116</v>
      </c>
      <c r="AS1385" s="70">
        <f t="shared" si="477"/>
        <v>1382</v>
      </c>
      <c r="AT1385" s="71">
        <f t="shared" si="478"/>
        <v>7.7937373669758855E-5</v>
      </c>
      <c r="AU1385" s="72">
        <f t="shared" si="474"/>
        <v>6.8214933659622723E-3</v>
      </c>
      <c r="AV1385" s="73">
        <f t="shared" si="476"/>
        <v>1.0068214933659623</v>
      </c>
      <c r="AW1385" s="74">
        <f>PRODUCT(AV$4:AV1385)</f>
        <v>12031.640518542077</v>
      </c>
    </row>
    <row r="1386" spans="44:49">
      <c r="AR1386" s="69">
        <f t="shared" si="475"/>
        <v>116</v>
      </c>
      <c r="AS1386" s="70">
        <f t="shared" si="477"/>
        <v>1383</v>
      </c>
      <c r="AT1386" s="71">
        <f t="shared" si="478"/>
        <v>7.7405724392310074E-5</v>
      </c>
      <c r="AU1386" s="72">
        <f t="shared" si="474"/>
        <v>6.8214933659622723E-3</v>
      </c>
      <c r="AV1386" s="73">
        <f t="shared" si="476"/>
        <v>1.0068214933659623</v>
      </c>
      <c r="AW1386" s="74">
        <f>PRODUCT(AV$4:AV1386)</f>
        <v>12113.714274520955</v>
      </c>
    </row>
    <row r="1387" spans="44:49">
      <c r="AR1387" s="69">
        <f t="shared" si="475"/>
        <v>116</v>
      </c>
      <c r="AS1387" s="70">
        <f t="shared" si="477"/>
        <v>1384</v>
      </c>
      <c r="AT1387" s="71">
        <f t="shared" si="478"/>
        <v>7.6877701756880432E-5</v>
      </c>
      <c r="AU1387" s="72">
        <f t="shared" si="474"/>
        <v>6.8214933659622723E-3</v>
      </c>
      <c r="AV1387" s="73">
        <f t="shared" si="476"/>
        <v>1.0068214933659623</v>
      </c>
      <c r="AW1387" s="74">
        <f>PRODUCT(AV$4:AV1387)</f>
        <v>12196.347896081763</v>
      </c>
    </row>
    <row r="1388" spans="44:49">
      <c r="AR1388" s="69">
        <f t="shared" si="475"/>
        <v>116</v>
      </c>
      <c r="AS1388" s="70">
        <f t="shared" si="477"/>
        <v>1385</v>
      </c>
      <c r="AT1388" s="71">
        <f t="shared" si="478"/>
        <v>7.6353281024355444E-5</v>
      </c>
      <c r="AU1388" s="72">
        <f t="shared" si="474"/>
        <v>6.8214933659622723E-3</v>
      </c>
      <c r="AV1388" s="73">
        <f t="shared" si="476"/>
        <v>1.0068214933659623</v>
      </c>
      <c r="AW1388" s="74">
        <f>PRODUCT(AV$4:AV1388)</f>
        <v>12279.545202343852</v>
      </c>
    </row>
    <row r="1389" spans="44:49">
      <c r="AR1389" s="69">
        <f t="shared" si="475"/>
        <v>116</v>
      </c>
      <c r="AS1389" s="70">
        <f t="shared" si="477"/>
        <v>1386</v>
      </c>
      <c r="AT1389" s="71">
        <f t="shared" si="478"/>
        <v>7.5832437624378347E-5</v>
      </c>
      <c r="AU1389" s="72">
        <f t="shared" si="474"/>
        <v>6.8214933659622723E-3</v>
      </c>
      <c r="AV1389" s="73">
        <f t="shared" si="476"/>
        <v>1.0068214933659623</v>
      </c>
      <c r="AW1389" s="74">
        <f>PRODUCT(AV$4:AV1389)</f>
        <v>12363.310038478674</v>
      </c>
    </row>
    <row r="1390" spans="44:49">
      <c r="AR1390" s="69">
        <f t="shared" si="475"/>
        <v>116</v>
      </c>
      <c r="AS1390" s="70">
        <f t="shared" si="477"/>
        <v>1387</v>
      </c>
      <c r="AT1390" s="71">
        <f t="shared" si="478"/>
        <v>7.5315147154198908E-5</v>
      </c>
      <c r="AU1390" s="72">
        <f t="shared" si="474"/>
        <v>6.8214933659622723E-3</v>
      </c>
      <c r="AV1390" s="73">
        <f t="shared" si="476"/>
        <v>1.0068214933659623</v>
      </c>
      <c r="AW1390" s="74">
        <f>PRODUCT(AV$4:AV1390)</f>
        <v>12447.646275887491</v>
      </c>
    </row>
    <row r="1391" spans="44:49">
      <c r="AR1391" s="69">
        <f t="shared" si="475"/>
        <v>116</v>
      </c>
      <c r="AS1391" s="70">
        <f t="shared" si="477"/>
        <v>1388</v>
      </c>
      <c r="AT1391" s="71">
        <f t="shared" si="478"/>
        <v>7.4801385377530063E-5</v>
      </c>
      <c r="AU1391" s="72">
        <f t="shared" si="474"/>
        <v>6.8214933659622723E-3</v>
      </c>
      <c r="AV1391" s="73">
        <f t="shared" si="476"/>
        <v>1.0068214933659623</v>
      </c>
      <c r="AW1391" s="74">
        <f>PRODUCT(AV$4:AV1391)</f>
        <v>12532.557812380302</v>
      </c>
    </row>
    <row r="1392" spans="44:49">
      <c r="AR1392" s="69">
        <f t="shared" si="475"/>
        <v>116</v>
      </c>
      <c r="AS1392" s="70">
        <f t="shared" si="477"/>
        <v>1389</v>
      </c>
      <c r="AT1392" s="71">
        <f t="shared" si="478"/>
        <v>7.4291128223412449E-5</v>
      </c>
      <c r="AU1392" s="72">
        <f t="shared" si="474"/>
        <v>6.8214933659622723E-3</v>
      </c>
      <c r="AV1392" s="73">
        <f t="shared" si="476"/>
        <v>1.0068214933659623</v>
      </c>
      <c r="AW1392" s="74">
        <f>PRODUCT(AV$4:AV1392)</f>
        <v>12618.048572355994</v>
      </c>
    </row>
    <row r="1393" spans="44:49">
      <c r="AR1393" s="69">
        <f t="shared" si="475"/>
        <v>116</v>
      </c>
      <c r="AS1393" s="70">
        <f t="shared" si="477"/>
        <v>1390</v>
      </c>
      <c r="AT1393" s="71">
        <f t="shared" si="478"/>
        <v>7.3784351785086586E-5</v>
      </c>
      <c r="AU1393" s="72">
        <f t="shared" si="474"/>
        <v>6.8214933659622723E-3</v>
      </c>
      <c r="AV1393" s="73">
        <f t="shared" si="476"/>
        <v>1.0068214933659623</v>
      </c>
      <c r="AW1393" s="74">
        <f>PRODUCT(AV$4:AV1393)</f>
        <v>12704.122506983711</v>
      </c>
    </row>
    <row r="1394" spans="44:49">
      <c r="AR1394" s="69">
        <f t="shared" si="475"/>
        <v>116</v>
      </c>
      <c r="AS1394" s="70">
        <f t="shared" si="477"/>
        <v>1391</v>
      </c>
      <c r="AT1394" s="71">
        <f t="shared" si="478"/>
        <v>7.3281032318872789E-5</v>
      </c>
      <c r="AU1394" s="72">
        <f t="shared" si="474"/>
        <v>6.8214933659622723E-3</v>
      </c>
      <c r="AV1394" s="73">
        <f t="shared" si="476"/>
        <v>1.0068214933659623</v>
      </c>
      <c r="AW1394" s="74">
        <f>PRODUCT(AV$4:AV1394)</f>
        <v>12790.783594385472</v>
      </c>
    </row>
    <row r="1395" spans="44:49">
      <c r="AR1395" s="69">
        <f t="shared" si="475"/>
        <v>116</v>
      </c>
      <c r="AS1395" s="70">
        <f t="shared" si="477"/>
        <v>1392</v>
      </c>
      <c r="AT1395" s="71">
        <f t="shared" si="478"/>
        <v>7.2781146243058726E-5</v>
      </c>
      <c r="AU1395" s="72">
        <f t="shared" si="474"/>
        <v>6.8214933659622723E-3</v>
      </c>
      <c r="AV1395" s="73">
        <f t="shared" si="476"/>
        <v>1.0068214933659623</v>
      </c>
      <c r="AW1395" s="74">
        <f>PRODUCT(AV$4:AV1395)</f>
        <v>12878.035839820031</v>
      </c>
    </row>
    <row r="1396" spans="44:49">
      <c r="AR1396" s="69">
        <f t="shared" si="475"/>
        <v>117</v>
      </c>
      <c r="AS1396" s="70">
        <f t="shared" si="477"/>
        <v>1393</v>
      </c>
      <c r="AT1396" s="71">
        <f t="shared" si="478"/>
        <v>7.2284670136794568E-5</v>
      </c>
      <c r="AU1396" s="72">
        <f t="shared" si="474"/>
        <v>6.8214933659622723E-3</v>
      </c>
      <c r="AV1396" s="73">
        <f t="shared" si="476"/>
        <v>1.0068214933659623</v>
      </c>
      <c r="AW1396" s="74">
        <f>PRODUCT(AV$4:AV1396)</f>
        <v>12965.883275867987</v>
      </c>
    </row>
    <row r="1397" spans="44:49">
      <c r="AR1397" s="69">
        <f t="shared" si="475"/>
        <v>117</v>
      </c>
      <c r="AS1397" s="70">
        <f t="shared" si="477"/>
        <v>1394</v>
      </c>
      <c r="AT1397" s="71">
        <f t="shared" si="478"/>
        <v>7.1791580738995647E-5</v>
      </c>
      <c r="AU1397" s="72">
        <f t="shared" si="474"/>
        <v>6.8214933659622723E-3</v>
      </c>
      <c r="AV1397" s="73">
        <f t="shared" si="476"/>
        <v>1.0068214933659623</v>
      </c>
      <c r="AW1397" s="74">
        <f>PRODUCT(AV$4:AV1397)</f>
        <v>13054.329962618162</v>
      </c>
    </row>
    <row r="1398" spans="44:49">
      <c r="AR1398" s="69">
        <f t="shared" si="475"/>
        <v>117</v>
      </c>
      <c r="AS1398" s="70">
        <f t="shared" si="477"/>
        <v>1395</v>
      </c>
      <c r="AT1398" s="71">
        <f t="shared" si="478"/>
        <v>7.1301854947252642E-5</v>
      </c>
      <c r="AU1398" s="72">
        <f t="shared" si="474"/>
        <v>6.8214933659622723E-3</v>
      </c>
      <c r="AV1398" s="73">
        <f t="shared" si="476"/>
        <v>1.0068214933659623</v>
      </c>
      <c r="AW1398" s="74">
        <f>PRODUCT(AV$4:AV1398)</f>
        <v>13143.379987855244</v>
      </c>
    </row>
    <row r="1399" spans="44:49">
      <c r="AR1399" s="69">
        <f t="shared" si="475"/>
        <v>117</v>
      </c>
      <c r="AS1399" s="70">
        <f t="shared" si="477"/>
        <v>1396</v>
      </c>
      <c r="AT1399" s="71">
        <f t="shared" si="478"/>
        <v>7.0815469816749149E-5</v>
      </c>
      <c r="AU1399" s="72">
        <f t="shared" si="474"/>
        <v>6.8214933659622723E-3</v>
      </c>
      <c r="AV1399" s="73">
        <f t="shared" si="476"/>
        <v>1.0068214933659623</v>
      </c>
      <c r="AW1399" s="74">
        <f>PRODUCT(AV$4:AV1399)</f>
        <v>13233.03746724872</v>
      </c>
    </row>
    <row r="1400" spans="44:49">
      <c r="AR1400" s="69">
        <f t="shared" si="475"/>
        <v>117</v>
      </c>
      <c r="AS1400" s="70">
        <f t="shared" si="477"/>
        <v>1397</v>
      </c>
      <c r="AT1400" s="71">
        <f t="shared" si="478"/>
        <v>7.0332402559186699E-5</v>
      </c>
      <c r="AU1400" s="72">
        <f t="shared" si="474"/>
        <v>6.8214933659622723E-3</v>
      </c>
      <c r="AV1400" s="73">
        <f t="shared" si="476"/>
        <v>1.0068214933659623</v>
      </c>
      <c r="AW1400" s="74">
        <f>PRODUCT(AV$4:AV1400)</f>
        <v>13323.306544543088</v>
      </c>
    </row>
    <row r="1401" spans="44:49">
      <c r="AR1401" s="69">
        <f t="shared" si="475"/>
        <v>117</v>
      </c>
      <c r="AS1401" s="70">
        <f t="shared" si="477"/>
        <v>1398</v>
      </c>
      <c r="AT1401" s="71">
        <f t="shared" si="478"/>
        <v>6.9852630541717019E-5</v>
      </c>
      <c r="AU1401" s="72">
        <f t="shared" si="474"/>
        <v>6.8214933659622723E-3</v>
      </c>
      <c r="AV1401" s="73">
        <f t="shared" si="476"/>
        <v>1.0068214933659623</v>
      </c>
      <c r="AW1401" s="74">
        <f>PRODUCT(AV$4:AV1401)</f>
        <v>13414.191391749369</v>
      </c>
    </row>
    <row r="1402" spans="44:49">
      <c r="AR1402" s="69">
        <f t="shared" si="475"/>
        <v>117</v>
      </c>
      <c r="AS1402" s="70">
        <f t="shared" si="477"/>
        <v>1399</v>
      </c>
      <c r="AT1402" s="71">
        <f t="shared" si="478"/>
        <v>6.9376131285881683E-5</v>
      </c>
      <c r="AU1402" s="72">
        <f t="shared" si="474"/>
        <v>6.8214933659622723E-3</v>
      </c>
      <c r="AV1402" s="73">
        <f t="shared" si="476"/>
        <v>1.0068214933659623</v>
      </c>
      <c r="AW1402" s="74">
        <f>PRODUCT(AV$4:AV1402)</f>
        <v>13505.696209337935</v>
      </c>
    </row>
    <row r="1403" spans="44:49">
      <c r="AR1403" s="69">
        <f t="shared" si="475"/>
        <v>117</v>
      </c>
      <c r="AS1403" s="70">
        <f t="shared" si="477"/>
        <v>1400</v>
      </c>
      <c r="AT1403" s="71">
        <f t="shared" si="478"/>
        <v>6.8902882466558918E-5</v>
      </c>
      <c r="AU1403" s="72">
        <f t="shared" si="474"/>
        <v>6.8214933659622723E-3</v>
      </c>
      <c r="AV1403" s="73">
        <f t="shared" si="476"/>
        <v>1.0068214933659623</v>
      </c>
      <c r="AW1403" s="74">
        <f>PRODUCT(AV$4:AV1403)</f>
        <v>13597.825226432637</v>
      </c>
    </row>
    <row r="1404" spans="44:49">
      <c r="AR1404" s="69">
        <f t="shared" si="475"/>
        <v>117</v>
      </c>
      <c r="AS1404" s="70">
        <f t="shared" si="477"/>
        <v>1401</v>
      </c>
      <c r="AT1404" s="71">
        <f t="shared" si="478"/>
        <v>6.8432861910917609E-5</v>
      </c>
      <c r="AU1404" s="72">
        <f t="shared" si="474"/>
        <v>6.8214933659622723E-3</v>
      </c>
      <c r="AV1404" s="73">
        <f t="shared" si="476"/>
        <v>1.0068214933659623</v>
      </c>
      <c r="AW1404" s="74">
        <f>PRODUCT(AV$4:AV1404)</f>
        <v>13690.58270100626</v>
      </c>
    </row>
    <row r="1405" spans="44:49">
      <c r="AR1405" s="69">
        <f t="shared" si="475"/>
        <v>117</v>
      </c>
      <c r="AS1405" s="70">
        <f t="shared" si="477"/>
        <v>1402</v>
      </c>
      <c r="AT1405" s="71">
        <f t="shared" si="478"/>
        <v>6.7966047597378478E-5</v>
      </c>
      <c r="AU1405" s="72">
        <f t="shared" si="474"/>
        <v>6.8214933659622723E-3</v>
      </c>
      <c r="AV1405" s="73">
        <f t="shared" si="476"/>
        <v>1.0068214933659623</v>
      </c>
      <c r="AW1405" s="74">
        <f>PRODUCT(AV$4:AV1405)</f>
        <v>13783.972920077333</v>
      </c>
    </row>
    <row r="1406" spans="44:49">
      <c r="AR1406" s="69">
        <f t="shared" si="475"/>
        <v>117</v>
      </c>
      <c r="AS1406" s="70">
        <f t="shared" si="477"/>
        <v>1403</v>
      </c>
      <c r="AT1406" s="71">
        <f t="shared" si="478"/>
        <v>6.7502417654582284E-5</v>
      </c>
      <c r="AU1406" s="72">
        <f t="shared" si="474"/>
        <v>6.8214933659622723E-3</v>
      </c>
      <c r="AV1406" s="73">
        <f t="shared" si="476"/>
        <v>1.0068214933659623</v>
      </c>
      <c r="AW1406" s="74">
        <f>PRODUCT(AV$4:AV1406)</f>
        <v>13878.000199908243</v>
      </c>
    </row>
    <row r="1407" spans="44:49">
      <c r="AR1407" s="69">
        <f t="shared" si="475"/>
        <v>117</v>
      </c>
      <c r="AS1407" s="70">
        <f t="shared" si="477"/>
        <v>1404</v>
      </c>
      <c r="AT1407" s="71">
        <f t="shared" si="478"/>
        <v>6.7041950360365135E-5</v>
      </c>
      <c r="AU1407" s="72">
        <f t="shared" si="474"/>
        <v>6.8214933659622723E-3</v>
      </c>
      <c r="AV1407" s="73">
        <f t="shared" si="476"/>
        <v>1.0068214933659623</v>
      </c>
      <c r="AW1407" s="74">
        <f>PRODUCT(AV$4:AV1407)</f>
        <v>13972.668886204741</v>
      </c>
    </row>
    <row r="1408" spans="44:49">
      <c r="AR1408" s="69">
        <f t="shared" si="475"/>
        <v>118</v>
      </c>
      <c r="AS1408" s="70">
        <f t="shared" si="477"/>
        <v>1405</v>
      </c>
      <c r="AT1408" s="71">
        <f t="shared" si="478"/>
        <v>6.658462414074073E-5</v>
      </c>
      <c r="AU1408" s="72">
        <f t="shared" si="474"/>
        <v>6.8214933659622723E-3</v>
      </c>
      <c r="AV1408" s="73">
        <f t="shared" si="476"/>
        <v>1.0068214933659623</v>
      </c>
      <c r="AW1408" s="74">
        <f>PRODUCT(AV$4:AV1408)</f>
        <v>14067.983354316775</v>
      </c>
    </row>
    <row r="1409" spans="44:49">
      <c r="AR1409" s="69">
        <f t="shared" si="475"/>
        <v>118</v>
      </c>
      <c r="AS1409" s="70">
        <f t="shared" si="477"/>
        <v>1406</v>
      </c>
      <c r="AT1409" s="71">
        <f t="shared" si="478"/>
        <v>6.6130417568889573E-5</v>
      </c>
      <c r="AU1409" s="72">
        <f t="shared" si="474"/>
        <v>6.8214933659622723E-3</v>
      </c>
      <c r="AV1409" s="73">
        <f t="shared" si="476"/>
        <v>1.0068214933659623</v>
      </c>
      <c r="AW1409" s="74">
        <f>PRODUCT(AV$4:AV1409)</f>
        <v>14163.948009440715</v>
      </c>
    </row>
    <row r="1410" spans="44:49">
      <c r="AR1410" s="69">
        <f t="shared" si="475"/>
        <v>118</v>
      </c>
      <c r="AS1410" s="70">
        <f t="shared" si="477"/>
        <v>1407</v>
      </c>
      <c r="AT1410" s="71">
        <f t="shared" si="478"/>
        <v>6.5679309364155081E-5</v>
      </c>
      <c r="AU1410" s="72">
        <f t="shared" si="474"/>
        <v>6.8214933659622723E-3</v>
      </c>
      <c r="AV1410" s="73">
        <f t="shared" si="476"/>
        <v>1.0068214933659623</v>
      </c>
      <c r="AW1410" s="74">
        <f>PRODUCT(AV$4:AV1410)</f>
        <v>14260.56728682295</v>
      </c>
    </row>
    <row r="1411" spans="44:49">
      <c r="AR1411" s="69">
        <f t="shared" si="475"/>
        <v>118</v>
      </c>
      <c r="AS1411" s="70">
        <f t="shared" si="477"/>
        <v>1408</v>
      </c>
      <c r="AT1411" s="71">
        <f t="shared" si="478"/>
        <v>6.5231278391046516E-5</v>
      </c>
      <c r="AU1411" s="72">
        <f t="shared" si="474"/>
        <v>6.8214933659622723E-3</v>
      </c>
      <c r="AV1411" s="73">
        <f t="shared" si="476"/>
        <v>1.0068214933659623</v>
      </c>
      <c r="AW1411" s="74">
        <f>PRODUCT(AV$4:AV1411)</f>
        <v>14357.845651964872</v>
      </c>
    </row>
    <row r="1412" spans="44:49">
      <c r="AR1412" s="69">
        <f t="shared" si="475"/>
        <v>118</v>
      </c>
      <c r="AS1412" s="70">
        <f t="shared" si="477"/>
        <v>1409</v>
      </c>
      <c r="AT1412" s="71">
        <f t="shared" si="478"/>
        <v>6.478630365824876E-5</v>
      </c>
      <c r="AU1412" s="72">
        <f t="shared" ref="AU1412:AU1475" si="479">((1+$AH$21)^(1/12))-1</f>
        <v>6.8214933659622723E-3</v>
      </c>
      <c r="AV1412" s="73">
        <f t="shared" si="476"/>
        <v>1.0068214933659623</v>
      </c>
      <c r="AW1412" s="74">
        <f>PRODUCT(AV$4:AV1412)</f>
        <v>14455.787600829261</v>
      </c>
    </row>
    <row r="1413" spans="44:49">
      <c r="AR1413" s="69">
        <f t="shared" ref="AR1413:AR1476" si="480">ROUNDDOWN((AS1413-1)/12,0)+1</f>
        <v>118</v>
      </c>
      <c r="AS1413" s="70">
        <f t="shared" si="477"/>
        <v>1410</v>
      </c>
      <c r="AT1413" s="71">
        <f t="shared" si="478"/>
        <v>6.4344364317638793E-5</v>
      </c>
      <c r="AU1413" s="72">
        <f t="shared" si="479"/>
        <v>6.8214933659622723E-3</v>
      </c>
      <c r="AV1413" s="73">
        <f t="shared" ref="AV1413:AV1476" si="481">(1+AU1413)</f>
        <v>1.0068214933659623</v>
      </c>
      <c r="AW1413" s="74">
        <f>PRODUCT(AV$4:AV1413)</f>
        <v>14554.397660048076</v>
      </c>
    </row>
    <row r="1414" spans="44:49">
      <c r="AR1414" s="69">
        <f t="shared" si="480"/>
        <v>118</v>
      </c>
      <c r="AS1414" s="70">
        <f t="shared" ref="AS1414:AS1477" si="482">AS1413+1</f>
        <v>1411</v>
      </c>
      <c r="AT1414" s="71">
        <f t="shared" ref="AT1414:AT1477" si="483">(1-AU1414)*AT1413</f>
        <v>6.3905439663308966E-5</v>
      </c>
      <c r="AU1414" s="72">
        <f t="shared" si="479"/>
        <v>6.8214933659622723E-3</v>
      </c>
      <c r="AV1414" s="73">
        <f t="shared" si="481"/>
        <v>1.0068214933659623</v>
      </c>
      <c r="AW1414" s="74">
        <f>PRODUCT(AV$4:AV1414)</f>
        <v>14653.680387131672</v>
      </c>
    </row>
    <row r="1415" spans="44:49">
      <c r="AR1415" s="69">
        <f t="shared" si="480"/>
        <v>118</v>
      </c>
      <c r="AS1415" s="70">
        <f t="shared" si="482"/>
        <v>1412</v>
      </c>
      <c r="AT1415" s="71">
        <f t="shared" si="483"/>
        <v>6.3469509130596797E-5</v>
      </c>
      <c r="AU1415" s="72">
        <f t="shared" si="479"/>
        <v>6.8214933659622723E-3</v>
      </c>
      <c r="AV1415" s="73">
        <f t="shared" si="481"/>
        <v>1.0068214933659623</v>
      </c>
      <c r="AW1415" s="74">
        <f>PRODUCT(AV$4:AV1415)</f>
        <v>14753.640370679421</v>
      </c>
    </row>
    <row r="1416" spans="44:49">
      <c r="AR1416" s="69">
        <f t="shared" si="480"/>
        <v>118</v>
      </c>
      <c r="AS1416" s="70">
        <f t="shared" si="482"/>
        <v>1413</v>
      </c>
      <c r="AT1416" s="71">
        <f t="shared" si="483"/>
        <v>6.3036552295121553E-5</v>
      </c>
      <c r="AU1416" s="72">
        <f t="shared" si="479"/>
        <v>6.8214933659622723E-3</v>
      </c>
      <c r="AV1416" s="73">
        <f t="shared" si="481"/>
        <v>1.0068214933659623</v>
      </c>
      <c r="AW1416" s="74">
        <f>PRODUCT(AV$4:AV1416)</f>
        <v>14854.282230591803</v>
      </c>
    </row>
    <row r="1417" spans="44:49">
      <c r="AR1417" s="69">
        <f t="shared" si="480"/>
        <v>118</v>
      </c>
      <c r="AS1417" s="70">
        <f t="shared" si="482"/>
        <v>1414</v>
      </c>
      <c r="AT1417" s="71">
        <f t="shared" si="483"/>
        <v>6.2606548871827251E-5</v>
      </c>
      <c r="AU1417" s="72">
        <f t="shared" si="479"/>
        <v>6.8214933659622723E-3</v>
      </c>
      <c r="AV1417" s="73">
        <f t="shared" si="481"/>
        <v>1.0068214933659623</v>
      </c>
      <c r="AW1417" s="74">
        <f>PRODUCT(AV$4:AV1417)</f>
        <v>14955.610618283918</v>
      </c>
    </row>
    <row r="1418" spans="44:49">
      <c r="AR1418" s="69">
        <f t="shared" si="480"/>
        <v>118</v>
      </c>
      <c r="AS1418" s="70">
        <f t="shared" si="482"/>
        <v>1415</v>
      </c>
      <c r="AT1418" s="71">
        <f t="shared" si="483"/>
        <v>6.2179478714032284E-5</v>
      </c>
      <c r="AU1418" s="72">
        <f t="shared" si="479"/>
        <v>6.8214933659622723E-3</v>
      </c>
      <c r="AV1418" s="73">
        <f t="shared" si="481"/>
        <v>1.0068214933659623</v>
      </c>
      <c r="AW1418" s="74">
        <f>PRODUCT(AV$4:AV1418)</f>
        <v>15057.630216900456</v>
      </c>
    </row>
    <row r="1419" spans="44:49">
      <c r="AR1419" s="69">
        <f t="shared" si="480"/>
        <v>118</v>
      </c>
      <c r="AS1419" s="70">
        <f t="shared" si="482"/>
        <v>1416</v>
      </c>
      <c r="AT1419" s="71">
        <f t="shared" si="483"/>
        <v>6.1755321812485522E-5</v>
      </c>
      <c r="AU1419" s="72">
        <f t="shared" si="479"/>
        <v>6.8214933659622723E-3</v>
      </c>
      <c r="AV1419" s="73">
        <f t="shared" si="481"/>
        <v>1.0068214933659623</v>
      </c>
      <c r="AW1419" s="74">
        <f>PRODUCT(AV$4:AV1419)</f>
        <v>15160.345741532155</v>
      </c>
    </row>
    <row r="1420" spans="44:49">
      <c r="AR1420" s="69">
        <f t="shared" si="480"/>
        <v>119</v>
      </c>
      <c r="AS1420" s="70">
        <f t="shared" si="482"/>
        <v>1417</v>
      </c>
      <c r="AT1420" s="71">
        <f t="shared" si="483"/>
        <v>6.1334058294428793E-5</v>
      </c>
      <c r="AU1420" s="72">
        <f t="shared" si="479"/>
        <v>6.8214933659622723E-3</v>
      </c>
      <c r="AV1420" s="73">
        <f t="shared" si="481"/>
        <v>1.0068214933659623</v>
      </c>
      <c r="AW1420" s="74">
        <f>PRODUCT(AV$4:AV1420)</f>
        <v>15263.761939433711</v>
      </c>
    </row>
    <row r="1421" spans="44:49">
      <c r="AR1421" s="69">
        <f t="shared" si="480"/>
        <v>119</v>
      </c>
      <c r="AS1421" s="70">
        <f t="shared" si="482"/>
        <v>1418</v>
      </c>
      <c r="AT1421" s="71">
        <f t="shared" si="483"/>
        <v>6.0915668422665805E-5</v>
      </c>
      <c r="AU1421" s="72">
        <f t="shared" si="479"/>
        <v>6.8214933659622723E-3</v>
      </c>
      <c r="AV1421" s="73">
        <f t="shared" si="481"/>
        <v>1.0068214933659623</v>
      </c>
      <c r="AW1421" s="74">
        <f>PRODUCT(AV$4:AV1421)</f>
        <v>15367.883590243186</v>
      </c>
    </row>
    <row r="1422" spans="44:49">
      <c r="AR1422" s="69">
        <f t="shared" si="480"/>
        <v>119</v>
      </c>
      <c r="AS1422" s="70">
        <f t="shared" si="482"/>
        <v>1419</v>
      </c>
      <c r="AT1422" s="71">
        <f t="shared" si="483"/>
        <v>6.0500132594637432E-5</v>
      </c>
      <c r="AU1422" s="72">
        <f t="shared" si="479"/>
        <v>6.8214933659622723E-3</v>
      </c>
      <c r="AV1422" s="73">
        <f t="shared" si="481"/>
        <v>1.0068214933659623</v>
      </c>
      <c r="AW1422" s="74">
        <f>PRODUCT(AV$4:AV1422)</f>
        <v>15472.715506202911</v>
      </c>
    </row>
    <row r="1423" spans="44:49">
      <c r="AR1423" s="69">
        <f t="shared" si="480"/>
        <v>119</v>
      </c>
      <c r="AS1423" s="70">
        <f t="shared" si="482"/>
        <v>1420</v>
      </c>
      <c r="AT1423" s="71">
        <f t="shared" si="483"/>
        <v>6.0087431341503276E-5</v>
      </c>
      <c r="AU1423" s="72">
        <f t="shared" si="479"/>
        <v>6.8214933659622723E-3</v>
      </c>
      <c r="AV1423" s="73">
        <f t="shared" si="481"/>
        <v>1.0068214933659623</v>
      </c>
      <c r="AW1423" s="74">
        <f>PRODUCT(AV$4:AV1423)</f>
        <v>15578.262532381896</v>
      </c>
    </row>
    <row r="1424" spans="44:49">
      <c r="AR1424" s="69">
        <f t="shared" si="480"/>
        <v>119</v>
      </c>
      <c r="AS1424" s="70">
        <f t="shared" si="482"/>
        <v>1421</v>
      </c>
      <c r="AT1424" s="71">
        <f t="shared" si="483"/>
        <v>5.9677545327229497E-5</v>
      </c>
      <c r="AU1424" s="72">
        <f t="shared" si="479"/>
        <v>6.8214933659622723E-3</v>
      </c>
      <c r="AV1424" s="73">
        <f t="shared" si="481"/>
        <v>1.0068214933659623</v>
      </c>
      <c r="AW1424" s="74">
        <f>PRODUCT(AV$4:AV1424)</f>
        <v>15684.529546899757</v>
      </c>
    </row>
    <row r="1425" spans="44:49">
      <c r="AR1425" s="69">
        <f t="shared" si="480"/>
        <v>119</v>
      </c>
      <c r="AS1425" s="70">
        <f t="shared" si="482"/>
        <v>1422</v>
      </c>
      <c r="AT1425" s="71">
        <f t="shared" si="483"/>
        <v>5.9270455347682886E-5</v>
      </c>
      <c r="AU1425" s="72">
        <f t="shared" si="479"/>
        <v>6.8214933659622723E-3</v>
      </c>
      <c r="AV1425" s="73">
        <f t="shared" si="481"/>
        <v>1.0068214933659623</v>
      </c>
      <c r="AW1425" s="74">
        <f>PRODUCT(AV$4:AV1425)</f>
        <v>15791.521461152173</v>
      </c>
    </row>
    <row r="1426" spans="44:49">
      <c r="AR1426" s="69">
        <f t="shared" si="480"/>
        <v>119</v>
      </c>
      <c r="AS1426" s="70">
        <f t="shared" si="482"/>
        <v>1423</v>
      </c>
      <c r="AT1426" s="71">
        <f t="shared" si="483"/>
        <v>5.8866142329731106E-5</v>
      </c>
      <c r="AU1426" s="72">
        <f t="shared" si="479"/>
        <v>6.8214933659622723E-3</v>
      </c>
      <c r="AV1426" s="73">
        <f t="shared" si="481"/>
        <v>1.0068214933659623</v>
      </c>
      <c r="AW1426" s="74">
        <f>PRODUCT(AV$4:AV1426)</f>
        <v>15899.243220037873</v>
      </c>
    </row>
    <row r="1427" spans="44:49">
      <c r="AR1427" s="69">
        <f t="shared" si="480"/>
        <v>119</v>
      </c>
      <c r="AS1427" s="70">
        <f t="shared" si="482"/>
        <v>1424</v>
      </c>
      <c r="AT1427" s="71">
        <f t="shared" si="483"/>
        <v>5.8464587330349057E-5</v>
      </c>
      <c r="AU1427" s="72">
        <f t="shared" si="479"/>
        <v>6.8214933659622723E-3</v>
      </c>
      <c r="AV1427" s="73">
        <f t="shared" si="481"/>
        <v>1.0068214933659623</v>
      </c>
      <c r="AW1427" s="74">
        <f>PRODUCT(AV$4:AV1427)</f>
        <v>16007.699802187182</v>
      </c>
    </row>
    <row r="1428" spans="44:49">
      <c r="AR1428" s="69">
        <f t="shared" si="480"/>
        <v>119</v>
      </c>
      <c r="AS1428" s="70">
        <f t="shared" si="482"/>
        <v>1425</v>
      </c>
      <c r="AT1428" s="71">
        <f t="shared" si="483"/>
        <v>5.8065771535731361E-5</v>
      </c>
      <c r="AU1428" s="72">
        <f t="shared" si="479"/>
        <v>6.8214933659622723E-3</v>
      </c>
      <c r="AV1428" s="73">
        <f t="shared" si="481"/>
        <v>1.0068214933659623</v>
      </c>
      <c r="AW1428" s="74">
        <f>PRODUCT(AV$4:AV1428)</f>
        <v>16116.896220192119</v>
      </c>
    </row>
    <row r="1429" spans="44:49">
      <c r="AR1429" s="69">
        <f t="shared" si="480"/>
        <v>119</v>
      </c>
      <c r="AS1429" s="70">
        <f t="shared" si="482"/>
        <v>1426</v>
      </c>
      <c r="AT1429" s="71">
        <f t="shared" si="483"/>
        <v>5.766967626041089E-5</v>
      </c>
      <c r="AU1429" s="72">
        <f t="shared" si="479"/>
        <v>6.8214933659622723E-3</v>
      </c>
      <c r="AV1429" s="73">
        <f t="shared" si="481"/>
        <v>1.0068214933659623</v>
      </c>
      <c r="AW1429" s="74">
        <f>PRODUCT(AV$4:AV1429)</f>
        <v>16226.837520838062</v>
      </c>
    </row>
    <row r="1430" spans="44:49">
      <c r="AR1430" s="69">
        <f t="shared" si="480"/>
        <v>119</v>
      </c>
      <c r="AS1430" s="70">
        <f t="shared" si="482"/>
        <v>1427</v>
      </c>
      <c r="AT1430" s="71">
        <f t="shared" si="483"/>
        <v>5.7276282946383308E-5</v>
      </c>
      <c r="AU1430" s="72">
        <f t="shared" si="479"/>
        <v>6.8214933659622723E-3</v>
      </c>
      <c r="AV1430" s="73">
        <f t="shared" si="481"/>
        <v>1.0068214933659623</v>
      </c>
      <c r="AW1430" s="74">
        <f>PRODUCT(AV$4:AV1430)</f>
        <v>16337.528785337006</v>
      </c>
    </row>
    <row r="1431" spans="44:49">
      <c r="AR1431" s="69">
        <f t="shared" si="480"/>
        <v>119</v>
      </c>
      <c r="AS1431" s="70">
        <f t="shared" si="482"/>
        <v>1428</v>
      </c>
      <c r="AT1431" s="71">
        <f t="shared" si="483"/>
        <v>5.6885573162237576E-5</v>
      </c>
      <c r="AU1431" s="72">
        <f t="shared" si="479"/>
        <v>6.8214933659622723E-3</v>
      </c>
      <c r="AV1431" s="73">
        <f t="shared" si="481"/>
        <v>1.0068214933659623</v>
      </c>
      <c r="AW1431" s="74">
        <f>PRODUCT(AV$4:AV1431)</f>
        <v>16448.975129562401</v>
      </c>
    </row>
    <row r="1432" spans="44:49">
      <c r="AR1432" s="69">
        <f t="shared" si="480"/>
        <v>120</v>
      </c>
      <c r="AS1432" s="70">
        <f t="shared" si="482"/>
        <v>1429</v>
      </c>
      <c r="AT1432" s="71">
        <f t="shared" si="483"/>
        <v>5.6497528602292409E-5</v>
      </c>
      <c r="AU1432" s="72">
        <f t="shared" si="479"/>
        <v>6.8214933659622723E-3</v>
      </c>
      <c r="AV1432" s="73">
        <f t="shared" si="481"/>
        <v>1.0068214933659623</v>
      </c>
      <c r="AW1432" s="74">
        <f>PRODUCT(AV$4:AV1432)</f>
        <v>16561.181704285591</v>
      </c>
    </row>
    <row r="1433" spans="44:49">
      <c r="AR1433" s="69">
        <f t="shared" si="480"/>
        <v>120</v>
      </c>
      <c r="AS1433" s="70">
        <f t="shared" si="482"/>
        <v>1430</v>
      </c>
      <c r="AT1433" s="71">
        <f t="shared" si="483"/>
        <v>5.6112131085738605E-5</v>
      </c>
      <c r="AU1433" s="72">
        <f t="shared" si="479"/>
        <v>6.8214933659622723E-3</v>
      </c>
      <c r="AV1433" s="73">
        <f t="shared" si="481"/>
        <v>1.0068214933659623</v>
      </c>
      <c r="AW1433" s="74">
        <f>PRODUCT(AV$4:AV1433)</f>
        <v>16674.153695413872</v>
      </c>
    </row>
    <row r="1434" spans="44:49">
      <c r="AR1434" s="69">
        <f t="shared" si="480"/>
        <v>120</v>
      </c>
      <c r="AS1434" s="70">
        <f t="shared" si="482"/>
        <v>1431</v>
      </c>
      <c r="AT1434" s="71">
        <f t="shared" si="483"/>
        <v>5.5729362555787233E-5</v>
      </c>
      <c r="AU1434" s="72">
        <f t="shared" si="479"/>
        <v>6.8214933659622723E-3</v>
      </c>
      <c r="AV1434" s="73">
        <f t="shared" si="481"/>
        <v>1.0068214933659623</v>
      </c>
      <c r="AW1434" s="74">
        <f>PRODUCT(AV$4:AV1434)</f>
        <v>16787.896324230172</v>
      </c>
    </row>
    <row r="1435" spans="44:49">
      <c r="AR1435" s="69">
        <f t="shared" si="480"/>
        <v>120</v>
      </c>
      <c r="AS1435" s="70">
        <f t="shared" si="482"/>
        <v>1432</v>
      </c>
      <c r="AT1435" s="71">
        <f t="shared" si="483"/>
        <v>5.5349205078823621E-5</v>
      </c>
      <c r="AU1435" s="72">
        <f t="shared" si="479"/>
        <v>6.8214933659622723E-3</v>
      </c>
      <c r="AV1435" s="73">
        <f t="shared" si="481"/>
        <v>1.0068214933659623</v>
      </c>
      <c r="AW1435" s="74">
        <f>PRODUCT(AV$4:AV1435)</f>
        <v>16902.414847634373</v>
      </c>
    </row>
    <row r="1436" spans="44:49">
      <c r="AR1436" s="69">
        <f t="shared" si="480"/>
        <v>120</v>
      </c>
      <c r="AS1436" s="70">
        <f t="shared" si="482"/>
        <v>1433</v>
      </c>
      <c r="AT1436" s="71">
        <f t="shared" si="483"/>
        <v>5.4971640843567143E-5</v>
      </c>
      <c r="AU1436" s="72">
        <f t="shared" si="479"/>
        <v>6.8214933659622723E-3</v>
      </c>
      <c r="AV1436" s="73">
        <f t="shared" si="481"/>
        <v>1.0068214933659623</v>
      </c>
      <c r="AW1436" s="74">
        <f>PRODUCT(AV$4:AV1436)</f>
        <v>17017.714558386251</v>
      </c>
    </row>
    <row r="1437" spans="44:49">
      <c r="AR1437" s="69">
        <f t="shared" si="480"/>
        <v>120</v>
      </c>
      <c r="AS1437" s="70">
        <f t="shared" si="482"/>
        <v>1434</v>
      </c>
      <c r="AT1437" s="71">
        <f t="shared" si="483"/>
        <v>5.4596652160236686E-5</v>
      </c>
      <c r="AU1437" s="72">
        <f t="shared" si="479"/>
        <v>6.8214933659622723E-3</v>
      </c>
      <c r="AV1437" s="73">
        <f t="shared" si="481"/>
        <v>1.0068214933659623</v>
      </c>
      <c r="AW1437" s="74">
        <f>PRODUCT(AV$4:AV1437)</f>
        <v>17133.800785350122</v>
      </c>
    </row>
    <row r="1438" spans="44:49">
      <c r="AR1438" s="69">
        <f t="shared" si="480"/>
        <v>120</v>
      </c>
      <c r="AS1438" s="70">
        <f t="shared" si="482"/>
        <v>1435</v>
      </c>
      <c r="AT1438" s="71">
        <f t="shared" si="483"/>
        <v>5.422422145972188E-5</v>
      </c>
      <c r="AU1438" s="72">
        <f t="shared" si="479"/>
        <v>6.8214933659622723E-3</v>
      </c>
      <c r="AV1438" s="73">
        <f t="shared" si="481"/>
        <v>1.0068214933659623</v>
      </c>
      <c r="AW1438" s="74">
        <f>PRODUCT(AV$4:AV1438)</f>
        <v>17250.678893741107</v>
      </c>
    </row>
    <row r="1439" spans="44:49">
      <c r="AR1439" s="69">
        <f t="shared" si="480"/>
        <v>120</v>
      </c>
      <c r="AS1439" s="70">
        <f t="shared" si="482"/>
        <v>1436</v>
      </c>
      <c r="AT1439" s="71">
        <f t="shared" si="483"/>
        <v>5.3854331292759918E-5</v>
      </c>
      <c r="AU1439" s="72">
        <f t="shared" si="479"/>
        <v>6.8214933659622723E-3</v>
      </c>
      <c r="AV1439" s="73">
        <f t="shared" si="481"/>
        <v>1.0068214933659623</v>
      </c>
      <c r="AW1439" s="74">
        <f>PRODUCT(AV$4:AV1439)</f>
        <v>17368.354285373109</v>
      </c>
    </row>
    <row r="1440" spans="44:49">
      <c r="AR1440" s="69">
        <f t="shared" si="480"/>
        <v>120</v>
      </c>
      <c r="AS1440" s="70">
        <f t="shared" si="482"/>
        <v>1437</v>
      </c>
      <c r="AT1440" s="71">
        <f t="shared" si="483"/>
        <v>5.3486964329118019E-5</v>
      </c>
      <c r="AU1440" s="72">
        <f t="shared" si="479"/>
        <v>6.8214933659622723E-3</v>
      </c>
      <c r="AV1440" s="73">
        <f t="shared" si="481"/>
        <v>1.0068214933659623</v>
      </c>
      <c r="AW1440" s="74">
        <f>PRODUCT(AV$4:AV1440)</f>
        <v>17486.832398908464</v>
      </c>
    </row>
    <row r="1441" spans="44:49">
      <c r="AR1441" s="69">
        <f t="shared" si="480"/>
        <v>120</v>
      </c>
      <c r="AS1441" s="70">
        <f t="shared" si="482"/>
        <v>1438</v>
      </c>
      <c r="AT1441" s="71">
        <f t="shared" si="483"/>
        <v>5.3122103356781478E-5</v>
      </c>
      <c r="AU1441" s="72">
        <f t="shared" si="479"/>
        <v>6.8214933659622723E-3</v>
      </c>
      <c r="AV1441" s="73">
        <f t="shared" si="481"/>
        <v>1.0068214933659623</v>
      </c>
      <c r="AW1441" s="74">
        <f>PRODUCT(AV$4:AV1441)</f>
        <v>17606.118710109313</v>
      </c>
    </row>
    <row r="1442" spans="44:49">
      <c r="AR1442" s="69">
        <f t="shared" si="480"/>
        <v>120</v>
      </c>
      <c r="AS1442" s="70">
        <f t="shared" si="482"/>
        <v>1439</v>
      </c>
      <c r="AT1442" s="71">
        <f t="shared" si="483"/>
        <v>5.2759731281147231E-5</v>
      </c>
      <c r="AU1442" s="72">
        <f t="shared" si="479"/>
        <v>6.8214933659622723E-3</v>
      </c>
      <c r="AV1442" s="73">
        <f t="shared" si="481"/>
        <v>1.0068214933659623</v>
      </c>
      <c r="AW1442" s="74">
        <f>PRODUCT(AV$4:AV1442)</f>
        <v>17726.218732090667</v>
      </c>
    </row>
    <row r="1443" spans="44:49">
      <c r="AR1443" s="69">
        <f t="shared" si="480"/>
        <v>120</v>
      </c>
      <c r="AS1443" s="70">
        <f t="shared" si="482"/>
        <v>1440</v>
      </c>
      <c r="AT1443" s="71">
        <f t="shared" si="483"/>
        <v>5.2399831124222936E-5</v>
      </c>
      <c r="AU1443" s="72">
        <f t="shared" si="479"/>
        <v>6.8214933659622723E-3</v>
      </c>
      <c r="AV1443" s="73">
        <f t="shared" si="481"/>
        <v>1.0068214933659623</v>
      </c>
      <c r="AW1443" s="74">
        <f>PRODUCT(AV$4:AV1443)</f>
        <v>17847.138015575219</v>
      </c>
    </row>
    <row r="1444" spans="44:49">
      <c r="AR1444" s="69">
        <f t="shared" si="480"/>
        <v>121</v>
      </c>
      <c r="AS1444" s="70">
        <f t="shared" si="482"/>
        <v>1441</v>
      </c>
      <c r="AT1444" s="71">
        <f t="shared" si="483"/>
        <v>5.2042386023831506E-5</v>
      </c>
      <c r="AU1444" s="72">
        <f t="shared" si="479"/>
        <v>6.8214933659622723E-3</v>
      </c>
      <c r="AV1444" s="73">
        <f t="shared" si="481"/>
        <v>1.0068214933659623</v>
      </c>
      <c r="AW1444" s="74">
        <f>PRODUCT(AV$4:AV1444)</f>
        <v>17968.882149149878</v>
      </c>
    </row>
    <row r="1445" spans="44:49">
      <c r="AR1445" s="69">
        <f t="shared" si="480"/>
        <v>121</v>
      </c>
      <c r="AS1445" s="70">
        <f t="shared" si="482"/>
        <v>1442</v>
      </c>
      <c r="AT1445" s="71">
        <f t="shared" si="483"/>
        <v>5.1687379232821092E-5</v>
      </c>
      <c r="AU1445" s="72">
        <f t="shared" si="479"/>
        <v>6.8214933659622723E-3</v>
      </c>
      <c r="AV1445" s="73">
        <f t="shared" si="481"/>
        <v>1.0068214933659623</v>
      </c>
      <c r="AW1445" s="74">
        <f>PRODUCT(AV$4:AV1445)</f>
        <v>18091.456759524062</v>
      </c>
    </row>
    <row r="1446" spans="44:49">
      <c r="AR1446" s="69">
        <f t="shared" si="480"/>
        <v>121</v>
      </c>
      <c r="AS1446" s="70">
        <f t="shared" si="482"/>
        <v>1443</v>
      </c>
      <c r="AT1446" s="71">
        <f t="shared" si="483"/>
        <v>5.1334794118280425E-5</v>
      </c>
      <c r="AU1446" s="72">
        <f t="shared" si="479"/>
        <v>6.8214933659622723E-3</v>
      </c>
      <c r="AV1446" s="73">
        <f t="shared" si="481"/>
        <v>1.0068214933659623</v>
      </c>
      <c r="AW1446" s="74">
        <f>PRODUCT(AV$4:AV1446)</f>
        <v>18214.867511789747</v>
      </c>
    </row>
    <row r="1447" spans="44:49">
      <c r="AR1447" s="69">
        <f t="shared" si="480"/>
        <v>121</v>
      </c>
      <c r="AS1447" s="70">
        <f t="shared" si="482"/>
        <v>1444</v>
      </c>
      <c r="AT1447" s="71">
        <f t="shared" si="483"/>
        <v>5.0984614160759533E-5</v>
      </c>
      <c r="AU1447" s="72">
        <f t="shared" si="479"/>
        <v>6.8214933659622723E-3</v>
      </c>
      <c r="AV1447" s="73">
        <f t="shared" si="481"/>
        <v>1.0068214933659623</v>
      </c>
      <c r="AW1447" s="74">
        <f>PRODUCT(AV$4:AV1447)</f>
        <v>18339.120109683303</v>
      </c>
    </row>
    <row r="1448" spans="44:49">
      <c r="AR1448" s="69">
        <f t="shared" si="480"/>
        <v>121</v>
      </c>
      <c r="AS1448" s="70">
        <f t="shared" si="482"/>
        <v>1445</v>
      </c>
      <c r="AT1448" s="71">
        <f t="shared" si="483"/>
        <v>5.0636822953495762E-5</v>
      </c>
      <c r="AU1448" s="72">
        <f t="shared" si="479"/>
        <v>6.8214933659622723E-3</v>
      </c>
      <c r="AV1448" s="73">
        <f t="shared" si="481"/>
        <v>1.0068214933659623</v>
      </c>
      <c r="AW1448" s="74">
        <f>PRODUCT(AV$4:AV1448)</f>
        <v>18464.220295849093</v>
      </c>
    </row>
    <row r="1449" spans="44:49">
      <c r="AR1449" s="69">
        <f t="shared" si="480"/>
        <v>121</v>
      </c>
      <c r="AS1449" s="70">
        <f t="shared" si="482"/>
        <v>1446</v>
      </c>
      <c r="AT1449" s="71">
        <f t="shared" si="483"/>
        <v>5.0291404201645086E-5</v>
      </c>
      <c r="AU1449" s="72">
        <f t="shared" si="479"/>
        <v>6.8214933659622723E-3</v>
      </c>
      <c r="AV1449" s="73">
        <f t="shared" si="481"/>
        <v>1.0068214933659623</v>
      </c>
      <c r="AW1449" s="74">
        <f>PRODUCT(AV$4:AV1449)</f>
        <v>18590.173852104894</v>
      </c>
    </row>
    <row r="1450" spans="44:49">
      <c r="AR1450" s="69">
        <f t="shared" si="480"/>
        <v>121</v>
      </c>
      <c r="AS1450" s="70">
        <f t="shared" si="482"/>
        <v>1447</v>
      </c>
      <c r="AT1450" s="71">
        <f t="shared" si="483"/>
        <v>4.9948341721518639E-5</v>
      </c>
      <c r="AU1450" s="72">
        <f t="shared" si="479"/>
        <v>6.8214933659622723E-3</v>
      </c>
      <c r="AV1450" s="73">
        <f t="shared" si="481"/>
        <v>1.0068214933659623</v>
      </c>
      <c r="AW1450" s="74">
        <f>PRODUCT(AV$4:AV1450)</f>
        <v>18716.986599709111</v>
      </c>
    </row>
    <row r="1451" spans="44:49">
      <c r="AR1451" s="69">
        <f t="shared" si="480"/>
        <v>121</v>
      </c>
      <c r="AS1451" s="70">
        <f t="shared" si="482"/>
        <v>1448</v>
      </c>
      <c r="AT1451" s="71">
        <f t="shared" si="483"/>
        <v>4.9607619439824481E-5</v>
      </c>
      <c r="AU1451" s="72">
        <f t="shared" si="479"/>
        <v>6.8214933659622723E-3</v>
      </c>
      <c r="AV1451" s="73">
        <f t="shared" si="481"/>
        <v>1.0068214933659623</v>
      </c>
      <c r="AW1451" s="74">
        <f>PRODUCT(AV$4:AV1451)</f>
        <v>18844.66439962983</v>
      </c>
    </row>
    <row r="1452" spans="44:49">
      <c r="AR1452" s="69">
        <f t="shared" si="480"/>
        <v>121</v>
      </c>
      <c r="AS1452" s="70">
        <f t="shared" si="482"/>
        <v>1449</v>
      </c>
      <c r="AT1452" s="71">
        <f t="shared" si="483"/>
        <v>4.9269221392914539E-5</v>
      </c>
      <c r="AU1452" s="72">
        <f t="shared" si="479"/>
        <v>6.8214933659622723E-3</v>
      </c>
      <c r="AV1452" s="73">
        <f t="shared" si="481"/>
        <v>1.0068214933659623</v>
      </c>
      <c r="AW1452" s="74">
        <f>PRODUCT(AV$4:AV1452)</f>
        <v>18973.21315281569</v>
      </c>
    </row>
    <row r="1453" spans="44:49">
      <c r="AR1453" s="69">
        <f t="shared" si="480"/>
        <v>121</v>
      </c>
      <c r="AS1453" s="70">
        <f t="shared" si="482"/>
        <v>1450</v>
      </c>
      <c r="AT1453" s="71">
        <f t="shared" si="483"/>
        <v>4.8933131726036648E-5</v>
      </c>
      <c r="AU1453" s="72">
        <f t="shared" si="479"/>
        <v>6.8214933659622723E-3</v>
      </c>
      <c r="AV1453" s="73">
        <f t="shared" si="481"/>
        <v>1.0068214933659623</v>
      </c>
      <c r="AW1453" s="74">
        <f>PRODUCT(AV$4:AV1453)</f>
        <v>19102.638800468609</v>
      </c>
    </row>
    <row r="1454" spans="44:49">
      <c r="AR1454" s="69">
        <f t="shared" si="480"/>
        <v>121</v>
      </c>
      <c r="AS1454" s="70">
        <f t="shared" si="482"/>
        <v>1451</v>
      </c>
      <c r="AT1454" s="71">
        <f t="shared" si="483"/>
        <v>4.859933469259173E-5</v>
      </c>
      <c r="AU1454" s="72">
        <f t="shared" si="479"/>
        <v>6.8214933659622723E-3</v>
      </c>
      <c r="AV1454" s="73">
        <f t="shared" si="481"/>
        <v>1.0068214933659623</v>
      </c>
      <c r="AW1454" s="74">
        <f>PRODUCT(AV$4:AV1454)</f>
        <v>19232.947324318378</v>
      </c>
    </row>
    <row r="1455" spans="44:49">
      <c r="AR1455" s="69">
        <f t="shared" si="480"/>
        <v>121</v>
      </c>
      <c r="AS1455" s="70">
        <f t="shared" si="482"/>
        <v>1452</v>
      </c>
      <c r="AT1455" s="71">
        <f t="shared" si="483"/>
        <v>4.8267814653396036E-5</v>
      </c>
      <c r="AU1455" s="72">
        <f t="shared" si="479"/>
        <v>6.8214933659622723E-3</v>
      </c>
      <c r="AV1455" s="73">
        <f t="shared" si="481"/>
        <v>1.0068214933659623</v>
      </c>
      <c r="AW1455" s="74">
        <f>PRODUCT(AV$4:AV1455)</f>
        <v>19364.144746899117</v>
      </c>
    </row>
    <row r="1456" spans="44:49">
      <c r="AR1456" s="69">
        <f t="shared" si="480"/>
        <v>122</v>
      </c>
      <c r="AS1456" s="70">
        <f t="shared" si="482"/>
        <v>1453</v>
      </c>
      <c r="AT1456" s="71">
        <f t="shared" si="483"/>
        <v>4.7938556075948398E-5</v>
      </c>
      <c r="AU1456" s="72">
        <f t="shared" si="479"/>
        <v>6.8214933659622723E-3</v>
      </c>
      <c r="AV1456" s="73">
        <f t="shared" si="481"/>
        <v>1.0068214933659623</v>
      </c>
      <c r="AW1456" s="74">
        <f>PRODUCT(AV$4:AV1456)</f>
        <v>19496.237131827624</v>
      </c>
    </row>
    <row r="1457" spans="44:49">
      <c r="AR1457" s="69">
        <f t="shared" si="480"/>
        <v>122</v>
      </c>
      <c r="AS1457" s="70">
        <f t="shared" si="482"/>
        <v>1454</v>
      </c>
      <c r="AT1457" s="71">
        <f t="shared" si="483"/>
        <v>4.7611543533702505E-5</v>
      </c>
      <c r="AU1457" s="72">
        <f t="shared" si="479"/>
        <v>6.8214933659622723E-3</v>
      </c>
      <c r="AV1457" s="73">
        <f t="shared" si="481"/>
        <v>1.0068214933659623</v>
      </c>
      <c r="AW1457" s="74">
        <f>PRODUCT(AV$4:AV1457)</f>
        <v>19629.230584083612</v>
      </c>
    </row>
    <row r="1458" spans="44:49">
      <c r="AR1458" s="69">
        <f t="shared" si="480"/>
        <v>122</v>
      </c>
      <c r="AS1458" s="70">
        <f t="shared" si="482"/>
        <v>1455</v>
      </c>
      <c r="AT1458" s="71">
        <f t="shared" si="483"/>
        <v>4.7286761705344131E-5</v>
      </c>
      <c r="AU1458" s="72">
        <f t="shared" si="479"/>
        <v>6.8214933659622723E-3</v>
      </c>
      <c r="AV1458" s="73">
        <f t="shared" si="481"/>
        <v>1.0068214933659623</v>
      </c>
      <c r="AW1458" s="74">
        <f>PRODUCT(AV$4:AV1458)</f>
        <v>19763.131250291881</v>
      </c>
    </row>
    <row r="1459" spans="44:49">
      <c r="AR1459" s="69">
        <f t="shared" si="480"/>
        <v>122</v>
      </c>
      <c r="AS1459" s="70">
        <f t="shared" si="482"/>
        <v>1456</v>
      </c>
      <c r="AT1459" s="71">
        <f t="shared" si="483"/>
        <v>4.696419537407329E-5</v>
      </c>
      <c r="AU1459" s="72">
        <f t="shared" si="479"/>
        <v>6.8214933659622723E-3</v>
      </c>
      <c r="AV1459" s="73">
        <f t="shared" si="481"/>
        <v>1.0068214933659623</v>
      </c>
      <c r="AW1459" s="74">
        <f>PRODUCT(AV$4:AV1459)</f>
        <v>19897.945319006387</v>
      </c>
    </row>
    <row r="1460" spans="44:49">
      <c r="AR1460" s="69">
        <f t="shared" si="480"/>
        <v>122</v>
      </c>
      <c r="AS1460" s="70">
        <f t="shared" si="482"/>
        <v>1457</v>
      </c>
      <c r="AT1460" s="71">
        <f t="shared" si="483"/>
        <v>4.6643829426891292E-5</v>
      </c>
      <c r="AU1460" s="72">
        <f t="shared" si="479"/>
        <v>6.8214933659622723E-3</v>
      </c>
      <c r="AV1460" s="73">
        <f t="shared" si="481"/>
        <v>1.0068214933659623</v>
      </c>
      <c r="AW1460" s="74">
        <f>PRODUCT(AV$4:AV1460)</f>
        <v>20033.679020996267</v>
      </c>
    </row>
    <row r="1461" spans="44:49">
      <c r="AR1461" s="69">
        <f t="shared" si="480"/>
        <v>122</v>
      </c>
      <c r="AS1461" s="70">
        <f t="shared" si="482"/>
        <v>1458</v>
      </c>
      <c r="AT1461" s="71">
        <f t="shared" si="483"/>
        <v>4.6325648853892674E-5</v>
      </c>
      <c r="AU1461" s="72">
        <f t="shared" si="479"/>
        <v>6.8214933659622723E-3</v>
      </c>
      <c r="AV1461" s="73">
        <f t="shared" si="481"/>
        <v>1.0068214933659623</v>
      </c>
      <c r="AW1461" s="74">
        <f>PRODUCT(AV$4:AV1461)</f>
        <v>20170.33862953381</v>
      </c>
    </row>
    <row r="1462" spans="44:49">
      <c r="AR1462" s="69">
        <f t="shared" si="480"/>
        <v>122</v>
      </c>
      <c r="AS1462" s="70">
        <f t="shared" si="482"/>
        <v>1459</v>
      </c>
      <c r="AT1462" s="71">
        <f t="shared" si="483"/>
        <v>4.600963874756195E-5</v>
      </c>
      <c r="AU1462" s="72">
        <f t="shared" si="479"/>
        <v>6.8214933659622723E-3</v>
      </c>
      <c r="AV1462" s="73">
        <f t="shared" si="481"/>
        <v>1.0068214933659623</v>
      </c>
      <c r="AW1462" s="74">
        <f>PRODUCT(AV$4:AV1462)</f>
        <v>20307.930460684387</v>
      </c>
    </row>
    <row r="1463" spans="44:49">
      <c r="AR1463" s="69">
        <f t="shared" si="480"/>
        <v>122</v>
      </c>
      <c r="AS1463" s="70">
        <f t="shared" si="482"/>
        <v>1460</v>
      </c>
      <c r="AT1463" s="71">
        <f t="shared" si="483"/>
        <v>4.5695784302075137E-5</v>
      </c>
      <c r="AU1463" s="72">
        <f t="shared" si="479"/>
        <v>6.8214933659622723E-3</v>
      </c>
      <c r="AV1463" s="73">
        <f t="shared" si="481"/>
        <v>1.0068214933659623</v>
      </c>
      <c r="AW1463" s="74">
        <f>PRODUCT(AV$4:AV1463)</f>
        <v>20446.460873598367</v>
      </c>
    </row>
    <row r="1464" spans="44:49">
      <c r="AR1464" s="69">
        <f t="shared" si="480"/>
        <v>122</v>
      </c>
      <c r="AS1464" s="70">
        <f t="shared" si="482"/>
        <v>1461</v>
      </c>
      <c r="AT1464" s="71">
        <f t="shared" si="483"/>
        <v>4.5384070812606089E-5</v>
      </c>
      <c r="AU1464" s="72">
        <f t="shared" si="479"/>
        <v>6.8214933659622723E-3</v>
      </c>
      <c r="AV1464" s="73">
        <f t="shared" si="481"/>
        <v>1.0068214933659623</v>
      </c>
      <c r="AW1464" s="74">
        <f>PRODUCT(AV$4:AV1464)</f>
        <v>20585.936270805025</v>
      </c>
    </row>
    <row r="1465" spans="44:49">
      <c r="AR1465" s="69">
        <f t="shared" si="480"/>
        <v>122</v>
      </c>
      <c r="AS1465" s="70">
        <f t="shared" si="482"/>
        <v>1462</v>
      </c>
      <c r="AT1465" s="71">
        <f t="shared" si="483"/>
        <v>4.5074483674637535E-5</v>
      </c>
      <c r="AU1465" s="72">
        <f t="shared" si="479"/>
        <v>6.8214933659622723E-3</v>
      </c>
      <c r="AV1465" s="73">
        <f t="shared" si="481"/>
        <v>1.0068214933659623</v>
      </c>
      <c r="AW1465" s="74">
        <f>PRODUCT(AV$4:AV1465)</f>
        <v>20726.363098508442</v>
      </c>
    </row>
    <row r="1466" spans="44:49">
      <c r="AR1466" s="69">
        <f t="shared" si="480"/>
        <v>122</v>
      </c>
      <c r="AS1466" s="70">
        <f t="shared" si="482"/>
        <v>1463</v>
      </c>
      <c r="AT1466" s="71">
        <f t="shared" si="483"/>
        <v>4.476700838327682E-5</v>
      </c>
      <c r="AU1466" s="72">
        <f t="shared" si="479"/>
        <v>6.8214933659622723E-3</v>
      </c>
      <c r="AV1466" s="73">
        <f t="shared" si="481"/>
        <v>1.0068214933659623</v>
      </c>
      <c r="AW1466" s="74">
        <f>PRODUCT(AV$4:AV1466)</f>
        <v>20867.747846885442</v>
      </c>
    </row>
    <row r="1467" spans="44:49">
      <c r="AR1467" s="69">
        <f t="shared" si="480"/>
        <v>122</v>
      </c>
      <c r="AS1467" s="70">
        <f t="shared" si="482"/>
        <v>1464</v>
      </c>
      <c r="AT1467" s="71">
        <f t="shared" si="483"/>
        <v>4.4461630532576319E-5</v>
      </c>
      <c r="AU1467" s="72">
        <f t="shared" si="479"/>
        <v>6.8214933659622723E-3</v>
      </c>
      <c r="AV1467" s="73">
        <f t="shared" si="481"/>
        <v>1.0068214933659623</v>
      </c>
      <c r="AW1467" s="74">
        <f>PRODUCT(AV$4:AV1467)</f>
        <v>21010.097050385546</v>
      </c>
    </row>
    <row r="1468" spans="44:49">
      <c r="AR1468" s="69">
        <f t="shared" si="480"/>
        <v>123</v>
      </c>
      <c r="AS1468" s="70">
        <f t="shared" si="482"/>
        <v>1465</v>
      </c>
      <c r="AT1468" s="71">
        <f t="shared" si="483"/>
        <v>4.4158335814858485E-5</v>
      </c>
      <c r="AU1468" s="72">
        <f t="shared" si="479"/>
        <v>6.8214933659622723E-3</v>
      </c>
      <c r="AV1468" s="73">
        <f t="shared" si="481"/>
        <v>1.0068214933659623</v>
      </c>
      <c r="AW1468" s="74">
        <f>PRODUCT(AV$4:AV1468)</f>
        <v>21153.417288032975</v>
      </c>
    </row>
    <row r="1469" spans="44:49">
      <c r="AR1469" s="69">
        <f t="shared" si="480"/>
        <v>123</v>
      </c>
      <c r="AS1469" s="70">
        <f t="shared" si="482"/>
        <v>1466</v>
      </c>
      <c r="AT1469" s="71">
        <f t="shared" si="483"/>
        <v>4.3857110020045493E-5</v>
      </c>
      <c r="AU1469" s="72">
        <f t="shared" si="479"/>
        <v>6.8214933659622723E-3</v>
      </c>
      <c r="AV1469" s="73">
        <f t="shared" si="481"/>
        <v>1.0068214933659623</v>
      </c>
      <c r="AW1469" s="74">
        <f>PRODUCT(AV$4:AV1469)</f>
        <v>21297.715183730725</v>
      </c>
    </row>
    <row r="1470" spans="44:49">
      <c r="AR1470" s="69">
        <f t="shared" si="480"/>
        <v>123</v>
      </c>
      <c r="AS1470" s="70">
        <f t="shared" si="482"/>
        <v>1467</v>
      </c>
      <c r="AT1470" s="71">
        <f t="shared" si="483"/>
        <v>4.3557939034993477E-5</v>
      </c>
      <c r="AU1470" s="72">
        <f t="shared" si="479"/>
        <v>6.8214933659622723E-3</v>
      </c>
      <c r="AV1470" s="73">
        <f t="shared" si="481"/>
        <v>1.0068214933659623</v>
      </c>
      <c r="AW1470" s="74">
        <f>PRODUCT(AV$4:AV1470)</f>
        <v>21442.997406566697</v>
      </c>
    </row>
    <row r="1471" spans="44:49">
      <c r="AR1471" s="69">
        <f t="shared" si="480"/>
        <v>123</v>
      </c>
      <c r="AS1471" s="70">
        <f t="shared" si="482"/>
        <v>1468</v>
      </c>
      <c r="AT1471" s="71">
        <f t="shared" si="483"/>
        <v>4.3260808842831277E-5</v>
      </c>
      <c r="AU1471" s="72">
        <f t="shared" si="479"/>
        <v>6.8214933659622723E-3</v>
      </c>
      <c r="AV1471" s="73">
        <f t="shared" si="481"/>
        <v>1.0068214933659623</v>
      </c>
      <c r="AW1471" s="74">
        <f>PRODUCT(AV$4:AV1471)</f>
        <v>21589.27067112194</v>
      </c>
    </row>
    <row r="1472" spans="44:49">
      <c r="AR1472" s="69">
        <f t="shared" si="480"/>
        <v>123</v>
      </c>
      <c r="AS1472" s="70">
        <f t="shared" si="482"/>
        <v>1469</v>
      </c>
      <c r="AT1472" s="71">
        <f t="shared" si="483"/>
        <v>4.2965705522303739E-5</v>
      </c>
      <c r="AU1472" s="72">
        <f t="shared" si="479"/>
        <v>6.8214933659622723E-3</v>
      </c>
      <c r="AV1472" s="73">
        <f t="shared" si="481"/>
        <v>1.0068214933659623</v>
      </c>
      <c r="AW1472" s="74">
        <f>PRODUCT(AV$4:AV1472)</f>
        <v>21736.541737780961</v>
      </c>
    </row>
    <row r="1473" spans="44:49">
      <c r="AR1473" s="69">
        <f t="shared" si="480"/>
        <v>123</v>
      </c>
      <c r="AS1473" s="70">
        <f t="shared" si="482"/>
        <v>1470</v>
      </c>
      <c r="AT1473" s="71">
        <f t="shared" si="483"/>
        <v>4.2672615247119453E-5</v>
      </c>
      <c r="AU1473" s="72">
        <f t="shared" si="479"/>
        <v>6.8214933659622723E-3</v>
      </c>
      <c r="AV1473" s="73">
        <f t="shared" si="481"/>
        <v>1.0068214933659623</v>
      </c>
      <c r="AW1473" s="74">
        <f>PRODUCT(AV$4:AV1473)</f>
        <v>21884.817413044195</v>
      </c>
    </row>
    <row r="1474" spans="44:49">
      <c r="AR1474" s="69">
        <f t="shared" si="480"/>
        <v>123</v>
      </c>
      <c r="AS1474" s="70">
        <f t="shared" si="482"/>
        <v>1471</v>
      </c>
      <c r="AT1474" s="71">
        <f t="shared" si="483"/>
        <v>4.238152428530297E-5</v>
      </c>
      <c r="AU1474" s="72">
        <f t="shared" si="479"/>
        <v>6.8214933659622723E-3</v>
      </c>
      <c r="AV1474" s="73">
        <f t="shared" si="481"/>
        <v>1.0068214933659623</v>
      </c>
      <c r="AW1474" s="74">
        <f>PRODUCT(AV$4:AV1474)</f>
        <v>22034.10454984257</v>
      </c>
    </row>
    <row r="1475" spans="44:49">
      <c r="AR1475" s="69">
        <f t="shared" si="480"/>
        <v>123</v>
      </c>
      <c r="AS1475" s="70">
        <f t="shared" si="482"/>
        <v>1472</v>
      </c>
      <c r="AT1475" s="71">
        <f t="shared" si="483"/>
        <v>4.2092418998551407E-5</v>
      </c>
      <c r="AU1475" s="72">
        <f t="shared" si="479"/>
        <v>6.8214933659622723E-3</v>
      </c>
      <c r="AV1475" s="73">
        <f t="shared" si="481"/>
        <v>1.0068214933659623</v>
      </c>
      <c r="AW1475" s="74">
        <f>PRODUCT(AV$4:AV1475)</f>
        <v>22184.410047854239</v>
      </c>
    </row>
    <row r="1476" spans="44:49">
      <c r="AR1476" s="69">
        <f t="shared" si="480"/>
        <v>123</v>
      </c>
      <c r="AS1476" s="70">
        <f t="shared" si="482"/>
        <v>1473</v>
      </c>
      <c r="AT1476" s="71">
        <f t="shared" si="483"/>
        <v>4.1805285841595487E-5</v>
      </c>
      <c r="AU1476" s="72">
        <f t="shared" ref="AU1476:AU1539" si="484">((1+$AH$21)^(1/12))-1</f>
        <v>6.8214933659622723E-3</v>
      </c>
      <c r="AV1476" s="73">
        <f t="shared" si="481"/>
        <v>1.0068214933659623</v>
      </c>
      <c r="AW1476" s="74">
        <f>PRODUCT(AV$4:AV1476)</f>
        <v>22335.740853823463</v>
      </c>
    </row>
    <row r="1477" spans="44:49">
      <c r="AR1477" s="69">
        <f t="shared" ref="AR1477:AR1540" si="485">ROUNDDOWN((AS1477-1)/12,0)+1</f>
        <v>123</v>
      </c>
      <c r="AS1477" s="70">
        <f t="shared" si="482"/>
        <v>1474</v>
      </c>
      <c r="AT1477" s="71">
        <f t="shared" si="483"/>
        <v>4.152011136156489E-5</v>
      </c>
      <c r="AU1477" s="72">
        <f t="shared" si="484"/>
        <v>6.8214933659622723E-3</v>
      </c>
      <c r="AV1477" s="73">
        <f t="shared" ref="AV1477:AV1540" si="486">(1+AU1477)</f>
        <v>1.0068214933659623</v>
      </c>
      <c r="AW1477" s="74">
        <f>PRODUCT(AV$4:AV1477)</f>
        <v>22488.103961881672</v>
      </c>
    </row>
    <row r="1478" spans="44:49">
      <c r="AR1478" s="69">
        <f t="shared" si="485"/>
        <v>123</v>
      </c>
      <c r="AS1478" s="70">
        <f t="shared" ref="AS1478:AS1541" si="487">AS1477+1</f>
        <v>1475</v>
      </c>
      <c r="AT1478" s="71">
        <f t="shared" ref="AT1478:AT1541" si="488">(1-AU1478)*AT1477</f>
        <v>4.1236882197357961E-5</v>
      </c>
      <c r="AU1478" s="72">
        <f t="shared" si="484"/>
        <v>6.8214933659622723E-3</v>
      </c>
      <c r="AV1478" s="73">
        <f t="shared" si="486"/>
        <v>1.0068214933659623</v>
      </c>
      <c r="AW1478" s="74">
        <f>PRODUCT(AV$4:AV1478)</f>
        <v>22641.506413870717</v>
      </c>
    </row>
    <row r="1479" spans="44:49">
      <c r="AR1479" s="69">
        <f t="shared" si="485"/>
        <v>123</v>
      </c>
      <c r="AS1479" s="70">
        <f t="shared" si="487"/>
        <v>1476</v>
      </c>
      <c r="AT1479" s="71">
        <f t="shared" si="488"/>
        <v>4.0955585079015716E-5</v>
      </c>
      <c r="AU1479" s="72">
        <f t="shared" si="484"/>
        <v>6.8214933659622723E-3</v>
      </c>
      <c r="AV1479" s="73">
        <f t="shared" si="486"/>
        <v>1.0068214933659623</v>
      </c>
      <c r="AW1479" s="74">
        <f>PRODUCT(AV$4:AV1479)</f>
        <v>22795.955299668327</v>
      </c>
    </row>
    <row r="1480" spans="44:49">
      <c r="AR1480" s="69">
        <f t="shared" si="485"/>
        <v>124</v>
      </c>
      <c r="AS1480" s="70">
        <f t="shared" si="487"/>
        <v>1477</v>
      </c>
      <c r="AT1480" s="71">
        <f t="shared" si="488"/>
        <v>4.0676206827100105E-5</v>
      </c>
      <c r="AU1480" s="72">
        <f t="shared" si="484"/>
        <v>6.8214933659622723E-3</v>
      </c>
      <c r="AV1480" s="73">
        <f t="shared" si="486"/>
        <v>1.0068214933659623</v>
      </c>
      <c r="AW1480" s="74">
        <f>PRODUCT(AV$4:AV1480)</f>
        <v>22951.457757515785</v>
      </c>
    </row>
    <row r="1481" spans="44:49">
      <c r="AR1481" s="69">
        <f t="shared" si="485"/>
        <v>124</v>
      </c>
      <c r="AS1481" s="70">
        <f t="shared" si="487"/>
        <v>1478</v>
      </c>
      <c r="AT1481" s="71">
        <f t="shared" si="488"/>
        <v>4.0398734352076532E-5</v>
      </c>
      <c r="AU1481" s="72">
        <f t="shared" si="484"/>
        <v>6.8214933659622723E-3</v>
      </c>
      <c r="AV1481" s="73">
        <f t="shared" si="486"/>
        <v>1.0068214933659623</v>
      </c>
      <c r="AW1481" s="74">
        <f>PRODUCT(AV$4:AV1481)</f>
        <v>23108.020974347844</v>
      </c>
    </row>
    <row r="1482" spans="44:49">
      <c r="AR1482" s="69">
        <f t="shared" si="485"/>
        <v>124</v>
      </c>
      <c r="AS1482" s="70">
        <f t="shared" si="487"/>
        <v>1479</v>
      </c>
      <c r="AT1482" s="71">
        <f t="shared" si="488"/>
        <v>4.0123154653700567E-5</v>
      </c>
      <c r="AU1482" s="72">
        <f t="shared" si="484"/>
        <v>6.8214933659622723E-3</v>
      </c>
      <c r="AV1482" s="73">
        <f t="shared" si="486"/>
        <v>1.0068214933659623</v>
      </c>
      <c r="AW1482" s="74">
        <f>PRODUCT(AV$4:AV1482)</f>
        <v>23265.652186124877</v>
      </c>
    </row>
    <row r="1483" spans="44:49">
      <c r="AR1483" s="69">
        <f t="shared" si="485"/>
        <v>124</v>
      </c>
      <c r="AS1483" s="70">
        <f t="shared" si="487"/>
        <v>1480</v>
      </c>
      <c r="AT1483" s="71">
        <f t="shared" si="488"/>
        <v>3.9849454820408872E-5</v>
      </c>
      <c r="AU1483" s="72">
        <f t="shared" si="484"/>
        <v>6.8214933659622723E-3</v>
      </c>
      <c r="AV1483" s="73">
        <f t="shared" si="486"/>
        <v>1.0068214933659623</v>
      </c>
      <c r="AW1483" s="74">
        <f>PRODUCT(AV$4:AV1483)</f>
        <v>23424.358678167315</v>
      </c>
    </row>
    <row r="1484" spans="44:49">
      <c r="AR1484" s="69">
        <f t="shared" si="485"/>
        <v>124</v>
      </c>
      <c r="AS1484" s="70">
        <f t="shared" si="487"/>
        <v>1481</v>
      </c>
      <c r="AT1484" s="71">
        <f t="shared" si="488"/>
        <v>3.957762202871424E-5</v>
      </c>
      <c r="AU1484" s="72">
        <f t="shared" si="484"/>
        <v>6.8214933659622723E-3</v>
      </c>
      <c r="AV1484" s="73">
        <f t="shared" si="486"/>
        <v>1.0068214933659623</v>
      </c>
      <c r="AW1484" s="74">
        <f>PRODUCT(AV$4:AV1484)</f>
        <v>23584.147785492354</v>
      </c>
    </row>
    <row r="1485" spans="44:49">
      <c r="AR1485" s="69">
        <f t="shared" si="485"/>
        <v>124</v>
      </c>
      <c r="AS1485" s="70">
        <f t="shared" si="487"/>
        <v>1482</v>
      </c>
      <c r="AT1485" s="71">
        <f t="shared" si="488"/>
        <v>3.93076435426048E-5</v>
      </c>
      <c r="AU1485" s="72">
        <f t="shared" si="484"/>
        <v>6.8214933659622723E-3</v>
      </c>
      <c r="AV1485" s="73">
        <f t="shared" si="486"/>
        <v>1.0068214933659623</v>
      </c>
      <c r="AW1485" s="74">
        <f>PRODUCT(AV$4:AV1485)</f>
        <v>23745.026893152964</v>
      </c>
    </row>
    <row r="1486" spans="44:49">
      <c r="AR1486" s="69">
        <f t="shared" si="485"/>
        <v>124</v>
      </c>
      <c r="AS1486" s="70">
        <f t="shared" si="487"/>
        <v>1483</v>
      </c>
      <c r="AT1486" s="71">
        <f t="shared" si="488"/>
        <v>3.9039506712947314E-5</v>
      </c>
      <c r="AU1486" s="72">
        <f t="shared" si="484"/>
        <v>6.8214933659622723E-3</v>
      </c>
      <c r="AV1486" s="73">
        <f t="shared" si="486"/>
        <v>1.0068214933659623</v>
      </c>
      <c r="AW1486" s="74">
        <f>PRODUCT(AV$4:AV1486)</f>
        <v>23907.003436579202</v>
      </c>
    </row>
    <row r="1487" spans="44:49">
      <c r="AR1487" s="69">
        <f t="shared" si="485"/>
        <v>124</v>
      </c>
      <c r="AS1487" s="70">
        <f t="shared" si="487"/>
        <v>1484</v>
      </c>
      <c r="AT1487" s="71">
        <f t="shared" si="488"/>
        <v>3.8773198976894507E-5</v>
      </c>
      <c r="AU1487" s="72">
        <f t="shared" si="484"/>
        <v>6.8214933659622723E-3</v>
      </c>
      <c r="AV1487" s="73">
        <f t="shared" si="486"/>
        <v>1.0068214933659623</v>
      </c>
      <c r="AW1487" s="74">
        <f>PRODUCT(AV$4:AV1487)</f>
        <v>24070.084901921862</v>
      </c>
    </row>
    <row r="1488" spans="44:49">
      <c r="AR1488" s="69">
        <f t="shared" si="485"/>
        <v>124</v>
      </c>
      <c r="AS1488" s="70">
        <f t="shared" si="487"/>
        <v>1485</v>
      </c>
      <c r="AT1488" s="71">
        <f t="shared" si="488"/>
        <v>3.8508707857296485E-5</v>
      </c>
      <c r="AU1488" s="72">
        <f t="shared" si="484"/>
        <v>6.8214933659622723E-3</v>
      </c>
      <c r="AV1488" s="73">
        <f t="shared" si="486"/>
        <v>1.0068214933659623</v>
      </c>
      <c r="AW1488" s="74">
        <f>PRODUCT(AV$4:AV1488)</f>
        <v>24234.278826398469</v>
      </c>
    </row>
    <row r="1489" spans="44:49">
      <c r="AR1489" s="69">
        <f t="shared" si="485"/>
        <v>124</v>
      </c>
      <c r="AS1489" s="70">
        <f t="shared" si="487"/>
        <v>1486</v>
      </c>
      <c r="AT1489" s="71">
        <f t="shared" si="488"/>
        <v>3.8246020962116157E-5</v>
      </c>
      <c r="AU1489" s="72">
        <f t="shared" si="484"/>
        <v>6.8214933659622723E-3</v>
      </c>
      <c r="AV1489" s="73">
        <f t="shared" si="486"/>
        <v>1.0068214933659623</v>
      </c>
      <c r="AW1489" s="74">
        <f>PRODUCT(AV$4:AV1489)</f>
        <v>24399.592798641628</v>
      </c>
    </row>
    <row r="1490" spans="44:49">
      <c r="AR1490" s="69">
        <f t="shared" si="485"/>
        <v>124</v>
      </c>
      <c r="AS1490" s="70">
        <f t="shared" si="487"/>
        <v>1487</v>
      </c>
      <c r="AT1490" s="71">
        <f t="shared" si="488"/>
        <v>3.7985125983848628E-5</v>
      </c>
      <c r="AU1490" s="72">
        <f t="shared" si="484"/>
        <v>6.8214933659622723E-3</v>
      </c>
      <c r="AV1490" s="73">
        <f t="shared" si="486"/>
        <v>1.0068214933659623</v>
      </c>
      <c r="AW1490" s="74">
        <f>PRODUCT(AV$4:AV1490)</f>
        <v>24566.034459049744</v>
      </c>
    </row>
    <row r="1491" spans="44:49">
      <c r="AR1491" s="69">
        <f t="shared" si="485"/>
        <v>124</v>
      </c>
      <c r="AS1491" s="70">
        <f t="shared" si="487"/>
        <v>1488</v>
      </c>
      <c r="AT1491" s="71">
        <f t="shared" si="488"/>
        <v>3.7726010698944563E-5</v>
      </c>
      <c r="AU1491" s="72">
        <f t="shared" si="484"/>
        <v>6.8214933659622723E-3</v>
      </c>
      <c r="AV1491" s="73">
        <f t="shared" si="486"/>
        <v>1.0068214933659623</v>
      </c>
      <c r="AW1491" s="74">
        <f>PRODUCT(AV$4:AV1491)</f>
        <v>24733.611500140152</v>
      </c>
    </row>
    <row r="1492" spans="44:49">
      <c r="AR1492" s="69">
        <f t="shared" si="485"/>
        <v>125</v>
      </c>
      <c r="AS1492" s="70">
        <f t="shared" si="487"/>
        <v>1489</v>
      </c>
      <c r="AT1492" s="71">
        <f t="shared" si="488"/>
        <v>3.7468662967237492E-5</v>
      </c>
      <c r="AU1492" s="72">
        <f t="shared" si="484"/>
        <v>6.8214933659622723E-3</v>
      </c>
      <c r="AV1492" s="73">
        <f t="shared" si="486"/>
        <v>1.0068214933659623</v>
      </c>
      <c r="AW1492" s="74">
        <f>PRODUCT(AV$4:AV1492)</f>
        <v>24902.331666904647</v>
      </c>
    </row>
    <row r="1493" spans="44:49">
      <c r="AR1493" s="69">
        <f t="shared" si="485"/>
        <v>125</v>
      </c>
      <c r="AS1493" s="70">
        <f t="shared" si="487"/>
        <v>1490</v>
      </c>
      <c r="AT1493" s="71">
        <f t="shared" si="488"/>
        <v>3.7213070731375005E-5</v>
      </c>
      <c r="AU1493" s="72">
        <f t="shared" si="484"/>
        <v>6.8214933659622723E-3</v>
      </c>
      <c r="AV1493" s="73">
        <f t="shared" si="486"/>
        <v>1.0068214933659623</v>
      </c>
      <c r="AW1493" s="74">
        <f>PRODUCT(AV$4:AV1493)</f>
        <v>25072.20275716743</v>
      </c>
    </row>
    <row r="1494" spans="44:49">
      <c r="AR1494" s="69">
        <f t="shared" si="485"/>
        <v>125</v>
      </c>
      <c r="AS1494" s="70">
        <f t="shared" si="487"/>
        <v>1491</v>
      </c>
      <c r="AT1494" s="71">
        <f t="shared" si="488"/>
        <v>3.6959222016253848E-5</v>
      </c>
      <c r="AU1494" s="72">
        <f t="shared" si="484"/>
        <v>6.8214933659622723E-3</v>
      </c>
      <c r="AV1494" s="73">
        <f t="shared" si="486"/>
        <v>1.0068214933659623</v>
      </c>
      <c r="AW1494" s="74">
        <f>PRODUCT(AV$4:AV1494)</f>
        <v>25243.23262194551</v>
      </c>
    </row>
    <row r="1495" spans="44:49">
      <c r="AR1495" s="69">
        <f t="shared" si="485"/>
        <v>125</v>
      </c>
      <c r="AS1495" s="70">
        <f t="shared" si="487"/>
        <v>1492</v>
      </c>
      <c r="AT1495" s="71">
        <f t="shared" si="488"/>
        <v>3.6707104928458845E-5</v>
      </c>
      <c r="AU1495" s="72">
        <f t="shared" si="484"/>
        <v>6.8214933659622723E-3</v>
      </c>
      <c r="AV1495" s="73">
        <f t="shared" si="486"/>
        <v>1.0068214933659623</v>
      </c>
      <c r="AW1495" s="74">
        <f>PRODUCT(AV$4:AV1495)</f>
        <v>25415.429165811554</v>
      </c>
    </row>
    <row r="1496" spans="44:49">
      <c r="AR1496" s="69">
        <f t="shared" si="485"/>
        <v>125</v>
      </c>
      <c r="AS1496" s="70">
        <f t="shared" si="487"/>
        <v>1493</v>
      </c>
      <c r="AT1496" s="71">
        <f t="shared" si="488"/>
        <v>3.6456707655705679E-5</v>
      </c>
      <c r="AU1496" s="72">
        <f t="shared" si="484"/>
        <v>6.8214933659622723E-3</v>
      </c>
      <c r="AV1496" s="73">
        <f t="shared" si="486"/>
        <v>1.0068214933659623</v>
      </c>
      <c r="AW1496" s="74">
        <f>PRODUCT(AV$4:AV1496)</f>
        <v>25588.800347259221</v>
      </c>
    </row>
    <row r="1497" spans="44:49">
      <c r="AR1497" s="69">
        <f t="shared" si="485"/>
        <v>125</v>
      </c>
      <c r="AS1497" s="70">
        <f t="shared" si="487"/>
        <v>1494</v>
      </c>
      <c r="AT1497" s="71">
        <f t="shared" si="488"/>
        <v>3.6208018466287455E-5</v>
      </c>
      <c r="AU1497" s="72">
        <f t="shared" si="484"/>
        <v>6.8214933659622723E-3</v>
      </c>
      <c r="AV1497" s="73">
        <f t="shared" si="486"/>
        <v>1.0068214933659623</v>
      </c>
      <c r="AW1497" s="74">
        <f>PRODUCT(AV$4:AV1497)</f>
        <v>25763.354179070982</v>
      </c>
    </row>
    <row r="1498" spans="44:49">
      <c r="AR1498" s="69">
        <f t="shared" si="485"/>
        <v>125</v>
      </c>
      <c r="AS1498" s="70">
        <f t="shared" si="487"/>
        <v>1495</v>
      </c>
      <c r="AT1498" s="71">
        <f t="shared" si="488"/>
        <v>3.5961025708525034E-5</v>
      </c>
      <c r="AU1498" s="72">
        <f t="shared" si="484"/>
        <v>6.8214933659622723E-3</v>
      </c>
      <c r="AV1498" s="73">
        <f t="shared" si="486"/>
        <v>1.0068214933659623</v>
      </c>
      <c r="AW1498" s="74">
        <f>PRODUCT(AV$4:AV1498)</f>
        <v>25939.098728688452</v>
      </c>
    </row>
    <row r="1499" spans="44:49">
      <c r="AR1499" s="69">
        <f t="shared" si="485"/>
        <v>125</v>
      </c>
      <c r="AS1499" s="70">
        <f t="shared" si="487"/>
        <v>1496</v>
      </c>
      <c r="AT1499" s="71">
        <f t="shared" si="488"/>
        <v>3.5715717810221133E-5</v>
      </c>
      <c r="AU1499" s="72">
        <f t="shared" si="484"/>
        <v>6.8214933659622723E-3</v>
      </c>
      <c r="AV1499" s="73">
        <f t="shared" si="486"/>
        <v>1.0068214933659623</v>
      </c>
      <c r="AW1499" s="74">
        <f>PRODUCT(AV$4:AV1499)</f>
        <v>26116.042118585239</v>
      </c>
    </row>
    <row r="1500" spans="44:49">
      <c r="AR1500" s="69">
        <f t="shared" si="485"/>
        <v>125</v>
      </c>
      <c r="AS1500" s="70">
        <f t="shared" si="487"/>
        <v>1497</v>
      </c>
      <c r="AT1500" s="71">
        <f t="shared" si="488"/>
        <v>3.5472083278118127E-5</v>
      </c>
      <c r="AU1500" s="72">
        <f t="shared" si="484"/>
        <v>6.8214933659622723E-3</v>
      </c>
      <c r="AV1500" s="73">
        <f t="shared" si="486"/>
        <v>1.0068214933659623</v>
      </c>
      <c r="AW1500" s="74">
        <f>PRODUCT(AV$4:AV1500)</f>
        <v>26294.19252664236</v>
      </c>
    </row>
    <row r="1501" spans="44:49">
      <c r="AR1501" s="69">
        <f t="shared" si="485"/>
        <v>125</v>
      </c>
      <c r="AS1501" s="70">
        <f t="shared" si="487"/>
        <v>1498</v>
      </c>
      <c r="AT1501" s="71">
        <f t="shared" si="488"/>
        <v>3.5230110697359583E-5</v>
      </c>
      <c r="AU1501" s="72">
        <f t="shared" si="484"/>
        <v>6.8214933659622723E-3</v>
      </c>
      <c r="AV1501" s="73">
        <f t="shared" si="486"/>
        <v>1.0068214933659623</v>
      </c>
      <c r="AW1501" s="74">
        <f>PRODUCT(AV$4:AV1501)</f>
        <v>26473.558186526185</v>
      </c>
    </row>
    <row r="1502" spans="44:49">
      <c r="AR1502" s="69">
        <f t="shared" si="485"/>
        <v>125</v>
      </c>
      <c r="AS1502" s="70">
        <f t="shared" si="487"/>
        <v>1499</v>
      </c>
      <c r="AT1502" s="71">
        <f t="shared" si="488"/>
        <v>3.4989788730955426E-5</v>
      </c>
      <c r="AU1502" s="72">
        <f t="shared" si="484"/>
        <v>6.8214933659622723E-3</v>
      </c>
      <c r="AV1502" s="73">
        <f t="shared" si="486"/>
        <v>1.0068214933659623</v>
      </c>
      <c r="AW1502" s="74">
        <f>PRODUCT(AV$4:AV1502)</f>
        <v>26654.147388068988</v>
      </c>
    </row>
    <row r="1503" spans="44:49">
      <c r="AR1503" s="69">
        <f t="shared" si="485"/>
        <v>125</v>
      </c>
      <c r="AS1503" s="70">
        <f t="shared" si="487"/>
        <v>1500</v>
      </c>
      <c r="AT1503" s="71">
        <f t="shared" si="488"/>
        <v>3.475110611925079E-5</v>
      </c>
      <c r="AU1503" s="72">
        <f t="shared" si="484"/>
        <v>6.8214933659622723E-3</v>
      </c>
      <c r="AV1503" s="73">
        <f t="shared" si="486"/>
        <v>1.0068214933659623</v>
      </c>
      <c r="AW1503" s="74">
        <f>PRODUCT(AV$4:AV1503)</f>
        <v>26835.968477652081</v>
      </c>
    </row>
    <row r="1504" spans="44:49">
      <c r="AR1504" s="69">
        <f t="shared" si="485"/>
        <v>126</v>
      </c>
      <c r="AS1504" s="70">
        <f t="shared" si="487"/>
        <v>1501</v>
      </c>
      <c r="AT1504" s="71">
        <f t="shared" si="488"/>
        <v>3.4514051679398467E-5</v>
      </c>
      <c r="AU1504" s="72">
        <f t="shared" si="484"/>
        <v>6.8214933659622723E-3</v>
      </c>
      <c r="AV1504" s="73">
        <f t="shared" si="486"/>
        <v>1.0068214933659623</v>
      </c>
      <c r="AW1504" s="74">
        <f>PRODUCT(AV$4:AV1504)</f>
        <v>27019.029858591559</v>
      </c>
    </row>
    <row r="1505" spans="44:49">
      <c r="AR1505" s="69">
        <f t="shared" si="485"/>
        <v>126</v>
      </c>
      <c r="AS1505" s="70">
        <f t="shared" si="487"/>
        <v>1502</v>
      </c>
      <c r="AT1505" s="71">
        <f t="shared" si="488"/>
        <v>3.4278614304834973E-5</v>
      </c>
      <c r="AU1505" s="72">
        <f t="shared" si="484"/>
        <v>6.8214933659622723E-3</v>
      </c>
      <c r="AV1505" s="73">
        <f t="shared" si="486"/>
        <v>1.0068214933659623</v>
      </c>
      <c r="AW1505" s="74">
        <f>PRODUCT(AV$4:AV1505)</f>
        <v>27203.339991526678</v>
      </c>
    </row>
    <row r="1506" spans="44:49">
      <c r="AR1506" s="69">
        <f t="shared" si="485"/>
        <v>126</v>
      </c>
      <c r="AS1506" s="70">
        <f t="shared" si="487"/>
        <v>1503</v>
      </c>
      <c r="AT1506" s="71">
        <f t="shared" si="488"/>
        <v>3.404478296476016E-5</v>
      </c>
      <c r="AU1506" s="72">
        <f t="shared" si="484"/>
        <v>6.8214933659622723E-3</v>
      </c>
      <c r="AV1506" s="73">
        <f t="shared" si="486"/>
        <v>1.0068214933659623</v>
      </c>
      <c r="AW1506" s="74">
        <f>PRODUCT(AV$4:AV1506)</f>
        <v>27388.907394810893</v>
      </c>
    </row>
    <row r="1507" spans="44:49">
      <c r="AR1507" s="69">
        <f t="shared" si="485"/>
        <v>126</v>
      </c>
      <c r="AS1507" s="70">
        <f t="shared" si="487"/>
        <v>1504</v>
      </c>
      <c r="AT1507" s="71">
        <f t="shared" si="488"/>
        <v>3.3812546703620424E-5</v>
      </c>
      <c r="AU1507" s="72">
        <f t="shared" si="484"/>
        <v>6.8214933659622723E-3</v>
      </c>
      <c r="AV1507" s="73">
        <f t="shared" si="486"/>
        <v>1.0068214933659623</v>
      </c>
      <c r="AW1507" s="74">
        <f>PRODUCT(AV$4:AV1507)</f>
        <v>27575.740644905549</v>
      </c>
    </row>
    <row r="1508" spans="44:49">
      <c r="AR1508" s="69">
        <f t="shared" si="485"/>
        <v>126</v>
      </c>
      <c r="AS1508" s="70">
        <f t="shared" si="487"/>
        <v>1505</v>
      </c>
      <c r="AT1508" s="71">
        <f t="shared" si="488"/>
        <v>3.3581894640595387E-5</v>
      </c>
      <c r="AU1508" s="72">
        <f t="shared" si="484"/>
        <v>6.8214933659622723E-3</v>
      </c>
      <c r="AV1508" s="73">
        <f t="shared" si="486"/>
        <v>1.0068214933659623</v>
      </c>
      <c r="AW1508" s="74">
        <f>PRODUCT(AV$4:AV1508)</f>
        <v>27763.84837677627</v>
      </c>
    </row>
    <row r="1509" spans="44:49">
      <c r="AR1509" s="69">
        <f t="shared" si="485"/>
        <v>126</v>
      </c>
      <c r="AS1509" s="70">
        <f t="shared" si="487"/>
        <v>1506</v>
      </c>
      <c r="AT1509" s="71">
        <f t="shared" si="488"/>
        <v>3.3352815969088123E-5</v>
      </c>
      <c r="AU1509" s="72">
        <f t="shared" si="484"/>
        <v>6.8214933659622723E-3</v>
      </c>
      <c r="AV1509" s="73">
        <f t="shared" si="486"/>
        <v>1.0068214933659623</v>
      </c>
      <c r="AW1509" s="74">
        <f>PRODUCT(AV$4:AV1509)</f>
        <v>27953.239284292031</v>
      </c>
    </row>
    <row r="1510" spans="44:49">
      <c r="AR1510" s="69">
        <f t="shared" si="485"/>
        <v>126</v>
      </c>
      <c r="AS1510" s="70">
        <f t="shared" si="487"/>
        <v>1507</v>
      </c>
      <c r="AT1510" s="71">
        <f t="shared" si="488"/>
        <v>3.3125299956218825E-5</v>
      </c>
      <c r="AU1510" s="72">
        <f t="shared" si="484"/>
        <v>6.8214933659622723E-3</v>
      </c>
      <c r="AV1510" s="73">
        <f t="shared" si="486"/>
        <v>1.0068214933659623</v>
      </c>
      <c r="AW1510" s="74">
        <f>PRODUCT(AV$4:AV1510)</f>
        <v>28143.922120626983</v>
      </c>
    </row>
    <row r="1511" spans="44:49">
      <c r="AR1511" s="69">
        <f t="shared" si="485"/>
        <v>126</v>
      </c>
      <c r="AS1511" s="70">
        <f t="shared" si="487"/>
        <v>1508</v>
      </c>
      <c r="AT1511" s="71">
        <f t="shared" si="488"/>
        <v>3.2899335942321966E-5</v>
      </c>
      <c r="AU1511" s="72">
        <f t="shared" si="484"/>
        <v>6.8214933659622723E-3</v>
      </c>
      <c r="AV1511" s="73">
        <f t="shared" si="486"/>
        <v>1.0068214933659623</v>
      </c>
      <c r="AW1511" s="74">
        <f>PRODUCT(AV$4:AV1511)</f>
        <v>28335.905698664999</v>
      </c>
    </row>
    <row r="1512" spans="44:49">
      <c r="AR1512" s="69">
        <f t="shared" si="485"/>
        <v>126</v>
      </c>
      <c r="AS1512" s="70">
        <f t="shared" si="487"/>
        <v>1509</v>
      </c>
      <c r="AT1512" s="71">
        <f t="shared" si="488"/>
        <v>3.2674913340446851E-5</v>
      </c>
      <c r="AU1512" s="72">
        <f t="shared" si="484"/>
        <v>6.8214933659622723E-3</v>
      </c>
      <c r="AV1512" s="73">
        <f t="shared" si="486"/>
        <v>1.0068214933659623</v>
      </c>
      <c r="AW1512" s="74">
        <f>PRODUCT(AV$4:AV1512)</f>
        <v>28529.198891406973</v>
      </c>
    </row>
    <row r="1513" spans="44:49">
      <c r="AR1513" s="69">
        <f t="shared" si="485"/>
        <v>126</v>
      </c>
      <c r="AS1513" s="70">
        <f t="shared" si="487"/>
        <v>1510</v>
      </c>
      <c r="AT1513" s="71">
        <f t="shared" si="488"/>
        <v>3.24520216358616E-5</v>
      </c>
      <c r="AU1513" s="72">
        <f t="shared" si="484"/>
        <v>6.8214933659622723E-3</v>
      </c>
      <c r="AV1513" s="73">
        <f t="shared" si="486"/>
        <v>1.0068214933659623</v>
      </c>
      <c r="AW1513" s="74">
        <f>PRODUCT(AV$4:AV1513)</f>
        <v>28723.810632380926</v>
      </c>
    </row>
    <row r="1514" spans="44:49">
      <c r="AR1514" s="69">
        <f t="shared" si="485"/>
        <v>126</v>
      </c>
      <c r="AS1514" s="70">
        <f t="shared" si="487"/>
        <v>1511</v>
      </c>
      <c r="AT1514" s="71">
        <f t="shared" si="488"/>
        <v>3.2230650385560507E-5</v>
      </c>
      <c r="AU1514" s="72">
        <f t="shared" si="484"/>
        <v>6.8214933659622723E-3</v>
      </c>
      <c r="AV1514" s="73">
        <f t="shared" si="486"/>
        <v>1.0068214933659623</v>
      </c>
      <c r="AW1514" s="74">
        <f>PRODUCT(AV$4:AV1514)</f>
        <v>28919.749916054869</v>
      </c>
    </row>
    <row r="1515" spans="44:49">
      <c r="AR1515" s="69">
        <f t="shared" si="485"/>
        <v>126</v>
      </c>
      <c r="AS1515" s="70">
        <f t="shared" si="487"/>
        <v>1512</v>
      </c>
      <c r="AT1515" s="71">
        <f t="shared" si="488"/>
        <v>3.2010789217774758E-5</v>
      </c>
      <c r="AU1515" s="72">
        <f t="shared" si="484"/>
        <v>6.8214933659622723E-3</v>
      </c>
      <c r="AV1515" s="73">
        <f t="shared" si="486"/>
        <v>1.0068214933659623</v>
      </c>
      <c r="AW1515" s="74">
        <f>PRODUCT(AV$4:AV1515)</f>
        <v>29117.025798252525</v>
      </c>
    </row>
    <row r="1516" spans="44:49">
      <c r="AR1516" s="69">
        <f t="shared" si="485"/>
        <v>127</v>
      </c>
      <c r="AS1516" s="70">
        <f t="shared" si="487"/>
        <v>1513</v>
      </c>
      <c r="AT1516" s="71">
        <f t="shared" si="488"/>
        <v>3.1792427831486489E-5</v>
      </c>
      <c r="AU1516" s="72">
        <f t="shared" si="484"/>
        <v>6.8214933659622723E-3</v>
      </c>
      <c r="AV1516" s="73">
        <f t="shared" si="486"/>
        <v>1.0068214933659623</v>
      </c>
      <c r="AW1516" s="74">
        <f>PRODUCT(AV$4:AV1516)</f>
        <v>29315.647396571858</v>
      </c>
    </row>
    <row r="1517" spans="44:49">
      <c r="AR1517" s="69">
        <f t="shared" si="485"/>
        <v>127</v>
      </c>
      <c r="AS1517" s="70">
        <f t="shared" si="487"/>
        <v>1514</v>
      </c>
      <c r="AT1517" s="71">
        <f t="shared" si="488"/>
        <v>3.1575555995946171E-5</v>
      </c>
      <c r="AU1517" s="72">
        <f t="shared" si="484"/>
        <v>6.8214933659622723E-3</v>
      </c>
      <c r="AV1517" s="73">
        <f t="shared" si="486"/>
        <v>1.0068214933659623</v>
      </c>
      <c r="AW1517" s="74">
        <f>PRODUCT(AV$4:AV1517)</f>
        <v>29515.623890806462</v>
      </c>
    </row>
    <row r="1518" spans="44:49">
      <c r="AR1518" s="69">
        <f t="shared" si="485"/>
        <v>127</v>
      </c>
      <c r="AS1518" s="70">
        <f t="shared" si="487"/>
        <v>1515</v>
      </c>
      <c r="AT1518" s="71">
        <f t="shared" si="488"/>
        <v>3.1360163550193257E-5</v>
      </c>
      <c r="AU1518" s="72">
        <f t="shared" si="484"/>
        <v>6.8214933659622723E-3</v>
      </c>
      <c r="AV1518" s="73">
        <f t="shared" si="486"/>
        <v>1.0068214933659623</v>
      </c>
      <c r="AW1518" s="74">
        <f>PRODUCT(AV$4:AV1518)</f>
        <v>29716.964523369836</v>
      </c>
    </row>
    <row r="1519" spans="44:49">
      <c r="AR1519" s="69">
        <f t="shared" si="485"/>
        <v>127</v>
      </c>
      <c r="AS1519" s="70">
        <f t="shared" si="487"/>
        <v>1516</v>
      </c>
      <c r="AT1519" s="71">
        <f t="shared" si="488"/>
        <v>3.1146240402580123E-5</v>
      </c>
      <c r="AU1519" s="72">
        <f t="shared" si="484"/>
        <v>6.8214933659622723E-3</v>
      </c>
      <c r="AV1519" s="73">
        <f t="shared" si="486"/>
        <v>1.0068214933659623</v>
      </c>
      <c r="AW1519" s="74">
        <f>PRODUCT(AV$4:AV1519)</f>
        <v>29919.678599722538</v>
      </c>
    </row>
    <row r="1520" spans="44:49">
      <c r="AR1520" s="69">
        <f t="shared" si="485"/>
        <v>127</v>
      </c>
      <c r="AS1520" s="70">
        <f t="shared" si="487"/>
        <v>1517</v>
      </c>
      <c r="AT1520" s="71">
        <f t="shared" si="488"/>
        <v>3.0933776530299254E-5</v>
      </c>
      <c r="AU1520" s="72">
        <f t="shared" si="484"/>
        <v>6.8214933659622723E-3</v>
      </c>
      <c r="AV1520" s="73">
        <f t="shared" si="486"/>
        <v>1.0068214933659623</v>
      </c>
      <c r="AW1520" s="74">
        <f>PRODUCT(AV$4:AV1520)</f>
        <v>30123.775488802268</v>
      </c>
    </row>
    <row r="1521" spans="44:49">
      <c r="AR1521" s="69">
        <f t="shared" si="485"/>
        <v>127</v>
      </c>
      <c r="AS1521" s="70">
        <f t="shared" si="487"/>
        <v>1518</v>
      </c>
      <c r="AT1521" s="71">
        <f t="shared" si="488"/>
        <v>3.0722761978913656E-5</v>
      </c>
      <c r="AU1521" s="72">
        <f t="shared" si="484"/>
        <v>6.8214933659622723E-3</v>
      </c>
      <c r="AV1521" s="73">
        <f t="shared" si="486"/>
        <v>1.0068214933659623</v>
      </c>
      <c r="AW1521" s="74">
        <f>PRODUCT(AV$4:AV1521)</f>
        <v>30329.264623456871</v>
      </c>
    </row>
    <row r="1522" spans="44:49">
      <c r="AR1522" s="69">
        <f t="shared" si="485"/>
        <v>127</v>
      </c>
      <c r="AS1522" s="70">
        <f t="shared" si="487"/>
        <v>1519</v>
      </c>
      <c r="AT1522" s="71">
        <f t="shared" si="488"/>
        <v>3.051318686189046E-5</v>
      </c>
      <c r="AU1522" s="72">
        <f t="shared" si="484"/>
        <v>6.8214933659622723E-3</v>
      </c>
      <c r="AV1522" s="73">
        <f t="shared" si="486"/>
        <v>1.0068214933659623</v>
      </c>
      <c r="AW1522" s="74">
        <f>PRODUCT(AV$4:AV1522)</f>
        <v>30536.155500880297</v>
      </c>
    </row>
    <row r="1523" spans="44:49">
      <c r="AR1523" s="69">
        <f t="shared" si="485"/>
        <v>127</v>
      </c>
      <c r="AS1523" s="70">
        <f t="shared" si="487"/>
        <v>1520</v>
      </c>
      <c r="AT1523" s="71">
        <f t="shared" si="488"/>
        <v>3.0305041360137709E-5</v>
      </c>
      <c r="AU1523" s="72">
        <f t="shared" si="484"/>
        <v>6.8214933659622723E-3</v>
      </c>
      <c r="AV1523" s="73">
        <f t="shared" si="486"/>
        <v>1.0068214933659623</v>
      </c>
      <c r="AW1523" s="74">
        <f>PRODUCT(AV$4:AV1523)</f>
        <v>30744.457683051543</v>
      </c>
    </row>
    <row r="1524" spans="44:49">
      <c r="AR1524" s="69">
        <f t="shared" si="485"/>
        <v>127</v>
      </c>
      <c r="AS1524" s="70">
        <f t="shared" si="487"/>
        <v>1521</v>
      </c>
      <c r="AT1524" s="71">
        <f t="shared" si="488"/>
        <v>3.0098315721544315E-5</v>
      </c>
      <c r="AU1524" s="72">
        <f t="shared" si="484"/>
        <v>6.8214933659622723E-3</v>
      </c>
      <c r="AV1524" s="73">
        <f t="shared" si="486"/>
        <v>1.0068214933659623</v>
      </c>
      <c r="AW1524" s="74">
        <f>PRODUCT(AV$4:AV1524)</f>
        <v>30954.180797176588</v>
      </c>
    </row>
    <row r="1525" spans="44:49">
      <c r="AR1525" s="69">
        <f t="shared" si="485"/>
        <v>127</v>
      </c>
      <c r="AS1525" s="70">
        <f t="shared" si="487"/>
        <v>1522</v>
      </c>
      <c r="AT1525" s="71">
        <f t="shared" si="488"/>
        <v>2.9893000260523164E-5</v>
      </c>
      <c r="AU1525" s="72">
        <f t="shared" si="484"/>
        <v>6.8214933659622723E-3</v>
      </c>
      <c r="AV1525" s="73">
        <f t="shared" si="486"/>
        <v>1.0068214933659623</v>
      </c>
      <c r="AW1525" s="74">
        <f>PRODUCT(AV$4:AV1525)</f>
        <v>31165.334536133327</v>
      </c>
    </row>
    <row r="1526" spans="44:49">
      <c r="AR1526" s="69">
        <f t="shared" si="485"/>
        <v>127</v>
      </c>
      <c r="AS1526" s="70">
        <f t="shared" si="487"/>
        <v>1523</v>
      </c>
      <c r="AT1526" s="71">
        <f t="shared" si="488"/>
        <v>2.9689085357557295E-5</v>
      </c>
      <c r="AU1526" s="72">
        <f t="shared" si="484"/>
        <v>6.8214933659622723E-3</v>
      </c>
      <c r="AV1526" s="73">
        <f t="shared" si="486"/>
        <v>1.0068214933659623</v>
      </c>
      <c r="AW1526" s="74">
        <f>PRODUCT(AV$4:AV1526)</f>
        <v>31377.928658919554</v>
      </c>
    </row>
    <row r="1527" spans="44:49">
      <c r="AR1527" s="69">
        <f t="shared" si="485"/>
        <v>127</v>
      </c>
      <c r="AS1527" s="70">
        <f t="shared" si="487"/>
        <v>1524</v>
      </c>
      <c r="AT1527" s="71">
        <f t="shared" si="488"/>
        <v>2.9486561458749229E-5</v>
      </c>
      <c r="AU1527" s="72">
        <f t="shared" si="484"/>
        <v>6.8214933659622723E-3</v>
      </c>
      <c r="AV1527" s="73">
        <f t="shared" si="486"/>
        <v>1.0068214933659623</v>
      </c>
      <c r="AW1527" s="74">
        <f>PRODUCT(AV$4:AV1527)</f>
        <v>31591.972991104012</v>
      </c>
    </row>
    <row r="1528" spans="44:49">
      <c r="AR1528" s="69">
        <f t="shared" si="485"/>
        <v>128</v>
      </c>
      <c r="AS1528" s="70">
        <f t="shared" si="487"/>
        <v>1525</v>
      </c>
      <c r="AT1528" s="71">
        <f t="shared" si="488"/>
        <v>2.9285419075373333E-5</v>
      </c>
      <c r="AU1528" s="72">
        <f t="shared" si="484"/>
        <v>6.8214933659622723E-3</v>
      </c>
      <c r="AV1528" s="73">
        <f t="shared" si="486"/>
        <v>1.0068214933659623</v>
      </c>
      <c r="AW1528" s="74">
        <f>PRODUCT(AV$4:AV1528)</f>
        <v>31807.477425280489</v>
      </c>
    </row>
    <row r="1529" spans="44:49">
      <c r="AR1529" s="69">
        <f t="shared" si="485"/>
        <v>128</v>
      </c>
      <c r="AS1529" s="70">
        <f t="shared" si="487"/>
        <v>1526</v>
      </c>
      <c r="AT1529" s="71">
        <f t="shared" si="488"/>
        <v>2.9085648783431248E-5</v>
      </c>
      <c r="AU1529" s="72">
        <f t="shared" si="484"/>
        <v>6.8214933659622723E-3</v>
      </c>
      <c r="AV1529" s="73">
        <f t="shared" si="486"/>
        <v>1.0068214933659623</v>
      </c>
      <c r="AW1529" s="74">
        <f>PRODUCT(AV$4:AV1529)</f>
        <v>32024.451921525033</v>
      </c>
    </row>
    <row r="1530" spans="44:49">
      <c r="AR1530" s="69">
        <f t="shared" si="485"/>
        <v>128</v>
      </c>
      <c r="AS1530" s="70">
        <f t="shared" si="487"/>
        <v>1527</v>
      </c>
      <c r="AT1530" s="71">
        <f t="shared" si="488"/>
        <v>2.8887241223210365E-5</v>
      </c>
      <c r="AU1530" s="72">
        <f t="shared" si="484"/>
        <v>6.8214933659622723E-3</v>
      </c>
      <c r="AV1530" s="73">
        <f t="shared" si="486"/>
        <v>1.0068214933659623</v>
      </c>
      <c r="AW1530" s="74">
        <f>PRODUCT(AV$4:AV1530)</f>
        <v>32242.906507856293</v>
      </c>
    </row>
    <row r="1531" spans="44:49">
      <c r="AR1531" s="69">
        <f t="shared" si="485"/>
        <v>128</v>
      </c>
      <c r="AS1531" s="70">
        <f t="shared" si="487"/>
        <v>1528</v>
      </c>
      <c r="AT1531" s="71">
        <f t="shared" si="488"/>
        <v>2.8690187098845285E-5</v>
      </c>
      <c r="AU1531" s="72">
        <f t="shared" si="484"/>
        <v>6.8214933659622723E-3</v>
      </c>
      <c r="AV1531" s="73">
        <f t="shared" si="486"/>
        <v>1.0068214933659623</v>
      </c>
      <c r="AW1531" s="74">
        <f>PRODUCT(AV$4:AV1531)</f>
        <v>32462.851280698975</v>
      </c>
    </row>
    <row r="1532" spans="44:49">
      <c r="AR1532" s="69">
        <f t="shared" si="485"/>
        <v>128</v>
      </c>
      <c r="AS1532" s="70">
        <f t="shared" si="487"/>
        <v>1529</v>
      </c>
      <c r="AT1532" s="71">
        <f t="shared" si="488"/>
        <v>2.8494477177882296E-5</v>
      </c>
      <c r="AU1532" s="72">
        <f t="shared" si="484"/>
        <v>6.8214933659622723E-3</v>
      </c>
      <c r="AV1532" s="73">
        <f t="shared" si="486"/>
        <v>1.0068214933659623</v>
      </c>
      <c r="AW1532" s="74">
        <f>PRODUCT(AV$4:AV1532)</f>
        <v>32684.296405350484</v>
      </c>
    </row>
    <row r="1533" spans="44:49">
      <c r="AR1533" s="69">
        <f t="shared" si="485"/>
        <v>128</v>
      </c>
      <c r="AS1533" s="70">
        <f t="shared" si="487"/>
        <v>1530</v>
      </c>
      <c r="AT1533" s="71">
        <f t="shared" si="488"/>
        <v>2.830010229084681E-5</v>
      </c>
      <c r="AU1533" s="72">
        <f t="shared" si="484"/>
        <v>6.8214933659622723E-3</v>
      </c>
      <c r="AV1533" s="73">
        <f t="shared" si="486"/>
        <v>1.0068214933659623</v>
      </c>
      <c r="AW1533" s="74">
        <f>PRODUCT(AV$4:AV1533)</f>
        <v>32907.252116450727</v>
      </c>
    </row>
    <row r="1534" spans="44:49">
      <c r="AR1534" s="69">
        <f t="shared" si="485"/>
        <v>128</v>
      </c>
      <c r="AS1534" s="70">
        <f t="shared" si="487"/>
        <v>1531</v>
      </c>
      <c r="AT1534" s="71">
        <f t="shared" si="488"/>
        <v>2.8107053330813744E-5</v>
      </c>
      <c r="AU1534" s="72">
        <f t="shared" si="484"/>
        <v>6.8214933659622723E-3</v>
      </c>
      <c r="AV1534" s="73">
        <f t="shared" si="486"/>
        <v>1.0068214933659623</v>
      </c>
      <c r="AW1534" s="74">
        <f>PRODUCT(AV$4:AV1534)</f>
        <v>33131.728718455146</v>
      </c>
    </row>
    <row r="1535" spans="44:49">
      <c r="AR1535" s="69">
        <f t="shared" si="485"/>
        <v>128</v>
      </c>
      <c r="AS1535" s="70">
        <f t="shared" si="487"/>
        <v>1532</v>
      </c>
      <c r="AT1535" s="71">
        <f t="shared" si="488"/>
        <v>2.7915321252980851E-5</v>
      </c>
      <c r="AU1535" s="72">
        <f t="shared" si="484"/>
        <v>6.8214933659622723E-3</v>
      </c>
      <c r="AV1535" s="73">
        <f t="shared" si="486"/>
        <v>1.0068214933659623</v>
      </c>
      <c r="AW1535" s="74">
        <f>PRODUCT(AV$4:AV1535)</f>
        <v>33357.73658611095</v>
      </c>
    </row>
    <row r="1536" spans="44:49">
      <c r="AR1536" s="69">
        <f t="shared" si="485"/>
        <v>128</v>
      </c>
      <c r="AS1536" s="70">
        <f t="shared" si="487"/>
        <v>1533</v>
      </c>
      <c r="AT1536" s="71">
        <f t="shared" si="488"/>
        <v>2.7724897074244936E-5</v>
      </c>
      <c r="AU1536" s="72">
        <f t="shared" si="484"/>
        <v>6.8214933659622723E-3</v>
      </c>
      <c r="AV1536" s="73">
        <f t="shared" si="486"/>
        <v>1.0068214933659623</v>
      </c>
      <c r="AW1536" s="74">
        <f>PRODUCT(AV$4:AV1536)</f>
        <v>33585.286164936624</v>
      </c>
    </row>
    <row r="1537" spans="44:49">
      <c r="AR1537" s="69">
        <f t="shared" si="485"/>
        <v>128</v>
      </c>
      <c r="AS1537" s="70">
        <f t="shared" si="487"/>
        <v>1534</v>
      </c>
      <c r="AT1537" s="71">
        <f t="shared" si="488"/>
        <v>2.7535771872780986E-5</v>
      </c>
      <c r="AU1537" s="72">
        <f t="shared" si="484"/>
        <v>6.8214933659622723E-3</v>
      </c>
      <c r="AV1537" s="73">
        <f t="shared" si="486"/>
        <v>1.0068214933659623</v>
      </c>
      <c r="AW1537" s="74">
        <f>PRODUCT(AV$4:AV1537)</f>
        <v>33814.38797170468</v>
      </c>
    </row>
    <row r="1538" spans="44:49">
      <c r="AR1538" s="69">
        <f t="shared" si="485"/>
        <v>128</v>
      </c>
      <c r="AS1538" s="70">
        <f t="shared" si="487"/>
        <v>1535</v>
      </c>
      <c r="AT1538" s="71">
        <f t="shared" si="488"/>
        <v>2.7347936787624158E-5</v>
      </c>
      <c r="AU1538" s="72">
        <f t="shared" si="484"/>
        <v>6.8214933659622723E-3</v>
      </c>
      <c r="AV1538" s="73">
        <f t="shared" si="486"/>
        <v>1.0068214933659623</v>
      </c>
      <c r="AW1538" s="74">
        <f>PRODUCT(AV$4:AV1538)</f>
        <v>34045.052594927736</v>
      </c>
    </row>
    <row r="1539" spans="44:49">
      <c r="AR1539" s="69">
        <f t="shared" si="485"/>
        <v>128</v>
      </c>
      <c r="AS1539" s="70">
        <f t="shared" si="487"/>
        <v>1536</v>
      </c>
      <c r="AT1539" s="71">
        <f t="shared" si="488"/>
        <v>2.7161383018254625E-5</v>
      </c>
      <c r="AU1539" s="72">
        <f t="shared" si="484"/>
        <v>6.8214933659622723E-3</v>
      </c>
      <c r="AV1539" s="73">
        <f t="shared" si="486"/>
        <v>1.0068214933659623</v>
      </c>
      <c r="AW1539" s="74">
        <f>PRODUCT(AV$4:AV1539)</f>
        <v>34277.290695347874</v>
      </c>
    </row>
    <row r="1540" spans="44:49">
      <c r="AR1540" s="69">
        <f t="shared" si="485"/>
        <v>129</v>
      </c>
      <c r="AS1540" s="70">
        <f t="shared" si="487"/>
        <v>1537</v>
      </c>
      <c r="AT1540" s="71">
        <f t="shared" si="488"/>
        <v>2.697610182418524E-5</v>
      </c>
      <c r="AU1540" s="72">
        <f t="shared" ref="AU1540:AU1603" si="489">((1+$AH$21)^(1/12))-1</f>
        <v>6.8214933659622723E-3</v>
      </c>
      <c r="AV1540" s="73">
        <f t="shared" si="486"/>
        <v>1.0068214933659623</v>
      </c>
      <c r="AW1540" s="74">
        <f>PRODUCT(AV$4:AV1540)</f>
        <v>34511.113006429347</v>
      </c>
    </row>
    <row r="1541" spans="44:49">
      <c r="AR1541" s="69">
        <f t="shared" ref="AR1541:AR1604" si="490">ROUNDDOWN((AS1541-1)/12,0)+1</f>
        <v>129</v>
      </c>
      <c r="AS1541" s="70">
        <f t="shared" si="487"/>
        <v>1538</v>
      </c>
      <c r="AT1541" s="71">
        <f t="shared" si="488"/>
        <v>2.6792084524552037E-5</v>
      </c>
      <c r="AU1541" s="72">
        <f t="shared" si="489"/>
        <v>6.8214933659622723E-3</v>
      </c>
      <c r="AV1541" s="73">
        <f t="shared" ref="AV1541:AV1604" si="491">(1+AU1541)</f>
        <v>1.0068214933659623</v>
      </c>
      <c r="AW1541" s="74">
        <f>PRODUCT(AV$4:AV1541)</f>
        <v>34746.53033485468</v>
      </c>
    </row>
    <row r="1542" spans="44:49">
      <c r="AR1542" s="69">
        <f t="shared" si="490"/>
        <v>129</v>
      </c>
      <c r="AS1542" s="70">
        <f t="shared" ref="AS1542:AS1605" si="492">AS1541+1</f>
        <v>1539</v>
      </c>
      <c r="AT1542" s="71">
        <f t="shared" ref="AT1542:AT1605" si="493">(1-AU1542)*AT1541</f>
        <v>2.6609322497707506E-5</v>
      </c>
      <c r="AU1542" s="72">
        <f t="shared" si="489"/>
        <v>6.8214933659622723E-3</v>
      </c>
      <c r="AV1542" s="73">
        <f t="shared" si="491"/>
        <v>1.0068214933659623</v>
      </c>
      <c r="AW1542" s="74">
        <f>PRODUCT(AV$4:AV1542)</f>
        <v>34983.553561024099</v>
      </c>
    </row>
    <row r="1543" spans="44:49">
      <c r="AR1543" s="69">
        <f t="shared" si="490"/>
        <v>129</v>
      </c>
      <c r="AS1543" s="70">
        <f t="shared" si="492"/>
        <v>1540</v>
      </c>
      <c r="AT1543" s="71">
        <f t="shared" si="493"/>
        <v>2.6427807180816645E-5</v>
      </c>
      <c r="AU1543" s="72">
        <f t="shared" si="489"/>
        <v>6.8214933659622723E-3</v>
      </c>
      <c r="AV1543" s="73">
        <f t="shared" si="491"/>
        <v>1.0068214933659623</v>
      </c>
      <c r="AW1543" s="74">
        <f>PRODUCT(AV$4:AV1543)</f>
        <v>35222.193639558413</v>
      </c>
    </row>
    <row r="1544" spans="44:49">
      <c r="AR1544" s="69">
        <f t="shared" si="490"/>
        <v>129</v>
      </c>
      <c r="AS1544" s="70">
        <f t="shared" si="492"/>
        <v>1541</v>
      </c>
      <c r="AT1544" s="71">
        <f t="shared" si="493"/>
        <v>2.6247530069455774E-5</v>
      </c>
      <c r="AU1544" s="72">
        <f t="shared" si="489"/>
        <v>6.8214933659622723E-3</v>
      </c>
      <c r="AV1544" s="73">
        <f t="shared" si="491"/>
        <v>1.0068214933659623</v>
      </c>
      <c r="AW1544" s="74">
        <f>PRODUCT(AV$4:AV1544)</f>
        <v>35462.461599805298</v>
      </c>
    </row>
    <row r="1545" spans="44:49">
      <c r="AR1545" s="69">
        <f t="shared" si="490"/>
        <v>129</v>
      </c>
      <c r="AS1545" s="70">
        <f t="shared" si="492"/>
        <v>1542</v>
      </c>
      <c r="AT1545" s="71">
        <f t="shared" si="493"/>
        <v>2.6068482717214086E-5</v>
      </c>
      <c r="AU1545" s="72">
        <f t="shared" si="489"/>
        <v>6.8214933659622723E-3</v>
      </c>
      <c r="AV1545" s="73">
        <f t="shared" si="491"/>
        <v>1.0068214933659623</v>
      </c>
      <c r="AW1545" s="74">
        <f>PRODUCT(AV$4:AV1545)</f>
        <v>35704.368546349062</v>
      </c>
    </row>
    <row r="1546" spans="44:49">
      <c r="AR1546" s="69">
        <f t="shared" si="490"/>
        <v>129</v>
      </c>
      <c r="AS1546" s="70">
        <f t="shared" si="492"/>
        <v>1543</v>
      </c>
      <c r="AT1546" s="71">
        <f t="shared" si="493"/>
        <v>2.589065673529791E-5</v>
      </c>
      <c r="AU1546" s="72">
        <f t="shared" si="489"/>
        <v>6.8214933659622723E-3</v>
      </c>
      <c r="AV1546" s="73">
        <f t="shared" si="491"/>
        <v>1.0068214933659623</v>
      </c>
      <c r="AW1546" s="74">
        <f>PRODUCT(AV$4:AV1546)</f>
        <v>35947.925659523855</v>
      </c>
    </row>
    <row r="1547" spans="44:49">
      <c r="AR1547" s="69">
        <f t="shared" si="490"/>
        <v>129</v>
      </c>
      <c r="AS1547" s="70">
        <f t="shared" si="492"/>
        <v>1544</v>
      </c>
      <c r="AT1547" s="71">
        <f t="shared" si="493"/>
        <v>2.5714043792137669E-5</v>
      </c>
      <c r="AU1547" s="72">
        <f t="shared" si="489"/>
        <v>6.8214933659622723E-3</v>
      </c>
      <c r="AV1547" s="73">
        <f t="shared" si="491"/>
        <v>1.0068214933659623</v>
      </c>
      <c r="AW1547" s="74">
        <f>PRODUCT(AV$4:AV1547)</f>
        <v>36193.144195930399</v>
      </c>
    </row>
    <row r="1548" spans="44:49">
      <c r="AR1548" s="69">
        <f t="shared" si="490"/>
        <v>129</v>
      </c>
      <c r="AS1548" s="70">
        <f t="shared" si="492"/>
        <v>1545</v>
      </c>
      <c r="AT1548" s="71">
        <f t="shared" si="493"/>
        <v>2.5538635612997539E-5</v>
      </c>
      <c r="AU1548" s="72">
        <f t="shared" si="489"/>
        <v>6.8214933659622723E-3</v>
      </c>
      <c r="AV1548" s="73">
        <f t="shared" si="491"/>
        <v>1.0068214933659623</v>
      </c>
      <c r="AW1548" s="74">
        <f>PRODUCT(AV$4:AV1548)</f>
        <v>36440.035488956251</v>
      </c>
    </row>
    <row r="1549" spans="44:49">
      <c r="AR1549" s="69">
        <f t="shared" si="490"/>
        <v>129</v>
      </c>
      <c r="AS1549" s="70">
        <f t="shared" si="492"/>
        <v>1546</v>
      </c>
      <c r="AT1549" s="71">
        <f t="shared" si="493"/>
        <v>2.5364423979587749E-5</v>
      </c>
      <c r="AU1549" s="72">
        <f t="shared" si="489"/>
        <v>6.8214933659622723E-3</v>
      </c>
      <c r="AV1549" s="73">
        <f t="shared" si="491"/>
        <v>1.0068214933659623</v>
      </c>
      <c r="AW1549" s="74">
        <f>PRODUCT(AV$4:AV1549)</f>
        <v>36688.610949299597</v>
      </c>
    </row>
    <row r="1550" spans="44:49">
      <c r="AR1550" s="69">
        <f t="shared" si="490"/>
        <v>129</v>
      </c>
      <c r="AS1550" s="70">
        <f t="shared" si="492"/>
        <v>1547</v>
      </c>
      <c r="AT1550" s="71">
        <f t="shared" si="493"/>
        <v>2.5191400729679538E-5</v>
      </c>
      <c r="AU1550" s="72">
        <f t="shared" si="489"/>
        <v>6.8214933659622723E-3</v>
      </c>
      <c r="AV1550" s="73">
        <f t="shared" si="491"/>
        <v>1.0068214933659623</v>
      </c>
      <c r="AW1550" s="74">
        <f>PRODUCT(AV$4:AV1550)</f>
        <v>36938.882065496611</v>
      </c>
    </row>
    <row r="1551" spans="44:49">
      <c r="AR1551" s="69">
        <f t="shared" si="490"/>
        <v>129</v>
      </c>
      <c r="AS1551" s="70">
        <f t="shared" si="492"/>
        <v>1548</v>
      </c>
      <c r="AT1551" s="71">
        <f t="shared" si="493"/>
        <v>2.5019557756722731E-5</v>
      </c>
      <c r="AU1551" s="72">
        <f t="shared" si="489"/>
        <v>6.8214933659622723E-3</v>
      </c>
      <c r="AV1551" s="73">
        <f t="shared" si="491"/>
        <v>1.0068214933659623</v>
      </c>
      <c r="AW1551" s="74">
        <f>PRODUCT(AV$4:AV1551)</f>
        <v>37190.860404452462</v>
      </c>
    </row>
    <row r="1552" spans="44:49">
      <c r="AR1552" s="69">
        <f t="shared" si="490"/>
        <v>130</v>
      </c>
      <c r="AS1552" s="70">
        <f t="shared" si="492"/>
        <v>1549</v>
      </c>
      <c r="AT1552" s="71">
        <f t="shared" si="493"/>
        <v>2.4848887009465935E-5</v>
      </c>
      <c r="AU1552" s="72">
        <f t="shared" si="489"/>
        <v>6.8214933659622723E-3</v>
      </c>
      <c r="AV1552" s="73">
        <f t="shared" si="491"/>
        <v>1.0068214933659623</v>
      </c>
      <c r="AW1552" s="74">
        <f>PRODUCT(AV$4:AV1552)</f>
        <v>37444.557611975863</v>
      </c>
    </row>
    <row r="1553" spans="44:49">
      <c r="AR1553" s="69">
        <f t="shared" si="490"/>
        <v>130</v>
      </c>
      <c r="AS1553" s="70">
        <f t="shared" si="492"/>
        <v>1550</v>
      </c>
      <c r="AT1553" s="71">
        <f t="shared" si="493"/>
        <v>2.4679380491579316E-5</v>
      </c>
      <c r="AU1553" s="72">
        <f t="shared" si="489"/>
        <v>6.8214933659622723E-3</v>
      </c>
      <c r="AV1553" s="73">
        <f t="shared" si="491"/>
        <v>1.0068214933659623</v>
      </c>
      <c r="AW1553" s="74">
        <f>PRODUCT(AV$4:AV1553)</f>
        <v>37699.98541331735</v>
      </c>
    </row>
    <row r="1554" spans="44:49">
      <c r="AR1554" s="69">
        <f t="shared" si="490"/>
        <v>130</v>
      </c>
      <c r="AS1554" s="70">
        <f t="shared" si="492"/>
        <v>1551</v>
      </c>
      <c r="AT1554" s="71">
        <f t="shared" si="493"/>
        <v>2.4511030261279949E-5</v>
      </c>
      <c r="AU1554" s="72">
        <f t="shared" si="489"/>
        <v>6.8214933659622723E-3</v>
      </c>
      <c r="AV1554" s="73">
        <f t="shared" si="491"/>
        <v>1.0068214933659623</v>
      </c>
      <c r="AW1554" s="74">
        <f>PRODUCT(AV$4:AV1554)</f>
        <v>37957.155613711169</v>
      </c>
    </row>
    <row r="1555" spans="44:49">
      <c r="AR1555" s="69">
        <f t="shared" si="490"/>
        <v>130</v>
      </c>
      <c r="AS1555" s="70">
        <f t="shared" si="492"/>
        <v>1552</v>
      </c>
      <c r="AT1555" s="71">
        <f t="shared" si="493"/>
        <v>2.4343828430959727E-5</v>
      </c>
      <c r="AU1555" s="72">
        <f t="shared" si="489"/>
        <v>6.8214933659622723E-3</v>
      </c>
      <c r="AV1555" s="73">
        <f t="shared" si="491"/>
        <v>1.0068214933659623</v>
      </c>
      <c r="AW1555" s="74">
        <f>PRODUCT(AV$4:AV1555)</f>
        <v>38216.080098920895</v>
      </c>
    </row>
    <row r="1556" spans="44:49">
      <c r="AR1556" s="69">
        <f t="shared" si="490"/>
        <v>130</v>
      </c>
      <c r="AS1556" s="70">
        <f t="shared" si="492"/>
        <v>1553</v>
      </c>
      <c r="AT1556" s="71">
        <f t="shared" si="493"/>
        <v>2.4177767166815811E-5</v>
      </c>
      <c r="AU1556" s="72">
        <f t="shared" si="489"/>
        <v>6.8214933659622723E-3</v>
      </c>
      <c r="AV1556" s="73">
        <f t="shared" si="491"/>
        <v>1.0068214933659623</v>
      </c>
      <c r="AW1556" s="74">
        <f>PRODUCT(AV$4:AV1556)</f>
        <v>38476.770835788768</v>
      </c>
    </row>
    <row r="1557" spans="44:49">
      <c r="AR1557" s="69">
        <f t="shared" si="490"/>
        <v>130</v>
      </c>
      <c r="AS1557" s="70">
        <f t="shared" si="492"/>
        <v>1554</v>
      </c>
      <c r="AT1557" s="71">
        <f t="shared" si="493"/>
        <v>2.4012838688483598E-5</v>
      </c>
      <c r="AU1557" s="72">
        <f t="shared" si="489"/>
        <v>6.8214933659622723E-3</v>
      </c>
      <c r="AV1557" s="73">
        <f t="shared" si="491"/>
        <v>1.0068214933659623</v>
      </c>
      <c r="AW1557" s="74">
        <f>PRODUCT(AV$4:AV1557)</f>
        <v>38739.239872788748</v>
      </c>
    </row>
    <row r="1558" spans="44:49">
      <c r="AR1558" s="69">
        <f t="shared" si="490"/>
        <v>130</v>
      </c>
      <c r="AS1558" s="70">
        <f t="shared" si="492"/>
        <v>1555</v>
      </c>
      <c r="AT1558" s="71">
        <f t="shared" si="493"/>
        <v>2.3849035268672184E-5</v>
      </c>
      <c r="AU1558" s="72">
        <f t="shared" si="489"/>
        <v>6.8214933659622723E-3</v>
      </c>
      <c r="AV1558" s="73">
        <f t="shared" si="491"/>
        <v>1.0068214933659623</v>
      </c>
      <c r="AW1558" s="74">
        <f>PRODUCT(AV$4:AV1558)</f>
        <v>39003.499340583396</v>
      </c>
    </row>
    <row r="1559" spans="44:49">
      <c r="AR1559" s="69">
        <f t="shared" si="490"/>
        <v>130</v>
      </c>
      <c r="AS1559" s="70">
        <f t="shared" si="492"/>
        <v>1556</v>
      </c>
      <c r="AT1559" s="71">
        <f t="shared" si="493"/>
        <v>2.3686349232802335E-5</v>
      </c>
      <c r="AU1559" s="72">
        <f t="shared" si="489"/>
        <v>6.8214933659622723E-3</v>
      </c>
      <c r="AV1559" s="73">
        <f t="shared" si="491"/>
        <v>1.0068214933659623</v>
      </c>
      <c r="AW1559" s="74">
        <f>PRODUCT(AV$4:AV1559)</f>
        <v>39269.561452584501</v>
      </c>
    </row>
    <row r="1560" spans="44:49">
      <c r="AR1560" s="69">
        <f t="shared" si="490"/>
        <v>130</v>
      </c>
      <c r="AS1560" s="70">
        <f t="shared" si="492"/>
        <v>1557</v>
      </c>
      <c r="AT1560" s="71">
        <f t="shared" si="493"/>
        <v>2.3524772958646908E-5</v>
      </c>
      <c r="AU1560" s="72">
        <f t="shared" si="489"/>
        <v>6.8214933659622723E-3</v>
      </c>
      <c r="AV1560" s="73">
        <f t="shared" si="491"/>
        <v>1.0068214933659623</v>
      </c>
      <c r="AW1560" s="74">
        <f>PRODUCT(AV$4:AV1560)</f>
        <v>39537.438505517552</v>
      </c>
    </row>
    <row r="1561" spans="44:49">
      <c r="AR1561" s="69">
        <f t="shared" si="490"/>
        <v>130</v>
      </c>
      <c r="AS1561" s="70">
        <f t="shared" si="492"/>
        <v>1558</v>
      </c>
      <c r="AT1561" s="71">
        <f t="shared" si="493"/>
        <v>2.3364298875973729E-5</v>
      </c>
      <c r="AU1561" s="72">
        <f t="shared" si="489"/>
        <v>6.8214933659622723E-3</v>
      </c>
      <c r="AV1561" s="73">
        <f t="shared" si="491"/>
        <v>1.0068214933659623</v>
      </c>
      <c r="AW1561" s="74">
        <f>PRODUCT(AV$4:AV1561)</f>
        <v>39807.142879990082</v>
      </c>
    </row>
    <row r="1562" spans="44:49">
      <c r="AR1562" s="69">
        <f t="shared" si="490"/>
        <v>130</v>
      </c>
      <c r="AS1562" s="70">
        <f t="shared" si="492"/>
        <v>1559</v>
      </c>
      <c r="AT1562" s="71">
        <f t="shared" si="493"/>
        <v>2.3204919466190916E-5</v>
      </c>
      <c r="AU1562" s="72">
        <f t="shared" si="489"/>
        <v>6.8214933659622723E-3</v>
      </c>
      <c r="AV1562" s="73">
        <f t="shared" si="491"/>
        <v>1.0068214933659623</v>
      </c>
      <c r="AW1562" s="74">
        <f>PRODUCT(AV$4:AV1562)</f>
        <v>40078.687041063844</v>
      </c>
    </row>
    <row r="1563" spans="44:49">
      <c r="AR1563" s="69">
        <f t="shared" si="490"/>
        <v>130</v>
      </c>
      <c r="AS1563" s="70">
        <f t="shared" si="492"/>
        <v>1560</v>
      </c>
      <c r="AT1563" s="71">
        <f t="shared" si="493"/>
        <v>2.3046627261994607E-5</v>
      </c>
      <c r="AU1563" s="72">
        <f t="shared" si="489"/>
        <v>6.8214933659622723E-3</v>
      </c>
      <c r="AV1563" s="73">
        <f t="shared" si="491"/>
        <v>1.0068214933659623</v>
      </c>
      <c r="AW1563" s="74">
        <f>PRODUCT(AV$4:AV1563)</f>
        <v>40352.083538830942</v>
      </c>
    </row>
    <row r="1564" spans="44:49">
      <c r="AR1564" s="69">
        <f t="shared" si="490"/>
        <v>131</v>
      </c>
      <c r="AS1564" s="70">
        <f t="shared" si="492"/>
        <v>1561</v>
      </c>
      <c r="AT1564" s="71">
        <f t="shared" si="493"/>
        <v>2.2889414847019106E-5</v>
      </c>
      <c r="AU1564" s="72">
        <f t="shared" si="489"/>
        <v>6.8214933659622723E-3</v>
      </c>
      <c r="AV1564" s="73">
        <f t="shared" si="491"/>
        <v>1.0068214933659623</v>
      </c>
      <c r="AW1564" s="74">
        <f>PRODUCT(AV$4:AV1564)</f>
        <v>40627.345008993834</v>
      </c>
    </row>
    <row r="1565" spans="44:49">
      <c r="AR1565" s="69">
        <f t="shared" si="490"/>
        <v>131</v>
      </c>
      <c r="AS1565" s="70">
        <f t="shared" si="492"/>
        <v>1562</v>
      </c>
      <c r="AT1565" s="71">
        <f t="shared" si="493"/>
        <v>2.2733274855489406E-5</v>
      </c>
      <c r="AU1565" s="72">
        <f t="shared" si="489"/>
        <v>6.8214933659622723E-3</v>
      </c>
      <c r="AV1565" s="73">
        <f t="shared" si="491"/>
        <v>1.0068214933659623</v>
      </c>
      <c r="AW1565" s="74">
        <f>PRODUCT(AV$4:AV1565)</f>
        <v>40904.484173449346</v>
      </c>
    </row>
    <row r="1566" spans="44:49">
      <c r="AR1566" s="69">
        <f t="shared" si="490"/>
        <v>131</v>
      </c>
      <c r="AS1566" s="70">
        <f t="shared" si="492"/>
        <v>1563</v>
      </c>
      <c r="AT1566" s="71">
        <f t="shared" si="493"/>
        <v>2.2578199971876087E-5</v>
      </c>
      <c r="AU1566" s="72">
        <f t="shared" si="489"/>
        <v>6.8214933659622723E-3</v>
      </c>
      <c r="AV1566" s="73">
        <f t="shared" si="491"/>
        <v>1.0068214933659623</v>
      </c>
      <c r="AW1566" s="74">
        <f>PRODUCT(AV$4:AV1566)</f>
        <v>41183.513840876636</v>
      </c>
    </row>
    <row r="1567" spans="44:49">
      <c r="AR1567" s="69">
        <f t="shared" si="490"/>
        <v>131</v>
      </c>
      <c r="AS1567" s="70">
        <f t="shared" si="492"/>
        <v>1564</v>
      </c>
      <c r="AT1567" s="71">
        <f t="shared" si="493"/>
        <v>2.2424182930552566E-5</v>
      </c>
      <c r="AU1567" s="72">
        <f t="shared" si="489"/>
        <v>6.8214933659622723E-3</v>
      </c>
      <c r="AV1567" s="73">
        <f t="shared" si="491"/>
        <v>1.0068214933659623</v>
      </c>
      <c r="AW1567" s="74">
        <f>PRODUCT(AV$4:AV1567)</f>
        <v>41464.446907329191</v>
      </c>
    </row>
    <row r="1568" spans="44:49">
      <c r="AR1568" s="69">
        <f t="shared" si="490"/>
        <v>131</v>
      </c>
      <c r="AS1568" s="70">
        <f t="shared" si="492"/>
        <v>1565</v>
      </c>
      <c r="AT1568" s="71">
        <f t="shared" si="493"/>
        <v>2.2271216515454678E-5</v>
      </c>
      <c r="AU1568" s="72">
        <f t="shared" si="489"/>
        <v>6.8214933659622723E-3</v>
      </c>
      <c r="AV1568" s="73">
        <f t="shared" si="491"/>
        <v>1.0068214933659623</v>
      </c>
      <c r="AW1568" s="74">
        <f>PRODUCT(AV$4:AV1568)</f>
        <v>41747.296356830833</v>
      </c>
    </row>
    <row r="1569" spans="44:49">
      <c r="AR1569" s="69">
        <f t="shared" si="490"/>
        <v>131</v>
      </c>
      <c r="AS1569" s="70">
        <f t="shared" si="492"/>
        <v>1566</v>
      </c>
      <c r="AT1569" s="71">
        <f t="shared" si="493"/>
        <v>2.2119293559742595E-5</v>
      </c>
      <c r="AU1569" s="72">
        <f t="shared" si="489"/>
        <v>6.8214933659622723E-3</v>
      </c>
      <c r="AV1569" s="73">
        <f t="shared" si="491"/>
        <v>1.0068214933659623</v>
      </c>
      <c r="AW1569" s="74">
        <f>PRODUCT(AV$4:AV1569)</f>
        <v>42032.075261975813</v>
      </c>
    </row>
    <row r="1570" spans="44:49">
      <c r="AR1570" s="69">
        <f t="shared" si="490"/>
        <v>131</v>
      </c>
      <c r="AS1570" s="70">
        <f t="shared" si="492"/>
        <v>1567</v>
      </c>
      <c r="AT1570" s="71">
        <f t="shared" si="493"/>
        <v>2.1968406945465038E-5</v>
      </c>
      <c r="AU1570" s="72">
        <f t="shared" si="489"/>
        <v>6.8214933659622723E-3</v>
      </c>
      <c r="AV1570" s="73">
        <f t="shared" si="491"/>
        <v>1.0068214933659623</v>
      </c>
      <c r="AW1570" s="74">
        <f>PRODUCT(AV$4:AV1570)</f>
        <v>42318.796784533006</v>
      </c>
    </row>
    <row r="1571" spans="44:49">
      <c r="AR1571" s="69">
        <f t="shared" si="490"/>
        <v>131</v>
      </c>
      <c r="AS1571" s="70">
        <f t="shared" si="492"/>
        <v>1568</v>
      </c>
      <c r="AT1571" s="71">
        <f t="shared" si="493"/>
        <v>2.1818549603225788E-5</v>
      </c>
      <c r="AU1571" s="72">
        <f t="shared" si="489"/>
        <v>6.8214933659622723E-3</v>
      </c>
      <c r="AV1571" s="73">
        <f t="shared" si="491"/>
        <v>1.0068214933659623</v>
      </c>
      <c r="AW1571" s="74">
        <f>PRODUCT(AV$4:AV1571)</f>
        <v>42607.474176054202</v>
      </c>
    </row>
    <row r="1572" spans="44:49">
      <c r="AR1572" s="69">
        <f t="shared" si="490"/>
        <v>131</v>
      </c>
      <c r="AS1572" s="70">
        <f t="shared" si="492"/>
        <v>1569</v>
      </c>
      <c r="AT1572" s="71">
        <f t="shared" si="493"/>
        <v>2.1669714511852464E-5</v>
      </c>
      <c r="AU1572" s="72">
        <f t="shared" si="489"/>
        <v>6.8214933659622723E-3</v>
      </c>
      <c r="AV1572" s="73">
        <f t="shared" si="491"/>
        <v>1.0068214933659623</v>
      </c>
      <c r="AW1572" s="74">
        <f>PRODUCT(AV$4:AV1572)</f>
        <v>42898.120778486562</v>
      </c>
    </row>
    <row r="1573" spans="44:49">
      <c r="AR1573" s="69">
        <f t="shared" si="490"/>
        <v>131</v>
      </c>
      <c r="AS1573" s="70">
        <f t="shared" si="492"/>
        <v>1570</v>
      </c>
      <c r="AT1573" s="71">
        <f t="shared" si="493"/>
        <v>2.1521894698067565E-5</v>
      </c>
      <c r="AU1573" s="72">
        <f t="shared" si="489"/>
        <v>6.8214933659622723E-3</v>
      </c>
      <c r="AV1573" s="73">
        <f t="shared" si="491"/>
        <v>1.0068214933659623</v>
      </c>
      <c r="AW1573" s="74">
        <f>PRODUCT(AV$4:AV1573)</f>
        <v>43190.750024789253</v>
      </c>
    </row>
    <row r="1574" spans="44:49">
      <c r="AR1574" s="69">
        <f t="shared" si="490"/>
        <v>131</v>
      </c>
      <c r="AS1574" s="70">
        <f t="shared" si="492"/>
        <v>1571</v>
      </c>
      <c r="AT1574" s="71">
        <f t="shared" si="493"/>
        <v>2.1375083236161759E-5</v>
      </c>
      <c r="AU1574" s="72">
        <f t="shared" si="489"/>
        <v>6.8214933659622723E-3</v>
      </c>
      <c r="AV1574" s="73">
        <f t="shared" si="491"/>
        <v>1.0068214933659623</v>
      </c>
      <c r="AW1574" s="74">
        <f>PRODUCT(AV$4:AV1574)</f>
        <v>43485.375439554286</v>
      </c>
    </row>
    <row r="1575" spans="44:49">
      <c r="AR1575" s="69">
        <f t="shared" si="490"/>
        <v>131</v>
      </c>
      <c r="AS1575" s="70">
        <f t="shared" si="492"/>
        <v>1572</v>
      </c>
      <c r="AT1575" s="71">
        <f t="shared" si="493"/>
        <v>2.1229273247669391E-5</v>
      </c>
      <c r="AU1575" s="72">
        <f t="shared" si="489"/>
        <v>6.8214933659622723E-3</v>
      </c>
      <c r="AV1575" s="73">
        <f t="shared" si="491"/>
        <v>1.0068214933659623</v>
      </c>
      <c r="AW1575" s="74">
        <f>PRODUCT(AV$4:AV1575)</f>
        <v>43782.010639631582</v>
      </c>
    </row>
    <row r="1576" spans="44:49">
      <c r="AR1576" s="69">
        <f t="shared" si="490"/>
        <v>132</v>
      </c>
      <c r="AS1576" s="70">
        <f t="shared" si="492"/>
        <v>1573</v>
      </c>
      <c r="AT1576" s="71">
        <f t="shared" si="493"/>
        <v>2.1084457901046212E-5</v>
      </c>
      <c r="AU1576" s="72">
        <f t="shared" si="489"/>
        <v>6.8214933659622723E-3</v>
      </c>
      <c r="AV1576" s="73">
        <f t="shared" si="491"/>
        <v>1.0068214933659623</v>
      </c>
      <c r="AW1576" s="74">
        <f>PRODUCT(AV$4:AV1576)</f>
        <v>44080.66933475832</v>
      </c>
    </row>
    <row r="1577" spans="44:49">
      <c r="AR1577" s="69">
        <f t="shared" si="490"/>
        <v>132</v>
      </c>
      <c r="AS1577" s="70">
        <f t="shared" si="492"/>
        <v>1574</v>
      </c>
      <c r="AT1577" s="71">
        <f t="shared" si="493"/>
        <v>2.0940630411349316E-5</v>
      </c>
      <c r="AU1577" s="72">
        <f t="shared" si="489"/>
        <v>6.8214933659622723E-3</v>
      </c>
      <c r="AV1577" s="73">
        <f t="shared" si="491"/>
        <v>1.0068214933659623</v>
      </c>
      <c r="AW1577" s="74">
        <f>PRODUCT(AV$4:AV1577)</f>
        <v>44381.365328192551</v>
      </c>
    </row>
    <row r="1578" spans="44:49">
      <c r="AR1578" s="69">
        <f t="shared" si="490"/>
        <v>132</v>
      </c>
      <c r="AS1578" s="70">
        <f t="shared" si="492"/>
        <v>1575</v>
      </c>
      <c r="AT1578" s="71">
        <f t="shared" si="493"/>
        <v>2.0797784039919228E-5</v>
      </c>
      <c r="AU1578" s="72">
        <f t="shared" si="489"/>
        <v>6.8214933659622723E-3</v>
      </c>
      <c r="AV1578" s="73">
        <f t="shared" si="491"/>
        <v>1.0068214933659623</v>
      </c>
      <c r="AW1578" s="74">
        <f>PRODUCT(AV$4:AV1578)</f>
        <v>44684.112517351161</v>
      </c>
    </row>
    <row r="1579" spans="44:49">
      <c r="AR1579" s="69">
        <f t="shared" si="490"/>
        <v>132</v>
      </c>
      <c r="AS1579" s="70">
        <f t="shared" si="492"/>
        <v>1576</v>
      </c>
      <c r="AT1579" s="71">
        <f t="shared" si="493"/>
        <v>2.0655912094064204E-5</v>
      </c>
      <c r="AU1579" s="72">
        <f t="shared" si="489"/>
        <v>6.8214933659622723E-3</v>
      </c>
      <c r="AV1579" s="73">
        <f t="shared" si="491"/>
        <v>1.0068214933659623</v>
      </c>
      <c r="AW1579" s="74">
        <f>PRODUCT(AV$4:AV1579)</f>
        <v>44988.924894452182</v>
      </c>
    </row>
    <row r="1580" spans="44:49">
      <c r="AR1580" s="69">
        <f t="shared" si="490"/>
        <v>132</v>
      </c>
      <c r="AS1580" s="70">
        <f t="shared" si="492"/>
        <v>1577</v>
      </c>
      <c r="AT1580" s="71">
        <f t="shared" si="493"/>
        <v>2.0515007926746644E-5</v>
      </c>
      <c r="AU1580" s="72">
        <f t="shared" si="489"/>
        <v>6.8214933659622723E-3</v>
      </c>
      <c r="AV1580" s="73">
        <f t="shared" si="491"/>
        <v>1.0068214933659623</v>
      </c>
      <c r="AW1580" s="74">
        <f>PRODUCT(AV$4:AV1580)</f>
        <v>45295.816547161463</v>
      </c>
    </row>
    <row r="1581" spans="44:49">
      <c r="AR1581" s="69">
        <f t="shared" si="490"/>
        <v>132</v>
      </c>
      <c r="AS1581" s="70">
        <f t="shared" si="492"/>
        <v>1578</v>
      </c>
      <c r="AT1581" s="71">
        <f t="shared" si="493"/>
        <v>2.0375064936271679E-5</v>
      </c>
      <c r="AU1581" s="72">
        <f t="shared" si="489"/>
        <v>6.8214933659622723E-3</v>
      </c>
      <c r="AV1581" s="73">
        <f t="shared" si="491"/>
        <v>1.0068214933659623</v>
      </c>
      <c r="AW1581" s="74">
        <f>PRODUCT(AV$4:AV1581)</f>
        <v>45604.801659243771</v>
      </c>
    </row>
    <row r="1582" spans="44:49">
      <c r="AR1582" s="69">
        <f t="shared" si="490"/>
        <v>132</v>
      </c>
      <c r="AS1582" s="70">
        <f t="shared" si="492"/>
        <v>1579</v>
      </c>
      <c r="AT1582" s="71">
        <f t="shared" si="493"/>
        <v>2.0236076565977853E-5</v>
      </c>
      <c r="AU1582" s="72">
        <f t="shared" si="489"/>
        <v>6.8214933659622723E-3</v>
      </c>
      <c r="AV1582" s="73">
        <f t="shared" si="491"/>
        <v>1.0068214933659623</v>
      </c>
      <c r="AW1582" s="74">
        <f>PRODUCT(AV$4:AV1582)</f>
        <v>45915.894511218328</v>
      </c>
    </row>
    <row r="1583" spans="44:49">
      <c r="AR1583" s="69">
        <f t="shared" si="490"/>
        <v>132</v>
      </c>
      <c r="AS1583" s="70">
        <f t="shared" si="492"/>
        <v>1580</v>
      </c>
      <c r="AT1583" s="71">
        <f t="shared" si="493"/>
        <v>2.0098036303929931E-5</v>
      </c>
      <c r="AU1583" s="72">
        <f t="shared" si="489"/>
        <v>6.8214933659622723E-3</v>
      </c>
      <c r="AV1583" s="73">
        <f t="shared" si="491"/>
        <v>1.0068214933659623</v>
      </c>
      <c r="AW1583" s="74">
        <f>PRODUCT(AV$4:AV1583)</f>
        <v>46229.10948101883</v>
      </c>
    </row>
    <row r="1584" spans="44:49">
      <c r="AR1584" s="69">
        <f t="shared" si="490"/>
        <v>132</v>
      </c>
      <c r="AS1584" s="70">
        <f t="shared" si="492"/>
        <v>1581</v>
      </c>
      <c r="AT1584" s="71">
        <f t="shared" si="493"/>
        <v>1.9960937682613805E-5</v>
      </c>
      <c r="AU1584" s="72">
        <f t="shared" si="489"/>
        <v>6.8214933659622723E-3</v>
      </c>
      <c r="AV1584" s="73">
        <f t="shared" si="491"/>
        <v>1.0068214933659623</v>
      </c>
      <c r="AW1584" s="74">
        <f>PRODUCT(AV$4:AV1584)</f>
        <v>46544.461044657946</v>
      </c>
    </row>
    <row r="1585" spans="44:49">
      <c r="AR1585" s="69">
        <f t="shared" si="490"/>
        <v>132</v>
      </c>
      <c r="AS1585" s="70">
        <f t="shared" si="492"/>
        <v>1582</v>
      </c>
      <c r="AT1585" s="71">
        <f t="shared" si="493"/>
        <v>1.9824774278633469E-5</v>
      </c>
      <c r="AU1585" s="72">
        <f t="shared" si="489"/>
        <v>6.8214933659622723E-3</v>
      </c>
      <c r="AV1585" s="73">
        <f t="shared" si="491"/>
        <v>1.0068214933659623</v>
      </c>
      <c r="AW1585" s="74">
        <f>PRODUCT(AV$4:AV1585)</f>
        <v>46861.963776896373</v>
      </c>
    </row>
    <row r="1586" spans="44:49">
      <c r="AR1586" s="69">
        <f t="shared" si="490"/>
        <v>132</v>
      </c>
      <c r="AS1586" s="70">
        <f t="shared" si="492"/>
        <v>1583</v>
      </c>
      <c r="AT1586" s="71">
        <f t="shared" si="493"/>
        <v>1.9689539712410073E-5</v>
      </c>
      <c r="AU1586" s="72">
        <f t="shared" si="489"/>
        <v>6.8214933659622723E-3</v>
      </c>
      <c r="AV1586" s="73">
        <f t="shared" si="491"/>
        <v>1.0068214933659623</v>
      </c>
      <c r="AW1586" s="74">
        <f>PRODUCT(AV$4:AV1586)</f>
        <v>47181.632351916436</v>
      </c>
    </row>
    <row r="1587" spans="44:49">
      <c r="AR1587" s="69">
        <f t="shared" si="490"/>
        <v>132</v>
      </c>
      <c r="AS1587" s="70">
        <f t="shared" si="492"/>
        <v>1584</v>
      </c>
      <c r="AT1587" s="71">
        <f t="shared" si="493"/>
        <v>1.9555227647883015E-5</v>
      </c>
      <c r="AU1587" s="72">
        <f t="shared" si="489"/>
        <v>6.8214933659622723E-3</v>
      </c>
      <c r="AV1587" s="73">
        <f t="shared" si="491"/>
        <v>1.0068214933659623</v>
      </c>
      <c r="AW1587" s="74">
        <f>PRODUCT(AV$4:AV1587)</f>
        <v>47503.481544000308</v>
      </c>
    </row>
    <row r="1588" spans="44:49">
      <c r="AR1588" s="69">
        <f t="shared" si="490"/>
        <v>133</v>
      </c>
      <c r="AS1588" s="70">
        <f t="shared" si="492"/>
        <v>1585</v>
      </c>
      <c r="AT1588" s="71">
        <f t="shared" si="493"/>
        <v>1.9421831792213099E-5</v>
      </c>
      <c r="AU1588" s="72">
        <f t="shared" si="489"/>
        <v>6.8214933659622723E-3</v>
      </c>
      <c r="AV1588" s="73">
        <f t="shared" si="491"/>
        <v>1.0068214933659623</v>
      </c>
      <c r="AW1588" s="74">
        <f>PRODUCT(AV$4:AV1588)</f>
        <v>47827.526228212817</v>
      </c>
    </row>
    <row r="1589" spans="44:49">
      <c r="AR1589" s="69">
        <f t="shared" si="490"/>
        <v>133</v>
      </c>
      <c r="AS1589" s="70">
        <f t="shared" si="492"/>
        <v>1586</v>
      </c>
      <c r="AT1589" s="71">
        <f t="shared" si="493"/>
        <v>1.9289345895487682E-5</v>
      </c>
      <c r="AU1589" s="72">
        <f t="shared" si="489"/>
        <v>6.8214933659622723E-3</v>
      </c>
      <c r="AV1589" s="73">
        <f t="shared" si="491"/>
        <v>1.0068214933659623</v>
      </c>
      <c r="AW1589" s="74">
        <f>PRODUCT(AV$4:AV1589)</f>
        <v>48153.781381088957</v>
      </c>
    </row>
    <row r="1590" spans="44:49">
      <c r="AR1590" s="69">
        <f t="shared" si="490"/>
        <v>133</v>
      </c>
      <c r="AS1590" s="70">
        <f t="shared" si="492"/>
        <v>1587</v>
      </c>
      <c r="AT1590" s="71">
        <f t="shared" si="493"/>
        <v>1.9157763750427861E-5</v>
      </c>
      <c r="AU1590" s="72">
        <f t="shared" si="489"/>
        <v>6.8214933659622723E-3</v>
      </c>
      <c r="AV1590" s="73">
        <f t="shared" si="491"/>
        <v>1.0068214933659623</v>
      </c>
      <c r="AW1590" s="74">
        <f>PRODUCT(AV$4:AV1590)</f>
        <v>48482.262081326051</v>
      </c>
    </row>
    <row r="1591" spans="44:49">
      <c r="AR1591" s="69">
        <f t="shared" si="490"/>
        <v>133</v>
      </c>
      <c r="AS1591" s="70">
        <f t="shared" si="492"/>
        <v>1588</v>
      </c>
      <c r="AT1591" s="71">
        <f t="shared" si="493"/>
        <v>1.9027079192097645E-5</v>
      </c>
      <c r="AU1591" s="72">
        <f t="shared" si="489"/>
        <v>6.8214933659622723E-3</v>
      </c>
      <c r="AV1591" s="73">
        <f t="shared" si="491"/>
        <v>1.0068214933659623</v>
      </c>
      <c r="AW1591" s="74">
        <f>PRODUCT(AV$4:AV1591)</f>
        <v>48812.983510480663</v>
      </c>
    </row>
    <row r="1592" spans="44:49">
      <c r="AR1592" s="69">
        <f t="shared" si="490"/>
        <v>133</v>
      </c>
      <c r="AS1592" s="70">
        <f t="shared" si="492"/>
        <v>1589</v>
      </c>
      <c r="AT1592" s="71">
        <f t="shared" si="493"/>
        <v>1.8897286097615114E-5</v>
      </c>
      <c r="AU1592" s="72">
        <f t="shared" si="489"/>
        <v>6.8214933659622723E-3</v>
      </c>
      <c r="AV1592" s="73">
        <f t="shared" si="491"/>
        <v>1.0068214933659623</v>
      </c>
      <c r="AW1592" s="74">
        <f>PRODUCT(AV$4:AV1592)</f>
        <v>49145.960953670234</v>
      </c>
    </row>
    <row r="1593" spans="44:49">
      <c r="AR1593" s="69">
        <f t="shared" si="490"/>
        <v>133</v>
      </c>
      <c r="AS1593" s="70">
        <f t="shared" si="492"/>
        <v>1590</v>
      </c>
      <c r="AT1593" s="71">
        <f t="shared" si="493"/>
        <v>1.8768378385865542E-5</v>
      </c>
      <c r="AU1593" s="72">
        <f t="shared" si="489"/>
        <v>6.8214933659622723E-3</v>
      </c>
      <c r="AV1593" s="73">
        <f t="shared" si="491"/>
        <v>1.0068214933659623</v>
      </c>
      <c r="AW1593" s="74">
        <f>PRODUCT(AV$4:AV1593)</f>
        <v>49481.209800279539</v>
      </c>
    </row>
    <row r="1594" spans="44:49">
      <c r="AR1594" s="69">
        <f t="shared" si="490"/>
        <v>133</v>
      </c>
      <c r="AS1594" s="70">
        <f t="shared" si="492"/>
        <v>1591</v>
      </c>
      <c r="AT1594" s="71">
        <f t="shared" si="493"/>
        <v>1.8640350017216492E-5</v>
      </c>
      <c r="AU1594" s="72">
        <f t="shared" si="489"/>
        <v>6.8214933659622723E-3</v>
      </c>
      <c r="AV1594" s="73">
        <f t="shared" si="491"/>
        <v>1.0068214933659623</v>
      </c>
      <c r="AW1594" s="74">
        <f>PRODUCT(AV$4:AV1594)</f>
        <v>49818.745544671932</v>
      </c>
    </row>
    <row r="1595" spans="44:49">
      <c r="AR1595" s="69">
        <f t="shared" si="490"/>
        <v>133</v>
      </c>
      <c r="AS1595" s="70">
        <f t="shared" si="492"/>
        <v>1592</v>
      </c>
      <c r="AT1595" s="71">
        <f t="shared" si="493"/>
        <v>1.8513194993234836E-5</v>
      </c>
      <c r="AU1595" s="72">
        <f t="shared" si="489"/>
        <v>6.8214933659622723E-3</v>
      </c>
      <c r="AV1595" s="73">
        <f t="shared" si="491"/>
        <v>1.0068214933659623</v>
      </c>
      <c r="AW1595" s="74">
        <f>PRODUCT(AV$4:AV1595)</f>
        <v>50158.583786905474</v>
      </c>
    </row>
    <row r="1596" spans="44:49">
      <c r="AR1596" s="69">
        <f t="shared" si="490"/>
        <v>133</v>
      </c>
      <c r="AS1596" s="70">
        <f t="shared" si="492"/>
        <v>1593</v>
      </c>
      <c r="AT1596" s="71">
        <f t="shared" si="493"/>
        <v>1.8386907356405719E-5</v>
      </c>
      <c r="AU1596" s="72">
        <f t="shared" si="489"/>
        <v>6.8214933659622723E-3</v>
      </c>
      <c r="AV1596" s="73">
        <f t="shared" si="491"/>
        <v>1.0068214933659623</v>
      </c>
      <c r="AW1596" s="74">
        <f>PRODUCT(AV$4:AV1596)</f>
        <v>50500.740233453915</v>
      </c>
    </row>
    <row r="1597" spans="44:49">
      <c r="AR1597" s="69">
        <f t="shared" si="490"/>
        <v>133</v>
      </c>
      <c r="AS1597" s="70">
        <f t="shared" si="492"/>
        <v>1594</v>
      </c>
      <c r="AT1597" s="71">
        <f t="shared" si="493"/>
        <v>1.8261481189853435E-5</v>
      </c>
      <c r="AU1597" s="72">
        <f t="shared" si="489"/>
        <v>6.8214933659622723E-3</v>
      </c>
      <c r="AV1597" s="73">
        <f t="shared" si="491"/>
        <v>1.0068214933659623</v>
      </c>
      <c r="AW1597" s="74">
        <f>PRODUCT(AV$4:AV1597)</f>
        <v>50845.230697932602</v>
      </c>
    </row>
    <row r="1598" spans="44:49">
      <c r="AR1598" s="69">
        <f t="shared" si="490"/>
        <v>133</v>
      </c>
      <c r="AS1598" s="70">
        <f t="shared" si="492"/>
        <v>1595</v>
      </c>
      <c r="AT1598" s="71">
        <f t="shared" si="493"/>
        <v>1.8136910617064207E-5</v>
      </c>
      <c r="AU1598" s="72">
        <f t="shared" si="489"/>
        <v>6.8214933659622723E-3</v>
      </c>
      <c r="AV1598" s="73">
        <f t="shared" si="491"/>
        <v>1.0068214933659623</v>
      </c>
      <c r="AW1598" s="74">
        <f>PRODUCT(AV$4:AV1598)</f>
        <v>51192.071101829373</v>
      </c>
    </row>
    <row r="1599" spans="44:49">
      <c r="AR1599" s="69">
        <f t="shared" si="490"/>
        <v>133</v>
      </c>
      <c r="AS1599" s="70">
        <f t="shared" si="492"/>
        <v>1596</v>
      </c>
      <c r="AT1599" s="71">
        <f t="shared" si="493"/>
        <v>1.8013189801610852E-5</v>
      </c>
      <c r="AU1599" s="72">
        <f t="shared" si="489"/>
        <v>6.8214933659622723E-3</v>
      </c>
      <c r="AV1599" s="73">
        <f t="shared" si="491"/>
        <v>1.0068214933659623</v>
      </c>
      <c r="AW1599" s="74">
        <f>PRODUCT(AV$4:AV1599)</f>
        <v>51541.277475240371</v>
      </c>
    </row>
    <row r="1600" spans="44:49">
      <c r="AR1600" s="69">
        <f t="shared" si="490"/>
        <v>134</v>
      </c>
      <c r="AS1600" s="70">
        <f t="shared" si="492"/>
        <v>1597</v>
      </c>
      <c r="AT1600" s="71">
        <f t="shared" si="493"/>
        <v>1.7890312946879345E-5</v>
      </c>
      <c r="AU1600" s="72">
        <f t="shared" si="489"/>
        <v>6.8214933659622723E-3</v>
      </c>
      <c r="AV1600" s="73">
        <f t="shared" si="491"/>
        <v>1.0068214933659623</v>
      </c>
      <c r="AW1600" s="74">
        <f>PRODUCT(AV$4:AV1600)</f>
        <v>51892.865957610942</v>
      </c>
    </row>
    <row r="1601" spans="44:49">
      <c r="AR1601" s="69">
        <f t="shared" si="490"/>
        <v>134</v>
      </c>
      <c r="AS1601" s="70">
        <f t="shared" si="492"/>
        <v>1598</v>
      </c>
      <c r="AT1601" s="71">
        <f t="shared" si="493"/>
        <v>1.7768274295797217E-5</v>
      </c>
      <c r="AU1601" s="72">
        <f t="shared" si="489"/>
        <v>6.8214933659622723E-3</v>
      </c>
      <c r="AV1601" s="73">
        <f t="shared" si="491"/>
        <v>1.0068214933659623</v>
      </c>
      <c r="AW1601" s="74">
        <f>PRODUCT(AV$4:AV1601)</f>
        <v>52246.852798481552</v>
      </c>
    </row>
    <row r="1602" spans="44:49">
      <c r="AR1602" s="69">
        <f t="shared" si="490"/>
        <v>134</v>
      </c>
      <c r="AS1602" s="70">
        <f t="shared" si="492"/>
        <v>1599</v>
      </c>
      <c r="AT1602" s="71">
        <f t="shared" si="493"/>
        <v>1.7647068130563839E-5</v>
      </c>
      <c r="AU1602" s="72">
        <f t="shared" si="489"/>
        <v>6.8214933659622723E-3</v>
      </c>
      <c r="AV1602" s="73">
        <f t="shared" si="491"/>
        <v>1.0068214933659623</v>
      </c>
      <c r="AW1602" s="74">
        <f>PRODUCT(AV$4:AV1602)</f>
        <v>52603.254358238803</v>
      </c>
    </row>
    <row r="1603" spans="44:49">
      <c r="AR1603" s="69">
        <f t="shared" si="490"/>
        <v>134</v>
      </c>
      <c r="AS1603" s="70">
        <f t="shared" si="492"/>
        <v>1600</v>
      </c>
      <c r="AT1603" s="71">
        <f t="shared" si="493"/>
        <v>1.7526688772382514E-5</v>
      </c>
      <c r="AU1603" s="72">
        <f t="shared" si="489"/>
        <v>6.8214933659622723E-3</v>
      </c>
      <c r="AV1603" s="73">
        <f t="shared" si="491"/>
        <v>1.0068214933659623</v>
      </c>
      <c r="AW1603" s="74">
        <f>PRODUCT(AV$4:AV1603)</f>
        <v>52962.087108871558</v>
      </c>
    </row>
    <row r="1604" spans="44:49">
      <c r="AR1604" s="69">
        <f t="shared" si="490"/>
        <v>134</v>
      </c>
      <c r="AS1604" s="70">
        <f t="shared" si="492"/>
        <v>1601</v>
      </c>
      <c r="AT1604" s="71">
        <f t="shared" si="493"/>
        <v>1.7407130581194422E-5</v>
      </c>
      <c r="AU1604" s="72">
        <f t="shared" ref="AU1604:AU1667" si="494">((1+$AH$21)^(1/12))-1</f>
        <v>6.8214933659622723E-3</v>
      </c>
      <c r="AV1604" s="73">
        <f t="shared" si="491"/>
        <v>1.0068214933659623</v>
      </c>
      <c r="AW1604" s="74">
        <f>PRODUCT(AV$4:AV1604)</f>
        <v>53323.36763473224</v>
      </c>
    </row>
    <row r="1605" spans="44:49">
      <c r="AR1605" s="69">
        <f t="shared" ref="AR1605:AR1668" si="495">ROUNDDOWN((AS1605-1)/12,0)+1</f>
        <v>134</v>
      </c>
      <c r="AS1605" s="70">
        <f t="shared" si="492"/>
        <v>1602</v>
      </c>
      <c r="AT1605" s="71">
        <f t="shared" si="493"/>
        <v>1.7288387955414363E-5</v>
      </c>
      <c r="AU1605" s="72">
        <f t="shared" si="494"/>
        <v>6.8214933659622723E-3</v>
      </c>
      <c r="AV1605" s="73">
        <f t="shared" ref="AV1605:AV1668" si="496">(1+AU1605)</f>
        <v>1.0068214933659623</v>
      </c>
      <c r="AW1605" s="74">
        <f>PRODUCT(AV$4:AV1605)</f>
        <v>53687.112633303332</v>
      </c>
    </row>
    <row r="1606" spans="44:49">
      <c r="AR1606" s="69">
        <f t="shared" si="495"/>
        <v>134</v>
      </c>
      <c r="AS1606" s="70">
        <f t="shared" ref="AS1606:AS1669" si="497">AS1605+1</f>
        <v>1603</v>
      </c>
      <c r="AT1606" s="71">
        <f t="shared" ref="AT1606:AT1669" si="498">(1-AU1606)*AT1605</f>
        <v>1.7170455331668322E-5</v>
      </c>
      <c r="AU1606" s="72">
        <f t="shared" si="494"/>
        <v>6.8214933659622723E-3</v>
      </c>
      <c r="AV1606" s="73">
        <f t="shared" si="496"/>
        <v>1.0068214933659623</v>
      </c>
      <c r="AW1606" s="74">
        <f>PRODUCT(AV$4:AV1606)</f>
        <v>54053.338915969078</v>
      </c>
    </row>
    <row r="1607" spans="44:49">
      <c r="AR1607" s="69">
        <f t="shared" si="495"/>
        <v>134</v>
      </c>
      <c r="AS1607" s="70">
        <f t="shared" si="497"/>
        <v>1604</v>
      </c>
      <c r="AT1607" s="71">
        <f t="shared" si="498"/>
        <v>1.7053327184532794E-5</v>
      </c>
      <c r="AU1607" s="72">
        <f t="shared" si="494"/>
        <v>6.8214933659622723E-3</v>
      </c>
      <c r="AV1607" s="73">
        <f t="shared" si="496"/>
        <v>1.0068214933659623</v>
      </c>
      <c r="AW1607" s="74">
        <f>PRODUCT(AV$4:AV1607)</f>
        <v>54422.06340879247</v>
      </c>
    </row>
    <row r="1608" spans="44:49">
      <c r="AR1608" s="69">
        <f t="shared" si="495"/>
        <v>134</v>
      </c>
      <c r="AS1608" s="70">
        <f t="shared" si="497"/>
        <v>1605</v>
      </c>
      <c r="AT1608" s="71">
        <f t="shared" si="498"/>
        <v>1.6936998026275919E-5</v>
      </c>
      <c r="AU1608" s="72">
        <f t="shared" si="494"/>
        <v>6.8214933659622723E-3</v>
      </c>
      <c r="AV1608" s="73">
        <f t="shared" si="496"/>
        <v>1.0068214933659623</v>
      </c>
      <c r="AW1608" s="74">
        <f>PRODUCT(AV$4:AV1608)</f>
        <v>54793.303153297529</v>
      </c>
    </row>
    <row r="1609" spans="44:49">
      <c r="AR1609" s="69">
        <f t="shared" si="495"/>
        <v>134</v>
      </c>
      <c r="AS1609" s="70">
        <f t="shared" si="497"/>
        <v>1606</v>
      </c>
      <c r="AT1609" s="71">
        <f t="shared" si="498"/>
        <v>1.6821462406600363E-5</v>
      </c>
      <c r="AU1609" s="72">
        <f t="shared" si="494"/>
        <v>6.8214933659622723E-3</v>
      </c>
      <c r="AV1609" s="73">
        <f t="shared" si="496"/>
        <v>1.0068214933659623</v>
      </c>
      <c r="AW1609" s="74">
        <f>PRODUCT(AV$4:AV1609)</f>
        <v>55167.075307256906</v>
      </c>
    </row>
    <row r="1610" spans="44:49">
      <c r="AR1610" s="69">
        <f t="shared" si="495"/>
        <v>134</v>
      </c>
      <c r="AS1610" s="70">
        <f t="shared" si="497"/>
        <v>1607</v>
      </c>
      <c r="AT1610" s="71">
        <f t="shared" si="498"/>
        <v>1.6706714912387955E-5</v>
      </c>
      <c r="AU1610" s="72">
        <f t="shared" si="494"/>
        <v>6.8214933659622723E-3</v>
      </c>
      <c r="AV1610" s="73">
        <f t="shared" si="496"/>
        <v>1.0068214933659623</v>
      </c>
      <c r="AW1610" s="74">
        <f>PRODUCT(AV$4:AV1610)</f>
        <v>55543.397145484902</v>
      </c>
    </row>
    <row r="1611" spans="44:49">
      <c r="AR1611" s="69">
        <f t="shared" si="495"/>
        <v>134</v>
      </c>
      <c r="AS1611" s="70">
        <f t="shared" si="497"/>
        <v>1608</v>
      </c>
      <c r="AT1611" s="71">
        <f t="shared" si="498"/>
        <v>1.6592750167446079E-5</v>
      </c>
      <c r="AU1611" s="72">
        <f t="shared" si="494"/>
        <v>6.8214933659622723E-3</v>
      </c>
      <c r="AV1611" s="73">
        <f t="shared" si="496"/>
        <v>1.0068214933659623</v>
      </c>
      <c r="AW1611" s="74">
        <f>PRODUCT(AV$4:AV1611)</f>
        <v>55922.286060635837</v>
      </c>
    </row>
    <row r="1612" spans="44:49">
      <c r="AR1612" s="69">
        <f t="shared" si="495"/>
        <v>135</v>
      </c>
      <c r="AS1612" s="70">
        <f t="shared" si="497"/>
        <v>1609</v>
      </c>
      <c r="AT1612" s="71">
        <f t="shared" si="498"/>
        <v>1.6479562832255776E-5</v>
      </c>
      <c r="AU1612" s="72">
        <f t="shared" si="494"/>
        <v>6.8214933659622723E-3</v>
      </c>
      <c r="AV1612" s="73">
        <f t="shared" si="496"/>
        <v>1.0068214933659623</v>
      </c>
      <c r="AW1612" s="74">
        <f>PRODUCT(AV$4:AV1612)</f>
        <v>56303.759564007909</v>
      </c>
    </row>
    <row r="1613" spans="44:49">
      <c r="AR1613" s="69">
        <f t="shared" si="495"/>
        <v>135</v>
      </c>
      <c r="AS1613" s="70">
        <f t="shared" si="497"/>
        <v>1610</v>
      </c>
      <c r="AT1613" s="71">
        <f t="shared" si="498"/>
        <v>1.6367147603721584E-5</v>
      </c>
      <c r="AU1613" s="72">
        <f t="shared" si="494"/>
        <v>6.8214933659622723E-3</v>
      </c>
      <c r="AV1613" s="73">
        <f t="shared" si="496"/>
        <v>1.0068214933659623</v>
      </c>
      <c r="AW1613" s="74">
        <f>PRODUCT(AV$4:AV1613)</f>
        <v>56687.835286352522</v>
      </c>
    </row>
    <row r="1614" spans="44:49">
      <c r="AR1614" s="69">
        <f t="shared" si="495"/>
        <v>135</v>
      </c>
      <c r="AS1614" s="70">
        <f t="shared" si="497"/>
        <v>1611</v>
      </c>
      <c r="AT1614" s="71">
        <f t="shared" si="498"/>
        <v>1.6255499214923071E-5</v>
      </c>
      <c r="AU1614" s="72">
        <f t="shared" si="494"/>
        <v>6.8214933659622723E-3</v>
      </c>
      <c r="AV1614" s="73">
        <f t="shared" si="496"/>
        <v>1.0068214933659623</v>
      </c>
      <c r="AW1614" s="74">
        <f>PRODUCT(AV$4:AV1614)</f>
        <v>57074.530978689138</v>
      </c>
    </row>
    <row r="1615" spans="44:49">
      <c r="AR1615" s="69">
        <f t="shared" si="495"/>
        <v>135</v>
      </c>
      <c r="AS1615" s="70">
        <f t="shared" si="497"/>
        <v>1612</v>
      </c>
      <c r="AT1615" s="71">
        <f t="shared" si="498"/>
        <v>1.6144612434868068E-5</v>
      </c>
      <c r="AU1615" s="72">
        <f t="shared" si="494"/>
        <v>6.8214933659622723E-3</v>
      </c>
      <c r="AV1615" s="73">
        <f t="shared" si="496"/>
        <v>1.0068214933659623</v>
      </c>
      <c r="AW1615" s="74">
        <f>PRODUCT(AV$4:AV1615)</f>
        <v>57463.864513125671</v>
      </c>
    </row>
    <row r="1616" spans="44:49">
      <c r="AR1616" s="69">
        <f t="shared" si="495"/>
        <v>135</v>
      </c>
      <c r="AS1616" s="70">
        <f t="shared" si="497"/>
        <v>1613</v>
      </c>
      <c r="AT1616" s="71">
        <f t="shared" si="498"/>
        <v>1.6034482068247584E-5</v>
      </c>
      <c r="AU1616" s="72">
        <f t="shared" si="494"/>
        <v>6.8214933659622723E-3</v>
      </c>
      <c r="AV1616" s="73">
        <f t="shared" si="496"/>
        <v>1.0068214933659623</v>
      </c>
      <c r="AW1616" s="74">
        <f>PRODUCT(AV$4:AV1616)</f>
        <v>57855.853883684511</v>
      </c>
    </row>
    <row r="1617" spans="44:49">
      <c r="AR1617" s="69">
        <f t="shared" si="495"/>
        <v>135</v>
      </c>
      <c r="AS1617" s="70">
        <f t="shared" si="497"/>
        <v>1614</v>
      </c>
      <c r="AT1617" s="71">
        <f t="shared" si="498"/>
        <v>1.5925102955192393E-5</v>
      </c>
      <c r="AU1617" s="72">
        <f t="shared" si="494"/>
        <v>6.8214933659622723E-3</v>
      </c>
      <c r="AV1617" s="73">
        <f t="shared" si="496"/>
        <v>1.0068214933659623</v>
      </c>
      <c r="AW1617" s="74">
        <f>PRODUCT(AV$4:AV1617)</f>
        <v>58250.517207134144</v>
      </c>
    </row>
    <row r="1618" spans="44:49">
      <c r="AR1618" s="69">
        <f t="shared" si="495"/>
        <v>135</v>
      </c>
      <c r="AS1618" s="70">
        <f t="shared" si="497"/>
        <v>1615</v>
      </c>
      <c r="AT1618" s="71">
        <f t="shared" si="498"/>
        <v>1.5816469971031281E-5</v>
      </c>
      <c r="AU1618" s="72">
        <f t="shared" si="494"/>
        <v>6.8214933659622723E-3</v>
      </c>
      <c r="AV1618" s="73">
        <f t="shared" si="496"/>
        <v>1.0068214933659623</v>
      </c>
      <c r="AW1618" s="74">
        <f>PRODUCT(AV$4:AV1618)</f>
        <v>58647.872723826484</v>
      </c>
    </row>
    <row r="1619" spans="44:49">
      <c r="AR1619" s="69">
        <f t="shared" si="495"/>
        <v>135</v>
      </c>
      <c r="AS1619" s="70">
        <f t="shared" si="497"/>
        <v>1616</v>
      </c>
      <c r="AT1619" s="71">
        <f t="shared" si="498"/>
        <v>1.5708578026050949E-5</v>
      </c>
      <c r="AU1619" s="72">
        <f t="shared" si="494"/>
        <v>6.8214933659622723E-3</v>
      </c>
      <c r="AV1619" s="73">
        <f t="shared" si="496"/>
        <v>1.0068214933659623</v>
      </c>
      <c r="AW1619" s="74">
        <f>PRODUCT(AV$4:AV1619)</f>
        <v>59047.938798539864</v>
      </c>
    </row>
    <row r="1620" spans="44:49">
      <c r="AR1620" s="69">
        <f t="shared" si="495"/>
        <v>135</v>
      </c>
      <c r="AS1620" s="70">
        <f t="shared" si="497"/>
        <v>1617</v>
      </c>
      <c r="AT1620" s="71">
        <f t="shared" si="498"/>
        <v>1.5601422065257542E-5</v>
      </c>
      <c r="AU1620" s="72">
        <f t="shared" si="494"/>
        <v>6.8214933659622723E-3</v>
      </c>
      <c r="AV1620" s="73">
        <f t="shared" si="496"/>
        <v>1.0068214933659623</v>
      </c>
      <c r="AW1620" s="74">
        <f>PRODUCT(AV$4:AV1620)</f>
        <v>59450.733921327854</v>
      </c>
    </row>
    <row r="1621" spans="44:49">
      <c r="AR1621" s="69">
        <f t="shared" si="495"/>
        <v>135</v>
      </c>
      <c r="AS1621" s="70">
        <f t="shared" si="497"/>
        <v>1618</v>
      </c>
      <c r="AT1621" s="71">
        <f t="shared" si="498"/>
        <v>1.5494997068139811E-5</v>
      </c>
      <c r="AU1621" s="72">
        <f t="shared" si="494"/>
        <v>6.8214933659622723E-3</v>
      </c>
      <c r="AV1621" s="73">
        <f t="shared" si="496"/>
        <v>1.0068214933659623</v>
      </c>
      <c r="AW1621" s="74">
        <f>PRODUCT(AV$4:AV1621)</f>
        <v>59856.276708373778</v>
      </c>
    </row>
    <row r="1622" spans="44:49">
      <c r="AR1622" s="69">
        <f t="shared" si="495"/>
        <v>135</v>
      </c>
      <c r="AS1622" s="70">
        <f t="shared" si="497"/>
        <v>1619</v>
      </c>
      <c r="AT1622" s="71">
        <f t="shared" si="498"/>
        <v>1.5389298048433889E-5</v>
      </c>
      <c r="AU1622" s="72">
        <f t="shared" si="494"/>
        <v>6.8214933659622723E-3</v>
      </c>
      <c r="AV1622" s="73">
        <f t="shared" si="496"/>
        <v>1.0068214933659623</v>
      </c>
      <c r="AW1622" s="74">
        <f>PRODUCT(AV$4:AV1622)</f>
        <v>60264.585902851155</v>
      </c>
    </row>
    <row r="1623" spans="44:49">
      <c r="AR1623" s="69">
        <f t="shared" si="495"/>
        <v>135</v>
      </c>
      <c r="AS1623" s="70">
        <f t="shared" si="497"/>
        <v>1620</v>
      </c>
      <c r="AT1623" s="71">
        <f t="shared" si="498"/>
        <v>1.5284320053889683E-5</v>
      </c>
      <c r="AU1623" s="72">
        <f t="shared" si="494"/>
        <v>6.8214933659622723E-3</v>
      </c>
      <c r="AV1623" s="73">
        <f t="shared" si="496"/>
        <v>1.0068214933659623</v>
      </c>
      <c r="AW1623" s="74">
        <f>PRODUCT(AV$4:AV1623)</f>
        <v>60675.680375789918</v>
      </c>
    </row>
    <row r="1624" spans="44:49">
      <c r="AR1624" s="69">
        <f t="shared" si="495"/>
        <v>136</v>
      </c>
      <c r="AS1624" s="70">
        <f t="shared" si="497"/>
        <v>1621</v>
      </c>
      <c r="AT1624" s="71">
        <f t="shared" si="498"/>
        <v>1.5180058166038829E-5</v>
      </c>
      <c r="AU1624" s="72">
        <f t="shared" si="494"/>
        <v>6.8214933659622723E-3</v>
      </c>
      <c r="AV1624" s="73">
        <f t="shared" si="496"/>
        <v>1.0068214933659623</v>
      </c>
      <c r="AW1624" s="74">
        <f>PRODUCT(AV$4:AV1624)</f>
        <v>61089.579126948614</v>
      </c>
    </row>
    <row r="1625" spans="44:49">
      <c r="AR1625" s="69">
        <f t="shared" si="495"/>
        <v>136</v>
      </c>
      <c r="AS1625" s="70">
        <f t="shared" si="497"/>
        <v>1622</v>
      </c>
      <c r="AT1625" s="71">
        <f t="shared" si="498"/>
        <v>1.5076507499964275E-5</v>
      </c>
      <c r="AU1625" s="72">
        <f t="shared" si="494"/>
        <v>6.8214933659622723E-3</v>
      </c>
      <c r="AV1625" s="73">
        <f t="shared" si="496"/>
        <v>1.0068214933659623</v>
      </c>
      <c r="AW1625" s="74">
        <f>PRODUCT(AV$4:AV1625)</f>
        <v>61506.30128569252</v>
      </c>
    </row>
    <row r="1626" spans="44:49">
      <c r="AR1626" s="69">
        <f t="shared" si="495"/>
        <v>136</v>
      </c>
      <c r="AS1626" s="70">
        <f t="shared" si="497"/>
        <v>1623</v>
      </c>
      <c r="AT1626" s="71">
        <f t="shared" si="498"/>
        <v>1.4973663204071388E-5</v>
      </c>
      <c r="AU1626" s="72">
        <f t="shared" si="494"/>
        <v>6.8214933659622723E-3</v>
      </c>
      <c r="AV1626" s="73">
        <f t="shared" si="496"/>
        <v>1.0068214933659623</v>
      </c>
      <c r="AW1626" s="74">
        <f>PRODUCT(AV$4:AV1626)</f>
        <v>61925.866111877745</v>
      </c>
    </row>
    <row r="1627" spans="44:49">
      <c r="AR1627" s="69">
        <f t="shared" si="495"/>
        <v>136</v>
      </c>
      <c r="AS1627" s="70">
        <f t="shared" si="497"/>
        <v>1624</v>
      </c>
      <c r="AT1627" s="71">
        <f t="shared" si="498"/>
        <v>1.4871520459860661E-5</v>
      </c>
      <c r="AU1627" s="72">
        <f t="shared" si="494"/>
        <v>6.8214933659622723E-3</v>
      </c>
      <c r="AV1627" s="73">
        <f t="shared" si="496"/>
        <v>1.0068214933659623</v>
      </c>
      <c r="AW1627" s="74">
        <f>PRODUCT(AV$4:AV1627)</f>
        <v>62348.292996741387</v>
      </c>
    </row>
    <row r="1628" spans="44:49">
      <c r="AR1628" s="69">
        <f t="shared" si="495"/>
        <v>136</v>
      </c>
      <c r="AS1628" s="70">
        <f t="shared" si="497"/>
        <v>1625</v>
      </c>
      <c r="AT1628" s="71">
        <f t="shared" si="498"/>
        <v>1.477007448170195E-5</v>
      </c>
      <c r="AU1628" s="72">
        <f t="shared" si="494"/>
        <v>6.8214933659622723E-3</v>
      </c>
      <c r="AV1628" s="73">
        <f t="shared" si="496"/>
        <v>1.0068214933659623</v>
      </c>
      <c r="AW1628" s="74">
        <f>PRODUCT(AV$4:AV1628)</f>
        <v>62773.601463797728</v>
      </c>
    </row>
    <row r="1629" spans="44:49">
      <c r="AR1629" s="69">
        <f t="shared" si="495"/>
        <v>136</v>
      </c>
      <c r="AS1629" s="70">
        <f t="shared" si="497"/>
        <v>1626</v>
      </c>
      <c r="AT1629" s="71">
        <f t="shared" si="498"/>
        <v>1.4669320516610251E-5</v>
      </c>
      <c r="AU1629" s="72">
        <f t="shared" si="494"/>
        <v>6.8214933659622723E-3</v>
      </c>
      <c r="AV1629" s="73">
        <f t="shared" si="496"/>
        <v>1.0068214933659623</v>
      </c>
      <c r="AW1629" s="74">
        <f>PRODUCT(AV$4:AV1629)</f>
        <v>63201.811169740584</v>
      </c>
    </row>
    <row r="1630" spans="44:49">
      <c r="AR1630" s="69">
        <f t="shared" si="495"/>
        <v>136</v>
      </c>
      <c r="AS1630" s="70">
        <f t="shared" si="497"/>
        <v>1627</v>
      </c>
      <c r="AT1630" s="71">
        <f t="shared" si="498"/>
        <v>1.456925384402302E-5</v>
      </c>
      <c r="AU1630" s="72">
        <f t="shared" si="494"/>
        <v>6.8214933659622723E-3</v>
      </c>
      <c r="AV1630" s="73">
        <f t="shared" si="496"/>
        <v>1.0068214933659623</v>
      </c>
      <c r="AW1630" s="74">
        <f>PRODUCT(AV$4:AV1630)</f>
        <v>63632.94190535177</v>
      </c>
    </row>
    <row r="1631" spans="44:49">
      <c r="AR1631" s="69">
        <f t="shared" si="495"/>
        <v>136</v>
      </c>
      <c r="AS1631" s="70">
        <f t="shared" si="497"/>
        <v>1628</v>
      </c>
      <c r="AT1631" s="71">
        <f t="shared" si="498"/>
        <v>1.4469869775578996E-5</v>
      </c>
      <c r="AU1631" s="72">
        <f t="shared" si="494"/>
        <v>6.8214933659622723E-3</v>
      </c>
      <c r="AV1631" s="73">
        <f t="shared" si="496"/>
        <v>1.0068214933659623</v>
      </c>
      <c r="AW1631" s="74">
        <f>PRODUCT(AV$4:AV1631)</f>
        <v>64067.013596415789</v>
      </c>
    </row>
    <row r="1632" spans="44:49">
      <c r="AR1632" s="69">
        <f t="shared" si="495"/>
        <v>136</v>
      </c>
      <c r="AS1632" s="70">
        <f t="shared" si="497"/>
        <v>1629</v>
      </c>
      <c r="AT1632" s="71">
        <f t="shared" si="498"/>
        <v>1.4371163654898547E-5</v>
      </c>
      <c r="AU1632" s="72">
        <f t="shared" si="494"/>
        <v>6.8214933659622723E-3</v>
      </c>
      <c r="AV1632" s="73">
        <f t="shared" si="496"/>
        <v>1.0068214933659623</v>
      </c>
      <c r="AW1632" s="74">
        <f>PRODUCT(AV$4:AV1632)</f>
        <v>64504.046304640753</v>
      </c>
    </row>
    <row r="1633" spans="44:49">
      <c r="AR1633" s="69">
        <f t="shared" si="495"/>
        <v>136</v>
      </c>
      <c r="AS1633" s="70">
        <f t="shared" si="497"/>
        <v>1630</v>
      </c>
      <c r="AT1633" s="71">
        <f t="shared" si="498"/>
        <v>1.4273130857365498E-5</v>
      </c>
      <c r="AU1633" s="72">
        <f t="shared" si="494"/>
        <v>6.8214933659622723E-3</v>
      </c>
      <c r="AV1633" s="73">
        <f t="shared" si="496"/>
        <v>1.0068214933659623</v>
      </c>
      <c r="AW1633" s="74">
        <f>PRODUCT(AV$4:AV1633)</f>
        <v>64944.060228585586</v>
      </c>
    </row>
    <row r="1634" spans="44:49">
      <c r="AR1634" s="69">
        <f t="shared" si="495"/>
        <v>136</v>
      </c>
      <c r="AS1634" s="70">
        <f t="shared" si="497"/>
        <v>1631</v>
      </c>
      <c r="AT1634" s="71">
        <f t="shared" si="498"/>
        <v>1.4175766789910468E-5</v>
      </c>
      <c r="AU1634" s="72">
        <f t="shared" si="494"/>
        <v>6.8214933659622723E-3</v>
      </c>
      <c r="AV1634" s="73">
        <f t="shared" si="496"/>
        <v>1.0068214933659623</v>
      </c>
      <c r="AW1634" s="74">
        <f>PRODUCT(AV$4:AV1634)</f>
        <v>65387.075704593539</v>
      </c>
    </row>
    <row r="1635" spans="44:49">
      <c r="AR1635" s="69">
        <f t="shared" si="495"/>
        <v>136</v>
      </c>
      <c r="AS1635" s="70">
        <f t="shared" si="497"/>
        <v>1632</v>
      </c>
      <c r="AT1635" s="71">
        <f t="shared" si="498"/>
        <v>1.4079066890795666E-5</v>
      </c>
      <c r="AU1635" s="72">
        <f t="shared" si="494"/>
        <v>6.8214933659622723E-3</v>
      </c>
      <c r="AV1635" s="73">
        <f t="shared" si="496"/>
        <v>1.0068214933659623</v>
      </c>
      <c r="AW1635" s="74">
        <f>PRODUCT(AV$4:AV1635)</f>
        <v>65833.113207732094</v>
      </c>
    </row>
    <row r="1636" spans="44:49">
      <c r="AR1636" s="69">
        <f t="shared" si="495"/>
        <v>137</v>
      </c>
      <c r="AS1636" s="70">
        <f t="shared" si="497"/>
        <v>1633</v>
      </c>
      <c r="AT1636" s="71">
        <f t="shared" si="498"/>
        <v>1.3983026629401165E-5</v>
      </c>
      <c r="AU1636" s="72">
        <f t="shared" si="494"/>
        <v>6.8214933659622723E-3</v>
      </c>
      <c r="AV1636" s="73">
        <f t="shared" si="496"/>
        <v>1.0068214933659623</v>
      </c>
      <c r="AW1636" s="74">
        <f>PRODUCT(AV$4:AV1636)</f>
        <v>66282.193352739283</v>
      </c>
    </row>
    <row r="1637" spans="44:49">
      <c r="AR1637" s="69">
        <f t="shared" si="495"/>
        <v>137</v>
      </c>
      <c r="AS1637" s="70">
        <f t="shared" si="497"/>
        <v>1634</v>
      </c>
      <c r="AT1637" s="71">
        <f t="shared" si="498"/>
        <v>1.388764150601263E-5</v>
      </c>
      <c r="AU1637" s="72">
        <f t="shared" si="494"/>
        <v>6.8214933659622723E-3</v>
      </c>
      <c r="AV1637" s="73">
        <f t="shared" si="496"/>
        <v>1.0068214933659623</v>
      </c>
      <c r="AW1637" s="74">
        <f>PRODUCT(AV$4:AV1637)</f>
        <v>66734.336894976426</v>
      </c>
    </row>
    <row r="1638" spans="44:49">
      <c r="AR1638" s="69">
        <f t="shared" si="495"/>
        <v>137</v>
      </c>
      <c r="AS1638" s="70">
        <f t="shared" si="497"/>
        <v>1635</v>
      </c>
      <c r="AT1638" s="71">
        <f t="shared" si="498"/>
        <v>1.3792907051610502E-5</v>
      </c>
      <c r="AU1638" s="72">
        <f t="shared" si="494"/>
        <v>6.8214933659622723E-3</v>
      </c>
      <c r="AV1638" s="73">
        <f t="shared" si="496"/>
        <v>1.0068214933659623</v>
      </c>
      <c r="AW1638" s="74">
        <f>PRODUCT(AV$4:AV1638)</f>
        <v>67189.564731387392</v>
      </c>
    </row>
    <row r="1639" spans="44:49">
      <c r="AR1639" s="69">
        <f t="shared" si="495"/>
        <v>137</v>
      </c>
      <c r="AS1639" s="70">
        <f t="shared" si="497"/>
        <v>1636</v>
      </c>
      <c r="AT1639" s="71">
        <f t="shared" si="498"/>
        <v>1.3698818827660607E-5</v>
      </c>
      <c r="AU1639" s="72">
        <f t="shared" si="494"/>
        <v>6.8214933659622723E-3</v>
      </c>
      <c r="AV1639" s="73">
        <f t="shared" si="496"/>
        <v>1.0068214933659623</v>
      </c>
      <c r="AW1639" s="74">
        <f>PRODUCT(AV$4:AV1639)</f>
        <v>67647.897901464443</v>
      </c>
    </row>
    <row r="1640" spans="44:49">
      <c r="AR1640" s="69">
        <f t="shared" si="495"/>
        <v>137</v>
      </c>
      <c r="AS1640" s="70">
        <f t="shared" si="497"/>
        <v>1637</v>
      </c>
      <c r="AT1640" s="71">
        <f t="shared" si="498"/>
        <v>1.3605372425906201E-5</v>
      </c>
      <c r="AU1640" s="72">
        <f t="shared" si="494"/>
        <v>6.8214933659622723E-3</v>
      </c>
      <c r="AV1640" s="73">
        <f t="shared" si="496"/>
        <v>1.0068214933659623</v>
      </c>
      <c r="AW1640" s="74">
        <f>PRODUCT(AV$4:AV1640)</f>
        <v>68109.357588220577</v>
      </c>
    </row>
    <row r="1641" spans="44:49">
      <c r="AR1641" s="69">
        <f t="shared" si="495"/>
        <v>137</v>
      </c>
      <c r="AS1641" s="70">
        <f t="shared" si="497"/>
        <v>1638</v>
      </c>
      <c r="AT1641" s="71">
        <f t="shared" si="498"/>
        <v>1.3512563468161436E-5</v>
      </c>
      <c r="AU1641" s="72">
        <f t="shared" si="494"/>
        <v>6.8214933659622723E-3</v>
      </c>
      <c r="AV1641" s="73">
        <f t="shared" si="496"/>
        <v>1.0068214933659623</v>
      </c>
      <c r="AW1641" s="74">
        <f>PRODUCT(AV$4:AV1641)</f>
        <v>68573.96511916857</v>
      </c>
    </row>
    <row r="1642" spans="44:49">
      <c r="AR1642" s="69">
        <f t="shared" si="495"/>
        <v>137</v>
      </c>
      <c r="AS1642" s="70">
        <f t="shared" si="497"/>
        <v>1639</v>
      </c>
      <c r="AT1642" s="71">
        <f t="shared" si="498"/>
        <v>1.3420387606106229E-5</v>
      </c>
      <c r="AU1642" s="72">
        <f t="shared" si="494"/>
        <v>6.8214933659622723E-3</v>
      </c>
      <c r="AV1642" s="73">
        <f t="shared" si="496"/>
        <v>1.0068214933659623</v>
      </c>
      <c r="AW1642" s="74">
        <f>PRODUCT(AV$4:AV1642)</f>
        <v>69041.741967306705</v>
      </c>
    </row>
    <row r="1643" spans="44:49">
      <c r="AR1643" s="69">
        <f t="shared" si="495"/>
        <v>137</v>
      </c>
      <c r="AS1643" s="70">
        <f t="shared" si="497"/>
        <v>1640</v>
      </c>
      <c r="AT1643" s="71">
        <f t="shared" si="498"/>
        <v>1.3328840521082532E-5</v>
      </c>
      <c r="AU1643" s="72">
        <f t="shared" si="494"/>
        <v>6.8214933659622723E-3</v>
      </c>
      <c r="AV1643" s="73">
        <f t="shared" si="496"/>
        <v>1.0068214933659623</v>
      </c>
      <c r="AW1643" s="74">
        <f>PRODUCT(AV$4:AV1643)</f>
        <v>69512.709752111172</v>
      </c>
    </row>
    <row r="1644" spans="44:49">
      <c r="AR1644" s="69">
        <f t="shared" si="495"/>
        <v>137</v>
      </c>
      <c r="AS1644" s="70">
        <f t="shared" si="497"/>
        <v>1641</v>
      </c>
      <c r="AT1644" s="71">
        <f t="shared" si="498"/>
        <v>1.3237917923891999E-5</v>
      </c>
      <c r="AU1644" s="72">
        <f t="shared" si="494"/>
        <v>6.8214933659622723E-3</v>
      </c>
      <c r="AV1644" s="73">
        <f t="shared" si="496"/>
        <v>1.0068214933659623</v>
      </c>
      <c r="AW1644" s="74">
        <f>PRODUCT(AV$4:AV1644)</f>
        <v>69986.890240535256</v>
      </c>
    </row>
    <row r="1645" spans="44:49">
      <c r="AR1645" s="69">
        <f t="shared" si="495"/>
        <v>137</v>
      </c>
      <c r="AS1645" s="70">
        <f t="shared" si="497"/>
        <v>1642</v>
      </c>
      <c r="AT1645" s="71">
        <f t="shared" si="498"/>
        <v>1.3147615554595017E-5</v>
      </c>
      <c r="AU1645" s="72">
        <f t="shared" si="494"/>
        <v>6.8214933659622723E-3</v>
      </c>
      <c r="AV1645" s="73">
        <f t="shared" si="496"/>
        <v>1.0068214933659623</v>
      </c>
      <c r="AW1645" s="74">
        <f>PRODUCT(AV$4:AV1645)</f>
        <v>70464.30534801539</v>
      </c>
    </row>
    <row r="1646" spans="44:49">
      <c r="AR1646" s="69">
        <f t="shared" si="495"/>
        <v>137</v>
      </c>
      <c r="AS1646" s="70">
        <f t="shared" si="497"/>
        <v>1643</v>
      </c>
      <c r="AT1646" s="71">
        <f t="shared" si="498"/>
        <v>1.3057929182311125E-5</v>
      </c>
      <c r="AU1646" s="72">
        <f t="shared" si="494"/>
        <v>6.8214933659622723E-3</v>
      </c>
      <c r="AV1646" s="73">
        <f t="shared" si="496"/>
        <v>1.0068214933659623</v>
      </c>
      <c r="AW1646" s="74">
        <f>PRODUCT(AV$4:AV1646)</f>
        <v>70944.977139484021</v>
      </c>
    </row>
    <row r="1647" spans="44:49">
      <c r="AR1647" s="69">
        <f t="shared" si="495"/>
        <v>137</v>
      </c>
      <c r="AS1647" s="70">
        <f t="shared" si="497"/>
        <v>1644</v>
      </c>
      <c r="AT1647" s="71">
        <f t="shared" si="498"/>
        <v>1.2968854605020784E-5</v>
      </c>
      <c r="AU1647" s="72">
        <f t="shared" si="494"/>
        <v>6.8214933659622723E-3</v>
      </c>
      <c r="AV1647" s="73">
        <f t="shared" si="496"/>
        <v>1.0068214933659623</v>
      </c>
      <c r="AW1647" s="74">
        <f>PRODUCT(AV$4:AV1647)</f>
        <v>71428.927830389352</v>
      </c>
    </row>
    <row r="1648" spans="44:49">
      <c r="AR1648" s="69">
        <f t="shared" si="495"/>
        <v>138</v>
      </c>
      <c r="AS1648" s="70">
        <f t="shared" si="497"/>
        <v>1645</v>
      </c>
      <c r="AT1648" s="71">
        <f t="shared" si="498"/>
        <v>1.2880387649368506E-5</v>
      </c>
      <c r="AU1648" s="72">
        <f t="shared" si="494"/>
        <v>6.8214933659622723E-3</v>
      </c>
      <c r="AV1648" s="73">
        <f t="shared" si="496"/>
        <v>1.0068214933659623</v>
      </c>
      <c r="AW1648" s="74">
        <f>PRODUCT(AV$4:AV1648)</f>
        <v>71916.179787722154</v>
      </c>
    </row>
    <row r="1649" spans="44:49">
      <c r="AR1649" s="69">
        <f t="shared" si="495"/>
        <v>138</v>
      </c>
      <c r="AS1649" s="70">
        <f t="shared" si="497"/>
        <v>1646</v>
      </c>
      <c r="AT1649" s="71">
        <f t="shared" si="498"/>
        <v>1.2792524170467316E-5</v>
      </c>
      <c r="AU1649" s="72">
        <f t="shared" si="494"/>
        <v>6.8214933659622723E-3</v>
      </c>
      <c r="AV1649" s="73">
        <f t="shared" si="496"/>
        <v>1.0068214933659623</v>
      </c>
      <c r="AW1649" s="74">
        <f>PRODUCT(AV$4:AV1649)</f>
        <v>72406.75553104945</v>
      </c>
    </row>
    <row r="1650" spans="44:49">
      <c r="AR1650" s="69">
        <f t="shared" si="495"/>
        <v>138</v>
      </c>
      <c r="AS1650" s="70">
        <f t="shared" si="497"/>
        <v>1647</v>
      </c>
      <c r="AT1650" s="71">
        <f t="shared" si="498"/>
        <v>1.270526005170456E-5</v>
      </c>
      <c r="AU1650" s="72">
        <f t="shared" si="494"/>
        <v>6.8214933659622723E-3</v>
      </c>
      <c r="AV1650" s="73">
        <f t="shared" si="496"/>
        <v>1.0068214933659623</v>
      </c>
      <c r="AW1650" s="74">
        <f>PRODUCT(AV$4:AV1650)</f>
        <v>72900.677733555349</v>
      </c>
    </row>
    <row r="1651" spans="44:49">
      <c r="AR1651" s="69">
        <f t="shared" si="495"/>
        <v>138</v>
      </c>
      <c r="AS1651" s="70">
        <f t="shared" si="497"/>
        <v>1648</v>
      </c>
      <c r="AT1651" s="71">
        <f t="shared" si="498"/>
        <v>1.2618591204549033E-5</v>
      </c>
      <c r="AU1651" s="72">
        <f t="shared" si="494"/>
        <v>6.8214933659622723E-3</v>
      </c>
      <c r="AV1651" s="73">
        <f t="shared" si="496"/>
        <v>1.0068214933659623</v>
      </c>
      <c r="AW1651" s="74">
        <f>PRODUCT(AV$4:AV1651)</f>
        <v>73397.969223088949</v>
      </c>
    </row>
    <row r="1652" spans="44:49">
      <c r="AR1652" s="69">
        <f t="shared" si="495"/>
        <v>138</v>
      </c>
      <c r="AS1652" s="70">
        <f t="shared" si="497"/>
        <v>1649</v>
      </c>
      <c r="AT1652" s="71">
        <f t="shared" si="498"/>
        <v>1.2532513568359412E-5</v>
      </c>
      <c r="AU1652" s="72">
        <f t="shared" si="494"/>
        <v>6.8214933659622723E-3</v>
      </c>
      <c r="AV1652" s="73">
        <f t="shared" si="496"/>
        <v>1.0068214933659623</v>
      </c>
      <c r="AW1652" s="74">
        <f>PRODUCT(AV$4:AV1652)</f>
        <v>73898.652983219348</v>
      </c>
    </row>
    <row r="1653" spans="44:49">
      <c r="AR1653" s="69">
        <f t="shared" si="495"/>
        <v>138</v>
      </c>
      <c r="AS1653" s="70">
        <f t="shared" si="497"/>
        <v>1650</v>
      </c>
      <c r="AT1653" s="71">
        <f t="shared" si="498"/>
        <v>1.2447023110194017E-5</v>
      </c>
      <c r="AU1653" s="72">
        <f t="shared" si="494"/>
        <v>6.8214933659622723E-3</v>
      </c>
      <c r="AV1653" s="73">
        <f t="shared" si="496"/>
        <v>1.0068214933659623</v>
      </c>
      <c r="AW1653" s="74">
        <f>PRODUCT(AV$4:AV1653)</f>
        <v>74402.752154297923</v>
      </c>
    </row>
    <row r="1654" spans="44:49">
      <c r="AR1654" s="69">
        <f t="shared" si="495"/>
        <v>138</v>
      </c>
      <c r="AS1654" s="70">
        <f t="shared" si="497"/>
        <v>1651</v>
      </c>
      <c r="AT1654" s="71">
        <f t="shared" si="498"/>
        <v>1.2362115824621849E-5</v>
      </c>
      <c r="AU1654" s="72">
        <f t="shared" si="494"/>
        <v>6.8214933659622723E-3</v>
      </c>
      <c r="AV1654" s="73">
        <f t="shared" si="496"/>
        <v>1.0068214933659623</v>
      </c>
      <c r="AW1654" s="74">
        <f>PRODUCT(AV$4:AV1654)</f>
        <v>74910.290034527803</v>
      </c>
    </row>
    <row r="1655" spans="44:49">
      <c r="AR1655" s="69">
        <f t="shared" si="495"/>
        <v>138</v>
      </c>
      <c r="AS1655" s="70">
        <f t="shared" si="497"/>
        <v>1652</v>
      </c>
      <c r="AT1655" s="71">
        <f t="shared" si="498"/>
        <v>1.2277787733534934E-5</v>
      </c>
      <c r="AU1655" s="72">
        <f t="shared" si="494"/>
        <v>6.8214933659622723E-3</v>
      </c>
      <c r="AV1655" s="73">
        <f t="shared" si="496"/>
        <v>1.0068214933659623</v>
      </c>
      <c r="AW1655" s="74">
        <f>PRODUCT(AV$4:AV1655)</f>
        <v>75421.290081040643</v>
      </c>
    </row>
    <row r="1656" spans="44:49">
      <c r="AR1656" s="69">
        <f t="shared" si="495"/>
        <v>138</v>
      </c>
      <c r="AS1656" s="70">
        <f t="shared" si="497"/>
        <v>1653</v>
      </c>
      <c r="AT1656" s="71">
        <f t="shared" si="498"/>
        <v>1.2194034885961933E-5</v>
      </c>
      <c r="AU1656" s="72">
        <f t="shared" si="494"/>
        <v>6.8214933659622723E-3</v>
      </c>
      <c r="AV1656" s="73">
        <f t="shared" si="496"/>
        <v>1.0068214933659623</v>
      </c>
      <c r="AW1656" s="74">
        <f>PRODUCT(AV$4:AV1656)</f>
        <v>75935.775910980781</v>
      </c>
    </row>
    <row r="1657" spans="44:49">
      <c r="AR1657" s="69">
        <f t="shared" si="495"/>
        <v>138</v>
      </c>
      <c r="AS1657" s="70">
        <f t="shared" si="497"/>
        <v>1654</v>
      </c>
      <c r="AT1657" s="71">
        <f t="shared" si="498"/>
        <v>1.2110853357883031E-5</v>
      </c>
      <c r="AU1657" s="72">
        <f t="shared" si="494"/>
        <v>6.8214933659622723E-3</v>
      </c>
      <c r="AV1657" s="73">
        <f t="shared" si="496"/>
        <v>1.0068214933659623</v>
      </c>
      <c r="AW1657" s="74">
        <f>PRODUCT(AV$4:AV1657)</f>
        <v>76453.771302596739</v>
      </c>
    </row>
    <row r="1658" spans="44:49">
      <c r="AR1658" s="69">
        <f t="shared" si="495"/>
        <v>138</v>
      </c>
      <c r="AS1658" s="70">
        <f t="shared" si="497"/>
        <v>1655</v>
      </c>
      <c r="AT1658" s="71">
        <f t="shared" si="498"/>
        <v>1.202823925204609E-5</v>
      </c>
      <c r="AU1658" s="72">
        <f t="shared" si="494"/>
        <v>6.8214933659622723E-3</v>
      </c>
      <c r="AV1658" s="73">
        <f t="shared" si="496"/>
        <v>1.0068214933659623</v>
      </c>
      <c r="AW1658" s="74">
        <f>PRODUCT(AV$4:AV1658)</f>
        <v>76975.300196340206</v>
      </c>
    </row>
    <row r="1659" spans="44:49">
      <c r="AR1659" s="69">
        <f t="shared" si="495"/>
        <v>138</v>
      </c>
      <c r="AS1659" s="70">
        <f t="shared" si="497"/>
        <v>1656</v>
      </c>
      <c r="AT1659" s="71">
        <f t="shared" si="498"/>
        <v>1.1946188697784049E-5</v>
      </c>
      <c r="AU1659" s="72">
        <f t="shared" si="494"/>
        <v>6.8214933659622723E-3</v>
      </c>
      <c r="AV1659" s="73">
        <f t="shared" si="496"/>
        <v>1.0068214933659623</v>
      </c>
      <c r="AW1659" s="74">
        <f>PRODUCT(AV$4:AV1659)</f>
        <v>77500.386695972498</v>
      </c>
    </row>
    <row r="1660" spans="44:49">
      <c r="AR1660" s="69">
        <f t="shared" si="495"/>
        <v>139</v>
      </c>
      <c r="AS1660" s="70">
        <f t="shared" si="497"/>
        <v>1657</v>
      </c>
      <c r="AT1660" s="71">
        <f t="shared" si="498"/>
        <v>1.1864697850833583E-5</v>
      </c>
      <c r="AU1660" s="72">
        <f t="shared" si="494"/>
        <v>6.8214933659622723E-3</v>
      </c>
      <c r="AV1660" s="73">
        <f t="shared" si="496"/>
        <v>1.0068214933659623</v>
      </c>
      <c r="AW1660" s="74">
        <f>PRODUCT(AV$4:AV1660)</f>
        <v>78029.055069678579</v>
      </c>
    </row>
    <row r="1661" spans="44:49">
      <c r="AR1661" s="69">
        <f t="shared" si="495"/>
        <v>139</v>
      </c>
      <c r="AS1661" s="70">
        <f t="shared" si="497"/>
        <v>1658</v>
      </c>
      <c r="AT1661" s="71">
        <f t="shared" si="498"/>
        <v>1.1783762893154974E-5</v>
      </c>
      <c r="AU1661" s="72">
        <f t="shared" si="494"/>
        <v>6.8214933659622723E-3</v>
      </c>
      <c r="AV1661" s="73">
        <f t="shared" si="496"/>
        <v>1.0068214933659623</v>
      </c>
      <c r="AW1661" s="74">
        <f>PRODUCT(AV$4:AV1661)</f>
        <v>78561.329751188692</v>
      </c>
    </row>
    <row r="1662" spans="44:49">
      <c r="AR1662" s="69">
        <f t="shared" si="495"/>
        <v>139</v>
      </c>
      <c r="AS1662" s="70">
        <f t="shared" si="497"/>
        <v>1659</v>
      </c>
      <c r="AT1662" s="71">
        <f t="shared" si="498"/>
        <v>1.1703380032753245E-5</v>
      </c>
      <c r="AU1662" s="72">
        <f t="shared" si="494"/>
        <v>6.8214933659622723E-3</v>
      </c>
      <c r="AV1662" s="73">
        <f t="shared" si="496"/>
        <v>1.0068214933659623</v>
      </c>
      <c r="AW1662" s="74">
        <f>PRODUCT(AV$4:AV1662)</f>
        <v>79097.235340907602</v>
      </c>
    </row>
    <row r="1663" spans="44:49">
      <c r="AR1663" s="69">
        <f t="shared" si="495"/>
        <v>139</v>
      </c>
      <c r="AS1663" s="70">
        <f t="shared" si="497"/>
        <v>1660</v>
      </c>
      <c r="AT1663" s="71">
        <f t="shared" si="498"/>
        <v>1.1623545503500483E-5</v>
      </c>
      <c r="AU1663" s="72">
        <f t="shared" si="494"/>
        <v>6.8214933659622723E-3</v>
      </c>
      <c r="AV1663" s="73">
        <f t="shared" si="496"/>
        <v>1.0068214933659623</v>
      </c>
      <c r="AW1663" s="74">
        <f>PRODUCT(AV$4:AV1663)</f>
        <v>79636.796607051554</v>
      </c>
    </row>
    <row r="1664" spans="44:49">
      <c r="AR1664" s="69">
        <f t="shared" si="495"/>
        <v>139</v>
      </c>
      <c r="AS1664" s="70">
        <f t="shared" si="497"/>
        <v>1661</v>
      </c>
      <c r="AT1664" s="71">
        <f t="shared" si="498"/>
        <v>1.1544255564959394E-5</v>
      </c>
      <c r="AU1664" s="72">
        <f t="shared" si="494"/>
        <v>6.8214933659622723E-3</v>
      </c>
      <c r="AV1664" s="73">
        <f t="shared" si="496"/>
        <v>1.0068214933659623</v>
      </c>
      <c r="AW1664" s="74">
        <f>PRODUCT(AV$4:AV1664)</f>
        <v>80180.038486793041</v>
      </c>
    </row>
    <row r="1665" spans="44:49">
      <c r="AR1665" s="69">
        <f t="shared" si="495"/>
        <v>139</v>
      </c>
      <c r="AS1665" s="70">
        <f t="shared" si="497"/>
        <v>1662</v>
      </c>
      <c r="AT1665" s="71">
        <f t="shared" si="498"/>
        <v>1.1465506502208051E-5</v>
      </c>
      <c r="AU1665" s="72">
        <f t="shared" si="494"/>
        <v>6.8214933659622723E-3</v>
      </c>
      <c r="AV1665" s="73">
        <f t="shared" si="496"/>
        <v>1.0068214933659623</v>
      </c>
      <c r="AW1665" s="74">
        <f>PRODUCT(AV$4:AV1665)</f>
        <v>80726.986087413301</v>
      </c>
    </row>
    <row r="1666" spans="44:49">
      <c r="AR1666" s="69">
        <f t="shared" si="495"/>
        <v>139</v>
      </c>
      <c r="AS1666" s="70">
        <f t="shared" si="497"/>
        <v>1663</v>
      </c>
      <c r="AT1666" s="71">
        <f t="shared" si="498"/>
        <v>1.138729462566584E-5</v>
      </c>
      <c r="AU1666" s="72">
        <f t="shared" si="494"/>
        <v>6.8214933659622723E-3</v>
      </c>
      <c r="AV1666" s="73">
        <f t="shared" si="496"/>
        <v>1.0068214933659623</v>
      </c>
      <c r="AW1666" s="74">
        <f>PRODUCT(AV$4:AV1666)</f>
        <v>81277.664687462719</v>
      </c>
    </row>
    <row r="1667" spans="44:49">
      <c r="AR1667" s="69">
        <f t="shared" si="495"/>
        <v>139</v>
      </c>
      <c r="AS1667" s="70">
        <f t="shared" si="497"/>
        <v>1664</v>
      </c>
      <c r="AT1667" s="71">
        <f t="shared" si="498"/>
        <v>1.1309616270920603E-5</v>
      </c>
      <c r="AU1667" s="72">
        <f t="shared" si="494"/>
        <v>6.8214933659622723E-3</v>
      </c>
      <c r="AV1667" s="73">
        <f t="shared" si="496"/>
        <v>1.0068214933659623</v>
      </c>
      <c r="AW1667" s="74">
        <f>PRODUCT(AV$4:AV1667)</f>
        <v>81832.099737929151</v>
      </c>
    </row>
    <row r="1668" spans="44:49">
      <c r="AR1668" s="69">
        <f t="shared" si="495"/>
        <v>139</v>
      </c>
      <c r="AS1668" s="70">
        <f t="shared" si="497"/>
        <v>1665</v>
      </c>
      <c r="AT1668" s="71">
        <f t="shared" si="498"/>
        <v>1.1232467798556939E-5</v>
      </c>
      <c r="AU1668" s="72">
        <f t="shared" ref="AU1668:AU1731" si="499">((1+$AH$21)^(1/12))-1</f>
        <v>6.8214933659622723E-3</v>
      </c>
      <c r="AV1668" s="73">
        <f t="shared" si="496"/>
        <v>1.0068214933659623</v>
      </c>
      <c r="AW1668" s="74">
        <f>PRODUCT(AV$4:AV1668)</f>
        <v>82390.316863414191</v>
      </c>
    </row>
    <row r="1669" spans="44:49">
      <c r="AR1669" s="69">
        <f t="shared" ref="AR1669:AR1732" si="500">ROUNDDOWN((AS1669-1)/12,0)+1</f>
        <v>139</v>
      </c>
      <c r="AS1669" s="70">
        <f t="shared" si="497"/>
        <v>1666</v>
      </c>
      <c r="AT1669" s="71">
        <f t="shared" si="498"/>
        <v>1.1155845593985699E-5</v>
      </c>
      <c r="AU1669" s="72">
        <f t="shared" si="499"/>
        <v>6.8214933659622723E-3</v>
      </c>
      <c r="AV1669" s="73">
        <f t="shared" ref="AV1669:AV1732" si="501">(1+AU1669)</f>
        <v>1.0068214933659623</v>
      </c>
      <c r="AW1669" s="74">
        <f>PRODUCT(AV$4:AV1669)</f>
        <v>82952.341863317502</v>
      </c>
    </row>
    <row r="1670" spans="44:49">
      <c r="AR1670" s="69">
        <f t="shared" si="500"/>
        <v>139</v>
      </c>
      <c r="AS1670" s="70">
        <f t="shared" ref="AS1670:AS1733" si="502">AS1669+1</f>
        <v>1667</v>
      </c>
      <c r="AT1670" s="71">
        <f t="shared" ref="AT1670:AT1733" si="503">(1-AU1670)*AT1669</f>
        <v>1.1079746067274625E-5</v>
      </c>
      <c r="AU1670" s="72">
        <f t="shared" si="499"/>
        <v>6.8214933659622723E-3</v>
      </c>
      <c r="AV1670" s="73">
        <f t="shared" si="501"/>
        <v>1.0068214933659623</v>
      </c>
      <c r="AW1670" s="74">
        <f>PRODUCT(AV$4:AV1670)</f>
        <v>83518.20071302916</v>
      </c>
    </row>
    <row r="1671" spans="44:49">
      <c r="AR1671" s="69">
        <f t="shared" si="500"/>
        <v>139</v>
      </c>
      <c r="AS1671" s="70">
        <f t="shared" si="502"/>
        <v>1668</v>
      </c>
      <c r="AT1671" s="71">
        <f t="shared" si="503"/>
        <v>1.1004165652980165E-5</v>
      </c>
      <c r="AU1671" s="72">
        <f t="shared" si="499"/>
        <v>6.8214933659622723E-3</v>
      </c>
      <c r="AV1671" s="73">
        <f t="shared" si="501"/>
        <v>1.0068214933659623</v>
      </c>
      <c r="AW1671" s="74">
        <f>PRODUCT(AV$4:AV1671)</f>
        <v>84087.9195651302</v>
      </c>
    </row>
    <row r="1672" spans="44:49">
      <c r="AR1672" s="69">
        <f t="shared" si="500"/>
        <v>140</v>
      </c>
      <c r="AS1672" s="70">
        <f t="shared" si="502"/>
        <v>1669</v>
      </c>
      <c r="AT1672" s="71">
        <f t="shared" si="503"/>
        <v>1.0929100809980411E-5</v>
      </c>
      <c r="AU1672" s="72">
        <f t="shared" si="499"/>
        <v>6.8214933659622723E-3</v>
      </c>
      <c r="AV1672" s="73">
        <f t="shared" si="501"/>
        <v>1.0068214933659623</v>
      </c>
      <c r="AW1672" s="74">
        <f>PRODUCT(AV$4:AV1672)</f>
        <v>84661.524750601311</v>
      </c>
    </row>
    <row r="1673" spans="44:49">
      <c r="AR1673" s="69">
        <f t="shared" si="500"/>
        <v>140</v>
      </c>
      <c r="AS1673" s="70">
        <f t="shared" si="502"/>
        <v>1670</v>
      </c>
      <c r="AT1673" s="71">
        <f t="shared" si="503"/>
        <v>1.0854548021309196E-5</v>
      </c>
      <c r="AU1673" s="72">
        <f t="shared" si="499"/>
        <v>6.8214933659622723E-3</v>
      </c>
      <c r="AV1673" s="73">
        <f t="shared" si="501"/>
        <v>1.0068214933659623</v>
      </c>
      <c r="AW1673" s="74">
        <f>PRODUCT(AV$4:AV1673)</f>
        <v>85239.042780039788</v>
      </c>
    </row>
    <row r="1674" spans="44:49">
      <c r="AR1674" s="69">
        <f t="shared" si="500"/>
        <v>140</v>
      </c>
      <c r="AS1674" s="70">
        <f t="shared" si="502"/>
        <v>1671</v>
      </c>
      <c r="AT1674" s="71">
        <f t="shared" si="503"/>
        <v>1.0780503793991317E-5</v>
      </c>
      <c r="AU1674" s="72">
        <f t="shared" si="499"/>
        <v>6.8214933659622723E-3</v>
      </c>
      <c r="AV1674" s="73">
        <f t="shared" si="501"/>
        <v>1.0068214933659623</v>
      </c>
      <c r="AW1674" s="74">
        <f>PRODUCT(AV$4:AV1674)</f>
        <v>85820.5003448848</v>
      </c>
    </row>
    <row r="1675" spans="44:49">
      <c r="AR1675" s="69">
        <f t="shared" si="500"/>
        <v>140</v>
      </c>
      <c r="AS1675" s="70">
        <f t="shared" si="502"/>
        <v>1672</v>
      </c>
      <c r="AT1675" s="71">
        <f t="shared" si="503"/>
        <v>1.0706964658878873E-5</v>
      </c>
      <c r="AU1675" s="72">
        <f t="shared" si="499"/>
        <v>6.8214933659622723E-3</v>
      </c>
      <c r="AV1675" s="73">
        <f t="shared" si="501"/>
        <v>1.0068214933659623</v>
      </c>
      <c r="AW1675" s="74">
        <f>PRODUCT(AV$4:AV1675)</f>
        <v>86405.924318650999</v>
      </c>
    </row>
    <row r="1676" spans="44:49">
      <c r="AR1676" s="69">
        <f t="shared" si="500"/>
        <v>140</v>
      </c>
      <c r="AS1676" s="70">
        <f t="shared" si="502"/>
        <v>1673</v>
      </c>
      <c r="AT1676" s="71">
        <f t="shared" si="503"/>
        <v>1.0633927170488739E-5</v>
      </c>
      <c r="AU1676" s="72">
        <f t="shared" si="499"/>
        <v>6.8214933659622723E-3</v>
      </c>
      <c r="AV1676" s="73">
        <f t="shared" si="501"/>
        <v>1.0068214933659623</v>
      </c>
      <c r="AW1676" s="74">
        <f>PRODUCT(AV$4:AV1676)</f>
        <v>86995.341758170514</v>
      </c>
    </row>
    <row r="1677" spans="44:49">
      <c r="AR1677" s="69">
        <f t="shared" si="500"/>
        <v>140</v>
      </c>
      <c r="AS1677" s="70">
        <f t="shared" si="502"/>
        <v>1674</v>
      </c>
      <c r="AT1677" s="71">
        <f t="shared" si="503"/>
        <v>1.0561387906841123E-5</v>
      </c>
      <c r="AU1677" s="72">
        <f t="shared" si="499"/>
        <v>6.8214933659622723E-3</v>
      </c>
      <c r="AV1677" s="73">
        <f t="shared" si="501"/>
        <v>1.0068214933659623</v>
      </c>
      <c r="AW1677" s="74">
        <f>PRODUCT(AV$4:AV1677)</f>
        <v>87588.779904843497</v>
      </c>
    </row>
    <row r="1678" spans="44:49">
      <c r="AR1678" s="69">
        <f t="shared" si="500"/>
        <v>140</v>
      </c>
      <c r="AS1678" s="70">
        <f t="shared" si="502"/>
        <v>1675</v>
      </c>
      <c r="AT1678" s="71">
        <f t="shared" si="503"/>
        <v>1.0489343469299252E-5</v>
      </c>
      <c r="AU1678" s="72">
        <f t="shared" si="499"/>
        <v>6.8214933659622723E-3</v>
      </c>
      <c r="AV1678" s="73">
        <f t="shared" si="501"/>
        <v>1.0068214933659623</v>
      </c>
      <c r="AW1678" s="74">
        <f>PRODUCT(AV$4:AV1678)</f>
        <v>88186.266185897111</v>
      </c>
    </row>
    <row r="1679" spans="44:49">
      <c r="AR1679" s="69">
        <f t="shared" si="500"/>
        <v>140</v>
      </c>
      <c r="AS1679" s="70">
        <f t="shared" si="502"/>
        <v>1676</v>
      </c>
      <c r="AT1679" s="71">
        <f t="shared" si="503"/>
        <v>1.0417790482410127E-5</v>
      </c>
      <c r="AU1679" s="72">
        <f t="shared" si="499"/>
        <v>6.8214933659622723E-3</v>
      </c>
      <c r="AV1679" s="73">
        <f t="shared" si="501"/>
        <v>1.0068214933659623</v>
      </c>
      <c r="AW1679" s="74">
        <f>PRODUCT(AV$4:AV1679)</f>
        <v>88787.828215653193</v>
      </c>
    </row>
    <row r="1680" spans="44:49">
      <c r="AR1680" s="69">
        <f t="shared" si="500"/>
        <v>140</v>
      </c>
      <c r="AS1680" s="70">
        <f t="shared" si="502"/>
        <v>1677</v>
      </c>
      <c r="AT1680" s="71">
        <f t="shared" si="503"/>
        <v>1.0346725593746381E-5</v>
      </c>
      <c r="AU1680" s="72">
        <f t="shared" si="499"/>
        <v>6.8214933659622723E-3</v>
      </c>
      <c r="AV1680" s="73">
        <f t="shared" si="501"/>
        <v>1.0068214933659623</v>
      </c>
      <c r="AW1680" s="74">
        <f>PRODUCT(AV$4:AV1680)</f>
        <v>89393.493796804469</v>
      </c>
    </row>
    <row r="1681" spans="44:49">
      <c r="AR1681" s="69">
        <f t="shared" si="500"/>
        <v>140</v>
      </c>
      <c r="AS1681" s="70">
        <f t="shared" si="502"/>
        <v>1678</v>
      </c>
      <c r="AT1681" s="71">
        <f t="shared" si="503"/>
        <v>1.0276145473749208E-5</v>
      </c>
      <c r="AU1681" s="72">
        <f t="shared" si="499"/>
        <v>6.8214933659622723E-3</v>
      </c>
      <c r="AV1681" s="73">
        <f t="shared" si="501"/>
        <v>1.0068214933659623</v>
      </c>
      <c r="AW1681" s="74">
        <f>PRODUCT(AV$4:AV1681)</f>
        <v>90003.290921699561</v>
      </c>
    </row>
    <row r="1682" spans="44:49">
      <c r="AR1682" s="69">
        <f t="shared" si="500"/>
        <v>140</v>
      </c>
      <c r="AS1682" s="70">
        <f t="shared" si="502"/>
        <v>1679</v>
      </c>
      <c r="AT1682" s="71">
        <f t="shared" si="503"/>
        <v>1.0206046815572364E-5</v>
      </c>
      <c r="AU1682" s="72">
        <f t="shared" si="499"/>
        <v>6.8214933659622723E-3</v>
      </c>
      <c r="AV1682" s="73">
        <f t="shared" si="501"/>
        <v>1.0068214933659623</v>
      </c>
      <c r="AW1682" s="74">
        <f>PRODUCT(AV$4:AV1682)</f>
        <v>90617.2477736367</v>
      </c>
    </row>
    <row r="1683" spans="44:49">
      <c r="AR1683" s="69">
        <f t="shared" si="500"/>
        <v>140</v>
      </c>
      <c r="AS1683" s="70">
        <f t="shared" si="502"/>
        <v>1680</v>
      </c>
      <c r="AT1683" s="71">
        <f t="shared" si="503"/>
        <v>1.0136426334927237E-5</v>
      </c>
      <c r="AU1683" s="72">
        <f t="shared" si="499"/>
        <v>6.8214933659622723E-3</v>
      </c>
      <c r="AV1683" s="73">
        <f t="shared" si="501"/>
        <v>1.0068214933659623</v>
      </c>
      <c r="AW1683" s="74">
        <f>PRODUCT(AV$4:AV1683)</f>
        <v>91235.39272816632</v>
      </c>
    </row>
    <row r="1684" spans="44:49">
      <c r="AR1684" s="69">
        <f t="shared" si="500"/>
        <v>141</v>
      </c>
      <c r="AS1684" s="70">
        <f t="shared" si="502"/>
        <v>1681</v>
      </c>
      <c r="AT1684" s="71">
        <f t="shared" si="503"/>
        <v>1.0067280769928966E-5</v>
      </c>
      <c r="AU1684" s="72">
        <f t="shared" si="499"/>
        <v>6.8214933659622723E-3</v>
      </c>
      <c r="AV1684" s="73">
        <f t="shared" si="501"/>
        <v>1.0068214933659623</v>
      </c>
      <c r="AW1684" s="74">
        <f>PRODUCT(AV$4:AV1684)</f>
        <v>91857.754354402467</v>
      </c>
    </row>
    <row r="1685" spans="44:49">
      <c r="AR1685" s="69">
        <f t="shared" si="500"/>
        <v>141</v>
      </c>
      <c r="AS1685" s="70">
        <f t="shared" si="502"/>
        <v>1682</v>
      </c>
      <c r="AT1685" s="71">
        <f t="shared" si="503"/>
        <v>9.9986068809436157E-6</v>
      </c>
      <c r="AU1685" s="72">
        <f t="shared" si="499"/>
        <v>6.8214933659622723E-3</v>
      </c>
      <c r="AV1685" s="73">
        <f t="shared" si="501"/>
        <v>1.0068214933659623</v>
      </c>
      <c r="AW1685" s="74">
        <f>PRODUCT(AV$4:AV1685)</f>
        <v>92484.361416343221</v>
      </c>
    </row>
    <row r="1686" spans="44:49">
      <c r="AR1686" s="69">
        <f t="shared" si="500"/>
        <v>141</v>
      </c>
      <c r="AS1686" s="70">
        <f t="shared" si="502"/>
        <v>1683</v>
      </c>
      <c r="AT1686" s="71">
        <f t="shared" si="503"/>
        <v>9.9304014504363937E-6</v>
      </c>
      <c r="AU1686" s="72">
        <f t="shared" si="499"/>
        <v>6.8214933659622723E-3</v>
      </c>
      <c r="AV1686" s="73">
        <f t="shared" si="501"/>
        <v>1.0068214933659623</v>
      </c>
      <c r="AW1686" s="74">
        <f>PRODUCT(AV$4:AV1686)</f>
        <v>93115.242874200063</v>
      </c>
    </row>
    <row r="1687" spans="44:49">
      <c r="AR1687" s="69">
        <f t="shared" si="500"/>
        <v>141</v>
      </c>
      <c r="AS1687" s="70">
        <f t="shared" si="502"/>
        <v>1684</v>
      </c>
      <c r="AT1687" s="71">
        <f t="shared" si="503"/>
        <v>9.862661282820899E-6</v>
      </c>
      <c r="AU1687" s="72">
        <f t="shared" si="499"/>
        <v>6.8214933659622723E-3</v>
      </c>
      <c r="AV1687" s="73">
        <f t="shared" si="501"/>
        <v>1.0068214933659623</v>
      </c>
      <c r="AW1687" s="74">
        <f>PRODUCT(AV$4:AV1687)</f>
        <v>93750.427885736382</v>
      </c>
    </row>
    <row r="1688" spans="44:49">
      <c r="AR1688" s="69">
        <f t="shared" si="500"/>
        <v>141</v>
      </c>
      <c r="AS1688" s="70">
        <f t="shared" si="502"/>
        <v>1685</v>
      </c>
      <c r="AT1688" s="71">
        <f t="shared" si="503"/>
        <v>9.7953832043094033E-6</v>
      </c>
      <c r="AU1688" s="72">
        <f t="shared" si="499"/>
        <v>6.8214933659622723E-3</v>
      </c>
      <c r="AV1688" s="73">
        <f t="shared" si="501"/>
        <v>1.0068214933659623</v>
      </c>
      <c r="AW1688" s="74">
        <f>PRODUCT(AV$4:AV1688)</f>
        <v>94389.945807615062</v>
      </c>
    </row>
    <row r="1689" spans="44:49">
      <c r="AR1689" s="69">
        <f t="shared" si="500"/>
        <v>141</v>
      </c>
      <c r="AS1689" s="70">
        <f t="shared" si="502"/>
        <v>1686</v>
      </c>
      <c r="AT1689" s="71">
        <f t="shared" si="503"/>
        <v>9.7285640627641489E-6</v>
      </c>
      <c r="AU1689" s="72">
        <f t="shared" si="499"/>
        <v>6.8214933659622723E-3</v>
      </c>
      <c r="AV1689" s="73">
        <f t="shared" si="501"/>
        <v>1.0068214933659623</v>
      </c>
      <c r="AW1689" s="74">
        <f>PRODUCT(AV$4:AV1689)</f>
        <v>95033.826196755253</v>
      </c>
    </row>
    <row r="1690" spans="44:49">
      <c r="AR1690" s="69">
        <f t="shared" si="500"/>
        <v>141</v>
      </c>
      <c r="AS1690" s="70">
        <f t="shared" si="502"/>
        <v>1687</v>
      </c>
      <c r="AT1690" s="71">
        <f t="shared" si="503"/>
        <v>9.6622007275496636E-6</v>
      </c>
      <c r="AU1690" s="72">
        <f t="shared" si="499"/>
        <v>6.8214933659622723E-3</v>
      </c>
      <c r="AV1690" s="73">
        <f t="shared" si="501"/>
        <v>1.0068214933659623</v>
      </c>
      <c r="AW1690" s="74">
        <f>PRODUCT(AV$4:AV1690)</f>
        <v>95682.098811698437</v>
      </c>
    </row>
    <row r="1691" spans="44:49">
      <c r="AR1691" s="69">
        <f t="shared" si="500"/>
        <v>141</v>
      </c>
      <c r="AS1691" s="70">
        <f t="shared" si="502"/>
        <v>1688</v>
      </c>
      <c r="AT1691" s="71">
        <f t="shared" si="503"/>
        <v>9.5962900893860885E-6</v>
      </c>
      <c r="AU1691" s="72">
        <f t="shared" si="499"/>
        <v>6.8214933659622723E-3</v>
      </c>
      <c r="AV1691" s="73">
        <f t="shared" si="501"/>
        <v>1.0068214933659623</v>
      </c>
      <c r="AW1691" s="74">
        <f>PRODUCT(AV$4:AV1691)</f>
        <v>96334.793613983784</v>
      </c>
    </row>
    <row r="1692" spans="44:49">
      <c r="AR1692" s="69">
        <f t="shared" si="500"/>
        <v>141</v>
      </c>
      <c r="AS1692" s="70">
        <f t="shared" si="502"/>
        <v>1689</v>
      </c>
      <c r="AT1692" s="71">
        <f t="shared" si="503"/>
        <v>9.5308290602034915E-6</v>
      </c>
      <c r="AU1692" s="72">
        <f t="shared" si="499"/>
        <v>6.8214933659622723E-3</v>
      </c>
      <c r="AV1692" s="73">
        <f t="shared" si="501"/>
        <v>1.0068214933659623</v>
      </c>
      <c r="AW1692" s="74">
        <f>PRODUCT(AV$4:AV1692)</f>
        <v>96991.940769532914</v>
      </c>
    </row>
    <row r="1693" spans="44:49">
      <c r="AR1693" s="69">
        <f t="shared" si="500"/>
        <v>141</v>
      </c>
      <c r="AS1693" s="70">
        <f t="shared" si="502"/>
        <v>1690</v>
      </c>
      <c r="AT1693" s="71">
        <f t="shared" si="503"/>
        <v>9.4658145729971924E-6</v>
      </c>
      <c r="AU1693" s="72">
        <f t="shared" si="499"/>
        <v>6.8214933659622723E-3</v>
      </c>
      <c r="AV1693" s="73">
        <f t="shared" si="501"/>
        <v>1.0068214933659623</v>
      </c>
      <c r="AW1693" s="74">
        <f>PRODUCT(AV$4:AV1693)</f>
        <v>97653.570650044087</v>
      </c>
    </row>
    <row r="1694" spans="44:49">
      <c r="AR1694" s="69">
        <f t="shared" si="500"/>
        <v>141</v>
      </c>
      <c r="AS1694" s="70">
        <f t="shared" si="502"/>
        <v>1691</v>
      </c>
      <c r="AT1694" s="71">
        <f t="shared" si="503"/>
        <v>9.4012435816840624E-6</v>
      </c>
      <c r="AU1694" s="72">
        <f t="shared" si="499"/>
        <v>6.8214933659622723E-3</v>
      </c>
      <c r="AV1694" s="73">
        <f t="shared" si="501"/>
        <v>1.0068214933659623</v>
      </c>
      <c r="AW1694" s="74">
        <f>PRODUCT(AV$4:AV1694)</f>
        <v>98319.713834395894</v>
      </c>
    </row>
    <row r="1695" spans="44:49">
      <c r="AR1695" s="69">
        <f t="shared" si="500"/>
        <v>141</v>
      </c>
      <c r="AS1695" s="70">
        <f t="shared" si="502"/>
        <v>1692</v>
      </c>
      <c r="AT1695" s="71">
        <f t="shared" si="503"/>
        <v>9.3371130609598089E-6</v>
      </c>
      <c r="AU1695" s="72">
        <f t="shared" si="499"/>
        <v>6.8214933659622723E-3</v>
      </c>
      <c r="AV1695" s="73">
        <f t="shared" si="501"/>
        <v>1.0068214933659623</v>
      </c>
      <c r="AW1695" s="74">
        <f>PRODUCT(AV$4:AV1695)</f>
        <v>98990.401110060528</v>
      </c>
    </row>
    <row r="1696" spans="44:49">
      <c r="AR1696" s="69">
        <f t="shared" si="500"/>
        <v>142</v>
      </c>
      <c r="AS1696" s="70">
        <f t="shared" si="502"/>
        <v>1693</v>
      </c>
      <c r="AT1696" s="71">
        <f t="shared" si="503"/>
        <v>9.2734200061572313E-6</v>
      </c>
      <c r="AU1696" s="72">
        <f t="shared" si="499"/>
        <v>6.8214933659622723E-3</v>
      </c>
      <c r="AV1696" s="73">
        <f t="shared" si="501"/>
        <v>1.0068214933659623</v>
      </c>
      <c r="AW1696" s="74">
        <f>PRODUCT(AV$4:AV1696)</f>
        <v>99665.663474526751</v>
      </c>
    </row>
    <row r="1697" spans="44:49">
      <c r="AR1697" s="69">
        <f t="shared" si="500"/>
        <v>142</v>
      </c>
      <c r="AS1697" s="70">
        <f t="shared" si="502"/>
        <v>1694</v>
      </c>
      <c r="AT1697" s="71">
        <f t="shared" si="503"/>
        <v>9.2101614331054477E-6</v>
      </c>
      <c r="AU1697" s="72">
        <f t="shared" si="499"/>
        <v>6.8214933659622723E-3</v>
      </c>
      <c r="AV1697" s="73">
        <f t="shared" si="501"/>
        <v>1.0068214933659623</v>
      </c>
      <c r="AW1697" s="74">
        <f>PRODUCT(AV$4:AV1697)</f>
        <v>100345.53213673247</v>
      </c>
    </row>
    <row r="1698" spans="44:49">
      <c r="AR1698" s="69">
        <f t="shared" si="500"/>
        <v>142</v>
      </c>
      <c r="AS1698" s="70">
        <f t="shared" si="502"/>
        <v>1695</v>
      </c>
      <c r="AT1698" s="71">
        <f t="shared" si="503"/>
        <v>9.1473343779900766E-6</v>
      </c>
      <c r="AU1698" s="72">
        <f t="shared" si="499"/>
        <v>6.8214933659622723E-3</v>
      </c>
      <c r="AV1698" s="73">
        <f t="shared" si="501"/>
        <v>1.0068214933659623</v>
      </c>
      <c r="AW1698" s="74">
        <f>PRODUCT(AV$4:AV1698)</f>
        <v>101030.03851850714</v>
      </c>
    </row>
    <row r="1699" spans="44:49">
      <c r="AR1699" s="69">
        <f t="shared" si="500"/>
        <v>142</v>
      </c>
      <c r="AS1699" s="70">
        <f t="shared" si="502"/>
        <v>1696</v>
      </c>
      <c r="AT1699" s="71">
        <f t="shared" si="503"/>
        <v>9.0849358972143782E-6</v>
      </c>
      <c r="AU1699" s="72">
        <f t="shared" si="499"/>
        <v>6.8214933659622723E-3</v>
      </c>
      <c r="AV1699" s="73">
        <f t="shared" si="501"/>
        <v>1.0068214933659623</v>
      </c>
      <c r="AW1699" s="74">
        <f>PRODUCT(AV$4:AV1699)</f>
        <v>101719.21425602405</v>
      </c>
    </row>
    <row r="1700" spans="44:49">
      <c r="AR1700" s="69">
        <f t="shared" si="500"/>
        <v>142</v>
      </c>
      <c r="AS1700" s="70">
        <f t="shared" si="502"/>
        <v>1697</v>
      </c>
      <c r="AT1700" s="71">
        <f t="shared" si="503"/>
        <v>9.0229630672613383E-6</v>
      </c>
      <c r="AU1700" s="72">
        <f t="shared" si="499"/>
        <v>6.8214933659622723E-3</v>
      </c>
      <c r="AV1700" s="73">
        <f t="shared" si="501"/>
        <v>1.0068214933659623</v>
      </c>
      <c r="AW1700" s="74">
        <f>PRODUCT(AV$4:AV1700)</f>
        <v>102413.0912012624</v>
      </c>
    </row>
    <row r="1701" spans="44:49">
      <c r="AR1701" s="69">
        <f t="shared" si="500"/>
        <v>142</v>
      </c>
      <c r="AS1701" s="70">
        <f t="shared" si="502"/>
        <v>1698</v>
      </c>
      <c r="AT1701" s="71">
        <f t="shared" si="503"/>
        <v>8.9614129845566929E-6</v>
      </c>
      <c r="AU1701" s="72">
        <f t="shared" si="499"/>
        <v>6.8214933659622723E-3</v>
      </c>
      <c r="AV1701" s="73">
        <f t="shared" si="501"/>
        <v>1.0068214933659623</v>
      </c>
      <c r="AW1701" s="74">
        <f>PRODUCT(AV$4:AV1701)</f>
        <v>103111.70142347951</v>
      </c>
    </row>
    <row r="1702" spans="44:49">
      <c r="AR1702" s="69">
        <f t="shared" si="500"/>
        <v>142</v>
      </c>
      <c r="AS1702" s="70">
        <f t="shared" si="502"/>
        <v>1699</v>
      </c>
      <c r="AT1702" s="71">
        <f t="shared" si="503"/>
        <v>8.9002827653328918E-6</v>
      </c>
      <c r="AU1702" s="72">
        <f t="shared" si="499"/>
        <v>6.8214933659622723E-3</v>
      </c>
      <c r="AV1702" s="73">
        <f t="shared" si="501"/>
        <v>1.0068214933659623</v>
      </c>
      <c r="AW1702" s="74">
        <f>PRODUCT(AV$4:AV1702)</f>
        <v>103815.07721069285</v>
      </c>
    </row>
    <row r="1703" spans="44:49">
      <c r="AR1703" s="69">
        <f t="shared" si="500"/>
        <v>142</v>
      </c>
      <c r="AS1703" s="70">
        <f t="shared" si="502"/>
        <v>1700</v>
      </c>
      <c r="AT1703" s="71">
        <f t="shared" si="503"/>
        <v>8.8395695454939845E-6</v>
      </c>
      <c r="AU1703" s="72">
        <f t="shared" si="499"/>
        <v>6.8214933659622723E-3</v>
      </c>
      <c r="AV1703" s="73">
        <f t="shared" si="501"/>
        <v>1.0068214933659623</v>
      </c>
      <c r="AW1703" s="74">
        <f>PRODUCT(AV$4:AV1703)</f>
        <v>104523.25107117245</v>
      </c>
    </row>
    <row r="1704" spans="44:49">
      <c r="AR1704" s="69">
        <f t="shared" si="500"/>
        <v>142</v>
      </c>
      <c r="AS1704" s="70">
        <f t="shared" si="502"/>
        <v>1701</v>
      </c>
      <c r="AT1704" s="71">
        <f t="shared" si="503"/>
        <v>8.7792704804814353E-6</v>
      </c>
      <c r="AU1704" s="72">
        <f t="shared" si="499"/>
        <v>6.8214933659622723E-3</v>
      </c>
      <c r="AV1704" s="73">
        <f t="shared" si="501"/>
        <v>1.0068214933659623</v>
      </c>
      <c r="AW1704" s="74">
        <f>PRODUCT(AV$4:AV1704)</f>
        <v>105236.25573494326</v>
      </c>
    </row>
    <row r="1705" spans="44:49">
      <c r="AR1705" s="69">
        <f t="shared" si="500"/>
        <v>142</v>
      </c>
      <c r="AS1705" s="70">
        <f t="shared" si="502"/>
        <v>1702</v>
      </c>
      <c r="AT1705" s="71">
        <f t="shared" si="503"/>
        <v>8.7193827451408424E-6</v>
      </c>
      <c r="AU1705" s="72">
        <f t="shared" si="499"/>
        <v>6.8214933659622723E-3</v>
      </c>
      <c r="AV1705" s="73">
        <f t="shared" si="501"/>
        <v>1.0068214933659623</v>
      </c>
      <c r="AW1705" s="74">
        <f>PRODUCT(AV$4:AV1705)</f>
        <v>105954.12415529789</v>
      </c>
    </row>
    <row r="1706" spans="44:49">
      <c r="AR1706" s="69">
        <f t="shared" si="500"/>
        <v>142</v>
      </c>
      <c r="AS1706" s="70">
        <f t="shared" si="502"/>
        <v>1703</v>
      </c>
      <c r="AT1706" s="71">
        <f t="shared" si="503"/>
        <v>8.6599035335895789E-6</v>
      </c>
      <c r="AU1706" s="72">
        <f t="shared" si="499"/>
        <v>6.8214933659622723E-3</v>
      </c>
      <c r="AV1706" s="73">
        <f t="shared" si="501"/>
        <v>1.0068214933659623</v>
      </c>
      <c r="AW1706" s="74">
        <f>PRODUCT(AV$4:AV1706)</f>
        <v>106676.8895103196</v>
      </c>
    </row>
    <row r="1707" spans="44:49">
      <c r="AR1707" s="69">
        <f t="shared" si="500"/>
        <v>142</v>
      </c>
      <c r="AS1707" s="70">
        <f t="shared" si="502"/>
        <v>1704</v>
      </c>
      <c r="AT1707" s="71">
        <f t="shared" si="503"/>
        <v>8.6008300590853248E-6</v>
      </c>
      <c r="AU1707" s="72">
        <f t="shared" si="499"/>
        <v>6.8214933659622723E-3</v>
      </c>
      <c r="AV1707" s="73">
        <f t="shared" si="501"/>
        <v>1.0068214933659623</v>
      </c>
      <c r="AW1707" s="74">
        <f>PRODUCT(AV$4:AV1707)</f>
        <v>107404.58520441574</v>
      </c>
    </row>
    <row r="1708" spans="44:49">
      <c r="AR1708" s="69">
        <f t="shared" si="500"/>
        <v>143</v>
      </c>
      <c r="AS1708" s="70">
        <f t="shared" si="502"/>
        <v>1705</v>
      </c>
      <c r="AT1708" s="71">
        <f t="shared" si="503"/>
        <v>8.5421595538955055E-6</v>
      </c>
      <c r="AU1708" s="72">
        <f t="shared" si="499"/>
        <v>6.8214933659622723E-3</v>
      </c>
      <c r="AV1708" s="73">
        <f t="shared" si="501"/>
        <v>1.0068214933659623</v>
      </c>
      <c r="AW1708" s="74">
        <f>PRODUCT(AV$4:AV1708)</f>
        <v>108137.24486986159</v>
      </c>
    </row>
    <row r="1709" spans="44:49">
      <c r="AR1709" s="69">
        <f t="shared" si="500"/>
        <v>143</v>
      </c>
      <c r="AS1709" s="70">
        <f t="shared" si="502"/>
        <v>1706</v>
      </c>
      <c r="AT1709" s="71">
        <f t="shared" si="503"/>
        <v>8.4838892691676161E-6</v>
      </c>
      <c r="AU1709" s="72">
        <f t="shared" si="499"/>
        <v>6.8214933659622723E-3</v>
      </c>
      <c r="AV1709" s="73">
        <f t="shared" si="501"/>
        <v>1.0068214933659623</v>
      </c>
      <c r="AW1709" s="74">
        <f>PRODUCT(AV$4:AV1709)</f>
        <v>108874.90236835479</v>
      </c>
    </row>
    <row r="1710" spans="44:49">
      <c r="AR1710" s="69">
        <f t="shared" si="500"/>
        <v>143</v>
      </c>
      <c r="AS1710" s="70">
        <f t="shared" si="502"/>
        <v>1707</v>
      </c>
      <c r="AT1710" s="71">
        <f t="shared" si="503"/>
        <v>8.4260164748004314E-6</v>
      </c>
      <c r="AU1710" s="72">
        <f t="shared" si="499"/>
        <v>6.8214933659622723E-3</v>
      </c>
      <c r="AV1710" s="73">
        <f t="shared" si="501"/>
        <v>1.0068214933659623</v>
      </c>
      <c r="AW1710" s="74">
        <f>PRODUCT(AV$4:AV1710)</f>
        <v>109617.59179258031</v>
      </c>
    </row>
    <row r="1711" spans="44:49">
      <c r="AR1711" s="69">
        <f t="shared" si="500"/>
        <v>143</v>
      </c>
      <c r="AS1711" s="70">
        <f t="shared" si="502"/>
        <v>1708</v>
      </c>
      <c r="AT1711" s="71">
        <f t="shared" si="503"/>
        <v>8.368538459316091E-6</v>
      </c>
      <c r="AU1711" s="72">
        <f t="shared" si="499"/>
        <v>6.8214933659622723E-3</v>
      </c>
      <c r="AV1711" s="73">
        <f t="shared" si="501"/>
        <v>1.0068214933659623</v>
      </c>
      <c r="AW1711" s="74">
        <f>PRODUCT(AV$4:AV1711)</f>
        <v>110365.34746778615</v>
      </c>
    </row>
    <row r="1712" spans="44:49">
      <c r="AR1712" s="69">
        <f t="shared" si="500"/>
        <v>143</v>
      </c>
      <c r="AS1712" s="70">
        <f t="shared" si="502"/>
        <v>1709</v>
      </c>
      <c r="AT1712" s="71">
        <f t="shared" si="503"/>
        <v>8.3114525297330655E-6</v>
      </c>
      <c r="AU1712" s="72">
        <f t="shared" si="499"/>
        <v>6.8214933659622723E-3</v>
      </c>
      <c r="AV1712" s="73">
        <f t="shared" si="501"/>
        <v>1.0068214933659623</v>
      </c>
      <c r="AW1712" s="74">
        <f>PRODUCT(AV$4:AV1712)</f>
        <v>111118.20395336978</v>
      </c>
    </row>
    <row r="1713" spans="44:49">
      <c r="AR1713" s="69">
        <f t="shared" si="500"/>
        <v>143</v>
      </c>
      <c r="AS1713" s="70">
        <f t="shared" si="502"/>
        <v>1710</v>
      </c>
      <c r="AT1713" s="71">
        <f t="shared" si="503"/>
        <v>8.2547560114399819E-6</v>
      </c>
      <c r="AU1713" s="72">
        <f t="shared" si="499"/>
        <v>6.8214933659622723E-3</v>
      </c>
      <c r="AV1713" s="73">
        <f t="shared" si="501"/>
        <v>1.0068214933659623</v>
      </c>
      <c r="AW1713" s="74">
        <f>PRODUCT(AV$4:AV1713)</f>
        <v>111876.19604447533</v>
      </c>
    </row>
    <row r="1714" spans="44:49">
      <c r="AR1714" s="69">
        <f t="shared" si="500"/>
        <v>143</v>
      </c>
      <c r="AS1714" s="70">
        <f t="shared" si="502"/>
        <v>1711</v>
      </c>
      <c r="AT1714" s="71">
        <f t="shared" si="503"/>
        <v>8.1984462480703073E-6</v>
      </c>
      <c r="AU1714" s="72">
        <f t="shared" si="499"/>
        <v>6.8214933659622723E-3</v>
      </c>
      <c r="AV1714" s="73">
        <f t="shared" si="501"/>
        <v>1.0068214933659623</v>
      </c>
      <c r="AW1714" s="74">
        <f>PRODUCT(AV$4:AV1714)</f>
        <v>112639.35877360182</v>
      </c>
    </row>
    <row r="1715" spans="44:49">
      <c r="AR1715" s="69">
        <f t="shared" si="500"/>
        <v>143</v>
      </c>
      <c r="AS1715" s="70">
        <f t="shared" si="502"/>
        <v>1712</v>
      </c>
      <c r="AT1715" s="71">
        <f t="shared" si="503"/>
        <v>8.142520601377897E-6</v>
      </c>
      <c r="AU1715" s="72">
        <f t="shared" si="499"/>
        <v>6.8214933659622723E-3</v>
      </c>
      <c r="AV1715" s="73">
        <f t="shared" si="501"/>
        <v>1.0068214933659623</v>
      </c>
      <c r="AW1715" s="74">
        <f>PRODUCT(AV$4:AV1715)</f>
        <v>113407.72741222219</v>
      </c>
    </row>
    <row r="1716" spans="44:49">
      <c r="AR1716" s="69">
        <f t="shared" si="500"/>
        <v>143</v>
      </c>
      <c r="AS1716" s="70">
        <f t="shared" si="502"/>
        <v>1713</v>
      </c>
      <c r="AT1716" s="71">
        <f t="shared" si="503"/>
        <v>8.0869764511133864E-6</v>
      </c>
      <c r="AU1716" s="72">
        <f t="shared" si="499"/>
        <v>6.8214933659622723E-3</v>
      </c>
      <c r="AV1716" s="73">
        <f t="shared" si="501"/>
        <v>1.0068214933659623</v>
      </c>
      <c r="AW1716" s="74">
        <f>PRODUCT(AV$4:AV1716)</f>
        <v>114181.33747241352</v>
      </c>
    </row>
    <row r="1717" spans="44:49">
      <c r="AR1717" s="69">
        <f t="shared" si="500"/>
        <v>143</v>
      </c>
      <c r="AS1717" s="70">
        <f t="shared" si="502"/>
        <v>1714</v>
      </c>
      <c r="AT1717" s="71">
        <f t="shared" si="503"/>
        <v>8.031811194901424E-6</v>
      </c>
      <c r="AU1717" s="72">
        <f t="shared" si="499"/>
        <v>6.8214933659622723E-3</v>
      </c>
      <c r="AV1717" s="73">
        <f t="shared" si="501"/>
        <v>1.0068214933659623</v>
      </c>
      <c r="AW1717" s="74">
        <f>PRODUCT(AV$4:AV1717)</f>
        <v>114960.2247084983</v>
      </c>
    </row>
    <row r="1718" spans="44:49">
      <c r="AR1718" s="69">
        <f t="shared" si="500"/>
        <v>143</v>
      </c>
      <c r="AS1718" s="70">
        <f t="shared" si="502"/>
        <v>1715</v>
      </c>
      <c r="AT1718" s="71">
        <f t="shared" si="503"/>
        <v>7.9770222481187424E-6</v>
      </c>
      <c r="AU1718" s="72">
        <f t="shared" si="499"/>
        <v>6.8214933659622723E-3</v>
      </c>
      <c r="AV1718" s="73">
        <f t="shared" si="501"/>
        <v>1.0068214933659623</v>
      </c>
      <c r="AW1718" s="74">
        <f>PRODUCT(AV$4:AV1718)</f>
        <v>115744.42511869685</v>
      </c>
    </row>
    <row r="1719" spans="44:49">
      <c r="AR1719" s="69">
        <f t="shared" si="500"/>
        <v>143</v>
      </c>
      <c r="AS1719" s="70">
        <f t="shared" si="502"/>
        <v>1716</v>
      </c>
      <c r="AT1719" s="71">
        <f t="shared" si="503"/>
        <v>7.9226070437730671E-6</v>
      </c>
      <c r="AU1719" s="72">
        <f t="shared" si="499"/>
        <v>6.8214933659622723E-3</v>
      </c>
      <c r="AV1719" s="73">
        <f t="shared" si="501"/>
        <v>1.0068214933659623</v>
      </c>
      <c r="AW1719" s="74">
        <f>PRODUCT(AV$4:AV1719)</f>
        <v>116533.97494679116</v>
      </c>
    </row>
    <row r="1720" spans="44:49">
      <c r="AR1720" s="69">
        <f t="shared" si="500"/>
        <v>144</v>
      </c>
      <c r="AS1720" s="70">
        <f t="shared" si="502"/>
        <v>1717</v>
      </c>
      <c r="AT1720" s="71">
        <f t="shared" si="503"/>
        <v>7.8685630323828437E-6</v>
      </c>
      <c r="AU1720" s="72">
        <f t="shared" si="499"/>
        <v>6.8214933659622723E-3</v>
      </c>
      <c r="AV1720" s="73">
        <f t="shared" si="501"/>
        <v>1.0068214933659623</v>
      </c>
      <c r="AW1720" s="74">
        <f>PRODUCT(AV$4:AV1720)</f>
        <v>117328.91068379991</v>
      </c>
    </row>
    <row r="1721" spans="44:49">
      <c r="AR1721" s="69">
        <f t="shared" si="500"/>
        <v>144</v>
      </c>
      <c r="AS1721" s="70">
        <f t="shared" si="502"/>
        <v>1718</v>
      </c>
      <c r="AT1721" s="71">
        <f t="shared" si="503"/>
        <v>7.8148876818577886E-6</v>
      </c>
      <c r="AU1721" s="72">
        <f t="shared" si="499"/>
        <v>6.8214933659622723E-3</v>
      </c>
      <c r="AV1721" s="73">
        <f t="shared" si="501"/>
        <v>1.0068214933659623</v>
      </c>
      <c r="AW1721" s="74">
        <f>PRODUCT(AV$4:AV1721)</f>
        <v>118129.26906966504</v>
      </c>
    </row>
    <row r="1722" spans="44:49">
      <c r="AR1722" s="69">
        <f t="shared" si="500"/>
        <v>144</v>
      </c>
      <c r="AS1722" s="70">
        <f t="shared" si="502"/>
        <v>1719</v>
      </c>
      <c r="AT1722" s="71">
        <f t="shared" si="503"/>
        <v>7.7615784773802561E-6</v>
      </c>
      <c r="AU1722" s="72">
        <f t="shared" si="499"/>
        <v>6.8214933659622723E-3</v>
      </c>
      <c r="AV1722" s="73">
        <f t="shared" si="501"/>
        <v>1.0068214933659623</v>
      </c>
      <c r="AW1722" s="74">
        <f>PRODUCT(AV$4:AV1722)</f>
        <v>118935.08709494973</v>
      </c>
    </row>
    <row r="1723" spans="44:49">
      <c r="AR1723" s="69">
        <f t="shared" si="500"/>
        <v>144</v>
      </c>
      <c r="AS1723" s="70">
        <f t="shared" si="502"/>
        <v>1720</v>
      </c>
      <c r="AT1723" s="71">
        <f t="shared" si="503"/>
        <v>7.7086329212874115E-6</v>
      </c>
      <c r="AU1723" s="72">
        <f t="shared" si="499"/>
        <v>6.8214933659622723E-3</v>
      </c>
      <c r="AV1723" s="73">
        <f t="shared" si="501"/>
        <v>1.0068214933659623</v>
      </c>
      <c r="AW1723" s="74">
        <f>PRODUCT(AV$4:AV1723)</f>
        <v>119746.40200254807</v>
      </c>
    </row>
    <row r="1724" spans="44:49">
      <c r="AR1724" s="69">
        <f t="shared" si="500"/>
        <v>144</v>
      </c>
      <c r="AS1724" s="70">
        <f t="shared" si="502"/>
        <v>1721</v>
      </c>
      <c r="AT1724" s="71">
        <f t="shared" si="503"/>
        <v>7.6560485329542118E-6</v>
      </c>
      <c r="AU1724" s="72">
        <f t="shared" si="499"/>
        <v>6.8214933659622723E-3</v>
      </c>
      <c r="AV1724" s="73">
        <f t="shared" si="501"/>
        <v>1.0068214933659623</v>
      </c>
      <c r="AW1724" s="74">
        <f>PRODUCT(AV$4:AV1724)</f>
        <v>120563.25128940631</v>
      </c>
    </row>
    <row r="1725" spans="44:49">
      <c r="AR1725" s="69">
        <f t="shared" si="500"/>
        <v>144</v>
      </c>
      <c r="AS1725" s="70">
        <f t="shared" si="502"/>
        <v>1722</v>
      </c>
      <c r="AT1725" s="71">
        <f t="shared" si="503"/>
        <v>7.6038228486771798E-6</v>
      </c>
      <c r="AU1725" s="72">
        <f t="shared" si="499"/>
        <v>6.8214933659622723E-3</v>
      </c>
      <c r="AV1725" s="73">
        <f t="shared" si="501"/>
        <v>1.0068214933659623</v>
      </c>
      <c r="AW1725" s="74">
        <f>PRODUCT(AV$4:AV1725)</f>
        <v>121385.67270825584</v>
      </c>
    </row>
    <row r="1726" spans="44:49">
      <c r="AR1726" s="69">
        <f t="shared" si="500"/>
        <v>144</v>
      </c>
      <c r="AS1726" s="70">
        <f t="shared" si="502"/>
        <v>1723</v>
      </c>
      <c r="AT1726" s="71">
        <f t="shared" si="503"/>
        <v>7.5519534215589759E-6</v>
      </c>
      <c r="AU1726" s="72">
        <f t="shared" si="499"/>
        <v>6.8214933659622723E-3</v>
      </c>
      <c r="AV1726" s="73">
        <f t="shared" si="501"/>
        <v>1.0068214933659623</v>
      </c>
      <c r="AW1726" s="74">
        <f>PRODUCT(AV$4:AV1726)</f>
        <v>122213.70426935807</v>
      </c>
    </row>
    <row r="1727" spans="44:49">
      <c r="AR1727" s="69">
        <f t="shared" si="500"/>
        <v>144</v>
      </c>
      <c r="AS1727" s="70">
        <f t="shared" si="502"/>
        <v>1724</v>
      </c>
      <c r="AT1727" s="71">
        <f t="shared" si="503"/>
        <v>7.5004378213937552E-6</v>
      </c>
      <c r="AU1727" s="72">
        <f t="shared" si="499"/>
        <v>6.8214933659622723E-3</v>
      </c>
      <c r="AV1727" s="73">
        <f t="shared" si="501"/>
        <v>1.0068214933659623</v>
      </c>
      <c r="AW1727" s="74">
        <f>PRODUCT(AV$4:AV1727)</f>
        <v>123047.38424226118</v>
      </c>
    </row>
    <row r="1728" spans="44:49">
      <c r="AR1728" s="69">
        <f t="shared" si="500"/>
        <v>144</v>
      </c>
      <c r="AS1728" s="70">
        <f t="shared" si="502"/>
        <v>1725</v>
      </c>
      <c r="AT1728" s="71">
        <f t="shared" si="503"/>
        <v>7.4492736345533055E-6</v>
      </c>
      <c r="AU1728" s="72">
        <f t="shared" si="499"/>
        <v>6.8214933659622723E-3</v>
      </c>
      <c r="AV1728" s="73">
        <f t="shared" si="501"/>
        <v>1.0068214933659623</v>
      </c>
      <c r="AW1728" s="74">
        <f>PRODUCT(AV$4:AV1728)</f>
        <v>123886.75115756877</v>
      </c>
    </row>
    <row r="1729" spans="44:49">
      <c r="AR1729" s="69">
        <f t="shared" si="500"/>
        <v>144</v>
      </c>
      <c r="AS1729" s="70">
        <f t="shared" si="502"/>
        <v>1726</v>
      </c>
      <c r="AT1729" s="71">
        <f t="shared" si="503"/>
        <v>7.3984584638739628E-6</v>
      </c>
      <c r="AU1729" s="72">
        <f t="shared" si="499"/>
        <v>6.8214933659622723E-3</v>
      </c>
      <c r="AV1729" s="73">
        <f t="shared" si="501"/>
        <v>1.0068214933659623</v>
      </c>
      <c r="AW1729" s="74">
        <f>PRODUCT(AV$4:AV1729)</f>
        <v>124731.84380872075</v>
      </c>
    </row>
    <row r="1730" spans="44:49">
      <c r="AR1730" s="69">
        <f t="shared" si="500"/>
        <v>144</v>
      </c>
      <c r="AS1730" s="70">
        <f t="shared" si="502"/>
        <v>1727</v>
      </c>
      <c r="AT1730" s="71">
        <f t="shared" si="503"/>
        <v>7.3479899285442988E-6</v>
      </c>
      <c r="AU1730" s="72">
        <f t="shared" si="499"/>
        <v>6.8214933659622723E-3</v>
      </c>
      <c r="AV1730" s="73">
        <f t="shared" si="501"/>
        <v>1.0068214933659623</v>
      </c>
      <c r="AW1730" s="74">
        <f>PRODUCT(AV$4:AV1730)</f>
        <v>125582.70125378617</v>
      </c>
    </row>
    <row r="1731" spans="44:49">
      <c r="AR1731" s="69">
        <f t="shared" si="500"/>
        <v>144</v>
      </c>
      <c r="AS1731" s="70">
        <f t="shared" si="502"/>
        <v>1728</v>
      </c>
      <c r="AT1731" s="71">
        <f t="shared" si="503"/>
        <v>7.2978656639935761E-6</v>
      </c>
      <c r="AU1731" s="72">
        <f t="shared" si="499"/>
        <v>6.8214933659622723E-3</v>
      </c>
      <c r="AV1731" s="73">
        <f t="shared" si="501"/>
        <v>1.0068214933659623</v>
      </c>
      <c r="AW1731" s="74">
        <f>PRODUCT(AV$4:AV1731)</f>
        <v>126439.3628172685</v>
      </c>
    </row>
    <row r="1732" spans="44:49">
      <c r="AR1732" s="69">
        <f t="shared" si="500"/>
        <v>145</v>
      </c>
      <c r="AS1732" s="70">
        <f t="shared" si="502"/>
        <v>1729</v>
      </c>
      <c r="AT1732" s="71">
        <f t="shared" si="503"/>
        <v>7.2480833217809602E-6</v>
      </c>
      <c r="AU1732" s="72">
        <f t="shared" ref="AU1732:AU1795" si="504">((1+$AH$21)^(1/12))-1</f>
        <v>6.8214933659622723E-3</v>
      </c>
      <c r="AV1732" s="73">
        <f t="shared" si="501"/>
        <v>1.0068214933659623</v>
      </c>
      <c r="AW1732" s="74">
        <f>PRODUCT(AV$4:AV1732)</f>
        <v>127301.868091923</v>
      </c>
    </row>
    <row r="1733" spans="44:49">
      <c r="AR1733" s="69">
        <f t="shared" ref="AR1733:AR1796" si="505">ROUNDDOWN((AS1733-1)/12,0)+1</f>
        <v>145</v>
      </c>
      <c r="AS1733" s="70">
        <f t="shared" si="502"/>
        <v>1730</v>
      </c>
      <c r="AT1733" s="71">
        <f t="shared" si="503"/>
        <v>7.1986405694854897E-6</v>
      </c>
      <c r="AU1733" s="72">
        <f t="shared" si="504"/>
        <v>6.8214933659622723E-3</v>
      </c>
      <c r="AV1733" s="73">
        <f t="shared" ref="AV1733:AV1796" si="506">(1+AU1733)</f>
        <v>1.0068214933659623</v>
      </c>
      <c r="AW1733" s="74">
        <f>PRODUCT(AV$4:AV1733)</f>
        <v>128170.25694058665</v>
      </c>
    </row>
    <row r="1734" spans="44:49">
      <c r="AR1734" s="69">
        <f t="shared" si="505"/>
        <v>145</v>
      </c>
      <c r="AS1734" s="70">
        <f t="shared" ref="AS1734:AS1797" si="507">AS1733+1</f>
        <v>1731</v>
      </c>
      <c r="AT1734" s="71">
        <f t="shared" ref="AT1734:AT1797" si="508">(1-AU1734)*AT1733</f>
        <v>7.1495350905967973E-6</v>
      </c>
      <c r="AU1734" s="72">
        <f t="shared" si="504"/>
        <v>6.8214933659622723E-3</v>
      </c>
      <c r="AV1734" s="73">
        <f t="shared" si="506"/>
        <v>1.0068214933659623</v>
      </c>
      <c r="AW1734" s="74">
        <f>PRODUCT(AV$4:AV1734)</f>
        <v>129044.56949802054</v>
      </c>
    </row>
    <row r="1735" spans="44:49">
      <c r="AR1735" s="69">
        <f t="shared" si="505"/>
        <v>145</v>
      </c>
      <c r="AS1735" s="70">
        <f t="shared" si="507"/>
        <v>1732</v>
      </c>
      <c r="AT1735" s="71">
        <f t="shared" si="508"/>
        <v>7.1007645844065768E-6</v>
      </c>
      <c r="AU1735" s="72">
        <f t="shared" si="504"/>
        <v>6.8214933659622723E-3</v>
      </c>
      <c r="AV1735" s="73">
        <f t="shared" si="506"/>
        <v>1.0068214933659623</v>
      </c>
      <c r="AW1735" s="74">
        <f>PRODUCT(AV$4:AV1735)</f>
        <v>129924.84617276475</v>
      </c>
    </row>
    <row r="1736" spans="44:49">
      <c r="AR1736" s="69">
        <f t="shared" si="505"/>
        <v>145</v>
      </c>
      <c r="AS1736" s="70">
        <f t="shared" si="507"/>
        <v>1733</v>
      </c>
      <c r="AT1736" s="71">
        <f t="shared" si="508"/>
        <v>7.0523267659007872E-6</v>
      </c>
      <c r="AU1736" s="72">
        <f t="shared" si="504"/>
        <v>6.8214933659622723E-3</v>
      </c>
      <c r="AV1736" s="73">
        <f t="shared" si="506"/>
        <v>1.0068214933659623</v>
      </c>
      <c r="AW1736" s="74">
        <f>PRODUCT(AV$4:AV1736)</f>
        <v>130811.12764900594</v>
      </c>
    </row>
    <row r="1737" spans="44:49">
      <c r="AR1737" s="69">
        <f t="shared" si="505"/>
        <v>145</v>
      </c>
      <c r="AS1737" s="70">
        <f t="shared" si="507"/>
        <v>1734</v>
      </c>
      <c r="AT1737" s="71">
        <f t="shared" si="508"/>
        <v>7.004219365652597E-6</v>
      </c>
      <c r="AU1737" s="72">
        <f t="shared" si="504"/>
        <v>6.8214933659622723E-3</v>
      </c>
      <c r="AV1737" s="73">
        <f t="shared" si="506"/>
        <v>1.0068214933659623</v>
      </c>
      <c r="AW1737" s="74">
        <f>PRODUCT(AV$4:AV1737)</f>
        <v>131703.45488845767</v>
      </c>
    </row>
    <row r="1738" spans="44:49">
      <c r="AR1738" s="69">
        <f t="shared" si="505"/>
        <v>145</v>
      </c>
      <c r="AS1738" s="70">
        <f t="shared" si="507"/>
        <v>1735</v>
      </c>
      <c r="AT1738" s="71">
        <f t="shared" si="508"/>
        <v>6.9564401297160531E-6</v>
      </c>
      <c r="AU1738" s="72">
        <f t="shared" si="504"/>
        <v>6.8214933659622723E-3</v>
      </c>
      <c r="AV1738" s="73">
        <f t="shared" si="506"/>
        <v>1.0068214933659623</v>
      </c>
      <c r="AW1738" s="74">
        <f>PRODUCT(AV$4:AV1738)</f>
        <v>132601.8691322536</v>
      </c>
    </row>
    <row r="1739" spans="44:49">
      <c r="AR1739" s="69">
        <f t="shared" si="505"/>
        <v>145</v>
      </c>
      <c r="AS1739" s="70">
        <f t="shared" si="507"/>
        <v>1736</v>
      </c>
      <c r="AT1739" s="71">
        <f t="shared" si="508"/>
        <v>6.9089868195204814E-6</v>
      </c>
      <c r="AU1739" s="72">
        <f t="shared" si="504"/>
        <v>6.8214933659622723E-3</v>
      </c>
      <c r="AV1739" s="73">
        <f t="shared" si="506"/>
        <v>1.0068214933659623</v>
      </c>
      <c r="AW1739" s="74">
        <f>PRODUCT(AV$4:AV1739)</f>
        <v>133506.41190285346</v>
      </c>
    </row>
    <row r="1740" spans="44:49">
      <c r="AR1740" s="69">
        <f t="shared" si="505"/>
        <v>145</v>
      </c>
      <c r="AS1740" s="70">
        <f t="shared" si="507"/>
        <v>1737</v>
      </c>
      <c r="AT1740" s="71">
        <f t="shared" si="508"/>
        <v>6.861857211765602E-6</v>
      </c>
      <c r="AU1740" s="72">
        <f t="shared" si="504"/>
        <v>6.8214933659622723E-3</v>
      </c>
      <c r="AV1740" s="73">
        <f t="shared" si="506"/>
        <v>1.0068214933659623</v>
      </c>
      <c r="AW1740" s="74">
        <f>PRODUCT(AV$4:AV1740)</f>
        <v>134417.12500596221</v>
      </c>
    </row>
    <row r="1741" spans="44:49">
      <c r="AR1741" s="69">
        <f t="shared" si="505"/>
        <v>145</v>
      </c>
      <c r="AS1741" s="70">
        <f t="shared" si="507"/>
        <v>1738</v>
      </c>
      <c r="AT1741" s="71">
        <f t="shared" si="508"/>
        <v>6.8150490983173629E-6</v>
      </c>
      <c r="AU1741" s="72">
        <f t="shared" si="504"/>
        <v>6.8214933659622723E-3</v>
      </c>
      <c r="AV1741" s="73">
        <f t="shared" si="506"/>
        <v>1.0068214933659623</v>
      </c>
      <c r="AW1741" s="74">
        <f>PRODUCT(AV$4:AV1741)</f>
        <v>135334.0505324621</v>
      </c>
    </row>
    <row r="1742" spans="44:49">
      <c r="AR1742" s="69">
        <f t="shared" si="505"/>
        <v>145</v>
      </c>
      <c r="AS1742" s="70">
        <f t="shared" si="507"/>
        <v>1739</v>
      </c>
      <c r="AT1742" s="71">
        <f t="shared" si="508"/>
        <v>6.7685602861044841E-6</v>
      </c>
      <c r="AU1742" s="72">
        <f t="shared" si="504"/>
        <v>6.8214933659622723E-3</v>
      </c>
      <c r="AV1742" s="73">
        <f t="shared" si="506"/>
        <v>1.0068214933659623</v>
      </c>
      <c r="AW1742" s="74">
        <f>PRODUCT(AV$4:AV1742)</f>
        <v>136257.2308603581</v>
      </c>
    </row>
    <row r="1743" spans="44:49">
      <c r="AR1743" s="69">
        <f t="shared" si="505"/>
        <v>145</v>
      </c>
      <c r="AS1743" s="70">
        <f t="shared" si="507"/>
        <v>1740</v>
      </c>
      <c r="AT1743" s="71">
        <f t="shared" si="508"/>
        <v>6.7223885970157068E-6</v>
      </c>
      <c r="AU1743" s="72">
        <f t="shared" si="504"/>
        <v>6.8214933659622723E-3</v>
      </c>
      <c r="AV1743" s="73">
        <f t="shared" si="506"/>
        <v>1.0068214933659623</v>
      </c>
      <c r="AW1743" s="74">
        <f>PRODUCT(AV$4:AV1743)</f>
        <v>137186.70865673642</v>
      </c>
    </row>
    <row r="1744" spans="44:49">
      <c r="AR1744" s="69">
        <f t="shared" si="505"/>
        <v>146</v>
      </c>
      <c r="AS1744" s="70">
        <f t="shared" si="507"/>
        <v>1741</v>
      </c>
      <c r="AT1744" s="71">
        <f t="shared" si="508"/>
        <v>6.6765318677977441E-6</v>
      </c>
      <c r="AU1744" s="72">
        <f t="shared" si="504"/>
        <v>6.8214933659622723E-3</v>
      </c>
      <c r="AV1744" s="73">
        <f t="shared" si="506"/>
        <v>1.0068214933659623</v>
      </c>
      <c r="AW1744" s="74">
        <f>PRODUCT(AV$4:AV1744)</f>
        <v>138122.52687973654</v>
      </c>
    </row>
    <row r="1745" spans="44:49">
      <c r="AR1745" s="69">
        <f t="shared" si="505"/>
        <v>146</v>
      </c>
      <c r="AS1745" s="70">
        <f t="shared" si="507"/>
        <v>1742</v>
      </c>
      <c r="AT1745" s="71">
        <f t="shared" si="508"/>
        <v>6.6309879499539259E-6</v>
      </c>
      <c r="AU1745" s="72">
        <f t="shared" si="504"/>
        <v>6.8214933659622723E-3</v>
      </c>
      <c r="AV1745" s="73">
        <f t="shared" si="506"/>
        <v>1.0068214933659623</v>
      </c>
      <c r="AW1745" s="74">
        <f>PRODUCT(AV$4:AV1745)</f>
        <v>139064.72878053662</v>
      </c>
    </row>
    <row r="1746" spans="44:49">
      <c r="AR1746" s="69">
        <f t="shared" si="505"/>
        <v>146</v>
      </c>
      <c r="AS1746" s="70">
        <f t="shared" si="507"/>
        <v>1743</v>
      </c>
      <c r="AT1746" s="71">
        <f t="shared" si="508"/>
        <v>6.5857547096435397E-6</v>
      </c>
      <c r="AU1746" s="72">
        <f t="shared" si="504"/>
        <v>6.8214933659622723E-3</v>
      </c>
      <c r="AV1746" s="73">
        <f t="shared" si="506"/>
        <v>1.0068214933659623</v>
      </c>
      <c r="AW1746" s="74">
        <f>PRODUCT(AV$4:AV1746)</f>
        <v>140013.3579053524</v>
      </c>
    </row>
    <row r="1747" spans="44:49">
      <c r="AR1747" s="69">
        <f t="shared" si="505"/>
        <v>146</v>
      </c>
      <c r="AS1747" s="70">
        <f t="shared" si="507"/>
        <v>1744</v>
      </c>
      <c r="AT1747" s="71">
        <f t="shared" si="508"/>
        <v>6.5408300275818514E-6</v>
      </c>
      <c r="AU1747" s="72">
        <f t="shared" si="504"/>
        <v>6.8214933659622723E-3</v>
      </c>
      <c r="AV1747" s="73">
        <f t="shared" si="506"/>
        <v>1.0068214933659623</v>
      </c>
      <c r="AW1747" s="74">
        <f>PRODUCT(AV$4:AV1747)</f>
        <v>140968.45809744985</v>
      </c>
    </row>
    <row r="1748" spans="44:49">
      <c r="AR1748" s="69">
        <f t="shared" si="505"/>
        <v>146</v>
      </c>
      <c r="AS1748" s="70">
        <f t="shared" si="507"/>
        <v>1745</v>
      </c>
      <c r="AT1748" s="71">
        <f t="shared" si="508"/>
        <v>6.4962117989408151E-6</v>
      </c>
      <c r="AU1748" s="72">
        <f t="shared" si="504"/>
        <v>6.8214933659622723E-3</v>
      </c>
      <c r="AV1748" s="73">
        <f t="shared" si="506"/>
        <v>1.0068214933659623</v>
      </c>
      <c r="AW1748" s="74">
        <f>PRODUCT(AV$4:AV1748)</f>
        <v>141930.07349917153</v>
      </c>
    </row>
    <row r="1749" spans="44:49">
      <c r="AR1749" s="69">
        <f t="shared" si="505"/>
        <v>146</v>
      </c>
      <c r="AS1749" s="70">
        <f t="shared" si="507"/>
        <v>1746</v>
      </c>
      <c r="AT1749" s="71">
        <f t="shared" si="508"/>
        <v>6.4518979332504541E-6</v>
      </c>
      <c r="AU1749" s="72">
        <f t="shared" si="504"/>
        <v>6.8214933659622723E-3</v>
      </c>
      <c r="AV1749" s="73">
        <f t="shared" si="506"/>
        <v>1.0068214933659623</v>
      </c>
      <c r="AW1749" s="74">
        <f>PRODUCT(AV$4:AV1749)</f>
        <v>142898.24855397668</v>
      </c>
    </row>
    <row r="1750" spans="44:49">
      <c r="AR1750" s="69">
        <f t="shared" si="505"/>
        <v>146</v>
      </c>
      <c r="AS1750" s="70">
        <f t="shared" si="507"/>
        <v>1747</v>
      </c>
      <c r="AT1750" s="71">
        <f t="shared" si="508"/>
        <v>6.4078863543009207E-6</v>
      </c>
      <c r="AU1750" s="72">
        <f t="shared" si="504"/>
        <v>6.8214933659622723E-3</v>
      </c>
      <c r="AV1750" s="73">
        <f t="shared" si="506"/>
        <v>1.0068214933659623</v>
      </c>
      <c r="AW1750" s="74">
        <f>PRODUCT(AV$4:AV1750)</f>
        <v>143873.02800849525</v>
      </c>
    </row>
    <row r="1751" spans="44:49">
      <c r="AR1751" s="69">
        <f t="shared" si="505"/>
        <v>146</v>
      </c>
      <c r="AS1751" s="70">
        <f t="shared" si="507"/>
        <v>1748</v>
      </c>
      <c r="AT1751" s="71">
        <f t="shared" si="508"/>
        <v>6.3641750000452171E-6</v>
      </c>
      <c r="AU1751" s="72">
        <f t="shared" si="504"/>
        <v>6.8214933659622723E-3</v>
      </c>
      <c r="AV1751" s="73">
        <f t="shared" si="506"/>
        <v>1.0068214933659623</v>
      </c>
      <c r="AW1751" s="74">
        <f>PRODUCT(AV$4:AV1751)</f>
        <v>144854.45691459611</v>
      </c>
    </row>
    <row r="1752" spans="44:49">
      <c r="AR1752" s="69">
        <f t="shared" si="505"/>
        <v>146</v>
      </c>
      <c r="AS1752" s="70">
        <f t="shared" si="507"/>
        <v>1749</v>
      </c>
      <c r="AT1752" s="71">
        <f t="shared" si="508"/>
        <v>6.3207618225025856E-6</v>
      </c>
      <c r="AU1752" s="72">
        <f t="shared" si="504"/>
        <v>6.8214933659622723E-3</v>
      </c>
      <c r="AV1752" s="73">
        <f t="shared" si="506"/>
        <v>1.0068214933659623</v>
      </c>
      <c r="AW1752" s="74">
        <f>PRODUCT(AV$4:AV1752)</f>
        <v>145842.58063146909</v>
      </c>
    </row>
    <row r="1753" spans="44:49">
      <c r="AR1753" s="69">
        <f t="shared" si="505"/>
        <v>146</v>
      </c>
      <c r="AS1753" s="70">
        <f t="shared" si="507"/>
        <v>1750</v>
      </c>
      <c r="AT1753" s="71">
        <f t="shared" si="508"/>
        <v>6.2776447876625566E-6</v>
      </c>
      <c r="AU1753" s="72">
        <f t="shared" si="504"/>
        <v>6.8214933659622723E-3</v>
      </c>
      <c r="AV1753" s="73">
        <f t="shared" si="506"/>
        <v>1.0068214933659623</v>
      </c>
      <c r="AW1753" s="74">
        <f>PRODUCT(AV$4:AV1753)</f>
        <v>146837.44482772148</v>
      </c>
    </row>
    <row r="1754" spans="44:49">
      <c r="AR1754" s="69">
        <f t="shared" si="505"/>
        <v>146</v>
      </c>
      <c r="AS1754" s="70">
        <f t="shared" si="507"/>
        <v>1751</v>
      </c>
      <c r="AT1754" s="71">
        <f t="shared" si="508"/>
        <v>6.2348218753896485E-6</v>
      </c>
      <c r="AU1754" s="72">
        <f t="shared" si="504"/>
        <v>6.8214933659622723E-3</v>
      </c>
      <c r="AV1754" s="73">
        <f t="shared" si="506"/>
        <v>1.0068214933659623</v>
      </c>
      <c r="AW1754" s="74">
        <f>PRODUCT(AV$4:AV1754)</f>
        <v>147839.09548348864</v>
      </c>
    </row>
    <row r="1755" spans="44:49">
      <c r="AR1755" s="69">
        <f t="shared" si="505"/>
        <v>146</v>
      </c>
      <c r="AS1755" s="70">
        <f t="shared" si="507"/>
        <v>1752</v>
      </c>
      <c r="AT1755" s="71">
        <f t="shared" si="508"/>
        <v>6.192291079328722E-6</v>
      </c>
      <c r="AU1755" s="72">
        <f t="shared" si="504"/>
        <v>6.8214933659622723E-3</v>
      </c>
      <c r="AV1755" s="73">
        <f t="shared" si="506"/>
        <v>1.0068214933659623</v>
      </c>
      <c r="AW1755" s="74">
        <f>PRODUCT(AV$4:AV1755)</f>
        <v>148847.5788925591</v>
      </c>
    </row>
    <row r="1756" spans="44:49">
      <c r="AR1756" s="69">
        <f t="shared" si="505"/>
        <v>147</v>
      </c>
      <c r="AS1756" s="70">
        <f t="shared" si="507"/>
        <v>1753</v>
      </c>
      <c r="AT1756" s="71">
        <f t="shared" si="508"/>
        <v>6.1500504068109736E-6</v>
      </c>
      <c r="AU1756" s="72">
        <f t="shared" si="504"/>
        <v>6.8214933659622723E-3</v>
      </c>
      <c r="AV1756" s="73">
        <f t="shared" si="506"/>
        <v>1.0068214933659623</v>
      </c>
      <c r="AW1756" s="74">
        <f>PRODUCT(AV$4:AV1756)</f>
        <v>149862.94166451425</v>
      </c>
    </row>
    <row r="1757" spans="44:49">
      <c r="AR1757" s="69">
        <f t="shared" si="505"/>
        <v>147</v>
      </c>
      <c r="AS1757" s="70">
        <f t="shared" si="507"/>
        <v>1754</v>
      </c>
      <c r="AT1757" s="71">
        <f t="shared" si="508"/>
        <v>6.108097878760579E-6</v>
      </c>
      <c r="AU1757" s="72">
        <f t="shared" si="504"/>
        <v>6.8214933659622723E-3</v>
      </c>
      <c r="AV1757" s="73">
        <f t="shared" si="506"/>
        <v>1.0068214933659623</v>
      </c>
      <c r="AW1757" s="74">
        <f>PRODUCT(AV$4:AV1757)</f>
        <v>150885.23072688232</v>
      </c>
    </row>
    <row r="1758" spans="44:49">
      <c r="AR1758" s="69">
        <f t="shared" si="505"/>
        <v>147</v>
      </c>
      <c r="AS1758" s="70">
        <f t="shared" si="507"/>
        <v>1755</v>
      </c>
      <c r="AT1758" s="71">
        <f t="shared" si="508"/>
        <v>6.0664315296019655E-6</v>
      </c>
      <c r="AU1758" s="72">
        <f t="shared" si="504"/>
        <v>6.8214933659622723E-3</v>
      </c>
      <c r="AV1758" s="73">
        <f t="shared" si="506"/>
        <v>1.0068214933659623</v>
      </c>
      <c r="AW1758" s="74">
        <f>PRODUCT(AV$4:AV1758)</f>
        <v>151914.49332730743</v>
      </c>
    </row>
    <row r="1759" spans="44:49">
      <c r="AR1759" s="69">
        <f t="shared" si="505"/>
        <v>147</v>
      </c>
      <c r="AS1759" s="70">
        <f t="shared" si="507"/>
        <v>1756</v>
      </c>
      <c r="AT1759" s="71">
        <f t="shared" si="508"/>
        <v>6.0250494071677211E-6</v>
      </c>
      <c r="AU1759" s="72">
        <f t="shared" si="504"/>
        <v>6.8214933659622723E-3</v>
      </c>
      <c r="AV1759" s="73">
        <f t="shared" si="506"/>
        <v>1.0068214933659623</v>
      </c>
      <c r="AW1759" s="74">
        <f>PRODUCT(AV$4:AV1759)</f>
        <v>152950.77703573316</v>
      </c>
    </row>
    <row r="1760" spans="44:49">
      <c r="AR1760" s="69">
        <f t="shared" si="505"/>
        <v>147</v>
      </c>
      <c r="AS1760" s="70">
        <f t="shared" si="507"/>
        <v>1757</v>
      </c>
      <c r="AT1760" s="71">
        <f t="shared" si="508"/>
        <v>5.9839495726071314E-6</v>
      </c>
      <c r="AU1760" s="72">
        <f t="shared" si="504"/>
        <v>6.8214933659622723E-3</v>
      </c>
      <c r="AV1760" s="73">
        <f t="shared" si="506"/>
        <v>1.0068214933659623</v>
      </c>
      <c r="AW1760" s="74">
        <f>PRODUCT(AV$4:AV1760)</f>
        <v>153994.12974660119</v>
      </c>
    </row>
    <row r="1761" spans="44:49">
      <c r="AR1761" s="69">
        <f t="shared" si="505"/>
        <v>147</v>
      </c>
      <c r="AS1761" s="70">
        <f t="shared" si="507"/>
        <v>1758</v>
      </c>
      <c r="AT1761" s="71">
        <f t="shared" si="508"/>
        <v>5.9431301002953395E-6</v>
      </c>
      <c r="AU1761" s="72">
        <f t="shared" si="504"/>
        <v>6.8214933659622723E-3</v>
      </c>
      <c r="AV1761" s="73">
        <f t="shared" si="506"/>
        <v>1.0068214933659623</v>
      </c>
      <c r="AW1761" s="74">
        <f>PRODUCT(AV$4:AV1761)</f>
        <v>155044.59968106475</v>
      </c>
    </row>
    <row r="1762" spans="44:49">
      <c r="AR1762" s="69">
        <f t="shared" si="505"/>
        <v>147</v>
      </c>
      <c r="AS1762" s="70">
        <f t="shared" si="507"/>
        <v>1759</v>
      </c>
      <c r="AT1762" s="71">
        <f t="shared" si="508"/>
        <v>5.9025890777431241E-6</v>
      </c>
      <c r="AU1762" s="72">
        <f t="shared" si="504"/>
        <v>6.8214933659622723E-3</v>
      </c>
      <c r="AV1762" s="73">
        <f t="shared" si="506"/>
        <v>1.0068214933659623</v>
      </c>
      <c r="AW1762" s="74">
        <f>PRODUCT(AV$4:AV1762)</f>
        <v>156102.23538921741</v>
      </c>
    </row>
    <row r="1763" spans="44:49">
      <c r="AR1763" s="69">
        <f t="shared" si="505"/>
        <v>147</v>
      </c>
      <c r="AS1763" s="70">
        <f t="shared" si="507"/>
        <v>1760</v>
      </c>
      <c r="AT1763" s="71">
        <f t="shared" si="508"/>
        <v>5.8623246055072982E-6</v>
      </c>
      <c r="AU1763" s="72">
        <f t="shared" si="504"/>
        <v>6.8214933659622723E-3</v>
      </c>
      <c r="AV1763" s="73">
        <f t="shared" si="506"/>
        <v>1.0068214933659623</v>
      </c>
      <c r="AW1763" s="74">
        <f>PRODUCT(AV$4:AV1763)</f>
        <v>157167.08575233683</v>
      </c>
    </row>
    <row r="1764" spans="44:49">
      <c r="AR1764" s="69">
        <f t="shared" si="505"/>
        <v>147</v>
      </c>
      <c r="AS1764" s="70">
        <f t="shared" si="507"/>
        <v>1761</v>
      </c>
      <c r="AT1764" s="71">
        <f t="shared" si="508"/>
        <v>5.8223347971017126E-6</v>
      </c>
      <c r="AU1764" s="72">
        <f t="shared" si="504"/>
        <v>6.8214933659622723E-3</v>
      </c>
      <c r="AV1764" s="73">
        <f t="shared" si="506"/>
        <v>1.0068214933659623</v>
      </c>
      <c r="AW1764" s="74">
        <f>PRODUCT(AV$4:AV1764)</f>
        <v>158239.19998514402</v>
      </c>
    </row>
    <row r="1765" spans="44:49">
      <c r="AR1765" s="69">
        <f t="shared" si="505"/>
        <v>147</v>
      </c>
      <c r="AS1765" s="70">
        <f t="shared" si="507"/>
        <v>1762</v>
      </c>
      <c r="AT1765" s="71">
        <f t="shared" si="508"/>
        <v>5.7826177789088717E-6</v>
      </c>
      <c r="AU1765" s="72">
        <f t="shared" si="504"/>
        <v>6.8214933659622723E-3</v>
      </c>
      <c r="AV1765" s="73">
        <f t="shared" si="506"/>
        <v>1.0068214933659623</v>
      </c>
      <c r="AW1765" s="74">
        <f>PRODUCT(AV$4:AV1765)</f>
        <v>159318.62763807786</v>
      </c>
    </row>
    <row r="1766" spans="44:49">
      <c r="AR1766" s="69">
        <f t="shared" si="505"/>
        <v>147</v>
      </c>
      <c r="AS1766" s="70">
        <f t="shared" si="507"/>
        <v>1763</v>
      </c>
      <c r="AT1766" s="71">
        <f t="shared" si="508"/>
        <v>5.7431716900921495E-6</v>
      </c>
      <c r="AU1766" s="72">
        <f t="shared" si="504"/>
        <v>6.8214933659622723E-3</v>
      </c>
      <c r="AV1766" s="73">
        <f t="shared" si="506"/>
        <v>1.0068214933659623</v>
      </c>
      <c r="AW1766" s="74">
        <f>PRODUCT(AV$4:AV1766)</f>
        <v>160405.41859958522</v>
      </c>
    </row>
    <row r="1767" spans="44:49">
      <c r="AR1767" s="69">
        <f t="shared" si="505"/>
        <v>147</v>
      </c>
      <c r="AS1767" s="70">
        <f t="shared" si="507"/>
        <v>1764</v>
      </c>
      <c r="AT1767" s="71">
        <f t="shared" si="508"/>
        <v>5.7039946825086034E-6</v>
      </c>
      <c r="AU1767" s="72">
        <f t="shared" si="504"/>
        <v>6.8214933659622723E-3</v>
      </c>
      <c r="AV1767" s="73">
        <f t="shared" si="506"/>
        <v>1.0068214933659623</v>
      </c>
      <c r="AW1767" s="74">
        <f>PRODUCT(AV$4:AV1767)</f>
        <v>161499.6230984267</v>
      </c>
    </row>
    <row r="1768" spans="44:49">
      <c r="AR1768" s="69">
        <f t="shared" si="505"/>
        <v>148</v>
      </c>
      <c r="AS1768" s="70">
        <f t="shared" si="507"/>
        <v>1765</v>
      </c>
      <c r="AT1768" s="71">
        <f t="shared" si="508"/>
        <v>5.6650849206223868E-6</v>
      </c>
      <c r="AU1768" s="72">
        <f t="shared" si="504"/>
        <v>6.8214933659622723E-3</v>
      </c>
      <c r="AV1768" s="73">
        <f t="shared" si="506"/>
        <v>1.0068214933659623</v>
      </c>
      <c r="AW1768" s="74">
        <f>PRODUCT(AV$4:AV1768)</f>
        <v>162601.29170599804</v>
      </c>
    </row>
    <row r="1769" spans="44:49">
      <c r="AR1769" s="69">
        <f t="shared" si="505"/>
        <v>148</v>
      </c>
      <c r="AS1769" s="70">
        <f t="shared" si="507"/>
        <v>1766</v>
      </c>
      <c r="AT1769" s="71">
        <f t="shared" si="508"/>
        <v>5.6264405814187483E-6</v>
      </c>
      <c r="AU1769" s="72">
        <f t="shared" si="504"/>
        <v>6.8214933659622723E-3</v>
      </c>
      <c r="AV1769" s="73">
        <f t="shared" si="506"/>
        <v>1.0068214933659623</v>
      </c>
      <c r="AW1769" s="74">
        <f>PRODUCT(AV$4:AV1769)</f>
        <v>163710.4753386674</v>
      </c>
    </row>
    <row r="1770" spans="44:49">
      <c r="AR1770" s="69">
        <f t="shared" si="505"/>
        <v>148</v>
      </c>
      <c r="AS1770" s="70">
        <f t="shared" si="507"/>
        <v>1767</v>
      </c>
      <c r="AT1770" s="71">
        <f t="shared" si="508"/>
        <v>5.5880598543186192E-6</v>
      </c>
      <c r="AU1770" s="72">
        <f t="shared" si="504"/>
        <v>6.8214933659622723E-3</v>
      </c>
      <c r="AV1770" s="73">
        <f t="shared" si="506"/>
        <v>1.0068214933659623</v>
      </c>
      <c r="AW1770" s="74">
        <f>PRODUCT(AV$4:AV1770)</f>
        <v>164827.22526012865</v>
      </c>
    </row>
    <row r="1771" spans="44:49">
      <c r="AR1771" s="69">
        <f t="shared" si="505"/>
        <v>148</v>
      </c>
      <c r="AS1771" s="70">
        <f t="shared" si="507"/>
        <v>1768</v>
      </c>
      <c r="AT1771" s="71">
        <f t="shared" si="508"/>
        <v>5.5499409410937845E-6</v>
      </c>
      <c r="AU1771" s="72">
        <f t="shared" si="504"/>
        <v>6.8214933659622723E-3</v>
      </c>
      <c r="AV1771" s="73">
        <f t="shared" si="506"/>
        <v>1.0068214933659623</v>
      </c>
      <c r="AW1771" s="74">
        <f>PRODUCT(AV$4:AV1771)</f>
        <v>165951.5930837706</v>
      </c>
    </row>
    <row r="1772" spans="44:49">
      <c r="AR1772" s="69">
        <f t="shared" si="505"/>
        <v>148</v>
      </c>
      <c r="AS1772" s="70">
        <f t="shared" si="507"/>
        <v>1769</v>
      </c>
      <c r="AT1772" s="71">
        <f t="shared" si="508"/>
        <v>5.5120820557826313E-6</v>
      </c>
      <c r="AU1772" s="72">
        <f t="shared" si="504"/>
        <v>6.8214933659622723E-3</v>
      </c>
      <c r="AV1772" s="73">
        <f t="shared" si="506"/>
        <v>1.0068214933659623</v>
      </c>
      <c r="AW1772" s="74">
        <f>PRODUCT(AV$4:AV1772)</f>
        <v>167083.6307750624</v>
      </c>
    </row>
    <row r="1773" spans="44:49">
      <c r="AR1773" s="69">
        <f t="shared" si="505"/>
        <v>148</v>
      </c>
      <c r="AS1773" s="70">
        <f t="shared" si="507"/>
        <v>1770</v>
      </c>
      <c r="AT1773" s="71">
        <f t="shared" si="508"/>
        <v>5.4744814246064707E-6</v>
      </c>
      <c r="AU1773" s="72">
        <f t="shared" si="504"/>
        <v>6.8214933659622723E-3</v>
      </c>
      <c r="AV1773" s="73">
        <f t="shared" si="506"/>
        <v>1.0068214933659623</v>
      </c>
      <c r="AW1773" s="74">
        <f>PRODUCT(AV$4:AV1773)</f>
        <v>168223.39065395537</v>
      </c>
    </row>
    <row r="1774" spans="44:49">
      <c r="AR1774" s="69">
        <f t="shared" si="505"/>
        <v>148</v>
      </c>
      <c r="AS1774" s="70">
        <f t="shared" si="507"/>
        <v>1771</v>
      </c>
      <c r="AT1774" s="71">
        <f t="shared" si="508"/>
        <v>5.437137285886434E-6</v>
      </c>
      <c r="AU1774" s="72">
        <f t="shared" si="504"/>
        <v>6.8214933659622723E-3</v>
      </c>
      <c r="AV1774" s="73">
        <f t="shared" si="506"/>
        <v>1.0068214933659623</v>
      </c>
      <c r="AW1774" s="74">
        <f>PRODUCT(AV$4:AV1774)</f>
        <v>169370.92539730101</v>
      </c>
    </row>
    <row r="1775" spans="44:49">
      <c r="AR1775" s="69">
        <f t="shared" si="505"/>
        <v>148</v>
      </c>
      <c r="AS1775" s="70">
        <f t="shared" si="507"/>
        <v>1772</v>
      </c>
      <c r="AT1775" s="71">
        <f t="shared" si="508"/>
        <v>5.4000478899609338E-6</v>
      </c>
      <c r="AU1775" s="72">
        <f t="shared" si="504"/>
        <v>6.8214933659622723E-3</v>
      </c>
      <c r="AV1775" s="73">
        <f t="shared" si="506"/>
        <v>1.0068214933659623</v>
      </c>
      <c r="AW1775" s="74">
        <f>PRODUCT(AV$4:AV1775)</f>
        <v>170526.28804128559</v>
      </c>
    </row>
    <row r="1776" spans="44:49">
      <c r="AR1776" s="69">
        <f t="shared" si="505"/>
        <v>148</v>
      </c>
      <c r="AS1776" s="70">
        <f t="shared" si="507"/>
        <v>1773</v>
      </c>
      <c r="AT1776" s="71">
        <f t="shared" si="508"/>
        <v>5.3632114991036871E-6</v>
      </c>
      <c r="AU1776" s="72">
        <f t="shared" si="504"/>
        <v>6.8214933659622723E-3</v>
      </c>
      <c r="AV1776" s="73">
        <f t="shared" si="506"/>
        <v>1.0068214933659623</v>
      </c>
      <c r="AW1776" s="74">
        <f>PRODUCT(AV$4:AV1776)</f>
        <v>171689.5319838814</v>
      </c>
    </row>
    <row r="1777" spans="44:49">
      <c r="AR1777" s="69">
        <f t="shared" si="505"/>
        <v>148</v>
      </c>
      <c r="AS1777" s="70">
        <f t="shared" si="507"/>
        <v>1774</v>
      </c>
      <c r="AT1777" s="71">
        <f t="shared" si="508"/>
        <v>5.3266263874422987E-6</v>
      </c>
      <c r="AU1777" s="72">
        <f t="shared" si="504"/>
        <v>6.8214933659622723E-3</v>
      </c>
      <c r="AV1777" s="73">
        <f t="shared" si="506"/>
        <v>1.0068214933659623</v>
      </c>
      <c r="AW1777" s="74">
        <f>PRODUCT(AV$4:AV1777)</f>
        <v>172860.71098731461</v>
      </c>
    </row>
    <row r="1778" spans="44:49">
      <c r="AR1778" s="69">
        <f t="shared" si="505"/>
        <v>148</v>
      </c>
      <c r="AS1778" s="70">
        <f t="shared" si="507"/>
        <v>1775</v>
      </c>
      <c r="AT1778" s="71">
        <f t="shared" si="508"/>
        <v>5.2902908408774014E-6</v>
      </c>
      <c r="AU1778" s="72">
        <f t="shared" si="504"/>
        <v>6.8214933659622723E-3</v>
      </c>
      <c r="AV1778" s="73">
        <f t="shared" si="506"/>
        <v>1.0068214933659623</v>
      </c>
      <c r="AW1778" s="74">
        <f>PRODUCT(AV$4:AV1778)</f>
        <v>174039.87918055011</v>
      </c>
    </row>
    <row r="1779" spans="44:49">
      <c r="AR1779" s="69">
        <f t="shared" si="505"/>
        <v>148</v>
      </c>
      <c r="AS1779" s="70">
        <f t="shared" si="507"/>
        <v>1776</v>
      </c>
      <c r="AT1779" s="71">
        <f t="shared" si="508"/>
        <v>5.2542031570023454E-6</v>
      </c>
      <c r="AU1779" s="72">
        <f t="shared" si="504"/>
        <v>6.8214933659622723E-3</v>
      </c>
      <c r="AV1779" s="73">
        <f t="shared" si="506"/>
        <v>1.0068214933659623</v>
      </c>
      <c r="AW1779" s="74">
        <f>PRODUCT(AV$4:AV1779)</f>
        <v>175227.09106179309</v>
      </c>
    </row>
    <row r="1780" spans="44:49">
      <c r="AR1780" s="69">
        <f t="shared" si="505"/>
        <v>149</v>
      </c>
      <c r="AS1780" s="70">
        <f t="shared" si="507"/>
        <v>1777</v>
      </c>
      <c r="AT1780" s="71">
        <f t="shared" si="508"/>
        <v>5.2183616450234361E-6</v>
      </c>
      <c r="AU1780" s="72">
        <f t="shared" si="504"/>
        <v>6.8214933659622723E-3</v>
      </c>
      <c r="AV1780" s="73">
        <f t="shared" si="506"/>
        <v>1.0068214933659623</v>
      </c>
      <c r="AW1780" s="74">
        <f>PRODUCT(AV$4:AV1780)</f>
        <v>176422.40150100799</v>
      </c>
    </row>
    <row r="1781" spans="44:49">
      <c r="AR1781" s="69">
        <f t="shared" si="505"/>
        <v>149</v>
      </c>
      <c r="AS1781" s="70">
        <f t="shared" si="507"/>
        <v>1778</v>
      </c>
      <c r="AT1781" s="71">
        <f t="shared" si="508"/>
        <v>5.1827646256807168E-6</v>
      </c>
      <c r="AU1781" s="72">
        <f t="shared" si="504"/>
        <v>6.8214933659622723E-3</v>
      </c>
      <c r="AV1781" s="73">
        <f t="shared" si="506"/>
        <v>1.0068214933659623</v>
      </c>
      <c r="AW1781" s="74">
        <f>PRODUCT(AV$4:AV1781)</f>
        <v>177625.86574245425</v>
      </c>
    </row>
    <row r="1782" spans="44:49">
      <c r="AR1782" s="69">
        <f t="shared" si="505"/>
        <v>149</v>
      </c>
      <c r="AS1782" s="70">
        <f t="shared" si="507"/>
        <v>1779</v>
      </c>
      <c r="AT1782" s="71">
        <f t="shared" si="508"/>
        <v>5.1474104311692917E-6</v>
      </c>
      <c r="AU1782" s="72">
        <f t="shared" si="504"/>
        <v>6.8214933659622723E-3</v>
      </c>
      <c r="AV1782" s="73">
        <f t="shared" si="506"/>
        <v>1.0068214933659623</v>
      </c>
      <c r="AW1782" s="74">
        <f>PRODUCT(AV$4:AV1782)</f>
        <v>178837.5394072397</v>
      </c>
    </row>
    <row r="1783" spans="44:49">
      <c r="AR1783" s="69">
        <f t="shared" si="505"/>
        <v>149</v>
      </c>
      <c r="AS1783" s="70">
        <f t="shared" si="507"/>
        <v>1780</v>
      </c>
      <c r="AT1783" s="71">
        <f t="shared" si="508"/>
        <v>5.1122974050611854E-6</v>
      </c>
      <c r="AU1783" s="72">
        <f t="shared" si="504"/>
        <v>6.8214933659622723E-3</v>
      </c>
      <c r="AV1783" s="73">
        <f t="shared" si="506"/>
        <v>1.0068214933659623</v>
      </c>
      <c r="AW1783" s="74">
        <f>PRODUCT(AV$4:AV1783)</f>
        <v>180057.47849589121</v>
      </c>
    </row>
    <row r="1784" spans="44:49">
      <c r="AR1784" s="69">
        <f t="shared" si="505"/>
        <v>149</v>
      </c>
      <c r="AS1784" s="70">
        <f t="shared" si="507"/>
        <v>1781</v>
      </c>
      <c r="AT1784" s="71">
        <f t="shared" si="508"/>
        <v>5.0774239022277345E-6</v>
      </c>
      <c r="AU1784" s="72">
        <f t="shared" si="504"/>
        <v>6.8214933659622723E-3</v>
      </c>
      <c r="AV1784" s="73">
        <f t="shared" si="506"/>
        <v>1.0068214933659623</v>
      </c>
      <c r="AW1784" s="74">
        <f>PRODUCT(AV$4:AV1784)</f>
        <v>181285.73939094282</v>
      </c>
    </row>
    <row r="1785" spans="44:49">
      <c r="AR1785" s="69">
        <f t="shared" si="505"/>
        <v>149</v>
      </c>
      <c r="AS1785" s="70">
        <f t="shared" si="507"/>
        <v>1782</v>
      </c>
      <c r="AT1785" s="71">
        <f t="shared" si="508"/>
        <v>5.0427882887625102E-6</v>
      </c>
      <c r="AU1785" s="72">
        <f t="shared" si="504"/>
        <v>6.8214933659622723E-3</v>
      </c>
      <c r="AV1785" s="73">
        <f t="shared" si="506"/>
        <v>1.0068214933659623</v>
      </c>
      <c r="AW1785" s="74">
        <f>PRODUCT(AV$4:AV1785)</f>
        <v>182522.3788595417</v>
      </c>
    </row>
    <row r="1786" spans="44:49">
      <c r="AR1786" s="69">
        <f t="shared" si="505"/>
        <v>149</v>
      </c>
      <c r="AS1786" s="70">
        <f t="shared" si="507"/>
        <v>1783</v>
      </c>
      <c r="AT1786" s="71">
        <f t="shared" si="508"/>
        <v>5.0083889419047648E-6</v>
      </c>
      <c r="AU1786" s="72">
        <f t="shared" si="504"/>
        <v>6.8214933659622723E-3</v>
      </c>
      <c r="AV1786" s="73">
        <f t="shared" si="506"/>
        <v>1.0068214933659623</v>
      </c>
      <c r="AW1786" s="74">
        <f>PRODUCT(AV$4:AV1786)</f>
        <v>183767.45405607173</v>
      </c>
    </row>
    <row r="1787" spans="44:49">
      <c r="AR1787" s="69">
        <f t="shared" si="505"/>
        <v>149</v>
      </c>
      <c r="AS1787" s="70">
        <f t="shared" si="507"/>
        <v>1784</v>
      </c>
      <c r="AT1787" s="71">
        <f t="shared" si="508"/>
        <v>4.9742242499634025E-6</v>
      </c>
      <c r="AU1787" s="72">
        <f t="shared" si="504"/>
        <v>6.8214933659622723E-3</v>
      </c>
      <c r="AV1787" s="73">
        <f t="shared" si="506"/>
        <v>1.0068214933659623</v>
      </c>
      <c r="AW1787" s="74">
        <f>PRODUCT(AV$4:AV1787)</f>
        <v>185021.022524795</v>
      </c>
    </row>
    <row r="1788" spans="44:49">
      <c r="AR1788" s="69">
        <f t="shared" si="505"/>
        <v>149</v>
      </c>
      <c r="AS1788" s="70">
        <f t="shared" si="507"/>
        <v>1785</v>
      </c>
      <c r="AT1788" s="71">
        <f t="shared" si="508"/>
        <v>4.9402926122414686E-6</v>
      </c>
      <c r="AU1788" s="72">
        <f t="shared" si="504"/>
        <v>6.8214933659622723E-3</v>
      </c>
      <c r="AV1788" s="73">
        <f t="shared" si="506"/>
        <v>1.0068214933659623</v>
      </c>
      <c r="AW1788" s="74">
        <f>PRODUCT(AV$4:AV1788)</f>
        <v>186283.14220251146</v>
      </c>
    </row>
    <row r="1789" spans="44:49">
      <c r="AR1789" s="69">
        <f t="shared" si="505"/>
        <v>149</v>
      </c>
      <c r="AS1789" s="70">
        <f t="shared" si="507"/>
        <v>1786</v>
      </c>
      <c r="AT1789" s="71">
        <f t="shared" si="508"/>
        <v>4.9065924389611508E-6</v>
      </c>
      <c r="AU1789" s="72">
        <f t="shared" si="504"/>
        <v>6.8214933659622723E-3</v>
      </c>
      <c r="AV1789" s="73">
        <f t="shared" si="506"/>
        <v>1.0068214933659623</v>
      </c>
      <c r="AW1789" s="74">
        <f>PRODUCT(AV$4:AV1789)</f>
        <v>187553.87142123649</v>
      </c>
    </row>
    <row r="1790" spans="44:49">
      <c r="AR1790" s="69">
        <f t="shared" si="505"/>
        <v>149</v>
      </c>
      <c r="AS1790" s="70">
        <f t="shared" si="507"/>
        <v>1787</v>
      </c>
      <c r="AT1790" s="71">
        <f t="shared" si="508"/>
        <v>4.873122151189297E-6</v>
      </c>
      <c r="AU1790" s="72">
        <f t="shared" si="504"/>
        <v>6.8214933659622723E-3</v>
      </c>
      <c r="AV1790" s="73">
        <f t="shared" si="506"/>
        <v>1.0068214933659623</v>
      </c>
      <c r="AW1790" s="74">
        <f>PRODUCT(AV$4:AV1790)</f>
        <v>188833.26891089699</v>
      </c>
    </row>
    <row r="1791" spans="44:49">
      <c r="AR1791" s="69">
        <f t="shared" si="505"/>
        <v>149</v>
      </c>
      <c r="AS1791" s="70">
        <f t="shared" si="507"/>
        <v>1788</v>
      </c>
      <c r="AT1791" s="71">
        <f t="shared" si="508"/>
        <v>4.8398801807634356E-6</v>
      </c>
      <c r="AU1791" s="72">
        <f t="shared" si="504"/>
        <v>6.8214933659622723E-3</v>
      </c>
      <c r="AV1791" s="73">
        <f t="shared" si="506"/>
        <v>1.0068214933659623</v>
      </c>
      <c r="AW1791" s="74">
        <f>PRODUCT(AV$4:AV1791)</f>
        <v>190121.39380204564</v>
      </c>
    </row>
    <row r="1792" spans="44:49">
      <c r="AR1792" s="69">
        <f t="shared" si="505"/>
        <v>150</v>
      </c>
      <c r="AS1792" s="70">
        <f t="shared" si="507"/>
        <v>1789</v>
      </c>
      <c r="AT1792" s="71">
        <f t="shared" si="508"/>
        <v>4.8068649702183052E-6</v>
      </c>
      <c r="AU1792" s="72">
        <f t="shared" si="504"/>
        <v>6.8214933659622723E-3</v>
      </c>
      <c r="AV1792" s="73">
        <f t="shared" si="506"/>
        <v>1.0068214933659623</v>
      </c>
      <c r="AW1792" s="74">
        <f>PRODUCT(AV$4:AV1792)</f>
        <v>191418.30562859381</v>
      </c>
    </row>
    <row r="1793" spans="9:49">
      <c r="AR1793" s="69">
        <f t="shared" si="505"/>
        <v>150</v>
      </c>
      <c r="AS1793" s="70">
        <f t="shared" si="507"/>
        <v>1790</v>
      </c>
      <c r="AT1793" s="71">
        <f t="shared" si="508"/>
        <v>4.774074972712885E-6</v>
      </c>
      <c r="AU1793" s="72">
        <f t="shared" si="504"/>
        <v>6.8214933659622723E-3</v>
      </c>
      <c r="AV1793" s="73">
        <f t="shared" si="506"/>
        <v>1.0068214933659623</v>
      </c>
      <c r="AW1793" s="74">
        <f>PRODUCT(AV$4:AV1793)</f>
        <v>192724.06433056301</v>
      </c>
    </row>
    <row r="1794" spans="9:49">
      <c r="AR1794" s="69">
        <f t="shared" si="505"/>
        <v>150</v>
      </c>
      <c r="AS1794" s="70">
        <f t="shared" si="507"/>
        <v>1791</v>
      </c>
      <c r="AT1794" s="71">
        <f t="shared" si="508"/>
        <v>4.7415086519579176E-6</v>
      </c>
      <c r="AU1794" s="72">
        <f t="shared" si="504"/>
        <v>6.8214933659622723E-3</v>
      </c>
      <c r="AV1794" s="73">
        <f t="shared" si="506"/>
        <v>1.0068214933659623</v>
      </c>
      <c r="AW1794" s="74">
        <f>PRODUCT(AV$4:AV1794)</f>
        <v>194038.73025685523</v>
      </c>
    </row>
    <row r="1795" spans="9:49">
      <c r="AR1795" s="69">
        <f t="shared" si="505"/>
        <v>150</v>
      </c>
      <c r="AS1795" s="70">
        <f t="shared" si="507"/>
        <v>1792</v>
      </c>
      <c r="AT1795" s="71">
        <f t="shared" si="508"/>
        <v>4.709164482143934E-6</v>
      </c>
      <c r="AU1795" s="72">
        <f t="shared" si="504"/>
        <v>6.8214933659622723E-3</v>
      </c>
      <c r="AV1795" s="73">
        <f t="shared" si="506"/>
        <v>1.0068214933659623</v>
      </c>
      <c r="AW1795" s="74">
        <f>PRODUCT(AV$4:AV1795)</f>
        <v>195362.36416804211</v>
      </c>
    </row>
    <row r="1796" spans="9:49">
      <c r="AR1796" s="69">
        <f t="shared" si="505"/>
        <v>150</v>
      </c>
      <c r="AS1796" s="70">
        <f t="shared" si="507"/>
        <v>1793</v>
      </c>
      <c r="AT1796" s="71">
        <f t="shared" si="508"/>
        <v>4.6770409478697638E-6</v>
      </c>
      <c r="AU1796" s="72">
        <f t="shared" ref="AU1796:AU1803" si="509">((1+$AH$21)^(1/12))-1</f>
        <v>6.8214933659622723E-3</v>
      </c>
      <c r="AV1796" s="73">
        <f t="shared" si="506"/>
        <v>1.0068214933659623</v>
      </c>
      <c r="AW1796" s="74">
        <f>PRODUCT(AV$4:AV1796)</f>
        <v>196695.02723917313</v>
      </c>
    </row>
    <row r="1797" spans="9:49">
      <c r="AR1797" s="69">
        <f t="shared" ref="AR1797:AR1803" si="510">ROUNDDOWN((AS1797-1)/12,0)+1</f>
        <v>150</v>
      </c>
      <c r="AS1797" s="70">
        <f t="shared" si="507"/>
        <v>1794</v>
      </c>
      <c r="AT1797" s="71">
        <f t="shared" si="508"/>
        <v>4.6451365440715364E-6</v>
      </c>
      <c r="AU1797" s="72">
        <f t="shared" si="509"/>
        <v>6.8214933659622723E-3</v>
      </c>
      <c r="AV1797" s="73">
        <f t="shared" ref="AV1797:AV1803" si="511">(1+AU1797)</f>
        <v>1.0068214933659623</v>
      </c>
      <c r="AW1797" s="74">
        <f>PRODUCT(AV$4:AV1797)</f>
        <v>198036.78106260291</v>
      </c>
    </row>
    <row r="1798" spans="9:49">
      <c r="AR1798" s="69">
        <f t="shared" si="510"/>
        <v>150</v>
      </c>
      <c r="AS1798" s="70">
        <f t="shared" ref="AS1798:AS1803" si="512">AS1797+1</f>
        <v>1795</v>
      </c>
      <c r="AT1798" s="71">
        <f t="shared" ref="AT1798:AT1803" si="513">(1-AU1798)*AT1797</f>
        <v>4.6134497759521637E-6</v>
      </c>
      <c r="AU1798" s="72">
        <f t="shared" si="509"/>
        <v>6.8214933659622723E-3</v>
      </c>
      <c r="AV1798" s="73">
        <f t="shared" si="511"/>
        <v>1.0068214933659623</v>
      </c>
      <c r="AW1798" s="74">
        <f>PRODUCT(AV$4:AV1798)</f>
        <v>199387.68765083796</v>
      </c>
    </row>
    <row r="1799" spans="9:49">
      <c r="AR1799" s="69">
        <f t="shared" si="510"/>
        <v>150</v>
      </c>
      <c r="AS1799" s="70">
        <f t="shared" si="512"/>
        <v>1796</v>
      </c>
      <c r="AT1799" s="71">
        <f t="shared" si="513"/>
        <v>4.5819791589113061E-6</v>
      </c>
      <c r="AU1799" s="72">
        <f t="shared" si="509"/>
        <v>6.8214933659622723E-3</v>
      </c>
      <c r="AV1799" s="73">
        <f t="shared" si="511"/>
        <v>1.0068214933659623</v>
      </c>
      <c r="AW1799" s="74">
        <f>PRODUCT(AV$4:AV1799)</f>
        <v>200747.80943940271</v>
      </c>
    </row>
    <row r="1800" spans="9:49">
      <c r="AR1800" s="69">
        <f t="shared" si="510"/>
        <v>150</v>
      </c>
      <c r="AS1800" s="70">
        <f t="shared" si="512"/>
        <v>1797</v>
      </c>
      <c r="AT1800" s="71">
        <f t="shared" si="513"/>
        <v>4.5507232184758153E-6</v>
      </c>
      <c r="AU1800" s="72">
        <f t="shared" si="509"/>
        <v>6.8214933659622723E-3</v>
      </c>
      <c r="AV1800" s="73">
        <f t="shared" si="511"/>
        <v>1.0068214933659623</v>
      </c>
      <c r="AW1800" s="74">
        <f>PRODUCT(AV$4:AV1800)</f>
        <v>202117.20928972505</v>
      </c>
    </row>
    <row r="1801" spans="9:49">
      <c r="AR1801" s="69">
        <f t="shared" si="510"/>
        <v>150</v>
      </c>
      <c r="AS1801" s="70">
        <f t="shared" si="512"/>
        <v>1798</v>
      </c>
      <c r="AT1801" s="71">
        <f t="shared" si="513"/>
        <v>4.5196804902306524E-6</v>
      </c>
      <c r="AU1801" s="72">
        <f t="shared" si="509"/>
        <v>6.8214933659622723E-3</v>
      </c>
      <c r="AV1801" s="73">
        <f t="shared" si="511"/>
        <v>1.0068214933659623</v>
      </c>
      <c r="AW1801" s="74">
        <f>PRODUCT(AV$4:AV1801)</f>
        <v>203495.95049204171</v>
      </c>
    </row>
    <row r="1802" spans="9:49">
      <c r="AR1802" s="69">
        <f t="shared" si="510"/>
        <v>150</v>
      </c>
      <c r="AS1802" s="70">
        <f t="shared" si="512"/>
        <v>1799</v>
      </c>
      <c r="AT1802" s="71">
        <f t="shared" si="513"/>
        <v>4.4888495197502745E-6</v>
      </c>
      <c r="AU1802" s="72">
        <f t="shared" si="509"/>
        <v>6.8214933659622723E-3</v>
      </c>
      <c r="AV1802" s="73">
        <f t="shared" si="511"/>
        <v>1.0068214933659623</v>
      </c>
      <c r="AW1802" s="74">
        <f>PRODUCT(AV$4:AV1802)</f>
        <v>204884.09676832336</v>
      </c>
    </row>
    <row r="1803" spans="9:49">
      <c r="AR1803" s="139">
        <f t="shared" si="510"/>
        <v>150</v>
      </c>
      <c r="AS1803" s="140">
        <f t="shared" si="512"/>
        <v>1800</v>
      </c>
      <c r="AT1803" s="141">
        <f t="shared" si="513"/>
        <v>4.4582288625304949E-6</v>
      </c>
      <c r="AU1803" s="142">
        <f t="shared" si="509"/>
        <v>6.8214933659622723E-3</v>
      </c>
      <c r="AV1803" s="143">
        <f t="shared" si="511"/>
        <v>1.0068214933659623</v>
      </c>
      <c r="AW1803" s="144">
        <f>PRODUCT(AV$4:AV1803)</f>
        <v>206281.71227521964</v>
      </c>
    </row>
    <row r="1804" spans="9:49">
      <c r="I1804" s="79"/>
      <c r="J1804" s="79"/>
      <c r="K1804" s="80"/>
      <c r="L1804" s="80"/>
      <c r="M1804" s="80"/>
      <c r="N1804" s="80"/>
      <c r="O1804" s="145"/>
      <c r="P1804" s="79"/>
      <c r="AS1804" s="146"/>
      <c r="AT1804" s="147"/>
      <c r="AU1804" s="148"/>
    </row>
    <row r="1805" spans="9:49">
      <c r="I1805" s="79"/>
      <c r="J1805" s="79"/>
      <c r="K1805" s="80"/>
      <c r="L1805" s="80"/>
      <c r="M1805" s="80"/>
      <c r="N1805" s="80"/>
      <c r="O1805" s="145"/>
      <c r="P1805" s="79"/>
      <c r="AS1805" s="146"/>
      <c r="AT1805" s="147"/>
      <c r="AU1805" s="148"/>
    </row>
    <row r="1806" spans="9:49">
      <c r="I1806" s="79"/>
      <c r="J1806" s="79"/>
      <c r="K1806" s="80"/>
      <c r="L1806" s="80"/>
      <c r="M1806" s="80"/>
      <c r="N1806" s="80"/>
      <c r="O1806" s="145"/>
      <c r="P1806" s="79"/>
      <c r="AS1806" s="146"/>
      <c r="AT1806" s="147"/>
      <c r="AU1806" s="148"/>
    </row>
    <row r="1807" spans="9:49">
      <c r="I1807" s="79"/>
      <c r="J1807" s="79"/>
      <c r="K1807" s="80"/>
      <c r="L1807" s="80"/>
      <c r="M1807" s="80"/>
      <c r="N1807" s="80"/>
      <c r="O1807" s="145"/>
      <c r="P1807" s="79"/>
      <c r="AS1807" s="146"/>
      <c r="AT1807" s="147"/>
      <c r="AU1807" s="148"/>
    </row>
    <row r="1808" spans="9:49">
      <c r="I1808" s="79"/>
      <c r="J1808" s="79"/>
      <c r="K1808" s="80"/>
      <c r="L1808" s="80"/>
      <c r="M1808" s="80"/>
      <c r="N1808" s="80"/>
      <c r="O1808" s="145"/>
      <c r="P1808" s="79"/>
      <c r="AS1808" s="146"/>
      <c r="AT1808" s="147"/>
      <c r="AU1808" s="148"/>
    </row>
    <row r="1809" spans="9:47">
      <c r="I1809" s="79"/>
      <c r="J1809" s="79"/>
      <c r="K1809" s="80"/>
      <c r="L1809" s="80"/>
      <c r="M1809" s="80"/>
      <c r="N1809" s="80"/>
      <c r="O1809" s="145"/>
      <c r="P1809" s="79"/>
      <c r="AS1809" s="146"/>
      <c r="AT1809" s="147"/>
      <c r="AU1809" s="148"/>
    </row>
    <row r="1810" spans="9:47">
      <c r="I1810" s="79"/>
      <c r="J1810" s="79"/>
      <c r="K1810" s="80"/>
      <c r="L1810" s="80"/>
      <c r="M1810" s="80"/>
      <c r="N1810" s="80"/>
      <c r="O1810" s="145"/>
      <c r="P1810" s="79"/>
      <c r="AS1810" s="146"/>
      <c r="AT1810" s="147"/>
      <c r="AU1810" s="148"/>
    </row>
    <row r="1811" spans="9:47">
      <c r="I1811" s="79"/>
      <c r="J1811" s="79"/>
      <c r="K1811" s="80"/>
      <c r="L1811" s="80"/>
      <c r="M1811" s="80"/>
      <c r="N1811" s="80"/>
      <c r="O1811" s="145"/>
      <c r="P1811" s="79"/>
      <c r="AS1811" s="146"/>
      <c r="AT1811" s="147"/>
      <c r="AU1811" s="148"/>
    </row>
    <row r="1812" spans="9:47">
      <c r="I1812" s="79"/>
      <c r="J1812" s="79"/>
      <c r="K1812" s="80"/>
      <c r="L1812" s="80"/>
      <c r="M1812" s="80"/>
      <c r="N1812" s="80"/>
      <c r="O1812" s="145"/>
      <c r="P1812" s="79"/>
      <c r="AS1812" s="146"/>
      <c r="AT1812" s="147"/>
      <c r="AU1812" s="148"/>
    </row>
    <row r="1813" spans="9:47">
      <c r="I1813" s="79"/>
      <c r="J1813" s="79"/>
      <c r="K1813" s="80"/>
      <c r="L1813" s="80"/>
      <c r="M1813" s="80"/>
      <c r="N1813" s="80"/>
      <c r="O1813" s="145"/>
      <c r="P1813" s="79"/>
      <c r="AS1813" s="146"/>
      <c r="AT1813" s="147"/>
      <c r="AU1813" s="148"/>
    </row>
    <row r="1814" spans="9:47">
      <c r="I1814" s="79"/>
      <c r="J1814" s="79"/>
      <c r="K1814" s="80"/>
      <c r="L1814" s="80"/>
      <c r="M1814" s="80"/>
      <c r="N1814" s="80"/>
      <c r="O1814" s="145"/>
      <c r="P1814" s="79"/>
      <c r="AS1814" s="146"/>
      <c r="AT1814" s="147"/>
      <c r="AU1814" s="148"/>
    </row>
    <row r="1815" spans="9:47">
      <c r="I1815" s="79"/>
      <c r="J1815" s="79"/>
      <c r="K1815" s="80"/>
      <c r="L1815" s="80"/>
      <c r="M1815" s="80"/>
      <c r="N1815" s="80"/>
      <c r="O1815" s="145"/>
      <c r="P1815" s="79"/>
      <c r="AS1815" s="146"/>
      <c r="AT1815" s="147"/>
      <c r="AU1815" s="148"/>
    </row>
    <row r="1816" spans="9:47">
      <c r="I1816" s="79"/>
      <c r="J1816" s="79"/>
      <c r="K1816" s="80"/>
      <c r="L1816" s="80"/>
      <c r="M1816" s="80"/>
      <c r="N1816" s="80"/>
      <c r="O1816" s="145"/>
      <c r="P1816" s="79"/>
      <c r="AS1816" s="146"/>
      <c r="AT1816" s="147"/>
      <c r="AU1816" s="148"/>
    </row>
    <row r="1817" spans="9:47">
      <c r="I1817" s="79"/>
      <c r="J1817" s="79"/>
      <c r="K1817" s="80"/>
      <c r="L1817" s="80"/>
      <c r="M1817" s="80"/>
      <c r="N1817" s="80"/>
      <c r="O1817" s="145"/>
      <c r="P1817" s="79"/>
      <c r="AS1817" s="146"/>
      <c r="AT1817" s="147"/>
      <c r="AU1817" s="148"/>
    </row>
    <row r="1818" spans="9:47">
      <c r="I1818" s="79"/>
      <c r="J1818" s="79"/>
      <c r="K1818" s="80"/>
      <c r="L1818" s="80"/>
      <c r="M1818" s="80"/>
      <c r="N1818" s="80"/>
      <c r="O1818" s="145"/>
      <c r="P1818" s="79"/>
      <c r="AS1818" s="146"/>
      <c r="AT1818" s="147"/>
      <c r="AU1818" s="148"/>
    </row>
    <row r="1819" spans="9:47">
      <c r="I1819" s="79"/>
      <c r="J1819" s="79"/>
      <c r="K1819" s="80"/>
      <c r="L1819" s="80"/>
      <c r="M1819" s="80"/>
      <c r="N1819" s="80"/>
      <c r="O1819" s="145"/>
      <c r="P1819" s="79"/>
      <c r="AS1819" s="146"/>
      <c r="AT1819" s="147"/>
      <c r="AU1819" s="148"/>
    </row>
    <row r="1820" spans="9:47">
      <c r="I1820" s="79"/>
      <c r="J1820" s="79"/>
      <c r="K1820" s="80"/>
      <c r="L1820" s="80"/>
      <c r="M1820" s="80"/>
      <c r="N1820" s="80"/>
      <c r="O1820" s="145"/>
      <c r="P1820" s="79"/>
      <c r="AS1820" s="146"/>
      <c r="AT1820" s="147"/>
      <c r="AU1820" s="148"/>
    </row>
    <row r="1821" spans="9:47">
      <c r="I1821" s="79"/>
      <c r="J1821" s="79"/>
      <c r="K1821" s="80"/>
      <c r="L1821" s="80"/>
      <c r="M1821" s="80"/>
      <c r="N1821" s="80"/>
      <c r="O1821" s="145"/>
      <c r="P1821" s="79"/>
      <c r="AS1821" s="146"/>
      <c r="AT1821" s="147"/>
      <c r="AU1821" s="148"/>
    </row>
    <row r="1822" spans="9:47">
      <c r="I1822" s="79"/>
      <c r="J1822" s="79"/>
      <c r="K1822" s="80"/>
      <c r="L1822" s="80"/>
      <c r="M1822" s="80"/>
      <c r="N1822" s="80"/>
      <c r="O1822" s="145"/>
      <c r="P1822" s="79"/>
      <c r="AS1822" s="146"/>
      <c r="AT1822" s="147"/>
      <c r="AU1822" s="148"/>
    </row>
    <row r="1823" spans="9:47">
      <c r="I1823" s="79"/>
      <c r="J1823" s="79"/>
      <c r="K1823" s="80"/>
      <c r="L1823" s="80"/>
      <c r="M1823" s="80"/>
      <c r="N1823" s="80"/>
      <c r="O1823" s="145"/>
      <c r="P1823" s="79"/>
      <c r="AS1823" s="146"/>
      <c r="AT1823" s="147"/>
      <c r="AU1823" s="148"/>
    </row>
    <row r="1824" spans="9:47">
      <c r="I1824" s="79"/>
      <c r="J1824" s="79"/>
      <c r="K1824" s="80"/>
      <c r="L1824" s="80"/>
      <c r="M1824" s="80"/>
      <c r="N1824" s="80"/>
      <c r="O1824" s="145"/>
      <c r="P1824" s="79"/>
      <c r="AS1824" s="146"/>
      <c r="AT1824" s="147"/>
      <c r="AU1824" s="148"/>
    </row>
    <row r="1825" spans="9:47">
      <c r="I1825" s="79"/>
      <c r="J1825" s="79"/>
      <c r="K1825" s="80"/>
      <c r="L1825" s="80"/>
      <c r="M1825" s="80"/>
      <c r="N1825" s="80"/>
      <c r="O1825" s="145"/>
      <c r="P1825" s="79"/>
      <c r="AS1825" s="146"/>
      <c r="AT1825" s="147"/>
      <c r="AU1825" s="148"/>
    </row>
    <row r="1826" spans="9:47">
      <c r="I1826" s="79"/>
      <c r="J1826" s="79"/>
      <c r="K1826" s="80"/>
      <c r="L1826" s="80"/>
      <c r="M1826" s="80"/>
      <c r="N1826" s="80"/>
      <c r="O1826" s="145"/>
      <c r="P1826" s="79"/>
      <c r="AS1826" s="146"/>
      <c r="AT1826" s="147"/>
      <c r="AU1826" s="148"/>
    </row>
    <row r="1827" spans="9:47">
      <c r="I1827" s="79"/>
      <c r="J1827" s="79"/>
      <c r="K1827" s="80"/>
      <c r="L1827" s="80"/>
      <c r="M1827" s="80"/>
      <c r="N1827" s="80"/>
      <c r="O1827" s="145"/>
      <c r="P1827" s="79"/>
      <c r="AS1827" s="146"/>
      <c r="AT1827" s="147"/>
      <c r="AU1827" s="148"/>
    </row>
    <row r="1828" spans="9:47">
      <c r="I1828" s="79"/>
      <c r="J1828" s="79"/>
      <c r="K1828" s="80"/>
      <c r="L1828" s="80"/>
      <c r="M1828" s="80"/>
      <c r="N1828" s="80"/>
      <c r="O1828" s="145"/>
      <c r="P1828" s="79"/>
      <c r="AS1828" s="146"/>
      <c r="AT1828" s="147"/>
      <c r="AU1828" s="148"/>
    </row>
    <row r="1829" spans="9:47">
      <c r="I1829" s="79"/>
      <c r="J1829" s="79"/>
      <c r="K1829" s="80"/>
      <c r="L1829" s="80"/>
      <c r="M1829" s="80"/>
      <c r="N1829" s="80"/>
      <c r="O1829" s="145"/>
      <c r="P1829" s="79"/>
      <c r="AS1829" s="146"/>
      <c r="AT1829" s="147"/>
      <c r="AU1829" s="148"/>
    </row>
    <row r="1830" spans="9:47">
      <c r="I1830" s="79"/>
      <c r="J1830" s="79"/>
      <c r="K1830" s="80"/>
      <c r="L1830" s="80"/>
      <c r="M1830" s="80"/>
      <c r="N1830" s="80"/>
      <c r="O1830" s="145"/>
      <c r="P1830" s="79"/>
      <c r="AS1830" s="146"/>
      <c r="AT1830" s="147"/>
      <c r="AU1830" s="148"/>
    </row>
    <row r="1831" spans="9:47">
      <c r="I1831" s="79"/>
      <c r="J1831" s="79"/>
      <c r="K1831" s="80"/>
      <c r="L1831" s="80"/>
      <c r="M1831" s="80"/>
      <c r="N1831" s="80"/>
      <c r="O1831" s="145"/>
      <c r="P1831" s="79"/>
      <c r="AS1831" s="146"/>
      <c r="AT1831" s="147"/>
      <c r="AU1831" s="148"/>
    </row>
    <row r="1832" spans="9:47">
      <c r="I1832" s="79"/>
      <c r="J1832" s="79"/>
      <c r="K1832" s="80"/>
      <c r="L1832" s="80"/>
      <c r="M1832" s="80"/>
      <c r="N1832" s="80"/>
      <c r="O1832" s="145"/>
      <c r="P1832" s="79"/>
      <c r="AS1832" s="146"/>
      <c r="AT1832" s="147"/>
      <c r="AU1832" s="148"/>
    </row>
    <row r="1833" spans="9:47">
      <c r="I1833" s="79"/>
      <c r="J1833" s="79"/>
      <c r="K1833" s="80"/>
      <c r="L1833" s="80"/>
      <c r="M1833" s="80"/>
      <c r="N1833" s="80"/>
      <c r="O1833" s="145"/>
      <c r="P1833" s="79"/>
      <c r="AS1833" s="146"/>
      <c r="AT1833" s="147"/>
      <c r="AU1833" s="148"/>
    </row>
    <row r="1834" spans="9:47">
      <c r="I1834" s="79"/>
      <c r="J1834" s="79"/>
      <c r="K1834" s="80"/>
      <c r="L1834" s="80"/>
      <c r="M1834" s="80"/>
      <c r="N1834" s="80"/>
      <c r="O1834" s="145"/>
      <c r="P1834" s="79"/>
      <c r="AS1834" s="146"/>
      <c r="AT1834" s="147"/>
      <c r="AU1834" s="148"/>
    </row>
    <row r="1835" spans="9:47">
      <c r="I1835" s="79"/>
      <c r="J1835" s="79"/>
      <c r="K1835" s="80"/>
      <c r="L1835" s="80"/>
      <c r="M1835" s="80"/>
      <c r="N1835" s="80"/>
      <c r="O1835" s="145"/>
      <c r="P1835" s="79"/>
      <c r="AS1835" s="146"/>
      <c r="AT1835" s="147"/>
      <c r="AU1835" s="148"/>
    </row>
    <row r="1836" spans="9:47">
      <c r="I1836" s="79"/>
      <c r="J1836" s="79"/>
      <c r="K1836" s="80"/>
      <c r="L1836" s="80"/>
      <c r="M1836" s="80"/>
      <c r="N1836" s="80"/>
      <c r="O1836" s="145"/>
      <c r="P1836" s="79"/>
      <c r="AS1836" s="146"/>
      <c r="AT1836" s="147"/>
      <c r="AU1836" s="148"/>
    </row>
    <row r="1837" spans="9:47">
      <c r="I1837" s="79"/>
      <c r="J1837" s="79"/>
      <c r="K1837" s="80"/>
      <c r="L1837" s="80"/>
      <c r="M1837" s="80"/>
      <c r="N1837" s="80"/>
      <c r="O1837" s="145"/>
      <c r="P1837" s="79"/>
      <c r="AS1837" s="146"/>
      <c r="AT1837" s="147"/>
      <c r="AU1837" s="148"/>
    </row>
    <row r="1838" spans="9:47">
      <c r="I1838" s="79"/>
      <c r="J1838" s="79"/>
      <c r="K1838" s="80"/>
      <c r="L1838" s="80"/>
      <c r="M1838" s="80"/>
      <c r="N1838" s="80"/>
      <c r="O1838" s="145"/>
      <c r="P1838" s="79"/>
      <c r="AS1838" s="146"/>
      <c r="AT1838" s="147"/>
      <c r="AU1838" s="148"/>
    </row>
    <row r="1839" spans="9:47">
      <c r="I1839" s="79"/>
      <c r="J1839" s="79"/>
      <c r="K1839" s="80"/>
      <c r="L1839" s="80"/>
      <c r="M1839" s="80"/>
      <c r="N1839" s="80"/>
      <c r="O1839" s="145"/>
      <c r="P1839" s="79"/>
      <c r="AS1839" s="146"/>
      <c r="AT1839" s="147"/>
      <c r="AU1839" s="148"/>
    </row>
    <row r="1840" spans="9:47">
      <c r="I1840" s="79"/>
      <c r="J1840" s="79"/>
      <c r="K1840" s="80"/>
      <c r="L1840" s="80"/>
      <c r="M1840" s="80"/>
      <c r="N1840" s="80"/>
      <c r="O1840" s="145"/>
      <c r="P1840" s="79"/>
      <c r="AS1840" s="146"/>
      <c r="AT1840" s="147"/>
      <c r="AU1840" s="148"/>
    </row>
    <row r="1841" spans="9:47">
      <c r="I1841" s="79"/>
      <c r="J1841" s="79"/>
      <c r="K1841" s="80"/>
      <c r="L1841" s="80"/>
      <c r="M1841" s="80"/>
      <c r="N1841" s="80"/>
      <c r="O1841" s="145"/>
      <c r="P1841" s="79"/>
      <c r="AS1841" s="146"/>
      <c r="AT1841" s="147"/>
      <c r="AU1841" s="148"/>
    </row>
    <row r="1842" spans="9:47">
      <c r="I1842" s="79"/>
      <c r="J1842" s="79"/>
      <c r="K1842" s="80"/>
      <c r="L1842" s="80"/>
      <c r="M1842" s="80"/>
      <c r="N1842" s="80"/>
      <c r="O1842" s="145"/>
      <c r="P1842" s="79"/>
      <c r="AS1842" s="146"/>
      <c r="AT1842" s="147"/>
      <c r="AU1842" s="148"/>
    </row>
    <row r="1843" spans="9:47">
      <c r="I1843" s="79"/>
      <c r="J1843" s="79"/>
      <c r="K1843" s="80"/>
      <c r="L1843" s="80"/>
      <c r="M1843" s="80"/>
      <c r="N1843" s="80"/>
      <c r="O1843" s="145"/>
      <c r="P1843" s="79"/>
      <c r="AS1843" s="146"/>
      <c r="AT1843" s="147"/>
      <c r="AU1843" s="148"/>
    </row>
    <row r="1844" spans="9:47">
      <c r="I1844" s="79"/>
      <c r="J1844" s="79"/>
      <c r="K1844" s="80"/>
      <c r="L1844" s="80"/>
      <c r="M1844" s="80"/>
      <c r="N1844" s="80"/>
      <c r="O1844" s="145"/>
      <c r="P1844" s="79"/>
      <c r="AS1844" s="146"/>
      <c r="AT1844" s="147"/>
      <c r="AU1844" s="148"/>
    </row>
    <row r="1845" spans="9:47">
      <c r="I1845" s="79"/>
      <c r="J1845" s="79"/>
      <c r="K1845" s="80"/>
      <c r="L1845" s="80"/>
      <c r="M1845" s="80"/>
      <c r="N1845" s="80"/>
      <c r="O1845" s="145"/>
      <c r="P1845" s="79"/>
      <c r="AS1845" s="146"/>
      <c r="AT1845" s="147"/>
      <c r="AU1845" s="148"/>
    </row>
    <row r="1846" spans="9:47">
      <c r="I1846" s="79"/>
      <c r="J1846" s="79"/>
      <c r="K1846" s="80"/>
      <c r="L1846" s="80"/>
      <c r="M1846" s="80"/>
      <c r="N1846" s="80"/>
      <c r="O1846" s="145"/>
      <c r="P1846" s="79"/>
      <c r="AS1846" s="146"/>
      <c r="AT1846" s="147"/>
      <c r="AU1846" s="148"/>
    </row>
    <row r="1847" spans="9:47">
      <c r="I1847" s="79"/>
      <c r="J1847" s="79"/>
      <c r="K1847" s="80"/>
      <c r="L1847" s="80"/>
      <c r="M1847" s="80"/>
      <c r="N1847" s="80"/>
      <c r="O1847" s="145"/>
      <c r="P1847" s="79"/>
      <c r="AS1847" s="146"/>
      <c r="AT1847" s="147"/>
      <c r="AU1847" s="148"/>
    </row>
    <row r="1848" spans="9:47">
      <c r="I1848" s="79"/>
      <c r="J1848" s="79"/>
      <c r="K1848" s="80"/>
      <c r="L1848" s="80"/>
      <c r="M1848" s="80"/>
      <c r="N1848" s="80"/>
      <c r="O1848" s="145"/>
      <c r="P1848" s="79"/>
      <c r="AS1848" s="146"/>
      <c r="AT1848" s="147"/>
      <c r="AU1848" s="148"/>
    </row>
    <row r="1849" spans="9:47">
      <c r="I1849" s="79"/>
      <c r="J1849" s="79"/>
      <c r="K1849" s="80"/>
      <c r="L1849" s="80"/>
      <c r="M1849" s="80"/>
      <c r="N1849" s="80"/>
      <c r="O1849" s="145"/>
      <c r="P1849" s="79"/>
      <c r="AS1849" s="146"/>
      <c r="AT1849" s="147"/>
      <c r="AU1849" s="148"/>
    </row>
    <row r="1850" spans="9:47">
      <c r="I1850" s="79"/>
      <c r="J1850" s="79"/>
      <c r="K1850" s="80"/>
      <c r="L1850" s="80"/>
      <c r="M1850" s="80"/>
      <c r="N1850" s="80"/>
      <c r="O1850" s="145"/>
      <c r="P1850" s="79"/>
      <c r="AS1850" s="146"/>
      <c r="AT1850" s="147"/>
      <c r="AU1850" s="148"/>
    </row>
    <row r="1851" spans="9:47">
      <c r="I1851" s="79"/>
      <c r="J1851" s="79"/>
      <c r="K1851" s="80"/>
      <c r="L1851" s="80"/>
      <c r="M1851" s="80"/>
      <c r="N1851" s="80"/>
      <c r="O1851" s="145"/>
      <c r="P1851" s="79"/>
      <c r="AS1851" s="146"/>
      <c r="AT1851" s="147"/>
      <c r="AU1851" s="148"/>
    </row>
    <row r="1852" spans="9:47">
      <c r="I1852" s="79"/>
      <c r="J1852" s="79"/>
      <c r="K1852" s="80"/>
      <c r="L1852" s="80"/>
      <c r="M1852" s="80"/>
      <c r="N1852" s="80"/>
      <c r="O1852" s="145"/>
      <c r="P1852" s="79"/>
      <c r="AS1852" s="146"/>
      <c r="AT1852" s="147"/>
      <c r="AU1852" s="148"/>
    </row>
    <row r="1853" spans="9:47">
      <c r="I1853" s="79"/>
      <c r="J1853" s="79"/>
      <c r="K1853" s="80"/>
      <c r="L1853" s="80"/>
      <c r="M1853" s="80"/>
      <c r="N1853" s="80"/>
      <c r="O1853" s="145"/>
      <c r="P1853" s="79"/>
      <c r="AS1853" s="146"/>
      <c r="AT1853" s="147"/>
      <c r="AU1853" s="148"/>
    </row>
    <row r="1854" spans="9:47">
      <c r="I1854" s="79"/>
      <c r="J1854" s="79"/>
      <c r="K1854" s="80"/>
      <c r="L1854" s="80"/>
      <c r="M1854" s="80"/>
      <c r="N1854" s="80"/>
      <c r="O1854" s="145"/>
      <c r="P1854" s="79"/>
      <c r="AS1854" s="146"/>
      <c r="AT1854" s="147"/>
      <c r="AU1854" s="148"/>
    </row>
    <row r="1855" spans="9:47">
      <c r="I1855" s="79"/>
      <c r="J1855" s="79"/>
      <c r="K1855" s="80"/>
      <c r="L1855" s="80"/>
      <c r="M1855" s="80"/>
      <c r="N1855" s="80"/>
      <c r="O1855" s="145"/>
      <c r="P1855" s="79"/>
      <c r="AS1855" s="146"/>
      <c r="AT1855" s="147"/>
      <c r="AU1855" s="148"/>
    </row>
    <row r="1856" spans="9:47">
      <c r="I1856" s="79"/>
      <c r="J1856" s="79"/>
      <c r="K1856" s="80"/>
      <c r="L1856" s="80"/>
      <c r="M1856" s="80"/>
      <c r="N1856" s="80"/>
      <c r="O1856" s="145"/>
      <c r="P1856" s="79"/>
      <c r="AS1856" s="146"/>
      <c r="AT1856" s="147"/>
      <c r="AU1856" s="148"/>
    </row>
    <row r="1857" spans="9:47">
      <c r="I1857" s="79"/>
      <c r="J1857" s="79"/>
      <c r="K1857" s="80"/>
      <c r="L1857" s="80"/>
      <c r="M1857" s="80"/>
      <c r="N1857" s="80"/>
      <c r="O1857" s="145"/>
      <c r="P1857" s="79"/>
      <c r="AS1857" s="146"/>
      <c r="AT1857" s="147"/>
      <c r="AU1857" s="148"/>
    </row>
    <row r="1858" spans="9:47">
      <c r="I1858" s="79"/>
      <c r="J1858" s="79"/>
      <c r="K1858" s="80"/>
      <c r="L1858" s="80"/>
      <c r="M1858" s="80"/>
      <c r="N1858" s="80"/>
      <c r="O1858" s="145"/>
      <c r="P1858" s="79"/>
      <c r="AS1858" s="146"/>
      <c r="AT1858" s="147"/>
      <c r="AU1858" s="148"/>
    </row>
    <row r="1859" spans="9:47">
      <c r="I1859" s="79"/>
      <c r="J1859" s="79"/>
      <c r="K1859" s="80"/>
      <c r="L1859" s="80"/>
      <c r="M1859" s="80"/>
      <c r="N1859" s="80"/>
      <c r="O1859" s="145"/>
      <c r="P1859" s="79"/>
      <c r="AS1859" s="146"/>
      <c r="AT1859" s="147"/>
      <c r="AU1859" s="148"/>
    </row>
    <row r="1860" spans="9:47">
      <c r="I1860" s="79"/>
      <c r="J1860" s="79"/>
      <c r="K1860" s="80"/>
      <c r="L1860" s="80"/>
      <c r="M1860" s="80"/>
      <c r="N1860" s="80"/>
      <c r="O1860" s="145"/>
      <c r="P1860" s="79"/>
    </row>
    <row r="1861" spans="9:47">
      <c r="I1861" s="79"/>
      <c r="J1861" s="79"/>
      <c r="K1861" s="80"/>
      <c r="L1861" s="80"/>
      <c r="M1861" s="80"/>
      <c r="N1861" s="80"/>
      <c r="O1861" s="145"/>
      <c r="P1861" s="79"/>
    </row>
    <row r="1862" spans="9:47">
      <c r="I1862" s="79"/>
      <c r="J1862" s="79"/>
      <c r="K1862" s="80"/>
      <c r="L1862" s="80"/>
      <c r="M1862" s="80"/>
      <c r="N1862" s="80"/>
      <c r="O1862" s="145"/>
      <c r="P1862" s="79"/>
    </row>
    <row r="1863" spans="9:47">
      <c r="I1863" s="79"/>
      <c r="J1863" s="79"/>
      <c r="K1863" s="80"/>
      <c r="L1863" s="80"/>
      <c r="M1863" s="80"/>
      <c r="N1863" s="80"/>
      <c r="O1863" s="145"/>
      <c r="P1863" s="79"/>
    </row>
    <row r="1864" spans="9:47">
      <c r="I1864" s="79"/>
      <c r="J1864" s="79"/>
      <c r="K1864" s="80"/>
      <c r="L1864" s="80"/>
      <c r="M1864" s="80"/>
      <c r="N1864" s="80"/>
      <c r="O1864" s="145"/>
      <c r="P1864" s="79"/>
    </row>
    <row r="1865" spans="9:47">
      <c r="I1865" s="79"/>
      <c r="J1865" s="79"/>
      <c r="K1865" s="80"/>
      <c r="L1865" s="80"/>
      <c r="M1865" s="80"/>
      <c r="N1865" s="80"/>
      <c r="O1865" s="145"/>
      <c r="P1865" s="79"/>
    </row>
    <row r="1866" spans="9:47">
      <c r="I1866" s="79"/>
      <c r="J1866" s="79"/>
      <c r="K1866" s="80"/>
      <c r="L1866" s="80"/>
      <c r="M1866" s="80"/>
      <c r="N1866" s="80"/>
      <c r="O1866" s="145"/>
      <c r="P1866" s="79"/>
    </row>
    <row r="1867" spans="9:47">
      <c r="I1867" s="79"/>
      <c r="J1867" s="79"/>
      <c r="K1867" s="80"/>
      <c r="L1867" s="80"/>
      <c r="M1867" s="80"/>
      <c r="N1867" s="80"/>
      <c r="O1867" s="145"/>
      <c r="P1867" s="79"/>
    </row>
    <row r="1868" spans="9:47">
      <c r="I1868" s="79"/>
      <c r="J1868" s="79"/>
      <c r="K1868" s="80"/>
      <c r="L1868" s="80"/>
      <c r="M1868" s="80"/>
      <c r="N1868" s="80"/>
      <c r="O1868" s="145"/>
      <c r="P1868" s="79"/>
    </row>
    <row r="1869" spans="9:47">
      <c r="I1869" s="79"/>
      <c r="J1869" s="79"/>
      <c r="K1869" s="80"/>
      <c r="L1869" s="80"/>
      <c r="M1869" s="80"/>
      <c r="N1869" s="80"/>
      <c r="O1869" s="145"/>
      <c r="P1869" s="79"/>
    </row>
    <row r="1870" spans="9:47">
      <c r="I1870" s="79"/>
      <c r="J1870" s="79"/>
      <c r="K1870" s="80"/>
      <c r="L1870" s="80"/>
      <c r="M1870" s="80"/>
      <c r="N1870" s="80"/>
      <c r="O1870" s="145"/>
      <c r="P1870" s="79"/>
    </row>
    <row r="1871" spans="9:47">
      <c r="I1871" s="79"/>
      <c r="J1871" s="79"/>
      <c r="K1871" s="80"/>
      <c r="L1871" s="80"/>
      <c r="M1871" s="80"/>
      <c r="N1871" s="80"/>
      <c r="O1871" s="145"/>
      <c r="P1871" s="79"/>
    </row>
    <row r="1872" spans="9:47">
      <c r="I1872" s="79"/>
      <c r="J1872" s="79"/>
      <c r="K1872" s="80"/>
      <c r="L1872" s="80"/>
      <c r="M1872" s="80"/>
      <c r="N1872" s="80"/>
      <c r="O1872" s="145"/>
      <c r="P1872" s="79"/>
    </row>
    <row r="1873" spans="9:16">
      <c r="I1873" s="79"/>
      <c r="J1873" s="79"/>
      <c r="K1873" s="80"/>
      <c r="L1873" s="80"/>
      <c r="M1873" s="80"/>
      <c r="N1873" s="80"/>
      <c r="O1873" s="145"/>
      <c r="P1873" s="79"/>
    </row>
    <row r="1874" spans="9:16">
      <c r="I1874" s="79"/>
      <c r="J1874" s="79"/>
      <c r="K1874" s="80"/>
      <c r="L1874" s="80"/>
      <c r="M1874" s="80"/>
      <c r="N1874" s="80"/>
      <c r="O1874" s="145"/>
      <c r="P1874" s="79"/>
    </row>
    <row r="1875" spans="9:16">
      <c r="I1875" s="79"/>
      <c r="J1875" s="79"/>
      <c r="K1875" s="80"/>
      <c r="L1875" s="80"/>
      <c r="M1875" s="80"/>
      <c r="N1875" s="80"/>
      <c r="O1875" s="145"/>
      <c r="P1875" s="79"/>
    </row>
    <row r="1876" spans="9:16">
      <c r="I1876" s="79"/>
      <c r="J1876" s="79"/>
      <c r="K1876" s="80"/>
      <c r="L1876" s="80"/>
      <c r="M1876" s="80"/>
      <c r="N1876" s="80"/>
      <c r="O1876" s="145"/>
      <c r="P1876" s="79"/>
    </row>
    <row r="1877" spans="9:16">
      <c r="I1877" s="79"/>
      <c r="J1877" s="79"/>
      <c r="K1877" s="80"/>
      <c r="L1877" s="80"/>
      <c r="M1877" s="80"/>
      <c r="N1877" s="80"/>
      <c r="O1877" s="145"/>
      <c r="P1877" s="79"/>
    </row>
    <row r="1878" spans="9:16">
      <c r="I1878" s="79"/>
      <c r="J1878" s="79"/>
      <c r="K1878" s="80"/>
      <c r="L1878" s="80"/>
      <c r="M1878" s="80"/>
      <c r="N1878" s="80"/>
      <c r="O1878" s="145"/>
      <c r="P1878" s="79"/>
    </row>
    <row r="1879" spans="9:16">
      <c r="I1879" s="79"/>
      <c r="J1879" s="79"/>
      <c r="K1879" s="80"/>
      <c r="L1879" s="80"/>
      <c r="M1879" s="80"/>
      <c r="N1879" s="80"/>
      <c r="O1879" s="145"/>
      <c r="P1879" s="79"/>
    </row>
    <row r="1880" spans="9:16">
      <c r="I1880" s="79"/>
      <c r="J1880" s="79"/>
      <c r="K1880" s="80"/>
      <c r="L1880" s="80"/>
      <c r="M1880" s="80"/>
      <c r="N1880" s="80"/>
      <c r="O1880" s="145"/>
      <c r="P1880" s="79"/>
    </row>
    <row r="1881" spans="9:16">
      <c r="I1881" s="79"/>
      <c r="J1881" s="79"/>
      <c r="K1881" s="80"/>
      <c r="L1881" s="80"/>
      <c r="M1881" s="80"/>
      <c r="N1881" s="80"/>
      <c r="O1881" s="145"/>
      <c r="P1881" s="79"/>
    </row>
    <row r="1882" spans="9:16">
      <c r="I1882" s="79"/>
      <c r="J1882" s="79"/>
      <c r="K1882" s="80"/>
      <c r="L1882" s="80"/>
      <c r="M1882" s="80"/>
      <c r="N1882" s="80"/>
      <c r="O1882" s="145"/>
      <c r="P1882" s="79"/>
    </row>
    <row r="1883" spans="9:16">
      <c r="I1883" s="79"/>
      <c r="J1883" s="79"/>
      <c r="K1883" s="80"/>
      <c r="L1883" s="80"/>
      <c r="M1883" s="80"/>
      <c r="N1883" s="80"/>
      <c r="O1883" s="145"/>
      <c r="P1883" s="79"/>
    </row>
    <row r="1884" spans="9:16">
      <c r="I1884" s="79"/>
      <c r="J1884" s="79"/>
      <c r="K1884" s="80"/>
      <c r="L1884" s="80"/>
      <c r="M1884" s="80"/>
      <c r="N1884" s="80"/>
      <c r="O1884" s="145"/>
      <c r="P1884" s="79"/>
    </row>
    <row r="1885" spans="9:16">
      <c r="I1885" s="79"/>
      <c r="J1885" s="79"/>
      <c r="K1885" s="80"/>
      <c r="L1885" s="80"/>
      <c r="M1885" s="80"/>
      <c r="N1885" s="80"/>
      <c r="O1885" s="145"/>
      <c r="P1885" s="79"/>
    </row>
    <row r="1886" spans="9:16">
      <c r="I1886" s="79"/>
      <c r="J1886" s="79"/>
      <c r="K1886" s="80"/>
      <c r="L1886" s="80"/>
      <c r="M1886" s="80"/>
      <c r="N1886" s="80"/>
      <c r="O1886" s="145"/>
      <c r="P1886" s="79"/>
    </row>
    <row r="1887" spans="9:16">
      <c r="I1887" s="79"/>
      <c r="J1887" s="79"/>
      <c r="K1887" s="80"/>
      <c r="L1887" s="80"/>
      <c r="M1887" s="80"/>
      <c r="N1887" s="80"/>
      <c r="O1887" s="145"/>
      <c r="P1887" s="79"/>
    </row>
    <row r="1888" spans="9:16">
      <c r="I1888" s="79"/>
      <c r="J1888" s="79"/>
      <c r="K1888" s="80"/>
      <c r="L1888" s="80"/>
      <c r="M1888" s="80"/>
      <c r="N1888" s="80"/>
      <c r="O1888" s="145"/>
      <c r="P1888" s="79"/>
    </row>
    <row r="1889" spans="9:16">
      <c r="I1889" s="79"/>
      <c r="J1889" s="79"/>
      <c r="K1889" s="80"/>
      <c r="L1889" s="80"/>
      <c r="M1889" s="80"/>
      <c r="N1889" s="80"/>
      <c r="O1889" s="145"/>
      <c r="P1889" s="79"/>
    </row>
    <row r="1890" spans="9:16">
      <c r="I1890" s="79"/>
      <c r="J1890" s="79"/>
      <c r="K1890" s="80"/>
      <c r="L1890" s="80"/>
      <c r="M1890" s="80"/>
      <c r="N1890" s="80"/>
      <c r="O1890" s="145"/>
      <c r="P1890" s="79"/>
    </row>
    <row r="1891" spans="9:16">
      <c r="I1891" s="79"/>
      <c r="J1891" s="79"/>
      <c r="K1891" s="80"/>
      <c r="L1891" s="80"/>
      <c r="M1891" s="80"/>
      <c r="N1891" s="80"/>
      <c r="O1891" s="145"/>
      <c r="P1891" s="79"/>
    </row>
    <row r="1892" spans="9:16">
      <c r="I1892" s="79"/>
      <c r="J1892" s="79"/>
      <c r="K1892" s="80"/>
      <c r="L1892" s="80"/>
      <c r="M1892" s="80"/>
      <c r="N1892" s="80"/>
      <c r="O1892" s="145"/>
      <c r="P1892" s="79"/>
    </row>
    <row r="1893" spans="9:16">
      <c r="I1893" s="79"/>
      <c r="J1893" s="79"/>
      <c r="K1893" s="80"/>
      <c r="L1893" s="80"/>
      <c r="M1893" s="80"/>
      <c r="N1893" s="80"/>
      <c r="O1893" s="145"/>
      <c r="P1893" s="79"/>
    </row>
    <row r="1894" spans="9:16">
      <c r="I1894" s="79"/>
      <c r="J1894" s="79"/>
      <c r="K1894" s="80"/>
      <c r="L1894" s="80"/>
      <c r="M1894" s="80"/>
      <c r="N1894" s="80"/>
      <c r="O1894" s="145"/>
      <c r="P1894" s="79"/>
    </row>
    <row r="1895" spans="9:16">
      <c r="I1895" s="79"/>
      <c r="J1895" s="79"/>
      <c r="K1895" s="80"/>
      <c r="L1895" s="80"/>
      <c r="M1895" s="80"/>
      <c r="N1895" s="80"/>
      <c r="O1895" s="145"/>
      <c r="P1895" s="79"/>
    </row>
    <row r="1896" spans="9:16">
      <c r="I1896" s="79"/>
      <c r="J1896" s="79"/>
      <c r="K1896" s="80"/>
      <c r="L1896" s="80"/>
      <c r="M1896" s="80"/>
      <c r="N1896" s="80"/>
      <c r="O1896" s="145"/>
      <c r="P1896" s="79"/>
    </row>
    <row r="1897" spans="9:16">
      <c r="I1897" s="79"/>
      <c r="J1897" s="79"/>
      <c r="K1897" s="80"/>
      <c r="L1897" s="80"/>
      <c r="M1897" s="80"/>
      <c r="N1897" s="80"/>
      <c r="O1897" s="145"/>
      <c r="P1897" s="79"/>
    </row>
    <row r="1898" spans="9:16">
      <c r="I1898" s="79"/>
      <c r="J1898" s="79"/>
      <c r="K1898" s="80"/>
      <c r="L1898" s="80"/>
      <c r="M1898" s="80"/>
      <c r="N1898" s="80"/>
      <c r="O1898" s="145"/>
      <c r="P1898" s="79"/>
    </row>
    <row r="1899" spans="9:16">
      <c r="I1899" s="79"/>
      <c r="J1899" s="79"/>
      <c r="K1899" s="80"/>
      <c r="L1899" s="80"/>
      <c r="M1899" s="80"/>
      <c r="N1899" s="80"/>
      <c r="O1899" s="145"/>
      <c r="P1899" s="79"/>
    </row>
    <row r="1900" spans="9:16">
      <c r="I1900" s="79"/>
      <c r="J1900" s="79"/>
      <c r="K1900" s="80"/>
      <c r="L1900" s="80"/>
      <c r="M1900" s="80"/>
      <c r="N1900" s="80"/>
      <c r="O1900" s="145"/>
      <c r="P1900" s="79"/>
    </row>
    <row r="1901" spans="9:16">
      <c r="I1901" s="79"/>
      <c r="J1901" s="79"/>
      <c r="K1901" s="80"/>
      <c r="L1901" s="80"/>
      <c r="M1901" s="80"/>
      <c r="N1901" s="80"/>
      <c r="O1901" s="145"/>
      <c r="P1901" s="79"/>
    </row>
    <row r="1902" spans="9:16">
      <c r="I1902" s="79"/>
      <c r="J1902" s="79"/>
      <c r="K1902" s="80"/>
      <c r="L1902" s="80"/>
      <c r="M1902" s="80"/>
      <c r="N1902" s="80"/>
      <c r="O1902" s="145"/>
      <c r="P1902" s="79"/>
    </row>
    <row r="1903" spans="9:16">
      <c r="I1903" s="79"/>
      <c r="J1903" s="79"/>
      <c r="K1903" s="80"/>
      <c r="L1903" s="80"/>
      <c r="M1903" s="80"/>
      <c r="N1903" s="80"/>
      <c r="O1903" s="145"/>
      <c r="P1903" s="79"/>
    </row>
    <row r="1904" spans="9:16">
      <c r="I1904" s="79"/>
      <c r="J1904" s="79"/>
      <c r="K1904" s="80"/>
      <c r="L1904" s="80"/>
      <c r="M1904" s="80"/>
      <c r="N1904" s="80"/>
      <c r="O1904" s="145"/>
      <c r="P1904" s="79"/>
    </row>
    <row r="1905" spans="9:16">
      <c r="I1905" s="79"/>
      <c r="J1905" s="79"/>
      <c r="K1905" s="80"/>
      <c r="L1905" s="80"/>
      <c r="M1905" s="80"/>
      <c r="N1905" s="80"/>
      <c r="O1905" s="145"/>
      <c r="P1905" s="79"/>
    </row>
    <row r="1906" spans="9:16">
      <c r="I1906" s="79"/>
      <c r="J1906" s="79"/>
      <c r="K1906" s="80"/>
      <c r="L1906" s="80"/>
      <c r="M1906" s="80"/>
      <c r="N1906" s="80"/>
      <c r="O1906" s="145"/>
      <c r="P1906" s="79"/>
    </row>
    <row r="1907" spans="9:16">
      <c r="I1907" s="79"/>
      <c r="J1907" s="79"/>
      <c r="K1907" s="80"/>
      <c r="L1907" s="80"/>
      <c r="M1907" s="80"/>
      <c r="N1907" s="80"/>
      <c r="O1907" s="145"/>
      <c r="P1907" s="79"/>
    </row>
    <row r="1908" spans="9:16">
      <c r="I1908" s="79"/>
      <c r="J1908" s="79"/>
      <c r="K1908" s="80"/>
      <c r="L1908" s="80"/>
      <c r="M1908" s="80"/>
      <c r="N1908" s="80"/>
      <c r="O1908" s="145"/>
      <c r="P1908" s="79"/>
    </row>
    <row r="1909" spans="9:16">
      <c r="I1909" s="79"/>
      <c r="J1909" s="79"/>
      <c r="K1909" s="80"/>
      <c r="L1909" s="80"/>
      <c r="M1909" s="80"/>
      <c r="N1909" s="80"/>
      <c r="O1909" s="145"/>
      <c r="P1909" s="79"/>
    </row>
    <row r="1910" spans="9:16">
      <c r="I1910" s="79"/>
      <c r="J1910" s="79"/>
      <c r="K1910" s="80"/>
      <c r="L1910" s="80"/>
      <c r="M1910" s="80"/>
      <c r="N1910" s="80"/>
      <c r="O1910" s="145"/>
      <c r="P1910" s="79"/>
    </row>
    <row r="1911" spans="9:16">
      <c r="I1911" s="79"/>
      <c r="J1911" s="79"/>
      <c r="K1911" s="80"/>
      <c r="L1911" s="80"/>
      <c r="M1911" s="80"/>
      <c r="N1911" s="80"/>
      <c r="O1911" s="145"/>
      <c r="P1911" s="79"/>
    </row>
    <row r="1912" spans="9:16">
      <c r="I1912" s="79"/>
      <c r="J1912" s="79"/>
      <c r="K1912" s="80"/>
      <c r="L1912" s="80"/>
      <c r="M1912" s="80"/>
      <c r="N1912" s="80"/>
      <c r="O1912" s="145"/>
      <c r="P1912" s="79"/>
    </row>
    <row r="1913" spans="9:16">
      <c r="I1913" s="79"/>
      <c r="J1913" s="79"/>
      <c r="K1913" s="80"/>
      <c r="L1913" s="80"/>
      <c r="M1913" s="80"/>
      <c r="N1913" s="80"/>
      <c r="O1913" s="145"/>
      <c r="P1913" s="79"/>
    </row>
    <row r="1914" spans="9:16">
      <c r="I1914" s="79"/>
      <c r="J1914" s="79"/>
      <c r="K1914" s="80"/>
      <c r="L1914" s="80"/>
      <c r="M1914" s="80"/>
      <c r="N1914" s="80"/>
      <c r="O1914" s="145"/>
      <c r="P1914" s="79"/>
    </row>
    <row r="1915" spans="9:16">
      <c r="I1915" s="79"/>
      <c r="J1915" s="79"/>
      <c r="K1915" s="80"/>
      <c r="L1915" s="80"/>
      <c r="M1915" s="80"/>
      <c r="N1915" s="80"/>
      <c r="O1915" s="145"/>
      <c r="P1915" s="79"/>
    </row>
    <row r="1916" spans="9:16">
      <c r="I1916" s="79"/>
      <c r="J1916" s="79"/>
      <c r="K1916" s="80"/>
      <c r="L1916" s="80"/>
      <c r="M1916" s="80"/>
      <c r="N1916" s="80"/>
      <c r="O1916" s="145"/>
      <c r="P1916" s="79"/>
    </row>
    <row r="1917" spans="9:16">
      <c r="I1917" s="79"/>
      <c r="J1917" s="79"/>
      <c r="K1917" s="80"/>
      <c r="L1917" s="80"/>
      <c r="M1917" s="80"/>
      <c r="N1917" s="80"/>
      <c r="O1917" s="145"/>
      <c r="P1917" s="79"/>
    </row>
    <row r="1918" spans="9:16">
      <c r="I1918" s="79"/>
      <c r="J1918" s="79"/>
      <c r="K1918" s="80"/>
      <c r="L1918" s="80"/>
      <c r="M1918" s="80"/>
      <c r="N1918" s="80"/>
      <c r="O1918" s="145"/>
      <c r="P1918" s="79"/>
    </row>
    <row r="1919" spans="9:16">
      <c r="I1919" s="79"/>
      <c r="J1919" s="79"/>
      <c r="K1919" s="80"/>
      <c r="L1919" s="80"/>
      <c r="M1919" s="80"/>
      <c r="N1919" s="80"/>
      <c r="O1919" s="145"/>
      <c r="P1919" s="79"/>
    </row>
    <row r="1920" spans="9:16">
      <c r="I1920" s="79"/>
      <c r="J1920" s="79"/>
      <c r="K1920" s="80"/>
      <c r="L1920" s="80"/>
      <c r="M1920" s="80"/>
      <c r="N1920" s="80"/>
      <c r="O1920" s="145"/>
      <c r="P1920" s="79"/>
    </row>
    <row r="1921" spans="9:16">
      <c r="I1921" s="79"/>
      <c r="J1921" s="79"/>
      <c r="K1921" s="80"/>
      <c r="L1921" s="80"/>
      <c r="M1921" s="80"/>
      <c r="N1921" s="80"/>
      <c r="O1921" s="145"/>
      <c r="P1921" s="79"/>
    </row>
    <row r="1922" spans="9:16">
      <c r="I1922" s="79"/>
      <c r="J1922" s="79"/>
      <c r="K1922" s="80"/>
      <c r="L1922" s="80"/>
      <c r="M1922" s="80"/>
      <c r="N1922" s="80"/>
      <c r="O1922" s="145"/>
      <c r="P1922" s="79"/>
    </row>
    <row r="1923" spans="9:16">
      <c r="I1923" s="79"/>
      <c r="J1923" s="79"/>
      <c r="K1923" s="80"/>
      <c r="L1923" s="80"/>
      <c r="M1923" s="80"/>
      <c r="N1923" s="80"/>
      <c r="O1923" s="145"/>
      <c r="P1923" s="79"/>
    </row>
    <row r="1924" spans="9:16">
      <c r="I1924" s="79"/>
      <c r="J1924" s="79"/>
      <c r="K1924" s="80"/>
      <c r="L1924" s="80"/>
      <c r="M1924" s="80"/>
      <c r="N1924" s="80"/>
      <c r="O1924" s="145"/>
      <c r="P1924" s="79"/>
    </row>
    <row r="1925" spans="9:16">
      <c r="I1925" s="79"/>
      <c r="J1925" s="79"/>
      <c r="K1925" s="80"/>
      <c r="L1925" s="80"/>
      <c r="M1925" s="80"/>
      <c r="N1925" s="80"/>
      <c r="O1925" s="145"/>
      <c r="P1925" s="79"/>
    </row>
    <row r="1926" spans="9:16">
      <c r="I1926" s="79"/>
      <c r="J1926" s="79"/>
      <c r="K1926" s="80"/>
      <c r="L1926" s="80"/>
      <c r="M1926" s="80"/>
      <c r="N1926" s="80"/>
      <c r="O1926" s="145"/>
      <c r="P1926" s="79"/>
    </row>
    <row r="1927" spans="9:16">
      <c r="I1927" s="79"/>
      <c r="J1927" s="79"/>
      <c r="K1927" s="80"/>
      <c r="L1927" s="80"/>
      <c r="M1927" s="80"/>
      <c r="N1927" s="80"/>
      <c r="O1927" s="145"/>
      <c r="P1927" s="79"/>
    </row>
    <row r="1928" spans="9:16">
      <c r="I1928" s="79"/>
      <c r="J1928" s="79"/>
      <c r="K1928" s="80"/>
      <c r="L1928" s="80"/>
      <c r="M1928" s="80"/>
      <c r="N1928" s="80"/>
      <c r="O1928" s="145"/>
      <c r="P1928" s="79"/>
    </row>
    <row r="1929" spans="9:16">
      <c r="I1929" s="79"/>
      <c r="J1929" s="79"/>
      <c r="K1929" s="80"/>
      <c r="L1929" s="80"/>
      <c r="M1929" s="80"/>
      <c r="N1929" s="80"/>
      <c r="O1929" s="145"/>
      <c r="P1929" s="79"/>
    </row>
    <row r="1930" spans="9:16">
      <c r="I1930" s="79"/>
      <c r="J1930" s="79"/>
      <c r="K1930" s="80"/>
      <c r="L1930" s="80"/>
      <c r="M1930" s="80"/>
      <c r="N1930" s="80"/>
      <c r="O1930" s="145"/>
      <c r="P1930" s="79"/>
    </row>
    <row r="1931" spans="9:16">
      <c r="I1931" s="79"/>
      <c r="J1931" s="79"/>
      <c r="K1931" s="80"/>
      <c r="L1931" s="80"/>
      <c r="M1931" s="80"/>
      <c r="N1931" s="80"/>
      <c r="O1931" s="145"/>
      <c r="P1931" s="79"/>
    </row>
    <row r="1932" spans="9:16">
      <c r="I1932" s="79"/>
      <c r="J1932" s="79"/>
      <c r="K1932" s="80"/>
      <c r="L1932" s="80"/>
      <c r="M1932" s="80"/>
      <c r="N1932" s="80"/>
      <c r="O1932" s="145"/>
      <c r="P1932" s="79"/>
    </row>
    <row r="1933" spans="9:16">
      <c r="I1933" s="79"/>
      <c r="J1933" s="79"/>
      <c r="K1933" s="80"/>
      <c r="L1933" s="80"/>
      <c r="M1933" s="80"/>
      <c r="N1933" s="80"/>
      <c r="O1933" s="145"/>
      <c r="P1933" s="79"/>
    </row>
    <row r="1934" spans="9:16">
      <c r="I1934" s="79"/>
      <c r="J1934" s="79"/>
      <c r="K1934" s="80"/>
      <c r="L1934" s="80"/>
      <c r="M1934" s="80"/>
      <c r="N1934" s="80"/>
      <c r="O1934" s="145"/>
      <c r="P1934" s="79"/>
    </row>
    <row r="1935" spans="9:16">
      <c r="I1935" s="79"/>
      <c r="J1935" s="79"/>
      <c r="K1935" s="80"/>
      <c r="L1935" s="80"/>
      <c r="M1935" s="80"/>
      <c r="N1935" s="80"/>
      <c r="O1935" s="145"/>
      <c r="P1935" s="79"/>
    </row>
    <row r="1936" spans="9:16">
      <c r="I1936" s="79"/>
      <c r="J1936" s="79"/>
      <c r="K1936" s="80"/>
      <c r="L1936" s="80"/>
      <c r="M1936" s="80"/>
      <c r="N1936" s="80"/>
      <c r="O1936" s="145"/>
      <c r="P1936" s="79"/>
    </row>
    <row r="1937" spans="9:16">
      <c r="I1937" s="79"/>
      <c r="J1937" s="79"/>
      <c r="K1937" s="80"/>
      <c r="L1937" s="80"/>
      <c r="M1937" s="80"/>
      <c r="N1937" s="80"/>
      <c r="O1937" s="145"/>
      <c r="P1937" s="79"/>
    </row>
    <row r="1938" spans="9:16">
      <c r="I1938" s="79"/>
      <c r="J1938" s="79"/>
      <c r="K1938" s="80"/>
      <c r="L1938" s="80"/>
      <c r="M1938" s="80"/>
      <c r="N1938" s="80"/>
      <c r="O1938" s="145"/>
      <c r="P1938" s="79"/>
    </row>
    <row r="1939" spans="9:16">
      <c r="I1939" s="79"/>
      <c r="J1939" s="79"/>
      <c r="K1939" s="80"/>
      <c r="L1939" s="80"/>
      <c r="M1939" s="80"/>
      <c r="N1939" s="80"/>
      <c r="O1939" s="145"/>
      <c r="P1939" s="79"/>
    </row>
    <row r="1940" spans="9:16">
      <c r="I1940" s="79"/>
      <c r="J1940" s="79"/>
      <c r="K1940" s="80"/>
      <c r="L1940" s="80"/>
      <c r="M1940" s="80"/>
      <c r="N1940" s="80"/>
      <c r="O1940" s="145"/>
      <c r="P1940" s="79"/>
    </row>
    <row r="1941" spans="9:16">
      <c r="I1941" s="79"/>
      <c r="J1941" s="79"/>
      <c r="K1941" s="80"/>
      <c r="L1941" s="80"/>
      <c r="M1941" s="80"/>
      <c r="N1941" s="80"/>
      <c r="O1941" s="145"/>
      <c r="P1941" s="79"/>
    </row>
    <row r="1942" spans="9:16">
      <c r="I1942" s="79"/>
      <c r="J1942" s="79"/>
      <c r="K1942" s="80"/>
      <c r="L1942" s="80"/>
      <c r="M1942" s="80"/>
      <c r="N1942" s="80"/>
      <c r="O1942" s="145"/>
      <c r="P1942" s="79"/>
    </row>
    <row r="1943" spans="9:16">
      <c r="I1943" s="79"/>
      <c r="J1943" s="79"/>
      <c r="K1943" s="80"/>
      <c r="L1943" s="80"/>
      <c r="M1943" s="80"/>
      <c r="N1943" s="80"/>
      <c r="O1943" s="145"/>
      <c r="P1943" s="79"/>
    </row>
    <row r="1944" spans="9:16">
      <c r="I1944" s="79"/>
      <c r="J1944" s="79"/>
      <c r="K1944" s="80"/>
      <c r="L1944" s="80"/>
      <c r="M1944" s="80"/>
      <c r="N1944" s="80"/>
      <c r="O1944" s="145"/>
      <c r="P1944" s="79"/>
    </row>
    <row r="1945" spans="9:16">
      <c r="I1945" s="79"/>
      <c r="J1945" s="79"/>
      <c r="K1945" s="80"/>
      <c r="L1945" s="80"/>
      <c r="M1945" s="80"/>
      <c r="N1945" s="80"/>
      <c r="O1945" s="145"/>
      <c r="P1945" s="79"/>
    </row>
    <row r="1946" spans="9:16">
      <c r="I1946" s="79"/>
      <c r="J1946" s="79"/>
      <c r="K1946" s="80"/>
      <c r="L1946" s="80"/>
      <c r="M1946" s="80"/>
      <c r="N1946" s="80"/>
      <c r="O1946" s="145"/>
      <c r="P1946" s="79"/>
    </row>
    <row r="1947" spans="9:16">
      <c r="I1947" s="79"/>
      <c r="J1947" s="79"/>
      <c r="K1947" s="80"/>
      <c r="L1947" s="80"/>
      <c r="M1947" s="80"/>
      <c r="N1947" s="80"/>
      <c r="O1947" s="145"/>
      <c r="P1947" s="79"/>
    </row>
    <row r="1948" spans="9:16">
      <c r="I1948" s="79"/>
      <c r="J1948" s="79"/>
      <c r="K1948" s="80"/>
      <c r="L1948" s="80"/>
      <c r="M1948" s="80"/>
      <c r="N1948" s="80"/>
      <c r="O1948" s="145"/>
      <c r="P1948" s="79"/>
    </row>
    <row r="1949" spans="9:16">
      <c r="I1949" s="79"/>
      <c r="J1949" s="79"/>
      <c r="K1949" s="80"/>
      <c r="L1949" s="80"/>
      <c r="M1949" s="80"/>
      <c r="N1949" s="80"/>
      <c r="O1949" s="145"/>
      <c r="P1949" s="79"/>
    </row>
    <row r="1950" spans="9:16">
      <c r="I1950" s="79"/>
      <c r="J1950" s="79"/>
      <c r="K1950" s="80"/>
      <c r="L1950" s="80"/>
      <c r="M1950" s="80"/>
      <c r="N1950" s="80"/>
      <c r="O1950" s="145"/>
      <c r="P1950" s="79"/>
    </row>
    <row r="1951" spans="9:16">
      <c r="I1951" s="79"/>
      <c r="J1951" s="79"/>
      <c r="K1951" s="80"/>
      <c r="L1951" s="80"/>
      <c r="M1951" s="80"/>
      <c r="N1951" s="80"/>
      <c r="O1951" s="145"/>
      <c r="P1951" s="79"/>
    </row>
    <row r="1952" spans="9:16">
      <c r="I1952" s="79"/>
      <c r="J1952" s="79"/>
      <c r="K1952" s="80"/>
      <c r="L1952" s="80"/>
      <c r="M1952" s="80"/>
      <c r="N1952" s="80"/>
      <c r="O1952" s="145"/>
      <c r="P1952" s="79"/>
    </row>
    <row r="1953" spans="9:16">
      <c r="I1953" s="79"/>
      <c r="J1953" s="79"/>
      <c r="K1953" s="80"/>
      <c r="L1953" s="80"/>
      <c r="M1953" s="80"/>
      <c r="N1953" s="80"/>
      <c r="O1953" s="145"/>
      <c r="P1953" s="79"/>
    </row>
    <row r="1954" spans="9:16">
      <c r="I1954" s="79"/>
      <c r="J1954" s="79"/>
      <c r="K1954" s="80"/>
      <c r="L1954" s="80"/>
      <c r="M1954" s="80"/>
      <c r="N1954" s="80"/>
      <c r="O1954" s="145"/>
      <c r="P1954" s="79"/>
    </row>
    <row r="1955" spans="9:16">
      <c r="I1955" s="79"/>
      <c r="J1955" s="79"/>
      <c r="K1955" s="80"/>
      <c r="L1955" s="80"/>
      <c r="M1955" s="80"/>
      <c r="N1955" s="80"/>
      <c r="O1955" s="145"/>
      <c r="P1955" s="79"/>
    </row>
    <row r="1956" spans="9:16">
      <c r="I1956" s="79"/>
      <c r="J1956" s="79"/>
      <c r="K1956" s="80"/>
      <c r="L1956" s="80"/>
      <c r="M1956" s="80"/>
      <c r="N1956" s="80"/>
      <c r="O1956" s="145"/>
      <c r="P1956" s="79"/>
    </row>
    <row r="1957" spans="9:16">
      <c r="I1957" s="79"/>
      <c r="J1957" s="79"/>
      <c r="K1957" s="80"/>
      <c r="L1957" s="80"/>
      <c r="M1957" s="80"/>
      <c r="N1957" s="80"/>
      <c r="O1957" s="145"/>
      <c r="P1957" s="79"/>
    </row>
    <row r="1958" spans="9:16">
      <c r="I1958" s="79"/>
      <c r="J1958" s="79"/>
      <c r="K1958" s="80"/>
      <c r="L1958" s="80"/>
      <c r="M1958" s="80"/>
      <c r="N1958" s="80"/>
      <c r="O1958" s="145"/>
      <c r="P1958" s="79"/>
    </row>
    <row r="1959" spans="9:16">
      <c r="I1959" s="79"/>
      <c r="J1959" s="79"/>
      <c r="K1959" s="80"/>
      <c r="L1959" s="80"/>
      <c r="M1959" s="80"/>
      <c r="N1959" s="80"/>
      <c r="O1959" s="145"/>
      <c r="P1959" s="79"/>
    </row>
    <row r="1960" spans="9:16">
      <c r="I1960" s="79"/>
      <c r="J1960" s="79"/>
      <c r="K1960" s="80"/>
      <c r="L1960" s="80"/>
      <c r="M1960" s="80"/>
      <c r="N1960" s="80"/>
      <c r="O1960" s="145"/>
      <c r="P1960" s="79"/>
    </row>
    <row r="1961" spans="9:16">
      <c r="I1961" s="79"/>
      <c r="J1961" s="79"/>
      <c r="K1961" s="80"/>
      <c r="L1961" s="80"/>
      <c r="M1961" s="80"/>
      <c r="N1961" s="80"/>
      <c r="O1961" s="145"/>
      <c r="P1961" s="79"/>
    </row>
    <row r="1962" spans="9:16">
      <c r="I1962" s="79"/>
      <c r="J1962" s="79"/>
      <c r="K1962" s="80"/>
      <c r="L1962" s="80"/>
      <c r="M1962" s="80"/>
      <c r="N1962" s="80"/>
      <c r="O1962" s="145"/>
      <c r="P1962" s="79"/>
    </row>
    <row r="1963" spans="9:16">
      <c r="I1963" s="79"/>
      <c r="J1963" s="79"/>
      <c r="K1963" s="80"/>
      <c r="L1963" s="80"/>
      <c r="M1963" s="80"/>
      <c r="N1963" s="80"/>
      <c r="O1963" s="145"/>
      <c r="P1963" s="79"/>
    </row>
    <row r="1964" spans="9:16">
      <c r="I1964" s="79"/>
      <c r="J1964" s="79"/>
      <c r="K1964" s="80"/>
      <c r="L1964" s="80"/>
      <c r="M1964" s="80"/>
      <c r="N1964" s="80"/>
      <c r="O1964" s="145"/>
      <c r="P1964" s="79"/>
    </row>
    <row r="1965" spans="9:16">
      <c r="I1965" s="79"/>
      <c r="J1965" s="79"/>
      <c r="K1965" s="80"/>
      <c r="L1965" s="80"/>
      <c r="M1965" s="80"/>
      <c r="N1965" s="80"/>
      <c r="O1965" s="145"/>
      <c r="P1965" s="79"/>
    </row>
    <row r="1966" spans="9:16">
      <c r="I1966" s="79"/>
      <c r="J1966" s="79"/>
      <c r="K1966" s="80"/>
      <c r="L1966" s="80"/>
      <c r="M1966" s="80"/>
      <c r="N1966" s="80"/>
      <c r="O1966" s="145"/>
      <c r="P1966" s="79"/>
    </row>
    <row r="1967" spans="9:16">
      <c r="I1967" s="79"/>
      <c r="J1967" s="79"/>
      <c r="K1967" s="80"/>
      <c r="L1967" s="80"/>
      <c r="M1967" s="80"/>
      <c r="N1967" s="80"/>
      <c r="O1967" s="145"/>
      <c r="P1967" s="79"/>
    </row>
    <row r="1968" spans="9:16">
      <c r="I1968" s="79"/>
      <c r="J1968" s="79"/>
      <c r="K1968" s="80"/>
      <c r="L1968" s="80"/>
      <c r="M1968" s="80"/>
      <c r="N1968" s="80"/>
      <c r="O1968" s="145"/>
      <c r="P1968" s="79"/>
    </row>
    <row r="1969" spans="9:16">
      <c r="I1969" s="79"/>
      <c r="J1969" s="79"/>
      <c r="K1969" s="80"/>
      <c r="L1969" s="80"/>
      <c r="M1969" s="80"/>
      <c r="N1969" s="80"/>
      <c r="O1969" s="145"/>
      <c r="P1969" s="79"/>
    </row>
    <row r="1970" spans="9:16">
      <c r="I1970" s="79"/>
      <c r="J1970" s="79"/>
      <c r="K1970" s="80"/>
      <c r="L1970" s="80"/>
      <c r="M1970" s="80"/>
      <c r="N1970" s="80"/>
      <c r="O1970" s="145"/>
      <c r="P1970" s="79"/>
    </row>
    <row r="1971" spans="9:16">
      <c r="I1971" s="79"/>
      <c r="J1971" s="79"/>
      <c r="K1971" s="80"/>
      <c r="L1971" s="80"/>
      <c r="M1971" s="80"/>
      <c r="N1971" s="80"/>
      <c r="O1971" s="145"/>
      <c r="P1971" s="79"/>
    </row>
    <row r="1972" spans="9:16">
      <c r="I1972" s="79"/>
      <c r="J1972" s="79"/>
      <c r="K1972" s="80"/>
      <c r="L1972" s="80"/>
      <c r="M1972" s="80"/>
      <c r="N1972" s="80"/>
      <c r="O1972" s="145"/>
      <c r="P1972" s="79"/>
    </row>
    <row r="1973" spans="9:16">
      <c r="I1973" s="79"/>
      <c r="J1973" s="79"/>
      <c r="K1973" s="80"/>
      <c r="L1973" s="80"/>
      <c r="M1973" s="80"/>
      <c r="N1973" s="80"/>
      <c r="O1973" s="145"/>
      <c r="P1973" s="79"/>
    </row>
    <row r="1974" spans="9:16">
      <c r="I1974" s="79"/>
      <c r="J1974" s="79"/>
      <c r="K1974" s="80"/>
      <c r="L1974" s="80"/>
      <c r="M1974" s="80"/>
      <c r="N1974" s="80"/>
      <c r="O1974" s="145"/>
      <c r="P1974" s="79"/>
    </row>
    <row r="1975" spans="9:16">
      <c r="I1975" s="79"/>
      <c r="J1975" s="79"/>
      <c r="K1975" s="80"/>
      <c r="L1975" s="80"/>
      <c r="M1975" s="80"/>
      <c r="N1975" s="80"/>
      <c r="O1975" s="145"/>
      <c r="P1975" s="79"/>
    </row>
    <row r="1976" spans="9:16">
      <c r="I1976" s="79"/>
      <c r="J1976" s="79"/>
      <c r="K1976" s="80"/>
      <c r="L1976" s="80"/>
      <c r="M1976" s="80"/>
      <c r="N1976" s="80"/>
      <c r="O1976" s="145"/>
      <c r="P1976" s="79"/>
    </row>
    <row r="1977" spans="9:16">
      <c r="I1977" s="79"/>
      <c r="J1977" s="79"/>
      <c r="K1977" s="80"/>
      <c r="L1977" s="80"/>
      <c r="M1977" s="80"/>
      <c r="N1977" s="80"/>
      <c r="O1977" s="145"/>
      <c r="P1977" s="79"/>
    </row>
    <row r="1978" spans="9:16">
      <c r="I1978" s="79"/>
      <c r="J1978" s="79"/>
      <c r="K1978" s="80"/>
      <c r="L1978" s="80"/>
      <c r="M1978" s="80"/>
      <c r="N1978" s="80"/>
      <c r="O1978" s="145"/>
      <c r="P1978" s="79"/>
    </row>
    <row r="1979" spans="9:16">
      <c r="I1979" s="79"/>
      <c r="J1979" s="79"/>
      <c r="K1979" s="80"/>
      <c r="L1979" s="80"/>
      <c r="M1979" s="80"/>
      <c r="N1979" s="80"/>
      <c r="O1979" s="145"/>
      <c r="P1979" s="79"/>
    </row>
    <row r="1980" spans="9:16">
      <c r="I1980" s="79"/>
      <c r="J1980" s="79"/>
      <c r="K1980" s="80"/>
      <c r="L1980" s="80"/>
      <c r="M1980" s="80"/>
      <c r="N1980" s="80"/>
      <c r="O1980" s="145"/>
      <c r="P1980" s="79"/>
    </row>
    <row r="1981" spans="9:16">
      <c r="I1981" s="79"/>
      <c r="J1981" s="79"/>
      <c r="K1981" s="80"/>
      <c r="L1981" s="80"/>
      <c r="M1981" s="80"/>
      <c r="N1981" s="80"/>
      <c r="O1981" s="145"/>
      <c r="P1981" s="79"/>
    </row>
    <row r="1982" spans="9:16">
      <c r="I1982" s="79"/>
      <c r="J1982" s="79"/>
      <c r="K1982" s="80"/>
      <c r="L1982" s="80"/>
      <c r="M1982" s="80"/>
      <c r="N1982" s="80"/>
      <c r="O1982" s="145"/>
      <c r="P1982" s="79"/>
    </row>
    <row r="1983" spans="9:16">
      <c r="I1983" s="79"/>
      <c r="J1983" s="79"/>
      <c r="K1983" s="80"/>
      <c r="L1983" s="80"/>
      <c r="M1983" s="80"/>
      <c r="N1983" s="80"/>
      <c r="O1983" s="145"/>
      <c r="P1983" s="79"/>
    </row>
    <row r="1984" spans="9:16">
      <c r="I1984" s="79"/>
      <c r="J1984" s="79"/>
      <c r="K1984" s="80"/>
      <c r="L1984" s="80"/>
      <c r="M1984" s="80"/>
      <c r="N1984" s="80"/>
      <c r="O1984" s="145"/>
      <c r="P1984" s="79"/>
    </row>
    <row r="1985" spans="9:16">
      <c r="I1985" s="79"/>
      <c r="J1985" s="79"/>
      <c r="K1985" s="80"/>
      <c r="L1985" s="80"/>
      <c r="M1985" s="80"/>
      <c r="N1985" s="80"/>
      <c r="O1985" s="145"/>
      <c r="P1985" s="79"/>
    </row>
    <row r="1986" spans="9:16">
      <c r="I1986" s="79"/>
      <c r="J1986" s="79"/>
      <c r="K1986" s="80"/>
      <c r="L1986" s="80"/>
      <c r="M1986" s="80"/>
      <c r="N1986" s="80"/>
      <c r="O1986" s="145"/>
      <c r="P1986" s="79"/>
    </row>
    <row r="1987" spans="9:16">
      <c r="I1987" s="79"/>
      <c r="J1987" s="79"/>
      <c r="K1987" s="80"/>
      <c r="L1987" s="80"/>
      <c r="M1987" s="80"/>
      <c r="N1987" s="80"/>
      <c r="O1987" s="145"/>
      <c r="P1987" s="79"/>
    </row>
    <row r="1988" spans="9:16">
      <c r="I1988" s="79"/>
      <c r="J1988" s="79"/>
      <c r="K1988" s="80"/>
      <c r="L1988" s="80"/>
      <c r="M1988" s="80"/>
      <c r="N1988" s="80"/>
      <c r="O1988" s="145"/>
      <c r="P1988" s="79"/>
    </row>
    <row r="1989" spans="9:16">
      <c r="I1989" s="79"/>
      <c r="J1989" s="79"/>
      <c r="K1989" s="80"/>
      <c r="L1989" s="80"/>
      <c r="M1989" s="80"/>
      <c r="N1989" s="80"/>
      <c r="O1989" s="145"/>
      <c r="P1989" s="79"/>
    </row>
    <row r="1990" spans="9:16">
      <c r="I1990" s="79"/>
      <c r="J1990" s="79"/>
      <c r="K1990" s="80"/>
      <c r="L1990" s="80"/>
      <c r="M1990" s="80"/>
      <c r="N1990" s="80"/>
      <c r="O1990" s="145"/>
      <c r="P1990" s="79"/>
    </row>
    <row r="1991" spans="9:16">
      <c r="I1991" s="79"/>
      <c r="J1991" s="79"/>
      <c r="K1991" s="80"/>
      <c r="L1991" s="80"/>
      <c r="M1991" s="80"/>
      <c r="N1991" s="80"/>
      <c r="O1991" s="145"/>
      <c r="P1991" s="79"/>
    </row>
    <row r="1992" spans="9:16">
      <c r="I1992" s="79"/>
      <c r="J1992" s="79"/>
      <c r="K1992" s="80"/>
      <c r="L1992" s="80"/>
      <c r="M1992" s="80"/>
      <c r="N1992" s="80"/>
      <c r="O1992" s="145"/>
      <c r="P1992" s="79"/>
    </row>
    <row r="1993" spans="9:16">
      <c r="I1993" s="79"/>
      <c r="J1993" s="79"/>
      <c r="K1993" s="80"/>
      <c r="L1993" s="80"/>
      <c r="M1993" s="80"/>
      <c r="N1993" s="80"/>
      <c r="O1993" s="145"/>
      <c r="P1993" s="79"/>
    </row>
    <row r="1994" spans="9:16">
      <c r="I1994" s="79"/>
      <c r="J1994" s="79"/>
      <c r="K1994" s="80"/>
      <c r="L1994" s="80"/>
      <c r="M1994" s="80"/>
      <c r="N1994" s="80"/>
      <c r="O1994" s="145"/>
      <c r="P1994" s="79"/>
    </row>
    <row r="1995" spans="9:16">
      <c r="I1995" s="79"/>
      <c r="J1995" s="79"/>
      <c r="K1995" s="80"/>
      <c r="L1995" s="80"/>
      <c r="M1995" s="80"/>
      <c r="N1995" s="80"/>
      <c r="O1995" s="145"/>
      <c r="P1995" s="79"/>
    </row>
    <row r="1996" spans="9:16">
      <c r="I1996" s="79"/>
      <c r="J1996" s="79"/>
      <c r="K1996" s="80"/>
      <c r="L1996" s="80"/>
      <c r="M1996" s="80"/>
      <c r="N1996" s="80"/>
      <c r="O1996" s="145"/>
      <c r="P1996" s="79"/>
    </row>
    <row r="1997" spans="9:16">
      <c r="I1997" s="79"/>
      <c r="J1997" s="79"/>
      <c r="K1997" s="80"/>
      <c r="L1997" s="80"/>
      <c r="M1997" s="80"/>
      <c r="N1997" s="80"/>
      <c r="O1997" s="145"/>
      <c r="P1997" s="79"/>
    </row>
    <row r="1998" spans="9:16">
      <c r="I1998" s="79"/>
      <c r="J1998" s="79"/>
      <c r="K1998" s="80"/>
      <c r="L1998" s="80"/>
      <c r="M1998" s="80"/>
      <c r="N1998" s="80"/>
      <c r="O1998" s="145"/>
      <c r="P1998" s="79"/>
    </row>
    <row r="1999" spans="9:16">
      <c r="I1999" s="79"/>
      <c r="J1999" s="79"/>
      <c r="K1999" s="80"/>
      <c r="L1999" s="80"/>
      <c r="M1999" s="80"/>
      <c r="N1999" s="80"/>
      <c r="O1999" s="145"/>
      <c r="P1999" s="79"/>
    </row>
    <row r="2000" spans="9:16">
      <c r="I2000" s="79"/>
      <c r="J2000" s="79"/>
      <c r="K2000" s="80"/>
      <c r="L2000" s="80"/>
      <c r="M2000" s="80"/>
      <c r="N2000" s="80"/>
      <c r="O2000" s="145"/>
      <c r="P2000" s="79"/>
    </row>
    <row r="2001" spans="9:16">
      <c r="I2001" s="79"/>
      <c r="J2001" s="79"/>
      <c r="K2001" s="80"/>
      <c r="L2001" s="80"/>
      <c r="M2001" s="80"/>
      <c r="N2001" s="80"/>
      <c r="O2001" s="145"/>
      <c r="P2001" s="79"/>
    </row>
    <row r="2002" spans="9:16">
      <c r="I2002" s="79"/>
      <c r="J2002" s="79"/>
      <c r="K2002" s="80"/>
      <c r="L2002" s="80"/>
      <c r="M2002" s="80"/>
      <c r="N2002" s="80"/>
      <c r="O2002" s="145"/>
      <c r="P2002" s="79"/>
    </row>
    <row r="2003" spans="9:16">
      <c r="I2003" s="79"/>
      <c r="J2003" s="79"/>
      <c r="K2003" s="80"/>
      <c r="L2003" s="80"/>
      <c r="M2003" s="80"/>
      <c r="N2003" s="80"/>
      <c r="O2003" s="145"/>
      <c r="P2003" s="79"/>
    </row>
    <row r="2004" spans="9:16">
      <c r="I2004" s="79"/>
      <c r="J2004" s="79"/>
      <c r="K2004" s="80"/>
      <c r="L2004" s="80"/>
      <c r="M2004" s="80"/>
      <c r="N2004" s="80"/>
      <c r="O2004" s="145"/>
      <c r="P2004" s="79"/>
    </row>
    <row r="2005" spans="9:16">
      <c r="I2005" s="79"/>
      <c r="J2005" s="79"/>
      <c r="K2005" s="80"/>
      <c r="L2005" s="80"/>
      <c r="M2005" s="80"/>
      <c r="N2005" s="80"/>
      <c r="O2005" s="145"/>
      <c r="P2005" s="79"/>
    </row>
    <row r="2006" spans="9:16">
      <c r="I2006" s="79"/>
      <c r="J2006" s="79"/>
      <c r="K2006" s="80"/>
      <c r="L2006" s="80"/>
      <c r="M2006" s="80"/>
      <c r="N2006" s="80"/>
      <c r="O2006" s="145"/>
      <c r="P2006" s="79"/>
    </row>
    <row r="2007" spans="9:16">
      <c r="I2007" s="79"/>
      <c r="J2007" s="79"/>
      <c r="K2007" s="80"/>
      <c r="L2007" s="80"/>
      <c r="M2007" s="80"/>
      <c r="N2007" s="80"/>
      <c r="O2007" s="145"/>
      <c r="P2007" s="79"/>
    </row>
    <row r="2008" spans="9:16">
      <c r="I2008" s="79"/>
      <c r="J2008" s="79"/>
      <c r="K2008" s="80"/>
      <c r="L2008" s="80"/>
      <c r="M2008" s="80"/>
      <c r="N2008" s="80"/>
      <c r="O2008" s="145"/>
      <c r="P2008" s="79"/>
    </row>
    <row r="2009" spans="9:16">
      <c r="I2009" s="79"/>
      <c r="J2009" s="79"/>
      <c r="K2009" s="80"/>
      <c r="L2009" s="80"/>
      <c r="M2009" s="80"/>
      <c r="N2009" s="80"/>
      <c r="O2009" s="145"/>
      <c r="P2009" s="79"/>
    </row>
    <row r="2010" spans="9:16">
      <c r="I2010" s="79"/>
      <c r="J2010" s="79"/>
      <c r="K2010" s="80"/>
      <c r="L2010" s="80"/>
      <c r="M2010" s="80"/>
      <c r="N2010" s="80"/>
      <c r="O2010" s="145"/>
      <c r="P2010" s="79"/>
    </row>
    <row r="2011" spans="9:16">
      <c r="I2011" s="79"/>
      <c r="J2011" s="79"/>
      <c r="K2011" s="80"/>
      <c r="L2011" s="80"/>
      <c r="M2011" s="80"/>
      <c r="N2011" s="80"/>
      <c r="O2011" s="145"/>
      <c r="P2011" s="79"/>
    </row>
    <row r="2012" spans="9:16">
      <c r="I2012" s="79"/>
      <c r="J2012" s="79"/>
      <c r="K2012" s="80"/>
      <c r="L2012" s="80"/>
      <c r="M2012" s="80"/>
      <c r="N2012" s="80"/>
      <c r="O2012" s="145"/>
      <c r="P2012" s="79"/>
    </row>
    <row r="2013" spans="9:16">
      <c r="I2013" s="79"/>
      <c r="J2013" s="79"/>
      <c r="K2013" s="80"/>
      <c r="L2013" s="80"/>
      <c r="M2013" s="80"/>
      <c r="N2013" s="80"/>
      <c r="O2013" s="145"/>
      <c r="P2013" s="79"/>
    </row>
    <row r="2014" spans="9:16">
      <c r="I2014" s="79"/>
      <c r="J2014" s="79"/>
      <c r="K2014" s="80"/>
      <c r="L2014" s="80"/>
      <c r="M2014" s="80"/>
      <c r="N2014" s="80"/>
      <c r="O2014" s="145"/>
      <c r="P2014" s="79"/>
    </row>
    <row r="2015" spans="9:16">
      <c r="I2015" s="79"/>
      <c r="J2015" s="79"/>
      <c r="K2015" s="80"/>
      <c r="L2015" s="80"/>
      <c r="M2015" s="80"/>
      <c r="N2015" s="80"/>
      <c r="O2015" s="145"/>
      <c r="P2015" s="79"/>
    </row>
    <row r="2016" spans="9:16">
      <c r="I2016" s="79"/>
      <c r="J2016" s="79"/>
      <c r="K2016" s="80"/>
      <c r="L2016" s="80"/>
      <c r="M2016" s="80"/>
      <c r="N2016" s="80"/>
      <c r="O2016" s="145"/>
      <c r="P2016" s="79"/>
    </row>
    <row r="2017" spans="9:16">
      <c r="I2017" s="79"/>
      <c r="J2017" s="79"/>
      <c r="K2017" s="80"/>
      <c r="L2017" s="80"/>
      <c r="M2017" s="80"/>
      <c r="N2017" s="80"/>
      <c r="O2017" s="145"/>
      <c r="P2017" s="79"/>
    </row>
    <row r="2018" spans="9:16">
      <c r="I2018" s="79"/>
      <c r="J2018" s="79"/>
      <c r="K2018" s="80"/>
      <c r="L2018" s="80"/>
      <c r="M2018" s="80"/>
      <c r="N2018" s="80"/>
      <c r="O2018" s="145"/>
      <c r="P2018" s="79"/>
    </row>
    <row r="2019" spans="9:16">
      <c r="I2019" s="79"/>
      <c r="J2019" s="79"/>
      <c r="K2019" s="80"/>
      <c r="L2019" s="80"/>
      <c r="M2019" s="80"/>
      <c r="N2019" s="80"/>
      <c r="O2019" s="145"/>
      <c r="P2019" s="79"/>
    </row>
    <row r="2020" spans="9:16">
      <c r="I2020" s="79"/>
      <c r="J2020" s="79"/>
      <c r="K2020" s="80"/>
      <c r="L2020" s="80"/>
      <c r="M2020" s="80"/>
      <c r="N2020" s="80"/>
      <c r="O2020" s="145"/>
      <c r="P2020" s="79"/>
    </row>
    <row r="2021" spans="9:16">
      <c r="I2021" s="79"/>
      <c r="J2021" s="79"/>
      <c r="K2021" s="80"/>
      <c r="L2021" s="80"/>
      <c r="M2021" s="80"/>
      <c r="N2021" s="80"/>
      <c r="O2021" s="145"/>
      <c r="P2021" s="79"/>
    </row>
    <row r="2022" spans="9:16">
      <c r="I2022" s="79"/>
      <c r="J2022" s="79"/>
      <c r="K2022" s="80"/>
      <c r="L2022" s="80"/>
      <c r="M2022" s="80"/>
      <c r="N2022" s="80"/>
      <c r="O2022" s="145"/>
      <c r="P2022" s="79"/>
    </row>
    <row r="2023" spans="9:16">
      <c r="I2023" s="79"/>
      <c r="J2023" s="79"/>
      <c r="K2023" s="80"/>
      <c r="L2023" s="80"/>
      <c r="M2023" s="80"/>
      <c r="N2023" s="80"/>
      <c r="O2023" s="145"/>
      <c r="P2023" s="79"/>
    </row>
    <row r="2024" spans="9:16">
      <c r="I2024" s="79"/>
      <c r="J2024" s="79"/>
      <c r="K2024" s="80"/>
      <c r="L2024" s="80"/>
      <c r="M2024" s="80"/>
      <c r="N2024" s="80"/>
      <c r="O2024" s="145"/>
      <c r="P2024" s="79"/>
    </row>
    <row r="2025" spans="9:16">
      <c r="I2025" s="79"/>
      <c r="J2025" s="79"/>
      <c r="K2025" s="80"/>
      <c r="L2025" s="80"/>
      <c r="M2025" s="80"/>
      <c r="N2025" s="80"/>
      <c r="O2025" s="145"/>
      <c r="P2025" s="79"/>
    </row>
    <row r="2026" spans="9:16">
      <c r="I2026" s="79"/>
      <c r="J2026" s="79"/>
      <c r="K2026" s="80"/>
      <c r="L2026" s="80"/>
      <c r="M2026" s="80"/>
      <c r="N2026" s="80"/>
      <c r="O2026" s="145"/>
      <c r="P2026" s="79"/>
    </row>
    <row r="2027" spans="9:16">
      <c r="I2027" s="79"/>
      <c r="J2027" s="79"/>
      <c r="K2027" s="80"/>
      <c r="L2027" s="80"/>
      <c r="M2027" s="80"/>
      <c r="N2027" s="80"/>
      <c r="O2027" s="145"/>
      <c r="P2027" s="79"/>
    </row>
    <row r="2028" spans="9:16">
      <c r="I2028" s="79"/>
      <c r="J2028" s="79"/>
      <c r="K2028" s="80"/>
      <c r="L2028" s="80"/>
      <c r="M2028" s="80"/>
      <c r="N2028" s="80"/>
      <c r="O2028" s="145"/>
      <c r="P2028" s="79"/>
    </row>
    <row r="2029" spans="9:16">
      <c r="I2029" s="79"/>
      <c r="J2029" s="79"/>
      <c r="K2029" s="80"/>
      <c r="L2029" s="80"/>
      <c r="M2029" s="80"/>
      <c r="N2029" s="80"/>
      <c r="O2029" s="145"/>
      <c r="P2029" s="79"/>
    </row>
    <row r="2030" spans="9:16">
      <c r="I2030" s="79"/>
      <c r="J2030" s="79"/>
      <c r="K2030" s="80"/>
      <c r="L2030" s="80"/>
      <c r="M2030" s="80"/>
      <c r="N2030" s="80"/>
      <c r="O2030" s="145"/>
      <c r="P2030" s="79"/>
    </row>
    <row r="2031" spans="9:16">
      <c r="I2031" s="79"/>
      <c r="J2031" s="79"/>
      <c r="K2031" s="80"/>
      <c r="L2031" s="80"/>
      <c r="M2031" s="80"/>
      <c r="N2031" s="80"/>
      <c r="O2031" s="145"/>
      <c r="P2031" s="79"/>
    </row>
    <row r="2032" spans="9:16">
      <c r="I2032" s="79"/>
      <c r="J2032" s="79"/>
      <c r="K2032" s="80"/>
      <c r="L2032" s="80"/>
      <c r="M2032" s="80"/>
      <c r="N2032" s="80"/>
      <c r="O2032" s="145"/>
      <c r="P2032" s="79"/>
    </row>
    <row r="2033" spans="9:16">
      <c r="I2033" s="79"/>
      <c r="J2033" s="79"/>
      <c r="K2033" s="80"/>
      <c r="L2033" s="80"/>
      <c r="M2033" s="80"/>
      <c r="N2033" s="80"/>
      <c r="O2033" s="145"/>
      <c r="P2033" s="79"/>
    </row>
    <row r="2034" spans="9:16">
      <c r="I2034" s="79"/>
      <c r="J2034" s="79"/>
      <c r="K2034" s="80"/>
      <c r="L2034" s="80"/>
      <c r="M2034" s="80"/>
      <c r="N2034" s="80"/>
      <c r="O2034" s="145"/>
      <c r="P2034" s="79"/>
    </row>
    <row r="2035" spans="9:16">
      <c r="I2035" s="79"/>
      <c r="J2035" s="79"/>
      <c r="K2035" s="80"/>
      <c r="L2035" s="80"/>
      <c r="M2035" s="80"/>
      <c r="N2035" s="80"/>
      <c r="O2035" s="145"/>
      <c r="P2035" s="79"/>
    </row>
    <row r="2036" spans="9:16">
      <c r="I2036" s="79"/>
      <c r="J2036" s="79"/>
      <c r="K2036" s="80"/>
      <c r="L2036" s="80"/>
      <c r="M2036" s="80"/>
      <c r="N2036" s="80"/>
      <c r="O2036" s="145"/>
      <c r="P2036" s="79"/>
    </row>
    <row r="2037" spans="9:16">
      <c r="I2037" s="79"/>
      <c r="J2037" s="79"/>
      <c r="K2037" s="80"/>
      <c r="L2037" s="80"/>
      <c r="M2037" s="80"/>
      <c r="N2037" s="80"/>
      <c r="O2037" s="145"/>
      <c r="P2037" s="79"/>
    </row>
    <row r="2038" spans="9:16">
      <c r="I2038" s="79"/>
      <c r="J2038" s="79"/>
      <c r="K2038" s="80"/>
      <c r="L2038" s="80"/>
      <c r="M2038" s="80"/>
      <c r="N2038" s="80"/>
      <c r="O2038" s="145"/>
      <c r="P2038" s="79"/>
    </row>
    <row r="2039" spans="9:16">
      <c r="I2039" s="79"/>
      <c r="J2039" s="79"/>
      <c r="K2039" s="80"/>
      <c r="L2039" s="80"/>
      <c r="M2039" s="80"/>
      <c r="N2039" s="80"/>
      <c r="O2039" s="145"/>
      <c r="P2039" s="79"/>
    </row>
    <row r="2040" spans="9:16">
      <c r="I2040" s="79"/>
      <c r="J2040" s="79"/>
      <c r="K2040" s="80"/>
      <c r="L2040" s="80"/>
      <c r="M2040" s="80"/>
      <c r="N2040" s="80"/>
      <c r="O2040" s="145"/>
      <c r="P2040" s="79"/>
    </row>
    <row r="2041" spans="9:16">
      <c r="I2041" s="79"/>
      <c r="J2041" s="79"/>
      <c r="K2041" s="80"/>
      <c r="L2041" s="80"/>
      <c r="M2041" s="80"/>
      <c r="N2041" s="80"/>
      <c r="O2041" s="145"/>
      <c r="P2041" s="79"/>
    </row>
    <row r="2042" spans="9:16">
      <c r="I2042" s="79"/>
      <c r="J2042" s="79"/>
      <c r="K2042" s="80"/>
      <c r="L2042" s="80"/>
      <c r="M2042" s="80"/>
      <c r="N2042" s="80"/>
      <c r="O2042" s="145"/>
      <c r="P2042" s="79"/>
    </row>
    <row r="2043" spans="9:16">
      <c r="I2043" s="79"/>
      <c r="J2043" s="79"/>
      <c r="K2043" s="80"/>
      <c r="L2043" s="80"/>
      <c r="M2043" s="80"/>
      <c r="N2043" s="80"/>
      <c r="O2043" s="145"/>
      <c r="P2043" s="79"/>
    </row>
    <row r="2044" spans="9:16">
      <c r="I2044" s="79"/>
      <c r="J2044" s="79"/>
      <c r="K2044" s="80"/>
      <c r="L2044" s="80"/>
      <c r="M2044" s="80"/>
      <c r="N2044" s="80"/>
      <c r="O2044" s="145"/>
      <c r="P2044" s="79"/>
    </row>
    <row r="2045" spans="9:16">
      <c r="I2045" s="79"/>
      <c r="J2045" s="79"/>
      <c r="K2045" s="80"/>
      <c r="L2045" s="80"/>
      <c r="M2045" s="80"/>
      <c r="N2045" s="80"/>
      <c r="O2045" s="145"/>
      <c r="P2045" s="79"/>
    </row>
    <row r="2046" spans="9:16">
      <c r="I2046" s="79"/>
      <c r="J2046" s="79"/>
      <c r="K2046" s="80"/>
      <c r="L2046" s="80"/>
      <c r="M2046" s="80"/>
      <c r="N2046" s="80"/>
      <c r="O2046" s="145"/>
      <c r="P2046" s="79"/>
    </row>
    <row r="2047" spans="9:16">
      <c r="I2047" s="79"/>
      <c r="J2047" s="79"/>
      <c r="K2047" s="80"/>
      <c r="L2047" s="80"/>
      <c r="M2047" s="80"/>
      <c r="N2047" s="80"/>
      <c r="O2047" s="145"/>
      <c r="P2047" s="79"/>
    </row>
    <row r="2048" spans="9:16">
      <c r="I2048" s="79"/>
      <c r="J2048" s="79"/>
      <c r="K2048" s="80"/>
      <c r="L2048" s="80"/>
      <c r="M2048" s="80"/>
      <c r="N2048" s="80"/>
      <c r="O2048" s="145"/>
      <c r="P2048" s="79"/>
    </row>
    <row r="2049" spans="9:16">
      <c r="I2049" s="79"/>
      <c r="J2049" s="79"/>
      <c r="K2049" s="80"/>
      <c r="L2049" s="80"/>
      <c r="M2049" s="80"/>
      <c r="N2049" s="80"/>
      <c r="O2049" s="145"/>
      <c r="P2049" s="79"/>
    </row>
    <row r="2050" spans="9:16">
      <c r="I2050" s="79"/>
      <c r="J2050" s="79"/>
      <c r="K2050" s="80"/>
      <c r="L2050" s="80"/>
      <c r="M2050" s="80"/>
      <c r="N2050" s="80"/>
      <c r="O2050" s="145"/>
      <c r="P2050" s="79"/>
    </row>
    <row r="2051" spans="9:16">
      <c r="I2051" s="79"/>
      <c r="J2051" s="79"/>
      <c r="K2051" s="80"/>
      <c r="L2051" s="80"/>
      <c r="M2051" s="80"/>
      <c r="N2051" s="80"/>
      <c r="O2051" s="145"/>
      <c r="P2051" s="79"/>
    </row>
    <row r="2052" spans="9:16">
      <c r="I2052" s="79"/>
      <c r="J2052" s="79"/>
      <c r="K2052" s="80"/>
      <c r="L2052" s="80"/>
      <c r="M2052" s="80"/>
      <c r="N2052" s="80"/>
      <c r="O2052" s="145"/>
      <c r="P2052" s="79"/>
    </row>
    <row r="2053" spans="9:16">
      <c r="I2053" s="79"/>
      <c r="J2053" s="79"/>
      <c r="K2053" s="80"/>
      <c r="L2053" s="80"/>
      <c r="M2053" s="80"/>
      <c r="N2053" s="80"/>
      <c r="O2053" s="145"/>
      <c r="P2053" s="79"/>
    </row>
    <row r="2054" spans="9:16">
      <c r="I2054" s="79"/>
      <c r="J2054" s="79"/>
      <c r="K2054" s="80"/>
      <c r="L2054" s="80"/>
      <c r="M2054" s="80"/>
      <c r="N2054" s="80"/>
      <c r="O2054" s="145"/>
      <c r="P2054" s="79"/>
    </row>
    <row r="2055" spans="9:16">
      <c r="I2055" s="79"/>
      <c r="J2055" s="79"/>
      <c r="K2055" s="80"/>
      <c r="L2055" s="80"/>
      <c r="M2055" s="80"/>
      <c r="N2055" s="80"/>
      <c r="O2055" s="145"/>
      <c r="P2055" s="79"/>
    </row>
    <row r="2056" spans="9:16">
      <c r="I2056" s="79"/>
      <c r="J2056" s="79"/>
      <c r="K2056" s="80"/>
      <c r="L2056" s="80"/>
      <c r="M2056" s="80"/>
      <c r="N2056" s="80"/>
      <c r="O2056" s="145"/>
      <c r="P2056" s="79"/>
    </row>
    <row r="2057" spans="9:16">
      <c r="I2057" s="79"/>
      <c r="J2057" s="79"/>
      <c r="K2057" s="80"/>
      <c r="L2057" s="80"/>
      <c r="M2057" s="80"/>
      <c r="N2057" s="80"/>
      <c r="O2057" s="145"/>
      <c r="P2057" s="79"/>
    </row>
    <row r="2058" spans="9:16">
      <c r="I2058" s="79"/>
      <c r="J2058" s="79"/>
      <c r="K2058" s="80"/>
      <c r="L2058" s="80"/>
      <c r="M2058" s="80"/>
      <c r="N2058" s="80"/>
      <c r="O2058" s="145"/>
      <c r="P2058" s="79"/>
    </row>
    <row r="2059" spans="9:16">
      <c r="I2059" s="79"/>
      <c r="J2059" s="79"/>
      <c r="K2059" s="80"/>
      <c r="L2059" s="80"/>
      <c r="M2059" s="80"/>
      <c r="N2059" s="80"/>
      <c r="O2059" s="145"/>
      <c r="P2059" s="79"/>
    </row>
    <row r="2060" spans="9:16">
      <c r="I2060" s="79"/>
      <c r="J2060" s="79"/>
      <c r="K2060" s="80"/>
      <c r="L2060" s="80"/>
      <c r="M2060" s="80"/>
      <c r="N2060" s="80"/>
      <c r="O2060" s="145"/>
      <c r="P2060" s="79"/>
    </row>
    <row r="2061" spans="9:16">
      <c r="I2061" s="79"/>
      <c r="J2061" s="79"/>
      <c r="K2061" s="80"/>
      <c r="L2061" s="80"/>
      <c r="M2061" s="80"/>
      <c r="N2061" s="80"/>
      <c r="O2061" s="145"/>
      <c r="P2061" s="79"/>
    </row>
    <row r="2062" spans="9:16">
      <c r="I2062" s="79"/>
      <c r="J2062" s="79"/>
      <c r="K2062" s="80"/>
      <c r="L2062" s="80"/>
      <c r="M2062" s="80"/>
      <c r="N2062" s="80"/>
      <c r="O2062" s="145"/>
      <c r="P2062" s="79"/>
    </row>
    <row r="2063" spans="9:16">
      <c r="I2063" s="79"/>
      <c r="J2063" s="79"/>
      <c r="K2063" s="80"/>
      <c r="L2063" s="80"/>
      <c r="M2063" s="80"/>
      <c r="N2063" s="80"/>
      <c r="O2063" s="145"/>
      <c r="P2063" s="79"/>
    </row>
    <row r="2064" spans="9:16">
      <c r="I2064" s="79"/>
      <c r="J2064" s="79"/>
      <c r="K2064" s="80"/>
      <c r="L2064" s="80"/>
      <c r="M2064" s="80"/>
      <c r="N2064" s="80"/>
      <c r="O2064" s="145"/>
      <c r="P2064" s="79"/>
    </row>
    <row r="2065" spans="9:16">
      <c r="I2065" s="79"/>
      <c r="J2065" s="79"/>
      <c r="K2065" s="80"/>
      <c r="L2065" s="80"/>
      <c r="M2065" s="80"/>
      <c r="N2065" s="80"/>
      <c r="O2065" s="145"/>
      <c r="P2065" s="79"/>
    </row>
    <row r="2066" spans="9:16">
      <c r="I2066" s="79"/>
      <c r="J2066" s="79"/>
      <c r="K2066" s="80"/>
      <c r="L2066" s="80"/>
      <c r="M2066" s="80"/>
      <c r="N2066" s="80"/>
      <c r="O2066" s="145"/>
      <c r="P2066" s="79"/>
    </row>
    <row r="2067" spans="9:16">
      <c r="I2067" s="79"/>
      <c r="J2067" s="79"/>
      <c r="K2067" s="80"/>
      <c r="L2067" s="80"/>
      <c r="M2067" s="80"/>
      <c r="N2067" s="80"/>
      <c r="O2067" s="145"/>
      <c r="P2067" s="79"/>
    </row>
    <row r="2068" spans="9:16">
      <c r="I2068" s="79"/>
      <c r="J2068" s="79"/>
      <c r="K2068" s="80"/>
      <c r="L2068" s="80"/>
      <c r="M2068" s="80"/>
      <c r="N2068" s="80"/>
      <c r="O2068" s="145"/>
      <c r="P2068" s="79"/>
    </row>
    <row r="2069" spans="9:16">
      <c r="I2069" s="79"/>
      <c r="J2069" s="79"/>
      <c r="K2069" s="80"/>
      <c r="L2069" s="80"/>
      <c r="M2069" s="80"/>
      <c r="N2069" s="80"/>
      <c r="O2069" s="145"/>
      <c r="P2069" s="79"/>
    </row>
    <row r="2070" spans="9:16">
      <c r="I2070" s="79"/>
      <c r="J2070" s="79"/>
      <c r="K2070" s="80"/>
      <c r="L2070" s="80"/>
      <c r="M2070" s="80"/>
      <c r="N2070" s="80"/>
      <c r="O2070" s="145"/>
      <c r="P2070" s="79"/>
    </row>
    <row r="2071" spans="9:16">
      <c r="I2071" s="79"/>
      <c r="J2071" s="79"/>
      <c r="K2071" s="80"/>
      <c r="L2071" s="80"/>
      <c r="M2071" s="80"/>
      <c r="N2071" s="80"/>
      <c r="O2071" s="145"/>
      <c r="P2071" s="79"/>
    </row>
    <row r="2072" spans="9:16">
      <c r="I2072" s="79"/>
      <c r="J2072" s="79"/>
      <c r="K2072" s="80"/>
      <c r="L2072" s="80"/>
      <c r="M2072" s="80"/>
      <c r="N2072" s="80"/>
      <c r="O2072" s="145"/>
      <c r="P2072" s="79"/>
    </row>
    <row r="2073" spans="9:16">
      <c r="I2073" s="79"/>
      <c r="J2073" s="79"/>
      <c r="K2073" s="80"/>
      <c r="L2073" s="80"/>
      <c r="M2073" s="80"/>
      <c r="N2073" s="80"/>
      <c r="O2073" s="145"/>
      <c r="P2073" s="79"/>
    </row>
    <row r="2074" spans="9:16">
      <c r="I2074" s="79"/>
      <c r="J2074" s="79"/>
      <c r="K2074" s="80"/>
      <c r="L2074" s="80"/>
      <c r="M2074" s="80"/>
      <c r="N2074" s="80"/>
      <c r="O2074" s="145"/>
      <c r="P2074" s="79"/>
    </row>
    <row r="2075" spans="9:16">
      <c r="I2075" s="79"/>
      <c r="J2075" s="79"/>
      <c r="K2075" s="80"/>
      <c r="L2075" s="80"/>
      <c r="M2075" s="80"/>
      <c r="N2075" s="80"/>
      <c r="O2075" s="145"/>
      <c r="P2075" s="79"/>
    </row>
    <row r="2076" spans="9:16">
      <c r="I2076" s="79"/>
      <c r="J2076" s="79"/>
      <c r="K2076" s="80"/>
      <c r="L2076" s="80"/>
      <c r="M2076" s="80"/>
      <c r="N2076" s="80"/>
      <c r="O2076" s="145"/>
      <c r="P2076" s="79"/>
    </row>
    <row r="2077" spans="9:16">
      <c r="I2077" s="79"/>
      <c r="J2077" s="79"/>
      <c r="K2077" s="80"/>
      <c r="L2077" s="80"/>
      <c r="M2077" s="80"/>
      <c r="N2077" s="80"/>
      <c r="O2077" s="145"/>
      <c r="P2077" s="79"/>
    </row>
    <row r="2078" spans="9:16">
      <c r="I2078" s="79"/>
      <c r="J2078" s="79"/>
      <c r="K2078" s="80"/>
      <c r="L2078" s="80"/>
      <c r="M2078" s="80"/>
      <c r="N2078" s="80"/>
      <c r="O2078" s="145"/>
      <c r="P2078" s="79"/>
    </row>
    <row r="2079" spans="9:16">
      <c r="I2079" s="79"/>
      <c r="J2079" s="79"/>
      <c r="K2079" s="80"/>
      <c r="L2079" s="80"/>
      <c r="M2079" s="80"/>
      <c r="N2079" s="80"/>
      <c r="O2079" s="145"/>
      <c r="P2079" s="79"/>
    </row>
    <row r="2080" spans="9:16">
      <c r="I2080" s="79"/>
      <c r="J2080" s="79"/>
      <c r="K2080" s="80"/>
      <c r="L2080" s="80"/>
      <c r="M2080" s="80"/>
      <c r="N2080" s="80"/>
      <c r="O2080" s="145"/>
      <c r="P2080" s="79"/>
    </row>
    <row r="2081" spans="9:16">
      <c r="I2081" s="79"/>
      <c r="J2081" s="79"/>
      <c r="K2081" s="80"/>
      <c r="L2081" s="80"/>
      <c r="M2081" s="80"/>
      <c r="N2081" s="80"/>
      <c r="O2081" s="145"/>
      <c r="P2081" s="79"/>
    </row>
    <row r="2082" spans="9:16">
      <c r="I2082" s="79"/>
      <c r="J2082" s="79"/>
      <c r="K2082" s="80"/>
      <c r="L2082" s="80"/>
      <c r="M2082" s="80"/>
      <c r="N2082" s="80"/>
      <c r="O2082" s="145"/>
      <c r="P2082" s="79"/>
    </row>
    <row r="2083" spans="9:16">
      <c r="I2083" s="79"/>
      <c r="J2083" s="79"/>
      <c r="K2083" s="80"/>
      <c r="L2083" s="80"/>
      <c r="M2083" s="80"/>
      <c r="N2083" s="80"/>
      <c r="O2083" s="145"/>
      <c r="P2083" s="79"/>
    </row>
    <row r="2084" spans="9:16">
      <c r="I2084" s="79"/>
      <c r="J2084" s="79"/>
      <c r="K2084" s="80"/>
      <c r="L2084" s="80"/>
      <c r="M2084" s="80"/>
      <c r="N2084" s="80"/>
      <c r="O2084" s="145"/>
      <c r="P2084" s="79"/>
    </row>
    <row r="2085" spans="9:16">
      <c r="I2085" s="79"/>
      <c r="J2085" s="79"/>
      <c r="K2085" s="80"/>
      <c r="L2085" s="80"/>
      <c r="M2085" s="80"/>
      <c r="N2085" s="80"/>
      <c r="O2085" s="145"/>
      <c r="P2085" s="79"/>
    </row>
    <row r="2086" spans="9:16">
      <c r="I2086" s="79"/>
      <c r="J2086" s="79"/>
      <c r="K2086" s="80"/>
      <c r="L2086" s="80"/>
      <c r="M2086" s="80"/>
      <c r="N2086" s="80"/>
      <c r="O2086" s="145"/>
      <c r="P2086" s="79"/>
    </row>
    <row r="2087" spans="9:16">
      <c r="I2087" s="79"/>
      <c r="J2087" s="79"/>
      <c r="K2087" s="80"/>
      <c r="L2087" s="80"/>
      <c r="M2087" s="80"/>
      <c r="N2087" s="80"/>
      <c r="O2087" s="145"/>
      <c r="P2087" s="79"/>
    </row>
    <row r="2088" spans="9:16">
      <c r="I2088" s="79"/>
      <c r="J2088" s="79"/>
      <c r="K2088" s="80"/>
      <c r="L2088" s="80"/>
      <c r="M2088" s="80"/>
      <c r="N2088" s="80"/>
      <c r="O2088" s="145"/>
      <c r="P2088" s="79"/>
    </row>
    <row r="2089" spans="9:16">
      <c r="I2089" s="79"/>
      <c r="J2089" s="79"/>
      <c r="K2089" s="80"/>
      <c r="L2089" s="80"/>
      <c r="M2089" s="80"/>
      <c r="N2089" s="80"/>
      <c r="O2089" s="145"/>
      <c r="P2089" s="79"/>
    </row>
    <row r="2090" spans="9:16">
      <c r="I2090" s="79"/>
      <c r="J2090" s="79"/>
      <c r="K2090" s="80"/>
      <c r="L2090" s="80"/>
      <c r="M2090" s="80"/>
      <c r="N2090" s="80"/>
      <c r="O2090" s="145"/>
      <c r="P2090" s="79"/>
    </row>
    <row r="2091" spans="9:16">
      <c r="I2091" s="79"/>
      <c r="J2091" s="79"/>
      <c r="K2091" s="80"/>
      <c r="L2091" s="80"/>
      <c r="M2091" s="80"/>
      <c r="N2091" s="80"/>
      <c r="O2091" s="145"/>
      <c r="P2091" s="79"/>
    </row>
    <row r="2092" spans="9:16">
      <c r="I2092" s="79"/>
      <c r="J2092" s="79"/>
      <c r="K2092" s="80"/>
      <c r="L2092" s="80"/>
      <c r="M2092" s="80"/>
      <c r="N2092" s="80"/>
      <c r="O2092" s="145"/>
      <c r="P2092" s="79"/>
    </row>
    <row r="2093" spans="9:16">
      <c r="I2093" s="79"/>
      <c r="J2093" s="79"/>
      <c r="K2093" s="80"/>
      <c r="L2093" s="80"/>
      <c r="M2093" s="80"/>
      <c r="N2093" s="80"/>
      <c r="O2093" s="145"/>
      <c r="P2093" s="79"/>
    </row>
    <row r="2094" spans="9:16">
      <c r="I2094" s="79"/>
      <c r="J2094" s="79"/>
      <c r="K2094" s="80"/>
      <c r="L2094" s="80"/>
      <c r="M2094" s="80"/>
      <c r="N2094" s="80"/>
      <c r="O2094" s="145"/>
      <c r="P2094" s="79"/>
    </row>
    <row r="2095" spans="9:16">
      <c r="I2095" s="79"/>
      <c r="J2095" s="79"/>
      <c r="K2095" s="80"/>
      <c r="L2095" s="80"/>
      <c r="M2095" s="80"/>
      <c r="N2095" s="80"/>
      <c r="O2095" s="145"/>
      <c r="P2095" s="79"/>
    </row>
    <row r="2096" spans="9:16">
      <c r="I2096" s="79"/>
      <c r="J2096" s="79"/>
      <c r="K2096" s="80"/>
      <c r="L2096" s="80"/>
      <c r="M2096" s="80"/>
      <c r="N2096" s="80"/>
      <c r="O2096" s="145"/>
      <c r="P2096" s="79"/>
    </row>
    <row r="2097" spans="9:16">
      <c r="I2097" s="79"/>
      <c r="J2097" s="79"/>
      <c r="K2097" s="80"/>
      <c r="L2097" s="80"/>
      <c r="M2097" s="80"/>
      <c r="N2097" s="80"/>
      <c r="O2097" s="145"/>
      <c r="P2097" s="79"/>
    </row>
    <row r="2098" spans="9:16">
      <c r="I2098" s="79"/>
      <c r="J2098" s="79"/>
      <c r="K2098" s="80"/>
      <c r="L2098" s="80"/>
      <c r="M2098" s="80"/>
      <c r="N2098" s="80"/>
      <c r="O2098" s="145"/>
      <c r="P2098" s="79"/>
    </row>
    <row r="2099" spans="9:16">
      <c r="I2099" s="79"/>
      <c r="J2099" s="79"/>
      <c r="K2099" s="80"/>
      <c r="L2099" s="80"/>
      <c r="M2099" s="80"/>
      <c r="N2099" s="80"/>
      <c r="O2099" s="145"/>
      <c r="P2099" s="79"/>
    </row>
    <row r="2100" spans="9:16">
      <c r="I2100" s="79"/>
      <c r="J2100" s="79"/>
      <c r="K2100" s="80"/>
      <c r="L2100" s="80"/>
      <c r="M2100" s="80"/>
      <c r="N2100" s="80"/>
      <c r="O2100" s="145"/>
      <c r="P2100" s="79"/>
    </row>
    <row r="2101" spans="9:16">
      <c r="I2101" s="79"/>
      <c r="J2101" s="79"/>
      <c r="K2101" s="80"/>
      <c r="L2101" s="80"/>
      <c r="M2101" s="80"/>
      <c r="N2101" s="80"/>
      <c r="O2101" s="145"/>
      <c r="P2101" s="79"/>
    </row>
    <row r="2102" spans="9:16">
      <c r="I2102" s="79"/>
      <c r="J2102" s="79"/>
      <c r="K2102" s="80"/>
      <c r="L2102" s="80"/>
      <c r="M2102" s="80"/>
      <c r="N2102" s="80"/>
      <c r="O2102" s="145"/>
      <c r="P2102" s="79"/>
    </row>
    <row r="2103" spans="9:16">
      <c r="I2103" s="79"/>
      <c r="J2103" s="79"/>
      <c r="K2103" s="80"/>
      <c r="L2103" s="80"/>
      <c r="M2103" s="80"/>
      <c r="N2103" s="80"/>
      <c r="O2103" s="145"/>
      <c r="P2103" s="79"/>
    </row>
    <row r="2104" spans="9:16">
      <c r="I2104" s="79"/>
      <c r="J2104" s="79"/>
      <c r="K2104" s="80"/>
      <c r="L2104" s="80"/>
      <c r="M2104" s="80"/>
      <c r="N2104" s="80"/>
      <c r="O2104" s="145"/>
      <c r="P2104" s="79"/>
    </row>
    <row r="2105" spans="9:16">
      <c r="I2105" s="79"/>
      <c r="J2105" s="79"/>
      <c r="K2105" s="80"/>
      <c r="L2105" s="80"/>
      <c r="M2105" s="80"/>
      <c r="N2105" s="80"/>
      <c r="O2105" s="145"/>
      <c r="P2105" s="79"/>
    </row>
    <row r="2106" spans="9:16">
      <c r="I2106" s="79"/>
      <c r="J2106" s="79"/>
      <c r="K2106" s="80"/>
      <c r="L2106" s="80"/>
      <c r="M2106" s="80"/>
      <c r="N2106" s="80"/>
      <c r="O2106" s="145"/>
      <c r="P2106" s="79"/>
    </row>
    <row r="2107" spans="9:16">
      <c r="I2107" s="79"/>
      <c r="J2107" s="79"/>
      <c r="K2107" s="80"/>
      <c r="L2107" s="80"/>
      <c r="M2107" s="80"/>
      <c r="N2107" s="80"/>
      <c r="O2107" s="145"/>
      <c r="P2107" s="79"/>
    </row>
    <row r="2108" spans="9:16">
      <c r="I2108" s="79"/>
      <c r="J2108" s="79"/>
      <c r="K2108" s="80"/>
      <c r="L2108" s="80"/>
      <c r="M2108" s="80"/>
      <c r="N2108" s="80"/>
      <c r="O2108" s="145"/>
      <c r="P2108" s="79"/>
    </row>
    <row r="2109" spans="9:16">
      <c r="I2109" s="79"/>
      <c r="J2109" s="79"/>
      <c r="K2109" s="80"/>
      <c r="L2109" s="80"/>
      <c r="M2109" s="80"/>
      <c r="N2109" s="80"/>
      <c r="O2109" s="145"/>
      <c r="P2109" s="79"/>
    </row>
    <row r="2110" spans="9:16">
      <c r="I2110" s="79"/>
      <c r="J2110" s="79"/>
      <c r="K2110" s="80"/>
      <c r="L2110" s="80"/>
      <c r="M2110" s="80"/>
      <c r="N2110" s="80"/>
      <c r="O2110" s="145"/>
      <c r="P2110" s="79"/>
    </row>
    <row r="2111" spans="9:16">
      <c r="I2111" s="79"/>
      <c r="J2111" s="79"/>
      <c r="K2111" s="80"/>
      <c r="L2111" s="80"/>
      <c r="M2111" s="80"/>
      <c r="N2111" s="80"/>
      <c r="O2111" s="145"/>
      <c r="P2111" s="79"/>
    </row>
    <row r="2112" spans="9:16">
      <c r="I2112" s="79"/>
      <c r="J2112" s="79"/>
      <c r="K2112" s="80"/>
      <c r="L2112" s="80"/>
      <c r="M2112" s="80"/>
      <c r="N2112" s="80"/>
      <c r="O2112" s="145"/>
      <c r="P2112" s="79"/>
    </row>
    <row r="2113" spans="9:16">
      <c r="I2113" s="79"/>
      <c r="J2113" s="79"/>
      <c r="K2113" s="80"/>
      <c r="L2113" s="80"/>
      <c r="M2113" s="80"/>
      <c r="N2113" s="80"/>
      <c r="O2113" s="145"/>
      <c r="P2113" s="79"/>
    </row>
    <row r="2114" spans="9:16">
      <c r="I2114" s="79"/>
      <c r="J2114" s="79"/>
      <c r="K2114" s="80"/>
      <c r="L2114" s="80"/>
      <c r="M2114" s="80"/>
      <c r="N2114" s="80"/>
      <c r="O2114" s="145"/>
      <c r="P2114" s="79"/>
    </row>
    <row r="2115" spans="9:16">
      <c r="I2115" s="79"/>
      <c r="J2115" s="79"/>
      <c r="K2115" s="80"/>
      <c r="L2115" s="80"/>
      <c r="M2115" s="80"/>
      <c r="N2115" s="80"/>
      <c r="O2115" s="145"/>
      <c r="P2115" s="79"/>
    </row>
    <row r="2116" spans="9:16">
      <c r="I2116" s="79"/>
      <c r="J2116" s="79"/>
      <c r="K2116" s="80"/>
      <c r="L2116" s="80"/>
      <c r="M2116" s="80"/>
      <c r="N2116" s="80"/>
      <c r="O2116" s="145"/>
      <c r="P2116" s="79"/>
    </row>
    <row r="2117" spans="9:16">
      <c r="I2117" s="79"/>
      <c r="J2117" s="79"/>
      <c r="K2117" s="80"/>
      <c r="L2117" s="80"/>
      <c r="M2117" s="80"/>
      <c r="N2117" s="80"/>
      <c r="O2117" s="145"/>
      <c r="P2117" s="79"/>
    </row>
    <row r="2118" spans="9:16">
      <c r="I2118" s="79"/>
      <c r="J2118" s="79"/>
      <c r="K2118" s="80"/>
      <c r="L2118" s="80"/>
      <c r="M2118" s="80"/>
      <c r="N2118" s="80"/>
      <c r="O2118" s="145"/>
      <c r="P2118" s="79"/>
    </row>
    <row r="2119" spans="9:16">
      <c r="I2119" s="79"/>
      <c r="J2119" s="79"/>
      <c r="K2119" s="80"/>
      <c r="L2119" s="80"/>
      <c r="M2119" s="80"/>
      <c r="N2119" s="80"/>
      <c r="O2119" s="145"/>
      <c r="P2119" s="79"/>
    </row>
    <row r="2120" spans="9:16">
      <c r="I2120" s="79"/>
      <c r="J2120" s="79"/>
      <c r="K2120" s="80"/>
      <c r="L2120" s="80"/>
      <c r="M2120" s="80"/>
      <c r="N2120" s="80"/>
      <c r="O2120" s="145"/>
      <c r="P2120" s="79"/>
    </row>
    <row r="2121" spans="9:16">
      <c r="I2121" s="79"/>
      <c r="J2121" s="79"/>
      <c r="K2121" s="80"/>
      <c r="L2121" s="80"/>
      <c r="M2121" s="80"/>
      <c r="N2121" s="80"/>
      <c r="O2121" s="145"/>
      <c r="P2121" s="79"/>
    </row>
    <row r="2122" spans="9:16">
      <c r="I2122" s="79"/>
      <c r="J2122" s="79"/>
      <c r="K2122" s="80"/>
      <c r="L2122" s="80"/>
      <c r="M2122" s="80"/>
      <c r="N2122" s="80"/>
      <c r="O2122" s="145"/>
      <c r="P2122" s="79"/>
    </row>
    <row r="2123" spans="9:16">
      <c r="I2123" s="79"/>
      <c r="J2123" s="79"/>
      <c r="K2123" s="80"/>
      <c r="L2123" s="80"/>
      <c r="M2123" s="80"/>
      <c r="N2123" s="80"/>
      <c r="O2123" s="145"/>
      <c r="P2123" s="79"/>
    </row>
    <row r="2124" spans="9:16">
      <c r="I2124" s="79"/>
      <c r="J2124" s="79"/>
      <c r="K2124" s="80"/>
      <c r="L2124" s="80"/>
      <c r="M2124" s="80"/>
      <c r="N2124" s="80"/>
      <c r="O2124" s="145"/>
      <c r="P2124" s="79"/>
    </row>
    <row r="2125" spans="9:16">
      <c r="I2125" s="79"/>
      <c r="J2125" s="79"/>
      <c r="K2125" s="80"/>
      <c r="L2125" s="80"/>
      <c r="M2125" s="80"/>
      <c r="N2125" s="80"/>
      <c r="O2125" s="145"/>
      <c r="P2125" s="79"/>
    </row>
    <row r="2126" spans="9:16">
      <c r="I2126" s="79"/>
      <c r="J2126" s="79"/>
      <c r="K2126" s="80"/>
      <c r="L2126" s="80"/>
      <c r="M2126" s="80"/>
      <c r="N2126" s="80"/>
      <c r="O2126" s="145"/>
      <c r="P2126" s="79"/>
    </row>
    <row r="2127" spans="9:16">
      <c r="I2127" s="79"/>
      <c r="J2127" s="79"/>
      <c r="K2127" s="80"/>
      <c r="L2127" s="80"/>
      <c r="M2127" s="80"/>
      <c r="N2127" s="80"/>
      <c r="O2127" s="145"/>
      <c r="P2127" s="79"/>
    </row>
    <row r="2128" spans="9:16">
      <c r="I2128" s="79"/>
      <c r="J2128" s="79"/>
      <c r="K2128" s="80"/>
      <c r="L2128" s="80"/>
      <c r="M2128" s="80"/>
      <c r="N2128" s="80"/>
      <c r="O2128" s="145"/>
      <c r="P2128" s="79"/>
    </row>
    <row r="2129" spans="9:16">
      <c r="I2129" s="79"/>
      <c r="J2129" s="79"/>
      <c r="K2129" s="80"/>
      <c r="L2129" s="80"/>
      <c r="M2129" s="80"/>
      <c r="N2129" s="80"/>
      <c r="O2129" s="145"/>
      <c r="P2129" s="79"/>
    </row>
    <row r="2130" spans="9:16">
      <c r="I2130" s="79"/>
      <c r="J2130" s="79"/>
      <c r="K2130" s="80"/>
      <c r="L2130" s="80"/>
      <c r="M2130" s="80"/>
      <c r="N2130" s="80"/>
      <c r="O2130" s="145"/>
      <c r="P2130" s="79"/>
    </row>
    <row r="2131" spans="9:16">
      <c r="I2131" s="79"/>
      <c r="J2131" s="79"/>
      <c r="K2131" s="80"/>
      <c r="L2131" s="80"/>
      <c r="M2131" s="80"/>
      <c r="N2131" s="80"/>
      <c r="O2131" s="145"/>
      <c r="P2131" s="79"/>
    </row>
    <row r="2132" spans="9:16">
      <c r="I2132" s="79"/>
      <c r="J2132" s="79"/>
      <c r="K2132" s="80"/>
      <c r="L2132" s="80"/>
      <c r="M2132" s="80"/>
      <c r="N2132" s="80"/>
      <c r="O2132" s="145"/>
      <c r="P2132" s="79"/>
    </row>
    <row r="2133" spans="9:16">
      <c r="I2133" s="79"/>
      <c r="J2133" s="79"/>
      <c r="K2133" s="80"/>
      <c r="L2133" s="80"/>
      <c r="M2133" s="80"/>
      <c r="N2133" s="80"/>
      <c r="O2133" s="145"/>
      <c r="P2133" s="79"/>
    </row>
    <row r="2134" spans="9:16">
      <c r="I2134" s="79"/>
      <c r="J2134" s="79"/>
      <c r="K2134" s="80"/>
      <c r="L2134" s="80"/>
      <c r="M2134" s="80"/>
      <c r="N2134" s="80"/>
      <c r="O2134" s="145"/>
      <c r="P2134" s="79"/>
    </row>
    <row r="2135" spans="9:16">
      <c r="I2135" s="79"/>
      <c r="J2135" s="79"/>
      <c r="K2135" s="80"/>
      <c r="L2135" s="80"/>
      <c r="M2135" s="80"/>
      <c r="N2135" s="80"/>
      <c r="O2135" s="145"/>
      <c r="P2135" s="79"/>
    </row>
    <row r="2136" spans="9:16">
      <c r="I2136" s="79"/>
      <c r="J2136" s="79"/>
      <c r="K2136" s="80"/>
      <c r="L2136" s="80"/>
      <c r="M2136" s="80"/>
      <c r="N2136" s="80"/>
      <c r="O2136" s="145"/>
      <c r="P2136" s="79"/>
    </row>
    <row r="2137" spans="9:16">
      <c r="I2137" s="79"/>
      <c r="J2137" s="79"/>
      <c r="K2137" s="80"/>
      <c r="L2137" s="80"/>
      <c r="M2137" s="80"/>
      <c r="N2137" s="80"/>
      <c r="O2137" s="145"/>
      <c r="P2137" s="79"/>
    </row>
    <row r="2138" spans="9:16">
      <c r="I2138" s="79"/>
      <c r="J2138" s="79"/>
      <c r="K2138" s="80"/>
      <c r="L2138" s="80"/>
      <c r="M2138" s="80"/>
      <c r="N2138" s="80"/>
      <c r="O2138" s="145"/>
      <c r="P2138" s="79"/>
    </row>
    <row r="2139" spans="9:16">
      <c r="I2139" s="79"/>
      <c r="J2139" s="79"/>
      <c r="K2139" s="80"/>
      <c r="L2139" s="80"/>
      <c r="M2139" s="80"/>
      <c r="N2139" s="80"/>
      <c r="O2139" s="145"/>
      <c r="P2139" s="79"/>
    </row>
    <row r="2140" spans="9:16">
      <c r="I2140" s="79"/>
      <c r="J2140" s="79"/>
      <c r="K2140" s="80"/>
      <c r="L2140" s="80"/>
      <c r="M2140" s="80"/>
      <c r="N2140" s="80"/>
      <c r="O2140" s="145"/>
      <c r="P2140" s="79"/>
    </row>
    <row r="2141" spans="9:16">
      <c r="I2141" s="79"/>
      <c r="J2141" s="79"/>
      <c r="K2141" s="80"/>
      <c r="L2141" s="80"/>
      <c r="M2141" s="80"/>
      <c r="N2141" s="80"/>
      <c r="O2141" s="145"/>
      <c r="P2141" s="79"/>
    </row>
    <row r="2142" spans="9:16">
      <c r="I2142" s="79"/>
      <c r="J2142" s="79"/>
      <c r="K2142" s="80"/>
      <c r="L2142" s="80"/>
      <c r="M2142" s="80"/>
      <c r="N2142" s="80"/>
      <c r="O2142" s="145"/>
      <c r="P2142" s="79"/>
    </row>
    <row r="2143" spans="9:16">
      <c r="I2143" s="79"/>
      <c r="J2143" s="79"/>
      <c r="K2143" s="80"/>
      <c r="L2143" s="80"/>
      <c r="M2143" s="80"/>
      <c r="N2143" s="80"/>
      <c r="O2143" s="145"/>
      <c r="P2143" s="79"/>
    </row>
    <row r="2144" spans="9:16">
      <c r="I2144" s="79"/>
      <c r="J2144" s="79"/>
      <c r="K2144" s="80"/>
      <c r="L2144" s="80"/>
      <c r="M2144" s="80"/>
      <c r="N2144" s="80"/>
      <c r="O2144" s="145"/>
      <c r="P2144" s="79"/>
    </row>
    <row r="2145" spans="9:16">
      <c r="I2145" s="79"/>
      <c r="J2145" s="79"/>
      <c r="K2145" s="80"/>
      <c r="L2145" s="80"/>
      <c r="M2145" s="80"/>
      <c r="N2145" s="80"/>
      <c r="O2145" s="145"/>
      <c r="P2145" s="79"/>
    </row>
    <row r="2146" spans="9:16">
      <c r="I2146" s="79"/>
      <c r="J2146" s="79"/>
      <c r="K2146" s="80"/>
      <c r="L2146" s="80"/>
      <c r="M2146" s="80"/>
      <c r="N2146" s="80"/>
      <c r="O2146" s="145"/>
      <c r="P2146" s="79"/>
    </row>
    <row r="2147" spans="9:16">
      <c r="I2147" s="79"/>
      <c r="J2147" s="79"/>
      <c r="K2147" s="80"/>
      <c r="L2147" s="80"/>
      <c r="M2147" s="80"/>
      <c r="N2147" s="80"/>
      <c r="O2147" s="145"/>
      <c r="P2147" s="79"/>
    </row>
    <row r="2148" spans="9:16">
      <c r="I2148" s="79"/>
      <c r="J2148" s="79"/>
      <c r="K2148" s="80"/>
      <c r="L2148" s="80"/>
      <c r="M2148" s="80"/>
      <c r="N2148" s="80"/>
      <c r="O2148" s="145"/>
      <c r="P2148" s="79"/>
    </row>
    <row r="2149" spans="9:16">
      <c r="I2149" s="79"/>
      <c r="J2149" s="79"/>
      <c r="K2149" s="80"/>
      <c r="L2149" s="80"/>
      <c r="M2149" s="80"/>
      <c r="N2149" s="80"/>
      <c r="O2149" s="145"/>
      <c r="P2149" s="79"/>
    </row>
    <row r="2150" spans="9:16">
      <c r="I2150" s="79"/>
      <c r="J2150" s="79"/>
      <c r="K2150" s="80"/>
      <c r="L2150" s="80"/>
      <c r="M2150" s="80"/>
      <c r="N2150" s="80"/>
      <c r="O2150" s="145"/>
      <c r="P2150" s="79"/>
    </row>
    <row r="2151" spans="9:16">
      <c r="I2151" s="79"/>
      <c r="J2151" s="79"/>
      <c r="K2151" s="80"/>
      <c r="L2151" s="80"/>
      <c r="M2151" s="80"/>
      <c r="N2151" s="80"/>
      <c r="O2151" s="145"/>
      <c r="P2151" s="79"/>
    </row>
    <row r="2152" spans="9:16">
      <c r="I2152" s="79"/>
      <c r="J2152" s="79"/>
      <c r="K2152" s="80"/>
      <c r="L2152" s="80"/>
      <c r="M2152" s="80"/>
      <c r="N2152" s="80"/>
      <c r="O2152" s="145"/>
      <c r="P2152" s="79"/>
    </row>
    <row r="2153" spans="9:16">
      <c r="I2153" s="79"/>
      <c r="J2153" s="79"/>
      <c r="K2153" s="80"/>
      <c r="L2153" s="80"/>
      <c r="M2153" s="80"/>
      <c r="N2153" s="80"/>
      <c r="O2153" s="145"/>
      <c r="P2153" s="79"/>
    </row>
    <row r="2154" spans="9:16">
      <c r="I2154" s="79"/>
      <c r="J2154" s="79"/>
      <c r="K2154" s="80"/>
      <c r="L2154" s="80"/>
      <c r="M2154" s="80"/>
      <c r="N2154" s="80"/>
      <c r="O2154" s="145"/>
      <c r="P2154" s="79"/>
    </row>
    <row r="2155" spans="9:16">
      <c r="I2155" s="79"/>
      <c r="J2155" s="79"/>
      <c r="K2155" s="80"/>
      <c r="L2155" s="80"/>
      <c r="M2155" s="80"/>
      <c r="N2155" s="80"/>
      <c r="O2155" s="145"/>
      <c r="P2155" s="79"/>
    </row>
    <row r="2156" spans="9:16">
      <c r="I2156" s="79"/>
      <c r="J2156" s="79"/>
      <c r="K2156" s="80"/>
      <c r="L2156" s="80"/>
      <c r="M2156" s="80"/>
      <c r="N2156" s="80"/>
      <c r="O2156" s="145"/>
      <c r="P2156" s="79"/>
    </row>
    <row r="2157" spans="9:16">
      <c r="I2157" s="79"/>
      <c r="J2157" s="79"/>
      <c r="K2157" s="80"/>
      <c r="L2157" s="80"/>
      <c r="M2157" s="80"/>
      <c r="N2157" s="80"/>
      <c r="O2157" s="145"/>
      <c r="P2157" s="79"/>
    </row>
    <row r="2158" spans="9:16">
      <c r="I2158" s="79"/>
      <c r="J2158" s="79"/>
      <c r="K2158" s="80"/>
      <c r="L2158" s="80"/>
      <c r="M2158" s="80"/>
      <c r="N2158" s="80"/>
      <c r="O2158" s="145"/>
      <c r="P2158" s="79"/>
    </row>
    <row r="2159" spans="9:16">
      <c r="I2159" s="79"/>
      <c r="J2159" s="79"/>
      <c r="K2159" s="80"/>
      <c r="L2159" s="80"/>
      <c r="M2159" s="80"/>
      <c r="N2159" s="80"/>
      <c r="O2159" s="145"/>
      <c r="P2159" s="79"/>
    </row>
    <row r="2160" spans="9:16">
      <c r="I2160" s="79"/>
      <c r="J2160" s="79"/>
      <c r="K2160" s="80"/>
      <c r="L2160" s="80"/>
      <c r="M2160" s="80"/>
      <c r="N2160" s="80"/>
      <c r="O2160" s="145"/>
      <c r="P2160" s="79"/>
    </row>
    <row r="2161" spans="9:16">
      <c r="I2161" s="79"/>
      <c r="J2161" s="79"/>
      <c r="K2161" s="80"/>
      <c r="L2161" s="80"/>
      <c r="M2161" s="80"/>
      <c r="N2161" s="80"/>
      <c r="O2161" s="145"/>
      <c r="P2161" s="79"/>
    </row>
    <row r="2162" spans="9:16">
      <c r="I2162" s="79"/>
      <c r="J2162" s="79"/>
      <c r="K2162" s="80"/>
      <c r="L2162" s="80"/>
      <c r="M2162" s="80"/>
      <c r="N2162" s="80"/>
      <c r="O2162" s="145"/>
      <c r="P2162" s="79"/>
    </row>
    <row r="2163" spans="9:16">
      <c r="I2163" s="79"/>
      <c r="J2163" s="79"/>
      <c r="K2163" s="80"/>
      <c r="L2163" s="80"/>
      <c r="M2163" s="80"/>
      <c r="N2163" s="80"/>
      <c r="O2163" s="145"/>
      <c r="P2163" s="79"/>
    </row>
    <row r="2164" spans="9:16">
      <c r="I2164" s="79"/>
      <c r="J2164" s="79"/>
      <c r="K2164" s="80"/>
      <c r="L2164" s="80"/>
      <c r="M2164" s="80"/>
      <c r="N2164" s="80"/>
      <c r="O2164" s="145"/>
      <c r="P2164" s="79"/>
    </row>
    <row r="2165" spans="9:16">
      <c r="I2165" s="79"/>
      <c r="J2165" s="79"/>
      <c r="K2165" s="80"/>
      <c r="L2165" s="80"/>
      <c r="M2165" s="80"/>
      <c r="N2165" s="80"/>
      <c r="O2165" s="145"/>
      <c r="P2165" s="79"/>
    </row>
    <row r="2166" spans="9:16">
      <c r="I2166" s="79"/>
      <c r="J2166" s="79"/>
      <c r="K2166" s="80"/>
      <c r="L2166" s="80"/>
      <c r="M2166" s="80"/>
      <c r="N2166" s="80"/>
      <c r="O2166" s="145"/>
      <c r="P2166" s="79"/>
    </row>
    <row r="2167" spans="9:16">
      <c r="I2167" s="79"/>
      <c r="J2167" s="79"/>
      <c r="K2167" s="80"/>
      <c r="L2167" s="80"/>
      <c r="M2167" s="80"/>
      <c r="N2167" s="80"/>
      <c r="O2167" s="145"/>
      <c r="P2167" s="79"/>
    </row>
    <row r="2168" spans="9:16">
      <c r="I2168" s="79"/>
      <c r="J2168" s="79"/>
      <c r="K2168" s="80"/>
      <c r="L2168" s="80"/>
      <c r="M2168" s="80"/>
      <c r="N2168" s="80"/>
      <c r="O2168" s="145"/>
      <c r="P2168" s="79"/>
    </row>
    <row r="2169" spans="9:16">
      <c r="I2169" s="79"/>
      <c r="J2169" s="79"/>
      <c r="K2169" s="80"/>
      <c r="L2169" s="80"/>
      <c r="M2169" s="80"/>
      <c r="N2169" s="80"/>
      <c r="O2169" s="145"/>
      <c r="P2169" s="79"/>
    </row>
    <row r="2170" spans="9:16">
      <c r="I2170" s="79"/>
      <c r="J2170" s="79"/>
      <c r="K2170" s="80"/>
      <c r="L2170" s="80"/>
      <c r="M2170" s="80"/>
      <c r="N2170" s="80"/>
      <c r="O2170" s="145"/>
      <c r="P2170" s="79"/>
    </row>
    <row r="2171" spans="9:16">
      <c r="I2171" s="79"/>
      <c r="J2171" s="79"/>
      <c r="K2171" s="80"/>
      <c r="L2171" s="80"/>
      <c r="M2171" s="80"/>
      <c r="N2171" s="80"/>
      <c r="O2171" s="145"/>
      <c r="P2171" s="79"/>
    </row>
    <row r="2172" spans="9:16">
      <c r="I2172" s="79"/>
      <c r="J2172" s="79"/>
      <c r="K2172" s="80"/>
      <c r="L2172" s="80"/>
      <c r="M2172" s="80"/>
      <c r="N2172" s="80"/>
      <c r="O2172" s="145"/>
      <c r="P2172" s="79"/>
    </row>
    <row r="2173" spans="9:16">
      <c r="I2173" s="79"/>
      <c r="J2173" s="79"/>
      <c r="K2173" s="80"/>
      <c r="L2173" s="80"/>
      <c r="M2173" s="80"/>
      <c r="N2173" s="80"/>
      <c r="O2173" s="145"/>
      <c r="P2173" s="79"/>
    </row>
    <row r="2174" spans="9:16">
      <c r="I2174" s="79"/>
      <c r="J2174" s="79"/>
      <c r="K2174" s="80"/>
      <c r="L2174" s="80"/>
      <c r="M2174" s="80"/>
      <c r="N2174" s="80"/>
      <c r="O2174" s="145"/>
      <c r="P2174" s="79"/>
    </row>
    <row r="2175" spans="9:16">
      <c r="I2175" s="79"/>
      <c r="J2175" s="79"/>
      <c r="K2175" s="80"/>
      <c r="L2175" s="80"/>
      <c r="M2175" s="80"/>
      <c r="N2175" s="80"/>
      <c r="O2175" s="145"/>
      <c r="P2175" s="79"/>
    </row>
    <row r="2176" spans="9:16">
      <c r="I2176" s="79"/>
      <c r="J2176" s="79"/>
      <c r="K2176" s="80"/>
      <c r="L2176" s="80"/>
      <c r="M2176" s="80"/>
      <c r="N2176" s="80"/>
      <c r="O2176" s="145"/>
      <c r="P2176" s="79"/>
    </row>
    <row r="2177" spans="9:16">
      <c r="I2177" s="79"/>
      <c r="J2177" s="79"/>
      <c r="K2177" s="80"/>
      <c r="L2177" s="80"/>
      <c r="M2177" s="80"/>
      <c r="N2177" s="80"/>
      <c r="O2177" s="145"/>
      <c r="P2177" s="79"/>
    </row>
    <row r="2178" spans="9:16">
      <c r="I2178" s="79"/>
      <c r="J2178" s="79"/>
      <c r="K2178" s="80"/>
      <c r="L2178" s="80"/>
      <c r="M2178" s="80"/>
      <c r="N2178" s="80"/>
      <c r="O2178" s="145"/>
      <c r="P2178" s="79"/>
    </row>
    <row r="2179" spans="9:16">
      <c r="I2179" s="79"/>
      <c r="J2179" s="79"/>
      <c r="K2179" s="80"/>
      <c r="L2179" s="80"/>
      <c r="M2179" s="80"/>
      <c r="N2179" s="80"/>
      <c r="O2179" s="145"/>
      <c r="P2179" s="79"/>
    </row>
    <row r="2180" spans="9:16">
      <c r="I2180" s="79"/>
      <c r="J2180" s="79"/>
      <c r="K2180" s="80"/>
      <c r="L2180" s="80"/>
      <c r="M2180" s="80"/>
      <c r="N2180" s="80"/>
      <c r="O2180" s="145"/>
      <c r="P2180" s="79"/>
    </row>
    <row r="2181" spans="9:16">
      <c r="I2181" s="79"/>
      <c r="J2181" s="79"/>
      <c r="K2181" s="80"/>
      <c r="L2181" s="80"/>
      <c r="M2181" s="80"/>
      <c r="N2181" s="80"/>
      <c r="O2181" s="145"/>
      <c r="P2181" s="79"/>
    </row>
    <row r="2182" spans="9:16">
      <c r="I2182" s="79"/>
      <c r="J2182" s="79"/>
      <c r="K2182" s="80"/>
      <c r="L2182" s="80"/>
      <c r="M2182" s="80"/>
      <c r="N2182" s="80"/>
      <c r="O2182" s="145"/>
      <c r="P2182" s="79"/>
    </row>
    <row r="2183" spans="9:16">
      <c r="I2183" s="79"/>
      <c r="J2183" s="79"/>
      <c r="K2183" s="80"/>
      <c r="L2183" s="80"/>
      <c r="M2183" s="80"/>
      <c r="N2183" s="80"/>
      <c r="O2183" s="145"/>
      <c r="P2183" s="79"/>
    </row>
    <row r="2184" spans="9:16">
      <c r="I2184" s="79"/>
      <c r="J2184" s="79"/>
      <c r="K2184" s="80"/>
      <c r="L2184" s="80"/>
      <c r="M2184" s="80"/>
      <c r="N2184" s="80"/>
      <c r="O2184" s="145"/>
      <c r="P2184" s="79"/>
    </row>
    <row r="2185" spans="9:16">
      <c r="I2185" s="79"/>
      <c r="J2185" s="79"/>
      <c r="K2185" s="80"/>
      <c r="L2185" s="80"/>
      <c r="M2185" s="80"/>
      <c r="N2185" s="80"/>
      <c r="O2185" s="145"/>
      <c r="P2185" s="79"/>
    </row>
    <row r="2186" spans="9:16">
      <c r="I2186" s="79"/>
      <c r="J2186" s="79"/>
      <c r="K2186" s="80"/>
      <c r="L2186" s="80"/>
      <c r="M2186" s="80"/>
      <c r="N2186" s="80"/>
      <c r="O2186" s="145"/>
      <c r="P2186" s="79"/>
    </row>
    <row r="2187" spans="9:16">
      <c r="I2187" s="79"/>
      <c r="J2187" s="79"/>
      <c r="K2187" s="80"/>
      <c r="L2187" s="80"/>
      <c r="M2187" s="80"/>
      <c r="N2187" s="80"/>
      <c r="O2187" s="145"/>
      <c r="P2187" s="79"/>
    </row>
    <row r="2188" spans="9:16">
      <c r="I2188" s="79"/>
      <c r="J2188" s="79"/>
      <c r="K2188" s="80"/>
      <c r="L2188" s="80"/>
      <c r="M2188" s="80"/>
      <c r="N2188" s="80"/>
      <c r="O2188" s="145"/>
      <c r="P2188" s="79"/>
    </row>
    <row r="2189" spans="9:16">
      <c r="I2189" s="79"/>
      <c r="J2189" s="79"/>
      <c r="K2189" s="80"/>
      <c r="L2189" s="80"/>
      <c r="M2189" s="80"/>
      <c r="N2189" s="80"/>
      <c r="O2189" s="145"/>
      <c r="P2189" s="79"/>
    </row>
    <row r="2190" spans="9:16">
      <c r="I2190" s="79"/>
      <c r="J2190" s="79"/>
      <c r="K2190" s="80"/>
      <c r="L2190" s="80"/>
      <c r="M2190" s="80"/>
      <c r="N2190" s="80"/>
      <c r="O2190" s="145"/>
      <c r="P2190" s="79"/>
    </row>
    <row r="2191" spans="9:16">
      <c r="I2191" s="79"/>
      <c r="J2191" s="79"/>
      <c r="K2191" s="80"/>
      <c r="L2191" s="80"/>
      <c r="M2191" s="80"/>
      <c r="N2191" s="80"/>
      <c r="O2191" s="145"/>
      <c r="P2191" s="79"/>
    </row>
    <row r="2192" spans="9:16">
      <c r="I2192" s="79"/>
      <c r="J2192" s="79"/>
      <c r="K2192" s="80"/>
      <c r="L2192" s="80"/>
      <c r="M2192" s="80"/>
      <c r="N2192" s="80"/>
      <c r="O2192" s="145"/>
      <c r="P2192" s="79"/>
    </row>
    <row r="2193" spans="9:16">
      <c r="I2193" s="79"/>
      <c r="J2193" s="79"/>
      <c r="K2193" s="80"/>
      <c r="L2193" s="80"/>
      <c r="M2193" s="80"/>
      <c r="N2193" s="80"/>
      <c r="O2193" s="145"/>
      <c r="P2193" s="79"/>
    </row>
    <row r="2194" spans="9:16">
      <c r="I2194" s="79"/>
      <c r="J2194" s="79"/>
      <c r="K2194" s="80"/>
      <c r="L2194" s="80"/>
      <c r="M2194" s="80"/>
      <c r="N2194" s="80"/>
      <c r="O2194" s="145"/>
      <c r="P2194" s="79"/>
    </row>
    <row r="2195" spans="9:16">
      <c r="I2195" s="79"/>
      <c r="J2195" s="79"/>
      <c r="K2195" s="80"/>
      <c r="L2195" s="80"/>
      <c r="M2195" s="80"/>
      <c r="N2195" s="80"/>
      <c r="O2195" s="145"/>
      <c r="P2195" s="79"/>
    </row>
    <row r="2196" spans="9:16">
      <c r="I2196" s="79"/>
      <c r="J2196" s="79"/>
      <c r="K2196" s="80"/>
      <c r="L2196" s="80"/>
      <c r="M2196" s="80"/>
      <c r="N2196" s="80"/>
      <c r="O2196" s="145"/>
      <c r="P2196" s="79"/>
    </row>
    <row r="2197" spans="9:16">
      <c r="I2197" s="79"/>
      <c r="J2197" s="79"/>
      <c r="K2197" s="80"/>
      <c r="L2197" s="80"/>
      <c r="M2197" s="80"/>
      <c r="N2197" s="80"/>
      <c r="O2197" s="145"/>
      <c r="P2197" s="79"/>
    </row>
    <row r="2198" spans="9:16">
      <c r="I2198" s="79"/>
      <c r="J2198" s="79"/>
      <c r="K2198" s="80"/>
      <c r="L2198" s="80"/>
      <c r="M2198" s="80"/>
      <c r="N2198" s="80"/>
      <c r="O2198" s="145"/>
      <c r="P2198" s="79"/>
    </row>
    <row r="2199" spans="9:16">
      <c r="I2199" s="79"/>
      <c r="J2199" s="79"/>
      <c r="K2199" s="80"/>
      <c r="L2199" s="80"/>
      <c r="M2199" s="80"/>
      <c r="N2199" s="80"/>
      <c r="O2199" s="145"/>
      <c r="P2199" s="79"/>
    </row>
    <row r="2200" spans="9:16">
      <c r="I2200" s="79"/>
      <c r="J2200" s="79"/>
      <c r="K2200" s="80"/>
      <c r="L2200" s="80"/>
      <c r="M2200" s="80"/>
      <c r="N2200" s="80"/>
      <c r="O2200" s="145"/>
      <c r="P2200" s="79"/>
    </row>
    <row r="2201" spans="9:16">
      <c r="I2201" s="79"/>
      <c r="J2201" s="79"/>
      <c r="K2201" s="80"/>
      <c r="L2201" s="80"/>
      <c r="M2201" s="80"/>
      <c r="N2201" s="80"/>
      <c r="O2201" s="145"/>
      <c r="P2201" s="79"/>
    </row>
    <row r="2202" spans="9:16">
      <c r="I2202" s="79"/>
      <c r="J2202" s="79"/>
      <c r="K2202" s="80"/>
      <c r="L2202" s="80"/>
      <c r="M2202" s="80"/>
      <c r="N2202" s="80"/>
      <c r="O2202" s="145"/>
      <c r="P2202" s="79"/>
    </row>
    <row r="2203" spans="9:16">
      <c r="I2203" s="79"/>
      <c r="J2203" s="79"/>
      <c r="K2203" s="80"/>
      <c r="L2203" s="80"/>
      <c r="M2203" s="80"/>
      <c r="N2203" s="80"/>
      <c r="O2203" s="145"/>
      <c r="P2203" s="79"/>
    </row>
    <row r="2204" spans="9:16">
      <c r="I2204" s="79"/>
      <c r="J2204" s="79"/>
      <c r="K2204" s="80"/>
      <c r="L2204" s="80"/>
      <c r="M2204" s="80"/>
      <c r="N2204" s="80"/>
      <c r="O2204" s="145"/>
      <c r="P2204" s="79"/>
    </row>
    <row r="2205" spans="9:16">
      <c r="I2205" s="79"/>
      <c r="J2205" s="79"/>
      <c r="K2205" s="80"/>
      <c r="L2205" s="80"/>
      <c r="M2205" s="80"/>
      <c r="N2205" s="80"/>
      <c r="O2205" s="145"/>
      <c r="P2205" s="79"/>
    </row>
    <row r="2206" spans="9:16">
      <c r="I2206" s="79"/>
      <c r="J2206" s="79"/>
      <c r="K2206" s="80"/>
      <c r="L2206" s="80"/>
      <c r="M2206" s="80"/>
      <c r="N2206" s="80"/>
      <c r="O2206" s="145"/>
      <c r="P2206" s="79"/>
    </row>
    <row r="2207" spans="9:16">
      <c r="I2207" s="79"/>
      <c r="J2207" s="79"/>
      <c r="K2207" s="80"/>
      <c r="L2207" s="80"/>
      <c r="M2207" s="80"/>
      <c r="N2207" s="80"/>
      <c r="O2207" s="145"/>
      <c r="P2207" s="79"/>
    </row>
    <row r="2208" spans="9:16">
      <c r="I2208" s="79"/>
      <c r="J2208" s="79"/>
      <c r="K2208" s="80"/>
      <c r="L2208" s="80"/>
      <c r="M2208" s="80"/>
      <c r="N2208" s="80"/>
      <c r="O2208" s="145"/>
      <c r="P2208" s="79"/>
    </row>
    <row r="2209" spans="9:16">
      <c r="I2209" s="79"/>
      <c r="J2209" s="79"/>
      <c r="K2209" s="80"/>
      <c r="L2209" s="80"/>
      <c r="M2209" s="80"/>
      <c r="N2209" s="80"/>
      <c r="O2209" s="145"/>
      <c r="P2209" s="79"/>
    </row>
    <row r="2210" spans="9:16">
      <c r="I2210" s="79"/>
      <c r="J2210" s="79"/>
      <c r="K2210" s="80"/>
      <c r="L2210" s="80"/>
      <c r="M2210" s="80"/>
      <c r="N2210" s="80"/>
      <c r="O2210" s="145"/>
      <c r="P2210" s="79"/>
    </row>
    <row r="2211" spans="9:16">
      <c r="I2211" s="79"/>
      <c r="J2211" s="79"/>
      <c r="K2211" s="80"/>
      <c r="L2211" s="80"/>
      <c r="M2211" s="80"/>
      <c r="N2211" s="80"/>
      <c r="O2211" s="145"/>
      <c r="P2211" s="79"/>
    </row>
    <row r="2212" spans="9:16">
      <c r="I2212" s="79"/>
      <c r="J2212" s="79"/>
      <c r="K2212" s="80"/>
      <c r="L2212" s="80"/>
      <c r="M2212" s="80"/>
      <c r="N2212" s="80"/>
      <c r="O2212" s="145"/>
      <c r="P2212" s="79"/>
    </row>
    <row r="2213" spans="9:16">
      <c r="I2213" s="79"/>
      <c r="J2213" s="79"/>
      <c r="K2213" s="80"/>
      <c r="L2213" s="80"/>
      <c r="M2213" s="80"/>
      <c r="N2213" s="80"/>
      <c r="O2213" s="145"/>
      <c r="P2213" s="79"/>
    </row>
    <row r="2214" spans="9:16">
      <c r="I2214" s="79"/>
      <c r="J2214" s="79"/>
      <c r="K2214" s="80"/>
      <c r="L2214" s="80"/>
      <c r="M2214" s="80"/>
      <c r="N2214" s="80"/>
      <c r="O2214" s="145"/>
      <c r="P2214" s="79"/>
    </row>
    <row r="2215" spans="9:16">
      <c r="I2215" s="79"/>
      <c r="J2215" s="79"/>
      <c r="K2215" s="80"/>
      <c r="L2215" s="80"/>
      <c r="M2215" s="80"/>
      <c r="N2215" s="80"/>
      <c r="O2215" s="145"/>
      <c r="P2215" s="79"/>
    </row>
    <row r="2216" spans="9:16">
      <c r="I2216" s="79"/>
      <c r="J2216" s="79"/>
      <c r="K2216" s="80"/>
      <c r="L2216" s="80"/>
      <c r="M2216" s="80"/>
      <c r="N2216" s="80"/>
      <c r="O2216" s="145"/>
      <c r="P2216" s="79"/>
    </row>
    <row r="2217" spans="9:16">
      <c r="I2217" s="79"/>
      <c r="J2217" s="79"/>
      <c r="K2217" s="80"/>
      <c r="L2217" s="80"/>
      <c r="M2217" s="80"/>
      <c r="N2217" s="80"/>
      <c r="O2217" s="145"/>
      <c r="P2217" s="79"/>
    </row>
    <row r="2218" spans="9:16">
      <c r="I2218" s="79"/>
      <c r="J2218" s="79"/>
      <c r="K2218" s="80"/>
      <c r="L2218" s="80"/>
      <c r="M2218" s="80"/>
      <c r="N2218" s="80"/>
      <c r="O2218" s="145"/>
      <c r="P2218" s="79"/>
    </row>
  </sheetData>
  <mergeCells count="20">
    <mergeCell ref="F1:P1"/>
    <mergeCell ref="S1:AC1"/>
    <mergeCell ref="F2:F3"/>
    <mergeCell ref="J2:J3"/>
    <mergeCell ref="K2:K3"/>
    <mergeCell ref="L2:L3"/>
    <mergeCell ref="M2:M3"/>
    <mergeCell ref="N2:N3"/>
    <mergeCell ref="O2:O3"/>
    <mergeCell ref="P2:P3"/>
    <mergeCell ref="AB2:AB3"/>
    <mergeCell ref="AC2:AC3"/>
    <mergeCell ref="Y2:Y3"/>
    <mergeCell ref="Z2:Z3"/>
    <mergeCell ref="AA2:AA3"/>
    <mergeCell ref="B10:C10"/>
    <mergeCell ref="B23:C26"/>
    <mergeCell ref="S2:S3"/>
    <mergeCell ref="W2:W3"/>
    <mergeCell ref="X2:X3"/>
  </mergeCells>
  <dataValidations count="7">
    <dataValidation type="list" allowBlank="1" showInputMessage="1" showErrorMessage="1" sqref="C6" xr:uid="{195AE4C5-9BEF-48D1-AEDC-8B99393E5821}">
      <formula1>"Yes, No"</formula1>
    </dataValidation>
    <dataValidation type="decimal" allowBlank="1" showInputMessage="1" showErrorMessage="1" error="The annuity percentage must be between 0.0% and 1.0% per annum" prompt="The annuity percentage must be between 0.0% and 1.0% per annum" sqref="C18 C16" xr:uid="{31706FCD-CED2-4592-853C-18424D110127}">
      <formula1>0</formula1>
      <formula2>0.01</formula2>
    </dataValidation>
    <dataValidation type="decimal" allowBlank="1" showInputMessage="1" showErrorMessage="1" error="The annuity percentage must be between 0.0% and 1.5% per annum" prompt="The annuity percentage must be between 0.0% and 1.5% per annum" sqref="C15" xr:uid="{225031B9-F0AE-48B6-AC7A-E16777B1E2BF}">
      <formula1>0</formula1>
      <formula2>0.015</formula2>
    </dataValidation>
    <dataValidation type="decimal" allowBlank="1" showInputMessage="1" showErrorMessage="1" error="The annuity percentage must be between 0.0% and 2.0% per annum" prompt="The annuity percentage must be between 0.0% and 2.0% per annum" sqref="C17" xr:uid="{D8132A2A-BD40-4BEB-A47C-060574B50AE6}">
      <formula1>0</formula1>
      <formula2>0.02</formula2>
    </dataValidation>
    <dataValidation type="whole" operator="greaterThanOrEqual" allowBlank="1" showInputMessage="1" showErrorMessage="1" error="The Minimum Investment is BP 300,000 " prompt="The Minimum Investment is BP 300,000 " sqref="C4" xr:uid="{9EBCD8D2-283D-4BE7-915E-2D110C07212F}">
      <formula1>300000</formula1>
    </dataValidation>
    <dataValidation type="decimal" allowBlank="1" showInputMessage="1" showErrorMessage="1" error="Starting age must be between 50 and 85" prompt="Starting age must be between 50 and 85" sqref="C3" xr:uid="{DDD4423B-71CF-4FEA-AFBB-058E50B15A71}">
      <formula1>45</formula1>
      <formula2>85</formula2>
    </dataValidation>
    <dataValidation type="list" allowBlank="1" showInputMessage="1" showErrorMessage="1" prompt="Annual or Monthly Payments" sqref="C5" xr:uid="{DA0D7F22-6B6A-4789-8948-C2C1B8DAAF70}">
      <formula1>"Annual, Monthly"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oalSeekLifeAnnuity">
                <anchor moveWithCells="1" sizeWithCells="1">
                  <from>
                    <xdr:col>1</xdr:col>
                    <xdr:colOff>2235200</xdr:colOff>
                    <xdr:row>24</xdr:row>
                    <xdr:rowOff>12700</xdr:rowOff>
                  </from>
                  <to>
                    <xdr:col>2</xdr:col>
                    <xdr:colOff>660400</xdr:colOff>
                    <xdr:row>25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95EF-541C-42C7-AACC-0CFB6DD6A06B}">
  <sheetPr codeName="Sheet5">
    <tabColor rgb="FFFFFFCC"/>
  </sheetPr>
  <dimension ref="B2:G96"/>
  <sheetViews>
    <sheetView showGridLines="0" topLeftCell="A3" workbookViewId="0">
      <selection activeCell="F10" sqref="F10"/>
    </sheetView>
  </sheetViews>
  <sheetFormatPr baseColWidth="10" defaultColWidth="8.83203125" defaultRowHeight="13"/>
  <cols>
    <col min="1" max="2" width="9.1640625" style="28"/>
    <col min="3" max="6" width="8.83203125" style="31" customWidth="1"/>
    <col min="7" max="258" width="9.1640625" style="28"/>
    <col min="259" max="262" width="8.83203125" style="28" customWidth="1"/>
    <col min="263" max="514" width="9.1640625" style="28"/>
    <col min="515" max="518" width="8.83203125" style="28" customWidth="1"/>
    <col min="519" max="770" width="9.1640625" style="28"/>
    <col min="771" max="774" width="8.83203125" style="28" customWidth="1"/>
    <col min="775" max="1026" width="9.1640625" style="28"/>
    <col min="1027" max="1030" width="8.83203125" style="28" customWidth="1"/>
    <col min="1031" max="1282" width="9.1640625" style="28"/>
    <col min="1283" max="1286" width="8.83203125" style="28" customWidth="1"/>
    <col min="1287" max="1538" width="9.1640625" style="28"/>
    <col min="1539" max="1542" width="8.83203125" style="28" customWidth="1"/>
    <col min="1543" max="1794" width="9.1640625" style="28"/>
    <col min="1795" max="1798" width="8.83203125" style="28" customWidth="1"/>
    <col min="1799" max="2050" width="9.1640625" style="28"/>
    <col min="2051" max="2054" width="8.83203125" style="28" customWidth="1"/>
    <col min="2055" max="2306" width="9.1640625" style="28"/>
    <col min="2307" max="2310" width="8.83203125" style="28" customWidth="1"/>
    <col min="2311" max="2562" width="9.1640625" style="28"/>
    <col min="2563" max="2566" width="8.83203125" style="28" customWidth="1"/>
    <col min="2567" max="2818" width="9.1640625" style="28"/>
    <col min="2819" max="2822" width="8.83203125" style="28" customWidth="1"/>
    <col min="2823" max="3074" width="9.1640625" style="28"/>
    <col min="3075" max="3078" width="8.83203125" style="28" customWidth="1"/>
    <col min="3079" max="3330" width="9.1640625" style="28"/>
    <col min="3331" max="3334" width="8.83203125" style="28" customWidth="1"/>
    <col min="3335" max="3586" width="9.1640625" style="28"/>
    <col min="3587" max="3590" width="8.83203125" style="28" customWidth="1"/>
    <col min="3591" max="3842" width="9.1640625" style="28"/>
    <col min="3843" max="3846" width="8.83203125" style="28" customWidth="1"/>
    <col min="3847" max="4098" width="9.1640625" style="28"/>
    <col min="4099" max="4102" width="8.83203125" style="28" customWidth="1"/>
    <col min="4103" max="4354" width="9.1640625" style="28"/>
    <col min="4355" max="4358" width="8.83203125" style="28" customWidth="1"/>
    <col min="4359" max="4610" width="9.1640625" style="28"/>
    <col min="4611" max="4614" width="8.83203125" style="28" customWidth="1"/>
    <col min="4615" max="4866" width="9.1640625" style="28"/>
    <col min="4867" max="4870" width="8.83203125" style="28" customWidth="1"/>
    <col min="4871" max="5122" width="9.1640625" style="28"/>
    <col min="5123" max="5126" width="8.83203125" style="28" customWidth="1"/>
    <col min="5127" max="5378" width="9.1640625" style="28"/>
    <col min="5379" max="5382" width="8.83203125" style="28" customWidth="1"/>
    <col min="5383" max="5634" width="9.1640625" style="28"/>
    <col min="5635" max="5638" width="8.83203125" style="28" customWidth="1"/>
    <col min="5639" max="5890" width="9.1640625" style="28"/>
    <col min="5891" max="5894" width="8.83203125" style="28" customWidth="1"/>
    <col min="5895" max="6146" width="9.1640625" style="28"/>
    <col min="6147" max="6150" width="8.83203125" style="28" customWidth="1"/>
    <col min="6151" max="6402" width="9.1640625" style="28"/>
    <col min="6403" max="6406" width="8.83203125" style="28" customWidth="1"/>
    <col min="6407" max="6658" width="9.1640625" style="28"/>
    <col min="6659" max="6662" width="8.83203125" style="28" customWidth="1"/>
    <col min="6663" max="6914" width="9.1640625" style="28"/>
    <col min="6915" max="6918" width="8.83203125" style="28" customWidth="1"/>
    <col min="6919" max="7170" width="9.1640625" style="28"/>
    <col min="7171" max="7174" width="8.83203125" style="28" customWidth="1"/>
    <col min="7175" max="7426" width="9.1640625" style="28"/>
    <col min="7427" max="7430" width="8.83203125" style="28" customWidth="1"/>
    <col min="7431" max="7682" width="9.1640625" style="28"/>
    <col min="7683" max="7686" width="8.83203125" style="28" customWidth="1"/>
    <col min="7687" max="7938" width="9.1640625" style="28"/>
    <col min="7939" max="7942" width="8.83203125" style="28" customWidth="1"/>
    <col min="7943" max="8194" width="9.1640625" style="28"/>
    <col min="8195" max="8198" width="8.83203125" style="28" customWidth="1"/>
    <col min="8199" max="8450" width="9.1640625" style="28"/>
    <col min="8451" max="8454" width="8.83203125" style="28" customWidth="1"/>
    <col min="8455" max="8706" width="9.1640625" style="28"/>
    <col min="8707" max="8710" width="8.83203125" style="28" customWidth="1"/>
    <col min="8711" max="8962" width="9.1640625" style="28"/>
    <col min="8963" max="8966" width="8.83203125" style="28" customWidth="1"/>
    <col min="8967" max="9218" width="9.1640625" style="28"/>
    <col min="9219" max="9222" width="8.83203125" style="28" customWidth="1"/>
    <col min="9223" max="9474" width="9.1640625" style="28"/>
    <col min="9475" max="9478" width="8.83203125" style="28" customWidth="1"/>
    <col min="9479" max="9730" width="9.1640625" style="28"/>
    <col min="9731" max="9734" width="8.83203125" style="28" customWidth="1"/>
    <col min="9735" max="9986" width="9.1640625" style="28"/>
    <col min="9987" max="9990" width="8.83203125" style="28" customWidth="1"/>
    <col min="9991" max="10242" width="9.1640625" style="28"/>
    <col min="10243" max="10246" width="8.83203125" style="28" customWidth="1"/>
    <col min="10247" max="10498" width="9.1640625" style="28"/>
    <col min="10499" max="10502" width="8.83203125" style="28" customWidth="1"/>
    <col min="10503" max="10754" width="9.1640625" style="28"/>
    <col min="10755" max="10758" width="8.83203125" style="28" customWidth="1"/>
    <col min="10759" max="11010" width="9.1640625" style="28"/>
    <col min="11011" max="11014" width="8.83203125" style="28" customWidth="1"/>
    <col min="11015" max="11266" width="9.1640625" style="28"/>
    <col min="11267" max="11270" width="8.83203125" style="28" customWidth="1"/>
    <col min="11271" max="11522" width="9.1640625" style="28"/>
    <col min="11523" max="11526" width="8.83203125" style="28" customWidth="1"/>
    <col min="11527" max="11778" width="9.1640625" style="28"/>
    <col min="11779" max="11782" width="8.83203125" style="28" customWidth="1"/>
    <col min="11783" max="12034" width="9.1640625" style="28"/>
    <col min="12035" max="12038" width="8.83203125" style="28" customWidth="1"/>
    <col min="12039" max="12290" width="9.1640625" style="28"/>
    <col min="12291" max="12294" width="8.83203125" style="28" customWidth="1"/>
    <col min="12295" max="12546" width="9.1640625" style="28"/>
    <col min="12547" max="12550" width="8.83203125" style="28" customWidth="1"/>
    <col min="12551" max="12802" width="9.1640625" style="28"/>
    <col min="12803" max="12806" width="8.83203125" style="28" customWidth="1"/>
    <col min="12807" max="13058" width="9.1640625" style="28"/>
    <col min="13059" max="13062" width="8.83203125" style="28" customWidth="1"/>
    <col min="13063" max="13314" width="9.1640625" style="28"/>
    <col min="13315" max="13318" width="8.83203125" style="28" customWidth="1"/>
    <col min="13319" max="13570" width="9.1640625" style="28"/>
    <col min="13571" max="13574" width="8.83203125" style="28" customWidth="1"/>
    <col min="13575" max="13826" width="9.1640625" style="28"/>
    <col min="13827" max="13830" width="8.83203125" style="28" customWidth="1"/>
    <col min="13831" max="14082" width="9.1640625" style="28"/>
    <col min="14083" max="14086" width="8.83203125" style="28" customWidth="1"/>
    <col min="14087" max="14338" width="9.1640625" style="28"/>
    <col min="14339" max="14342" width="8.83203125" style="28" customWidth="1"/>
    <col min="14343" max="14594" width="9.1640625" style="28"/>
    <col min="14595" max="14598" width="8.83203125" style="28" customWidth="1"/>
    <col min="14599" max="14850" width="9.1640625" style="28"/>
    <col min="14851" max="14854" width="8.83203125" style="28" customWidth="1"/>
    <col min="14855" max="15106" width="9.1640625" style="28"/>
    <col min="15107" max="15110" width="8.83203125" style="28" customWidth="1"/>
    <col min="15111" max="15362" width="9.1640625" style="28"/>
    <col min="15363" max="15366" width="8.83203125" style="28" customWidth="1"/>
    <col min="15367" max="15618" width="9.1640625" style="28"/>
    <col min="15619" max="15622" width="8.83203125" style="28" customWidth="1"/>
    <col min="15623" max="15874" width="9.1640625" style="28"/>
    <col min="15875" max="15878" width="8.83203125" style="28" customWidth="1"/>
    <col min="15879" max="16130" width="9.1640625" style="28"/>
    <col min="16131" max="16134" width="8.83203125" style="28" customWidth="1"/>
    <col min="16135" max="16384" width="9.1640625" style="28"/>
  </cols>
  <sheetData>
    <row r="2" spans="2:7" ht="16">
      <c r="B2" s="25" t="s">
        <v>44</v>
      </c>
      <c r="C2" s="26"/>
      <c r="D2" s="26"/>
      <c r="E2" s="26"/>
      <c r="F2" s="26"/>
      <c r="G2" s="27"/>
    </row>
    <row r="4" spans="2:7">
      <c r="B4" s="29" t="s">
        <v>86</v>
      </c>
      <c r="C4" s="30"/>
      <c r="D4" s="30"/>
      <c r="E4" s="30"/>
      <c r="F4" s="30"/>
      <c r="G4" s="29"/>
    </row>
    <row r="5" spans="2:7">
      <c r="B5" s="29" t="s">
        <v>87</v>
      </c>
      <c r="C5" s="30" t="s">
        <v>88</v>
      </c>
      <c r="D5" s="30" t="s">
        <v>89</v>
      </c>
      <c r="E5" s="30" t="s">
        <v>90</v>
      </c>
      <c r="F5" s="30" t="s">
        <v>91</v>
      </c>
      <c r="G5" s="29" t="s">
        <v>92</v>
      </c>
    </row>
    <row r="7" spans="2:7">
      <c r="F7" s="31">
        <v>1.89E-3</v>
      </c>
      <c r="G7" s="28">
        <v>15</v>
      </c>
    </row>
    <row r="8" spans="2:7">
      <c r="F8" s="31">
        <v>2.3999999999999998E-3</v>
      </c>
      <c r="G8" s="28">
        <v>16</v>
      </c>
    </row>
    <row r="9" spans="2:7">
      <c r="F9" s="31">
        <v>2.9499999999999999E-3</v>
      </c>
      <c r="G9" s="28">
        <v>17</v>
      </c>
    </row>
    <row r="10" spans="2:7">
      <c r="B10" s="28">
        <v>15</v>
      </c>
      <c r="C10" s="31">
        <v>1.89E-3</v>
      </c>
      <c r="D10" s="31">
        <v>2.3999999999999998E-3</v>
      </c>
      <c r="E10" s="31">
        <v>2.9499999999999999E-3</v>
      </c>
      <c r="F10" s="31">
        <v>3.3E-3</v>
      </c>
      <c r="G10" s="28">
        <v>18</v>
      </c>
    </row>
    <row r="11" spans="2:7">
      <c r="B11" s="28">
        <v>16</v>
      </c>
      <c r="C11" s="31">
        <v>2.3999999999999998E-3</v>
      </c>
      <c r="D11" s="31">
        <v>2.9499999999999999E-3</v>
      </c>
      <c r="E11" s="31">
        <v>3.3E-3</v>
      </c>
      <c r="F11" s="31">
        <v>3.3500000000000001E-3</v>
      </c>
      <c r="G11" s="28">
        <v>19</v>
      </c>
    </row>
    <row r="12" spans="2:7">
      <c r="B12" s="28">
        <v>17</v>
      </c>
      <c r="C12" s="31">
        <v>2.9499999999999999E-3</v>
      </c>
      <c r="D12" s="31">
        <v>3.3E-3</v>
      </c>
      <c r="E12" s="31">
        <v>3.3500000000000001E-3</v>
      </c>
      <c r="F12" s="31">
        <v>3.0200000000000001E-3</v>
      </c>
      <c r="G12" s="28">
        <v>20</v>
      </c>
    </row>
    <row r="13" spans="2:7">
      <c r="B13" s="28">
        <v>18</v>
      </c>
      <c r="C13" s="31">
        <v>3.3E-3</v>
      </c>
      <c r="D13" s="31">
        <v>3.3500000000000001E-3</v>
      </c>
      <c r="E13" s="31">
        <v>3.0200000000000001E-3</v>
      </c>
      <c r="F13" s="31">
        <v>2.8300000000000001E-3</v>
      </c>
      <c r="G13" s="28">
        <v>21</v>
      </c>
    </row>
    <row r="14" spans="2:7">
      <c r="B14" s="28">
        <v>19</v>
      </c>
      <c r="C14" s="31">
        <v>3.3500000000000001E-3</v>
      </c>
      <c r="D14" s="31">
        <v>3.0200000000000001E-3</v>
      </c>
      <c r="E14" s="31">
        <v>2.8300000000000001E-3</v>
      </c>
      <c r="F14" s="31">
        <v>2.66E-3</v>
      </c>
      <c r="G14" s="28">
        <v>22</v>
      </c>
    </row>
    <row r="15" spans="2:7">
      <c r="B15" s="28">
        <v>20</v>
      </c>
      <c r="C15" s="31">
        <v>3.0200000000000001E-3</v>
      </c>
      <c r="D15" s="31">
        <v>2.8300000000000001E-3</v>
      </c>
      <c r="E15" s="31">
        <v>2.66E-3</v>
      </c>
      <c r="F15" s="31">
        <v>2.5100000000000001E-3</v>
      </c>
      <c r="G15" s="28">
        <v>23</v>
      </c>
    </row>
    <row r="16" spans="2:7">
      <c r="B16" s="28">
        <v>21</v>
      </c>
      <c r="C16" s="31">
        <v>2.8300000000000001E-3</v>
      </c>
      <c r="D16" s="31">
        <v>2.66E-3</v>
      </c>
      <c r="E16" s="31">
        <v>2.5100000000000001E-3</v>
      </c>
      <c r="F16" s="31">
        <v>2.3900000000000002E-3</v>
      </c>
      <c r="G16" s="28">
        <v>24</v>
      </c>
    </row>
    <row r="17" spans="2:7">
      <c r="B17" s="28">
        <v>22</v>
      </c>
      <c r="C17" s="31">
        <v>2.66E-3</v>
      </c>
      <c r="D17" s="31">
        <v>2.5100000000000001E-3</v>
      </c>
      <c r="E17" s="31">
        <v>2.3900000000000002E-3</v>
      </c>
      <c r="F17" s="31">
        <v>2.2799999999999999E-3</v>
      </c>
      <c r="G17" s="28">
        <v>25</v>
      </c>
    </row>
    <row r="18" spans="2:7">
      <c r="B18" s="28">
        <v>23</v>
      </c>
      <c r="C18" s="31">
        <v>2.5100000000000001E-3</v>
      </c>
      <c r="D18" s="31">
        <v>2.3900000000000002E-3</v>
      </c>
      <c r="E18" s="31">
        <v>2.2799999999999999E-3</v>
      </c>
      <c r="F18" s="31">
        <v>2.2000000000000001E-3</v>
      </c>
      <c r="G18" s="28">
        <v>26</v>
      </c>
    </row>
    <row r="19" spans="2:7">
      <c r="B19" s="28">
        <v>24</v>
      </c>
      <c r="C19" s="31">
        <v>2.3900000000000002E-3</v>
      </c>
      <c r="D19" s="31">
        <v>2.2799999999999999E-3</v>
      </c>
      <c r="E19" s="31">
        <v>2.2000000000000001E-3</v>
      </c>
      <c r="F19" s="31">
        <v>2.1299999999999999E-3</v>
      </c>
      <c r="G19" s="28">
        <v>27</v>
      </c>
    </row>
    <row r="20" spans="2:7">
      <c r="B20" s="28">
        <v>25</v>
      </c>
      <c r="C20" s="31">
        <v>2.2799999999999999E-3</v>
      </c>
      <c r="D20" s="31">
        <v>2.2000000000000001E-3</v>
      </c>
      <c r="E20" s="31">
        <v>2.1299999999999999E-3</v>
      </c>
      <c r="F20" s="31">
        <v>2.0799999999999998E-3</v>
      </c>
      <c r="G20" s="28">
        <v>28</v>
      </c>
    </row>
    <row r="21" spans="2:7">
      <c r="B21" s="28">
        <v>26</v>
      </c>
      <c r="C21" s="31">
        <v>2.2000000000000001E-3</v>
      </c>
      <c r="D21" s="31">
        <v>2.1299999999999999E-3</v>
      </c>
      <c r="E21" s="31">
        <v>2.0799999999999998E-3</v>
      </c>
      <c r="F21" s="31">
        <v>2.0500000000000002E-3</v>
      </c>
      <c r="G21" s="28">
        <v>29</v>
      </c>
    </row>
    <row r="22" spans="2:7">
      <c r="B22" s="28">
        <v>27</v>
      </c>
      <c r="C22" s="31">
        <v>2.1299999999999999E-3</v>
      </c>
      <c r="D22" s="31">
        <v>2.0799999999999998E-3</v>
      </c>
      <c r="E22" s="31">
        <v>2.0500000000000002E-3</v>
      </c>
      <c r="F22" s="31">
        <v>2.0400000000000001E-3</v>
      </c>
      <c r="G22" s="28">
        <v>30</v>
      </c>
    </row>
    <row r="23" spans="2:7">
      <c r="B23" s="28">
        <v>28</v>
      </c>
      <c r="C23" s="31">
        <v>2.0799999999999998E-3</v>
      </c>
      <c r="D23" s="31">
        <v>2.0500000000000002E-3</v>
      </c>
      <c r="E23" s="31">
        <v>2.0400000000000001E-3</v>
      </c>
      <c r="F23" s="31">
        <v>2.0500000000000002E-3</v>
      </c>
      <c r="G23" s="28">
        <v>31</v>
      </c>
    </row>
    <row r="24" spans="2:7">
      <c r="B24" s="28">
        <v>29</v>
      </c>
      <c r="C24" s="31">
        <v>2.0500000000000002E-3</v>
      </c>
      <c r="D24" s="31">
        <v>2.0400000000000001E-3</v>
      </c>
      <c r="E24" s="31">
        <v>2.0500000000000002E-3</v>
      </c>
      <c r="F24" s="31">
        <v>2.0799999999999998E-3</v>
      </c>
      <c r="G24" s="28">
        <v>32</v>
      </c>
    </row>
    <row r="25" spans="2:7">
      <c r="B25" s="28">
        <v>30</v>
      </c>
      <c r="C25" s="31">
        <v>2.0400000000000001E-3</v>
      </c>
      <c r="D25" s="31">
        <v>2.0500000000000002E-3</v>
      </c>
      <c r="E25" s="31">
        <v>2.0799999999999998E-3</v>
      </c>
      <c r="F25" s="31">
        <v>2.1199999999999999E-3</v>
      </c>
      <c r="G25" s="28">
        <v>33</v>
      </c>
    </row>
    <row r="26" spans="2:7">
      <c r="B26" s="28">
        <v>31</v>
      </c>
      <c r="C26" s="31">
        <v>2.0500000000000002E-3</v>
      </c>
      <c r="D26" s="31">
        <v>2.0799999999999998E-3</v>
      </c>
      <c r="E26" s="31">
        <v>2.1199999999999999E-3</v>
      </c>
      <c r="F26" s="31">
        <v>2.1700000000000001E-3</v>
      </c>
      <c r="G26" s="28">
        <v>34</v>
      </c>
    </row>
    <row r="27" spans="2:7">
      <c r="B27" s="28">
        <v>32</v>
      </c>
      <c r="C27" s="31">
        <v>2.0799999999999998E-3</v>
      </c>
      <c r="D27" s="31">
        <v>2.1199999999999999E-3</v>
      </c>
      <c r="E27" s="31">
        <v>2.1700000000000001E-3</v>
      </c>
      <c r="F27" s="31">
        <v>2.2499999999999998E-3</v>
      </c>
      <c r="G27" s="28">
        <v>35</v>
      </c>
    </row>
    <row r="28" spans="2:7">
      <c r="B28" s="28">
        <v>33</v>
      </c>
      <c r="C28" s="31">
        <v>2.1199999999999999E-3</v>
      </c>
      <c r="D28" s="31">
        <v>2.1700000000000001E-3</v>
      </c>
      <c r="E28" s="31">
        <v>2.2499999999999998E-3</v>
      </c>
      <c r="F28" s="31">
        <v>2.33E-3</v>
      </c>
      <c r="G28" s="28">
        <v>36</v>
      </c>
    </row>
    <row r="29" spans="2:7">
      <c r="B29" s="28">
        <v>34</v>
      </c>
      <c r="C29" s="31">
        <v>2.1700000000000001E-3</v>
      </c>
      <c r="D29" s="31">
        <v>2.2499999999999998E-3</v>
      </c>
      <c r="E29" s="31">
        <v>2.33E-3</v>
      </c>
      <c r="F29" s="31">
        <v>2.4399999999999999E-3</v>
      </c>
      <c r="G29" s="28">
        <v>37</v>
      </c>
    </row>
    <row r="30" spans="2:7">
      <c r="B30" s="28">
        <v>35</v>
      </c>
      <c r="C30" s="31">
        <v>2.2499999999999998E-3</v>
      </c>
      <c r="D30" s="31">
        <v>2.33E-3</v>
      </c>
      <c r="E30" s="31">
        <v>2.4399999999999999E-3</v>
      </c>
      <c r="F30" s="31">
        <v>2.5600000000000002E-3</v>
      </c>
      <c r="G30" s="28">
        <v>38</v>
      </c>
    </row>
    <row r="31" spans="2:7">
      <c r="B31" s="28">
        <v>36</v>
      </c>
      <c r="C31" s="31">
        <v>2.33E-3</v>
      </c>
      <c r="D31" s="31">
        <v>2.4399999999999999E-3</v>
      </c>
      <c r="E31" s="31">
        <v>2.5600000000000002E-3</v>
      </c>
      <c r="F31" s="31">
        <v>2.7200000000000002E-3</v>
      </c>
      <c r="G31" s="28">
        <v>39</v>
      </c>
    </row>
    <row r="32" spans="2:7">
      <c r="B32" s="28">
        <v>37</v>
      </c>
      <c r="C32" s="31">
        <v>2.4399999999999999E-3</v>
      </c>
      <c r="D32" s="31">
        <v>2.5600000000000002E-3</v>
      </c>
      <c r="E32" s="31">
        <v>2.7200000000000002E-3</v>
      </c>
      <c r="F32" s="31">
        <v>2.8600000000000001E-3</v>
      </c>
      <c r="G32" s="28">
        <v>40</v>
      </c>
    </row>
    <row r="33" spans="2:7">
      <c r="B33" s="28">
        <v>38</v>
      </c>
      <c r="C33" s="31">
        <v>2.5600000000000002E-3</v>
      </c>
      <c r="D33" s="31">
        <v>2.7200000000000002E-3</v>
      </c>
      <c r="E33" s="31">
        <v>2.8500000000000001E-3</v>
      </c>
      <c r="F33" s="31">
        <v>3.0400000000000002E-3</v>
      </c>
      <c r="G33" s="28">
        <v>41</v>
      </c>
    </row>
    <row r="34" spans="2:7">
      <c r="B34" s="28">
        <v>39</v>
      </c>
      <c r="C34" s="31">
        <v>2.66E-3</v>
      </c>
      <c r="D34" s="31">
        <v>2.8500000000000001E-3</v>
      </c>
      <c r="E34" s="31">
        <v>3.0000000000000001E-3</v>
      </c>
      <c r="F34" s="31">
        <v>3.2499999999999999E-3</v>
      </c>
      <c r="G34" s="28">
        <v>42</v>
      </c>
    </row>
    <row r="35" spans="2:7">
      <c r="B35" s="28">
        <v>40</v>
      </c>
      <c r="C35" s="31">
        <v>2.7799999999999999E-3</v>
      </c>
      <c r="D35" s="31">
        <v>3.0000000000000001E-3</v>
      </c>
      <c r="E35" s="31">
        <v>3.1700000000000001E-3</v>
      </c>
      <c r="F35" s="31">
        <v>3.5000000000000001E-3</v>
      </c>
      <c r="G35" s="28">
        <v>43</v>
      </c>
    </row>
    <row r="36" spans="2:7">
      <c r="B36" s="28">
        <v>41</v>
      </c>
      <c r="C36" s="31">
        <v>2.9099999999999998E-3</v>
      </c>
      <c r="D36" s="31">
        <v>3.1700000000000001E-3</v>
      </c>
      <c r="E36" s="31">
        <v>3.3700000000000002E-3</v>
      </c>
      <c r="F36" s="31">
        <v>3.7699999999999999E-3</v>
      </c>
      <c r="G36" s="28">
        <v>44</v>
      </c>
    </row>
    <row r="37" spans="2:7">
      <c r="B37" s="28">
        <v>42</v>
      </c>
      <c r="C37" s="31">
        <v>3.0699999999999998E-3</v>
      </c>
      <c r="D37" s="31">
        <v>3.3700000000000002E-3</v>
      </c>
      <c r="E37" s="31">
        <v>3.5999999999999999E-3</v>
      </c>
      <c r="F37" s="31">
        <v>4.0800000000000003E-3</v>
      </c>
      <c r="G37" s="28">
        <v>45</v>
      </c>
    </row>
    <row r="38" spans="2:7">
      <c r="B38" s="28">
        <v>43</v>
      </c>
      <c r="C38" s="31">
        <v>3.2499999999999999E-3</v>
      </c>
      <c r="D38" s="31">
        <v>3.5999999999999999E-3</v>
      </c>
      <c r="E38" s="31">
        <v>3.8500000000000001E-3</v>
      </c>
      <c r="F38" s="31">
        <v>4.4299999999999999E-3</v>
      </c>
      <c r="G38" s="28">
        <v>46</v>
      </c>
    </row>
    <row r="39" spans="2:7">
      <c r="B39" s="28">
        <v>44</v>
      </c>
      <c r="C39" s="31">
        <v>3.4499999999999999E-3</v>
      </c>
      <c r="D39" s="31">
        <v>3.8500000000000001E-3</v>
      </c>
      <c r="E39" s="31">
        <v>4.13E-3</v>
      </c>
      <c r="F39" s="31">
        <v>4.8199999999999996E-3</v>
      </c>
      <c r="G39" s="28">
        <v>47</v>
      </c>
    </row>
    <row r="40" spans="2:7">
      <c r="B40" s="28">
        <v>45</v>
      </c>
      <c r="C40" s="31">
        <v>3.6700000000000001E-3</v>
      </c>
      <c r="D40" s="31">
        <v>4.13E-3</v>
      </c>
      <c r="E40" s="31">
        <v>4.4400000000000004E-3</v>
      </c>
      <c r="F40" s="31">
        <v>5.2599999999999999E-3</v>
      </c>
      <c r="G40" s="28">
        <v>48</v>
      </c>
    </row>
    <row r="41" spans="2:7">
      <c r="B41" s="28">
        <v>46</v>
      </c>
      <c r="C41" s="31">
        <v>3.9199999999999999E-3</v>
      </c>
      <c r="D41" s="31">
        <v>4.4400000000000004E-3</v>
      </c>
      <c r="E41" s="31">
        <v>4.7800000000000004E-3</v>
      </c>
      <c r="F41" s="31">
        <v>5.7400000000000003E-3</v>
      </c>
      <c r="G41" s="28">
        <v>49</v>
      </c>
    </row>
    <row r="42" spans="2:7">
      <c r="B42" s="28">
        <v>47</v>
      </c>
      <c r="C42" s="31">
        <v>4.1999999999999997E-3</v>
      </c>
      <c r="D42" s="31">
        <v>4.7800000000000004E-3</v>
      </c>
      <c r="E42" s="31">
        <v>5.1599999999999997E-3</v>
      </c>
      <c r="F42" s="31">
        <v>6.28E-3</v>
      </c>
      <c r="G42" s="28">
        <v>50</v>
      </c>
    </row>
    <row r="43" spans="2:7">
      <c r="B43" s="28">
        <v>48</v>
      </c>
      <c r="C43" s="31">
        <v>4.5100000000000001E-3</v>
      </c>
      <c r="D43" s="31">
        <v>5.1599999999999997E-3</v>
      </c>
      <c r="E43" s="31">
        <v>5.5700000000000003E-3</v>
      </c>
      <c r="F43" s="31">
        <v>6.8599999999999998E-3</v>
      </c>
      <c r="G43" s="28">
        <v>51</v>
      </c>
    </row>
    <row r="44" spans="2:7">
      <c r="B44" s="28">
        <v>49</v>
      </c>
      <c r="C44" s="31">
        <v>4.8399999999999997E-3</v>
      </c>
      <c r="D44" s="31">
        <v>5.5700000000000003E-3</v>
      </c>
      <c r="E44" s="31">
        <v>6.0099999999999997E-3</v>
      </c>
      <c r="F44" s="31">
        <v>7.4999999999999997E-3</v>
      </c>
      <c r="G44" s="28">
        <v>52</v>
      </c>
    </row>
    <row r="45" spans="2:7">
      <c r="B45" s="28">
        <v>50</v>
      </c>
      <c r="C45" s="31">
        <v>5.1900000000000002E-3</v>
      </c>
      <c r="D45" s="31">
        <v>6.0099999999999997E-3</v>
      </c>
      <c r="E45" s="31">
        <v>6.4900000000000001E-3</v>
      </c>
      <c r="F45" s="31">
        <v>8.2000000000000007E-3</v>
      </c>
      <c r="G45" s="28">
        <v>53</v>
      </c>
    </row>
    <row r="46" spans="2:7">
      <c r="B46" s="28">
        <v>51</v>
      </c>
      <c r="C46" s="31">
        <v>5.5799999999999999E-3</v>
      </c>
      <c r="D46" s="31">
        <v>6.4900000000000001E-3</v>
      </c>
      <c r="E46" s="31">
        <v>7.0099999999999997E-3</v>
      </c>
      <c r="F46" s="31">
        <v>8.9599999999999992E-3</v>
      </c>
      <c r="G46" s="28">
        <v>54</v>
      </c>
    </row>
    <row r="47" spans="2:7">
      <c r="B47" s="28">
        <v>52</v>
      </c>
      <c r="C47" s="31">
        <v>5.9899999999999997E-3</v>
      </c>
      <c r="D47" s="31">
        <v>7.0099999999999997E-3</v>
      </c>
      <c r="E47" s="31">
        <v>7.5599999999999999E-3</v>
      </c>
      <c r="F47" s="31">
        <v>9.7900000000000001E-3</v>
      </c>
      <c r="G47" s="28">
        <v>55</v>
      </c>
    </row>
    <row r="48" spans="2:7">
      <c r="B48" s="28">
        <v>53</v>
      </c>
      <c r="C48" s="31">
        <v>6.43E-3</v>
      </c>
      <c r="D48" s="31">
        <v>7.5599999999999999E-3</v>
      </c>
      <c r="E48" s="31">
        <v>8.1499999999999993E-3</v>
      </c>
      <c r="F48" s="31">
        <v>1.0699999999999999E-2</v>
      </c>
      <c r="G48" s="28">
        <v>56</v>
      </c>
    </row>
    <row r="49" spans="2:7">
      <c r="B49" s="28">
        <v>54</v>
      </c>
      <c r="C49" s="31">
        <v>6.8999999999999999E-3</v>
      </c>
      <c r="D49" s="31">
        <v>8.1499999999999993E-3</v>
      </c>
      <c r="E49" s="31">
        <v>8.7899999999999992E-3</v>
      </c>
      <c r="F49" s="31">
        <v>1.17E-2</v>
      </c>
      <c r="G49" s="28">
        <v>57</v>
      </c>
    </row>
    <row r="50" spans="2:7">
      <c r="B50" s="28">
        <v>55</v>
      </c>
      <c r="C50" s="31">
        <v>7.4000000000000003E-3</v>
      </c>
      <c r="D50" s="31">
        <v>8.7899999999999992E-3</v>
      </c>
      <c r="E50" s="31">
        <v>9.4800000000000006E-3</v>
      </c>
      <c r="F50" s="31">
        <v>1.2800000000000001E-2</v>
      </c>
      <c r="G50" s="28">
        <v>58</v>
      </c>
    </row>
    <row r="51" spans="2:7">
      <c r="B51" s="28">
        <v>56</v>
      </c>
      <c r="C51" s="31">
        <v>7.9299999999999995E-3</v>
      </c>
      <c r="D51" s="31">
        <v>9.4800000000000006E-3</v>
      </c>
      <c r="E51" s="31">
        <v>1.0240000000000001E-2</v>
      </c>
      <c r="F51" s="31">
        <v>1.401E-2</v>
      </c>
      <c r="G51" s="28">
        <v>59</v>
      </c>
    </row>
    <row r="52" spans="2:7">
      <c r="B52" s="28">
        <v>57</v>
      </c>
      <c r="C52" s="31">
        <v>8.5000000000000006E-3</v>
      </c>
      <c r="D52" s="31">
        <v>1.0240000000000001E-2</v>
      </c>
      <c r="E52" s="31">
        <v>1.106E-2</v>
      </c>
      <c r="F52" s="31">
        <v>1.536E-2</v>
      </c>
      <c r="G52" s="28">
        <v>60</v>
      </c>
    </row>
    <row r="53" spans="2:7">
      <c r="B53" s="28">
        <v>58</v>
      </c>
      <c r="C53" s="31">
        <v>9.1199999999999996E-3</v>
      </c>
      <c r="D53" s="31">
        <v>1.106E-2</v>
      </c>
      <c r="E53" s="31">
        <v>1.1950000000000001E-2</v>
      </c>
      <c r="F53" s="31">
        <v>1.6840000000000001E-2</v>
      </c>
      <c r="G53" s="28">
        <v>61</v>
      </c>
    </row>
    <row r="54" spans="2:7">
      <c r="B54" s="28">
        <v>59</v>
      </c>
      <c r="C54" s="31">
        <v>9.7800000000000005E-3</v>
      </c>
      <c r="D54" s="31">
        <v>1.1950000000000001E-2</v>
      </c>
      <c r="E54" s="31">
        <v>1.2919999999999999E-2</v>
      </c>
      <c r="F54" s="31">
        <v>1.847E-2</v>
      </c>
      <c r="G54" s="28">
        <v>62</v>
      </c>
    </row>
    <row r="55" spans="2:7">
      <c r="B55" s="28">
        <v>60</v>
      </c>
      <c r="C55" s="31">
        <v>1.0500000000000001E-2</v>
      </c>
      <c r="D55" s="31">
        <v>1.2919999999999999E-2</v>
      </c>
      <c r="E55" s="31">
        <v>1.397E-2</v>
      </c>
      <c r="F55" s="31">
        <v>2.027E-2</v>
      </c>
      <c r="G55" s="28">
        <v>63</v>
      </c>
    </row>
    <row r="56" spans="2:7">
      <c r="B56" s="28">
        <v>61</v>
      </c>
      <c r="C56" s="31">
        <v>1.1270000000000001E-2</v>
      </c>
      <c r="D56" s="31">
        <v>1.397E-2</v>
      </c>
      <c r="E56" s="31">
        <v>1.5100000000000001E-2</v>
      </c>
      <c r="F56" s="31">
        <v>2.2239999999999999E-2</v>
      </c>
      <c r="G56" s="28">
        <v>64</v>
      </c>
    </row>
    <row r="57" spans="2:7">
      <c r="B57" s="28">
        <v>62</v>
      </c>
      <c r="C57" s="31">
        <v>1.21E-2</v>
      </c>
      <c r="D57" s="31">
        <v>1.5100000000000001E-2</v>
      </c>
      <c r="E57" s="31">
        <v>1.6330000000000001E-2</v>
      </c>
      <c r="F57" s="31">
        <v>2.4400000000000002E-2</v>
      </c>
      <c r="G57" s="28">
        <v>65</v>
      </c>
    </row>
    <row r="58" spans="2:7">
      <c r="B58" s="28">
        <v>63</v>
      </c>
      <c r="C58" s="31">
        <v>1.298E-2</v>
      </c>
      <c r="D58" s="31">
        <v>1.6330000000000001E-2</v>
      </c>
      <c r="E58" s="31">
        <v>1.7649999999999999E-2</v>
      </c>
      <c r="F58" s="31">
        <v>2.6749999999999999E-2</v>
      </c>
      <c r="G58" s="28">
        <v>66</v>
      </c>
    </row>
    <row r="59" spans="2:7">
      <c r="B59" s="28">
        <v>64</v>
      </c>
      <c r="C59" s="31">
        <v>1.393E-2</v>
      </c>
      <c r="D59" s="31">
        <v>1.7649999999999999E-2</v>
      </c>
      <c r="E59" s="31">
        <v>1.9060000000000001E-2</v>
      </c>
      <c r="F59" s="31">
        <v>2.9319999999999999E-2</v>
      </c>
      <c r="G59" s="28">
        <v>67</v>
      </c>
    </row>
    <row r="60" spans="2:7">
      <c r="B60" s="28">
        <v>65</v>
      </c>
      <c r="C60" s="31">
        <v>1.4930000000000001E-2</v>
      </c>
      <c r="D60" s="31">
        <v>1.9060000000000001E-2</v>
      </c>
      <c r="E60" s="31">
        <v>2.0559999999999998E-2</v>
      </c>
      <c r="F60" s="31">
        <v>3.211E-2</v>
      </c>
      <c r="G60" s="28">
        <v>68</v>
      </c>
    </row>
    <row r="61" spans="2:7">
      <c r="B61" s="28">
        <v>66</v>
      </c>
      <c r="C61" s="31">
        <v>1.5980000000000001E-2</v>
      </c>
      <c r="D61" s="31">
        <v>2.0559999999999998E-2</v>
      </c>
      <c r="E61" s="31">
        <v>2.2169999999999999E-2</v>
      </c>
      <c r="F61" s="31">
        <v>3.5130000000000002E-2</v>
      </c>
      <c r="G61" s="28">
        <v>69</v>
      </c>
    </row>
    <row r="62" spans="2:7">
      <c r="B62" s="28">
        <v>67</v>
      </c>
      <c r="C62" s="31">
        <v>1.7090000000000001E-2</v>
      </c>
      <c r="D62" s="31">
        <v>2.2169999999999999E-2</v>
      </c>
      <c r="E62" s="31">
        <v>2.3869999999999999E-2</v>
      </c>
      <c r="F62" s="31">
        <v>3.8399999999999997E-2</v>
      </c>
      <c r="G62" s="28">
        <v>70</v>
      </c>
    </row>
    <row r="63" spans="2:7">
      <c r="B63" s="28">
        <v>68</v>
      </c>
      <c r="C63" s="31">
        <v>1.8259999999999998E-2</v>
      </c>
      <c r="D63" s="31">
        <v>2.3869999999999999E-2</v>
      </c>
      <c r="E63" s="31">
        <v>2.5669999999999998E-2</v>
      </c>
      <c r="F63" s="31">
        <v>4.1919999999999999E-2</v>
      </c>
      <c r="G63" s="28">
        <v>71</v>
      </c>
    </row>
    <row r="64" spans="2:7">
      <c r="B64" s="28">
        <v>69</v>
      </c>
      <c r="C64" s="31">
        <v>1.9470000000000001E-2</v>
      </c>
      <c r="D64" s="31">
        <v>2.5669999999999998E-2</v>
      </c>
      <c r="E64" s="31">
        <v>2.7570000000000001E-2</v>
      </c>
      <c r="F64" s="31">
        <v>4.5719999999999997E-2</v>
      </c>
      <c r="G64" s="28">
        <v>72</v>
      </c>
    </row>
    <row r="65" spans="2:7">
      <c r="B65" s="28">
        <v>70</v>
      </c>
      <c r="C65" s="31">
        <v>2.0729999999999998E-2</v>
      </c>
      <c r="D65" s="31">
        <v>2.7570000000000001E-2</v>
      </c>
      <c r="E65" s="31">
        <v>2.9559999999999999E-2</v>
      </c>
      <c r="F65" s="31">
        <v>4.9799999999999997E-2</v>
      </c>
      <c r="G65" s="28">
        <v>73</v>
      </c>
    </row>
    <row r="66" spans="2:7">
      <c r="B66" s="28">
        <v>71</v>
      </c>
      <c r="C66" s="31">
        <v>2.2030000000000001E-2</v>
      </c>
      <c r="D66" s="31">
        <v>2.9559999999999999E-2</v>
      </c>
      <c r="E66" s="31">
        <v>3.1649999999999998E-2</v>
      </c>
      <c r="F66" s="31">
        <v>5.4190000000000002E-2</v>
      </c>
      <c r="G66" s="28">
        <v>74</v>
      </c>
    </row>
    <row r="67" spans="2:7">
      <c r="B67" s="28">
        <v>72</v>
      </c>
      <c r="C67" s="31">
        <v>2.3359999999999999E-2</v>
      </c>
      <c r="D67" s="31">
        <v>3.1649999999999998E-2</v>
      </c>
      <c r="E67" s="31">
        <v>3.3849999999999998E-2</v>
      </c>
      <c r="F67" s="31">
        <v>5.8939999999999999E-2</v>
      </c>
      <c r="G67" s="28">
        <v>75</v>
      </c>
    </row>
    <row r="68" spans="2:7">
      <c r="B68" s="28">
        <v>73</v>
      </c>
      <c r="C68" s="31">
        <v>2.4729999999999999E-2</v>
      </c>
      <c r="D68" s="31">
        <v>3.3849999999999998E-2</v>
      </c>
      <c r="E68" s="31">
        <v>3.6179999999999997E-2</v>
      </c>
      <c r="F68" s="31">
        <v>6.411E-2</v>
      </c>
      <c r="G68" s="28">
        <v>76</v>
      </c>
    </row>
    <row r="69" spans="2:7">
      <c r="B69" s="28">
        <v>74</v>
      </c>
      <c r="C69" s="31">
        <v>2.613E-2</v>
      </c>
      <c r="D69" s="31">
        <v>3.6179999999999997E-2</v>
      </c>
      <c r="E69" s="31">
        <v>3.8649999999999997E-2</v>
      </c>
      <c r="F69" s="31">
        <v>6.9739999999999996E-2</v>
      </c>
      <c r="G69" s="28">
        <v>77</v>
      </c>
    </row>
    <row r="70" spans="2:7">
      <c r="B70" s="28">
        <v>75</v>
      </c>
      <c r="C70" s="31">
        <v>2.7570000000000001E-2</v>
      </c>
      <c r="D70" s="31">
        <v>3.8649999999999997E-2</v>
      </c>
      <c r="E70" s="31">
        <v>4.1279999999999997E-2</v>
      </c>
      <c r="F70" s="31">
        <v>7.5880000000000003E-2</v>
      </c>
      <c r="G70" s="28">
        <v>78</v>
      </c>
    </row>
    <row r="71" spans="2:7">
      <c r="B71" s="28">
        <v>76</v>
      </c>
      <c r="C71" s="31">
        <v>2.9069999999999999E-2</v>
      </c>
      <c r="D71" s="31">
        <v>4.1279999999999997E-2</v>
      </c>
      <c r="E71" s="31">
        <v>4.4080000000000001E-2</v>
      </c>
      <c r="F71" s="31">
        <v>8.2589999999999997E-2</v>
      </c>
      <c r="G71" s="28">
        <v>79</v>
      </c>
    </row>
    <row r="72" spans="2:7">
      <c r="B72" s="28">
        <v>77</v>
      </c>
      <c r="C72" s="31">
        <v>3.0620000000000001E-2</v>
      </c>
      <c r="D72" s="31">
        <v>4.4080000000000001E-2</v>
      </c>
      <c r="E72" s="31">
        <v>4.7079999999999997E-2</v>
      </c>
      <c r="F72" s="31">
        <v>8.992E-2</v>
      </c>
      <c r="G72" s="28">
        <v>80</v>
      </c>
    </row>
    <row r="73" spans="2:7">
      <c r="B73" s="28">
        <v>78</v>
      </c>
      <c r="C73" s="31">
        <v>3.2219999999999999E-2</v>
      </c>
      <c r="D73" s="31">
        <v>4.7079999999999997E-2</v>
      </c>
      <c r="E73" s="31">
        <v>5.0270000000000002E-2</v>
      </c>
      <c r="F73" s="31">
        <v>9.7919999999999993E-2</v>
      </c>
      <c r="G73" s="28">
        <v>81</v>
      </c>
    </row>
    <row r="74" spans="2:7">
      <c r="B74" s="28">
        <v>79</v>
      </c>
      <c r="C74" s="31">
        <v>3.388E-2</v>
      </c>
      <c r="D74" s="31">
        <v>5.0270000000000002E-2</v>
      </c>
      <c r="E74" s="31">
        <v>5.3670000000000002E-2</v>
      </c>
      <c r="F74" s="31">
        <v>0.10664</v>
      </c>
      <c r="G74" s="28">
        <v>82</v>
      </c>
    </row>
    <row r="75" spans="2:7">
      <c r="B75" s="28">
        <v>80</v>
      </c>
      <c r="C75" s="31">
        <v>3.5589999999999997E-2</v>
      </c>
      <c r="D75" s="31">
        <v>5.3670000000000002E-2</v>
      </c>
      <c r="E75" s="31">
        <v>5.7279999999999998E-2</v>
      </c>
      <c r="F75" s="31">
        <v>0.11613</v>
      </c>
      <c r="G75" s="28">
        <v>83</v>
      </c>
    </row>
    <row r="76" spans="2:7">
      <c r="F76" s="31">
        <v>0.12645000000000001</v>
      </c>
      <c r="G76" s="28">
        <v>84</v>
      </c>
    </row>
    <row r="77" spans="2:7">
      <c r="F77" s="31">
        <v>0.13764000000000001</v>
      </c>
      <c r="G77" s="28">
        <v>85</v>
      </c>
    </row>
    <row r="78" spans="2:7">
      <c r="F78" s="31">
        <v>0.14976</v>
      </c>
      <c r="G78" s="28">
        <v>86</v>
      </c>
    </row>
    <row r="79" spans="2:7">
      <c r="F79" s="31">
        <v>0.16286</v>
      </c>
      <c r="G79" s="28">
        <v>87</v>
      </c>
    </row>
    <row r="80" spans="2:7">
      <c r="F80" s="31">
        <v>0.17699000000000001</v>
      </c>
      <c r="G80" s="28">
        <v>88</v>
      </c>
    </row>
    <row r="81" spans="6:7">
      <c r="F81" s="31">
        <v>0.19220000000000001</v>
      </c>
      <c r="G81" s="28">
        <v>89</v>
      </c>
    </row>
    <row r="82" spans="6:7">
      <c r="F82" s="31">
        <v>0.20841999999999999</v>
      </c>
      <c r="G82" s="28">
        <v>90</v>
      </c>
    </row>
    <row r="83" spans="6:7">
      <c r="F83" s="31">
        <v>0.2258</v>
      </c>
      <c r="G83" s="28">
        <v>91</v>
      </c>
    </row>
    <row r="84" spans="6:7">
      <c r="F84" s="31">
        <v>0.24440000000000001</v>
      </c>
      <c r="G84" s="28">
        <v>92</v>
      </c>
    </row>
    <row r="85" spans="6:7">
      <c r="F85" s="31">
        <v>0.26424999999999998</v>
      </c>
      <c r="G85" s="28">
        <v>93</v>
      </c>
    </row>
    <row r="86" spans="6:7">
      <c r="F86" s="31">
        <v>0.28538000000000002</v>
      </c>
      <c r="G86" s="28">
        <v>94</v>
      </c>
    </row>
    <row r="87" spans="6:7">
      <c r="F87" s="31">
        <v>0.30784</v>
      </c>
      <c r="G87" s="28">
        <v>95</v>
      </c>
    </row>
    <row r="88" spans="6:7">
      <c r="F88" s="31">
        <v>0.33161000000000002</v>
      </c>
      <c r="G88" s="28">
        <v>96</v>
      </c>
    </row>
    <row r="89" spans="6:7">
      <c r="F89" s="31">
        <v>0.35671000000000003</v>
      </c>
      <c r="G89" s="28">
        <v>97</v>
      </c>
    </row>
    <row r="90" spans="6:7">
      <c r="F90" s="31">
        <v>0.38311000000000001</v>
      </c>
      <c r="G90" s="28">
        <v>98</v>
      </c>
    </row>
    <row r="91" spans="6:7">
      <c r="F91" s="31">
        <v>0.41077999999999998</v>
      </c>
      <c r="G91" s="28">
        <v>99</v>
      </c>
    </row>
    <row r="92" spans="6:7">
      <c r="F92" s="31">
        <v>0.43966</v>
      </c>
      <c r="G92" s="28">
        <v>100</v>
      </c>
    </row>
    <row r="93" spans="6:7">
      <c r="F93" s="31">
        <v>0.46966000000000002</v>
      </c>
      <c r="G93" s="28">
        <v>101</v>
      </c>
    </row>
    <row r="94" spans="6:7">
      <c r="F94" s="31">
        <v>0.50066999999999995</v>
      </c>
      <c r="G94" s="28">
        <v>102</v>
      </c>
    </row>
    <row r="95" spans="6:7">
      <c r="F95" s="31">
        <v>0.53254999999999997</v>
      </c>
      <c r="G95" s="28">
        <v>103</v>
      </c>
    </row>
    <row r="96" spans="6:7">
      <c r="F96" s="31">
        <v>0.56513000000000002</v>
      </c>
      <c r="G96" s="28">
        <v>104</v>
      </c>
    </row>
  </sheetData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60DB-284E-49CF-A1AD-26E36647C9D5}">
  <sheetPr codeName="Sheet6">
    <tabColor rgb="FFFFFFCC"/>
  </sheetPr>
  <dimension ref="B2:G96"/>
  <sheetViews>
    <sheetView showGridLines="0" workbookViewId="0">
      <selection activeCell="F10" sqref="F10"/>
    </sheetView>
  </sheetViews>
  <sheetFormatPr baseColWidth="10" defaultColWidth="8.83203125" defaultRowHeight="13"/>
  <cols>
    <col min="1" max="2" width="9.1640625" style="28"/>
    <col min="3" max="6" width="8.83203125" style="31" customWidth="1"/>
    <col min="7" max="258" width="9.1640625" style="28"/>
    <col min="259" max="262" width="8.83203125" style="28" customWidth="1"/>
    <col min="263" max="514" width="9.1640625" style="28"/>
    <col min="515" max="518" width="8.83203125" style="28" customWidth="1"/>
    <col min="519" max="770" width="9.1640625" style="28"/>
    <col min="771" max="774" width="8.83203125" style="28" customWidth="1"/>
    <col min="775" max="1026" width="9.1640625" style="28"/>
    <col min="1027" max="1030" width="8.83203125" style="28" customWidth="1"/>
    <col min="1031" max="1282" width="9.1640625" style="28"/>
    <col min="1283" max="1286" width="8.83203125" style="28" customWidth="1"/>
    <col min="1287" max="1538" width="9.1640625" style="28"/>
    <col min="1539" max="1542" width="8.83203125" style="28" customWidth="1"/>
    <col min="1543" max="1794" width="9.1640625" style="28"/>
    <col min="1795" max="1798" width="8.83203125" style="28" customWidth="1"/>
    <col min="1799" max="2050" width="9.1640625" style="28"/>
    <col min="2051" max="2054" width="8.83203125" style="28" customWidth="1"/>
    <col min="2055" max="2306" width="9.1640625" style="28"/>
    <col min="2307" max="2310" width="8.83203125" style="28" customWidth="1"/>
    <col min="2311" max="2562" width="9.1640625" style="28"/>
    <col min="2563" max="2566" width="8.83203125" style="28" customWidth="1"/>
    <col min="2567" max="2818" width="9.1640625" style="28"/>
    <col min="2819" max="2822" width="8.83203125" style="28" customWidth="1"/>
    <col min="2823" max="3074" width="9.1640625" style="28"/>
    <col min="3075" max="3078" width="8.83203125" style="28" customWidth="1"/>
    <col min="3079" max="3330" width="9.1640625" style="28"/>
    <col min="3331" max="3334" width="8.83203125" style="28" customWidth="1"/>
    <col min="3335" max="3586" width="9.1640625" style="28"/>
    <col min="3587" max="3590" width="8.83203125" style="28" customWidth="1"/>
    <col min="3591" max="3842" width="9.1640625" style="28"/>
    <col min="3843" max="3846" width="8.83203125" style="28" customWidth="1"/>
    <col min="3847" max="4098" width="9.1640625" style="28"/>
    <col min="4099" max="4102" width="8.83203125" style="28" customWidth="1"/>
    <col min="4103" max="4354" width="9.1640625" style="28"/>
    <col min="4355" max="4358" width="8.83203125" style="28" customWidth="1"/>
    <col min="4359" max="4610" width="9.1640625" style="28"/>
    <col min="4611" max="4614" width="8.83203125" style="28" customWidth="1"/>
    <col min="4615" max="4866" width="9.1640625" style="28"/>
    <col min="4867" max="4870" width="8.83203125" style="28" customWidth="1"/>
    <col min="4871" max="5122" width="9.1640625" style="28"/>
    <col min="5123" max="5126" width="8.83203125" style="28" customWidth="1"/>
    <col min="5127" max="5378" width="9.1640625" style="28"/>
    <col min="5379" max="5382" width="8.83203125" style="28" customWidth="1"/>
    <col min="5383" max="5634" width="9.1640625" style="28"/>
    <col min="5635" max="5638" width="8.83203125" style="28" customWidth="1"/>
    <col min="5639" max="5890" width="9.1640625" style="28"/>
    <col min="5891" max="5894" width="8.83203125" style="28" customWidth="1"/>
    <col min="5895" max="6146" width="9.1640625" style="28"/>
    <col min="6147" max="6150" width="8.83203125" style="28" customWidth="1"/>
    <col min="6151" max="6402" width="9.1640625" style="28"/>
    <col min="6403" max="6406" width="8.83203125" style="28" customWidth="1"/>
    <col min="6407" max="6658" width="9.1640625" style="28"/>
    <col min="6659" max="6662" width="8.83203125" style="28" customWidth="1"/>
    <col min="6663" max="6914" width="9.1640625" style="28"/>
    <col min="6915" max="6918" width="8.83203125" style="28" customWidth="1"/>
    <col min="6919" max="7170" width="9.1640625" style="28"/>
    <col min="7171" max="7174" width="8.83203125" style="28" customWidth="1"/>
    <col min="7175" max="7426" width="9.1640625" style="28"/>
    <col min="7427" max="7430" width="8.83203125" style="28" customWidth="1"/>
    <col min="7431" max="7682" width="9.1640625" style="28"/>
    <col min="7683" max="7686" width="8.83203125" style="28" customWidth="1"/>
    <col min="7687" max="7938" width="9.1640625" style="28"/>
    <col min="7939" max="7942" width="8.83203125" style="28" customWidth="1"/>
    <col min="7943" max="8194" width="9.1640625" style="28"/>
    <col min="8195" max="8198" width="8.83203125" style="28" customWidth="1"/>
    <col min="8199" max="8450" width="9.1640625" style="28"/>
    <col min="8451" max="8454" width="8.83203125" style="28" customWidth="1"/>
    <col min="8455" max="8706" width="9.1640625" style="28"/>
    <col min="8707" max="8710" width="8.83203125" style="28" customWidth="1"/>
    <col min="8711" max="8962" width="9.1640625" style="28"/>
    <col min="8963" max="8966" width="8.83203125" style="28" customWidth="1"/>
    <col min="8967" max="9218" width="9.1640625" style="28"/>
    <col min="9219" max="9222" width="8.83203125" style="28" customWidth="1"/>
    <col min="9223" max="9474" width="9.1640625" style="28"/>
    <col min="9475" max="9478" width="8.83203125" style="28" customWidth="1"/>
    <col min="9479" max="9730" width="9.1640625" style="28"/>
    <col min="9731" max="9734" width="8.83203125" style="28" customWidth="1"/>
    <col min="9735" max="9986" width="9.1640625" style="28"/>
    <col min="9987" max="9990" width="8.83203125" style="28" customWidth="1"/>
    <col min="9991" max="10242" width="9.1640625" style="28"/>
    <col min="10243" max="10246" width="8.83203125" style="28" customWidth="1"/>
    <col min="10247" max="10498" width="9.1640625" style="28"/>
    <col min="10499" max="10502" width="8.83203125" style="28" customWidth="1"/>
    <col min="10503" max="10754" width="9.1640625" style="28"/>
    <col min="10755" max="10758" width="8.83203125" style="28" customWidth="1"/>
    <col min="10759" max="11010" width="9.1640625" style="28"/>
    <col min="11011" max="11014" width="8.83203125" style="28" customWidth="1"/>
    <col min="11015" max="11266" width="9.1640625" style="28"/>
    <col min="11267" max="11270" width="8.83203125" style="28" customWidth="1"/>
    <col min="11271" max="11522" width="9.1640625" style="28"/>
    <col min="11523" max="11526" width="8.83203125" style="28" customWidth="1"/>
    <col min="11527" max="11778" width="9.1640625" style="28"/>
    <col min="11779" max="11782" width="8.83203125" style="28" customWidth="1"/>
    <col min="11783" max="12034" width="9.1640625" style="28"/>
    <col min="12035" max="12038" width="8.83203125" style="28" customWidth="1"/>
    <col min="12039" max="12290" width="9.1640625" style="28"/>
    <col min="12291" max="12294" width="8.83203125" style="28" customWidth="1"/>
    <col min="12295" max="12546" width="9.1640625" style="28"/>
    <col min="12547" max="12550" width="8.83203125" style="28" customWidth="1"/>
    <col min="12551" max="12802" width="9.1640625" style="28"/>
    <col min="12803" max="12806" width="8.83203125" style="28" customWidth="1"/>
    <col min="12807" max="13058" width="9.1640625" style="28"/>
    <col min="13059" max="13062" width="8.83203125" style="28" customWidth="1"/>
    <col min="13063" max="13314" width="9.1640625" style="28"/>
    <col min="13315" max="13318" width="8.83203125" style="28" customWidth="1"/>
    <col min="13319" max="13570" width="9.1640625" style="28"/>
    <col min="13571" max="13574" width="8.83203125" style="28" customWidth="1"/>
    <col min="13575" max="13826" width="9.1640625" style="28"/>
    <col min="13827" max="13830" width="8.83203125" style="28" customWidth="1"/>
    <col min="13831" max="14082" width="9.1640625" style="28"/>
    <col min="14083" max="14086" width="8.83203125" style="28" customWidth="1"/>
    <col min="14087" max="14338" width="9.1640625" style="28"/>
    <col min="14339" max="14342" width="8.83203125" style="28" customWidth="1"/>
    <col min="14343" max="14594" width="9.1640625" style="28"/>
    <col min="14595" max="14598" width="8.83203125" style="28" customWidth="1"/>
    <col min="14599" max="14850" width="9.1640625" style="28"/>
    <col min="14851" max="14854" width="8.83203125" style="28" customWidth="1"/>
    <col min="14855" max="15106" width="9.1640625" style="28"/>
    <col min="15107" max="15110" width="8.83203125" style="28" customWidth="1"/>
    <col min="15111" max="15362" width="9.1640625" style="28"/>
    <col min="15363" max="15366" width="8.83203125" style="28" customWidth="1"/>
    <col min="15367" max="15618" width="9.1640625" style="28"/>
    <col min="15619" max="15622" width="8.83203125" style="28" customWidth="1"/>
    <col min="15623" max="15874" width="9.1640625" style="28"/>
    <col min="15875" max="15878" width="8.83203125" style="28" customWidth="1"/>
    <col min="15879" max="16130" width="9.1640625" style="28"/>
    <col min="16131" max="16134" width="8.83203125" style="28" customWidth="1"/>
    <col min="16135" max="16384" width="9.1640625" style="28"/>
  </cols>
  <sheetData>
    <row r="2" spans="2:7" ht="16">
      <c r="B2" s="25" t="s">
        <v>93</v>
      </c>
      <c r="C2" s="26"/>
      <c r="D2" s="26"/>
      <c r="E2" s="26"/>
      <c r="F2" s="26"/>
      <c r="G2" s="27"/>
    </row>
    <row r="4" spans="2:7">
      <c r="B4" s="29" t="s">
        <v>86</v>
      </c>
      <c r="C4" s="30"/>
      <c r="D4" s="30"/>
      <c r="E4" s="30"/>
      <c r="F4" s="30"/>
      <c r="G4" s="29"/>
    </row>
    <row r="5" spans="2:7">
      <c r="B5" s="29" t="s">
        <v>87</v>
      </c>
      <c r="C5" s="30" t="s">
        <v>88</v>
      </c>
      <c r="D5" s="30" t="s">
        <v>89</v>
      </c>
      <c r="E5" s="30" t="s">
        <v>90</v>
      </c>
      <c r="F5" s="30" t="s">
        <v>91</v>
      </c>
      <c r="G5" s="29" t="s">
        <v>92</v>
      </c>
    </row>
    <row r="7" spans="2:7">
      <c r="F7" s="31">
        <v>8.8999999999999995E-4</v>
      </c>
      <c r="G7" s="28">
        <v>15</v>
      </c>
    </row>
    <row r="8" spans="2:7">
      <c r="F8" s="31">
        <v>1.1299999999999999E-3</v>
      </c>
      <c r="G8" s="28">
        <v>16</v>
      </c>
    </row>
    <row r="9" spans="2:7">
      <c r="F9" s="31">
        <v>1.3699999999999999E-3</v>
      </c>
      <c r="G9" s="28">
        <v>17</v>
      </c>
    </row>
    <row r="10" spans="2:7">
      <c r="B10" s="28">
        <v>15</v>
      </c>
      <c r="C10" s="31">
        <v>8.8999999999999995E-4</v>
      </c>
      <c r="D10" s="31">
        <v>1.1299999999999999E-3</v>
      </c>
      <c r="E10" s="31">
        <v>1.3699999999999999E-3</v>
      </c>
      <c r="F10" s="31">
        <v>1.6199999999999999E-3</v>
      </c>
      <c r="G10" s="28">
        <v>18</v>
      </c>
    </row>
    <row r="11" spans="2:7">
      <c r="B11" s="28">
        <v>16</v>
      </c>
      <c r="C11" s="31">
        <v>1.1299999999999999E-3</v>
      </c>
      <c r="D11" s="31">
        <v>1.3699999999999999E-3</v>
      </c>
      <c r="E11" s="31">
        <v>1.6199999999999999E-3</v>
      </c>
      <c r="F11" s="31">
        <v>1.8799999999999999E-3</v>
      </c>
      <c r="G11" s="28">
        <v>19</v>
      </c>
    </row>
    <row r="12" spans="2:7">
      <c r="B12" s="28">
        <v>17</v>
      </c>
      <c r="C12" s="31">
        <v>1.3699999999999999E-3</v>
      </c>
      <c r="D12" s="31">
        <v>1.6199999999999999E-3</v>
      </c>
      <c r="E12" s="31">
        <v>1.8799999999999999E-3</v>
      </c>
      <c r="F12" s="31">
        <v>2.15E-3</v>
      </c>
      <c r="G12" s="28">
        <v>20</v>
      </c>
    </row>
    <row r="13" spans="2:7">
      <c r="B13" s="28">
        <v>18</v>
      </c>
      <c r="C13" s="31">
        <v>1.6199999999999999E-3</v>
      </c>
      <c r="D13" s="31">
        <v>1.8799999999999999E-3</v>
      </c>
      <c r="E13" s="31">
        <v>2.15E-3</v>
      </c>
      <c r="F13" s="31">
        <v>2.3500000000000001E-3</v>
      </c>
      <c r="G13" s="28">
        <v>21</v>
      </c>
    </row>
    <row r="14" spans="2:7">
      <c r="B14" s="28">
        <v>19</v>
      </c>
      <c r="C14" s="31">
        <v>1.8799999999999999E-3</v>
      </c>
      <c r="D14" s="31">
        <v>2.15E-3</v>
      </c>
      <c r="E14" s="31">
        <v>2.3500000000000001E-3</v>
      </c>
      <c r="F14" s="31">
        <v>2.3999999999999998E-3</v>
      </c>
      <c r="G14" s="28">
        <v>22</v>
      </c>
    </row>
    <row r="15" spans="2:7">
      <c r="B15" s="28">
        <v>20</v>
      </c>
      <c r="C15" s="31">
        <v>2.15E-3</v>
      </c>
      <c r="D15" s="31">
        <v>2.3500000000000001E-3</v>
      </c>
      <c r="E15" s="31">
        <v>2.3999999999999998E-3</v>
      </c>
      <c r="F15" s="31">
        <v>2.32E-3</v>
      </c>
      <c r="G15" s="28">
        <v>23</v>
      </c>
    </row>
    <row r="16" spans="2:7">
      <c r="B16" s="28">
        <v>21</v>
      </c>
      <c r="C16" s="31">
        <v>2.3500000000000001E-3</v>
      </c>
      <c r="D16" s="31">
        <v>2.3999999999999998E-3</v>
      </c>
      <c r="E16" s="31">
        <v>2.32E-3</v>
      </c>
      <c r="F16" s="31">
        <v>2.1800000000000001E-3</v>
      </c>
      <c r="G16" s="28">
        <v>24</v>
      </c>
    </row>
    <row r="17" spans="2:7">
      <c r="B17" s="28">
        <v>22</v>
      </c>
      <c r="C17" s="31">
        <v>2.3999999999999998E-3</v>
      </c>
      <c r="D17" s="31">
        <v>2.32E-3</v>
      </c>
      <c r="E17" s="31">
        <v>2.1800000000000001E-3</v>
      </c>
      <c r="F17" s="31">
        <v>2.0100000000000001E-3</v>
      </c>
      <c r="G17" s="28">
        <v>25</v>
      </c>
    </row>
    <row r="18" spans="2:7">
      <c r="B18" s="28">
        <v>23</v>
      </c>
      <c r="C18" s="31">
        <v>2.32E-3</v>
      </c>
      <c r="D18" s="31">
        <v>2.1800000000000001E-3</v>
      </c>
      <c r="E18" s="31">
        <v>2.0100000000000001E-3</v>
      </c>
      <c r="F18" s="31">
        <v>1.8600000000000001E-3</v>
      </c>
      <c r="G18" s="28">
        <v>26</v>
      </c>
    </row>
    <row r="19" spans="2:7">
      <c r="B19" s="28">
        <v>24</v>
      </c>
      <c r="C19" s="31">
        <v>2.1800000000000001E-3</v>
      </c>
      <c r="D19" s="31">
        <v>2.0100000000000001E-3</v>
      </c>
      <c r="E19" s="31">
        <v>1.8600000000000001E-3</v>
      </c>
      <c r="F19" s="31">
        <v>1.7700000000000001E-3</v>
      </c>
      <c r="G19" s="28">
        <v>27</v>
      </c>
    </row>
    <row r="20" spans="2:7">
      <c r="B20" s="28">
        <v>25</v>
      </c>
      <c r="C20" s="31">
        <v>2.0100000000000001E-3</v>
      </c>
      <c r="D20" s="31">
        <v>1.8600000000000001E-3</v>
      </c>
      <c r="E20" s="31">
        <v>1.7700000000000001E-3</v>
      </c>
      <c r="F20" s="31">
        <v>1.6999999999999999E-3</v>
      </c>
      <c r="G20" s="28">
        <v>28</v>
      </c>
    </row>
    <row r="21" spans="2:7">
      <c r="B21" s="28">
        <v>26</v>
      </c>
      <c r="C21" s="31">
        <v>1.8600000000000001E-3</v>
      </c>
      <c r="D21" s="31">
        <v>1.7700000000000001E-3</v>
      </c>
      <c r="E21" s="31">
        <v>1.6999999999999999E-3</v>
      </c>
      <c r="F21" s="31">
        <v>1.67E-3</v>
      </c>
      <c r="G21" s="28">
        <v>29</v>
      </c>
    </row>
    <row r="22" spans="2:7">
      <c r="B22" s="28">
        <v>27</v>
      </c>
      <c r="C22" s="31">
        <v>1.7700000000000001E-3</v>
      </c>
      <c r="D22" s="31">
        <v>1.6999999999999999E-3</v>
      </c>
      <c r="E22" s="31">
        <v>1.67E-3</v>
      </c>
      <c r="F22" s="31">
        <v>1.65E-3</v>
      </c>
      <c r="G22" s="28">
        <v>30</v>
      </c>
    </row>
    <row r="23" spans="2:7">
      <c r="B23" s="28">
        <v>28</v>
      </c>
      <c r="C23" s="31">
        <v>1.6999999999999999E-3</v>
      </c>
      <c r="D23" s="31">
        <v>1.67E-3</v>
      </c>
      <c r="E23" s="31">
        <v>1.65E-3</v>
      </c>
      <c r="F23" s="31">
        <v>1.65E-3</v>
      </c>
      <c r="G23" s="28">
        <v>31</v>
      </c>
    </row>
    <row r="24" spans="2:7">
      <c r="B24" s="28">
        <v>29</v>
      </c>
      <c r="C24" s="31">
        <v>1.67E-3</v>
      </c>
      <c r="D24" s="31">
        <v>1.65E-3</v>
      </c>
      <c r="E24" s="31">
        <v>1.65E-3</v>
      </c>
      <c r="F24" s="31">
        <v>1.6800000000000001E-3</v>
      </c>
      <c r="G24" s="28">
        <v>32</v>
      </c>
    </row>
    <row r="25" spans="2:7">
      <c r="B25" s="28">
        <v>30</v>
      </c>
      <c r="C25" s="31">
        <v>1.65E-3</v>
      </c>
      <c r="D25" s="31">
        <v>1.65E-3</v>
      </c>
      <c r="E25" s="31">
        <v>1.6800000000000001E-3</v>
      </c>
      <c r="F25" s="31">
        <v>1.73E-3</v>
      </c>
      <c r="G25" s="28">
        <v>33</v>
      </c>
    </row>
    <row r="26" spans="2:7">
      <c r="B26" s="28">
        <v>31</v>
      </c>
      <c r="C26" s="31">
        <v>1.65E-3</v>
      </c>
      <c r="D26" s="31">
        <v>1.6800000000000001E-3</v>
      </c>
      <c r="E26" s="31">
        <v>1.73E-3</v>
      </c>
      <c r="F26" s="31">
        <v>1.7899999999999999E-3</v>
      </c>
      <c r="G26" s="28">
        <v>34</v>
      </c>
    </row>
    <row r="27" spans="2:7">
      <c r="B27" s="28">
        <v>32</v>
      </c>
      <c r="C27" s="31">
        <v>1.6800000000000001E-3</v>
      </c>
      <c r="D27" s="31">
        <v>1.73E-3</v>
      </c>
      <c r="E27" s="31">
        <v>1.7899999999999999E-3</v>
      </c>
      <c r="F27" s="31">
        <v>1.8699999999999999E-3</v>
      </c>
      <c r="G27" s="28">
        <v>35</v>
      </c>
    </row>
    <row r="28" spans="2:7">
      <c r="B28" s="28">
        <v>33</v>
      </c>
      <c r="C28" s="31">
        <v>1.73E-3</v>
      </c>
      <c r="D28" s="31">
        <v>1.7899999999999999E-3</v>
      </c>
      <c r="E28" s="31">
        <v>1.8699999999999999E-3</v>
      </c>
      <c r="F28" s="31">
        <v>1.97E-3</v>
      </c>
      <c r="G28" s="28">
        <v>36</v>
      </c>
    </row>
    <row r="29" spans="2:7">
      <c r="B29" s="28">
        <v>34</v>
      </c>
      <c r="C29" s="31">
        <v>1.7899999999999999E-3</v>
      </c>
      <c r="D29" s="31">
        <v>1.8699999999999999E-3</v>
      </c>
      <c r="E29" s="31">
        <v>1.97E-3</v>
      </c>
      <c r="F29" s="31">
        <v>2.0799999999999998E-3</v>
      </c>
      <c r="G29" s="28">
        <v>37</v>
      </c>
    </row>
    <row r="30" spans="2:7">
      <c r="B30" s="28">
        <v>35</v>
      </c>
      <c r="C30" s="31">
        <v>1.8699999999999999E-3</v>
      </c>
      <c r="D30" s="31">
        <v>1.97E-3</v>
      </c>
      <c r="E30" s="31">
        <v>2.0799999999999998E-3</v>
      </c>
      <c r="F30" s="31">
        <v>2.2000000000000001E-3</v>
      </c>
      <c r="G30" s="28">
        <v>38</v>
      </c>
    </row>
    <row r="31" spans="2:7">
      <c r="B31" s="28">
        <v>36</v>
      </c>
      <c r="C31" s="31">
        <v>1.97E-3</v>
      </c>
      <c r="D31" s="31">
        <v>2.0799999999999998E-3</v>
      </c>
      <c r="E31" s="31">
        <v>2.2000000000000001E-3</v>
      </c>
      <c r="F31" s="31">
        <v>2.3500000000000001E-3</v>
      </c>
      <c r="G31" s="28">
        <v>39</v>
      </c>
    </row>
    <row r="32" spans="2:7">
      <c r="B32" s="28">
        <v>37</v>
      </c>
      <c r="C32" s="31">
        <v>2.0799999999999998E-3</v>
      </c>
      <c r="D32" s="31">
        <v>2.2000000000000001E-3</v>
      </c>
      <c r="E32" s="31">
        <v>2.3500000000000001E-3</v>
      </c>
      <c r="F32" s="31">
        <v>2.5200000000000001E-3</v>
      </c>
      <c r="G32" s="28">
        <v>40</v>
      </c>
    </row>
    <row r="33" spans="2:7">
      <c r="B33" s="28">
        <v>38</v>
      </c>
      <c r="C33" s="31">
        <v>2.2000000000000001E-3</v>
      </c>
      <c r="D33" s="31">
        <v>2.3500000000000001E-3</v>
      </c>
      <c r="E33" s="31">
        <v>2.5000000000000001E-3</v>
      </c>
      <c r="F33" s="31">
        <v>2.7100000000000002E-3</v>
      </c>
      <c r="G33" s="28">
        <v>41</v>
      </c>
    </row>
    <row r="34" spans="2:7">
      <c r="B34" s="28">
        <v>39</v>
      </c>
      <c r="C34" s="31">
        <v>2.3500000000000001E-3</v>
      </c>
      <c r="D34" s="31">
        <v>2.5000000000000001E-3</v>
      </c>
      <c r="E34" s="31">
        <v>2.66E-3</v>
      </c>
      <c r="F34" s="31">
        <v>2.9199999999999999E-3</v>
      </c>
      <c r="G34" s="28">
        <v>42</v>
      </c>
    </row>
    <row r="35" spans="2:7">
      <c r="B35" s="28">
        <v>40</v>
      </c>
      <c r="C35" s="31">
        <v>2.5000000000000001E-3</v>
      </c>
      <c r="D35" s="31">
        <v>2.66E-3</v>
      </c>
      <c r="E35" s="31">
        <v>2.8400000000000001E-3</v>
      </c>
      <c r="F35" s="31">
        <v>3.1700000000000001E-3</v>
      </c>
      <c r="G35" s="28">
        <v>43</v>
      </c>
    </row>
    <row r="36" spans="2:7">
      <c r="B36" s="28">
        <v>41</v>
      </c>
      <c r="C36" s="31">
        <v>2.64E-3</v>
      </c>
      <c r="D36" s="31">
        <v>2.8400000000000001E-3</v>
      </c>
      <c r="E36" s="31">
        <v>3.0400000000000002E-3</v>
      </c>
      <c r="F36" s="31">
        <v>3.4499999999999999E-3</v>
      </c>
      <c r="G36" s="28">
        <v>44</v>
      </c>
    </row>
    <row r="37" spans="2:7">
      <c r="B37" s="28">
        <v>42</v>
      </c>
      <c r="C37" s="31">
        <v>2.81E-3</v>
      </c>
      <c r="D37" s="31">
        <v>3.0400000000000002E-3</v>
      </c>
      <c r="E37" s="31">
        <v>3.2699999999999999E-3</v>
      </c>
      <c r="F37" s="31">
        <v>3.7599999999999999E-3</v>
      </c>
      <c r="G37" s="28">
        <v>45</v>
      </c>
    </row>
    <row r="38" spans="2:7">
      <c r="B38" s="28">
        <v>43</v>
      </c>
      <c r="C38" s="31">
        <v>3.0000000000000001E-3</v>
      </c>
      <c r="D38" s="31">
        <v>3.2699999999999999E-3</v>
      </c>
      <c r="E38" s="31">
        <v>3.5200000000000001E-3</v>
      </c>
      <c r="F38" s="31">
        <v>4.1099999999999999E-3</v>
      </c>
      <c r="G38" s="28">
        <v>46</v>
      </c>
    </row>
    <row r="39" spans="2:7">
      <c r="B39" s="28">
        <v>44</v>
      </c>
      <c r="C39" s="31">
        <v>3.2100000000000002E-3</v>
      </c>
      <c r="D39" s="31">
        <v>3.5200000000000001E-3</v>
      </c>
      <c r="E39" s="31">
        <v>3.8E-3</v>
      </c>
      <c r="F39" s="31">
        <v>4.5100000000000001E-3</v>
      </c>
      <c r="G39" s="28">
        <v>47</v>
      </c>
    </row>
    <row r="40" spans="2:7">
      <c r="B40" s="28">
        <v>45</v>
      </c>
      <c r="C40" s="31">
        <v>3.4399999999999999E-3</v>
      </c>
      <c r="D40" s="31">
        <v>3.8E-3</v>
      </c>
      <c r="E40" s="31">
        <v>4.1099999999999999E-3</v>
      </c>
      <c r="F40" s="31">
        <v>4.9399999999999999E-3</v>
      </c>
      <c r="G40" s="28">
        <v>48</v>
      </c>
    </row>
    <row r="41" spans="2:7">
      <c r="B41" s="28">
        <v>46</v>
      </c>
      <c r="C41" s="31">
        <v>3.7000000000000002E-3</v>
      </c>
      <c r="D41" s="31">
        <v>4.1099999999999999E-3</v>
      </c>
      <c r="E41" s="31">
        <v>4.45E-3</v>
      </c>
      <c r="F41" s="31">
        <v>5.4200000000000003E-3</v>
      </c>
      <c r="G41" s="28">
        <v>49</v>
      </c>
    </row>
    <row r="42" spans="2:7">
      <c r="B42" s="28">
        <v>47</v>
      </c>
      <c r="C42" s="31">
        <v>3.98E-3</v>
      </c>
      <c r="D42" s="31">
        <v>4.45E-3</v>
      </c>
      <c r="E42" s="31">
        <v>4.8199999999999996E-3</v>
      </c>
      <c r="F42" s="31">
        <v>5.9500000000000004E-3</v>
      </c>
      <c r="G42" s="28">
        <v>50</v>
      </c>
    </row>
    <row r="43" spans="2:7">
      <c r="B43" s="28">
        <v>48</v>
      </c>
      <c r="C43" s="31">
        <v>4.2900000000000004E-3</v>
      </c>
      <c r="D43" s="31">
        <v>4.8199999999999996E-3</v>
      </c>
      <c r="E43" s="31">
        <v>5.2300000000000003E-3</v>
      </c>
      <c r="F43" s="31">
        <v>6.5300000000000002E-3</v>
      </c>
      <c r="G43" s="28">
        <v>51</v>
      </c>
    </row>
    <row r="44" spans="2:7">
      <c r="B44" s="28">
        <v>49</v>
      </c>
      <c r="C44" s="31">
        <v>4.62E-3</v>
      </c>
      <c r="D44" s="31">
        <v>5.2300000000000003E-3</v>
      </c>
      <c r="E44" s="31">
        <v>5.6600000000000001E-3</v>
      </c>
      <c r="F44" s="31">
        <v>7.1599999999999997E-3</v>
      </c>
      <c r="G44" s="28">
        <v>52</v>
      </c>
    </row>
    <row r="45" spans="2:7">
      <c r="B45" s="28">
        <v>50</v>
      </c>
      <c r="C45" s="31">
        <v>4.9800000000000001E-3</v>
      </c>
      <c r="D45" s="31">
        <v>5.6600000000000001E-3</v>
      </c>
      <c r="E45" s="31">
        <v>6.1199999999999996E-3</v>
      </c>
      <c r="F45" s="31">
        <v>7.8499999999999993E-3</v>
      </c>
      <c r="G45" s="28">
        <v>53</v>
      </c>
    </row>
    <row r="46" spans="2:7">
      <c r="B46" s="28">
        <v>51</v>
      </c>
      <c r="C46" s="31">
        <v>5.3600000000000002E-3</v>
      </c>
      <c r="D46" s="31">
        <v>6.1199999999999996E-3</v>
      </c>
      <c r="E46" s="31">
        <v>6.62E-3</v>
      </c>
      <c r="F46" s="31">
        <v>8.6099999999999996E-3</v>
      </c>
      <c r="G46" s="28">
        <v>54</v>
      </c>
    </row>
    <row r="47" spans="2:7">
      <c r="B47" s="28">
        <v>52</v>
      </c>
      <c r="C47" s="31">
        <v>5.77E-3</v>
      </c>
      <c r="D47" s="31">
        <v>6.62E-3</v>
      </c>
      <c r="E47" s="31">
        <v>7.1599999999999997E-3</v>
      </c>
      <c r="F47" s="31">
        <v>9.4299999999999991E-3</v>
      </c>
      <c r="G47" s="28">
        <v>55</v>
      </c>
    </row>
    <row r="48" spans="2:7">
      <c r="B48" s="28">
        <v>53</v>
      </c>
      <c r="C48" s="31">
        <v>6.1999999999999998E-3</v>
      </c>
      <c r="D48" s="31">
        <v>7.1599999999999997E-3</v>
      </c>
      <c r="E48" s="31">
        <v>7.7400000000000004E-3</v>
      </c>
      <c r="F48" s="31">
        <v>1.034E-2</v>
      </c>
      <c r="G48" s="28">
        <v>56</v>
      </c>
    </row>
    <row r="49" spans="2:7">
      <c r="B49" s="28">
        <v>54</v>
      </c>
      <c r="C49" s="31">
        <v>6.6600000000000001E-3</v>
      </c>
      <c r="D49" s="31">
        <v>7.7400000000000004E-3</v>
      </c>
      <c r="E49" s="31">
        <v>8.3599999999999994E-3</v>
      </c>
      <c r="F49" s="31">
        <v>1.1350000000000001E-2</v>
      </c>
      <c r="G49" s="28">
        <v>57</v>
      </c>
    </row>
    <row r="50" spans="2:7">
      <c r="B50" s="28">
        <v>55</v>
      </c>
      <c r="C50" s="31">
        <v>7.1500000000000001E-3</v>
      </c>
      <c r="D50" s="31">
        <v>8.3599999999999994E-3</v>
      </c>
      <c r="E50" s="31">
        <v>9.0500000000000008E-3</v>
      </c>
      <c r="F50" s="31">
        <v>1.2460000000000001E-2</v>
      </c>
      <c r="G50" s="28">
        <v>58</v>
      </c>
    </row>
    <row r="51" spans="2:7">
      <c r="B51" s="28">
        <v>56</v>
      </c>
      <c r="C51" s="31">
        <v>7.6800000000000002E-3</v>
      </c>
      <c r="D51" s="31">
        <v>9.0500000000000008E-3</v>
      </c>
      <c r="E51" s="31">
        <v>9.7900000000000001E-3</v>
      </c>
      <c r="F51" s="31">
        <v>1.3690000000000001E-2</v>
      </c>
      <c r="G51" s="28">
        <v>59</v>
      </c>
    </row>
    <row r="52" spans="2:7">
      <c r="B52" s="28">
        <v>57</v>
      </c>
      <c r="C52" s="31">
        <v>8.2500000000000004E-3</v>
      </c>
      <c r="D52" s="31">
        <v>9.7900000000000001E-3</v>
      </c>
      <c r="E52" s="31">
        <v>1.06E-2</v>
      </c>
      <c r="F52" s="31">
        <v>1.5049999999999999E-2</v>
      </c>
      <c r="G52" s="28">
        <v>60</v>
      </c>
    </row>
    <row r="53" spans="2:7">
      <c r="B53" s="28">
        <v>58</v>
      </c>
      <c r="C53" s="31">
        <v>8.8699999999999994E-3</v>
      </c>
      <c r="D53" s="31">
        <v>1.06E-2</v>
      </c>
      <c r="E53" s="31">
        <v>1.1480000000000001E-2</v>
      </c>
      <c r="F53" s="31">
        <v>1.6549999999999999E-2</v>
      </c>
      <c r="G53" s="28">
        <v>61</v>
      </c>
    </row>
    <row r="54" spans="2:7">
      <c r="B54" s="28">
        <v>59</v>
      </c>
      <c r="C54" s="31">
        <v>9.5300000000000003E-3</v>
      </c>
      <c r="D54" s="31">
        <v>1.1480000000000001E-2</v>
      </c>
      <c r="E54" s="31">
        <v>1.243E-2</v>
      </c>
      <c r="F54" s="31">
        <v>1.821E-2</v>
      </c>
      <c r="G54" s="28">
        <v>62</v>
      </c>
    </row>
    <row r="55" spans="2:7">
      <c r="B55" s="28">
        <v>60</v>
      </c>
      <c r="C55" s="31">
        <v>1.0240000000000001E-2</v>
      </c>
      <c r="D55" s="31">
        <v>1.243E-2</v>
      </c>
      <c r="E55" s="31">
        <v>1.346E-2</v>
      </c>
      <c r="F55" s="31">
        <v>2.0029999999999999E-2</v>
      </c>
      <c r="G55" s="28">
        <v>63</v>
      </c>
    </row>
    <row r="56" spans="2:7">
      <c r="B56" s="28">
        <v>61</v>
      </c>
      <c r="C56" s="31">
        <v>1.1010000000000001E-2</v>
      </c>
      <c r="D56" s="31">
        <v>1.346E-2</v>
      </c>
      <c r="E56" s="31">
        <v>1.4579999999999999E-2</v>
      </c>
      <c r="F56" s="31">
        <v>2.2030000000000001E-2</v>
      </c>
      <c r="G56" s="28">
        <v>64</v>
      </c>
    </row>
    <row r="57" spans="2:7">
      <c r="B57" s="28">
        <v>62</v>
      </c>
      <c r="C57" s="31">
        <v>1.183E-2</v>
      </c>
      <c r="D57" s="31">
        <v>1.4579999999999999E-2</v>
      </c>
      <c r="E57" s="31">
        <v>1.5769999999999999E-2</v>
      </c>
      <c r="F57" s="31">
        <v>2.4209999999999999E-2</v>
      </c>
      <c r="G57" s="28">
        <v>65</v>
      </c>
    </row>
    <row r="58" spans="2:7">
      <c r="B58" s="28">
        <v>63</v>
      </c>
      <c r="C58" s="31">
        <v>1.2699999999999999E-2</v>
      </c>
      <c r="D58" s="31">
        <v>1.5769999999999999E-2</v>
      </c>
      <c r="E58" s="31">
        <v>1.7059999999999999E-2</v>
      </c>
      <c r="F58" s="31">
        <v>2.6599999999999999E-2</v>
      </c>
      <c r="G58" s="28">
        <v>66</v>
      </c>
    </row>
    <row r="59" spans="2:7">
      <c r="B59" s="28">
        <v>64</v>
      </c>
      <c r="C59" s="31">
        <v>1.362E-2</v>
      </c>
      <c r="D59" s="31">
        <v>1.7059999999999999E-2</v>
      </c>
      <c r="E59" s="31">
        <v>1.8429999999999998E-2</v>
      </c>
      <c r="F59" s="31">
        <v>2.9190000000000001E-2</v>
      </c>
      <c r="G59" s="28">
        <v>67</v>
      </c>
    </row>
    <row r="60" spans="2:7">
      <c r="B60" s="28">
        <v>65</v>
      </c>
      <c r="C60" s="31">
        <v>1.4590000000000001E-2</v>
      </c>
      <c r="D60" s="31">
        <v>1.8429999999999998E-2</v>
      </c>
      <c r="E60" s="31">
        <v>1.9890000000000001E-2</v>
      </c>
      <c r="F60" s="31">
        <v>3.2009999999999997E-2</v>
      </c>
      <c r="G60" s="28">
        <v>68</v>
      </c>
    </row>
    <row r="61" spans="2:7">
      <c r="B61" s="28">
        <v>66</v>
      </c>
      <c r="C61" s="31">
        <v>1.562E-2</v>
      </c>
      <c r="D61" s="31">
        <v>1.9890000000000001E-2</v>
      </c>
      <c r="E61" s="31">
        <v>2.1440000000000001E-2</v>
      </c>
      <c r="F61" s="31">
        <v>3.5060000000000001E-2</v>
      </c>
      <c r="G61" s="28">
        <v>69</v>
      </c>
    </row>
    <row r="62" spans="2:7">
      <c r="B62" s="28">
        <v>67</v>
      </c>
      <c r="C62" s="31">
        <v>1.668E-2</v>
      </c>
      <c r="D62" s="31">
        <v>2.1440000000000001E-2</v>
      </c>
      <c r="E62" s="31">
        <v>2.307E-2</v>
      </c>
      <c r="F62" s="31">
        <v>3.8359999999999998E-2</v>
      </c>
      <c r="G62" s="28">
        <v>70</v>
      </c>
    </row>
    <row r="63" spans="2:7">
      <c r="B63" s="28">
        <v>68</v>
      </c>
      <c r="C63" s="31">
        <v>1.78E-2</v>
      </c>
      <c r="D63" s="31">
        <v>2.307E-2</v>
      </c>
      <c r="E63" s="31">
        <v>2.4799999999999999E-2</v>
      </c>
      <c r="F63" s="31">
        <v>4.1910000000000003E-2</v>
      </c>
      <c r="G63" s="28">
        <v>71</v>
      </c>
    </row>
    <row r="64" spans="2:7">
      <c r="B64" s="28">
        <v>69</v>
      </c>
      <c r="C64" s="31">
        <v>1.8950000000000002E-2</v>
      </c>
      <c r="D64" s="31">
        <v>2.4799999999999999E-2</v>
      </c>
      <c r="E64" s="31">
        <v>2.6610000000000002E-2</v>
      </c>
      <c r="F64" s="31">
        <v>4.5740000000000003E-2</v>
      </c>
      <c r="G64" s="28">
        <v>72</v>
      </c>
    </row>
    <row r="65" spans="2:7">
      <c r="B65" s="28">
        <v>70</v>
      </c>
      <c r="C65" s="31">
        <v>2.0129999999999999E-2</v>
      </c>
      <c r="D65" s="31">
        <v>2.6610000000000002E-2</v>
      </c>
      <c r="E65" s="31">
        <v>2.8510000000000001E-2</v>
      </c>
      <c r="F65" s="31">
        <v>4.9840000000000002E-2</v>
      </c>
      <c r="G65" s="28">
        <v>73</v>
      </c>
    </row>
    <row r="66" spans="2:7">
      <c r="B66" s="28">
        <v>71</v>
      </c>
      <c r="C66" s="31">
        <v>2.1340000000000001E-2</v>
      </c>
      <c r="D66" s="31">
        <v>2.8510000000000001E-2</v>
      </c>
      <c r="E66" s="31">
        <v>3.049E-2</v>
      </c>
      <c r="F66" s="31">
        <v>5.425E-2</v>
      </c>
      <c r="G66" s="28">
        <v>74</v>
      </c>
    </row>
    <row r="67" spans="2:7">
      <c r="B67" s="28">
        <v>72</v>
      </c>
      <c r="C67" s="31">
        <v>2.2579999999999999E-2</v>
      </c>
      <c r="D67" s="31">
        <v>3.049E-2</v>
      </c>
      <c r="E67" s="31">
        <v>3.2559999999999999E-2</v>
      </c>
      <c r="F67" s="31">
        <v>5.901E-2</v>
      </c>
      <c r="G67" s="28">
        <v>75</v>
      </c>
    </row>
    <row r="68" spans="2:7">
      <c r="B68" s="28">
        <v>73</v>
      </c>
      <c r="C68" s="31">
        <v>2.383E-2</v>
      </c>
      <c r="D68" s="31">
        <v>3.2559999999999999E-2</v>
      </c>
      <c r="E68" s="31">
        <v>3.4729999999999997E-2</v>
      </c>
      <c r="F68" s="31">
        <v>6.4180000000000001E-2</v>
      </c>
      <c r="G68" s="28">
        <v>76</v>
      </c>
    </row>
    <row r="69" spans="2:7">
      <c r="B69" s="28">
        <v>74</v>
      </c>
      <c r="C69" s="31">
        <v>2.5090000000000001E-2</v>
      </c>
      <c r="D69" s="31">
        <v>3.4729999999999997E-2</v>
      </c>
      <c r="E69" s="31">
        <v>3.703E-2</v>
      </c>
      <c r="F69" s="31">
        <v>6.9809999999999997E-2</v>
      </c>
      <c r="G69" s="28">
        <v>77</v>
      </c>
    </row>
    <row r="70" spans="2:7">
      <c r="B70" s="28">
        <v>75</v>
      </c>
      <c r="C70" s="31">
        <v>2.6370000000000001E-2</v>
      </c>
      <c r="D70" s="31">
        <v>3.703E-2</v>
      </c>
      <c r="E70" s="31">
        <v>3.9469999999999998E-2</v>
      </c>
      <c r="F70" s="31">
        <v>7.5950000000000004E-2</v>
      </c>
      <c r="G70" s="28">
        <v>78</v>
      </c>
    </row>
    <row r="71" spans="2:7">
      <c r="B71" s="28">
        <v>76</v>
      </c>
      <c r="C71" s="31">
        <v>2.768E-2</v>
      </c>
      <c r="D71" s="31">
        <v>3.9469999999999998E-2</v>
      </c>
      <c r="E71" s="31">
        <v>4.206E-2</v>
      </c>
      <c r="F71" s="31">
        <v>8.2659999999999997E-2</v>
      </c>
      <c r="G71" s="28">
        <v>79</v>
      </c>
    </row>
    <row r="72" spans="2:7">
      <c r="B72" s="28">
        <v>77</v>
      </c>
      <c r="C72" s="31">
        <v>2.9020000000000001E-2</v>
      </c>
      <c r="D72" s="31">
        <v>4.206E-2</v>
      </c>
      <c r="E72" s="31">
        <v>4.4819999999999999E-2</v>
      </c>
      <c r="F72" s="31">
        <v>0.09</v>
      </c>
      <c r="G72" s="28">
        <v>80</v>
      </c>
    </row>
    <row r="73" spans="2:7">
      <c r="B73" s="28">
        <v>78</v>
      </c>
      <c r="C73" s="31">
        <v>3.039E-2</v>
      </c>
      <c r="D73" s="31">
        <v>4.4819999999999999E-2</v>
      </c>
      <c r="E73" s="31">
        <v>4.7759999999999997E-2</v>
      </c>
      <c r="F73" s="31">
        <v>9.8019999999999996E-2</v>
      </c>
      <c r="G73" s="28">
        <v>81</v>
      </c>
    </row>
    <row r="74" spans="2:7">
      <c r="B74" s="28">
        <v>79</v>
      </c>
      <c r="C74" s="31">
        <v>3.1789999999999999E-2</v>
      </c>
      <c r="D74" s="31">
        <v>4.7759999999999997E-2</v>
      </c>
      <c r="E74" s="31">
        <v>5.0869999999999999E-2</v>
      </c>
      <c r="F74" s="31">
        <v>0.10677</v>
      </c>
      <c r="G74" s="28">
        <v>82</v>
      </c>
    </row>
    <row r="75" spans="2:7">
      <c r="B75" s="28">
        <v>80</v>
      </c>
      <c r="C75" s="31">
        <v>3.3210000000000003E-2</v>
      </c>
      <c r="D75" s="31">
        <v>5.0869999999999999E-2</v>
      </c>
      <c r="E75" s="31">
        <v>5.4179999999999999E-2</v>
      </c>
      <c r="F75" s="31">
        <v>0.11632000000000001</v>
      </c>
      <c r="G75" s="28">
        <v>83</v>
      </c>
    </row>
    <row r="76" spans="2:7">
      <c r="B76" s="32">
        <f>B75+1</f>
        <v>81</v>
      </c>
      <c r="F76" s="31">
        <v>0.12670000000000001</v>
      </c>
      <c r="G76" s="28">
        <v>84</v>
      </c>
    </row>
    <row r="77" spans="2:7">
      <c r="B77" s="32">
        <f t="shared" ref="B77:B96" si="0">B76+1</f>
        <v>82</v>
      </c>
      <c r="F77" s="31">
        <v>0.13799</v>
      </c>
      <c r="G77" s="28">
        <v>85</v>
      </c>
    </row>
    <row r="78" spans="2:7">
      <c r="B78" s="32">
        <f t="shared" si="0"/>
        <v>83</v>
      </c>
      <c r="F78" s="31">
        <v>0.15023</v>
      </c>
      <c r="G78" s="28">
        <v>86</v>
      </c>
    </row>
    <row r="79" spans="2:7">
      <c r="B79" s="32">
        <f t="shared" si="0"/>
        <v>84</v>
      </c>
      <c r="F79" s="31">
        <v>0.16347999999999999</v>
      </c>
      <c r="G79" s="28">
        <v>87</v>
      </c>
    </row>
    <row r="80" spans="2:7">
      <c r="B80" s="32">
        <f t="shared" si="0"/>
        <v>85</v>
      </c>
      <c r="F80" s="31">
        <v>0.17779</v>
      </c>
      <c r="G80" s="28">
        <v>88</v>
      </c>
    </row>
    <row r="81" spans="2:7">
      <c r="B81" s="32">
        <f t="shared" si="0"/>
        <v>86</v>
      </c>
      <c r="F81" s="31">
        <v>0.19320999999999999</v>
      </c>
      <c r="G81" s="28">
        <v>89</v>
      </c>
    </row>
    <row r="82" spans="2:7">
      <c r="B82" s="32">
        <f t="shared" si="0"/>
        <v>87</v>
      </c>
      <c r="F82" s="31">
        <v>0.20959</v>
      </c>
      <c r="G82" s="28">
        <v>90</v>
      </c>
    </row>
    <row r="83" spans="2:7">
      <c r="B83" s="32">
        <f t="shared" si="0"/>
        <v>88</v>
      </c>
      <c r="F83" s="31">
        <v>0.22714000000000001</v>
      </c>
      <c r="G83" s="28">
        <v>91</v>
      </c>
    </row>
    <row r="84" spans="2:7">
      <c r="B84" s="32">
        <f t="shared" si="0"/>
        <v>89</v>
      </c>
      <c r="F84" s="31">
        <v>0.24593000000000001</v>
      </c>
      <c r="G84" s="28">
        <v>92</v>
      </c>
    </row>
    <row r="85" spans="2:7">
      <c r="B85" s="32">
        <f t="shared" si="0"/>
        <v>90</v>
      </c>
      <c r="F85" s="31">
        <v>0.26597999999999999</v>
      </c>
      <c r="G85" s="28">
        <v>93</v>
      </c>
    </row>
    <row r="86" spans="2:7">
      <c r="B86" s="32">
        <f t="shared" si="0"/>
        <v>91</v>
      </c>
      <c r="F86" s="31">
        <v>0.28733999999999998</v>
      </c>
      <c r="G86" s="28">
        <v>94</v>
      </c>
    </row>
    <row r="87" spans="2:7">
      <c r="B87" s="32">
        <f t="shared" si="0"/>
        <v>92</v>
      </c>
      <c r="F87" s="31">
        <v>0.31002999999999997</v>
      </c>
      <c r="G87" s="28">
        <v>95</v>
      </c>
    </row>
    <row r="88" spans="2:7">
      <c r="B88" s="32">
        <f t="shared" si="0"/>
        <v>93</v>
      </c>
      <c r="F88" s="31">
        <v>0.33405000000000001</v>
      </c>
      <c r="G88" s="28">
        <v>96</v>
      </c>
    </row>
    <row r="89" spans="2:7">
      <c r="B89" s="32">
        <f t="shared" si="0"/>
        <v>94</v>
      </c>
      <c r="F89" s="31">
        <v>0.35941000000000001</v>
      </c>
      <c r="G89" s="28">
        <v>97</v>
      </c>
    </row>
    <row r="90" spans="2:7">
      <c r="B90" s="32">
        <f t="shared" si="0"/>
        <v>95</v>
      </c>
      <c r="F90" s="31">
        <v>0.38608999999999999</v>
      </c>
      <c r="G90" s="28">
        <v>98</v>
      </c>
    </row>
    <row r="91" spans="2:7">
      <c r="B91" s="32">
        <f t="shared" si="0"/>
        <v>96</v>
      </c>
      <c r="F91" s="31">
        <v>0.41404000000000002</v>
      </c>
      <c r="G91" s="28">
        <v>99</v>
      </c>
    </row>
    <row r="92" spans="2:7">
      <c r="B92" s="32">
        <f t="shared" si="0"/>
        <v>97</v>
      </c>
      <c r="F92" s="31">
        <v>0.44319999999999998</v>
      </c>
      <c r="G92" s="28">
        <v>100</v>
      </c>
    </row>
    <row r="93" spans="2:7">
      <c r="B93" s="32">
        <f t="shared" si="0"/>
        <v>98</v>
      </c>
      <c r="F93" s="31">
        <v>0.47348000000000001</v>
      </c>
      <c r="G93" s="28">
        <v>101</v>
      </c>
    </row>
    <row r="94" spans="2:7">
      <c r="B94" s="32">
        <f t="shared" si="0"/>
        <v>99</v>
      </c>
      <c r="F94" s="31">
        <v>0.50475999999999999</v>
      </c>
      <c r="G94" s="28">
        <v>102</v>
      </c>
    </row>
    <row r="95" spans="2:7">
      <c r="B95" s="32">
        <f t="shared" si="0"/>
        <v>100</v>
      </c>
      <c r="F95" s="31">
        <v>0.53691</v>
      </c>
      <c r="G95" s="28">
        <v>103</v>
      </c>
    </row>
    <row r="96" spans="2:7">
      <c r="B96" s="32">
        <f t="shared" si="0"/>
        <v>101</v>
      </c>
      <c r="F96" s="31">
        <v>0.56972999999999996</v>
      </c>
      <c r="G96" s="28">
        <v>104</v>
      </c>
    </row>
  </sheetData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77B0E-C43B-4D9D-8B40-4108DC193247}">
  <sheetPr codeName="Sheet2"/>
  <dimension ref="D1:L19"/>
  <sheetViews>
    <sheetView workbookViewId="0">
      <selection activeCell="N10" sqref="N10:N11"/>
    </sheetView>
  </sheetViews>
  <sheetFormatPr baseColWidth="10" defaultColWidth="8.83203125" defaultRowHeight="15"/>
  <cols>
    <col min="4" max="4" width="14.6640625" bestFit="1" customWidth="1"/>
    <col min="5" max="5" width="12.5" bestFit="1" customWidth="1"/>
    <col min="6" max="6" width="38.83203125" bestFit="1" customWidth="1"/>
    <col min="9" max="9" width="9.1640625" bestFit="1" customWidth="1"/>
    <col min="10" max="10" width="12.6640625" bestFit="1" customWidth="1"/>
    <col min="11" max="11" width="8.5" customWidth="1"/>
    <col min="12" max="12" width="9.83203125" bestFit="1" customWidth="1"/>
  </cols>
  <sheetData>
    <row r="1" spans="4:12">
      <c r="D1" s="1" t="s">
        <v>45</v>
      </c>
    </row>
    <row r="3" spans="4:12" ht="16" thickBot="1">
      <c r="L3" s="2">
        <v>2000000</v>
      </c>
    </row>
    <row r="4" spans="4:12" ht="16">
      <c r="D4" s="3" t="s">
        <v>13</v>
      </c>
      <c r="E4" s="9"/>
      <c r="F4" s="4"/>
    </row>
    <row r="5" spans="4:12" ht="17" thickBot="1">
      <c r="D5" s="5" t="s">
        <v>14</v>
      </c>
      <c r="E5" s="6" t="s">
        <v>15</v>
      </c>
      <c r="F5" s="10" t="s">
        <v>16</v>
      </c>
      <c r="I5" s="12" t="s">
        <v>26</v>
      </c>
      <c r="J5" s="12" t="s">
        <v>24</v>
      </c>
    </row>
    <row r="6" spans="4:12" ht="17" thickBot="1">
      <c r="D6" s="15">
        <v>0</v>
      </c>
      <c r="E6" s="16">
        <v>84000</v>
      </c>
      <c r="F6" s="11" t="s">
        <v>17</v>
      </c>
      <c r="I6" s="20">
        <v>48000</v>
      </c>
      <c r="J6">
        <v>0</v>
      </c>
      <c r="K6" s="21">
        <v>0.05</v>
      </c>
      <c r="L6" s="20">
        <f>MIN(I6,$L$3)</f>
        <v>48000</v>
      </c>
    </row>
    <row r="7" spans="4:12" ht="17" thickBot="1">
      <c r="D7" s="17">
        <v>84001</v>
      </c>
      <c r="E7" s="18">
        <v>120000</v>
      </c>
      <c r="F7" s="11" t="s">
        <v>18</v>
      </c>
      <c r="I7" s="20">
        <f>D7</f>
        <v>84001</v>
      </c>
      <c r="J7" s="20">
        <f>K6*(E6-I6)+J6</f>
        <v>1800</v>
      </c>
      <c r="K7" s="21">
        <v>0.125</v>
      </c>
      <c r="L7" s="20">
        <f t="shared" ref="L7:L9" si="0">MIN(I7,$L$3)</f>
        <v>84001</v>
      </c>
    </row>
    <row r="8" spans="4:12" ht="17" thickBot="1">
      <c r="D8" s="17">
        <v>120001</v>
      </c>
      <c r="E8" s="18">
        <v>156000</v>
      </c>
      <c r="F8" s="11" t="s">
        <v>19</v>
      </c>
      <c r="I8" s="20">
        <f t="shared" ref="I8:I9" si="1">D8</f>
        <v>120001</v>
      </c>
      <c r="J8" s="20">
        <f t="shared" ref="J8:J9" si="2">K7*(E7-I7)+J7</f>
        <v>6299.875</v>
      </c>
      <c r="K8" s="21">
        <v>0.1875</v>
      </c>
      <c r="L8" s="20">
        <f t="shared" si="0"/>
        <v>120001</v>
      </c>
    </row>
    <row r="9" spans="4:12" ht="17" thickBot="1">
      <c r="D9" s="19">
        <v>156001</v>
      </c>
      <c r="E9" s="18"/>
      <c r="F9" s="11" t="s">
        <v>20</v>
      </c>
      <c r="I9" s="20">
        <f t="shared" si="1"/>
        <v>156001</v>
      </c>
      <c r="J9" s="20">
        <f t="shared" si="2"/>
        <v>13049.6875</v>
      </c>
      <c r="K9" s="21">
        <v>0.25</v>
      </c>
      <c r="L9" s="20">
        <f t="shared" si="0"/>
        <v>156001</v>
      </c>
    </row>
    <row r="10" spans="4:12" ht="16">
      <c r="D10" s="13"/>
      <c r="E10" s="14"/>
    </row>
    <row r="11" spans="4:12" ht="16">
      <c r="D11" s="7"/>
    </row>
    <row r="12" spans="4:12" ht="16">
      <c r="D12" s="8"/>
    </row>
    <row r="13" spans="4:12" ht="17" thickBot="1">
      <c r="D13" s="8"/>
    </row>
    <row r="14" spans="4:12" ht="16">
      <c r="D14" s="3" t="s">
        <v>13</v>
      </c>
      <c r="E14" s="9"/>
      <c r="F14" s="4"/>
    </row>
    <row r="15" spans="4:12" ht="17" thickBot="1">
      <c r="D15" s="5" t="s">
        <v>14</v>
      </c>
      <c r="E15" s="6" t="s">
        <v>15</v>
      </c>
      <c r="F15" s="10" t="s">
        <v>16</v>
      </c>
    </row>
    <row r="16" spans="4:12" ht="17" thickBot="1">
      <c r="D16" s="15" t="s">
        <v>25</v>
      </c>
      <c r="E16" s="16">
        <v>84000</v>
      </c>
      <c r="F16" s="11" t="s">
        <v>17</v>
      </c>
    </row>
    <row r="17" spans="4:6" ht="17" thickBot="1">
      <c r="D17" s="17">
        <v>84001</v>
      </c>
      <c r="E17" s="18">
        <v>120000</v>
      </c>
      <c r="F17" s="11" t="s">
        <v>21</v>
      </c>
    </row>
    <row r="18" spans="4:6" ht="17" thickBot="1">
      <c r="D18" s="17">
        <v>120001</v>
      </c>
      <c r="E18" s="18">
        <v>156000</v>
      </c>
      <c r="F18" s="11" t="s">
        <v>22</v>
      </c>
    </row>
    <row r="19" spans="4:6" ht="17" thickBot="1">
      <c r="D19" s="19">
        <v>156001</v>
      </c>
      <c r="E19" s="18"/>
      <c r="F19" s="1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50</vt:i4>
      </vt:variant>
    </vt:vector>
  </HeadingPairs>
  <TitlesOfParts>
    <vt:vector size="55" baseType="lpstr">
      <vt:lpstr>LivingAnnuity</vt:lpstr>
      <vt:lpstr>LifeAnnuity</vt:lpstr>
      <vt:lpstr>SA85-90</vt:lpstr>
      <vt:lpstr>SA85-90 (light)</vt:lpstr>
      <vt:lpstr>Tax</vt:lpstr>
      <vt:lpstr>LifeAnnuity!AmountInvested</vt:lpstr>
      <vt:lpstr>AmountInvested</vt:lpstr>
      <vt:lpstr>LifeAnnuity!CheckTotal</vt:lpstr>
      <vt:lpstr>CheckTotal</vt:lpstr>
      <vt:lpstr>DrawdownPercentage</vt:lpstr>
      <vt:lpstr>LifeAnnuity!ExpectedLifeYearsRemaining</vt:lpstr>
      <vt:lpstr>ExpectedLifeYearsRemaining</vt:lpstr>
      <vt:lpstr>LifeAnnuity!ExpectedPaymentPeriod</vt:lpstr>
      <vt:lpstr>ExpectedPaymentPeriod</vt:lpstr>
      <vt:lpstr>LifeAnnuity!FundsAtEndofDrawdown</vt:lpstr>
      <vt:lpstr>FundsAtEndofDrawdown</vt:lpstr>
      <vt:lpstr>LifeAnnuity!MonthlyBenefit</vt:lpstr>
      <vt:lpstr>MonthlyBenefit</vt:lpstr>
      <vt:lpstr>LifeAnnuity!NoOfFullPmtsToAnnuitant</vt:lpstr>
      <vt:lpstr>NoOfFullPmtsToAnnuitant</vt:lpstr>
      <vt:lpstr>LifeAnnuity!Notice1</vt:lpstr>
      <vt:lpstr>Notice1</vt:lpstr>
      <vt:lpstr>LifeAnnuity!PresentValueOfAllCharges</vt:lpstr>
      <vt:lpstr>PresentValueOfAllCharges</vt:lpstr>
      <vt:lpstr>LifeAnnuity!PresentValueOfAssetManagementCharges</vt:lpstr>
      <vt:lpstr>PresentValueOfAssetManagementCharges</vt:lpstr>
      <vt:lpstr>LifeAnnuity!PresentValueOfBenefitsToAnnuitant</vt:lpstr>
      <vt:lpstr>PresentValueOfBenefitsToAnnuitant</vt:lpstr>
      <vt:lpstr>LifeAnnuity!PresentValueOfBenefitsToAnnuitantExclFuneral</vt:lpstr>
      <vt:lpstr>PresentValueOfBenefitsToAnnuitantExclFuneral</vt:lpstr>
      <vt:lpstr>LifeAnnuity!PresentValueOfCommissionPayments</vt:lpstr>
      <vt:lpstr>PresentValueOfCommissionPayments</vt:lpstr>
      <vt:lpstr>LifeAnnuity!PresentValueOfFeesToInsurer</vt:lpstr>
      <vt:lpstr>PresentValueOfFeesToInsurer</vt:lpstr>
      <vt:lpstr>LifeAnnuity!PVOfFeesAsOfAssetsManaged</vt:lpstr>
      <vt:lpstr>PVOfFeesAsOfAssetsManaged</vt:lpstr>
      <vt:lpstr>LifeAnnuity!RemainderPaidInFinalPayment</vt:lpstr>
      <vt:lpstr>RemainderPaidInFinalPayment</vt:lpstr>
      <vt:lpstr>SA8590Light</vt:lpstr>
      <vt:lpstr>LifeAnnuity!SolveLifeAnnuity</vt:lpstr>
      <vt:lpstr>SolveLifeAnnuity</vt:lpstr>
      <vt:lpstr>LifeAnnuity!SolveZeroAt100</vt:lpstr>
      <vt:lpstr>SolveZeroAt100</vt:lpstr>
      <vt:lpstr>LifeAnnuity!StartofLA</vt:lpstr>
      <vt:lpstr>StartofLA</vt:lpstr>
      <vt:lpstr>LifeAnnuity!StartofRA</vt:lpstr>
      <vt:lpstr>StartofRA</vt:lpstr>
      <vt:lpstr>LifeAnnuity!SumOfAssetManagementCharges</vt:lpstr>
      <vt:lpstr>SumOfAssetManagementCharges</vt:lpstr>
      <vt:lpstr>LifeAnnuity!SumOfBenefitsToAnnuitant</vt:lpstr>
      <vt:lpstr>SumOfBenefitsToAnnuitant</vt:lpstr>
      <vt:lpstr>LifeAnnuity!SumOfCommissionPayments</vt:lpstr>
      <vt:lpstr>SumOfCommissionPayments</vt:lpstr>
      <vt:lpstr>LifeAnnuity!SumOfFeesToInsurer</vt:lpstr>
      <vt:lpstr>SumOfFeesToInsurer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Roux</dc:creator>
  <cp:lastModifiedBy>Oratile Busang</cp:lastModifiedBy>
  <dcterms:created xsi:type="dcterms:W3CDTF">2024-02-02T06:15:22Z</dcterms:created>
  <dcterms:modified xsi:type="dcterms:W3CDTF">2025-07-25T19:43:50Z</dcterms:modified>
</cp:coreProperties>
</file>